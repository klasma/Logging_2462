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45890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45890</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45890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45890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45890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45890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45890</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45890</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45890</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45890</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45890</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45890</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63165-2020</t>
        </is>
      </c>
      <c r="B21" s="1" t="n">
        <v>44162</v>
      </c>
      <c r="C21" s="1" t="n">
        <v>45890</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56589-2024</t>
        </is>
      </c>
      <c r="B22" s="1" t="n">
        <v>45625</v>
      </c>
      <c r="C22" s="1" t="n">
        <v>45890</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45890</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45890</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45890</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45890</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45890</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45890</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46776-2024</t>
        </is>
      </c>
      <c r="B29" s="1" t="n">
        <v>45583</v>
      </c>
      <c r="C29" s="1" t="n">
        <v>45890</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9048-2023</t>
        </is>
      </c>
      <c r="B30" s="1" t="n">
        <v>44972</v>
      </c>
      <c r="C30" s="1" t="n">
        <v>45890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23758-2025</t>
        </is>
      </c>
      <c r="B31" s="1" t="n">
        <v>45793</v>
      </c>
      <c r="C31" s="1" t="n">
        <v>45890</v>
      </c>
      <c r="D31" t="inlineStr">
        <is>
          <t>VÄSTERBOTTENS LÄN</t>
        </is>
      </c>
      <c r="E31" t="inlineStr">
        <is>
          <t>VILHELMINA</t>
        </is>
      </c>
      <c r="G31" t="n">
        <v>14.9</v>
      </c>
      <c r="H31" t="n">
        <v>6</v>
      </c>
      <c r="I31" t="n">
        <v>8</v>
      </c>
      <c r="J31" t="n">
        <v>8</v>
      </c>
      <c r="K31" t="n">
        <v>1</v>
      </c>
      <c r="L31" t="n">
        <v>0</v>
      </c>
      <c r="M31" t="n">
        <v>0</v>
      </c>
      <c r="N31" t="n">
        <v>0</v>
      </c>
      <c r="O31" t="n">
        <v>9</v>
      </c>
      <c r="P31" t="n">
        <v>1</v>
      </c>
      <c r="Q31" t="n">
        <v>18</v>
      </c>
      <c r="R31" s="2" t="inlineStr">
        <is>
          <t>Grantickeporing
Garnlav
Granticka
Lappmes
Lunglav
Skrovellav
Tretåig hackspett
Ullticka
Violettgrå tagellav
Bårdlav
Korallrot
Luddlav
Plattlummer
Skinnlav
Spindelblomster
Stuplav
Trådticka
Lavskrika</t>
        </is>
      </c>
      <c r="S31">
        <f>HYPERLINK("https://klasma.github.io/Logging_2462/artfynd/A 23758-2025 artfynd.xlsx", "A 23758-2025")</f>
        <v/>
      </c>
      <c r="T31">
        <f>HYPERLINK("https://klasma.github.io/Logging_2462/kartor/A 23758-2025 karta.png", "A 23758-2025")</f>
        <v/>
      </c>
      <c r="V31">
        <f>HYPERLINK("https://klasma.github.io/Logging_2462/klagomål/A 23758-2025 FSC-klagomål.docx", "A 23758-2025")</f>
        <v/>
      </c>
      <c r="W31">
        <f>HYPERLINK("https://klasma.github.io/Logging_2462/klagomålsmail/A 23758-2025 FSC-klagomål mail.docx", "A 23758-2025")</f>
        <v/>
      </c>
      <c r="X31">
        <f>HYPERLINK("https://klasma.github.io/Logging_2462/tillsyn/A 23758-2025 tillsynsbegäran.docx", "A 23758-2025")</f>
        <v/>
      </c>
      <c r="Y31">
        <f>HYPERLINK("https://klasma.github.io/Logging_2462/tillsynsmail/A 23758-2025 tillsynsbegäran mail.docx", "A 23758-2025")</f>
        <v/>
      </c>
      <c r="Z31">
        <f>HYPERLINK("https://klasma.github.io/Logging_2462/fåglar/A 23758-2025 prioriterade fågelarter.docx", "A 23758-2025")</f>
        <v/>
      </c>
    </row>
    <row r="32" ht="15" customHeight="1">
      <c r="A32" t="inlineStr">
        <is>
          <t>A 48248-2023</t>
        </is>
      </c>
      <c r="B32" s="1" t="n">
        <v>45201</v>
      </c>
      <c r="C32" s="1" t="n">
        <v>45890</v>
      </c>
      <c r="D32" t="inlineStr">
        <is>
          <t>VÄSTERBOTTENS LÄN</t>
        </is>
      </c>
      <c r="E32" t="inlineStr">
        <is>
          <t>VILHELMINA</t>
        </is>
      </c>
      <c r="F32" t="inlineStr">
        <is>
          <t>Allmännings- och besparingsskogar</t>
        </is>
      </c>
      <c r="G32" t="n">
        <v>34.2</v>
      </c>
      <c r="H32" t="n">
        <v>7</v>
      </c>
      <c r="I32" t="n">
        <v>3</v>
      </c>
      <c r="J32" t="n">
        <v>11</v>
      </c>
      <c r="K32" t="n">
        <v>1</v>
      </c>
      <c r="L32" t="n">
        <v>0</v>
      </c>
      <c r="M32" t="n">
        <v>0</v>
      </c>
      <c r="N32" t="n">
        <v>0</v>
      </c>
      <c r="O32" t="n">
        <v>12</v>
      </c>
      <c r="P32" t="n">
        <v>1</v>
      </c>
      <c r="Q32" t="n">
        <v>18</v>
      </c>
      <c r="R32" s="2" t="inlineStr">
        <is>
          <t>Tallbit
Garnlav
Granticka
Järpe
Liten svartspik
Lunglav
Rödbrun blekspik
Skrovellav
Talltita
Tretåig hackspett
Vitgrynig nållav
Vitskaftad svartspik
Bårdlav
Gulnål
Stuplav
Lavskrika
Sparvuggla
Tjäder</t>
        </is>
      </c>
      <c r="S32">
        <f>HYPERLINK("https://klasma.github.io/Logging_2462/artfynd/A 48248-2023 artfynd.xlsx", "A 48248-2023")</f>
        <v/>
      </c>
      <c r="T32">
        <f>HYPERLINK("https://klasma.github.io/Logging_2462/kartor/A 48248-2023 karta.png", "A 48248-2023")</f>
        <v/>
      </c>
      <c r="V32">
        <f>HYPERLINK("https://klasma.github.io/Logging_2462/klagomål/A 48248-2023 FSC-klagomål.docx", "A 48248-2023")</f>
        <v/>
      </c>
      <c r="W32">
        <f>HYPERLINK("https://klasma.github.io/Logging_2462/klagomålsmail/A 48248-2023 FSC-klagomål mail.docx", "A 48248-2023")</f>
        <v/>
      </c>
      <c r="X32">
        <f>HYPERLINK("https://klasma.github.io/Logging_2462/tillsyn/A 48248-2023 tillsynsbegäran.docx", "A 48248-2023")</f>
        <v/>
      </c>
      <c r="Y32">
        <f>HYPERLINK("https://klasma.github.io/Logging_2462/tillsynsmail/A 48248-2023 tillsynsbegäran mail.docx", "A 48248-2023")</f>
        <v/>
      </c>
      <c r="Z32">
        <f>HYPERLINK("https://klasma.github.io/Logging_2462/fåglar/A 48248-2023 prioriterade fågelarter.docx", "A 48248-2023")</f>
        <v/>
      </c>
    </row>
    <row r="33" ht="15" customHeight="1">
      <c r="A33" t="inlineStr">
        <is>
          <t>A 42064-2024</t>
        </is>
      </c>
      <c r="B33" s="1" t="n">
        <v>45561</v>
      </c>
      <c r="C33" s="1" t="n">
        <v>45890</v>
      </c>
      <c r="D33" t="inlineStr">
        <is>
          <t>VÄSTERBOTTENS LÄN</t>
        </is>
      </c>
      <c r="E33" t="inlineStr">
        <is>
          <t>VILHELMINA</t>
        </is>
      </c>
      <c r="G33" t="n">
        <v>37.2</v>
      </c>
      <c r="H33" t="n">
        <v>3</v>
      </c>
      <c r="I33" t="n">
        <v>2</v>
      </c>
      <c r="J33" t="n">
        <v>15</v>
      </c>
      <c r="K33" t="n">
        <v>1</v>
      </c>
      <c r="L33" t="n">
        <v>0</v>
      </c>
      <c r="M33" t="n">
        <v>0</v>
      </c>
      <c r="N33" t="n">
        <v>0</v>
      </c>
      <c r="O33" t="n">
        <v>16</v>
      </c>
      <c r="P33" t="n">
        <v>1</v>
      </c>
      <c r="Q33" t="n">
        <v>18</v>
      </c>
      <c r="R33" s="2" t="inlineStr">
        <is>
          <t>Ulltickeporing
Blanksvart spiklav
Gammelgransskål
Garnlav
Granticka
Harticka
Järpe
Kortskaftad ärgspik
Leptoporus mollis
Rosenticka
Skogshare
Skrovellav
Talltita
Tretåig hackspett
Ullticka
Vitgrynig nållav
Korallblylav
Luddlav</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66998-2021</t>
        </is>
      </c>
      <c r="B34" s="1" t="n">
        <v>44522</v>
      </c>
      <c r="C34" s="1" t="n">
        <v>45890</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45890</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20418-2023</t>
        </is>
      </c>
      <c r="B36" s="1" t="n">
        <v>45054</v>
      </c>
      <c r="C36" s="1" t="n">
        <v>45890</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31199-2023</t>
        </is>
      </c>
      <c r="B37" s="1" t="n">
        <v>45113</v>
      </c>
      <c r="C37" s="1" t="n">
        <v>45890</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45890</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47881-2020</t>
        </is>
      </c>
      <c r="B39" s="1" t="n">
        <v>44095</v>
      </c>
      <c r="C39" s="1" t="n">
        <v>45890</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45890</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45890</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45890</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45890</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45890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45890</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45890</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38930-2025</t>
        </is>
      </c>
      <c r="B47" s="1" t="n">
        <v>45887</v>
      </c>
      <c r="C47" s="1" t="n">
        <v>45890</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45890</v>
      </c>
      <c r="D48" t="inlineStr">
        <is>
          <t>VÄSTERBOTTENS LÄN</t>
        </is>
      </c>
      <c r="E48" t="inlineStr">
        <is>
          <t>VILHELMINA</t>
        </is>
      </c>
      <c r="F48" t="inlineStr">
        <is>
          <t>Allmännings- och besparingsskogar</t>
        </is>
      </c>
      <c r="G48" t="n">
        <v>71.3</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7762-2024</t>
        </is>
      </c>
      <c r="B49" s="1" t="n">
        <v>45349</v>
      </c>
      <c r="C49" s="1" t="n">
        <v>45890</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49141-2023</t>
        </is>
      </c>
      <c r="B50" s="1" t="n">
        <v>45205</v>
      </c>
      <c r="C50" s="1" t="n">
        <v>45890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6658-2021</t>
        </is>
      </c>
      <c r="B51" s="1" t="n">
        <v>44235</v>
      </c>
      <c r="C51" s="1" t="n">
        <v>45890</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29392-2021</t>
        </is>
      </c>
      <c r="B52" s="1" t="n">
        <v>44361</v>
      </c>
      <c r="C52" s="1" t="n">
        <v>45890</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6969-2023</t>
        </is>
      </c>
      <c r="B53" s="1" t="n">
        <v>44964</v>
      </c>
      <c r="C53" s="1" t="n">
        <v>45890</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45890</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45890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45890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45890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45890</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172-2021</t>
        </is>
      </c>
      <c r="B59" s="1" t="n">
        <v>44199</v>
      </c>
      <c r="C59" s="1" t="n">
        <v>45890</v>
      </c>
      <c r="D59" t="inlineStr">
        <is>
          <t>VÄSTERBOTTENS LÄN</t>
        </is>
      </c>
      <c r="E59" t="inlineStr">
        <is>
          <t>VILHELMINA</t>
        </is>
      </c>
      <c r="G59" t="n">
        <v>16.6</v>
      </c>
      <c r="H59" t="n">
        <v>4</v>
      </c>
      <c r="I59" t="n">
        <v>0</v>
      </c>
      <c r="J59" t="n">
        <v>8</v>
      </c>
      <c r="K59" t="n">
        <v>0</v>
      </c>
      <c r="L59" t="n">
        <v>0</v>
      </c>
      <c r="M59" t="n">
        <v>0</v>
      </c>
      <c r="N59" t="n">
        <v>0</v>
      </c>
      <c r="O59" t="n">
        <v>8</v>
      </c>
      <c r="P59" t="n">
        <v>0</v>
      </c>
      <c r="Q59" t="n">
        <v>9</v>
      </c>
      <c r="R59" s="2" t="inlineStr">
        <is>
          <t>Gammelgransskål
Garnlav
Granticka
Höstlåsbräken
Talltita
Tretåig hackspett
Ullticka
Vitgrynig nållav
Orre</t>
        </is>
      </c>
      <c r="S59">
        <f>HYPERLINK("https://klasma.github.io/Logging_2462/artfynd/A 172-2021 artfynd.xlsx", "A 172-2021")</f>
        <v/>
      </c>
      <c r="T59">
        <f>HYPERLINK("https://klasma.github.io/Logging_2462/kartor/A 172-2021 karta.png", "A 172-2021")</f>
        <v/>
      </c>
      <c r="V59">
        <f>HYPERLINK("https://klasma.github.io/Logging_2462/klagomål/A 172-2021 FSC-klagomål.docx", "A 172-2021")</f>
        <v/>
      </c>
      <c r="W59">
        <f>HYPERLINK("https://klasma.github.io/Logging_2462/klagomålsmail/A 172-2021 FSC-klagomål mail.docx", "A 172-2021")</f>
        <v/>
      </c>
      <c r="X59">
        <f>HYPERLINK("https://klasma.github.io/Logging_2462/tillsyn/A 172-2021 tillsynsbegäran.docx", "A 172-2021")</f>
        <v/>
      </c>
      <c r="Y59">
        <f>HYPERLINK("https://klasma.github.io/Logging_2462/tillsynsmail/A 172-2021 tillsynsbegäran mail.docx", "A 172-2021")</f>
        <v/>
      </c>
      <c r="Z59">
        <f>HYPERLINK("https://klasma.github.io/Logging_2462/fåglar/A 172-2021 prioriterade fågelarter.docx", "A 172-2021")</f>
        <v/>
      </c>
    </row>
    <row r="60" ht="15" customHeight="1">
      <c r="A60" t="inlineStr">
        <is>
          <t>A 31884-2024</t>
        </is>
      </c>
      <c r="B60" s="1" t="n">
        <v>45509</v>
      </c>
      <c r="C60" s="1" t="n">
        <v>45890</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45890</v>
      </c>
      <c r="D61" t="inlineStr">
        <is>
          <t>VÄSTERBOTTENS LÄN</t>
        </is>
      </c>
      <c r="E61" t="inlineStr">
        <is>
          <t>VILHELMINA</t>
        </is>
      </c>
      <c r="F61" t="inlineStr">
        <is>
          <t>Allmännings- och besparingsskogar</t>
        </is>
      </c>
      <c r="G61" t="n">
        <v>32.7</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2196-2021</t>
        </is>
      </c>
      <c r="B62" s="1" t="n">
        <v>44211</v>
      </c>
      <c r="C62" s="1" t="n">
        <v>45890</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26191-2022</t>
        </is>
      </c>
      <c r="B63" s="1" t="n">
        <v>44735</v>
      </c>
      <c r="C63" s="1" t="n">
        <v>45890</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28799-2024</t>
        </is>
      </c>
      <c r="B64" s="1" t="n">
        <v>45478</v>
      </c>
      <c r="C64" s="1" t="n">
        <v>45890</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36220-2023</t>
        </is>
      </c>
      <c r="B65" s="1" t="n">
        <v>45149</v>
      </c>
      <c r="C65" s="1" t="n">
        <v>45890</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45890</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45890</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30345-2024</t>
        </is>
      </c>
      <c r="B68" s="1" t="n">
        <v>45490</v>
      </c>
      <c r="C68" s="1" t="n">
        <v>45890</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44354-2024</t>
        </is>
      </c>
      <c r="B69" s="1" t="n">
        <v>45573</v>
      </c>
      <c r="C69" s="1" t="n">
        <v>45890</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45890</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49977-2023</t>
        </is>
      </c>
      <c r="B71" s="1" t="n">
        <v>45208</v>
      </c>
      <c r="C71" s="1" t="n">
        <v>45890</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45890</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45890</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32456-2024</t>
        </is>
      </c>
      <c r="B74" s="1" t="n">
        <v>45512</v>
      </c>
      <c r="C74" s="1" t="n">
        <v>45890</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45890</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57099-2024</t>
        </is>
      </c>
      <c r="B76" s="1" t="n">
        <v>45629</v>
      </c>
      <c r="C76" s="1" t="n">
        <v>45890</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14963-2022</t>
        </is>
      </c>
      <c r="B77" s="1" t="n">
        <v>44657</v>
      </c>
      <c r="C77" s="1" t="n">
        <v>45890</v>
      </c>
      <c r="D77" t="inlineStr">
        <is>
          <t>VÄSTERBOTTENS LÄN</t>
        </is>
      </c>
      <c r="E77" t="inlineStr">
        <is>
          <t>VILHELMINA</t>
        </is>
      </c>
      <c r="G77" t="n">
        <v>11.5</v>
      </c>
      <c r="H77" t="n">
        <v>2</v>
      </c>
      <c r="I77" t="n">
        <v>0</v>
      </c>
      <c r="J77" t="n">
        <v>4</v>
      </c>
      <c r="K77" t="n">
        <v>2</v>
      </c>
      <c r="L77" t="n">
        <v>0</v>
      </c>
      <c r="M77" t="n">
        <v>0</v>
      </c>
      <c r="N77" t="n">
        <v>0</v>
      </c>
      <c r="O77" t="n">
        <v>6</v>
      </c>
      <c r="P77" t="n">
        <v>2</v>
      </c>
      <c r="Q77" t="n">
        <v>6</v>
      </c>
      <c r="R77" s="2" t="inlineStr">
        <is>
          <t>Ostticka
Ulltickeporing
Garnlav
Talltita
Tretåig hackspett
Ullticka</t>
        </is>
      </c>
      <c r="S77">
        <f>HYPERLINK("https://klasma.github.io/Logging_2462/artfynd/A 14963-2022 artfynd.xlsx", "A 14963-2022")</f>
        <v/>
      </c>
      <c r="T77">
        <f>HYPERLINK("https://klasma.github.io/Logging_2462/kartor/A 14963-2022 karta.png", "A 14963-2022")</f>
        <v/>
      </c>
      <c r="V77">
        <f>HYPERLINK("https://klasma.github.io/Logging_2462/klagomål/A 14963-2022 FSC-klagomål.docx", "A 14963-2022")</f>
        <v/>
      </c>
      <c r="W77">
        <f>HYPERLINK("https://klasma.github.io/Logging_2462/klagomålsmail/A 14963-2022 FSC-klagomål mail.docx", "A 14963-2022")</f>
        <v/>
      </c>
      <c r="X77">
        <f>HYPERLINK("https://klasma.github.io/Logging_2462/tillsyn/A 14963-2022 tillsynsbegäran.docx", "A 14963-2022")</f>
        <v/>
      </c>
      <c r="Y77">
        <f>HYPERLINK("https://klasma.github.io/Logging_2462/tillsynsmail/A 14963-2022 tillsynsbegäran mail.docx", "A 14963-2022")</f>
        <v/>
      </c>
      <c r="Z77">
        <f>HYPERLINK("https://klasma.github.io/Logging_2462/fåglar/A 14963-2022 prioriterade fågelarter.docx", "A 14963-2022")</f>
        <v/>
      </c>
    </row>
    <row r="78" ht="15" customHeight="1">
      <c r="A78" t="inlineStr">
        <is>
          <t>A 39678-2024</t>
        </is>
      </c>
      <c r="B78" s="1" t="n">
        <v>45552</v>
      </c>
      <c r="C78" s="1" t="n">
        <v>45890</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45890</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44874-2024</t>
        </is>
      </c>
      <c r="B80" s="1" t="n">
        <v>45575</v>
      </c>
      <c r="C80" s="1" t="n">
        <v>45890</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8562-2025</t>
        </is>
      </c>
      <c r="B81" s="1" t="n">
        <v>45709</v>
      </c>
      <c r="C81" s="1" t="n">
        <v>45890</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45890</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45890</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45890</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45890</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45890</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28867-2024</t>
        </is>
      </c>
      <c r="B87" s="1" t="n">
        <v>45478</v>
      </c>
      <c r="C87" s="1" t="n">
        <v>45890</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31198-2023</t>
        </is>
      </c>
      <c r="B88" s="1" t="n">
        <v>45113</v>
      </c>
      <c r="C88" s="1" t="n">
        <v>45890</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40736-2024</t>
        </is>
      </c>
      <c r="B89" s="1" t="n">
        <v>45558</v>
      </c>
      <c r="C89" s="1" t="n">
        <v>45890</v>
      </c>
      <c r="D89" t="inlineStr">
        <is>
          <t>VÄSTERBOTTENS LÄN</t>
        </is>
      </c>
      <c r="E89" t="inlineStr">
        <is>
          <t>VILHELMINA</t>
        </is>
      </c>
      <c r="F89" t="inlineStr">
        <is>
          <t>Allmännings- och besparingsskogar</t>
        </is>
      </c>
      <c r="G89" t="n">
        <v>284.2</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38124-2024</t>
        </is>
      </c>
      <c r="B90" s="1" t="n">
        <v>45545</v>
      </c>
      <c r="C90" s="1" t="n">
        <v>45890</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44382-2023</t>
        </is>
      </c>
      <c r="B91" s="1" t="n">
        <v>45188.94413194444</v>
      </c>
      <c r="C91" s="1" t="n">
        <v>45890</v>
      </c>
      <c r="D91" t="inlineStr">
        <is>
          <t>VÄSTERBOTTENS LÄN</t>
        </is>
      </c>
      <c r="E91" t="inlineStr">
        <is>
          <t>VILHELMINA</t>
        </is>
      </c>
      <c r="F91" t="inlineStr">
        <is>
          <t>SCA</t>
        </is>
      </c>
      <c r="G91" t="n">
        <v>2.8</v>
      </c>
      <c r="H91" t="n">
        <v>1</v>
      </c>
      <c r="I91" t="n">
        <v>1</v>
      </c>
      <c r="J91" t="n">
        <v>3</v>
      </c>
      <c r="K91" t="n">
        <v>0</v>
      </c>
      <c r="L91" t="n">
        <v>0</v>
      </c>
      <c r="M91" t="n">
        <v>0</v>
      </c>
      <c r="N91" t="n">
        <v>0</v>
      </c>
      <c r="O91" t="n">
        <v>3</v>
      </c>
      <c r="P91" t="n">
        <v>0</v>
      </c>
      <c r="Q91" t="n">
        <v>4</v>
      </c>
      <c r="R91" s="2" t="inlineStr">
        <is>
          <t>Garnlav
Lunglav
Talltita
Stuplav</t>
        </is>
      </c>
      <c r="S91">
        <f>HYPERLINK("https://klasma.github.io/Logging_2462/artfynd/A 44382-2023 artfynd.xlsx", "A 44382-2023")</f>
        <v/>
      </c>
      <c r="T91">
        <f>HYPERLINK("https://klasma.github.io/Logging_2462/kartor/A 44382-2023 karta.png", "A 44382-2023")</f>
        <v/>
      </c>
      <c r="V91">
        <f>HYPERLINK("https://klasma.github.io/Logging_2462/klagomål/A 44382-2023 FSC-klagomål.docx", "A 44382-2023")</f>
        <v/>
      </c>
      <c r="W91">
        <f>HYPERLINK("https://klasma.github.io/Logging_2462/klagomålsmail/A 44382-2023 FSC-klagomål mail.docx", "A 44382-2023")</f>
        <v/>
      </c>
      <c r="X91">
        <f>HYPERLINK("https://klasma.github.io/Logging_2462/tillsyn/A 44382-2023 tillsynsbegäran.docx", "A 44382-2023")</f>
        <v/>
      </c>
      <c r="Y91">
        <f>HYPERLINK("https://klasma.github.io/Logging_2462/tillsynsmail/A 44382-2023 tillsynsbegäran mail.docx", "A 44382-2023")</f>
        <v/>
      </c>
      <c r="Z91">
        <f>HYPERLINK("https://klasma.github.io/Logging_2462/fåglar/A 44382-2023 prioriterade fågelarter.docx", "A 44382-2023")</f>
        <v/>
      </c>
    </row>
    <row r="92" ht="15" customHeight="1">
      <c r="A92" t="inlineStr">
        <is>
          <t>A 13604-2022</t>
        </is>
      </c>
      <c r="B92" s="1" t="n">
        <v>44648</v>
      </c>
      <c r="C92" s="1" t="n">
        <v>45890</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45890</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45890</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54780-2024</t>
        </is>
      </c>
      <c r="B95" s="1" t="n">
        <v>45618</v>
      </c>
      <c r="C95" s="1" t="n">
        <v>45890</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1224-2025</t>
        </is>
      </c>
      <c r="B96" s="1" t="n">
        <v>45667</v>
      </c>
      <c r="C96" s="1" t="n">
        <v>45890</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9157-2023</t>
        </is>
      </c>
      <c r="B97" s="1" t="n">
        <v>44972</v>
      </c>
      <c r="C97" s="1" t="n">
        <v>45890</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38123-2024</t>
        </is>
      </c>
      <c r="B98" s="1" t="n">
        <v>45545</v>
      </c>
      <c r="C98" s="1" t="n">
        <v>45890</v>
      </c>
      <c r="D98" t="inlineStr">
        <is>
          <t>VÄSTERBOTTENS LÄN</t>
        </is>
      </c>
      <c r="E98" t="inlineStr">
        <is>
          <t>VILHELMINA</t>
        </is>
      </c>
      <c r="F98" t="inlineStr">
        <is>
          <t>SCA</t>
        </is>
      </c>
      <c r="G98" t="n">
        <v>4.8</v>
      </c>
      <c r="H98" t="n">
        <v>2</v>
      </c>
      <c r="I98" t="n">
        <v>0</v>
      </c>
      <c r="J98" t="n">
        <v>3</v>
      </c>
      <c r="K98" t="n">
        <v>0</v>
      </c>
      <c r="L98" t="n">
        <v>0</v>
      </c>
      <c r="M98" t="n">
        <v>0</v>
      </c>
      <c r="N98" t="n">
        <v>0</v>
      </c>
      <c r="O98" t="n">
        <v>3</v>
      </c>
      <c r="P98" t="n">
        <v>0</v>
      </c>
      <c r="Q98" t="n">
        <v>3</v>
      </c>
      <c r="R98" s="2" t="inlineStr">
        <is>
          <t>Garnlav
Spillkråka
Tretåig hackspett</t>
        </is>
      </c>
      <c r="S98">
        <f>HYPERLINK("https://klasma.github.io/Logging_2462/artfynd/A 38123-2024 artfynd.xlsx", "A 38123-2024")</f>
        <v/>
      </c>
      <c r="T98">
        <f>HYPERLINK("https://klasma.github.io/Logging_2462/kartor/A 38123-2024 karta.png", "A 38123-2024")</f>
        <v/>
      </c>
      <c r="V98">
        <f>HYPERLINK("https://klasma.github.io/Logging_2462/klagomål/A 38123-2024 FSC-klagomål.docx", "A 38123-2024")</f>
        <v/>
      </c>
      <c r="W98">
        <f>HYPERLINK("https://klasma.github.io/Logging_2462/klagomålsmail/A 38123-2024 FSC-klagomål mail.docx", "A 38123-2024")</f>
        <v/>
      </c>
      <c r="X98">
        <f>HYPERLINK("https://klasma.github.io/Logging_2462/tillsyn/A 38123-2024 tillsynsbegäran.docx", "A 38123-2024")</f>
        <v/>
      </c>
      <c r="Y98">
        <f>HYPERLINK("https://klasma.github.io/Logging_2462/tillsynsmail/A 38123-2024 tillsynsbegäran mail.docx", "A 38123-2024")</f>
        <v/>
      </c>
      <c r="Z98">
        <f>HYPERLINK("https://klasma.github.io/Logging_2462/fåglar/A 38123-2024 prioriterade fågelarter.docx", "A 38123-2024")</f>
        <v/>
      </c>
    </row>
    <row r="99" ht="15" customHeight="1">
      <c r="A99" t="inlineStr">
        <is>
          <t>A 32779-2025</t>
        </is>
      </c>
      <c r="B99" s="1" t="n">
        <v>45839.46946759259</v>
      </c>
      <c r="C99" s="1" t="n">
        <v>45890</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56618-2024</t>
        </is>
      </c>
      <c r="B100" s="1" t="n">
        <v>45625</v>
      </c>
      <c r="C100" s="1" t="n">
        <v>45890</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60737-2024</t>
        </is>
      </c>
      <c r="B101" s="1" t="n">
        <v>45644</v>
      </c>
      <c r="C101" s="1" t="n">
        <v>45890</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38534-2024</t>
        </is>
      </c>
      <c r="B102" s="1" t="n">
        <v>45546</v>
      </c>
      <c r="C102" s="1" t="n">
        <v>45890</v>
      </c>
      <c r="D102" t="inlineStr">
        <is>
          <t>VÄSTERBOTTENS LÄN</t>
        </is>
      </c>
      <c r="E102" t="inlineStr">
        <is>
          <t>VILHELMINA</t>
        </is>
      </c>
      <c r="G102" t="n">
        <v>10.5</v>
      </c>
      <c r="H102" t="n">
        <v>1</v>
      </c>
      <c r="I102" t="n">
        <v>1</v>
      </c>
      <c r="J102" t="n">
        <v>2</v>
      </c>
      <c r="K102" t="n">
        <v>0</v>
      </c>
      <c r="L102" t="n">
        <v>0</v>
      </c>
      <c r="M102" t="n">
        <v>0</v>
      </c>
      <c r="N102" t="n">
        <v>0</v>
      </c>
      <c r="O102" t="n">
        <v>2</v>
      </c>
      <c r="P102" t="n">
        <v>0</v>
      </c>
      <c r="Q102" t="n">
        <v>3</v>
      </c>
      <c r="R102" s="2" t="inlineStr">
        <is>
          <t>Tretåig hackspett
Ullticka
Trådticka</t>
        </is>
      </c>
      <c r="S102">
        <f>HYPERLINK("https://klasma.github.io/Logging_2462/artfynd/A 38534-2024 artfynd.xlsx", "A 38534-2024")</f>
        <v/>
      </c>
      <c r="T102">
        <f>HYPERLINK("https://klasma.github.io/Logging_2462/kartor/A 38534-2024 karta.png", "A 38534-2024")</f>
        <v/>
      </c>
      <c r="V102">
        <f>HYPERLINK("https://klasma.github.io/Logging_2462/klagomål/A 38534-2024 FSC-klagomål.docx", "A 38534-2024")</f>
        <v/>
      </c>
      <c r="W102">
        <f>HYPERLINK("https://klasma.github.io/Logging_2462/klagomålsmail/A 38534-2024 FSC-klagomål mail.docx", "A 38534-2024")</f>
        <v/>
      </c>
      <c r="X102">
        <f>HYPERLINK("https://klasma.github.io/Logging_2462/tillsyn/A 38534-2024 tillsynsbegäran.docx", "A 38534-2024")</f>
        <v/>
      </c>
      <c r="Y102">
        <f>HYPERLINK("https://klasma.github.io/Logging_2462/tillsynsmail/A 38534-2024 tillsynsbegäran mail.docx", "A 38534-2024")</f>
        <v/>
      </c>
      <c r="Z102">
        <f>HYPERLINK("https://klasma.github.io/Logging_2462/fåglar/A 38534-2024 prioriterade fågelarter.docx", "A 38534-2024")</f>
        <v/>
      </c>
    </row>
    <row r="103" ht="15" customHeight="1">
      <c r="A103" t="inlineStr">
        <is>
          <t>A 41646-2024</t>
        </is>
      </c>
      <c r="B103" s="1" t="n">
        <v>45560</v>
      </c>
      <c r="C103" s="1" t="n">
        <v>45890</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16463-2025</t>
        </is>
      </c>
      <c r="B104" s="1" t="n">
        <v>45751</v>
      </c>
      <c r="C104" s="1" t="n">
        <v>45890</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57861-2020</t>
        </is>
      </c>
      <c r="B105" s="1" t="n">
        <v>44141</v>
      </c>
      <c r="C105" s="1" t="n">
        <v>45890</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45890</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37513-2024</t>
        </is>
      </c>
      <c r="B107" s="1" t="n">
        <v>45541.38572916666</v>
      </c>
      <c r="C107" s="1" t="n">
        <v>45890</v>
      </c>
      <c r="D107" t="inlineStr">
        <is>
          <t>VÄSTERBOTTENS LÄN</t>
        </is>
      </c>
      <c r="E107" t="inlineStr">
        <is>
          <t>VILHELMINA</t>
        </is>
      </c>
      <c r="F107" t="inlineStr">
        <is>
          <t>SCA</t>
        </is>
      </c>
      <c r="G107" t="n">
        <v>3.4</v>
      </c>
      <c r="H107" t="n">
        <v>0</v>
      </c>
      <c r="I107" t="n">
        <v>0</v>
      </c>
      <c r="J107" t="n">
        <v>2</v>
      </c>
      <c r="K107" t="n">
        <v>0</v>
      </c>
      <c r="L107" t="n">
        <v>0</v>
      </c>
      <c r="M107" t="n">
        <v>0</v>
      </c>
      <c r="N107" t="n">
        <v>0</v>
      </c>
      <c r="O107" t="n">
        <v>2</v>
      </c>
      <c r="P107" t="n">
        <v>0</v>
      </c>
      <c r="Q107" t="n">
        <v>2</v>
      </c>
      <c r="R107" s="2" t="inlineStr">
        <is>
          <t>Rosenticka
Ullticka</t>
        </is>
      </c>
      <c r="S107">
        <f>HYPERLINK("https://klasma.github.io/Logging_2462/artfynd/A 37513-2024 artfynd.xlsx", "A 37513-2024")</f>
        <v/>
      </c>
      <c r="T107">
        <f>HYPERLINK("https://klasma.github.io/Logging_2462/kartor/A 37513-2024 karta.png", "A 37513-2024")</f>
        <v/>
      </c>
      <c r="V107">
        <f>HYPERLINK("https://klasma.github.io/Logging_2462/klagomål/A 37513-2024 FSC-klagomål.docx", "A 37513-2024")</f>
        <v/>
      </c>
      <c r="W107">
        <f>HYPERLINK("https://klasma.github.io/Logging_2462/klagomålsmail/A 37513-2024 FSC-klagomål mail.docx", "A 37513-2024")</f>
        <v/>
      </c>
      <c r="X107">
        <f>HYPERLINK("https://klasma.github.io/Logging_2462/tillsyn/A 37513-2024 tillsynsbegäran.docx", "A 37513-2024")</f>
        <v/>
      </c>
      <c r="Y107">
        <f>HYPERLINK("https://klasma.github.io/Logging_2462/tillsynsmail/A 37513-2024 tillsynsbegäran mail.docx", "A 37513-2024")</f>
        <v/>
      </c>
    </row>
    <row r="108" ht="15" customHeight="1">
      <c r="A108" t="inlineStr">
        <is>
          <t>A 60379-2024</t>
        </is>
      </c>
      <c r="B108" s="1" t="n">
        <v>45643</v>
      </c>
      <c r="C108" s="1" t="n">
        <v>45890</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54779-2024</t>
        </is>
      </c>
      <c r="B109" s="1" t="n">
        <v>45618</v>
      </c>
      <c r="C109" s="1" t="n">
        <v>45890</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20983-2025</t>
        </is>
      </c>
      <c r="B110" s="1" t="n">
        <v>45777.46910879629</v>
      </c>
      <c r="C110" s="1" t="n">
        <v>45890</v>
      </c>
      <c r="D110" t="inlineStr">
        <is>
          <t>VÄSTERBOTTENS LÄN</t>
        </is>
      </c>
      <c r="E110" t="inlineStr">
        <is>
          <t>VILHELMINA</t>
        </is>
      </c>
      <c r="F110" t="inlineStr">
        <is>
          <t>SCA</t>
        </is>
      </c>
      <c r="G110" t="n">
        <v>1.2</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20983-2025 artfynd.xlsx", "A 20983-2025")</f>
        <v/>
      </c>
      <c r="T110">
        <f>HYPERLINK("https://klasma.github.io/Logging_2462/kartor/A 20983-2025 karta.png", "A 20983-2025")</f>
        <v/>
      </c>
      <c r="V110">
        <f>HYPERLINK("https://klasma.github.io/Logging_2462/klagomål/A 20983-2025 FSC-klagomål.docx", "A 20983-2025")</f>
        <v/>
      </c>
      <c r="W110">
        <f>HYPERLINK("https://klasma.github.io/Logging_2462/klagomålsmail/A 20983-2025 FSC-klagomål mail.docx", "A 20983-2025")</f>
        <v/>
      </c>
      <c r="X110">
        <f>HYPERLINK("https://klasma.github.io/Logging_2462/tillsyn/A 20983-2025 tillsynsbegäran.docx", "A 20983-2025")</f>
        <v/>
      </c>
      <c r="Y110">
        <f>HYPERLINK("https://klasma.github.io/Logging_2462/tillsynsmail/A 20983-2025 tillsynsbegäran mail.docx", "A 20983-2025")</f>
        <v/>
      </c>
      <c r="Z110">
        <f>HYPERLINK("https://klasma.github.io/Logging_2462/fåglar/A 20983-2025 prioriterade fågelarter.docx", "A 20983-2025")</f>
        <v/>
      </c>
    </row>
    <row r="111" ht="15" customHeight="1">
      <c r="A111" t="inlineStr">
        <is>
          <t>A 37785-2021</t>
        </is>
      </c>
      <c r="B111" s="1" t="n">
        <v>44401</v>
      </c>
      <c r="C111" s="1" t="n">
        <v>45890</v>
      </c>
      <c r="D111" t="inlineStr">
        <is>
          <t>VÄSTERBOTTENS LÄN</t>
        </is>
      </c>
      <c r="E111" t="inlineStr">
        <is>
          <t>VILHELMINA</t>
        </is>
      </c>
      <c r="G111" t="n">
        <v>51.5</v>
      </c>
      <c r="H111" t="n">
        <v>1</v>
      </c>
      <c r="I111" t="n">
        <v>0</v>
      </c>
      <c r="J111" t="n">
        <v>1</v>
      </c>
      <c r="K111" t="n">
        <v>0</v>
      </c>
      <c r="L111" t="n">
        <v>0</v>
      </c>
      <c r="M111" t="n">
        <v>0</v>
      </c>
      <c r="N111" t="n">
        <v>0</v>
      </c>
      <c r="O111" t="n">
        <v>1</v>
      </c>
      <c r="P111" t="n">
        <v>0</v>
      </c>
      <c r="Q111" t="n">
        <v>2</v>
      </c>
      <c r="R111" s="2" t="inlineStr">
        <is>
          <t>Ullticka
Fläcknycklar</t>
        </is>
      </c>
      <c r="S111">
        <f>HYPERLINK("https://klasma.github.io/Logging_2462/artfynd/A 37785-2021 artfynd.xlsx", "A 37785-2021")</f>
        <v/>
      </c>
      <c r="T111">
        <f>HYPERLINK("https://klasma.github.io/Logging_2462/kartor/A 37785-2021 karta.png", "A 37785-2021")</f>
        <v/>
      </c>
      <c r="V111">
        <f>HYPERLINK("https://klasma.github.io/Logging_2462/klagomål/A 37785-2021 FSC-klagomål.docx", "A 37785-2021")</f>
        <v/>
      </c>
      <c r="W111">
        <f>HYPERLINK("https://klasma.github.io/Logging_2462/klagomålsmail/A 37785-2021 FSC-klagomål mail.docx", "A 37785-2021")</f>
        <v/>
      </c>
      <c r="X111">
        <f>HYPERLINK("https://klasma.github.io/Logging_2462/tillsyn/A 37785-2021 tillsynsbegäran.docx", "A 37785-2021")</f>
        <v/>
      </c>
      <c r="Y111">
        <f>HYPERLINK("https://klasma.github.io/Logging_2462/tillsynsmail/A 37785-2021 tillsynsbegäran mail.docx", "A 37785-2021")</f>
        <v/>
      </c>
    </row>
    <row r="112" ht="15" customHeight="1">
      <c r="A112" t="inlineStr">
        <is>
          <t>A 69023-2021</t>
        </is>
      </c>
      <c r="B112" s="1" t="n">
        <v>44529</v>
      </c>
      <c r="C112" s="1" t="n">
        <v>45890</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46391-2024</t>
        </is>
      </c>
      <c r="B113" s="1" t="n">
        <v>45582</v>
      </c>
      <c r="C113" s="1" t="n">
        <v>45890</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64030-2023</t>
        </is>
      </c>
      <c r="B114" s="1" t="n">
        <v>45278</v>
      </c>
      <c r="C114" s="1" t="n">
        <v>45890</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25037-2024</t>
        </is>
      </c>
      <c r="B115" s="1" t="n">
        <v>45461</v>
      </c>
      <c r="C115" s="1" t="n">
        <v>45890</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45890</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45890</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29140-2025</t>
        </is>
      </c>
      <c r="B118" s="1" t="n">
        <v>45821</v>
      </c>
      <c r="C118" s="1" t="n">
        <v>45890</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69626-2020</t>
        </is>
      </c>
      <c r="B119" s="1" t="n">
        <v>44195</v>
      </c>
      <c r="C119" s="1" t="n">
        <v>45890</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36998-2025</t>
        </is>
      </c>
      <c r="B120" s="1" t="n">
        <v>45874</v>
      </c>
      <c r="C120" s="1" t="n">
        <v>45890</v>
      </c>
      <c r="D120" t="inlineStr">
        <is>
          <t>VÄSTERBOTTENS LÄN</t>
        </is>
      </c>
      <c r="E120" t="inlineStr">
        <is>
          <t>VILHELMINA</t>
        </is>
      </c>
      <c r="F120" t="inlineStr">
        <is>
          <t>SCA</t>
        </is>
      </c>
      <c r="G120" t="n">
        <v>16.9</v>
      </c>
      <c r="H120" t="n">
        <v>1</v>
      </c>
      <c r="I120" t="n">
        <v>1</v>
      </c>
      <c r="J120" t="n">
        <v>1</v>
      </c>
      <c r="K120" t="n">
        <v>0</v>
      </c>
      <c r="L120" t="n">
        <v>0</v>
      </c>
      <c r="M120" t="n">
        <v>0</v>
      </c>
      <c r="N120" t="n">
        <v>0</v>
      </c>
      <c r="O120" t="n">
        <v>1</v>
      </c>
      <c r="P120" t="n">
        <v>0</v>
      </c>
      <c r="Q120" t="n">
        <v>2</v>
      </c>
      <c r="R120" s="2" t="inlineStr">
        <is>
          <t>Granticka
Lappranunkel</t>
        </is>
      </c>
      <c r="S120">
        <f>HYPERLINK("https://klasma.github.io/Logging_2462/artfynd/A 36998-2025 artfynd.xlsx", "A 36998-2025")</f>
        <v/>
      </c>
      <c r="T120">
        <f>HYPERLINK("https://klasma.github.io/Logging_2462/kartor/A 36998-2025 karta.png", "A 36998-2025")</f>
        <v/>
      </c>
      <c r="V120">
        <f>HYPERLINK("https://klasma.github.io/Logging_2462/klagomål/A 36998-2025 FSC-klagomål.docx", "A 36998-2025")</f>
        <v/>
      </c>
      <c r="W120">
        <f>HYPERLINK("https://klasma.github.io/Logging_2462/klagomålsmail/A 36998-2025 FSC-klagomål mail.docx", "A 36998-2025")</f>
        <v/>
      </c>
      <c r="X120">
        <f>HYPERLINK("https://klasma.github.io/Logging_2462/tillsyn/A 36998-2025 tillsynsbegäran.docx", "A 36998-2025")</f>
        <v/>
      </c>
      <c r="Y120">
        <f>HYPERLINK("https://klasma.github.io/Logging_2462/tillsynsmail/A 36998-2025 tillsynsbegäran mail.docx", "A 36998-2025")</f>
        <v/>
      </c>
    </row>
    <row r="121" ht="15" customHeight="1">
      <c r="A121" t="inlineStr">
        <is>
          <t>A 19234-2021</t>
        </is>
      </c>
      <c r="B121" s="1" t="n">
        <v>44309</v>
      </c>
      <c r="C121" s="1" t="n">
        <v>45890</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31735-2025</t>
        </is>
      </c>
      <c r="B122" s="1" t="n">
        <v>45834.47067129629</v>
      </c>
      <c r="C122" s="1" t="n">
        <v>45890</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45890</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6704-2021</t>
        </is>
      </c>
      <c r="B124" s="1" t="n">
        <v>44235</v>
      </c>
      <c r="C124" s="1" t="n">
        <v>45890</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45890</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69915-2021</t>
        </is>
      </c>
      <c r="B126" s="1" t="n">
        <v>44532</v>
      </c>
      <c r="C126" s="1" t="n">
        <v>45890</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32677-2021</t>
        </is>
      </c>
      <c r="B127" s="1" t="n">
        <v>44371</v>
      </c>
      <c r="C127" s="1" t="n">
        <v>45890</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38282-2024</t>
        </is>
      </c>
      <c r="B128" s="1" t="n">
        <v>45545</v>
      </c>
      <c r="C128" s="1" t="n">
        <v>45890</v>
      </c>
      <c r="D128" t="inlineStr">
        <is>
          <t>VÄSTERBOTTENS LÄN</t>
        </is>
      </c>
      <c r="E128" t="inlineStr">
        <is>
          <t>VILHELMINA</t>
        </is>
      </c>
      <c r="F128" t="inlineStr">
        <is>
          <t>SCA</t>
        </is>
      </c>
      <c r="G128" t="n">
        <v>3.4</v>
      </c>
      <c r="H128" t="n">
        <v>0</v>
      </c>
      <c r="I128" t="n">
        <v>0</v>
      </c>
      <c r="J128" t="n">
        <v>1</v>
      </c>
      <c r="K128" t="n">
        <v>0</v>
      </c>
      <c r="L128" t="n">
        <v>0</v>
      </c>
      <c r="M128" t="n">
        <v>0</v>
      </c>
      <c r="N128" t="n">
        <v>0</v>
      </c>
      <c r="O128" t="n">
        <v>1</v>
      </c>
      <c r="P128" t="n">
        <v>0</v>
      </c>
      <c r="Q128" t="n">
        <v>1</v>
      </c>
      <c r="R128" s="2" t="inlineStr">
        <is>
          <t>Gränsticka</t>
        </is>
      </c>
      <c r="S128">
        <f>HYPERLINK("https://klasma.github.io/Logging_2462/artfynd/A 38282-2024 artfynd.xlsx", "A 38282-2024")</f>
        <v/>
      </c>
      <c r="T128">
        <f>HYPERLINK("https://klasma.github.io/Logging_2462/kartor/A 38282-2024 karta.png", "A 38282-2024")</f>
        <v/>
      </c>
      <c r="V128">
        <f>HYPERLINK("https://klasma.github.io/Logging_2462/klagomål/A 38282-2024 FSC-klagomål.docx", "A 38282-2024")</f>
        <v/>
      </c>
      <c r="W128">
        <f>HYPERLINK("https://klasma.github.io/Logging_2462/klagomålsmail/A 38282-2024 FSC-klagomål mail.docx", "A 38282-2024")</f>
        <v/>
      </c>
      <c r="X128">
        <f>HYPERLINK("https://klasma.github.io/Logging_2462/tillsyn/A 38282-2024 tillsynsbegäran.docx", "A 38282-2024")</f>
        <v/>
      </c>
      <c r="Y128">
        <f>HYPERLINK("https://klasma.github.io/Logging_2462/tillsynsmail/A 38282-2024 tillsynsbegäran mail.docx", "A 38282-2024")</f>
        <v/>
      </c>
    </row>
    <row r="129" ht="15" customHeight="1">
      <c r="A129" t="inlineStr">
        <is>
          <t>A 29376-2021</t>
        </is>
      </c>
      <c r="B129" s="1" t="n">
        <v>44361</v>
      </c>
      <c r="C129" s="1" t="n">
        <v>45890</v>
      </c>
      <c r="D129" t="inlineStr">
        <is>
          <t>VÄSTERBOTTENS LÄN</t>
        </is>
      </c>
      <c r="E129" t="inlineStr">
        <is>
          <t>VILHELMINA</t>
        </is>
      </c>
      <c r="F129" t="inlineStr">
        <is>
          <t>Allmännings- och besparingsskogar</t>
        </is>
      </c>
      <c r="G129" t="n">
        <v>110.8</v>
      </c>
      <c r="H129" t="n">
        <v>1</v>
      </c>
      <c r="I129" t="n">
        <v>0</v>
      </c>
      <c r="J129" t="n">
        <v>0</v>
      </c>
      <c r="K129" t="n">
        <v>0</v>
      </c>
      <c r="L129" t="n">
        <v>0</v>
      </c>
      <c r="M129" t="n">
        <v>0</v>
      </c>
      <c r="N129" t="n">
        <v>0</v>
      </c>
      <c r="O129" t="n">
        <v>0</v>
      </c>
      <c r="P129" t="n">
        <v>0</v>
      </c>
      <c r="Q129" t="n">
        <v>1</v>
      </c>
      <c r="R129" s="2" t="inlineStr">
        <is>
          <t>Lavskrika</t>
        </is>
      </c>
      <c r="S129">
        <f>HYPERLINK("https://klasma.github.io/Logging_2462/artfynd/A 29376-2021 artfynd.xlsx", "A 29376-2021")</f>
        <v/>
      </c>
      <c r="T129">
        <f>HYPERLINK("https://klasma.github.io/Logging_2462/kartor/A 29376-2021 karta.png", "A 29376-2021")</f>
        <v/>
      </c>
      <c r="V129">
        <f>HYPERLINK("https://klasma.github.io/Logging_2462/klagomål/A 29376-2021 FSC-klagomål.docx", "A 29376-2021")</f>
        <v/>
      </c>
      <c r="W129">
        <f>HYPERLINK("https://klasma.github.io/Logging_2462/klagomålsmail/A 29376-2021 FSC-klagomål mail.docx", "A 29376-2021")</f>
        <v/>
      </c>
      <c r="X129">
        <f>HYPERLINK("https://klasma.github.io/Logging_2462/tillsyn/A 29376-2021 tillsynsbegäran.docx", "A 29376-2021")</f>
        <v/>
      </c>
      <c r="Y129">
        <f>HYPERLINK("https://klasma.github.io/Logging_2462/tillsynsmail/A 29376-2021 tillsynsbegäran mail.docx", "A 29376-2021")</f>
        <v/>
      </c>
      <c r="Z129">
        <f>HYPERLINK("https://klasma.github.io/Logging_2462/fåglar/A 29376-2021 prioriterade fågelarter.docx", "A 29376-2021")</f>
        <v/>
      </c>
    </row>
    <row r="130" ht="15" customHeight="1">
      <c r="A130" t="inlineStr">
        <is>
          <t>A 11832-2023</t>
        </is>
      </c>
      <c r="B130" s="1" t="n">
        <v>44994</v>
      </c>
      <c r="C130" s="1" t="n">
        <v>45890</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60369-2021</t>
        </is>
      </c>
      <c r="B131" s="1" t="n">
        <v>44494</v>
      </c>
      <c r="C131" s="1" t="n">
        <v>45890</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25374-2024</t>
        </is>
      </c>
      <c r="B132" s="1" t="n">
        <v>45462.96118055555</v>
      </c>
      <c r="C132" s="1" t="n">
        <v>45890</v>
      </c>
      <c r="D132" t="inlineStr">
        <is>
          <t>VÄSTERBOTTENS LÄN</t>
        </is>
      </c>
      <c r="E132" t="inlineStr">
        <is>
          <t>VILHELMINA</t>
        </is>
      </c>
      <c r="F132" t="inlineStr">
        <is>
          <t>SCA</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25374-2024 artfynd.xlsx", "A 25374-2024")</f>
        <v/>
      </c>
      <c r="T132">
        <f>HYPERLINK("https://klasma.github.io/Logging_2462/kartor/A 25374-2024 karta.png", "A 25374-2024")</f>
        <v/>
      </c>
      <c r="V132">
        <f>HYPERLINK("https://klasma.github.io/Logging_2462/klagomål/A 25374-2024 FSC-klagomål.docx", "A 25374-2024")</f>
        <v/>
      </c>
      <c r="W132">
        <f>HYPERLINK("https://klasma.github.io/Logging_2462/klagomålsmail/A 25374-2024 FSC-klagomål mail.docx", "A 25374-2024")</f>
        <v/>
      </c>
      <c r="X132">
        <f>HYPERLINK("https://klasma.github.io/Logging_2462/tillsyn/A 25374-2024 tillsynsbegäran.docx", "A 25374-2024")</f>
        <v/>
      </c>
      <c r="Y132">
        <f>HYPERLINK("https://klasma.github.io/Logging_2462/tillsynsmail/A 25374-2024 tillsynsbegäran mail.docx", "A 25374-2024")</f>
        <v/>
      </c>
      <c r="Z132">
        <f>HYPERLINK("https://klasma.github.io/Logging_2462/fåglar/A 25374-2024 prioriterade fågelarter.docx", "A 25374-2024")</f>
        <v/>
      </c>
    </row>
    <row r="133" ht="15" customHeight="1">
      <c r="A133" t="inlineStr">
        <is>
          <t>A 34769-2024</t>
        </is>
      </c>
      <c r="B133" s="1" t="n">
        <v>45526.62043981482</v>
      </c>
      <c r="C133" s="1" t="n">
        <v>45890</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33913-2024</t>
        </is>
      </c>
      <c r="B134" s="1" t="n">
        <v>45523.38783564815</v>
      </c>
      <c r="C134" s="1" t="n">
        <v>45890</v>
      </c>
      <c r="D134" t="inlineStr">
        <is>
          <t>VÄSTERBOTTENS LÄN</t>
        </is>
      </c>
      <c r="E134" t="inlineStr">
        <is>
          <t>VILHELMINA</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HYPERLINK("https://klasma.github.io/Logging_2462/artfynd/A 33913-2024 artfynd.xlsx", "A 33913-2024")</f>
        <v/>
      </c>
      <c r="T134">
        <f>HYPERLINK("https://klasma.github.io/Logging_2462/kartor/A 33913-2024 karta.png", "A 33913-2024")</f>
        <v/>
      </c>
      <c r="V134">
        <f>HYPERLINK("https://klasma.github.io/Logging_2462/klagomål/A 33913-2024 FSC-klagomål.docx", "A 33913-2024")</f>
        <v/>
      </c>
      <c r="W134">
        <f>HYPERLINK("https://klasma.github.io/Logging_2462/klagomålsmail/A 33913-2024 FSC-klagomål mail.docx", "A 33913-2024")</f>
        <v/>
      </c>
      <c r="X134">
        <f>HYPERLINK("https://klasma.github.io/Logging_2462/tillsyn/A 33913-2024 tillsynsbegäran.docx", "A 33913-2024")</f>
        <v/>
      </c>
      <c r="Y134">
        <f>HYPERLINK("https://klasma.github.io/Logging_2462/tillsynsmail/A 33913-2024 tillsynsbegäran mail.docx", "A 33913-2024")</f>
        <v/>
      </c>
    </row>
    <row r="135" ht="15" customHeight="1">
      <c r="A135" t="inlineStr">
        <is>
          <t>A 47248-2024</t>
        </is>
      </c>
      <c r="B135" s="1" t="n">
        <v>45586</v>
      </c>
      <c r="C135" s="1" t="n">
        <v>45890</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29317-2023</t>
        </is>
      </c>
      <c r="B136" s="1" t="n">
        <v>45105</v>
      </c>
      <c r="C136" s="1" t="n">
        <v>45890</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59664-2023</t>
        </is>
      </c>
      <c r="B137" s="1" t="n">
        <v>45254</v>
      </c>
      <c r="C137" s="1" t="n">
        <v>45890</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74395-2021</t>
        </is>
      </c>
      <c r="B138" s="1" t="n">
        <v>44560</v>
      </c>
      <c r="C138" s="1" t="n">
        <v>45890</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25977-2025</t>
        </is>
      </c>
      <c r="B139" s="1" t="n">
        <v>45804</v>
      </c>
      <c r="C139" s="1" t="n">
        <v>45890</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59001-2024</t>
        </is>
      </c>
      <c r="B140" s="1" t="n">
        <v>45636</v>
      </c>
      <c r="C140" s="1" t="n">
        <v>45890</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34730-2024</t>
        </is>
      </c>
      <c r="B141" s="1" t="n">
        <v>45526</v>
      </c>
      <c r="C141" s="1" t="n">
        <v>45890</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42489-2024</t>
        </is>
      </c>
      <c r="B142" s="1" t="n">
        <v>45565</v>
      </c>
      <c r="C142" s="1" t="n">
        <v>45890</v>
      </c>
      <c r="D142" t="inlineStr">
        <is>
          <t>VÄSTERBOTTENS LÄN</t>
        </is>
      </c>
      <c r="E142" t="inlineStr">
        <is>
          <t>VILHELMINA</t>
        </is>
      </c>
      <c r="F142" t="inlineStr">
        <is>
          <t>SCA</t>
        </is>
      </c>
      <c r="G142" t="n">
        <v>1.9</v>
      </c>
      <c r="H142" t="n">
        <v>0</v>
      </c>
      <c r="I142" t="n">
        <v>0</v>
      </c>
      <c r="J142" t="n">
        <v>1</v>
      </c>
      <c r="K142" t="n">
        <v>0</v>
      </c>
      <c r="L142" t="n">
        <v>0</v>
      </c>
      <c r="M142" t="n">
        <v>0</v>
      </c>
      <c r="N142" t="n">
        <v>0</v>
      </c>
      <c r="O142" t="n">
        <v>1</v>
      </c>
      <c r="P142" t="n">
        <v>0</v>
      </c>
      <c r="Q142" t="n">
        <v>1</v>
      </c>
      <c r="R142" s="2" t="inlineStr">
        <is>
          <t>Granticka</t>
        </is>
      </c>
      <c r="S142">
        <f>HYPERLINK("https://klasma.github.io/Logging_2462/artfynd/A 42489-2024 artfynd.xlsx", "A 42489-2024")</f>
        <v/>
      </c>
      <c r="T142">
        <f>HYPERLINK("https://klasma.github.io/Logging_2462/kartor/A 42489-2024 karta.png", "A 42489-2024")</f>
        <v/>
      </c>
      <c r="V142">
        <f>HYPERLINK("https://klasma.github.io/Logging_2462/klagomål/A 42489-2024 FSC-klagomål.docx", "A 42489-2024")</f>
        <v/>
      </c>
      <c r="W142">
        <f>HYPERLINK("https://klasma.github.io/Logging_2462/klagomålsmail/A 42489-2024 FSC-klagomål mail.docx", "A 42489-2024")</f>
        <v/>
      </c>
      <c r="X142">
        <f>HYPERLINK("https://klasma.github.io/Logging_2462/tillsyn/A 42489-2024 tillsynsbegäran.docx", "A 42489-2024")</f>
        <v/>
      </c>
      <c r="Y142">
        <f>HYPERLINK("https://klasma.github.io/Logging_2462/tillsynsmail/A 42489-2024 tillsynsbegäran mail.docx", "A 42489-2024")</f>
        <v/>
      </c>
    </row>
    <row r="143" ht="15" customHeight="1">
      <c r="A143" t="inlineStr">
        <is>
          <t>A 66924-2021</t>
        </is>
      </c>
      <c r="B143" s="1" t="n">
        <v>44522</v>
      </c>
      <c r="C143" s="1" t="n">
        <v>45890</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45890</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29121-2025</t>
        </is>
      </c>
      <c r="B145" s="1" t="n">
        <v>45821</v>
      </c>
      <c r="C145" s="1" t="n">
        <v>45890</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38131-2024</t>
        </is>
      </c>
      <c r="B146" s="1" t="n">
        <v>45545</v>
      </c>
      <c r="C146" s="1" t="n">
        <v>45890</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25368-2024</t>
        </is>
      </c>
      <c r="B147" s="1" t="n">
        <v>45462</v>
      </c>
      <c r="C147" s="1" t="n">
        <v>45890</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17253-2025</t>
        </is>
      </c>
      <c r="B148" s="1" t="n">
        <v>45756</v>
      </c>
      <c r="C148" s="1" t="n">
        <v>45890</v>
      </c>
      <c r="D148" t="inlineStr">
        <is>
          <t>VÄSTERBOTTENS LÄN</t>
        </is>
      </c>
      <c r="E148" t="inlineStr">
        <is>
          <t>VILHELMINA</t>
        </is>
      </c>
      <c r="F148" t="inlineStr">
        <is>
          <t>SCA</t>
        </is>
      </c>
      <c r="G148" t="n">
        <v>6.5</v>
      </c>
      <c r="H148" t="n">
        <v>0</v>
      </c>
      <c r="I148" t="n">
        <v>0</v>
      </c>
      <c r="J148" t="n">
        <v>1</v>
      </c>
      <c r="K148" t="n">
        <v>0</v>
      </c>
      <c r="L148" t="n">
        <v>0</v>
      </c>
      <c r="M148" t="n">
        <v>0</v>
      </c>
      <c r="N148" t="n">
        <v>0</v>
      </c>
      <c r="O148" t="n">
        <v>1</v>
      </c>
      <c r="P148" t="n">
        <v>0</v>
      </c>
      <c r="Q148" t="n">
        <v>1</v>
      </c>
      <c r="R148" s="2" t="inlineStr">
        <is>
          <t>Granticka</t>
        </is>
      </c>
      <c r="S148">
        <f>HYPERLINK("https://klasma.github.io/Logging_2462/artfynd/A 17253-2025 artfynd.xlsx", "A 17253-2025")</f>
        <v/>
      </c>
      <c r="T148">
        <f>HYPERLINK("https://klasma.github.io/Logging_2462/kartor/A 17253-2025 karta.png", "A 17253-2025")</f>
        <v/>
      </c>
      <c r="V148">
        <f>HYPERLINK("https://klasma.github.io/Logging_2462/klagomål/A 17253-2025 FSC-klagomål.docx", "A 17253-2025")</f>
        <v/>
      </c>
      <c r="W148">
        <f>HYPERLINK("https://klasma.github.io/Logging_2462/klagomålsmail/A 17253-2025 FSC-klagomål mail.docx", "A 17253-2025")</f>
        <v/>
      </c>
      <c r="X148">
        <f>HYPERLINK("https://klasma.github.io/Logging_2462/tillsyn/A 17253-2025 tillsynsbegäran.docx", "A 17253-2025")</f>
        <v/>
      </c>
      <c r="Y148">
        <f>HYPERLINK("https://klasma.github.io/Logging_2462/tillsynsmail/A 17253-2025 tillsynsbegäran mail.docx", "A 17253-2025")</f>
        <v/>
      </c>
    </row>
    <row r="149" ht="15" customHeight="1">
      <c r="A149" t="inlineStr">
        <is>
          <t>A 13523-2025</t>
        </is>
      </c>
      <c r="B149" s="1" t="n">
        <v>45736</v>
      </c>
      <c r="C149" s="1" t="n">
        <v>45890</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44286-2024</t>
        </is>
      </c>
      <c r="B150" s="1" t="n">
        <v>45573</v>
      </c>
      <c r="C150" s="1" t="n">
        <v>45890</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29434-2025</t>
        </is>
      </c>
      <c r="B151" s="1" t="n">
        <v>45824</v>
      </c>
      <c r="C151" s="1" t="n">
        <v>45890</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38929-2025</t>
        </is>
      </c>
      <c r="B152" s="1" t="n">
        <v>45887</v>
      </c>
      <c r="C152" s="1" t="n">
        <v>45890</v>
      </c>
      <c r="D152" t="inlineStr">
        <is>
          <t>VÄSTERBOTTENS LÄN</t>
        </is>
      </c>
      <c r="E152" t="inlineStr">
        <is>
          <t>VILHELMINA</t>
        </is>
      </c>
      <c r="F152" t="inlineStr">
        <is>
          <t>SCA</t>
        </is>
      </c>
      <c r="G152" t="n">
        <v>3.5</v>
      </c>
      <c r="H152" t="n">
        <v>0</v>
      </c>
      <c r="I152" t="n">
        <v>1</v>
      </c>
      <c r="J152" t="n">
        <v>0</v>
      </c>
      <c r="K152" t="n">
        <v>0</v>
      </c>
      <c r="L152" t="n">
        <v>0</v>
      </c>
      <c r="M152" t="n">
        <v>0</v>
      </c>
      <c r="N152" t="n">
        <v>0</v>
      </c>
      <c r="O152" t="n">
        <v>0</v>
      </c>
      <c r="P152" t="n">
        <v>0</v>
      </c>
      <c r="Q152" t="n">
        <v>1</v>
      </c>
      <c r="R152" s="2" t="inlineStr">
        <is>
          <t>Blodticka</t>
        </is>
      </c>
      <c r="S152">
        <f>HYPERLINK("https://klasma.github.io/Logging_2462/artfynd/A 38929-2025 artfynd.xlsx", "A 38929-2025")</f>
        <v/>
      </c>
      <c r="T152">
        <f>HYPERLINK("https://klasma.github.io/Logging_2462/kartor/A 38929-2025 karta.png", "A 38929-2025")</f>
        <v/>
      </c>
      <c r="V152">
        <f>HYPERLINK("https://klasma.github.io/Logging_2462/klagomål/A 38929-2025 FSC-klagomål.docx", "A 38929-2025")</f>
        <v/>
      </c>
      <c r="W152">
        <f>HYPERLINK("https://klasma.github.io/Logging_2462/klagomålsmail/A 38929-2025 FSC-klagomål mail.docx", "A 38929-2025")</f>
        <v/>
      </c>
      <c r="X152">
        <f>HYPERLINK("https://klasma.github.io/Logging_2462/tillsyn/A 38929-2025 tillsynsbegäran.docx", "A 38929-2025")</f>
        <v/>
      </c>
      <c r="Y152">
        <f>HYPERLINK("https://klasma.github.io/Logging_2462/tillsynsmail/A 38929-2025 tillsynsbegäran mail.docx", "A 38929-2025")</f>
        <v/>
      </c>
    </row>
    <row r="153" ht="15" customHeight="1">
      <c r="A153" t="inlineStr">
        <is>
          <t>A 38416-2022</t>
        </is>
      </c>
      <c r="B153" s="1" t="n">
        <v>44812</v>
      </c>
      <c r="C153" s="1" t="n">
        <v>45890</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45890</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45890</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45890</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45890</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45890</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45890</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45890</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45890</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45890</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45890</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45890</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45890</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45890</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40100-2020</t>
        </is>
      </c>
      <c r="B167" s="1" t="n">
        <v>44064</v>
      </c>
      <c r="C167" s="1" t="n">
        <v>45890</v>
      </c>
      <c r="D167" t="inlineStr">
        <is>
          <t>VÄSTERBOTTENS LÄN</t>
        </is>
      </c>
      <c r="E167" t="inlineStr">
        <is>
          <t>VILHELMINA</t>
        </is>
      </c>
      <c r="G167" t="n">
        <v>22.5</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45890</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45890</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45890</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45890</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45890</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45890</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45890</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45890</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45890</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45890</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45890</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45890</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45890</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45890</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45890</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45890</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45890</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43714-2022</t>
        </is>
      </c>
      <c r="B185" s="1" t="n">
        <v>44837.66417824074</v>
      </c>
      <c r="C185" s="1" t="n">
        <v>45890</v>
      </c>
      <c r="D185" t="inlineStr">
        <is>
          <t>VÄSTERBOTTENS LÄN</t>
        </is>
      </c>
      <c r="E185" t="inlineStr">
        <is>
          <t>VILHELMINA</t>
        </is>
      </c>
      <c r="G185" t="n">
        <v>8.9</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45890</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45890</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45890</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45890</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45890</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45890</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45890</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45890</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45890</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40116-2020</t>
        </is>
      </c>
      <c r="B195" s="1" t="n">
        <v>44064</v>
      </c>
      <c r="C195" s="1" t="n">
        <v>45890</v>
      </c>
      <c r="D195" t="inlineStr">
        <is>
          <t>VÄSTERBOTTENS LÄN</t>
        </is>
      </c>
      <c r="E195" t="inlineStr">
        <is>
          <t>VILHELMINA</t>
        </is>
      </c>
      <c r="G195" t="n">
        <v>19.8</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45890</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45890</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45890</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45890</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45890</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2193-2021</t>
        </is>
      </c>
      <c r="B201" s="1" t="n">
        <v>44211</v>
      </c>
      <c r="C201" s="1" t="n">
        <v>45890</v>
      </c>
      <c r="D201" t="inlineStr">
        <is>
          <t>VÄSTERBOTTENS LÄN</t>
        </is>
      </c>
      <c r="E201" t="inlineStr">
        <is>
          <t>VILHELMINA</t>
        </is>
      </c>
      <c r="F201" t="inlineStr">
        <is>
          <t>Allmännings- och besparingsskogar</t>
        </is>
      </c>
      <c r="G201" t="n">
        <v>157.8</v>
      </c>
      <c r="H201" t="n">
        <v>0</v>
      </c>
      <c r="I201" t="n">
        <v>0</v>
      </c>
      <c r="J201" t="n">
        <v>0</v>
      </c>
      <c r="K201" t="n">
        <v>0</v>
      </c>
      <c r="L201" t="n">
        <v>0</v>
      </c>
      <c r="M201" t="n">
        <v>0</v>
      </c>
      <c r="N201" t="n">
        <v>0</v>
      </c>
      <c r="O201" t="n">
        <v>0</v>
      </c>
      <c r="P201" t="n">
        <v>0</v>
      </c>
      <c r="Q201" t="n">
        <v>0</v>
      </c>
      <c r="R201" s="2" t="inlineStr"/>
    </row>
    <row r="202" ht="15" customHeight="1">
      <c r="A202" t="inlineStr">
        <is>
          <t>A 56179-2022</t>
        </is>
      </c>
      <c r="B202" s="1" t="n">
        <v>44889.94913194444</v>
      </c>
      <c r="C202" s="1" t="n">
        <v>45890</v>
      </c>
      <c r="D202" t="inlineStr">
        <is>
          <t>VÄSTERBOTTENS LÄN</t>
        </is>
      </c>
      <c r="E202" t="inlineStr">
        <is>
          <t>VILHELMINA</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27844-2022</t>
        </is>
      </c>
      <c r="B203" s="1" t="n">
        <v>44743.620625</v>
      </c>
      <c r="C203" s="1" t="n">
        <v>45890</v>
      </c>
      <c r="D203" t="inlineStr">
        <is>
          <t>VÄSTERBOTTENS LÄN</t>
        </is>
      </c>
      <c r="E203" t="inlineStr">
        <is>
          <t>VILHELMINA</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51935-2021</t>
        </is>
      </c>
      <c r="B204" s="1" t="n">
        <v>44462</v>
      </c>
      <c r="C204" s="1" t="n">
        <v>45890</v>
      </c>
      <c r="D204" t="inlineStr">
        <is>
          <t>VÄSTERBOTTENS LÄN</t>
        </is>
      </c>
      <c r="E204" t="inlineStr">
        <is>
          <t>VILHELMINA</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45890</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39186-2021</t>
        </is>
      </c>
      <c r="B206" s="1" t="n">
        <v>44412</v>
      </c>
      <c r="C206" s="1" t="n">
        <v>45890</v>
      </c>
      <c r="D206" t="inlineStr">
        <is>
          <t>VÄSTERBOTTENS LÄN</t>
        </is>
      </c>
      <c r="E206" t="inlineStr">
        <is>
          <t>VILHELMINA</t>
        </is>
      </c>
      <c r="G206" t="n">
        <v>0.3</v>
      </c>
      <c r="H206" t="n">
        <v>0</v>
      </c>
      <c r="I206" t="n">
        <v>0</v>
      </c>
      <c r="J206" t="n">
        <v>0</v>
      </c>
      <c r="K206" t="n">
        <v>0</v>
      </c>
      <c r="L206" t="n">
        <v>0</v>
      </c>
      <c r="M206" t="n">
        <v>0</v>
      </c>
      <c r="N206" t="n">
        <v>0</v>
      </c>
      <c r="O206" t="n">
        <v>0</v>
      </c>
      <c r="P206" t="n">
        <v>0</v>
      </c>
      <c r="Q206" t="n">
        <v>0</v>
      </c>
      <c r="R206" s="2" t="inlineStr"/>
    </row>
    <row r="207" ht="15" customHeight="1">
      <c r="A207" t="inlineStr">
        <is>
          <t>A 21814-2022</t>
        </is>
      </c>
      <c r="B207" s="1" t="n">
        <v>44708</v>
      </c>
      <c r="C207" s="1" t="n">
        <v>45890</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31722-2021</t>
        </is>
      </c>
      <c r="B208" s="1" t="n">
        <v>44369.91984953704</v>
      </c>
      <c r="C208" s="1" t="n">
        <v>45890</v>
      </c>
      <c r="D208" t="inlineStr">
        <is>
          <t>VÄSTERBOTTENS LÄN</t>
        </is>
      </c>
      <c r="E208" t="inlineStr">
        <is>
          <t>VILHELMINA</t>
        </is>
      </c>
      <c r="G208" t="n">
        <v>2.8</v>
      </c>
      <c r="H208" t="n">
        <v>0</v>
      </c>
      <c r="I208" t="n">
        <v>0</v>
      </c>
      <c r="J208" t="n">
        <v>0</v>
      </c>
      <c r="K208" t="n">
        <v>0</v>
      </c>
      <c r="L208" t="n">
        <v>0</v>
      </c>
      <c r="M208" t="n">
        <v>0</v>
      </c>
      <c r="N208" t="n">
        <v>0</v>
      </c>
      <c r="O208" t="n">
        <v>0</v>
      </c>
      <c r="P208" t="n">
        <v>0</v>
      </c>
      <c r="Q208" t="n">
        <v>0</v>
      </c>
      <c r="R208" s="2" t="inlineStr"/>
    </row>
    <row r="209" ht="15" customHeight="1">
      <c r="A209" t="inlineStr">
        <is>
          <t>A 31656-2021</t>
        </is>
      </c>
      <c r="B209" s="1" t="n">
        <v>44377</v>
      </c>
      <c r="C209" s="1" t="n">
        <v>45890</v>
      </c>
      <c r="D209" t="inlineStr">
        <is>
          <t>VÄSTERBOTTENS LÄN</t>
        </is>
      </c>
      <c r="E209" t="inlineStr">
        <is>
          <t>VILHELMINA</t>
        </is>
      </c>
      <c r="G209" t="n">
        <v>0.9</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45890</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45890</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45890</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45890</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45890</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48600-2021</t>
        </is>
      </c>
      <c r="B215" s="1" t="n">
        <v>44452</v>
      </c>
      <c r="C215" s="1" t="n">
        <v>45890</v>
      </c>
      <c r="D215" t="inlineStr">
        <is>
          <t>VÄSTERBOTTENS LÄN</t>
        </is>
      </c>
      <c r="E215" t="inlineStr">
        <is>
          <t>VILHELMINA</t>
        </is>
      </c>
      <c r="F215" t="inlineStr">
        <is>
          <t>Allmännings- och besparingsskogar</t>
        </is>
      </c>
      <c r="G215" t="n">
        <v>48.6</v>
      </c>
      <c r="H215" t="n">
        <v>0</v>
      </c>
      <c r="I215" t="n">
        <v>0</v>
      </c>
      <c r="J215" t="n">
        <v>0</v>
      </c>
      <c r="K215" t="n">
        <v>0</v>
      </c>
      <c r="L215" t="n">
        <v>0</v>
      </c>
      <c r="M215" t="n">
        <v>0</v>
      </c>
      <c r="N215" t="n">
        <v>0</v>
      </c>
      <c r="O215" t="n">
        <v>0</v>
      </c>
      <c r="P215" t="n">
        <v>0</v>
      </c>
      <c r="Q215" t="n">
        <v>0</v>
      </c>
      <c r="R215" s="2" t="inlineStr"/>
    </row>
    <row r="216" ht="15" customHeight="1">
      <c r="A216" t="inlineStr">
        <is>
          <t>A 43755-2021</t>
        </is>
      </c>
      <c r="B216" s="1" t="n">
        <v>44433</v>
      </c>
      <c r="C216" s="1" t="n">
        <v>45890</v>
      </c>
      <c r="D216" t="inlineStr">
        <is>
          <t>VÄSTERBOTTENS LÄN</t>
        </is>
      </c>
      <c r="E216" t="inlineStr">
        <is>
          <t>VILHELMINA</t>
        </is>
      </c>
      <c r="F216" t="inlineStr">
        <is>
          <t>Sveaskog</t>
        </is>
      </c>
      <c r="G216" t="n">
        <v>10.4</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45890</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29555-2022</t>
        </is>
      </c>
      <c r="B218" s="1" t="n">
        <v>44754</v>
      </c>
      <c r="C218" s="1" t="n">
        <v>45890</v>
      </c>
      <c r="D218" t="inlineStr">
        <is>
          <t>VÄSTERBOTTENS LÄN</t>
        </is>
      </c>
      <c r="E218" t="inlineStr">
        <is>
          <t>VILHELMINA</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46375-2021</t>
        </is>
      </c>
      <c r="B219" s="1" t="n">
        <v>44442</v>
      </c>
      <c r="C219" s="1" t="n">
        <v>45890</v>
      </c>
      <c r="D219" t="inlineStr">
        <is>
          <t>VÄSTERBOTTENS LÄN</t>
        </is>
      </c>
      <c r="E219" t="inlineStr">
        <is>
          <t>VILHELMINA</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24599-2021</t>
        </is>
      </c>
      <c r="B220" s="1" t="n">
        <v>44341</v>
      </c>
      <c r="C220" s="1" t="n">
        <v>45890</v>
      </c>
      <c r="D220" t="inlineStr">
        <is>
          <t>VÄSTERBOTTENS LÄN</t>
        </is>
      </c>
      <c r="E220" t="inlineStr">
        <is>
          <t>VILHELMINA</t>
        </is>
      </c>
      <c r="G220" t="n">
        <v>14.5</v>
      </c>
      <c r="H220" t="n">
        <v>0</v>
      </c>
      <c r="I220" t="n">
        <v>0</v>
      </c>
      <c r="J220" t="n">
        <v>0</v>
      </c>
      <c r="K220" t="n">
        <v>0</v>
      </c>
      <c r="L220" t="n">
        <v>0</v>
      </c>
      <c r="M220" t="n">
        <v>0</v>
      </c>
      <c r="N220" t="n">
        <v>0</v>
      </c>
      <c r="O220" t="n">
        <v>0</v>
      </c>
      <c r="P220" t="n">
        <v>0</v>
      </c>
      <c r="Q220" t="n">
        <v>0</v>
      </c>
      <c r="R220" s="2" t="inlineStr"/>
    </row>
    <row r="221" ht="15" customHeight="1">
      <c r="A221" t="inlineStr">
        <is>
          <t>A 36931-2022</t>
        </is>
      </c>
      <c r="B221" s="1" t="n">
        <v>44805</v>
      </c>
      <c r="C221" s="1" t="n">
        <v>45890</v>
      </c>
      <c r="D221" t="inlineStr">
        <is>
          <t>VÄSTERBOTTENS LÄN</t>
        </is>
      </c>
      <c r="E221" t="inlineStr">
        <is>
          <t>VILHELMINA</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53658-2022</t>
        </is>
      </c>
      <c r="B222" s="1" t="n">
        <v>44879</v>
      </c>
      <c r="C222" s="1" t="n">
        <v>45890</v>
      </c>
      <c r="D222" t="inlineStr">
        <is>
          <t>VÄSTERBOTTENS LÄN</t>
        </is>
      </c>
      <c r="E222" t="inlineStr">
        <is>
          <t>VILHELMINA</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24983-2021</t>
        </is>
      </c>
      <c r="B223" s="1" t="n">
        <v>44341</v>
      </c>
      <c r="C223" s="1" t="n">
        <v>45890</v>
      </c>
      <c r="D223" t="inlineStr">
        <is>
          <t>VÄSTERBOTTENS LÄN</t>
        </is>
      </c>
      <c r="E223" t="inlineStr">
        <is>
          <t>VILHELMINA</t>
        </is>
      </c>
      <c r="G223" t="n">
        <v>12.9</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45890</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64759-2020</t>
        </is>
      </c>
      <c r="B225" s="1" t="n">
        <v>44169</v>
      </c>
      <c r="C225" s="1" t="n">
        <v>45890</v>
      </c>
      <c r="D225" t="inlineStr">
        <is>
          <t>VÄSTERBOTTENS LÄN</t>
        </is>
      </c>
      <c r="E225" t="inlineStr">
        <is>
          <t>VILHELMINA</t>
        </is>
      </c>
      <c r="G225" t="n">
        <v>24.6</v>
      </c>
      <c r="H225" t="n">
        <v>0</v>
      </c>
      <c r="I225" t="n">
        <v>0</v>
      </c>
      <c r="J225" t="n">
        <v>0</v>
      </c>
      <c r="K225" t="n">
        <v>0</v>
      </c>
      <c r="L225" t="n">
        <v>0</v>
      </c>
      <c r="M225" t="n">
        <v>0</v>
      </c>
      <c r="N225" t="n">
        <v>0</v>
      </c>
      <c r="O225" t="n">
        <v>0</v>
      </c>
      <c r="P225" t="n">
        <v>0</v>
      </c>
      <c r="Q225" t="n">
        <v>0</v>
      </c>
      <c r="R225" s="2" t="inlineStr"/>
    </row>
    <row r="226" ht="15" customHeight="1">
      <c r="A226" t="inlineStr">
        <is>
          <t>A 40842-2020</t>
        </is>
      </c>
      <c r="B226" s="1" t="n">
        <v>44069</v>
      </c>
      <c r="C226" s="1" t="n">
        <v>45890</v>
      </c>
      <c r="D226" t="inlineStr">
        <is>
          <t>VÄSTERBOTTENS LÄN</t>
        </is>
      </c>
      <c r="E226" t="inlineStr">
        <is>
          <t>VILHELMINA</t>
        </is>
      </c>
      <c r="G226" t="n">
        <v>20.4</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45890</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9501-2022</t>
        </is>
      </c>
      <c r="B228" s="1" t="n">
        <v>44616.93883101852</v>
      </c>
      <c r="C228" s="1" t="n">
        <v>45890</v>
      </c>
      <c r="D228" t="inlineStr">
        <is>
          <t>VÄSTERBOTTENS LÄN</t>
        </is>
      </c>
      <c r="E228" t="inlineStr">
        <is>
          <t>VILHELMINA</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9780-2022</t>
        </is>
      </c>
      <c r="B229" s="1" t="n">
        <v>44619.88071759259</v>
      </c>
      <c r="C229" s="1" t="n">
        <v>45890</v>
      </c>
      <c r="D229" t="inlineStr">
        <is>
          <t>VÄSTERBOTTENS LÄN</t>
        </is>
      </c>
      <c r="E229" t="inlineStr">
        <is>
          <t>VILHELMINA</t>
        </is>
      </c>
      <c r="G229" t="n">
        <v>1.9</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45890</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57086-2021</t>
        </is>
      </c>
      <c r="B231" s="1" t="n">
        <v>44482</v>
      </c>
      <c r="C231" s="1" t="n">
        <v>45890</v>
      </c>
      <c r="D231" t="inlineStr">
        <is>
          <t>VÄSTERBOTTENS LÄN</t>
        </is>
      </c>
      <c r="E231" t="inlineStr">
        <is>
          <t>VILHELMINA</t>
        </is>
      </c>
      <c r="G231" t="n">
        <v>1.5</v>
      </c>
      <c r="H231" t="n">
        <v>0</v>
      </c>
      <c r="I231" t="n">
        <v>0</v>
      </c>
      <c r="J231" t="n">
        <v>0</v>
      </c>
      <c r="K231" t="n">
        <v>0</v>
      </c>
      <c r="L231" t="n">
        <v>0</v>
      </c>
      <c r="M231" t="n">
        <v>0</v>
      </c>
      <c r="N231" t="n">
        <v>0</v>
      </c>
      <c r="O231" t="n">
        <v>0</v>
      </c>
      <c r="P231" t="n">
        <v>0</v>
      </c>
      <c r="Q231" t="n">
        <v>0</v>
      </c>
      <c r="R231" s="2" t="inlineStr"/>
    </row>
    <row r="232" ht="15" customHeight="1">
      <c r="A232" t="inlineStr">
        <is>
          <t>A 29773-2022</t>
        </is>
      </c>
      <c r="B232" s="1" t="n">
        <v>44755.62866898148</v>
      </c>
      <c r="C232" s="1" t="n">
        <v>45890</v>
      </c>
      <c r="D232" t="inlineStr">
        <is>
          <t>VÄSTERBOTTENS LÄN</t>
        </is>
      </c>
      <c r="E232" t="inlineStr">
        <is>
          <t>VILHELMINA</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46372-2021</t>
        </is>
      </c>
      <c r="B233" s="1" t="n">
        <v>44442.94226851852</v>
      </c>
      <c r="C233" s="1" t="n">
        <v>45890</v>
      </c>
      <c r="D233" t="inlineStr">
        <is>
          <t>VÄSTERBOTTENS LÄN</t>
        </is>
      </c>
      <c r="E233" t="inlineStr">
        <is>
          <t>VILHELMINA</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72488-2021</t>
        </is>
      </c>
      <c r="B234" s="1" t="n">
        <v>44545.9203587963</v>
      </c>
      <c r="C234" s="1" t="n">
        <v>45890</v>
      </c>
      <c r="D234" t="inlineStr">
        <is>
          <t>VÄSTERBOTTENS LÄN</t>
        </is>
      </c>
      <c r="E234" t="inlineStr">
        <is>
          <t>VILHELMINA</t>
        </is>
      </c>
      <c r="G234" t="n">
        <v>2</v>
      </c>
      <c r="H234" t="n">
        <v>0</v>
      </c>
      <c r="I234" t="n">
        <v>0</v>
      </c>
      <c r="J234" t="n">
        <v>0</v>
      </c>
      <c r="K234" t="n">
        <v>0</v>
      </c>
      <c r="L234" t="n">
        <v>0</v>
      </c>
      <c r="M234" t="n">
        <v>0</v>
      </c>
      <c r="N234" t="n">
        <v>0</v>
      </c>
      <c r="O234" t="n">
        <v>0</v>
      </c>
      <c r="P234" t="n">
        <v>0</v>
      </c>
      <c r="Q234" t="n">
        <v>0</v>
      </c>
      <c r="R234" s="2" t="inlineStr"/>
    </row>
    <row r="235" ht="15" customHeight="1">
      <c r="A235" t="inlineStr">
        <is>
          <t>A 72493-2021</t>
        </is>
      </c>
      <c r="B235" s="1" t="n">
        <v>44545</v>
      </c>
      <c r="C235" s="1" t="n">
        <v>45890</v>
      </c>
      <c r="D235" t="inlineStr">
        <is>
          <t>VÄSTERBOTTENS LÄN</t>
        </is>
      </c>
      <c r="E235" t="inlineStr">
        <is>
          <t>VILHELMINA</t>
        </is>
      </c>
      <c r="G235" t="n">
        <v>4.2</v>
      </c>
      <c r="H235" t="n">
        <v>0</v>
      </c>
      <c r="I235" t="n">
        <v>0</v>
      </c>
      <c r="J235" t="n">
        <v>0</v>
      </c>
      <c r="K235" t="n">
        <v>0</v>
      </c>
      <c r="L235" t="n">
        <v>0</v>
      </c>
      <c r="M235" t="n">
        <v>0</v>
      </c>
      <c r="N235" t="n">
        <v>0</v>
      </c>
      <c r="O235" t="n">
        <v>0</v>
      </c>
      <c r="P235" t="n">
        <v>0</v>
      </c>
      <c r="Q235" t="n">
        <v>0</v>
      </c>
      <c r="R235" s="2" t="inlineStr"/>
    </row>
    <row r="236" ht="15" customHeight="1">
      <c r="A236" t="inlineStr">
        <is>
          <t>A 50635-2021</t>
        </is>
      </c>
      <c r="B236" s="1" t="n">
        <v>44459.71978009259</v>
      </c>
      <c r="C236" s="1" t="n">
        <v>45890</v>
      </c>
      <c r="D236" t="inlineStr">
        <is>
          <t>VÄSTERBOTTENS LÄN</t>
        </is>
      </c>
      <c r="E236" t="inlineStr">
        <is>
          <t>VILHELMINA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45890</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45890</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45890</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49888-2024</t>
        </is>
      </c>
      <c r="B240" s="1" t="n">
        <v>45597.5109837963</v>
      </c>
      <c r="C240" s="1" t="n">
        <v>45890</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70854-2021</t>
        </is>
      </c>
      <c r="B241" s="1" t="n">
        <v>44532</v>
      </c>
      <c r="C241" s="1" t="n">
        <v>45890</v>
      </c>
      <c r="D241" t="inlineStr">
        <is>
          <t>VÄSTERBOTTENS LÄN</t>
        </is>
      </c>
      <c r="E241" t="inlineStr">
        <is>
          <t>VILHELMINA</t>
        </is>
      </c>
      <c r="G241" t="n">
        <v>2.6</v>
      </c>
      <c r="H241" t="n">
        <v>0</v>
      </c>
      <c r="I241" t="n">
        <v>0</v>
      </c>
      <c r="J241" t="n">
        <v>0</v>
      </c>
      <c r="K241" t="n">
        <v>0</v>
      </c>
      <c r="L241" t="n">
        <v>0</v>
      </c>
      <c r="M241" t="n">
        <v>0</v>
      </c>
      <c r="N241" t="n">
        <v>0</v>
      </c>
      <c r="O241" t="n">
        <v>0</v>
      </c>
      <c r="P241" t="n">
        <v>0</v>
      </c>
      <c r="Q241" t="n">
        <v>0</v>
      </c>
      <c r="R241" s="2" t="inlineStr"/>
    </row>
    <row r="242" ht="15" customHeight="1">
      <c r="A242" t="inlineStr">
        <is>
          <t>A 33603-2022</t>
        </is>
      </c>
      <c r="B242" s="1" t="n">
        <v>44789.49009259259</v>
      </c>
      <c r="C242" s="1" t="n">
        <v>45890</v>
      </c>
      <c r="D242" t="inlineStr">
        <is>
          <t>VÄSTERBOTTENS LÄN</t>
        </is>
      </c>
      <c r="E242" t="inlineStr">
        <is>
          <t>VILHELMINA</t>
        </is>
      </c>
      <c r="F242" t="inlineStr">
        <is>
          <t>Sveaskog</t>
        </is>
      </c>
      <c r="G242" t="n">
        <v>15.1</v>
      </c>
      <c r="H242" t="n">
        <v>0</v>
      </c>
      <c r="I242" t="n">
        <v>0</v>
      </c>
      <c r="J242" t="n">
        <v>0</v>
      </c>
      <c r="K242" t="n">
        <v>0</v>
      </c>
      <c r="L242" t="n">
        <v>0</v>
      </c>
      <c r="M242" t="n">
        <v>0</v>
      </c>
      <c r="N242" t="n">
        <v>0</v>
      </c>
      <c r="O242" t="n">
        <v>0</v>
      </c>
      <c r="P242" t="n">
        <v>0</v>
      </c>
      <c r="Q242" t="n">
        <v>0</v>
      </c>
      <c r="R242" s="2" t="inlineStr"/>
    </row>
    <row r="243" ht="15" customHeight="1">
      <c r="A243" t="inlineStr">
        <is>
          <t>A 27920-2022</t>
        </is>
      </c>
      <c r="B243" s="1" t="n">
        <v>44743</v>
      </c>
      <c r="C243" s="1" t="n">
        <v>45890</v>
      </c>
      <c r="D243" t="inlineStr">
        <is>
          <t>VÄSTERBOTTENS LÄN</t>
        </is>
      </c>
      <c r="E243" t="inlineStr">
        <is>
          <t>VILHELMINA</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36909-2024</t>
        </is>
      </c>
      <c r="B244" s="1" t="n">
        <v>45538.63577546296</v>
      </c>
      <c r="C244" s="1" t="n">
        <v>45890</v>
      </c>
      <c r="D244" t="inlineStr">
        <is>
          <t>VÄSTERBOTTENS LÄN</t>
        </is>
      </c>
      <c r="E244" t="inlineStr">
        <is>
          <t>VILHELMINA</t>
        </is>
      </c>
      <c r="F244" t="inlineStr">
        <is>
          <t>SCA</t>
        </is>
      </c>
      <c r="G244" t="n">
        <v>16.8</v>
      </c>
      <c r="H244" t="n">
        <v>0</v>
      </c>
      <c r="I244" t="n">
        <v>0</v>
      </c>
      <c r="J244" t="n">
        <v>0</v>
      </c>
      <c r="K244" t="n">
        <v>0</v>
      </c>
      <c r="L244" t="n">
        <v>0</v>
      </c>
      <c r="M244" t="n">
        <v>0</v>
      </c>
      <c r="N244" t="n">
        <v>0</v>
      </c>
      <c r="O244" t="n">
        <v>0</v>
      </c>
      <c r="P244" t="n">
        <v>0</v>
      </c>
      <c r="Q244" t="n">
        <v>0</v>
      </c>
      <c r="R244" s="2" t="inlineStr"/>
    </row>
    <row r="245" ht="15" customHeight="1">
      <c r="A245" t="inlineStr">
        <is>
          <t>A 40796-2024</t>
        </is>
      </c>
      <c r="B245" s="1" t="n">
        <v>45558</v>
      </c>
      <c r="C245" s="1" t="n">
        <v>45890</v>
      </c>
      <c r="D245" t="inlineStr">
        <is>
          <t>VÄSTERBOTTENS LÄN</t>
        </is>
      </c>
      <c r="E245" t="inlineStr">
        <is>
          <t>VILHELMINA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8908-2023</t>
        </is>
      </c>
      <c r="B246" s="1" t="n">
        <v>44972</v>
      </c>
      <c r="C246" s="1" t="n">
        <v>45890</v>
      </c>
      <c r="D246" t="inlineStr">
        <is>
          <t>VÄSTERBOTTENS LÄN</t>
        </is>
      </c>
      <c r="E246" t="inlineStr">
        <is>
          <t>VILHELMINA</t>
        </is>
      </c>
      <c r="F246" t="inlineStr">
        <is>
          <t>Allmännings- och besparingsskogar</t>
        </is>
      </c>
      <c r="G246" t="n">
        <v>22.3</v>
      </c>
      <c r="H246" t="n">
        <v>0</v>
      </c>
      <c r="I246" t="n">
        <v>0</v>
      </c>
      <c r="J246" t="n">
        <v>0</v>
      </c>
      <c r="K246" t="n">
        <v>0</v>
      </c>
      <c r="L246" t="n">
        <v>0</v>
      </c>
      <c r="M246" t="n">
        <v>0</v>
      </c>
      <c r="N246" t="n">
        <v>0</v>
      </c>
      <c r="O246" t="n">
        <v>0</v>
      </c>
      <c r="P246" t="n">
        <v>0</v>
      </c>
      <c r="Q246" t="n">
        <v>0</v>
      </c>
      <c r="R246" s="2" t="inlineStr"/>
    </row>
    <row r="247" ht="15" customHeight="1">
      <c r="A247" t="inlineStr">
        <is>
          <t>A 61777-2023</t>
        </is>
      </c>
      <c r="B247" s="1" t="n">
        <v>45265</v>
      </c>
      <c r="C247" s="1" t="n">
        <v>45890</v>
      </c>
      <c r="D247" t="inlineStr">
        <is>
          <t>VÄSTERBOTTENS LÄN</t>
        </is>
      </c>
      <c r="E247" t="inlineStr">
        <is>
          <t>VILHELMINA</t>
        </is>
      </c>
      <c r="F247" t="inlineStr">
        <is>
          <t>SCA</t>
        </is>
      </c>
      <c r="G247" t="n">
        <v>20.6</v>
      </c>
      <c r="H247" t="n">
        <v>0</v>
      </c>
      <c r="I247" t="n">
        <v>0</v>
      </c>
      <c r="J247" t="n">
        <v>0</v>
      </c>
      <c r="K247" t="n">
        <v>0</v>
      </c>
      <c r="L247" t="n">
        <v>0</v>
      </c>
      <c r="M247" t="n">
        <v>0</v>
      </c>
      <c r="N247" t="n">
        <v>0</v>
      </c>
      <c r="O247" t="n">
        <v>0</v>
      </c>
      <c r="P247" t="n">
        <v>0</v>
      </c>
      <c r="Q247" t="n">
        <v>0</v>
      </c>
      <c r="R247" s="2" t="inlineStr"/>
    </row>
    <row r="248" ht="15" customHeight="1">
      <c r="A248" t="inlineStr">
        <is>
          <t>A 44368-2024</t>
        </is>
      </c>
      <c r="B248" s="1" t="n">
        <v>45573</v>
      </c>
      <c r="C248" s="1" t="n">
        <v>45890</v>
      </c>
      <c r="D248" t="inlineStr">
        <is>
          <t>VÄSTERBOTTENS LÄN</t>
        </is>
      </c>
      <c r="E248" t="inlineStr">
        <is>
          <t>VILHELMINA</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45890</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27874-2022</t>
        </is>
      </c>
      <c r="B250" s="1" t="n">
        <v>44743</v>
      </c>
      <c r="C250" s="1" t="n">
        <v>45890</v>
      </c>
      <c r="D250" t="inlineStr">
        <is>
          <t>VÄSTERBOTTENS LÄN</t>
        </is>
      </c>
      <c r="E250" t="inlineStr">
        <is>
          <t>VILHELMINA</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27880-2022</t>
        </is>
      </c>
      <c r="B251" s="1" t="n">
        <v>44743</v>
      </c>
      <c r="C251" s="1" t="n">
        <v>45890</v>
      </c>
      <c r="D251" t="inlineStr">
        <is>
          <t>VÄSTERBOTTENS LÄN</t>
        </is>
      </c>
      <c r="E251" t="inlineStr">
        <is>
          <t>VILHELMINA</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47193-2020</t>
        </is>
      </c>
      <c r="B252" s="1" t="n">
        <v>44097</v>
      </c>
      <c r="C252" s="1" t="n">
        <v>45890</v>
      </c>
      <c r="D252" t="inlineStr">
        <is>
          <t>VÄSTERBOTTENS LÄN</t>
        </is>
      </c>
      <c r="E252" t="inlineStr">
        <is>
          <t>VILHELMINA</t>
        </is>
      </c>
      <c r="G252" t="n">
        <v>6.8</v>
      </c>
      <c r="H252" t="n">
        <v>0</v>
      </c>
      <c r="I252" t="n">
        <v>0</v>
      </c>
      <c r="J252" t="n">
        <v>0</v>
      </c>
      <c r="K252" t="n">
        <v>0</v>
      </c>
      <c r="L252" t="n">
        <v>0</v>
      </c>
      <c r="M252" t="n">
        <v>0</v>
      </c>
      <c r="N252" t="n">
        <v>0</v>
      </c>
      <c r="O252" t="n">
        <v>0</v>
      </c>
      <c r="P252" t="n">
        <v>0</v>
      </c>
      <c r="Q252" t="n">
        <v>0</v>
      </c>
      <c r="R252" s="2" t="inlineStr"/>
    </row>
    <row r="253" ht="15" customHeight="1">
      <c r="A253" t="inlineStr">
        <is>
          <t>A 49599-2022</t>
        </is>
      </c>
      <c r="B253" s="1" t="n">
        <v>44859</v>
      </c>
      <c r="C253" s="1" t="n">
        <v>45890</v>
      </c>
      <c r="D253" t="inlineStr">
        <is>
          <t>VÄSTERBOTTENS LÄN</t>
        </is>
      </c>
      <c r="E253" t="inlineStr">
        <is>
          <t>VILHELMINA</t>
        </is>
      </c>
      <c r="G253" t="n">
        <v>3.6</v>
      </c>
      <c r="H253" t="n">
        <v>0</v>
      </c>
      <c r="I253" t="n">
        <v>0</v>
      </c>
      <c r="J253" t="n">
        <v>0</v>
      </c>
      <c r="K253" t="n">
        <v>0</v>
      </c>
      <c r="L253" t="n">
        <v>0</v>
      </c>
      <c r="M253" t="n">
        <v>0</v>
      </c>
      <c r="N253" t="n">
        <v>0</v>
      </c>
      <c r="O253" t="n">
        <v>0</v>
      </c>
      <c r="P253" t="n">
        <v>0</v>
      </c>
      <c r="Q253" t="n">
        <v>0</v>
      </c>
      <c r="R253" s="2" t="inlineStr"/>
    </row>
    <row r="254" ht="15" customHeight="1">
      <c r="A254" t="inlineStr">
        <is>
          <t>A 23176-2024</t>
        </is>
      </c>
      <c r="B254" s="1" t="n">
        <v>45450.94366898148</v>
      </c>
      <c r="C254" s="1" t="n">
        <v>45890</v>
      </c>
      <c r="D254" t="inlineStr">
        <is>
          <t>VÄSTERBOTTENS LÄN</t>
        </is>
      </c>
      <c r="E254" t="inlineStr">
        <is>
          <t>VILHELMINA</t>
        </is>
      </c>
      <c r="F254" t="inlineStr">
        <is>
          <t>SCA</t>
        </is>
      </c>
      <c r="G254" t="n">
        <v>3.5</v>
      </c>
      <c r="H254" t="n">
        <v>0</v>
      </c>
      <c r="I254" t="n">
        <v>0</v>
      </c>
      <c r="J254" t="n">
        <v>0</v>
      </c>
      <c r="K254" t="n">
        <v>0</v>
      </c>
      <c r="L254" t="n">
        <v>0</v>
      </c>
      <c r="M254" t="n">
        <v>0</v>
      </c>
      <c r="N254" t="n">
        <v>0</v>
      </c>
      <c r="O254" t="n">
        <v>0</v>
      </c>
      <c r="P254" t="n">
        <v>0</v>
      </c>
      <c r="Q254" t="n">
        <v>0</v>
      </c>
      <c r="R254" s="2" t="inlineStr"/>
    </row>
    <row r="255" ht="15" customHeight="1">
      <c r="A255" t="inlineStr">
        <is>
          <t>A 47287-2022</t>
        </is>
      </c>
      <c r="B255" s="1" t="n">
        <v>44852.95145833334</v>
      </c>
      <c r="C255" s="1" t="n">
        <v>45890</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47288-2022</t>
        </is>
      </c>
      <c r="B256" s="1" t="n">
        <v>44852</v>
      </c>
      <c r="C256" s="1" t="n">
        <v>45890</v>
      </c>
      <c r="D256" t="inlineStr">
        <is>
          <t>VÄSTERBOTTENS LÄN</t>
        </is>
      </c>
      <c r="E256" t="inlineStr">
        <is>
          <t>VILHELMINA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60376-2024</t>
        </is>
      </c>
      <c r="B257" s="1" t="n">
        <v>45643</v>
      </c>
      <c r="C257" s="1" t="n">
        <v>45890</v>
      </c>
      <c r="D257" t="inlineStr">
        <is>
          <t>VÄSTERBOTTENS LÄN</t>
        </is>
      </c>
      <c r="E257" t="inlineStr">
        <is>
          <t>VILHELMINA</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27194-2024</t>
        </is>
      </c>
      <c r="B258" s="1" t="n">
        <v>45471</v>
      </c>
      <c r="C258" s="1" t="n">
        <v>45890</v>
      </c>
      <c r="D258" t="inlineStr">
        <is>
          <t>VÄSTERBOTTENS LÄN</t>
        </is>
      </c>
      <c r="E258" t="inlineStr">
        <is>
          <t>VILHELMINA</t>
        </is>
      </c>
      <c r="G258" t="n">
        <v>8.5</v>
      </c>
      <c r="H258" t="n">
        <v>0</v>
      </c>
      <c r="I258" t="n">
        <v>0</v>
      </c>
      <c r="J258" t="n">
        <v>0</v>
      </c>
      <c r="K258" t="n">
        <v>0</v>
      </c>
      <c r="L258" t="n">
        <v>0</v>
      </c>
      <c r="M258" t="n">
        <v>0</v>
      </c>
      <c r="N258" t="n">
        <v>0</v>
      </c>
      <c r="O258" t="n">
        <v>0</v>
      </c>
      <c r="P258" t="n">
        <v>0</v>
      </c>
      <c r="Q258" t="n">
        <v>0</v>
      </c>
      <c r="R258" s="2" t="inlineStr"/>
    </row>
    <row r="259" ht="15" customHeight="1">
      <c r="A259" t="inlineStr">
        <is>
          <t>A 11544-2023</t>
        </is>
      </c>
      <c r="B259" s="1" t="n">
        <v>44993.94818287037</v>
      </c>
      <c r="C259" s="1" t="n">
        <v>45890</v>
      </c>
      <c r="D259" t="inlineStr">
        <is>
          <t>VÄSTERBOTTENS LÄN</t>
        </is>
      </c>
      <c r="E259" t="inlineStr">
        <is>
          <t>VILHELMINA</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29104-2024</t>
        </is>
      </c>
      <c r="B260" s="1" t="n">
        <v>45481.95178240741</v>
      </c>
      <c r="C260" s="1" t="n">
        <v>45890</v>
      </c>
      <c r="D260" t="inlineStr">
        <is>
          <t>VÄSTERBOTTENS LÄN</t>
        </is>
      </c>
      <c r="E260" t="inlineStr">
        <is>
          <t>VILHELMINA</t>
        </is>
      </c>
      <c r="F260" t="inlineStr">
        <is>
          <t>SCA</t>
        </is>
      </c>
      <c r="G260" t="n">
        <v>5.1</v>
      </c>
      <c r="H260" t="n">
        <v>0</v>
      </c>
      <c r="I260" t="n">
        <v>0</v>
      </c>
      <c r="J260" t="n">
        <v>0</v>
      </c>
      <c r="K260" t="n">
        <v>0</v>
      </c>
      <c r="L260" t="n">
        <v>0</v>
      </c>
      <c r="M260" t="n">
        <v>0</v>
      </c>
      <c r="N260" t="n">
        <v>0</v>
      </c>
      <c r="O260" t="n">
        <v>0</v>
      </c>
      <c r="P260" t="n">
        <v>0</v>
      </c>
      <c r="Q260" t="n">
        <v>0</v>
      </c>
      <c r="R260" s="2" t="inlineStr"/>
    </row>
    <row r="261" ht="15" customHeight="1">
      <c r="A261" t="inlineStr">
        <is>
          <t>A 51131-2024</t>
        </is>
      </c>
      <c r="B261" s="1" t="n">
        <v>45603</v>
      </c>
      <c r="C261" s="1" t="n">
        <v>45890</v>
      </c>
      <c r="D261" t="inlineStr">
        <is>
          <t>VÄSTERBOTTENS LÄN</t>
        </is>
      </c>
      <c r="E261" t="inlineStr">
        <is>
          <t>VILHELMINA</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40462-2024</t>
        </is>
      </c>
      <c r="B262" s="1" t="n">
        <v>45555.51084490741</v>
      </c>
      <c r="C262" s="1" t="n">
        <v>45890</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3237-2024</t>
        </is>
      </c>
      <c r="B263" s="1" t="n">
        <v>45316.9474537037</v>
      </c>
      <c r="C263" s="1" t="n">
        <v>45890</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13768-2024</t>
        </is>
      </c>
      <c r="B264" s="1" t="n">
        <v>45390.95230324074</v>
      </c>
      <c r="C264" s="1" t="n">
        <v>45890</v>
      </c>
      <c r="D264" t="inlineStr">
        <is>
          <t>VÄSTERBOTTENS LÄN</t>
        </is>
      </c>
      <c r="E264" t="inlineStr">
        <is>
          <t>VILHELMINA</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35006-2023</t>
        </is>
      </c>
      <c r="B265" s="1" t="n">
        <v>45142.95103009259</v>
      </c>
      <c r="C265" s="1" t="n">
        <v>45890</v>
      </c>
      <c r="D265" t="inlineStr">
        <is>
          <t>VÄSTERBOTTENS LÄN</t>
        </is>
      </c>
      <c r="E265" t="inlineStr">
        <is>
          <t>VILHELMINA</t>
        </is>
      </c>
      <c r="F265" t="inlineStr">
        <is>
          <t>SCA</t>
        </is>
      </c>
      <c r="G265" t="n">
        <v>11.6</v>
      </c>
      <c r="H265" t="n">
        <v>0</v>
      </c>
      <c r="I265" t="n">
        <v>0</v>
      </c>
      <c r="J265" t="n">
        <v>0</v>
      </c>
      <c r="K265" t="n">
        <v>0</v>
      </c>
      <c r="L265" t="n">
        <v>0</v>
      </c>
      <c r="M265" t="n">
        <v>0</v>
      </c>
      <c r="N265" t="n">
        <v>0</v>
      </c>
      <c r="O265" t="n">
        <v>0</v>
      </c>
      <c r="P265" t="n">
        <v>0</v>
      </c>
      <c r="Q265" t="n">
        <v>0</v>
      </c>
      <c r="R265" s="2" t="inlineStr"/>
    </row>
    <row r="266" ht="15" customHeight="1">
      <c r="A266" t="inlineStr">
        <is>
          <t>A 20524-2024</t>
        </is>
      </c>
      <c r="B266" s="1" t="n">
        <v>45435.94567129629</v>
      </c>
      <c r="C266" s="1" t="n">
        <v>45890</v>
      </c>
      <c r="D266" t="inlineStr">
        <is>
          <t>VÄSTERBOTTENS LÄN</t>
        </is>
      </c>
      <c r="E266" t="inlineStr">
        <is>
          <t>VILHELMINA</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12371-2025</t>
        </is>
      </c>
      <c r="B267" s="1" t="n">
        <v>45730</v>
      </c>
      <c r="C267" s="1" t="n">
        <v>45890</v>
      </c>
      <c r="D267" t="inlineStr">
        <is>
          <t>VÄSTERBOTTENS LÄN</t>
        </is>
      </c>
      <c r="E267" t="inlineStr">
        <is>
          <t>VILHELMINA</t>
        </is>
      </c>
      <c r="F267" t="inlineStr">
        <is>
          <t>Övriga statliga verk och myndigheter</t>
        </is>
      </c>
      <c r="G267" t="n">
        <v>37.1</v>
      </c>
      <c r="H267" t="n">
        <v>0</v>
      </c>
      <c r="I267" t="n">
        <v>0</v>
      </c>
      <c r="J267" t="n">
        <v>0</v>
      </c>
      <c r="K267" t="n">
        <v>0</v>
      </c>
      <c r="L267" t="n">
        <v>0</v>
      </c>
      <c r="M267" t="n">
        <v>0</v>
      </c>
      <c r="N267" t="n">
        <v>0</v>
      </c>
      <c r="O267" t="n">
        <v>0</v>
      </c>
      <c r="P267" t="n">
        <v>0</v>
      </c>
      <c r="Q267" t="n">
        <v>0</v>
      </c>
      <c r="R267" s="2" t="inlineStr"/>
    </row>
    <row r="268" ht="15" customHeight="1">
      <c r="A268" t="inlineStr">
        <is>
          <t>A 72494-2021</t>
        </is>
      </c>
      <c r="B268" s="1" t="n">
        <v>44545.92059027778</v>
      </c>
      <c r="C268" s="1" t="n">
        <v>45890</v>
      </c>
      <c r="D268" t="inlineStr">
        <is>
          <t>VÄSTERBOTTENS LÄN</t>
        </is>
      </c>
      <c r="E268" t="inlineStr">
        <is>
          <t>VILHELMINA</t>
        </is>
      </c>
      <c r="G268" t="n">
        <v>4.2</v>
      </c>
      <c r="H268" t="n">
        <v>0</v>
      </c>
      <c r="I268" t="n">
        <v>0</v>
      </c>
      <c r="J268" t="n">
        <v>0</v>
      </c>
      <c r="K268" t="n">
        <v>0</v>
      </c>
      <c r="L268" t="n">
        <v>0</v>
      </c>
      <c r="M268" t="n">
        <v>0</v>
      </c>
      <c r="N268" t="n">
        <v>0</v>
      </c>
      <c r="O268" t="n">
        <v>0</v>
      </c>
      <c r="P268" t="n">
        <v>0</v>
      </c>
      <c r="Q268" t="n">
        <v>0</v>
      </c>
      <c r="R268" s="2" t="inlineStr"/>
    </row>
    <row r="269" ht="15" customHeight="1">
      <c r="A269" t="inlineStr">
        <is>
          <t>A 50489-2023</t>
        </is>
      </c>
      <c r="B269" s="1" t="n">
        <v>45216.95556712963</v>
      </c>
      <c r="C269" s="1" t="n">
        <v>45890</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12593-2022</t>
        </is>
      </c>
      <c r="B270" s="1" t="n">
        <v>44640</v>
      </c>
      <c r="C270" s="1" t="n">
        <v>45890</v>
      </c>
      <c r="D270" t="inlineStr">
        <is>
          <t>VÄSTERBOTTENS LÄN</t>
        </is>
      </c>
      <c r="E270" t="inlineStr">
        <is>
          <t>VILHELMINA</t>
        </is>
      </c>
      <c r="G270" t="n">
        <v>10.4</v>
      </c>
      <c r="H270" t="n">
        <v>0</v>
      </c>
      <c r="I270" t="n">
        <v>0</v>
      </c>
      <c r="J270" t="n">
        <v>0</v>
      </c>
      <c r="K270" t="n">
        <v>0</v>
      </c>
      <c r="L270" t="n">
        <v>0</v>
      </c>
      <c r="M270" t="n">
        <v>0</v>
      </c>
      <c r="N270" t="n">
        <v>0</v>
      </c>
      <c r="O270" t="n">
        <v>0</v>
      </c>
      <c r="P270" t="n">
        <v>0</v>
      </c>
      <c r="Q270" t="n">
        <v>0</v>
      </c>
      <c r="R270" s="2" t="inlineStr"/>
    </row>
    <row r="271" ht="15" customHeight="1">
      <c r="A271" t="inlineStr">
        <is>
          <t>A 54430-2024</t>
        </is>
      </c>
      <c r="B271" s="1" t="n">
        <v>45617.49107638889</v>
      </c>
      <c r="C271" s="1" t="n">
        <v>45890</v>
      </c>
      <c r="D271" t="inlineStr">
        <is>
          <t>VÄSTERBOTTENS LÄN</t>
        </is>
      </c>
      <c r="E271" t="inlineStr">
        <is>
          <t>VILHELMINA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8555-2023</t>
        </is>
      </c>
      <c r="B272" s="1" t="n">
        <v>44972</v>
      </c>
      <c r="C272" s="1" t="n">
        <v>45890</v>
      </c>
      <c r="D272" t="inlineStr">
        <is>
          <t>VÄSTERBOTTENS LÄN</t>
        </is>
      </c>
      <c r="E272" t="inlineStr">
        <is>
          <t>VILHELMINA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61048-2022</t>
        </is>
      </c>
      <c r="B273" s="1" t="n">
        <v>44914</v>
      </c>
      <c r="C273" s="1" t="n">
        <v>45890</v>
      </c>
      <c r="D273" t="inlineStr">
        <is>
          <t>VÄSTERBOTTENS LÄN</t>
        </is>
      </c>
      <c r="E273" t="inlineStr">
        <is>
          <t>VILHELMINA</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64028-2023</t>
        </is>
      </c>
      <c r="B274" s="1" t="n">
        <v>45278.94263888889</v>
      </c>
      <c r="C274" s="1" t="n">
        <v>45890</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26947-2024</t>
        </is>
      </c>
      <c r="B275" s="1" t="n">
        <v>45470.9693287037</v>
      </c>
      <c r="C275" s="1" t="n">
        <v>45890</v>
      </c>
      <c r="D275" t="inlineStr">
        <is>
          <t>VÄSTERBOTTENS LÄN</t>
        </is>
      </c>
      <c r="E275" t="inlineStr">
        <is>
          <t>VILHELMINA</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35758-2023</t>
        </is>
      </c>
      <c r="B276" s="1" t="n">
        <v>45147.95452546296</v>
      </c>
      <c r="C276" s="1" t="n">
        <v>45890</v>
      </c>
      <c r="D276" t="inlineStr">
        <is>
          <t>VÄSTERBOTTENS LÄN</t>
        </is>
      </c>
      <c r="E276" t="inlineStr">
        <is>
          <t>VILHELMINA</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38361-2023</t>
        </is>
      </c>
      <c r="B277" s="1" t="n">
        <v>45161.94315972222</v>
      </c>
      <c r="C277" s="1" t="n">
        <v>45890</v>
      </c>
      <c r="D277" t="inlineStr">
        <is>
          <t>VÄSTERBOTTENS LÄN</t>
        </is>
      </c>
      <c r="E277" t="inlineStr">
        <is>
          <t>VILHELMINA</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248-2025</t>
        </is>
      </c>
      <c r="B278" s="1" t="n">
        <v>45660.419375</v>
      </c>
      <c r="C278" s="1" t="n">
        <v>45890</v>
      </c>
      <c r="D278" t="inlineStr">
        <is>
          <t>VÄSTERBOTTENS LÄN</t>
        </is>
      </c>
      <c r="E278" t="inlineStr">
        <is>
          <t>VILHELMINA</t>
        </is>
      </c>
      <c r="G278" t="n">
        <v>11</v>
      </c>
      <c r="H278" t="n">
        <v>0</v>
      </c>
      <c r="I278" t="n">
        <v>0</v>
      </c>
      <c r="J278" t="n">
        <v>0</v>
      </c>
      <c r="K278" t="n">
        <v>0</v>
      </c>
      <c r="L278" t="n">
        <v>0</v>
      </c>
      <c r="M278" t="n">
        <v>0</v>
      </c>
      <c r="N278" t="n">
        <v>0</v>
      </c>
      <c r="O278" t="n">
        <v>0</v>
      </c>
      <c r="P278" t="n">
        <v>0</v>
      </c>
      <c r="Q278" t="n">
        <v>0</v>
      </c>
      <c r="R278" s="2" t="inlineStr"/>
    </row>
    <row r="279" ht="15" customHeight="1">
      <c r="A279" t="inlineStr">
        <is>
          <t>A 36348-2024</t>
        </is>
      </c>
      <c r="B279" s="1" t="n">
        <v>45534.64422453703</v>
      </c>
      <c r="C279" s="1" t="n">
        <v>45890</v>
      </c>
      <c r="D279" t="inlineStr">
        <is>
          <t>VÄSTERBOTTENS LÄN</t>
        </is>
      </c>
      <c r="E279" t="inlineStr">
        <is>
          <t>VILHELMINA</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36355-2024</t>
        </is>
      </c>
      <c r="B280" s="1" t="n">
        <v>45534.64508101852</v>
      </c>
      <c r="C280" s="1" t="n">
        <v>45890</v>
      </c>
      <c r="D280" t="inlineStr">
        <is>
          <t>VÄSTERBOTTENS LÄN</t>
        </is>
      </c>
      <c r="E280" t="inlineStr">
        <is>
          <t>VILHELMINA</t>
        </is>
      </c>
      <c r="F280" t="inlineStr">
        <is>
          <t>SCA</t>
        </is>
      </c>
      <c r="G280" t="n">
        <v>4.1</v>
      </c>
      <c r="H280" t="n">
        <v>0</v>
      </c>
      <c r="I280" t="n">
        <v>0</v>
      </c>
      <c r="J280" t="n">
        <v>0</v>
      </c>
      <c r="K280" t="n">
        <v>0</v>
      </c>
      <c r="L280" t="n">
        <v>0</v>
      </c>
      <c r="M280" t="n">
        <v>0</v>
      </c>
      <c r="N280" t="n">
        <v>0</v>
      </c>
      <c r="O280" t="n">
        <v>0</v>
      </c>
      <c r="P280" t="n">
        <v>0</v>
      </c>
      <c r="Q280" t="n">
        <v>0</v>
      </c>
      <c r="R280" s="2" t="inlineStr"/>
    </row>
    <row r="281" ht="15" customHeight="1">
      <c r="A281" t="inlineStr">
        <is>
          <t>A 2043-2023</t>
        </is>
      </c>
      <c r="B281" s="1" t="n">
        <v>44939</v>
      </c>
      <c r="C281" s="1" t="n">
        <v>45890</v>
      </c>
      <c r="D281" t="inlineStr">
        <is>
          <t>VÄSTERBOTTENS LÄN</t>
        </is>
      </c>
      <c r="E281" t="inlineStr">
        <is>
          <t>VILHELMINA</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6699-2021</t>
        </is>
      </c>
      <c r="B282" s="1" t="n">
        <v>44235</v>
      </c>
      <c r="C282" s="1" t="n">
        <v>45890</v>
      </c>
      <c r="D282" t="inlineStr">
        <is>
          <t>VÄSTERBOTTENS LÄN</t>
        </is>
      </c>
      <c r="E282" t="inlineStr">
        <is>
          <t>VILHELMINA</t>
        </is>
      </c>
      <c r="G282" t="n">
        <v>6.9</v>
      </c>
      <c r="H282" t="n">
        <v>0</v>
      </c>
      <c r="I282" t="n">
        <v>0</v>
      </c>
      <c r="J282" t="n">
        <v>0</v>
      </c>
      <c r="K282" t="n">
        <v>0</v>
      </c>
      <c r="L282" t="n">
        <v>0</v>
      </c>
      <c r="M282" t="n">
        <v>0</v>
      </c>
      <c r="N282" t="n">
        <v>0</v>
      </c>
      <c r="O282" t="n">
        <v>0</v>
      </c>
      <c r="P282" t="n">
        <v>0</v>
      </c>
      <c r="Q282" t="n">
        <v>0</v>
      </c>
      <c r="R282" s="2" t="inlineStr"/>
    </row>
    <row r="283" ht="15" customHeight="1">
      <c r="A283" t="inlineStr">
        <is>
          <t>A 9497-2025</t>
        </is>
      </c>
      <c r="B283" s="1" t="n">
        <v>45715.51086805556</v>
      </c>
      <c r="C283" s="1" t="n">
        <v>45890</v>
      </c>
      <c r="D283" t="inlineStr">
        <is>
          <t>VÄSTERBOTTENS LÄN</t>
        </is>
      </c>
      <c r="E283" t="inlineStr">
        <is>
          <t>VILHELMINA</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8566-2025</t>
        </is>
      </c>
      <c r="B284" s="1" t="n">
        <v>45709</v>
      </c>
      <c r="C284" s="1" t="n">
        <v>45890</v>
      </c>
      <c r="D284" t="inlineStr">
        <is>
          <t>VÄSTERBOTTENS LÄN</t>
        </is>
      </c>
      <c r="E284" t="inlineStr">
        <is>
          <t>VILHELMINA</t>
        </is>
      </c>
      <c r="G284" t="n">
        <v>10.5</v>
      </c>
      <c r="H284" t="n">
        <v>0</v>
      </c>
      <c r="I284" t="n">
        <v>0</v>
      </c>
      <c r="J284" t="n">
        <v>0</v>
      </c>
      <c r="K284" t="n">
        <v>0</v>
      </c>
      <c r="L284" t="n">
        <v>0</v>
      </c>
      <c r="M284" t="n">
        <v>0</v>
      </c>
      <c r="N284" t="n">
        <v>0</v>
      </c>
      <c r="O284" t="n">
        <v>0</v>
      </c>
      <c r="P284" t="n">
        <v>0</v>
      </c>
      <c r="Q284" t="n">
        <v>0</v>
      </c>
      <c r="R284" s="2" t="inlineStr"/>
    </row>
    <row r="285" ht="15" customHeight="1">
      <c r="A285" t="inlineStr">
        <is>
          <t>A 37514-2024</t>
        </is>
      </c>
      <c r="B285" s="1" t="n">
        <v>45541.38586805556</v>
      </c>
      <c r="C285" s="1" t="n">
        <v>45890</v>
      </c>
      <c r="D285" t="inlineStr">
        <is>
          <t>VÄSTERBOTTENS LÄN</t>
        </is>
      </c>
      <c r="E285" t="inlineStr">
        <is>
          <t>VILHELMINA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60377-2024</t>
        </is>
      </c>
      <c r="B286" s="1" t="n">
        <v>45643</v>
      </c>
      <c r="C286" s="1" t="n">
        <v>45890</v>
      </c>
      <c r="D286" t="inlineStr">
        <is>
          <t>VÄSTERBOTTENS LÄN</t>
        </is>
      </c>
      <c r="E286" t="inlineStr">
        <is>
          <t>VILHELMINA</t>
        </is>
      </c>
      <c r="F286" t="inlineStr">
        <is>
          <t>SCA</t>
        </is>
      </c>
      <c r="G286" t="n">
        <v>16.2</v>
      </c>
      <c r="H286" t="n">
        <v>0</v>
      </c>
      <c r="I286" t="n">
        <v>0</v>
      </c>
      <c r="J286" t="n">
        <v>0</v>
      </c>
      <c r="K286" t="n">
        <v>0</v>
      </c>
      <c r="L286" t="n">
        <v>0</v>
      </c>
      <c r="M286" t="n">
        <v>0</v>
      </c>
      <c r="N286" t="n">
        <v>0</v>
      </c>
      <c r="O286" t="n">
        <v>0</v>
      </c>
      <c r="P286" t="n">
        <v>0</v>
      </c>
      <c r="Q286" t="n">
        <v>0</v>
      </c>
      <c r="R286" s="2" t="inlineStr"/>
    </row>
    <row r="287" ht="15" customHeight="1">
      <c r="A287" t="inlineStr">
        <is>
          <t>A 4869-2023</t>
        </is>
      </c>
      <c r="B287" s="1" t="n">
        <v>44957</v>
      </c>
      <c r="C287" s="1" t="n">
        <v>45890</v>
      </c>
      <c r="D287" t="inlineStr">
        <is>
          <t>VÄSTERBOTTENS LÄN</t>
        </is>
      </c>
      <c r="E287" t="inlineStr">
        <is>
          <t>VILHELMINA</t>
        </is>
      </c>
      <c r="G287" t="n">
        <v>5.7</v>
      </c>
      <c r="H287" t="n">
        <v>0</v>
      </c>
      <c r="I287" t="n">
        <v>0</v>
      </c>
      <c r="J287" t="n">
        <v>0</v>
      </c>
      <c r="K287" t="n">
        <v>0</v>
      </c>
      <c r="L287" t="n">
        <v>0</v>
      </c>
      <c r="M287" t="n">
        <v>0</v>
      </c>
      <c r="N287" t="n">
        <v>0</v>
      </c>
      <c r="O287" t="n">
        <v>0</v>
      </c>
      <c r="P287" t="n">
        <v>0</v>
      </c>
      <c r="Q287" t="n">
        <v>0</v>
      </c>
      <c r="R287" s="2" t="inlineStr"/>
    </row>
    <row r="288" ht="15" customHeight="1">
      <c r="A288" t="inlineStr">
        <is>
          <t>A 15176-2022</t>
        </is>
      </c>
      <c r="B288" s="1" t="n">
        <v>44658</v>
      </c>
      <c r="C288" s="1" t="n">
        <v>45890</v>
      </c>
      <c r="D288" t="inlineStr">
        <is>
          <t>VÄSTERBOTTENS LÄN</t>
        </is>
      </c>
      <c r="E288" t="inlineStr">
        <is>
          <t>VILHELMINA</t>
        </is>
      </c>
      <c r="G288" t="n">
        <v>1.6</v>
      </c>
      <c r="H288" t="n">
        <v>0</v>
      </c>
      <c r="I288" t="n">
        <v>0</v>
      </c>
      <c r="J288" t="n">
        <v>0</v>
      </c>
      <c r="K288" t="n">
        <v>0</v>
      </c>
      <c r="L288" t="n">
        <v>0</v>
      </c>
      <c r="M288" t="n">
        <v>0</v>
      </c>
      <c r="N288" t="n">
        <v>0</v>
      </c>
      <c r="O288" t="n">
        <v>0</v>
      </c>
      <c r="P288" t="n">
        <v>0</v>
      </c>
      <c r="Q288" t="n">
        <v>0</v>
      </c>
      <c r="R288" s="2" t="inlineStr"/>
    </row>
    <row r="289" ht="15" customHeight="1">
      <c r="A289" t="inlineStr">
        <is>
          <t>A 34799-2023</t>
        </is>
      </c>
      <c r="B289" s="1" t="n">
        <v>45140</v>
      </c>
      <c r="C289" s="1" t="n">
        <v>45890</v>
      </c>
      <c r="D289" t="inlineStr">
        <is>
          <t>VÄSTERBOTTENS LÄN</t>
        </is>
      </c>
      <c r="E289" t="inlineStr">
        <is>
          <t>VILHELMINA</t>
        </is>
      </c>
      <c r="G289" t="n">
        <v>17.4</v>
      </c>
      <c r="H289" t="n">
        <v>0</v>
      </c>
      <c r="I289" t="n">
        <v>0</v>
      </c>
      <c r="J289" t="n">
        <v>0</v>
      </c>
      <c r="K289" t="n">
        <v>0</v>
      </c>
      <c r="L289" t="n">
        <v>0</v>
      </c>
      <c r="M289" t="n">
        <v>0</v>
      </c>
      <c r="N289" t="n">
        <v>0</v>
      </c>
      <c r="O289" t="n">
        <v>0</v>
      </c>
      <c r="P289" t="n">
        <v>0</v>
      </c>
      <c r="Q289" t="n">
        <v>0</v>
      </c>
      <c r="R289" s="2" t="inlineStr"/>
    </row>
    <row r="290" ht="15" customHeight="1">
      <c r="A290" t="inlineStr">
        <is>
          <t>A 22109-2024</t>
        </is>
      </c>
      <c r="B290" s="1" t="n">
        <v>45443</v>
      </c>
      <c r="C290" s="1" t="n">
        <v>45890</v>
      </c>
      <c r="D290" t="inlineStr">
        <is>
          <t>VÄSTERBOTTENS LÄN</t>
        </is>
      </c>
      <c r="E290" t="inlineStr">
        <is>
          <t>VILHELMINA</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58943-2024</t>
        </is>
      </c>
      <c r="B291" s="1" t="n">
        <v>45636.5433449074</v>
      </c>
      <c r="C291" s="1" t="n">
        <v>45890</v>
      </c>
      <c r="D291" t="inlineStr">
        <is>
          <t>VÄSTERBOTTENS LÄN</t>
        </is>
      </c>
      <c r="E291" t="inlineStr">
        <is>
          <t>VILHELMINA</t>
        </is>
      </c>
      <c r="F291" t="inlineStr">
        <is>
          <t>Kommuner</t>
        </is>
      </c>
      <c r="G291" t="n">
        <v>4.1</v>
      </c>
      <c r="H291" t="n">
        <v>0</v>
      </c>
      <c r="I291" t="n">
        <v>0</v>
      </c>
      <c r="J291" t="n">
        <v>0</v>
      </c>
      <c r="K291" t="n">
        <v>0</v>
      </c>
      <c r="L291" t="n">
        <v>0</v>
      </c>
      <c r="M291" t="n">
        <v>0</v>
      </c>
      <c r="N291" t="n">
        <v>0</v>
      </c>
      <c r="O291" t="n">
        <v>0</v>
      </c>
      <c r="P291" t="n">
        <v>0</v>
      </c>
      <c r="Q291" t="n">
        <v>0</v>
      </c>
      <c r="R291" s="2" t="inlineStr"/>
    </row>
    <row r="292" ht="15" customHeight="1">
      <c r="A292" t="inlineStr">
        <is>
          <t>A 19397-2023</t>
        </is>
      </c>
      <c r="B292" s="1" t="n">
        <v>45048</v>
      </c>
      <c r="C292" s="1" t="n">
        <v>45890</v>
      </c>
      <c r="D292" t="inlineStr">
        <is>
          <t>VÄSTERBOTTENS LÄN</t>
        </is>
      </c>
      <c r="E292" t="inlineStr">
        <is>
          <t>VILHELMINA</t>
        </is>
      </c>
      <c r="G292" t="n">
        <v>12.8</v>
      </c>
      <c r="H292" t="n">
        <v>0</v>
      </c>
      <c r="I292" t="n">
        <v>0</v>
      </c>
      <c r="J292" t="n">
        <v>0</v>
      </c>
      <c r="K292" t="n">
        <v>0</v>
      </c>
      <c r="L292" t="n">
        <v>0</v>
      </c>
      <c r="M292" t="n">
        <v>0</v>
      </c>
      <c r="N292" t="n">
        <v>0</v>
      </c>
      <c r="O292" t="n">
        <v>0</v>
      </c>
      <c r="P292" t="n">
        <v>0</v>
      </c>
      <c r="Q292" t="n">
        <v>0</v>
      </c>
      <c r="R292" s="2" t="inlineStr"/>
    </row>
    <row r="293" ht="15" customHeight="1">
      <c r="A293" t="inlineStr">
        <is>
          <t>A 33321-2024</t>
        </is>
      </c>
      <c r="B293" s="1" t="n">
        <v>45518.97256944444</v>
      </c>
      <c r="C293" s="1" t="n">
        <v>45890</v>
      </c>
      <c r="D293" t="inlineStr">
        <is>
          <t>VÄSTERBOTTENS LÄN</t>
        </is>
      </c>
      <c r="E293" t="inlineStr">
        <is>
          <t>VILHELMINA</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9815-2024</t>
        </is>
      </c>
      <c r="B294" s="1" t="n">
        <v>45362.96927083333</v>
      </c>
      <c r="C294" s="1" t="n">
        <v>45890</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34630-2024</t>
        </is>
      </c>
      <c r="B295" s="1" t="n">
        <v>45526.46234953704</v>
      </c>
      <c r="C295" s="1" t="n">
        <v>45890</v>
      </c>
      <c r="D295" t="inlineStr">
        <is>
          <t>VÄSTERBOTTENS LÄN</t>
        </is>
      </c>
      <c r="E295" t="inlineStr">
        <is>
          <t>VILHELMINA</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55720-2023</t>
        </is>
      </c>
      <c r="B296" s="1" t="n">
        <v>45232</v>
      </c>
      <c r="C296" s="1" t="n">
        <v>45890</v>
      </c>
      <c r="D296" t="inlineStr">
        <is>
          <t>VÄSTERBOTTENS LÄN</t>
        </is>
      </c>
      <c r="E296" t="inlineStr">
        <is>
          <t>VILHELMINA</t>
        </is>
      </c>
      <c r="G296" t="n">
        <v>0.8</v>
      </c>
      <c r="H296" t="n">
        <v>0</v>
      </c>
      <c r="I296" t="n">
        <v>0</v>
      </c>
      <c r="J296" t="n">
        <v>0</v>
      </c>
      <c r="K296" t="n">
        <v>0</v>
      </c>
      <c r="L296" t="n">
        <v>0</v>
      </c>
      <c r="M296" t="n">
        <v>0</v>
      </c>
      <c r="N296" t="n">
        <v>0</v>
      </c>
      <c r="O296" t="n">
        <v>0</v>
      </c>
      <c r="P296" t="n">
        <v>0</v>
      </c>
      <c r="Q296" t="n">
        <v>0</v>
      </c>
      <c r="R296" s="2" t="inlineStr"/>
    </row>
    <row r="297" ht="15" customHeight="1">
      <c r="A297" t="inlineStr">
        <is>
          <t>A 46119-2022</t>
        </is>
      </c>
      <c r="B297" s="1" t="n">
        <v>44847</v>
      </c>
      <c r="C297" s="1" t="n">
        <v>45890</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46121-2022</t>
        </is>
      </c>
      <c r="B298" s="1" t="n">
        <v>44847</v>
      </c>
      <c r="C298" s="1" t="n">
        <v>45890</v>
      </c>
      <c r="D298" t="inlineStr">
        <is>
          <t>VÄSTERBOTTENS LÄN</t>
        </is>
      </c>
      <c r="E298" t="inlineStr">
        <is>
          <t>VILHELMINA</t>
        </is>
      </c>
      <c r="G298" t="n">
        <v>2.6</v>
      </c>
      <c r="H298" t="n">
        <v>0</v>
      </c>
      <c r="I298" t="n">
        <v>0</v>
      </c>
      <c r="J298" t="n">
        <v>0</v>
      </c>
      <c r="K298" t="n">
        <v>0</v>
      </c>
      <c r="L298" t="n">
        <v>0</v>
      </c>
      <c r="M298" t="n">
        <v>0</v>
      </c>
      <c r="N298" t="n">
        <v>0</v>
      </c>
      <c r="O298" t="n">
        <v>0</v>
      </c>
      <c r="P298" t="n">
        <v>0</v>
      </c>
      <c r="Q298" t="n">
        <v>0</v>
      </c>
      <c r="R298" s="2" t="inlineStr"/>
    </row>
    <row r="299" ht="15" customHeight="1">
      <c r="A299" t="inlineStr">
        <is>
          <t>A 60090-2020</t>
        </is>
      </c>
      <c r="B299" s="1" t="n">
        <v>44151</v>
      </c>
      <c r="C299" s="1" t="n">
        <v>45890</v>
      </c>
      <c r="D299" t="inlineStr">
        <is>
          <t>VÄSTERBOTTENS LÄN</t>
        </is>
      </c>
      <c r="E299" t="inlineStr">
        <is>
          <t>VILHELMINA</t>
        </is>
      </c>
      <c r="G299" t="n">
        <v>9</v>
      </c>
      <c r="H299" t="n">
        <v>0</v>
      </c>
      <c r="I299" t="n">
        <v>0</v>
      </c>
      <c r="J299" t="n">
        <v>0</v>
      </c>
      <c r="K299" t="n">
        <v>0</v>
      </c>
      <c r="L299" t="n">
        <v>0</v>
      </c>
      <c r="M299" t="n">
        <v>0</v>
      </c>
      <c r="N299" t="n">
        <v>0</v>
      </c>
      <c r="O299" t="n">
        <v>0</v>
      </c>
      <c r="P299" t="n">
        <v>0</v>
      </c>
      <c r="Q299" t="n">
        <v>0</v>
      </c>
      <c r="R299" s="2" t="inlineStr"/>
    </row>
    <row r="300" ht="15" customHeight="1">
      <c r="A300" t="inlineStr">
        <is>
          <t>A 12189-2024</t>
        </is>
      </c>
      <c r="B300" s="1" t="n">
        <v>45377.94945601852</v>
      </c>
      <c r="C300" s="1" t="n">
        <v>45890</v>
      </c>
      <c r="D300" t="inlineStr">
        <is>
          <t>VÄSTERBOTTENS LÄN</t>
        </is>
      </c>
      <c r="E300" t="inlineStr">
        <is>
          <t>VILHELMINA</t>
        </is>
      </c>
      <c r="F300" t="inlineStr">
        <is>
          <t>SCA</t>
        </is>
      </c>
      <c r="G300" t="n">
        <v>2.8</v>
      </c>
      <c r="H300" t="n">
        <v>0</v>
      </c>
      <c r="I300" t="n">
        <v>0</v>
      </c>
      <c r="J300" t="n">
        <v>0</v>
      </c>
      <c r="K300" t="n">
        <v>0</v>
      </c>
      <c r="L300" t="n">
        <v>0</v>
      </c>
      <c r="M300" t="n">
        <v>0</v>
      </c>
      <c r="N300" t="n">
        <v>0</v>
      </c>
      <c r="O300" t="n">
        <v>0</v>
      </c>
      <c r="P300" t="n">
        <v>0</v>
      </c>
      <c r="Q300" t="n">
        <v>0</v>
      </c>
      <c r="R300" s="2" t="inlineStr"/>
    </row>
    <row r="301" ht="15" customHeight="1">
      <c r="A301" t="inlineStr">
        <is>
          <t>A 30582-2024</t>
        </is>
      </c>
      <c r="B301" s="1" t="n">
        <v>45492</v>
      </c>
      <c r="C301" s="1" t="n">
        <v>45890</v>
      </c>
      <c r="D301" t="inlineStr">
        <is>
          <t>VÄSTERBOTTENS LÄN</t>
        </is>
      </c>
      <c r="E301" t="inlineStr">
        <is>
          <t>VILHELMINA</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18398-2025</t>
        </is>
      </c>
      <c r="B302" s="1" t="n">
        <v>45762.59491898148</v>
      </c>
      <c r="C302" s="1" t="n">
        <v>45890</v>
      </c>
      <c r="D302" t="inlineStr">
        <is>
          <t>VÄSTERBOTTENS LÄN</t>
        </is>
      </c>
      <c r="E302" t="inlineStr">
        <is>
          <t>VILHELMINA</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25102-2021</t>
        </is>
      </c>
      <c r="B303" s="1" t="n">
        <v>44341</v>
      </c>
      <c r="C303" s="1" t="n">
        <v>45890</v>
      </c>
      <c r="D303" t="inlineStr">
        <is>
          <t>VÄSTERBOTTENS LÄN</t>
        </is>
      </c>
      <c r="E303" t="inlineStr">
        <is>
          <t>VILHELMINA</t>
        </is>
      </c>
      <c r="G303" t="n">
        <v>6.7</v>
      </c>
      <c r="H303" t="n">
        <v>0</v>
      </c>
      <c r="I303" t="n">
        <v>0</v>
      </c>
      <c r="J303" t="n">
        <v>0</v>
      </c>
      <c r="K303" t="n">
        <v>0</v>
      </c>
      <c r="L303" t="n">
        <v>0</v>
      </c>
      <c r="M303" t="n">
        <v>0</v>
      </c>
      <c r="N303" t="n">
        <v>0</v>
      </c>
      <c r="O303" t="n">
        <v>0</v>
      </c>
      <c r="P303" t="n">
        <v>0</v>
      </c>
      <c r="Q303" t="n">
        <v>0</v>
      </c>
      <c r="R303" s="2" t="inlineStr"/>
    </row>
    <row r="304" ht="15" customHeight="1">
      <c r="A304" t="inlineStr">
        <is>
          <t>A 14961-2022</t>
        </is>
      </c>
      <c r="B304" s="1" t="n">
        <v>44657</v>
      </c>
      <c r="C304" s="1" t="n">
        <v>45890</v>
      </c>
      <c r="D304" t="inlineStr">
        <is>
          <t>VÄSTERBOTTENS LÄN</t>
        </is>
      </c>
      <c r="E304" t="inlineStr">
        <is>
          <t>VILHELMINA</t>
        </is>
      </c>
      <c r="G304" t="n">
        <v>19.9</v>
      </c>
      <c r="H304" t="n">
        <v>0</v>
      </c>
      <c r="I304" t="n">
        <v>0</v>
      </c>
      <c r="J304" t="n">
        <v>0</v>
      </c>
      <c r="K304" t="n">
        <v>0</v>
      </c>
      <c r="L304" t="n">
        <v>0</v>
      </c>
      <c r="M304" t="n">
        <v>0</v>
      </c>
      <c r="N304" t="n">
        <v>0</v>
      </c>
      <c r="O304" t="n">
        <v>0</v>
      </c>
      <c r="P304" t="n">
        <v>0</v>
      </c>
      <c r="Q304" t="n">
        <v>0</v>
      </c>
      <c r="R304" s="2" t="inlineStr"/>
    </row>
    <row r="305" ht="15" customHeight="1">
      <c r="A305" t="inlineStr">
        <is>
          <t>A 58450-2024</t>
        </is>
      </c>
      <c r="B305" s="1" t="n">
        <v>45635.34425925926</v>
      </c>
      <c r="C305" s="1" t="n">
        <v>45890</v>
      </c>
      <c r="D305" t="inlineStr">
        <is>
          <t>VÄSTERBOTTENS LÄN</t>
        </is>
      </c>
      <c r="E305" t="inlineStr">
        <is>
          <t>VILHELMINA</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8759-2023</t>
        </is>
      </c>
      <c r="B306" s="1" t="n">
        <v>44972</v>
      </c>
      <c r="C306" s="1" t="n">
        <v>45890</v>
      </c>
      <c r="D306" t="inlineStr">
        <is>
          <t>VÄSTERBOTTENS LÄN</t>
        </is>
      </c>
      <c r="E306" t="inlineStr">
        <is>
          <t>VILHELMINA</t>
        </is>
      </c>
      <c r="F306" t="inlineStr">
        <is>
          <t>Allmännings- och besparingsskogar</t>
        </is>
      </c>
      <c r="G306" t="n">
        <v>23.4</v>
      </c>
      <c r="H306" t="n">
        <v>0</v>
      </c>
      <c r="I306" t="n">
        <v>0</v>
      </c>
      <c r="J306" t="n">
        <v>0</v>
      </c>
      <c r="K306" t="n">
        <v>0</v>
      </c>
      <c r="L306" t="n">
        <v>0</v>
      </c>
      <c r="M306" t="n">
        <v>0</v>
      </c>
      <c r="N306" t="n">
        <v>0</v>
      </c>
      <c r="O306" t="n">
        <v>0</v>
      </c>
      <c r="P306" t="n">
        <v>0</v>
      </c>
      <c r="Q306" t="n">
        <v>0</v>
      </c>
      <c r="R306" s="2" t="inlineStr"/>
    </row>
    <row r="307" ht="15" customHeight="1">
      <c r="A307" t="inlineStr">
        <is>
          <t>A 32921-2024</t>
        </is>
      </c>
      <c r="B307" s="1" t="n">
        <v>45516.9525462963</v>
      </c>
      <c r="C307" s="1" t="n">
        <v>45890</v>
      </c>
      <c r="D307" t="inlineStr">
        <is>
          <t>VÄSTERBOTTENS LÄN</t>
        </is>
      </c>
      <c r="E307" t="inlineStr">
        <is>
          <t>VILHELMINA</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237-2025</t>
        </is>
      </c>
      <c r="B308" s="1" t="n">
        <v>45660.40270833333</v>
      </c>
      <c r="C308" s="1" t="n">
        <v>45890</v>
      </c>
      <c r="D308" t="inlineStr">
        <is>
          <t>VÄSTERBOTTENS LÄN</t>
        </is>
      </c>
      <c r="E308" t="inlineStr">
        <is>
          <t>VILHELMINA</t>
        </is>
      </c>
      <c r="G308" t="n">
        <v>4.6</v>
      </c>
      <c r="H308" t="n">
        <v>0</v>
      </c>
      <c r="I308" t="n">
        <v>0</v>
      </c>
      <c r="J308" t="n">
        <v>0</v>
      </c>
      <c r="K308" t="n">
        <v>0</v>
      </c>
      <c r="L308" t="n">
        <v>0</v>
      </c>
      <c r="M308" t="n">
        <v>0</v>
      </c>
      <c r="N308" t="n">
        <v>0</v>
      </c>
      <c r="O308" t="n">
        <v>0</v>
      </c>
      <c r="P308" t="n">
        <v>0</v>
      </c>
      <c r="Q308" t="n">
        <v>0</v>
      </c>
      <c r="R308" s="2" t="inlineStr"/>
    </row>
    <row r="309" ht="15" customHeight="1">
      <c r="A309" t="inlineStr">
        <is>
          <t>A 242-2025</t>
        </is>
      </c>
      <c r="B309" s="1" t="n">
        <v>45660.41033564815</v>
      </c>
      <c r="C309" s="1" t="n">
        <v>45890</v>
      </c>
      <c r="D309" t="inlineStr">
        <is>
          <t>VÄSTERBOTTENS LÄN</t>
        </is>
      </c>
      <c r="E309" t="inlineStr">
        <is>
          <t>VILHELMINA</t>
        </is>
      </c>
      <c r="G309" t="n">
        <v>2.7</v>
      </c>
      <c r="H309" t="n">
        <v>0</v>
      </c>
      <c r="I309" t="n">
        <v>0</v>
      </c>
      <c r="J309" t="n">
        <v>0</v>
      </c>
      <c r="K309" t="n">
        <v>0</v>
      </c>
      <c r="L309" t="n">
        <v>0</v>
      </c>
      <c r="M309" t="n">
        <v>0</v>
      </c>
      <c r="N309" t="n">
        <v>0</v>
      </c>
      <c r="O309" t="n">
        <v>0</v>
      </c>
      <c r="P309" t="n">
        <v>0</v>
      </c>
      <c r="Q309" t="n">
        <v>0</v>
      </c>
      <c r="R309" s="2" t="inlineStr"/>
    </row>
    <row r="310" ht="15" customHeight="1">
      <c r="A310" t="inlineStr">
        <is>
          <t>A 55870-2022</t>
        </is>
      </c>
      <c r="B310" s="1" t="n">
        <v>44888</v>
      </c>
      <c r="C310" s="1" t="n">
        <v>45890</v>
      </c>
      <c r="D310" t="inlineStr">
        <is>
          <t>VÄSTERBOTTENS LÄN</t>
        </is>
      </c>
      <c r="E310" t="inlineStr">
        <is>
          <t>VILHELMINA</t>
        </is>
      </c>
      <c r="G310" t="n">
        <v>13.6</v>
      </c>
      <c r="H310" t="n">
        <v>0</v>
      </c>
      <c r="I310" t="n">
        <v>0</v>
      </c>
      <c r="J310" t="n">
        <v>0</v>
      </c>
      <c r="K310" t="n">
        <v>0</v>
      </c>
      <c r="L310" t="n">
        <v>0</v>
      </c>
      <c r="M310" t="n">
        <v>0</v>
      </c>
      <c r="N310" t="n">
        <v>0</v>
      </c>
      <c r="O310" t="n">
        <v>0</v>
      </c>
      <c r="P310" t="n">
        <v>0</v>
      </c>
      <c r="Q310" t="n">
        <v>0</v>
      </c>
      <c r="R310" s="2" t="inlineStr"/>
    </row>
    <row r="311" ht="15" customHeight="1">
      <c r="A311" t="inlineStr">
        <is>
          <t>A 16720-2025</t>
        </is>
      </c>
      <c r="B311" s="1" t="n">
        <v>45754.49039351852</v>
      </c>
      <c r="C311" s="1" t="n">
        <v>45890</v>
      </c>
      <c r="D311" t="inlineStr">
        <is>
          <t>VÄSTERBOTTENS LÄN</t>
        </is>
      </c>
      <c r="E311" t="inlineStr">
        <is>
          <t>VILHELMINA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19401-2023</t>
        </is>
      </c>
      <c r="B312" s="1" t="n">
        <v>45048</v>
      </c>
      <c r="C312" s="1" t="n">
        <v>45890</v>
      </c>
      <c r="D312" t="inlineStr">
        <is>
          <t>VÄSTERBOTTENS LÄN</t>
        </is>
      </c>
      <c r="E312" t="inlineStr">
        <is>
          <t>VILHELMINA</t>
        </is>
      </c>
      <c r="G312" t="n">
        <v>5.4</v>
      </c>
      <c r="H312" t="n">
        <v>0</v>
      </c>
      <c r="I312" t="n">
        <v>0</v>
      </c>
      <c r="J312" t="n">
        <v>0</v>
      </c>
      <c r="K312" t="n">
        <v>0</v>
      </c>
      <c r="L312" t="n">
        <v>0</v>
      </c>
      <c r="M312" t="n">
        <v>0</v>
      </c>
      <c r="N312" t="n">
        <v>0</v>
      </c>
      <c r="O312" t="n">
        <v>0</v>
      </c>
      <c r="P312" t="n">
        <v>0</v>
      </c>
      <c r="Q312" t="n">
        <v>0</v>
      </c>
      <c r="R312" s="2" t="inlineStr"/>
    </row>
    <row r="313" ht="15" customHeight="1">
      <c r="A313" t="inlineStr">
        <is>
          <t>A 38674-2023</t>
        </is>
      </c>
      <c r="B313" s="1" t="n">
        <v>45162.94335648148</v>
      </c>
      <c r="C313" s="1" t="n">
        <v>45890</v>
      </c>
      <c r="D313" t="inlineStr">
        <is>
          <t>VÄSTERBOTTENS LÄN</t>
        </is>
      </c>
      <c r="E313" t="inlineStr">
        <is>
          <t>VILHELMINA</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16721-2025</t>
        </is>
      </c>
      <c r="B314" s="1" t="n">
        <v>45754.49045138889</v>
      </c>
      <c r="C314" s="1" t="n">
        <v>45890</v>
      </c>
      <c r="D314" t="inlineStr">
        <is>
          <t>VÄSTERBOTTENS LÄN</t>
        </is>
      </c>
      <c r="E314" t="inlineStr">
        <is>
          <t>VILHELMINA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12866-2023</t>
        </is>
      </c>
      <c r="B315" s="1" t="n">
        <v>45000</v>
      </c>
      <c r="C315" s="1" t="n">
        <v>45890</v>
      </c>
      <c r="D315" t="inlineStr">
        <is>
          <t>VÄSTERBOTTENS LÄN</t>
        </is>
      </c>
      <c r="E315" t="inlineStr">
        <is>
          <t>VILHELMINA</t>
        </is>
      </c>
      <c r="G315" t="n">
        <v>2.6</v>
      </c>
      <c r="H315" t="n">
        <v>0</v>
      </c>
      <c r="I315" t="n">
        <v>0</v>
      </c>
      <c r="J315" t="n">
        <v>0</v>
      </c>
      <c r="K315" t="n">
        <v>0</v>
      </c>
      <c r="L315" t="n">
        <v>0</v>
      </c>
      <c r="M315" t="n">
        <v>0</v>
      </c>
      <c r="N315" t="n">
        <v>0</v>
      </c>
      <c r="O315" t="n">
        <v>0</v>
      </c>
      <c r="P315" t="n">
        <v>0</v>
      </c>
      <c r="Q315" t="n">
        <v>0</v>
      </c>
      <c r="R315" s="2" t="inlineStr"/>
    </row>
    <row r="316" ht="15" customHeight="1">
      <c r="A316" t="inlineStr">
        <is>
          <t>A 62630-2022</t>
        </is>
      </c>
      <c r="B316" s="1" t="n">
        <v>44917</v>
      </c>
      <c r="C316" s="1" t="n">
        <v>45890</v>
      </c>
      <c r="D316" t="inlineStr">
        <is>
          <t>VÄSTERBOTTENS LÄN</t>
        </is>
      </c>
      <c r="E316" t="inlineStr">
        <is>
          <t>VILHELMINA</t>
        </is>
      </c>
      <c r="G316" t="n">
        <v>0.9</v>
      </c>
      <c r="H316" t="n">
        <v>0</v>
      </c>
      <c r="I316" t="n">
        <v>0</v>
      </c>
      <c r="J316" t="n">
        <v>0</v>
      </c>
      <c r="K316" t="n">
        <v>0</v>
      </c>
      <c r="L316" t="n">
        <v>0</v>
      </c>
      <c r="M316" t="n">
        <v>0</v>
      </c>
      <c r="N316" t="n">
        <v>0</v>
      </c>
      <c r="O316" t="n">
        <v>0</v>
      </c>
      <c r="P316" t="n">
        <v>0</v>
      </c>
      <c r="Q316" t="n">
        <v>0</v>
      </c>
      <c r="R316" s="2" t="inlineStr"/>
    </row>
    <row r="317" ht="15" customHeight="1">
      <c r="A317" t="inlineStr">
        <is>
          <t>A 28695-2024</t>
        </is>
      </c>
      <c r="B317" s="1" t="n">
        <v>45478</v>
      </c>
      <c r="C317" s="1" t="n">
        <v>45890</v>
      </c>
      <c r="D317" t="inlineStr">
        <is>
          <t>VÄSTERBOTTENS LÄN</t>
        </is>
      </c>
      <c r="E317" t="inlineStr">
        <is>
          <t>VILHELMINA</t>
        </is>
      </c>
      <c r="F317" t="inlineStr">
        <is>
          <t>Allmännings- och besparingsskogar</t>
        </is>
      </c>
      <c r="G317" t="n">
        <v>3.1</v>
      </c>
      <c r="H317" t="n">
        <v>0</v>
      </c>
      <c r="I317" t="n">
        <v>0</v>
      </c>
      <c r="J317" t="n">
        <v>0</v>
      </c>
      <c r="K317" t="n">
        <v>0</v>
      </c>
      <c r="L317" t="n">
        <v>0</v>
      </c>
      <c r="M317" t="n">
        <v>0</v>
      </c>
      <c r="N317" t="n">
        <v>0</v>
      </c>
      <c r="O317" t="n">
        <v>0</v>
      </c>
      <c r="P317" t="n">
        <v>0</v>
      </c>
      <c r="Q317" t="n">
        <v>0</v>
      </c>
      <c r="R317" s="2" t="inlineStr"/>
    </row>
    <row r="318" ht="15" customHeight="1">
      <c r="A318" t="inlineStr">
        <is>
          <t>A 40468-2021</t>
        </is>
      </c>
      <c r="B318" s="1" t="n">
        <v>44419.94174768519</v>
      </c>
      <c r="C318" s="1" t="n">
        <v>45890</v>
      </c>
      <c r="D318" t="inlineStr">
        <is>
          <t>VÄSTERBOTTENS LÄN</t>
        </is>
      </c>
      <c r="E318" t="inlineStr">
        <is>
          <t>VILHELMINA</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29954-2023</t>
        </is>
      </c>
      <c r="B319" s="1" t="n">
        <v>45107</v>
      </c>
      <c r="C319" s="1" t="n">
        <v>45890</v>
      </c>
      <c r="D319" t="inlineStr">
        <is>
          <t>VÄSTERBOTTENS LÄN</t>
        </is>
      </c>
      <c r="E319" t="inlineStr">
        <is>
          <t>VILHELMINA</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28486-2022</t>
        </is>
      </c>
      <c r="B320" s="1" t="n">
        <v>44747</v>
      </c>
      <c r="C320" s="1" t="n">
        <v>45890</v>
      </c>
      <c r="D320" t="inlineStr">
        <is>
          <t>VÄSTERBOTTENS LÄN</t>
        </is>
      </c>
      <c r="E320" t="inlineStr">
        <is>
          <t>VILHELMINA</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15884-2025</t>
        </is>
      </c>
      <c r="B321" s="1" t="n">
        <v>45749</v>
      </c>
      <c r="C321" s="1" t="n">
        <v>45890</v>
      </c>
      <c r="D321" t="inlineStr">
        <is>
          <t>VÄSTERBOTTENS LÄN</t>
        </is>
      </c>
      <c r="E321" t="inlineStr">
        <is>
          <t>VILHELMINA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12763-2025</t>
        </is>
      </c>
      <c r="B322" s="1" t="n">
        <v>45733</v>
      </c>
      <c r="C322" s="1" t="n">
        <v>45890</v>
      </c>
      <c r="D322" t="inlineStr">
        <is>
          <t>VÄSTERBOTTENS LÄN</t>
        </is>
      </c>
      <c r="E322" t="inlineStr">
        <is>
          <t>VILHELMINA</t>
        </is>
      </c>
      <c r="F322" t="inlineStr">
        <is>
          <t>SCA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51134-2024</t>
        </is>
      </c>
      <c r="B323" s="1" t="n">
        <v>45603</v>
      </c>
      <c r="C323" s="1" t="n">
        <v>45890</v>
      </c>
      <c r="D323" t="inlineStr">
        <is>
          <t>VÄSTERBOTTENS LÄN</t>
        </is>
      </c>
      <c r="E323" t="inlineStr">
        <is>
          <t>VILHELMINA</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32925-2024</t>
        </is>
      </c>
      <c r="B324" s="1" t="n">
        <v>45516.95302083333</v>
      </c>
      <c r="C324" s="1" t="n">
        <v>45890</v>
      </c>
      <c r="D324" t="inlineStr">
        <is>
          <t>VÄSTERBOTTENS LÄN</t>
        </is>
      </c>
      <c r="E324" t="inlineStr">
        <is>
          <t>VILHELMINA</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32926-2024</t>
        </is>
      </c>
      <c r="B325" s="1" t="n">
        <v>45516.95311342592</v>
      </c>
      <c r="C325" s="1" t="n">
        <v>45890</v>
      </c>
      <c r="D325" t="inlineStr">
        <is>
          <t>VÄSTERBOTTENS LÄN</t>
        </is>
      </c>
      <c r="E325" t="inlineStr">
        <is>
          <t>VILHELMINA</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52746-2023</t>
        </is>
      </c>
      <c r="B326" s="1" t="n">
        <v>45225.96753472222</v>
      </c>
      <c r="C326" s="1" t="n">
        <v>45890</v>
      </c>
      <c r="D326" t="inlineStr">
        <is>
          <t>VÄSTERBOTTENS LÄN</t>
        </is>
      </c>
      <c r="E326" t="inlineStr">
        <is>
          <t>VILHELMINA</t>
        </is>
      </c>
      <c r="F326" t="inlineStr">
        <is>
          <t>SCA</t>
        </is>
      </c>
      <c r="G326" t="n">
        <v>10.4</v>
      </c>
      <c r="H326" t="n">
        <v>0</v>
      </c>
      <c r="I326" t="n">
        <v>0</v>
      </c>
      <c r="J326" t="n">
        <v>0</v>
      </c>
      <c r="K326" t="n">
        <v>0</v>
      </c>
      <c r="L326" t="n">
        <v>0</v>
      </c>
      <c r="M326" t="n">
        <v>0</v>
      </c>
      <c r="N326" t="n">
        <v>0</v>
      </c>
      <c r="O326" t="n">
        <v>0</v>
      </c>
      <c r="P326" t="n">
        <v>0</v>
      </c>
      <c r="Q326" t="n">
        <v>0</v>
      </c>
      <c r="R326" s="2" t="inlineStr"/>
    </row>
    <row r="327" ht="15" customHeight="1">
      <c r="A327" t="inlineStr">
        <is>
          <t>A 46164-2023</t>
        </is>
      </c>
      <c r="B327" s="1" t="n">
        <v>45190</v>
      </c>
      <c r="C327" s="1" t="n">
        <v>45890</v>
      </c>
      <c r="D327" t="inlineStr">
        <is>
          <t>VÄSTERBOTTENS LÄN</t>
        </is>
      </c>
      <c r="E327" t="inlineStr">
        <is>
          <t>VILHELMINA</t>
        </is>
      </c>
      <c r="G327" t="n">
        <v>6.3</v>
      </c>
      <c r="H327" t="n">
        <v>0</v>
      </c>
      <c r="I327" t="n">
        <v>0</v>
      </c>
      <c r="J327" t="n">
        <v>0</v>
      </c>
      <c r="K327" t="n">
        <v>0</v>
      </c>
      <c r="L327" t="n">
        <v>0</v>
      </c>
      <c r="M327" t="n">
        <v>0</v>
      </c>
      <c r="N327" t="n">
        <v>0</v>
      </c>
      <c r="O327" t="n">
        <v>0</v>
      </c>
      <c r="P327" t="n">
        <v>0</v>
      </c>
      <c r="Q327" t="n">
        <v>0</v>
      </c>
      <c r="R327" s="2" t="inlineStr"/>
    </row>
    <row r="328" ht="15" customHeight="1">
      <c r="A328" t="inlineStr">
        <is>
          <t>A 58505-2024</t>
        </is>
      </c>
      <c r="B328" s="1" t="n">
        <v>45635</v>
      </c>
      <c r="C328" s="1" t="n">
        <v>45890</v>
      </c>
      <c r="D328" t="inlineStr">
        <is>
          <t>VÄSTERBOTTENS LÄN</t>
        </is>
      </c>
      <c r="E328" t="inlineStr">
        <is>
          <t>VILHELMINA</t>
        </is>
      </c>
      <c r="G328" t="n">
        <v>2.9</v>
      </c>
      <c r="H328" t="n">
        <v>0</v>
      </c>
      <c r="I328" t="n">
        <v>0</v>
      </c>
      <c r="J328" t="n">
        <v>0</v>
      </c>
      <c r="K328" t="n">
        <v>0</v>
      </c>
      <c r="L328" t="n">
        <v>0</v>
      </c>
      <c r="M328" t="n">
        <v>0</v>
      </c>
      <c r="N328" t="n">
        <v>0</v>
      </c>
      <c r="O328" t="n">
        <v>0</v>
      </c>
      <c r="P328" t="n">
        <v>0</v>
      </c>
      <c r="Q328" t="n">
        <v>0</v>
      </c>
      <c r="R328" s="2" t="inlineStr"/>
    </row>
    <row r="329" ht="15" customHeight="1">
      <c r="A329" t="inlineStr">
        <is>
          <t>A 60035-2023</t>
        </is>
      </c>
      <c r="B329" s="1" t="n">
        <v>45254</v>
      </c>
      <c r="C329" s="1" t="n">
        <v>45890</v>
      </c>
      <c r="D329" t="inlineStr">
        <is>
          <t>VÄSTERBOTTENS LÄN</t>
        </is>
      </c>
      <c r="E329" t="inlineStr">
        <is>
          <t>VILHELMINA</t>
        </is>
      </c>
      <c r="G329" t="n">
        <v>2</v>
      </c>
      <c r="H329" t="n">
        <v>0</v>
      </c>
      <c r="I329" t="n">
        <v>0</v>
      </c>
      <c r="J329" t="n">
        <v>0</v>
      </c>
      <c r="K329" t="n">
        <v>0</v>
      </c>
      <c r="L329" t="n">
        <v>0</v>
      </c>
      <c r="M329" t="n">
        <v>0</v>
      </c>
      <c r="N329" t="n">
        <v>0</v>
      </c>
      <c r="O329" t="n">
        <v>0</v>
      </c>
      <c r="P329" t="n">
        <v>0</v>
      </c>
      <c r="Q329" t="n">
        <v>0</v>
      </c>
      <c r="R329" s="2" t="inlineStr"/>
    </row>
    <row r="330" ht="15" customHeight="1">
      <c r="A330" t="inlineStr">
        <is>
          <t>A 23270-2021</t>
        </is>
      </c>
      <c r="B330" s="1" t="n">
        <v>44328</v>
      </c>
      <c r="C330" s="1" t="n">
        <v>45890</v>
      </c>
      <c r="D330" t="inlineStr">
        <is>
          <t>VÄSTERBOTTENS LÄN</t>
        </is>
      </c>
      <c r="E330" t="inlineStr">
        <is>
          <t>VILHELMINA</t>
        </is>
      </c>
      <c r="F330" t="inlineStr">
        <is>
          <t>Allmännings- och besparingsskogar</t>
        </is>
      </c>
      <c r="G330" t="n">
        <v>14.7</v>
      </c>
      <c r="H330" t="n">
        <v>0</v>
      </c>
      <c r="I330" t="n">
        <v>0</v>
      </c>
      <c r="J330" t="n">
        <v>0</v>
      </c>
      <c r="K330" t="n">
        <v>0</v>
      </c>
      <c r="L330" t="n">
        <v>0</v>
      </c>
      <c r="M330" t="n">
        <v>0</v>
      </c>
      <c r="N330" t="n">
        <v>0</v>
      </c>
      <c r="O330" t="n">
        <v>0</v>
      </c>
      <c r="P330" t="n">
        <v>0</v>
      </c>
      <c r="Q330" t="n">
        <v>0</v>
      </c>
      <c r="R330" s="2" t="inlineStr"/>
    </row>
    <row r="331" ht="15" customHeight="1">
      <c r="A331" t="inlineStr">
        <is>
          <t>A 37714-2024</t>
        </is>
      </c>
      <c r="B331" s="1" t="n">
        <v>45541.63569444444</v>
      </c>
      <c r="C331" s="1" t="n">
        <v>45890</v>
      </c>
      <c r="D331" t="inlineStr">
        <is>
          <t>VÄSTERBOTTENS LÄN</t>
        </is>
      </c>
      <c r="E331" t="inlineStr">
        <is>
          <t>VILHELMINA</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37715-2024</t>
        </is>
      </c>
      <c r="B332" s="1" t="n">
        <v>45541.63581018519</v>
      </c>
      <c r="C332" s="1" t="n">
        <v>45890</v>
      </c>
      <c r="D332" t="inlineStr">
        <is>
          <t>VÄSTERBOTTENS LÄN</t>
        </is>
      </c>
      <c r="E332" t="inlineStr">
        <is>
          <t>VILHELMINA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49241-2024</t>
        </is>
      </c>
      <c r="B333" s="1" t="n">
        <v>45595</v>
      </c>
      <c r="C333" s="1" t="n">
        <v>45890</v>
      </c>
      <c r="D333" t="inlineStr">
        <is>
          <t>VÄSTERBOTTENS LÄN</t>
        </is>
      </c>
      <c r="E333" t="inlineStr">
        <is>
          <t>VILHELMINA</t>
        </is>
      </c>
      <c r="G333" t="n">
        <v>1.4</v>
      </c>
      <c r="H333" t="n">
        <v>0</v>
      </c>
      <c r="I333" t="n">
        <v>0</v>
      </c>
      <c r="J333" t="n">
        <v>0</v>
      </c>
      <c r="K333" t="n">
        <v>0</v>
      </c>
      <c r="L333" t="n">
        <v>0</v>
      </c>
      <c r="M333" t="n">
        <v>0</v>
      </c>
      <c r="N333" t="n">
        <v>0</v>
      </c>
      <c r="O333" t="n">
        <v>0</v>
      </c>
      <c r="P333" t="n">
        <v>0</v>
      </c>
      <c r="Q333" t="n">
        <v>0</v>
      </c>
      <c r="R333" s="2" t="inlineStr"/>
    </row>
    <row r="334" ht="15" customHeight="1">
      <c r="A334" t="inlineStr">
        <is>
          <t>A 10418-2023</t>
        </is>
      </c>
      <c r="B334" s="1" t="n">
        <v>44987</v>
      </c>
      <c r="C334" s="1" t="n">
        <v>45890</v>
      </c>
      <c r="D334" t="inlineStr">
        <is>
          <t>VÄSTERBOTTENS LÄN</t>
        </is>
      </c>
      <c r="E334" t="inlineStr">
        <is>
          <t>VILHELMINA</t>
        </is>
      </c>
      <c r="G334" t="n">
        <v>3.2</v>
      </c>
      <c r="H334" t="n">
        <v>0</v>
      </c>
      <c r="I334" t="n">
        <v>0</v>
      </c>
      <c r="J334" t="n">
        <v>0</v>
      </c>
      <c r="K334" t="n">
        <v>0</v>
      </c>
      <c r="L334" t="n">
        <v>0</v>
      </c>
      <c r="M334" t="n">
        <v>0</v>
      </c>
      <c r="N334" t="n">
        <v>0</v>
      </c>
      <c r="O334" t="n">
        <v>0</v>
      </c>
      <c r="P334" t="n">
        <v>0</v>
      </c>
      <c r="Q334" t="n">
        <v>0</v>
      </c>
      <c r="R334" s="2" t="inlineStr"/>
    </row>
    <row r="335" ht="15" customHeight="1">
      <c r="A335" t="inlineStr">
        <is>
          <t>A 57470-2024</t>
        </is>
      </c>
      <c r="B335" s="1" t="n">
        <v>45630</v>
      </c>
      <c r="C335" s="1" t="n">
        <v>45890</v>
      </c>
      <c r="D335" t="inlineStr">
        <is>
          <t>VÄSTERBOTTENS LÄN</t>
        </is>
      </c>
      <c r="E335" t="inlineStr">
        <is>
          <t>VILHELMINA</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34719-2024</t>
        </is>
      </c>
      <c r="B336" s="1" t="n">
        <v>45526.56435185186</v>
      </c>
      <c r="C336" s="1" t="n">
        <v>45890</v>
      </c>
      <c r="D336" t="inlineStr">
        <is>
          <t>VÄSTERBOTTENS LÄN</t>
        </is>
      </c>
      <c r="E336" t="inlineStr">
        <is>
          <t>VILHELMINA</t>
        </is>
      </c>
      <c r="G336" t="n">
        <v>1.7</v>
      </c>
      <c r="H336" t="n">
        <v>0</v>
      </c>
      <c r="I336" t="n">
        <v>0</v>
      </c>
      <c r="J336" t="n">
        <v>0</v>
      </c>
      <c r="K336" t="n">
        <v>0</v>
      </c>
      <c r="L336" t="n">
        <v>0</v>
      </c>
      <c r="M336" t="n">
        <v>0</v>
      </c>
      <c r="N336" t="n">
        <v>0</v>
      </c>
      <c r="O336" t="n">
        <v>0</v>
      </c>
      <c r="P336" t="n">
        <v>0</v>
      </c>
      <c r="Q336" t="n">
        <v>0</v>
      </c>
      <c r="R336" s="2" t="inlineStr"/>
    </row>
    <row r="337" ht="15" customHeight="1">
      <c r="A337" t="inlineStr">
        <is>
          <t>A 65146-2021</t>
        </is>
      </c>
      <c r="B337" s="1" t="n">
        <v>44515</v>
      </c>
      <c r="C337" s="1" t="n">
        <v>45890</v>
      </c>
      <c r="D337" t="inlineStr">
        <is>
          <t>VÄSTERBOTTENS LÄN</t>
        </is>
      </c>
      <c r="E337" t="inlineStr">
        <is>
          <t>VILHELMINA</t>
        </is>
      </c>
      <c r="G337" t="n">
        <v>7.4</v>
      </c>
      <c r="H337" t="n">
        <v>0</v>
      </c>
      <c r="I337" t="n">
        <v>0</v>
      </c>
      <c r="J337" t="n">
        <v>0</v>
      </c>
      <c r="K337" t="n">
        <v>0</v>
      </c>
      <c r="L337" t="n">
        <v>0</v>
      </c>
      <c r="M337" t="n">
        <v>0</v>
      </c>
      <c r="N337" t="n">
        <v>0</v>
      </c>
      <c r="O337" t="n">
        <v>0</v>
      </c>
      <c r="P337" t="n">
        <v>0</v>
      </c>
      <c r="Q337" t="n">
        <v>0</v>
      </c>
      <c r="R337" s="2" t="inlineStr"/>
    </row>
    <row r="338" ht="15" customHeight="1">
      <c r="A338" t="inlineStr">
        <is>
          <t>A 61953-2024</t>
        </is>
      </c>
      <c r="B338" s="1" t="n">
        <v>45653.5150462963</v>
      </c>
      <c r="C338" s="1" t="n">
        <v>45890</v>
      </c>
      <c r="D338" t="inlineStr">
        <is>
          <t>VÄSTERBOTTENS LÄN</t>
        </is>
      </c>
      <c r="E338" t="inlineStr">
        <is>
          <t>VILHELMINA</t>
        </is>
      </c>
      <c r="F338" t="inlineStr">
        <is>
          <t>Kommuner</t>
        </is>
      </c>
      <c r="G338" t="n">
        <v>10.2</v>
      </c>
      <c r="H338" t="n">
        <v>0</v>
      </c>
      <c r="I338" t="n">
        <v>0</v>
      </c>
      <c r="J338" t="n">
        <v>0</v>
      </c>
      <c r="K338" t="n">
        <v>0</v>
      </c>
      <c r="L338" t="n">
        <v>0</v>
      </c>
      <c r="M338" t="n">
        <v>0</v>
      </c>
      <c r="N338" t="n">
        <v>0</v>
      </c>
      <c r="O338" t="n">
        <v>0</v>
      </c>
      <c r="P338" t="n">
        <v>0</v>
      </c>
      <c r="Q338" t="n">
        <v>0</v>
      </c>
      <c r="R338" s="2" t="inlineStr"/>
    </row>
    <row r="339" ht="15" customHeight="1">
      <c r="A339" t="inlineStr">
        <is>
          <t>A 18394-2025</t>
        </is>
      </c>
      <c r="B339" s="1" t="n">
        <v>45762</v>
      </c>
      <c r="C339" s="1" t="n">
        <v>45890</v>
      </c>
      <c r="D339" t="inlineStr">
        <is>
          <t>VÄSTERBOTTENS LÄN</t>
        </is>
      </c>
      <c r="E339" t="inlineStr">
        <is>
          <t>VILHELMINA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18396-2025</t>
        </is>
      </c>
      <c r="B340" s="1" t="n">
        <v>45762.59456018519</v>
      </c>
      <c r="C340" s="1" t="n">
        <v>45890</v>
      </c>
      <c r="D340" t="inlineStr">
        <is>
          <t>VÄSTERBOTTENS LÄN</t>
        </is>
      </c>
      <c r="E340" t="inlineStr">
        <is>
          <t>VILHELMINA</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35755-2023</t>
        </is>
      </c>
      <c r="B341" s="1" t="n">
        <v>45147.9540625</v>
      </c>
      <c r="C341" s="1" t="n">
        <v>45890</v>
      </c>
      <c r="D341" t="inlineStr">
        <is>
          <t>VÄSTERBOTTENS LÄN</t>
        </is>
      </c>
      <c r="E341" t="inlineStr">
        <is>
          <t>VILHELMINA</t>
        </is>
      </c>
      <c r="F341" t="inlineStr">
        <is>
          <t>SCA</t>
        </is>
      </c>
      <c r="G341" t="n">
        <v>5.9</v>
      </c>
      <c r="H341" t="n">
        <v>0</v>
      </c>
      <c r="I341" t="n">
        <v>0</v>
      </c>
      <c r="J341" t="n">
        <v>0</v>
      </c>
      <c r="K341" t="n">
        <v>0</v>
      </c>
      <c r="L341" t="n">
        <v>0</v>
      </c>
      <c r="M341" t="n">
        <v>0</v>
      </c>
      <c r="N341" t="n">
        <v>0</v>
      </c>
      <c r="O341" t="n">
        <v>0</v>
      </c>
      <c r="P341" t="n">
        <v>0</v>
      </c>
      <c r="Q341" t="n">
        <v>0</v>
      </c>
      <c r="R341" s="2" t="inlineStr"/>
    </row>
    <row r="342" ht="15" customHeight="1">
      <c r="A342" t="inlineStr">
        <is>
          <t>A 5947-2023</t>
        </is>
      </c>
      <c r="B342" s="1" t="n">
        <v>44963.92259259259</v>
      </c>
      <c r="C342" s="1" t="n">
        <v>45890</v>
      </c>
      <c r="D342" t="inlineStr">
        <is>
          <t>VÄSTERBOTTENS LÄN</t>
        </is>
      </c>
      <c r="E342" t="inlineStr">
        <is>
          <t>VILHELMINA</t>
        </is>
      </c>
      <c r="G342" t="n">
        <v>4.3</v>
      </c>
      <c r="H342" t="n">
        <v>0</v>
      </c>
      <c r="I342" t="n">
        <v>0</v>
      </c>
      <c r="J342" t="n">
        <v>0</v>
      </c>
      <c r="K342" t="n">
        <v>0</v>
      </c>
      <c r="L342" t="n">
        <v>0</v>
      </c>
      <c r="M342" t="n">
        <v>0</v>
      </c>
      <c r="N342" t="n">
        <v>0</v>
      </c>
      <c r="O342" t="n">
        <v>0</v>
      </c>
      <c r="P342" t="n">
        <v>0</v>
      </c>
      <c r="Q342" t="n">
        <v>0</v>
      </c>
      <c r="R342" s="2" t="inlineStr"/>
    </row>
    <row r="343" ht="15" customHeight="1">
      <c r="A343" t="inlineStr">
        <is>
          <t>A 3435-2021</t>
        </is>
      </c>
      <c r="B343" s="1" t="n">
        <v>44216</v>
      </c>
      <c r="C343" s="1" t="n">
        <v>45890</v>
      </c>
      <c r="D343" t="inlineStr">
        <is>
          <t>VÄSTERBOTTENS LÄN</t>
        </is>
      </c>
      <c r="E343" t="inlineStr">
        <is>
          <t>VILHELMINA</t>
        </is>
      </c>
      <c r="G343" t="n">
        <v>20.5</v>
      </c>
      <c r="H343" t="n">
        <v>0</v>
      </c>
      <c r="I343" t="n">
        <v>0</v>
      </c>
      <c r="J343" t="n">
        <v>0</v>
      </c>
      <c r="K343" t="n">
        <v>0</v>
      </c>
      <c r="L343" t="n">
        <v>0</v>
      </c>
      <c r="M343" t="n">
        <v>0</v>
      </c>
      <c r="N343" t="n">
        <v>0</v>
      </c>
      <c r="O343" t="n">
        <v>0</v>
      </c>
      <c r="P343" t="n">
        <v>0</v>
      </c>
      <c r="Q343" t="n">
        <v>0</v>
      </c>
      <c r="R343" s="2" t="inlineStr"/>
    </row>
    <row r="344" ht="15" customHeight="1">
      <c r="A344" t="inlineStr">
        <is>
          <t>A 15050-2024</t>
        </is>
      </c>
      <c r="B344" s="1" t="n">
        <v>45399</v>
      </c>
      <c r="C344" s="1" t="n">
        <v>45890</v>
      </c>
      <c r="D344" t="inlineStr">
        <is>
          <t>VÄSTERBOTTENS LÄN</t>
        </is>
      </c>
      <c r="E344" t="inlineStr">
        <is>
          <t>VILHELMINA</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28380-2023</t>
        </is>
      </c>
      <c r="B345" s="1" t="n">
        <v>45099</v>
      </c>
      <c r="C345" s="1" t="n">
        <v>45890</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60682-2022</t>
        </is>
      </c>
      <c r="B346" s="1" t="n">
        <v>44911.94</v>
      </c>
      <c r="C346" s="1" t="n">
        <v>45890</v>
      </c>
      <c r="D346" t="inlineStr">
        <is>
          <t>VÄSTERBOTTENS LÄN</t>
        </is>
      </c>
      <c r="E346" t="inlineStr">
        <is>
          <t>VILHELMINA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36957-2023</t>
        </is>
      </c>
      <c r="B347" s="1" t="n">
        <v>45154.92628472222</v>
      </c>
      <c r="C347" s="1" t="n">
        <v>45890</v>
      </c>
      <c r="D347" t="inlineStr">
        <is>
          <t>VÄSTERBOTTENS LÄN</t>
        </is>
      </c>
      <c r="E347" t="inlineStr">
        <is>
          <t>VILHELMINA</t>
        </is>
      </c>
      <c r="G347" t="n">
        <v>0.5</v>
      </c>
      <c r="H347" t="n">
        <v>0</v>
      </c>
      <c r="I347" t="n">
        <v>0</v>
      </c>
      <c r="J347" t="n">
        <v>0</v>
      </c>
      <c r="K347" t="n">
        <v>0</v>
      </c>
      <c r="L347" t="n">
        <v>0</v>
      </c>
      <c r="M347" t="n">
        <v>0</v>
      </c>
      <c r="N347" t="n">
        <v>0</v>
      </c>
      <c r="O347" t="n">
        <v>0</v>
      </c>
      <c r="P347" t="n">
        <v>0</v>
      </c>
      <c r="Q347" t="n">
        <v>0</v>
      </c>
      <c r="R347" s="2" t="inlineStr"/>
    </row>
    <row r="348" ht="15" customHeight="1">
      <c r="A348" t="inlineStr">
        <is>
          <t>A 37505-2023</t>
        </is>
      </c>
      <c r="B348" s="1" t="n">
        <v>45158.31186342592</v>
      </c>
      <c r="C348" s="1" t="n">
        <v>45890</v>
      </c>
      <c r="D348" t="inlineStr">
        <is>
          <t>VÄSTERBOTTENS LÄN</t>
        </is>
      </c>
      <c r="E348" t="inlineStr">
        <is>
          <t>VILHELMINA</t>
        </is>
      </c>
      <c r="G348" t="n">
        <v>10.5</v>
      </c>
      <c r="H348" t="n">
        <v>0</v>
      </c>
      <c r="I348" t="n">
        <v>0</v>
      </c>
      <c r="J348" t="n">
        <v>0</v>
      </c>
      <c r="K348" t="n">
        <v>0</v>
      </c>
      <c r="L348" t="n">
        <v>0</v>
      </c>
      <c r="M348" t="n">
        <v>0</v>
      </c>
      <c r="N348" t="n">
        <v>0</v>
      </c>
      <c r="O348" t="n">
        <v>0</v>
      </c>
      <c r="P348" t="n">
        <v>0</v>
      </c>
      <c r="Q348" t="n">
        <v>0</v>
      </c>
      <c r="R348" s="2" t="inlineStr"/>
    </row>
    <row r="349" ht="15" customHeight="1">
      <c r="A349" t="inlineStr">
        <is>
          <t>A 23536-2024</t>
        </is>
      </c>
      <c r="B349" s="1" t="n">
        <v>45453.95199074074</v>
      </c>
      <c r="C349" s="1" t="n">
        <v>45890</v>
      </c>
      <c r="D349" t="inlineStr">
        <is>
          <t>VÄSTERBOTTENS LÄN</t>
        </is>
      </c>
      <c r="E349" t="inlineStr">
        <is>
          <t>VILHELMINA</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32658-2021</t>
        </is>
      </c>
      <c r="B350" s="1" t="n">
        <v>44371</v>
      </c>
      <c r="C350" s="1" t="n">
        <v>45890</v>
      </c>
      <c r="D350" t="inlineStr">
        <is>
          <t>VÄSTERBOTTENS LÄN</t>
        </is>
      </c>
      <c r="E350" t="inlineStr">
        <is>
          <t>VILHELMINA</t>
        </is>
      </c>
      <c r="G350" t="n">
        <v>2.2</v>
      </c>
      <c r="H350" t="n">
        <v>0</v>
      </c>
      <c r="I350" t="n">
        <v>0</v>
      </c>
      <c r="J350" t="n">
        <v>0</v>
      </c>
      <c r="K350" t="n">
        <v>0</v>
      </c>
      <c r="L350" t="n">
        <v>0</v>
      </c>
      <c r="M350" t="n">
        <v>0</v>
      </c>
      <c r="N350" t="n">
        <v>0</v>
      </c>
      <c r="O350" t="n">
        <v>0</v>
      </c>
      <c r="P350" t="n">
        <v>0</v>
      </c>
      <c r="Q350" t="n">
        <v>0</v>
      </c>
      <c r="R350" s="2" t="inlineStr"/>
    </row>
    <row r="351" ht="15" customHeight="1">
      <c r="A351" t="inlineStr">
        <is>
          <t>A 61801-2024</t>
        </is>
      </c>
      <c r="B351" s="1" t="n">
        <v>45649.56392361111</v>
      </c>
      <c r="C351" s="1" t="n">
        <v>45890</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12784-2023</t>
        </is>
      </c>
      <c r="B352" s="1" t="n">
        <v>45000</v>
      </c>
      <c r="C352" s="1" t="n">
        <v>45890</v>
      </c>
      <c r="D352" t="inlineStr">
        <is>
          <t>VÄSTERBOTTENS LÄN</t>
        </is>
      </c>
      <c r="E352" t="inlineStr">
        <is>
          <t>VILHELMINA</t>
        </is>
      </c>
      <c r="G352" t="n">
        <v>18.6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45890</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19423-2022</t>
        </is>
      </c>
      <c r="B354" s="1" t="n">
        <v>44693.32515046297</v>
      </c>
      <c r="C354" s="1" t="n">
        <v>45890</v>
      </c>
      <c r="D354" t="inlineStr">
        <is>
          <t>VÄSTERBOTTENS LÄN</t>
        </is>
      </c>
      <c r="E354" t="inlineStr">
        <is>
          <t>VILHELMINA</t>
        </is>
      </c>
      <c r="G354" t="n">
        <v>1.9</v>
      </c>
      <c r="H354" t="n">
        <v>0</v>
      </c>
      <c r="I354" t="n">
        <v>0</v>
      </c>
      <c r="J354" t="n">
        <v>0</v>
      </c>
      <c r="K354" t="n">
        <v>0</v>
      </c>
      <c r="L354" t="n">
        <v>0</v>
      </c>
      <c r="M354" t="n">
        <v>0</v>
      </c>
      <c r="N354" t="n">
        <v>0</v>
      </c>
      <c r="O354" t="n">
        <v>0</v>
      </c>
      <c r="P354" t="n">
        <v>0</v>
      </c>
      <c r="Q354" t="n">
        <v>0</v>
      </c>
      <c r="R354" s="2" t="inlineStr"/>
    </row>
    <row r="355" ht="15" customHeight="1">
      <c r="A355" t="inlineStr">
        <is>
          <t>A 60549-2022</t>
        </is>
      </c>
      <c r="B355" s="1" t="n">
        <v>44911.51318287037</v>
      </c>
      <c r="C355" s="1" t="n">
        <v>45890</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57324-2022</t>
        </is>
      </c>
      <c r="B356" s="1" t="n">
        <v>44889</v>
      </c>
      <c r="C356" s="1" t="n">
        <v>45890</v>
      </c>
      <c r="D356" t="inlineStr">
        <is>
          <t>VÄSTERBOTTENS LÄN</t>
        </is>
      </c>
      <c r="E356" t="inlineStr">
        <is>
          <t>VILHELMINA</t>
        </is>
      </c>
      <c r="G356" t="n">
        <v>1.7</v>
      </c>
      <c r="H356" t="n">
        <v>0</v>
      </c>
      <c r="I356" t="n">
        <v>0</v>
      </c>
      <c r="J356" t="n">
        <v>0</v>
      </c>
      <c r="K356" t="n">
        <v>0</v>
      </c>
      <c r="L356" t="n">
        <v>0</v>
      </c>
      <c r="M356" t="n">
        <v>0</v>
      </c>
      <c r="N356" t="n">
        <v>0</v>
      </c>
      <c r="O356" t="n">
        <v>0</v>
      </c>
      <c r="P356" t="n">
        <v>0</v>
      </c>
      <c r="Q356" t="n">
        <v>0</v>
      </c>
      <c r="R356" s="2" t="inlineStr"/>
    </row>
    <row r="357" ht="15" customHeight="1">
      <c r="A357" t="inlineStr">
        <is>
          <t>A 55326-2023</t>
        </is>
      </c>
      <c r="B357" s="1" t="n">
        <v>45237.97364583334</v>
      </c>
      <c r="C357" s="1" t="n">
        <v>45890</v>
      </c>
      <c r="D357" t="inlineStr">
        <is>
          <t>VÄSTERBOTTENS LÄN</t>
        </is>
      </c>
      <c r="E357" t="inlineStr">
        <is>
          <t>VILHELMINA</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5403-2025</t>
        </is>
      </c>
      <c r="B358" s="1" t="n">
        <v>45692.64475694444</v>
      </c>
      <c r="C358" s="1" t="n">
        <v>45890</v>
      </c>
      <c r="D358" t="inlineStr">
        <is>
          <t>VÄSTERBOTTENS LÄN</t>
        </is>
      </c>
      <c r="E358" t="inlineStr">
        <is>
          <t>VILHELMINA</t>
        </is>
      </c>
      <c r="F358" t="inlineStr">
        <is>
          <t>Kommuner</t>
        </is>
      </c>
      <c r="G358" t="n">
        <v>14.9</v>
      </c>
      <c r="H358" t="n">
        <v>0</v>
      </c>
      <c r="I358" t="n">
        <v>0</v>
      </c>
      <c r="J358" t="n">
        <v>0</v>
      </c>
      <c r="K358" t="n">
        <v>0</v>
      </c>
      <c r="L358" t="n">
        <v>0</v>
      </c>
      <c r="M358" t="n">
        <v>0</v>
      </c>
      <c r="N358" t="n">
        <v>0</v>
      </c>
      <c r="O358" t="n">
        <v>0</v>
      </c>
      <c r="P358" t="n">
        <v>0</v>
      </c>
      <c r="Q358" t="n">
        <v>0</v>
      </c>
      <c r="R358" s="2" t="inlineStr"/>
    </row>
    <row r="359" ht="15" customHeight="1">
      <c r="A359" t="inlineStr">
        <is>
          <t>A 45965-2023</t>
        </is>
      </c>
      <c r="B359" s="1" t="n">
        <v>45195.94755787037</v>
      </c>
      <c r="C359" s="1" t="n">
        <v>45890</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12190-2024</t>
        </is>
      </c>
      <c r="B360" s="1" t="n">
        <v>45377.94954861111</v>
      </c>
      <c r="C360" s="1" t="n">
        <v>45890</v>
      </c>
      <c r="D360" t="inlineStr">
        <is>
          <t>VÄSTERBOTTENS LÄN</t>
        </is>
      </c>
      <c r="E360" t="inlineStr">
        <is>
          <t>VILHELMINA</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42976-2024</t>
        </is>
      </c>
      <c r="B361" s="1" t="n">
        <v>45567.37387731481</v>
      </c>
      <c r="C361" s="1" t="n">
        <v>45890</v>
      </c>
      <c r="D361" t="inlineStr">
        <is>
          <t>VÄSTERBOTTENS LÄN</t>
        </is>
      </c>
      <c r="E361" t="inlineStr">
        <is>
          <t>VILHELMINA</t>
        </is>
      </c>
      <c r="F361" t="inlineStr">
        <is>
          <t>SCA</t>
        </is>
      </c>
      <c r="G361" t="n">
        <v>20.6</v>
      </c>
      <c r="H361" t="n">
        <v>0</v>
      </c>
      <c r="I361" t="n">
        <v>0</v>
      </c>
      <c r="J361" t="n">
        <v>0</v>
      </c>
      <c r="K361" t="n">
        <v>0</v>
      </c>
      <c r="L361" t="n">
        <v>0</v>
      </c>
      <c r="M361" t="n">
        <v>0</v>
      </c>
      <c r="N361" t="n">
        <v>0</v>
      </c>
      <c r="O361" t="n">
        <v>0</v>
      </c>
      <c r="P361" t="n">
        <v>0</v>
      </c>
      <c r="Q361" t="n">
        <v>0</v>
      </c>
      <c r="R361" s="2" t="inlineStr"/>
    </row>
    <row r="362" ht="15" customHeight="1">
      <c r="A362" t="inlineStr">
        <is>
          <t>A 20846-2025</t>
        </is>
      </c>
      <c r="B362" s="1" t="n">
        <v>45777</v>
      </c>
      <c r="C362" s="1" t="n">
        <v>45890</v>
      </c>
      <c r="D362" t="inlineStr">
        <is>
          <t>VÄSTERBOTTENS LÄN</t>
        </is>
      </c>
      <c r="E362" t="inlineStr">
        <is>
          <t>VILHELMINA</t>
        </is>
      </c>
      <c r="G362" t="n">
        <v>19.1</v>
      </c>
      <c r="H362" t="n">
        <v>0</v>
      </c>
      <c r="I362" t="n">
        <v>0</v>
      </c>
      <c r="J362" t="n">
        <v>0</v>
      </c>
      <c r="K362" t="n">
        <v>0</v>
      </c>
      <c r="L362" t="n">
        <v>0</v>
      </c>
      <c r="M362" t="n">
        <v>0</v>
      </c>
      <c r="N362" t="n">
        <v>0</v>
      </c>
      <c r="O362" t="n">
        <v>0</v>
      </c>
      <c r="P362" t="n">
        <v>0</v>
      </c>
      <c r="Q362" t="n">
        <v>0</v>
      </c>
      <c r="R362" s="2" t="inlineStr"/>
    </row>
    <row r="363" ht="15" customHeight="1">
      <c r="A363" t="inlineStr">
        <is>
          <t>A 10833-2022</t>
        </is>
      </c>
      <c r="B363" s="1" t="n">
        <v>44627</v>
      </c>
      <c r="C363" s="1" t="n">
        <v>45890</v>
      </c>
      <c r="D363" t="inlineStr">
        <is>
          <t>VÄSTERBOTTENS LÄN</t>
        </is>
      </c>
      <c r="E363" t="inlineStr">
        <is>
          <t>VILHELMINA</t>
        </is>
      </c>
      <c r="G363" t="n">
        <v>5.4</v>
      </c>
      <c r="H363" t="n">
        <v>0</v>
      </c>
      <c r="I363" t="n">
        <v>0</v>
      </c>
      <c r="J363" t="n">
        <v>0</v>
      </c>
      <c r="K363" t="n">
        <v>0</v>
      </c>
      <c r="L363" t="n">
        <v>0</v>
      </c>
      <c r="M363" t="n">
        <v>0</v>
      </c>
      <c r="N363" t="n">
        <v>0</v>
      </c>
      <c r="O363" t="n">
        <v>0</v>
      </c>
      <c r="P363" t="n">
        <v>0</v>
      </c>
      <c r="Q363" t="n">
        <v>0</v>
      </c>
      <c r="R363" s="2" t="inlineStr"/>
    </row>
    <row r="364" ht="15" customHeight="1">
      <c r="A364" t="inlineStr">
        <is>
          <t>A 28656-2024</t>
        </is>
      </c>
      <c r="B364" s="1" t="n">
        <v>45478</v>
      </c>
      <c r="C364" s="1" t="n">
        <v>45890</v>
      </c>
      <c r="D364" t="inlineStr">
        <is>
          <t>VÄSTERBOTTENS LÄN</t>
        </is>
      </c>
      <c r="E364" t="inlineStr">
        <is>
          <t>VILHELMINA</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31449-2024</t>
        </is>
      </c>
      <c r="B365" s="1" t="n">
        <v>45505.9299537037</v>
      </c>
      <c r="C365" s="1" t="n">
        <v>45890</v>
      </c>
      <c r="D365" t="inlineStr">
        <is>
          <t>VÄSTERBOTTENS LÄN</t>
        </is>
      </c>
      <c r="E365" t="inlineStr">
        <is>
          <t>VILHELMINA</t>
        </is>
      </c>
      <c r="G365" t="n">
        <v>3.5</v>
      </c>
      <c r="H365" t="n">
        <v>0</v>
      </c>
      <c r="I365" t="n">
        <v>0</v>
      </c>
      <c r="J365" t="n">
        <v>0</v>
      </c>
      <c r="K365" t="n">
        <v>0</v>
      </c>
      <c r="L365" t="n">
        <v>0</v>
      </c>
      <c r="M365" t="n">
        <v>0</v>
      </c>
      <c r="N365" t="n">
        <v>0</v>
      </c>
      <c r="O365" t="n">
        <v>0</v>
      </c>
      <c r="P365" t="n">
        <v>0</v>
      </c>
      <c r="Q365" t="n">
        <v>0</v>
      </c>
      <c r="R365" s="2" t="inlineStr"/>
    </row>
    <row r="366" ht="15" customHeight="1">
      <c r="A366" t="inlineStr">
        <is>
          <t>A 43791-2024</t>
        </is>
      </c>
      <c r="B366" s="1" t="n">
        <v>45571</v>
      </c>
      <c r="C366" s="1" t="n">
        <v>45890</v>
      </c>
      <c r="D366" t="inlineStr">
        <is>
          <t>VÄSTERBOTTENS LÄN</t>
        </is>
      </c>
      <c r="E366" t="inlineStr">
        <is>
          <t>VILHELMINA</t>
        </is>
      </c>
      <c r="G366" t="n">
        <v>30.3</v>
      </c>
      <c r="H366" t="n">
        <v>0</v>
      </c>
      <c r="I366" t="n">
        <v>0</v>
      </c>
      <c r="J366" t="n">
        <v>0</v>
      </c>
      <c r="K366" t="n">
        <v>0</v>
      </c>
      <c r="L366" t="n">
        <v>0</v>
      </c>
      <c r="M366" t="n">
        <v>0</v>
      </c>
      <c r="N366" t="n">
        <v>0</v>
      </c>
      <c r="O366" t="n">
        <v>0</v>
      </c>
      <c r="P366" t="n">
        <v>0</v>
      </c>
      <c r="Q366" t="n">
        <v>0</v>
      </c>
      <c r="R366" s="2" t="inlineStr"/>
    </row>
    <row r="367" ht="15" customHeight="1">
      <c r="A367" t="inlineStr">
        <is>
          <t>A 18873-2025</t>
        </is>
      </c>
      <c r="B367" s="1" t="n">
        <v>45764</v>
      </c>
      <c r="C367" s="1" t="n">
        <v>45890</v>
      </c>
      <c r="D367" t="inlineStr">
        <is>
          <t>VÄSTERBOTTENS LÄN</t>
        </is>
      </c>
      <c r="E367" t="inlineStr">
        <is>
          <t>VILHELMINA</t>
        </is>
      </c>
      <c r="G367" t="n">
        <v>7.2</v>
      </c>
      <c r="H367" t="n">
        <v>0</v>
      </c>
      <c r="I367" t="n">
        <v>0</v>
      </c>
      <c r="J367" t="n">
        <v>0</v>
      </c>
      <c r="K367" t="n">
        <v>0</v>
      </c>
      <c r="L367" t="n">
        <v>0</v>
      </c>
      <c r="M367" t="n">
        <v>0</v>
      </c>
      <c r="N367" t="n">
        <v>0</v>
      </c>
      <c r="O367" t="n">
        <v>0</v>
      </c>
      <c r="P367" t="n">
        <v>0</v>
      </c>
      <c r="Q367" t="n">
        <v>0</v>
      </c>
      <c r="R367" s="2" t="inlineStr"/>
    </row>
    <row r="368" ht="15" customHeight="1">
      <c r="A368" t="inlineStr">
        <is>
          <t>A 8733-2023</t>
        </is>
      </c>
      <c r="B368" s="1" t="n">
        <v>44972</v>
      </c>
      <c r="C368" s="1" t="n">
        <v>45890</v>
      </c>
      <c r="D368" t="inlineStr">
        <is>
          <t>VÄSTERBOTTENS LÄN</t>
        </is>
      </c>
      <c r="E368" t="inlineStr">
        <is>
          <t>VILHELMINA</t>
        </is>
      </c>
      <c r="F368" t="inlineStr">
        <is>
          <t>Allmännings- och besparingsskogar</t>
        </is>
      </c>
      <c r="G368" t="n">
        <v>20</v>
      </c>
      <c r="H368" t="n">
        <v>0</v>
      </c>
      <c r="I368" t="n">
        <v>0</v>
      </c>
      <c r="J368" t="n">
        <v>0</v>
      </c>
      <c r="K368" t="n">
        <v>0</v>
      </c>
      <c r="L368" t="n">
        <v>0</v>
      </c>
      <c r="M368" t="n">
        <v>0</v>
      </c>
      <c r="N368" t="n">
        <v>0</v>
      </c>
      <c r="O368" t="n">
        <v>0</v>
      </c>
      <c r="P368" t="n">
        <v>0</v>
      </c>
      <c r="Q368" t="n">
        <v>0</v>
      </c>
      <c r="R368" s="2" t="inlineStr"/>
    </row>
    <row r="369" ht="15" customHeight="1">
      <c r="A369" t="inlineStr">
        <is>
          <t>A 43792-2024</t>
        </is>
      </c>
      <c r="B369" s="1" t="n">
        <v>45571</v>
      </c>
      <c r="C369" s="1" t="n">
        <v>45890</v>
      </c>
      <c r="D369" t="inlineStr">
        <is>
          <t>VÄSTERBOTTENS LÄN</t>
        </is>
      </c>
      <c r="E369" t="inlineStr">
        <is>
          <t>VILHELMINA</t>
        </is>
      </c>
      <c r="G369" t="n">
        <v>25.3</v>
      </c>
      <c r="H369" t="n">
        <v>0</v>
      </c>
      <c r="I369" t="n">
        <v>0</v>
      </c>
      <c r="J369" t="n">
        <v>0</v>
      </c>
      <c r="K369" t="n">
        <v>0</v>
      </c>
      <c r="L369" t="n">
        <v>0</v>
      </c>
      <c r="M369" t="n">
        <v>0</v>
      </c>
      <c r="N369" t="n">
        <v>0</v>
      </c>
      <c r="O369" t="n">
        <v>0</v>
      </c>
      <c r="P369" t="n">
        <v>0</v>
      </c>
      <c r="Q369" t="n">
        <v>0</v>
      </c>
      <c r="R369" s="2" t="inlineStr"/>
    </row>
    <row r="370" ht="15" customHeight="1">
      <c r="A370" t="inlineStr">
        <is>
          <t>A 8718-2025</t>
        </is>
      </c>
      <c r="B370" s="1" t="n">
        <v>45712</v>
      </c>
      <c r="C370" s="1" t="n">
        <v>45890</v>
      </c>
      <c r="D370" t="inlineStr">
        <is>
          <t>VÄSTERBOTTENS LÄN</t>
        </is>
      </c>
      <c r="E370" t="inlineStr">
        <is>
          <t>VILHELMINA</t>
        </is>
      </c>
      <c r="G370" t="n">
        <v>21.3</v>
      </c>
      <c r="H370" t="n">
        <v>0</v>
      </c>
      <c r="I370" t="n">
        <v>0</v>
      </c>
      <c r="J370" t="n">
        <v>0</v>
      </c>
      <c r="K370" t="n">
        <v>0</v>
      </c>
      <c r="L370" t="n">
        <v>0</v>
      </c>
      <c r="M370" t="n">
        <v>0</v>
      </c>
      <c r="N370" t="n">
        <v>0</v>
      </c>
      <c r="O370" t="n">
        <v>0</v>
      </c>
      <c r="P370" t="n">
        <v>0</v>
      </c>
      <c r="Q370" t="n">
        <v>0</v>
      </c>
      <c r="R370" s="2" t="inlineStr"/>
    </row>
    <row r="371" ht="15" customHeight="1">
      <c r="A371" t="inlineStr">
        <is>
          <t>A 61779-2023</t>
        </is>
      </c>
      <c r="B371" s="1" t="n">
        <v>45265.95677083333</v>
      </c>
      <c r="C371" s="1" t="n">
        <v>45890</v>
      </c>
      <c r="D371" t="inlineStr">
        <is>
          <t>VÄSTERBOTTENS LÄN</t>
        </is>
      </c>
      <c r="E371" t="inlineStr">
        <is>
          <t>VILHELMINA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28869-2024</t>
        </is>
      </c>
      <c r="B372" s="1" t="n">
        <v>45478.94722222222</v>
      </c>
      <c r="C372" s="1" t="n">
        <v>45890</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61270-2022</t>
        </is>
      </c>
      <c r="B373" s="1" t="n">
        <v>44909</v>
      </c>
      <c r="C373" s="1" t="n">
        <v>45890</v>
      </c>
      <c r="D373" t="inlineStr">
        <is>
          <t>VÄSTERBOTTENS LÄN</t>
        </is>
      </c>
      <c r="E373" t="inlineStr">
        <is>
          <t>VILHELMINA</t>
        </is>
      </c>
      <c r="G373" t="n">
        <v>8.9</v>
      </c>
      <c r="H373" t="n">
        <v>0</v>
      </c>
      <c r="I373" t="n">
        <v>0</v>
      </c>
      <c r="J373" t="n">
        <v>0</v>
      </c>
      <c r="K373" t="n">
        <v>0</v>
      </c>
      <c r="L373" t="n">
        <v>0</v>
      </c>
      <c r="M373" t="n">
        <v>0</v>
      </c>
      <c r="N373" t="n">
        <v>0</v>
      </c>
      <c r="O373" t="n">
        <v>0</v>
      </c>
      <c r="P373" t="n">
        <v>0</v>
      </c>
      <c r="Q373" t="n">
        <v>0</v>
      </c>
      <c r="R373" s="2" t="inlineStr"/>
    </row>
    <row r="374" ht="15" customHeight="1">
      <c r="A374" t="inlineStr">
        <is>
          <t>A 12373-2024</t>
        </is>
      </c>
      <c r="B374" s="1" t="n">
        <v>45378</v>
      </c>
      <c r="C374" s="1" t="n">
        <v>45890</v>
      </c>
      <c r="D374" t="inlineStr">
        <is>
          <t>VÄSTERBOTTENS LÄN</t>
        </is>
      </c>
      <c r="E374" t="inlineStr">
        <is>
          <t>VILHELMINA</t>
        </is>
      </c>
      <c r="G374" t="n">
        <v>0.7</v>
      </c>
      <c r="H374" t="n">
        <v>0</v>
      </c>
      <c r="I374" t="n">
        <v>0</v>
      </c>
      <c r="J374" t="n">
        <v>0</v>
      </c>
      <c r="K374" t="n">
        <v>0</v>
      </c>
      <c r="L374" t="n">
        <v>0</v>
      </c>
      <c r="M374" t="n">
        <v>0</v>
      </c>
      <c r="N374" t="n">
        <v>0</v>
      </c>
      <c r="O374" t="n">
        <v>0</v>
      </c>
      <c r="P374" t="n">
        <v>0</v>
      </c>
      <c r="Q374" t="n">
        <v>0</v>
      </c>
      <c r="R374" s="2" t="inlineStr"/>
    </row>
    <row r="375" ht="15" customHeight="1">
      <c r="A375" t="inlineStr">
        <is>
          <t>A 21843-2024</t>
        </is>
      </c>
      <c r="B375" s="1" t="n">
        <v>45442.96064814815</v>
      </c>
      <c r="C375" s="1" t="n">
        <v>45890</v>
      </c>
      <c r="D375" t="inlineStr">
        <is>
          <t>VÄSTERBOTTENS LÄN</t>
        </is>
      </c>
      <c r="E375" t="inlineStr">
        <is>
          <t>VILHELMINA</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32655-2021</t>
        </is>
      </c>
      <c r="B376" s="1" t="n">
        <v>44371</v>
      </c>
      <c r="C376" s="1" t="n">
        <v>45890</v>
      </c>
      <c r="D376" t="inlineStr">
        <is>
          <t>VÄSTERBOTTENS LÄN</t>
        </is>
      </c>
      <c r="E376" t="inlineStr">
        <is>
          <t>VILHELMINA</t>
        </is>
      </c>
      <c r="G376" t="n">
        <v>0.2</v>
      </c>
      <c r="H376" t="n">
        <v>0</v>
      </c>
      <c r="I376" t="n">
        <v>0</v>
      </c>
      <c r="J376" t="n">
        <v>0</v>
      </c>
      <c r="K376" t="n">
        <v>0</v>
      </c>
      <c r="L376" t="n">
        <v>0</v>
      </c>
      <c r="M376" t="n">
        <v>0</v>
      </c>
      <c r="N376" t="n">
        <v>0</v>
      </c>
      <c r="O376" t="n">
        <v>0</v>
      </c>
      <c r="P376" t="n">
        <v>0</v>
      </c>
      <c r="Q376" t="n">
        <v>0</v>
      </c>
      <c r="R376" s="2" t="inlineStr"/>
    </row>
    <row r="377" ht="15" customHeight="1">
      <c r="A377" t="inlineStr">
        <is>
          <t>A 2742-2023</t>
        </is>
      </c>
      <c r="B377" s="1" t="n">
        <v>44943</v>
      </c>
      <c r="C377" s="1" t="n">
        <v>45890</v>
      </c>
      <c r="D377" t="inlineStr">
        <is>
          <t>VÄSTERBOTTENS LÄN</t>
        </is>
      </c>
      <c r="E377" t="inlineStr">
        <is>
          <t>VILHELMINA</t>
        </is>
      </c>
      <c r="G377" t="n">
        <v>34.8</v>
      </c>
      <c r="H377" t="n">
        <v>0</v>
      </c>
      <c r="I377" t="n">
        <v>0</v>
      </c>
      <c r="J377" t="n">
        <v>0</v>
      </c>
      <c r="K377" t="n">
        <v>0</v>
      </c>
      <c r="L377" t="n">
        <v>0</v>
      </c>
      <c r="M377" t="n">
        <v>0</v>
      </c>
      <c r="N377" t="n">
        <v>0</v>
      </c>
      <c r="O377" t="n">
        <v>0</v>
      </c>
      <c r="P377" t="n">
        <v>0</v>
      </c>
      <c r="Q377" t="n">
        <v>0</v>
      </c>
      <c r="R377" s="2" t="inlineStr"/>
    </row>
    <row r="378" ht="15" customHeight="1">
      <c r="A378" t="inlineStr">
        <is>
          <t>A 13557-2024</t>
        </is>
      </c>
      <c r="B378" s="1" t="n">
        <v>45388</v>
      </c>
      <c r="C378" s="1" t="n">
        <v>45890</v>
      </c>
      <c r="D378" t="inlineStr">
        <is>
          <t>VÄSTERBOTTENS LÄN</t>
        </is>
      </c>
      <c r="E378" t="inlineStr">
        <is>
          <t>VILHELMINA</t>
        </is>
      </c>
      <c r="G378" t="n">
        <v>11.2</v>
      </c>
      <c r="H378" t="n">
        <v>0</v>
      </c>
      <c r="I378" t="n">
        <v>0</v>
      </c>
      <c r="J378" t="n">
        <v>0</v>
      </c>
      <c r="K378" t="n">
        <v>0</v>
      </c>
      <c r="L378" t="n">
        <v>0</v>
      </c>
      <c r="M378" t="n">
        <v>0</v>
      </c>
      <c r="N378" t="n">
        <v>0</v>
      </c>
      <c r="O378" t="n">
        <v>0</v>
      </c>
      <c r="P378" t="n">
        <v>0</v>
      </c>
      <c r="Q378" t="n">
        <v>0</v>
      </c>
      <c r="R378" s="2" t="inlineStr"/>
    </row>
    <row r="379" ht="15" customHeight="1">
      <c r="A379" t="inlineStr">
        <is>
          <t>A 56847-2023</t>
        </is>
      </c>
      <c r="B379" s="1" t="n">
        <v>45238</v>
      </c>
      <c r="C379" s="1" t="n">
        <v>45890</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58207-2022</t>
        </is>
      </c>
      <c r="B380" s="1" t="n">
        <v>44901</v>
      </c>
      <c r="C380" s="1" t="n">
        <v>45890</v>
      </c>
      <c r="D380" t="inlineStr">
        <is>
          <t>VÄSTERBOTTENS LÄN</t>
        </is>
      </c>
      <c r="E380" t="inlineStr">
        <is>
          <t>VILHELMINA</t>
        </is>
      </c>
      <c r="G380" t="n">
        <v>143.2</v>
      </c>
      <c r="H380" t="n">
        <v>0</v>
      </c>
      <c r="I380" t="n">
        <v>0</v>
      </c>
      <c r="J380" t="n">
        <v>0</v>
      </c>
      <c r="K380" t="n">
        <v>0</v>
      </c>
      <c r="L380" t="n">
        <v>0</v>
      </c>
      <c r="M380" t="n">
        <v>0</v>
      </c>
      <c r="N380" t="n">
        <v>0</v>
      </c>
      <c r="O380" t="n">
        <v>0</v>
      </c>
      <c r="P380" t="n">
        <v>0</v>
      </c>
      <c r="Q380" t="n">
        <v>0</v>
      </c>
      <c r="R380" s="2" t="inlineStr"/>
    </row>
    <row r="381" ht="15" customHeight="1">
      <c r="A381" t="inlineStr">
        <is>
          <t>A 55688-2023</t>
        </is>
      </c>
      <c r="B381" s="1" t="n">
        <v>45232</v>
      </c>
      <c r="C381" s="1" t="n">
        <v>45890</v>
      </c>
      <c r="D381" t="inlineStr">
        <is>
          <t>VÄSTERBOTTENS LÄN</t>
        </is>
      </c>
      <c r="E381" t="inlineStr">
        <is>
          <t>VILHELMINA</t>
        </is>
      </c>
      <c r="G381" t="n">
        <v>6.4</v>
      </c>
      <c r="H381" t="n">
        <v>0</v>
      </c>
      <c r="I381" t="n">
        <v>0</v>
      </c>
      <c r="J381" t="n">
        <v>0</v>
      </c>
      <c r="K381" t="n">
        <v>0</v>
      </c>
      <c r="L381" t="n">
        <v>0</v>
      </c>
      <c r="M381" t="n">
        <v>0</v>
      </c>
      <c r="N381" t="n">
        <v>0</v>
      </c>
      <c r="O381" t="n">
        <v>0</v>
      </c>
      <c r="P381" t="n">
        <v>0</v>
      </c>
      <c r="Q381" t="n">
        <v>0</v>
      </c>
      <c r="R381" s="2" t="inlineStr"/>
    </row>
    <row r="382" ht="15" customHeight="1">
      <c r="A382" t="inlineStr">
        <is>
          <t>A 402-2023</t>
        </is>
      </c>
      <c r="B382" s="1" t="n">
        <v>44923</v>
      </c>
      <c r="C382" s="1" t="n">
        <v>45890</v>
      </c>
      <c r="D382" t="inlineStr">
        <is>
          <t>VÄSTERBOTTENS LÄN</t>
        </is>
      </c>
      <c r="E382" t="inlineStr">
        <is>
          <t>VILHELMINA</t>
        </is>
      </c>
      <c r="G382" t="n">
        <v>14.7</v>
      </c>
      <c r="H382" t="n">
        <v>0</v>
      </c>
      <c r="I382" t="n">
        <v>0</v>
      </c>
      <c r="J382" t="n">
        <v>0</v>
      </c>
      <c r="K382" t="n">
        <v>0</v>
      </c>
      <c r="L382" t="n">
        <v>0</v>
      </c>
      <c r="M382" t="n">
        <v>0</v>
      </c>
      <c r="N382" t="n">
        <v>0</v>
      </c>
      <c r="O382" t="n">
        <v>0</v>
      </c>
      <c r="P382" t="n">
        <v>0</v>
      </c>
      <c r="Q382" t="n">
        <v>0</v>
      </c>
      <c r="R382" s="2" t="inlineStr"/>
    </row>
    <row r="383" ht="15" customHeight="1">
      <c r="A383" t="inlineStr">
        <is>
          <t>A 14959-2022</t>
        </is>
      </c>
      <c r="B383" s="1" t="n">
        <v>44657</v>
      </c>
      <c r="C383" s="1" t="n">
        <v>45890</v>
      </c>
      <c r="D383" t="inlineStr">
        <is>
          <t>VÄSTERBOTTENS LÄN</t>
        </is>
      </c>
      <c r="E383" t="inlineStr">
        <is>
          <t>VILHELMINA</t>
        </is>
      </c>
      <c r="G383" t="n">
        <v>71.8</v>
      </c>
      <c r="H383" t="n">
        <v>0</v>
      </c>
      <c r="I383" t="n">
        <v>0</v>
      </c>
      <c r="J383" t="n">
        <v>0</v>
      </c>
      <c r="K383" t="n">
        <v>0</v>
      </c>
      <c r="L383" t="n">
        <v>0</v>
      </c>
      <c r="M383" t="n">
        <v>0</v>
      </c>
      <c r="N383" t="n">
        <v>0</v>
      </c>
      <c r="O383" t="n">
        <v>0</v>
      </c>
      <c r="P383" t="n">
        <v>0</v>
      </c>
      <c r="Q383" t="n">
        <v>0</v>
      </c>
      <c r="R383" s="2" t="inlineStr"/>
    </row>
    <row r="384" ht="15" customHeight="1">
      <c r="A384" t="inlineStr">
        <is>
          <t>A 21069-2025</t>
        </is>
      </c>
      <c r="B384" s="1" t="n">
        <v>45777.59427083333</v>
      </c>
      <c r="C384" s="1" t="n">
        <v>45890</v>
      </c>
      <c r="D384" t="inlineStr">
        <is>
          <t>VÄSTERBOTTENS LÄN</t>
        </is>
      </c>
      <c r="E384" t="inlineStr">
        <is>
          <t>VILHELMINA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2382-2023</t>
        </is>
      </c>
      <c r="B385" s="1" t="n">
        <v>44942</v>
      </c>
      <c r="C385" s="1" t="n">
        <v>45890</v>
      </c>
      <c r="D385" t="inlineStr">
        <is>
          <t>VÄSTERBOTTENS LÄN</t>
        </is>
      </c>
      <c r="E385" t="inlineStr">
        <is>
          <t>VILHELMINA</t>
        </is>
      </c>
      <c r="G385" t="n">
        <v>29.7</v>
      </c>
      <c r="H385" t="n">
        <v>0</v>
      </c>
      <c r="I385" t="n">
        <v>0</v>
      </c>
      <c r="J385" t="n">
        <v>0</v>
      </c>
      <c r="K385" t="n">
        <v>0</v>
      </c>
      <c r="L385" t="n">
        <v>0</v>
      </c>
      <c r="M385" t="n">
        <v>0</v>
      </c>
      <c r="N385" t="n">
        <v>0</v>
      </c>
      <c r="O385" t="n">
        <v>0</v>
      </c>
      <c r="P385" t="n">
        <v>0</v>
      </c>
      <c r="Q385" t="n">
        <v>0</v>
      </c>
      <c r="R385" s="2" t="inlineStr"/>
    </row>
    <row r="386" ht="15" customHeight="1">
      <c r="A386" t="inlineStr">
        <is>
          <t>A 20769-2024</t>
        </is>
      </c>
      <c r="B386" s="1" t="n">
        <v>45436.94604166667</v>
      </c>
      <c r="C386" s="1" t="n">
        <v>45890</v>
      </c>
      <c r="D386" t="inlineStr">
        <is>
          <t>VÄSTERBOTTENS LÄN</t>
        </is>
      </c>
      <c r="E386" t="inlineStr">
        <is>
          <t>VILHELMINA</t>
        </is>
      </c>
      <c r="F386" t="inlineStr">
        <is>
          <t>SCA</t>
        </is>
      </c>
      <c r="G386" t="n">
        <v>7</v>
      </c>
      <c r="H386" t="n">
        <v>0</v>
      </c>
      <c r="I386" t="n">
        <v>0</v>
      </c>
      <c r="J386" t="n">
        <v>0</v>
      </c>
      <c r="K386" t="n">
        <v>0</v>
      </c>
      <c r="L386" t="n">
        <v>0</v>
      </c>
      <c r="M386" t="n">
        <v>0</v>
      </c>
      <c r="N386" t="n">
        <v>0</v>
      </c>
      <c r="O386" t="n">
        <v>0</v>
      </c>
      <c r="P386" t="n">
        <v>0</v>
      </c>
      <c r="Q386" t="n">
        <v>0</v>
      </c>
      <c r="R386" s="2" t="inlineStr"/>
    </row>
    <row r="387" ht="15" customHeight="1">
      <c r="A387" t="inlineStr">
        <is>
          <t>A 21035-2025</t>
        </is>
      </c>
      <c r="B387" s="1" t="n">
        <v>45777.53157407408</v>
      </c>
      <c r="C387" s="1" t="n">
        <v>45890</v>
      </c>
      <c r="D387" t="inlineStr">
        <is>
          <t>VÄSTERBOTTENS LÄN</t>
        </is>
      </c>
      <c r="E387" t="inlineStr">
        <is>
          <t>VILHELMINA</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26557-2023</t>
        </is>
      </c>
      <c r="B388" s="1" t="n">
        <v>45089</v>
      </c>
      <c r="C388" s="1" t="n">
        <v>45890</v>
      </c>
      <c r="D388" t="inlineStr">
        <is>
          <t>VÄSTERBOTTENS LÄN</t>
        </is>
      </c>
      <c r="E388" t="inlineStr">
        <is>
          <t>VILHELMINA</t>
        </is>
      </c>
      <c r="G388" t="n">
        <v>0.5</v>
      </c>
      <c r="H388" t="n">
        <v>0</v>
      </c>
      <c r="I388" t="n">
        <v>0</v>
      </c>
      <c r="J388" t="n">
        <v>0</v>
      </c>
      <c r="K388" t="n">
        <v>0</v>
      </c>
      <c r="L388" t="n">
        <v>0</v>
      </c>
      <c r="M388" t="n">
        <v>0</v>
      </c>
      <c r="N388" t="n">
        <v>0</v>
      </c>
      <c r="O388" t="n">
        <v>0</v>
      </c>
      <c r="P388" t="n">
        <v>0</v>
      </c>
      <c r="Q388" t="n">
        <v>0</v>
      </c>
      <c r="R388" s="2" t="inlineStr"/>
    </row>
    <row r="389" ht="15" customHeight="1">
      <c r="A389" t="inlineStr">
        <is>
          <t>A 21844-2024</t>
        </is>
      </c>
      <c r="B389" s="1" t="n">
        <v>45442</v>
      </c>
      <c r="C389" s="1" t="n">
        <v>45890</v>
      </c>
      <c r="D389" t="inlineStr">
        <is>
          <t>VÄSTERBOTTENS LÄN</t>
        </is>
      </c>
      <c r="E389" t="inlineStr">
        <is>
          <t>VILHELMINA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8578-2025</t>
        </is>
      </c>
      <c r="B390" s="1" t="n">
        <v>45709</v>
      </c>
      <c r="C390" s="1" t="n">
        <v>45890</v>
      </c>
      <c r="D390" t="inlineStr">
        <is>
          <t>VÄSTERBOTTENS LÄN</t>
        </is>
      </c>
      <c r="E390" t="inlineStr">
        <is>
          <t>VILHELMINA</t>
        </is>
      </c>
      <c r="G390" t="n">
        <v>3.5</v>
      </c>
      <c r="H390" t="n">
        <v>0</v>
      </c>
      <c r="I390" t="n">
        <v>0</v>
      </c>
      <c r="J390" t="n">
        <v>0</v>
      </c>
      <c r="K390" t="n">
        <v>0</v>
      </c>
      <c r="L390" t="n">
        <v>0</v>
      </c>
      <c r="M390" t="n">
        <v>0</v>
      </c>
      <c r="N390" t="n">
        <v>0</v>
      </c>
      <c r="O390" t="n">
        <v>0</v>
      </c>
      <c r="P390" t="n">
        <v>0</v>
      </c>
      <c r="Q390" t="n">
        <v>0</v>
      </c>
      <c r="R390" s="2" t="inlineStr"/>
    </row>
    <row r="391" ht="15" customHeight="1">
      <c r="A391" t="inlineStr">
        <is>
          <t>A 19506-2025</t>
        </is>
      </c>
      <c r="B391" s="1" t="n">
        <v>45770</v>
      </c>
      <c r="C391" s="1" t="n">
        <v>45890</v>
      </c>
      <c r="D391" t="inlineStr">
        <is>
          <t>VÄSTERBOTTENS LÄN</t>
        </is>
      </c>
      <c r="E391" t="inlineStr">
        <is>
          <t>VILHELMINA</t>
        </is>
      </c>
      <c r="G391" t="n">
        <v>22.4</v>
      </c>
      <c r="H391" t="n">
        <v>0</v>
      </c>
      <c r="I391" t="n">
        <v>0</v>
      </c>
      <c r="J391" t="n">
        <v>0</v>
      </c>
      <c r="K391" t="n">
        <v>0</v>
      </c>
      <c r="L391" t="n">
        <v>0</v>
      </c>
      <c r="M391" t="n">
        <v>0</v>
      </c>
      <c r="N391" t="n">
        <v>0</v>
      </c>
      <c r="O391" t="n">
        <v>0</v>
      </c>
      <c r="P391" t="n">
        <v>0</v>
      </c>
      <c r="Q391" t="n">
        <v>0</v>
      </c>
      <c r="R391" s="2" t="inlineStr"/>
    </row>
    <row r="392" ht="15" customHeight="1">
      <c r="A392" t="inlineStr">
        <is>
          <t>A 50494-2023</t>
        </is>
      </c>
      <c r="B392" s="1" t="n">
        <v>45216.95604166666</v>
      </c>
      <c r="C392" s="1" t="n">
        <v>45890</v>
      </c>
      <c r="D392" t="inlineStr">
        <is>
          <t>VÄSTERBOTTENS LÄN</t>
        </is>
      </c>
      <c r="E392" t="inlineStr">
        <is>
          <t>VILHELMINA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5575-2025</t>
        </is>
      </c>
      <c r="B393" s="1" t="n">
        <v>45693.53200231482</v>
      </c>
      <c r="C393" s="1" t="n">
        <v>45890</v>
      </c>
      <c r="D393" t="inlineStr">
        <is>
          <t>VÄSTERBOTTENS LÄN</t>
        </is>
      </c>
      <c r="E393" t="inlineStr">
        <is>
          <t>VILHELMINA</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30583-2024</t>
        </is>
      </c>
      <c r="B394" s="1" t="n">
        <v>45492.96108796296</v>
      </c>
      <c r="C394" s="1" t="n">
        <v>45890</v>
      </c>
      <c r="D394" t="inlineStr">
        <is>
          <t>VÄSTERBOTTENS LÄN</t>
        </is>
      </c>
      <c r="E394" t="inlineStr">
        <is>
          <t>VILHELMINA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31095-2024</t>
        </is>
      </c>
      <c r="B395" s="1" t="n">
        <v>45502</v>
      </c>
      <c r="C395" s="1" t="n">
        <v>45890</v>
      </c>
      <c r="D395" t="inlineStr">
        <is>
          <t>VÄSTERBOTTENS LÄN</t>
        </is>
      </c>
      <c r="E395" t="inlineStr">
        <is>
          <t>VILHELMINA</t>
        </is>
      </c>
      <c r="G395" t="n">
        <v>4.7</v>
      </c>
      <c r="H395" t="n">
        <v>0</v>
      </c>
      <c r="I395" t="n">
        <v>0</v>
      </c>
      <c r="J395" t="n">
        <v>0</v>
      </c>
      <c r="K395" t="n">
        <v>0</v>
      </c>
      <c r="L395" t="n">
        <v>0</v>
      </c>
      <c r="M395" t="n">
        <v>0</v>
      </c>
      <c r="N395" t="n">
        <v>0</v>
      </c>
      <c r="O395" t="n">
        <v>0</v>
      </c>
      <c r="P395" t="n">
        <v>0</v>
      </c>
      <c r="Q395" t="n">
        <v>0</v>
      </c>
      <c r="R395" s="2" t="inlineStr"/>
    </row>
    <row r="396" ht="15" customHeight="1">
      <c r="A396" t="inlineStr">
        <is>
          <t>A 31696-2024</t>
        </is>
      </c>
      <c r="B396" s="1" t="n">
        <v>45508</v>
      </c>
      <c r="C396" s="1" t="n">
        <v>45890</v>
      </c>
      <c r="D396" t="inlineStr">
        <is>
          <t>VÄSTERBOTTENS LÄN</t>
        </is>
      </c>
      <c r="E396" t="inlineStr">
        <is>
          <t>VILHELMINA</t>
        </is>
      </c>
      <c r="G396" t="n">
        <v>7.7</v>
      </c>
      <c r="H396" t="n">
        <v>0</v>
      </c>
      <c r="I396" t="n">
        <v>0</v>
      </c>
      <c r="J396" t="n">
        <v>0</v>
      </c>
      <c r="K396" t="n">
        <v>0</v>
      </c>
      <c r="L396" t="n">
        <v>0</v>
      </c>
      <c r="M396" t="n">
        <v>0</v>
      </c>
      <c r="N396" t="n">
        <v>0</v>
      </c>
      <c r="O396" t="n">
        <v>0</v>
      </c>
      <c r="P396" t="n">
        <v>0</v>
      </c>
      <c r="Q396" t="n">
        <v>0</v>
      </c>
      <c r="R396" s="2" t="inlineStr"/>
    </row>
    <row r="397" ht="15" customHeight="1">
      <c r="A397" t="inlineStr">
        <is>
          <t>A 21205-2025</t>
        </is>
      </c>
      <c r="B397" s="1" t="n">
        <v>45779</v>
      </c>
      <c r="C397" s="1" t="n">
        <v>45890</v>
      </c>
      <c r="D397" t="inlineStr">
        <is>
          <t>VÄSTERBOTTENS LÄN</t>
        </is>
      </c>
      <c r="E397" t="inlineStr">
        <is>
          <t>VILHELMINA</t>
        </is>
      </c>
      <c r="F397" t="inlineStr">
        <is>
          <t>Allmännings- och besparingsskogar</t>
        </is>
      </c>
      <c r="G397" t="n">
        <v>6.2</v>
      </c>
      <c r="H397" t="n">
        <v>0</v>
      </c>
      <c r="I397" t="n">
        <v>0</v>
      </c>
      <c r="J397" t="n">
        <v>0</v>
      </c>
      <c r="K397" t="n">
        <v>0</v>
      </c>
      <c r="L397" t="n">
        <v>0</v>
      </c>
      <c r="M397" t="n">
        <v>0</v>
      </c>
      <c r="N397" t="n">
        <v>0</v>
      </c>
      <c r="O397" t="n">
        <v>0</v>
      </c>
      <c r="P397" t="n">
        <v>0</v>
      </c>
      <c r="Q397" t="n">
        <v>0</v>
      </c>
      <c r="R397" s="2" t="inlineStr"/>
    </row>
    <row r="398" ht="15" customHeight="1">
      <c r="A398" t="inlineStr">
        <is>
          <t>A 5435-2024</t>
        </is>
      </c>
      <c r="B398" s="1" t="n">
        <v>45331</v>
      </c>
      <c r="C398" s="1" t="n">
        <v>45890</v>
      </c>
      <c r="D398" t="inlineStr">
        <is>
          <t>VÄSTERBOTTENS LÄN</t>
        </is>
      </c>
      <c r="E398" t="inlineStr">
        <is>
          <t>VILHELMINA</t>
        </is>
      </c>
      <c r="G398" t="n">
        <v>6</v>
      </c>
      <c r="H398" t="n">
        <v>0</v>
      </c>
      <c r="I398" t="n">
        <v>0</v>
      </c>
      <c r="J398" t="n">
        <v>0</v>
      </c>
      <c r="K398" t="n">
        <v>0</v>
      </c>
      <c r="L398" t="n">
        <v>0</v>
      </c>
      <c r="M398" t="n">
        <v>0</v>
      </c>
      <c r="N398" t="n">
        <v>0</v>
      </c>
      <c r="O398" t="n">
        <v>0</v>
      </c>
      <c r="P398" t="n">
        <v>0</v>
      </c>
      <c r="Q398" t="n">
        <v>0</v>
      </c>
      <c r="R398" s="2" t="inlineStr"/>
    </row>
    <row r="399" ht="15" customHeight="1">
      <c r="A399" t="inlineStr">
        <is>
          <t>A 3745-2023</t>
        </is>
      </c>
      <c r="B399" s="1" t="n">
        <v>44949</v>
      </c>
      <c r="C399" s="1" t="n">
        <v>45890</v>
      </c>
      <c r="D399" t="inlineStr">
        <is>
          <t>VÄSTERBOTTENS LÄN</t>
        </is>
      </c>
      <c r="E399" t="inlineStr">
        <is>
          <t>VILHELMINA</t>
        </is>
      </c>
      <c r="G399" t="n">
        <v>36.6</v>
      </c>
      <c r="H399" t="n">
        <v>0</v>
      </c>
      <c r="I399" t="n">
        <v>0</v>
      </c>
      <c r="J399" t="n">
        <v>0</v>
      </c>
      <c r="K399" t="n">
        <v>0</v>
      </c>
      <c r="L399" t="n">
        <v>0</v>
      </c>
      <c r="M399" t="n">
        <v>0</v>
      </c>
      <c r="N399" t="n">
        <v>0</v>
      </c>
      <c r="O399" t="n">
        <v>0</v>
      </c>
      <c r="P399" t="n">
        <v>0</v>
      </c>
      <c r="Q399" t="n">
        <v>0</v>
      </c>
      <c r="R399" s="2" t="inlineStr"/>
    </row>
    <row r="400" ht="15" customHeight="1">
      <c r="A400" t="inlineStr">
        <is>
          <t>A 21204-2025</t>
        </is>
      </c>
      <c r="B400" s="1" t="n">
        <v>45779</v>
      </c>
      <c r="C400" s="1" t="n">
        <v>45890</v>
      </c>
      <c r="D400" t="inlineStr">
        <is>
          <t>VÄSTERBOTTENS LÄN</t>
        </is>
      </c>
      <c r="E400" t="inlineStr">
        <is>
          <t>VILHELMINA</t>
        </is>
      </c>
      <c r="F400" t="inlineStr">
        <is>
          <t>Allmännings- och besparingsskogar</t>
        </is>
      </c>
      <c r="G400" t="n">
        <v>0.9</v>
      </c>
      <c r="H400" t="n">
        <v>0</v>
      </c>
      <c r="I400" t="n">
        <v>0</v>
      </c>
      <c r="J400" t="n">
        <v>0</v>
      </c>
      <c r="K400" t="n">
        <v>0</v>
      </c>
      <c r="L400" t="n">
        <v>0</v>
      </c>
      <c r="M400" t="n">
        <v>0</v>
      </c>
      <c r="N400" t="n">
        <v>0</v>
      </c>
      <c r="O400" t="n">
        <v>0</v>
      </c>
      <c r="P400" t="n">
        <v>0</v>
      </c>
      <c r="Q400" t="n">
        <v>0</v>
      </c>
      <c r="R400" s="2" t="inlineStr"/>
    </row>
    <row r="401" ht="15" customHeight="1">
      <c r="A401" t="inlineStr">
        <is>
          <t>A 45672-2023</t>
        </is>
      </c>
      <c r="B401" s="1" t="n">
        <v>45194</v>
      </c>
      <c r="C401" s="1" t="n">
        <v>45890</v>
      </c>
      <c r="D401" t="inlineStr">
        <is>
          <t>VÄSTERBOTTENS LÄN</t>
        </is>
      </c>
      <c r="E401" t="inlineStr">
        <is>
          <t>VILHELMINA</t>
        </is>
      </c>
      <c r="G401" t="n">
        <v>1.5</v>
      </c>
      <c r="H401" t="n">
        <v>0</v>
      </c>
      <c r="I401" t="n">
        <v>0</v>
      </c>
      <c r="J401" t="n">
        <v>0</v>
      </c>
      <c r="K401" t="n">
        <v>0</v>
      </c>
      <c r="L401" t="n">
        <v>0</v>
      </c>
      <c r="M401" t="n">
        <v>0</v>
      </c>
      <c r="N401" t="n">
        <v>0</v>
      </c>
      <c r="O401" t="n">
        <v>0</v>
      </c>
      <c r="P401" t="n">
        <v>0</v>
      </c>
      <c r="Q401" t="n">
        <v>0</v>
      </c>
      <c r="R401" s="2" t="inlineStr"/>
    </row>
    <row r="402" ht="15" customHeight="1">
      <c r="A402" t="inlineStr">
        <is>
          <t>A 33828-2024</t>
        </is>
      </c>
      <c r="B402" s="1" t="n">
        <v>45520.61695601852</v>
      </c>
      <c r="C402" s="1" t="n">
        <v>45890</v>
      </c>
      <c r="D402" t="inlineStr">
        <is>
          <t>VÄSTERBOTTENS LÄN</t>
        </is>
      </c>
      <c r="E402" t="inlineStr">
        <is>
          <t>VILHELMINA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21410-2025</t>
        </is>
      </c>
      <c r="B403" s="1" t="n">
        <v>45782</v>
      </c>
      <c r="C403" s="1" t="n">
        <v>45890</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21448-2025</t>
        </is>
      </c>
      <c r="B404" s="1" t="n">
        <v>45782.55241898148</v>
      </c>
      <c r="C404" s="1" t="n">
        <v>45890</v>
      </c>
      <c r="D404" t="inlineStr">
        <is>
          <t>VÄSTERBOTTENS LÄN</t>
        </is>
      </c>
      <c r="E404" t="inlineStr">
        <is>
          <t>VILHELMINA</t>
        </is>
      </c>
      <c r="F404" t="inlineStr">
        <is>
          <t>SCA</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21623-2025</t>
        </is>
      </c>
      <c r="B405" s="1" t="n">
        <v>45783</v>
      </c>
      <c r="C405" s="1" t="n">
        <v>45890</v>
      </c>
      <c r="D405" t="inlineStr">
        <is>
          <t>VÄSTERBOTTENS LÄN</t>
        </is>
      </c>
      <c r="E405" t="inlineStr">
        <is>
          <t>VILHELMINA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47253-2022</t>
        </is>
      </c>
      <c r="B406" s="1" t="n">
        <v>44852</v>
      </c>
      <c r="C406" s="1" t="n">
        <v>45890</v>
      </c>
      <c r="D406" t="inlineStr">
        <is>
          <t>VÄSTERBOTTENS LÄN</t>
        </is>
      </c>
      <c r="E406" t="inlineStr">
        <is>
          <t>VILHELMINA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21670-2025</t>
        </is>
      </c>
      <c r="B407" s="1" t="n">
        <v>45783.46917824074</v>
      </c>
      <c r="C407" s="1" t="n">
        <v>45890</v>
      </c>
      <c r="D407" t="inlineStr">
        <is>
          <t>VÄSTERBOTTENS LÄN</t>
        </is>
      </c>
      <c r="E407" t="inlineStr">
        <is>
          <t>VILHELMINA</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66917-2021</t>
        </is>
      </c>
      <c r="B408" s="1" t="n">
        <v>44522</v>
      </c>
      <c r="C408" s="1" t="n">
        <v>45890</v>
      </c>
      <c r="D408" t="inlineStr">
        <is>
          <t>VÄSTERBOTTENS LÄN</t>
        </is>
      </c>
      <c r="E408" t="inlineStr">
        <is>
          <t>VILHELMINA</t>
        </is>
      </c>
      <c r="F408" t="inlineStr">
        <is>
          <t>Allmännings- och besparingsskogar</t>
        </is>
      </c>
      <c r="G408" t="n">
        <v>11.7</v>
      </c>
      <c r="H408" t="n">
        <v>0</v>
      </c>
      <c r="I408" t="n">
        <v>0</v>
      </c>
      <c r="J408" t="n">
        <v>0</v>
      </c>
      <c r="K408" t="n">
        <v>0</v>
      </c>
      <c r="L408" t="n">
        <v>0</v>
      </c>
      <c r="M408" t="n">
        <v>0</v>
      </c>
      <c r="N408" t="n">
        <v>0</v>
      </c>
      <c r="O408" t="n">
        <v>0</v>
      </c>
      <c r="P408" t="n">
        <v>0</v>
      </c>
      <c r="Q408" t="n">
        <v>0</v>
      </c>
      <c r="R408" s="2" t="inlineStr"/>
    </row>
    <row r="409" ht="15" customHeight="1">
      <c r="A409" t="inlineStr">
        <is>
          <t>A 28870-2024</t>
        </is>
      </c>
      <c r="B409" s="1" t="n">
        <v>45478.94733796296</v>
      </c>
      <c r="C409" s="1" t="n">
        <v>45890</v>
      </c>
      <c r="D409" t="inlineStr">
        <is>
          <t>VÄSTERBOTTENS LÄN</t>
        </is>
      </c>
      <c r="E409" t="inlineStr">
        <is>
          <t>VILHELMINA</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65133-2021</t>
        </is>
      </c>
      <c r="B410" s="1" t="n">
        <v>44515</v>
      </c>
      <c r="C410" s="1" t="n">
        <v>45890</v>
      </c>
      <c r="D410" t="inlineStr">
        <is>
          <t>VÄSTERBOTTENS LÄN</t>
        </is>
      </c>
      <c r="E410" t="inlineStr">
        <is>
          <t>VILHELMINA</t>
        </is>
      </c>
      <c r="G410" t="n">
        <v>16.4</v>
      </c>
      <c r="H410" t="n">
        <v>0</v>
      </c>
      <c r="I410" t="n">
        <v>0</v>
      </c>
      <c r="J410" t="n">
        <v>0</v>
      </c>
      <c r="K410" t="n">
        <v>0</v>
      </c>
      <c r="L410" t="n">
        <v>0</v>
      </c>
      <c r="M410" t="n">
        <v>0</v>
      </c>
      <c r="N410" t="n">
        <v>0</v>
      </c>
      <c r="O410" t="n">
        <v>0</v>
      </c>
      <c r="P410" t="n">
        <v>0</v>
      </c>
      <c r="Q410" t="n">
        <v>0</v>
      </c>
      <c r="R410" s="2" t="inlineStr"/>
    </row>
    <row r="411" ht="15" customHeight="1">
      <c r="A411" t="inlineStr">
        <is>
          <t>A 21950-2025</t>
        </is>
      </c>
      <c r="B411" s="1" t="n">
        <v>45784.59418981482</v>
      </c>
      <c r="C411" s="1" t="n">
        <v>45890</v>
      </c>
      <c r="D411" t="inlineStr">
        <is>
          <t>VÄSTERBOTTENS LÄN</t>
        </is>
      </c>
      <c r="E411" t="inlineStr">
        <is>
          <t>VILHELMINA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33636-2021</t>
        </is>
      </c>
      <c r="B412" s="1" t="n">
        <v>44378</v>
      </c>
      <c r="C412" s="1" t="n">
        <v>45890</v>
      </c>
      <c r="D412" t="inlineStr">
        <is>
          <t>VÄSTERBOTTENS LÄN</t>
        </is>
      </c>
      <c r="E412" t="inlineStr">
        <is>
          <t>VILHELMINA</t>
        </is>
      </c>
      <c r="G412" t="n">
        <v>1.6</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45890</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20523-2024</t>
        </is>
      </c>
      <c r="B414" s="1" t="n">
        <v>45435.94553240741</v>
      </c>
      <c r="C414" s="1" t="n">
        <v>45890</v>
      </c>
      <c r="D414" t="inlineStr">
        <is>
          <t>VÄSTERBOTTENS LÄN</t>
        </is>
      </c>
      <c r="E414" t="inlineStr">
        <is>
          <t>VILHELMINA</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50482-2023</t>
        </is>
      </c>
      <c r="B415" s="1" t="n">
        <v>45216</v>
      </c>
      <c r="C415" s="1" t="n">
        <v>45890</v>
      </c>
      <c r="D415" t="inlineStr">
        <is>
          <t>VÄSTERBOTTENS LÄN</t>
        </is>
      </c>
      <c r="E415" t="inlineStr">
        <is>
          <t>VILHELMINA</t>
        </is>
      </c>
      <c r="G415" t="n">
        <v>3.5</v>
      </c>
      <c r="H415" t="n">
        <v>0</v>
      </c>
      <c r="I415" t="n">
        <v>0</v>
      </c>
      <c r="J415" t="n">
        <v>0</v>
      </c>
      <c r="K415" t="n">
        <v>0</v>
      </c>
      <c r="L415" t="n">
        <v>0</v>
      </c>
      <c r="M415" t="n">
        <v>0</v>
      </c>
      <c r="N415" t="n">
        <v>0</v>
      </c>
      <c r="O415" t="n">
        <v>0</v>
      </c>
      <c r="P415" t="n">
        <v>0</v>
      </c>
      <c r="Q415" t="n">
        <v>0</v>
      </c>
      <c r="R415" s="2" t="inlineStr"/>
    </row>
    <row r="416" ht="15" customHeight="1">
      <c r="A416" t="inlineStr">
        <is>
          <t>A 35409-2024</t>
        </is>
      </c>
      <c r="B416" s="1" t="n">
        <v>45531</v>
      </c>
      <c r="C416" s="1" t="n">
        <v>45890</v>
      </c>
      <c r="D416" t="inlineStr">
        <is>
          <t>VÄSTERBOTTENS LÄN</t>
        </is>
      </c>
      <c r="E416" t="inlineStr">
        <is>
          <t>VILHELMINA</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22048-2025</t>
        </is>
      </c>
      <c r="B417" s="1" t="n">
        <v>45785.3443287037</v>
      </c>
      <c r="C417" s="1" t="n">
        <v>45890</v>
      </c>
      <c r="D417" t="inlineStr">
        <is>
          <t>VÄSTERBOTTENS LÄN</t>
        </is>
      </c>
      <c r="E417" t="inlineStr">
        <is>
          <t>VILHELMINA</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15059-2024</t>
        </is>
      </c>
      <c r="B418" s="1" t="n">
        <v>45399</v>
      </c>
      <c r="C418" s="1" t="n">
        <v>45890</v>
      </c>
      <c r="D418" t="inlineStr">
        <is>
          <t>VÄSTERBOTTENS LÄN</t>
        </is>
      </c>
      <c r="E418" t="inlineStr">
        <is>
          <t>VILHELMINA</t>
        </is>
      </c>
      <c r="G418" t="n">
        <v>0.8</v>
      </c>
      <c r="H418" t="n">
        <v>0</v>
      </c>
      <c r="I418" t="n">
        <v>0</v>
      </c>
      <c r="J418" t="n">
        <v>0</v>
      </c>
      <c r="K418" t="n">
        <v>0</v>
      </c>
      <c r="L418" t="n">
        <v>0</v>
      </c>
      <c r="M418" t="n">
        <v>0</v>
      </c>
      <c r="N418" t="n">
        <v>0</v>
      </c>
      <c r="O418" t="n">
        <v>0</v>
      </c>
      <c r="P418" t="n">
        <v>0</v>
      </c>
      <c r="Q418" t="n">
        <v>0</v>
      </c>
      <c r="R418" s="2" t="inlineStr"/>
    </row>
    <row r="419" ht="15" customHeight="1">
      <c r="A419" t="inlineStr">
        <is>
          <t>A 21972-2025</t>
        </is>
      </c>
      <c r="B419" s="1" t="n">
        <v>45784.63592592593</v>
      </c>
      <c r="C419" s="1" t="n">
        <v>45890</v>
      </c>
      <c r="D419" t="inlineStr">
        <is>
          <t>VÄSTERBOTTENS LÄN</t>
        </is>
      </c>
      <c r="E419" t="inlineStr">
        <is>
          <t>VILHELMINA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34809-2023</t>
        </is>
      </c>
      <c r="B420" s="1" t="n">
        <v>45140</v>
      </c>
      <c r="C420" s="1" t="n">
        <v>45890</v>
      </c>
      <c r="D420" t="inlineStr">
        <is>
          <t>VÄSTERBOTTENS LÄN</t>
        </is>
      </c>
      <c r="E420" t="inlineStr">
        <is>
          <t>VILHELMINA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55620-2024</t>
        </is>
      </c>
      <c r="B421" s="1" t="n">
        <v>45622</v>
      </c>
      <c r="C421" s="1" t="n">
        <v>45890</v>
      </c>
      <c r="D421" t="inlineStr">
        <is>
          <t>VÄSTERBOTTENS LÄN</t>
        </is>
      </c>
      <c r="E421" t="inlineStr">
        <is>
          <t>VILHELMINA</t>
        </is>
      </c>
      <c r="F421" t="inlineStr">
        <is>
          <t>SCA</t>
        </is>
      </c>
      <c r="G421" t="n">
        <v>21.4</v>
      </c>
      <c r="H421" t="n">
        <v>0</v>
      </c>
      <c r="I421" t="n">
        <v>0</v>
      </c>
      <c r="J421" t="n">
        <v>0</v>
      </c>
      <c r="K421" t="n">
        <v>0</v>
      </c>
      <c r="L421" t="n">
        <v>0</v>
      </c>
      <c r="M421" t="n">
        <v>0</v>
      </c>
      <c r="N421" t="n">
        <v>0</v>
      </c>
      <c r="O421" t="n">
        <v>0</v>
      </c>
      <c r="P421" t="n">
        <v>0</v>
      </c>
      <c r="Q421" t="n">
        <v>0</v>
      </c>
      <c r="R421" s="2" t="inlineStr"/>
    </row>
    <row r="422" ht="15" customHeight="1">
      <c r="A422" t="inlineStr">
        <is>
          <t>A 21999-2025</t>
        </is>
      </c>
      <c r="B422" s="1" t="n">
        <v>45784</v>
      </c>
      <c r="C422" s="1" t="n">
        <v>45890</v>
      </c>
      <c r="D422" t="inlineStr">
        <is>
          <t>VÄSTERBOTTENS LÄN</t>
        </is>
      </c>
      <c r="E422" t="inlineStr">
        <is>
          <t>VILHELMINA</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21924-2025</t>
        </is>
      </c>
      <c r="B423" s="1" t="n">
        <v>45784</v>
      </c>
      <c r="C423" s="1" t="n">
        <v>45890</v>
      </c>
      <c r="D423" t="inlineStr">
        <is>
          <t>VÄSTERBOTTENS LÄN</t>
        </is>
      </c>
      <c r="E423" t="inlineStr">
        <is>
          <t>VILHELMINA</t>
        </is>
      </c>
      <c r="G423" t="n">
        <v>10.2</v>
      </c>
      <c r="H423" t="n">
        <v>0</v>
      </c>
      <c r="I423" t="n">
        <v>0</v>
      </c>
      <c r="J423" t="n">
        <v>0</v>
      </c>
      <c r="K423" t="n">
        <v>0</v>
      </c>
      <c r="L423" t="n">
        <v>0</v>
      </c>
      <c r="M423" t="n">
        <v>0</v>
      </c>
      <c r="N423" t="n">
        <v>0</v>
      </c>
      <c r="O423" t="n">
        <v>0</v>
      </c>
      <c r="P423" t="n">
        <v>0</v>
      </c>
      <c r="Q423" t="n">
        <v>0</v>
      </c>
      <c r="R423" s="2" t="inlineStr"/>
    </row>
    <row r="424" ht="15" customHeight="1">
      <c r="A424" t="inlineStr">
        <is>
          <t>A 36320-2024</t>
        </is>
      </c>
      <c r="B424" s="1" t="n">
        <v>45534.63586805556</v>
      </c>
      <c r="C424" s="1" t="n">
        <v>45890</v>
      </c>
      <c r="D424" t="inlineStr">
        <is>
          <t>VÄSTERBOTTENS LÄN</t>
        </is>
      </c>
      <c r="E424" t="inlineStr">
        <is>
          <t>VILHELMINA</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30574-2024</t>
        </is>
      </c>
      <c r="B425" s="1" t="n">
        <v>45492.9580324074</v>
      </c>
      <c r="C425" s="1" t="n">
        <v>45890</v>
      </c>
      <c r="D425" t="inlineStr">
        <is>
          <t>VÄSTERBOTTENS LÄN</t>
        </is>
      </c>
      <c r="E425" t="inlineStr">
        <is>
          <t>VILHELMINA</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55722-2023</t>
        </is>
      </c>
      <c r="B426" s="1" t="n">
        <v>45232</v>
      </c>
      <c r="C426" s="1" t="n">
        <v>45890</v>
      </c>
      <c r="D426" t="inlineStr">
        <is>
          <t>VÄSTERBOTTENS LÄN</t>
        </is>
      </c>
      <c r="E426" t="inlineStr">
        <is>
          <t>VILHELMINA</t>
        </is>
      </c>
      <c r="G426" t="n">
        <v>5.8</v>
      </c>
      <c r="H426" t="n">
        <v>0</v>
      </c>
      <c r="I426" t="n">
        <v>0</v>
      </c>
      <c r="J426" t="n">
        <v>0</v>
      </c>
      <c r="K426" t="n">
        <v>0</v>
      </c>
      <c r="L426" t="n">
        <v>0</v>
      </c>
      <c r="M426" t="n">
        <v>0</v>
      </c>
      <c r="N426" t="n">
        <v>0</v>
      </c>
      <c r="O426" t="n">
        <v>0</v>
      </c>
      <c r="P426" t="n">
        <v>0</v>
      </c>
      <c r="Q426" t="n">
        <v>0</v>
      </c>
      <c r="R426" s="2" t="inlineStr"/>
    </row>
    <row r="427" ht="15" customHeight="1">
      <c r="A427" t="inlineStr">
        <is>
          <t>A 44371-2023</t>
        </is>
      </c>
      <c r="B427" s="1" t="n">
        <v>45188</v>
      </c>
      <c r="C427" s="1" t="n">
        <v>45890</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35757-2023</t>
        </is>
      </c>
      <c r="B428" s="1" t="n">
        <v>45147.95444444445</v>
      </c>
      <c r="C428" s="1" t="n">
        <v>45890</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19349-2024</t>
        </is>
      </c>
      <c r="B429" s="1" t="n">
        <v>45428.97231481481</v>
      </c>
      <c r="C429" s="1" t="n">
        <v>45890</v>
      </c>
      <c r="D429" t="inlineStr">
        <is>
          <t>VÄSTERBOTTENS LÄN</t>
        </is>
      </c>
      <c r="E429" t="inlineStr">
        <is>
          <t>VILHELMINA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12765-2025</t>
        </is>
      </c>
      <c r="B430" s="1" t="n">
        <v>45733</v>
      </c>
      <c r="C430" s="1" t="n">
        <v>45890</v>
      </c>
      <c r="D430" t="inlineStr">
        <is>
          <t>VÄSTERBOTTENS LÄN</t>
        </is>
      </c>
      <c r="E430" t="inlineStr">
        <is>
          <t>VILHELMINA</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44516-2024</t>
        </is>
      </c>
      <c r="B431" s="1" t="n">
        <v>45574</v>
      </c>
      <c r="C431" s="1" t="n">
        <v>45890</v>
      </c>
      <c r="D431" t="inlineStr">
        <is>
          <t>VÄSTERBOTTENS LÄN</t>
        </is>
      </c>
      <c r="E431" t="inlineStr">
        <is>
          <t>VILHELMINA</t>
        </is>
      </c>
      <c r="G431" t="n">
        <v>2.9</v>
      </c>
      <c r="H431" t="n">
        <v>0</v>
      </c>
      <c r="I431" t="n">
        <v>0</v>
      </c>
      <c r="J431" t="n">
        <v>0</v>
      </c>
      <c r="K431" t="n">
        <v>0</v>
      </c>
      <c r="L431" t="n">
        <v>0</v>
      </c>
      <c r="M431" t="n">
        <v>0</v>
      </c>
      <c r="N431" t="n">
        <v>0</v>
      </c>
      <c r="O431" t="n">
        <v>0</v>
      </c>
      <c r="P431" t="n">
        <v>0</v>
      </c>
      <c r="Q431" t="n">
        <v>0</v>
      </c>
      <c r="R431" s="2" t="inlineStr"/>
    </row>
    <row r="432" ht="15" customHeight="1">
      <c r="A432" t="inlineStr">
        <is>
          <t>A 31496-2023</t>
        </is>
      </c>
      <c r="B432" s="1" t="n">
        <v>45114.94138888889</v>
      </c>
      <c r="C432" s="1" t="n">
        <v>45890</v>
      </c>
      <c r="D432" t="inlineStr">
        <is>
          <t>VÄSTERBOTTENS LÄN</t>
        </is>
      </c>
      <c r="E432" t="inlineStr">
        <is>
          <t>VILHELMINA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28722-2022</t>
        </is>
      </c>
      <c r="B433" s="1" t="n">
        <v>44748</v>
      </c>
      <c r="C433" s="1" t="n">
        <v>45890</v>
      </c>
      <c r="D433" t="inlineStr">
        <is>
          <t>VÄSTERBOTTENS LÄN</t>
        </is>
      </c>
      <c r="E433" t="inlineStr">
        <is>
          <t>VILHELMINA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24457-2024</t>
        </is>
      </c>
      <c r="B434" s="1" t="n">
        <v>45457.96708333334</v>
      </c>
      <c r="C434" s="1" t="n">
        <v>45890</v>
      </c>
      <c r="D434" t="inlineStr">
        <is>
          <t>VÄSTERBOTTENS LÄN</t>
        </is>
      </c>
      <c r="E434" t="inlineStr">
        <is>
          <t>VILHELMINA</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39914-2023</t>
        </is>
      </c>
      <c r="B435" s="1" t="n">
        <v>45166</v>
      </c>
      <c r="C435" s="1" t="n">
        <v>45890</v>
      </c>
      <c r="D435" t="inlineStr">
        <is>
          <t>VÄSTERBOTTENS LÄN</t>
        </is>
      </c>
      <c r="E435" t="inlineStr">
        <is>
          <t>VILHELMINA</t>
        </is>
      </c>
      <c r="G435" t="n">
        <v>27.5</v>
      </c>
      <c r="H435" t="n">
        <v>0</v>
      </c>
      <c r="I435" t="n">
        <v>0</v>
      </c>
      <c r="J435" t="n">
        <v>0</v>
      </c>
      <c r="K435" t="n">
        <v>0</v>
      </c>
      <c r="L435" t="n">
        <v>0</v>
      </c>
      <c r="M435" t="n">
        <v>0</v>
      </c>
      <c r="N435" t="n">
        <v>0</v>
      </c>
      <c r="O435" t="n">
        <v>0</v>
      </c>
      <c r="P435" t="n">
        <v>0</v>
      </c>
      <c r="Q435" t="n">
        <v>0</v>
      </c>
      <c r="R435" s="2" t="inlineStr"/>
    </row>
    <row r="436" ht="15" customHeight="1">
      <c r="A436" t="inlineStr">
        <is>
          <t>A 47483-2023</t>
        </is>
      </c>
      <c r="B436" s="1" t="n">
        <v>45202.9413425926</v>
      </c>
      <c r="C436" s="1" t="n">
        <v>45890</v>
      </c>
      <c r="D436" t="inlineStr">
        <is>
          <t>VÄSTERBOTTENS LÄN</t>
        </is>
      </c>
      <c r="E436" t="inlineStr">
        <is>
          <t>VILHELMINA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46392-2024</t>
        </is>
      </c>
      <c r="B437" s="1" t="n">
        <v>45582</v>
      </c>
      <c r="C437" s="1" t="n">
        <v>45890</v>
      </c>
      <c r="D437" t="inlineStr">
        <is>
          <t>VÄSTERBOTTENS LÄN</t>
        </is>
      </c>
      <c r="E437" t="inlineStr">
        <is>
          <t>VILHELMINA</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16626-2024</t>
        </is>
      </c>
      <c r="B438" s="1" t="n">
        <v>45408</v>
      </c>
      <c r="C438" s="1" t="n">
        <v>45890</v>
      </c>
      <c r="D438" t="inlineStr">
        <is>
          <t>VÄSTERBOTTENS LÄN</t>
        </is>
      </c>
      <c r="E438" t="inlineStr">
        <is>
          <t>VILHELMINA</t>
        </is>
      </c>
      <c r="G438" t="n">
        <v>15.5</v>
      </c>
      <c r="H438" t="n">
        <v>0</v>
      </c>
      <c r="I438" t="n">
        <v>0</v>
      </c>
      <c r="J438" t="n">
        <v>0</v>
      </c>
      <c r="K438" t="n">
        <v>0</v>
      </c>
      <c r="L438" t="n">
        <v>0</v>
      </c>
      <c r="M438" t="n">
        <v>0</v>
      </c>
      <c r="N438" t="n">
        <v>0</v>
      </c>
      <c r="O438" t="n">
        <v>0</v>
      </c>
      <c r="P438" t="n">
        <v>0</v>
      </c>
      <c r="Q438" t="n">
        <v>0</v>
      </c>
      <c r="R438" s="2" t="inlineStr"/>
    </row>
    <row r="439" ht="15" customHeight="1">
      <c r="A439" t="inlineStr">
        <is>
          <t>A 10268-2025</t>
        </is>
      </c>
      <c r="B439" s="1" t="n">
        <v>45720</v>
      </c>
      <c r="C439" s="1" t="n">
        <v>45890</v>
      </c>
      <c r="D439" t="inlineStr">
        <is>
          <t>VÄSTERBOTTENS LÄN</t>
        </is>
      </c>
      <c r="E439" t="inlineStr">
        <is>
          <t>VILHELMINA</t>
        </is>
      </c>
      <c r="G439" t="n">
        <v>1.9</v>
      </c>
      <c r="H439" t="n">
        <v>0</v>
      </c>
      <c r="I439" t="n">
        <v>0</v>
      </c>
      <c r="J439" t="n">
        <v>0</v>
      </c>
      <c r="K439" t="n">
        <v>0</v>
      </c>
      <c r="L439" t="n">
        <v>0</v>
      </c>
      <c r="M439" t="n">
        <v>0</v>
      </c>
      <c r="N439" t="n">
        <v>0</v>
      </c>
      <c r="O439" t="n">
        <v>0</v>
      </c>
      <c r="P439" t="n">
        <v>0</v>
      </c>
      <c r="Q439" t="n">
        <v>0</v>
      </c>
      <c r="R439" s="2" t="inlineStr"/>
    </row>
    <row r="440" ht="15" customHeight="1">
      <c r="A440" t="inlineStr">
        <is>
          <t>A 23543-2024</t>
        </is>
      </c>
      <c r="B440" s="1" t="n">
        <v>45453</v>
      </c>
      <c r="C440" s="1" t="n">
        <v>45890</v>
      </c>
      <c r="D440" t="inlineStr">
        <is>
          <t>VÄSTERBOTTENS LÄN</t>
        </is>
      </c>
      <c r="E440" t="inlineStr">
        <is>
          <t>VILHELMINA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22107-2024</t>
        </is>
      </c>
      <c r="B441" s="1" t="n">
        <v>45443</v>
      </c>
      <c r="C441" s="1" t="n">
        <v>45890</v>
      </c>
      <c r="D441" t="inlineStr">
        <is>
          <t>VÄSTERBOTTENS LÄN</t>
        </is>
      </c>
      <c r="E441" t="inlineStr">
        <is>
          <t>VILHELMINA</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22617-2025</t>
        </is>
      </c>
      <c r="B442" s="1" t="n">
        <v>45789</v>
      </c>
      <c r="C442" s="1" t="n">
        <v>45890</v>
      </c>
      <c r="D442" t="inlineStr">
        <is>
          <t>VÄSTERBOTTENS LÄN</t>
        </is>
      </c>
      <c r="E442" t="inlineStr">
        <is>
          <t>VILHELMINA</t>
        </is>
      </c>
      <c r="F442" t="inlineStr">
        <is>
          <t>SCA</t>
        </is>
      </c>
      <c r="G442" t="n">
        <v>7.3</v>
      </c>
      <c r="H442" t="n">
        <v>0</v>
      </c>
      <c r="I442" t="n">
        <v>0</v>
      </c>
      <c r="J442" t="n">
        <v>0</v>
      </c>
      <c r="K442" t="n">
        <v>0</v>
      </c>
      <c r="L442" t="n">
        <v>0</v>
      </c>
      <c r="M442" t="n">
        <v>0</v>
      </c>
      <c r="N442" t="n">
        <v>0</v>
      </c>
      <c r="O442" t="n">
        <v>0</v>
      </c>
      <c r="P442" t="n">
        <v>0</v>
      </c>
      <c r="Q442" t="n">
        <v>0</v>
      </c>
      <c r="R442" s="2" t="inlineStr"/>
    </row>
    <row r="443" ht="15" customHeight="1">
      <c r="A443" t="inlineStr">
        <is>
          <t>A 20336-2025</t>
        </is>
      </c>
      <c r="B443" s="1" t="n">
        <v>45775.36528935185</v>
      </c>
      <c r="C443" s="1" t="n">
        <v>45890</v>
      </c>
      <c r="D443" t="inlineStr">
        <is>
          <t>VÄSTERBOTTENS LÄN</t>
        </is>
      </c>
      <c r="E443" t="inlineStr">
        <is>
          <t>VILHELMINA</t>
        </is>
      </c>
      <c r="F443" t="inlineStr">
        <is>
          <t>SCA</t>
        </is>
      </c>
      <c r="G443" t="n">
        <v>9.4</v>
      </c>
      <c r="H443" t="n">
        <v>0</v>
      </c>
      <c r="I443" t="n">
        <v>0</v>
      </c>
      <c r="J443" t="n">
        <v>0</v>
      </c>
      <c r="K443" t="n">
        <v>0</v>
      </c>
      <c r="L443" t="n">
        <v>0</v>
      </c>
      <c r="M443" t="n">
        <v>0</v>
      </c>
      <c r="N443" t="n">
        <v>0</v>
      </c>
      <c r="O443" t="n">
        <v>0</v>
      </c>
      <c r="P443" t="n">
        <v>0</v>
      </c>
      <c r="Q443" t="n">
        <v>0</v>
      </c>
      <c r="R443" s="2" t="inlineStr"/>
    </row>
    <row r="444" ht="15" customHeight="1">
      <c r="A444" t="inlineStr">
        <is>
          <t>A 54729-2022</t>
        </is>
      </c>
      <c r="B444" s="1" t="n">
        <v>44881</v>
      </c>
      <c r="C444" s="1" t="n">
        <v>45890</v>
      </c>
      <c r="D444" t="inlineStr">
        <is>
          <t>VÄSTERBOTTENS LÄN</t>
        </is>
      </c>
      <c r="E444" t="inlineStr">
        <is>
          <t>VILHELMINA</t>
        </is>
      </c>
      <c r="G444" t="n">
        <v>19.2</v>
      </c>
      <c r="H444" t="n">
        <v>0</v>
      </c>
      <c r="I444" t="n">
        <v>0</v>
      </c>
      <c r="J444" t="n">
        <v>0</v>
      </c>
      <c r="K444" t="n">
        <v>0</v>
      </c>
      <c r="L444" t="n">
        <v>0</v>
      </c>
      <c r="M444" t="n">
        <v>0</v>
      </c>
      <c r="N444" t="n">
        <v>0</v>
      </c>
      <c r="O444" t="n">
        <v>0</v>
      </c>
      <c r="P444" t="n">
        <v>0</v>
      </c>
      <c r="Q444" t="n">
        <v>0</v>
      </c>
      <c r="R444" s="2" t="inlineStr"/>
    </row>
    <row r="445" ht="15" customHeight="1">
      <c r="A445" t="inlineStr">
        <is>
          <t>A 13829-2025</t>
        </is>
      </c>
      <c r="B445" s="1" t="n">
        <v>45737</v>
      </c>
      <c r="C445" s="1" t="n">
        <v>45890</v>
      </c>
      <c r="D445" t="inlineStr">
        <is>
          <t>VÄSTERBOTTENS LÄN</t>
        </is>
      </c>
      <c r="E445" t="inlineStr">
        <is>
          <t>VILHELMINA</t>
        </is>
      </c>
      <c r="F445" t="inlineStr">
        <is>
          <t>Övriga statliga verk och myndigheter</t>
        </is>
      </c>
      <c r="G445" t="n">
        <v>39.7</v>
      </c>
      <c r="H445" t="n">
        <v>0</v>
      </c>
      <c r="I445" t="n">
        <v>0</v>
      </c>
      <c r="J445" t="n">
        <v>0</v>
      </c>
      <c r="K445" t="n">
        <v>0</v>
      </c>
      <c r="L445" t="n">
        <v>0</v>
      </c>
      <c r="M445" t="n">
        <v>0</v>
      </c>
      <c r="N445" t="n">
        <v>0</v>
      </c>
      <c r="O445" t="n">
        <v>0</v>
      </c>
      <c r="P445" t="n">
        <v>0</v>
      </c>
      <c r="Q445" t="n">
        <v>0</v>
      </c>
      <c r="R445" s="2" t="inlineStr"/>
    </row>
    <row r="446" ht="15" customHeight="1">
      <c r="A446" t="inlineStr">
        <is>
          <t>A 58179-2024</t>
        </is>
      </c>
      <c r="B446" s="1" t="n">
        <v>45632.4690162037</v>
      </c>
      <c r="C446" s="1" t="n">
        <v>45890</v>
      </c>
      <c r="D446" t="inlineStr">
        <is>
          <t>VÄSTERBOTTENS LÄN</t>
        </is>
      </c>
      <c r="E446" t="inlineStr">
        <is>
          <t>VILHELMINA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52174-2020</t>
        </is>
      </c>
      <c r="B447" s="1" t="n">
        <v>44105</v>
      </c>
      <c r="C447" s="1" t="n">
        <v>45890</v>
      </c>
      <c r="D447" t="inlineStr">
        <is>
          <t>VÄSTERBOTTENS LÄN</t>
        </is>
      </c>
      <c r="E447" t="inlineStr">
        <is>
          <t>VILHELMINA</t>
        </is>
      </c>
      <c r="G447" t="n">
        <v>3</v>
      </c>
      <c r="H447" t="n">
        <v>0</v>
      </c>
      <c r="I447" t="n">
        <v>0</v>
      </c>
      <c r="J447" t="n">
        <v>0</v>
      </c>
      <c r="K447" t="n">
        <v>0</v>
      </c>
      <c r="L447" t="n">
        <v>0</v>
      </c>
      <c r="M447" t="n">
        <v>0</v>
      </c>
      <c r="N447" t="n">
        <v>0</v>
      </c>
      <c r="O447" t="n">
        <v>0</v>
      </c>
      <c r="P447" t="n">
        <v>0</v>
      </c>
      <c r="Q447" t="n">
        <v>0</v>
      </c>
      <c r="R447" s="2" t="inlineStr"/>
    </row>
    <row r="448" ht="15" customHeight="1">
      <c r="A448" t="inlineStr">
        <is>
          <t>A 23281-2025</t>
        </is>
      </c>
      <c r="B448" s="1" t="n">
        <v>45791.57324074074</v>
      </c>
      <c r="C448" s="1" t="n">
        <v>45890</v>
      </c>
      <c r="D448" t="inlineStr">
        <is>
          <t>VÄSTERBOTTENS LÄN</t>
        </is>
      </c>
      <c r="E448" t="inlineStr">
        <is>
          <t>VILHELMINA</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39670-2024</t>
        </is>
      </c>
      <c r="B449" s="1" t="n">
        <v>45552.5315162037</v>
      </c>
      <c r="C449" s="1" t="n">
        <v>45890</v>
      </c>
      <c r="D449" t="inlineStr">
        <is>
          <t>VÄSTERBOTTENS LÄN</t>
        </is>
      </c>
      <c r="E449" t="inlineStr">
        <is>
          <t>VILHELMINA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32455-2024</t>
        </is>
      </c>
      <c r="B450" s="1" t="n">
        <v>45512.95870370371</v>
      </c>
      <c r="C450" s="1" t="n">
        <v>45890</v>
      </c>
      <c r="D450" t="inlineStr">
        <is>
          <t>VÄSTERBOTTENS LÄN</t>
        </is>
      </c>
      <c r="E450" t="inlineStr">
        <is>
          <t>VILHELMINA</t>
        </is>
      </c>
      <c r="F450" t="inlineStr">
        <is>
          <t>SCA</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55327-2023</t>
        </is>
      </c>
      <c r="B451" s="1" t="n">
        <v>45237.97375</v>
      </c>
      <c r="C451" s="1" t="n">
        <v>45890</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17186-2025</t>
        </is>
      </c>
      <c r="B452" s="1" t="n">
        <v>45756</v>
      </c>
      <c r="C452" s="1" t="n">
        <v>45890</v>
      </c>
      <c r="D452" t="inlineStr">
        <is>
          <t>VÄSTERBOTTENS LÄN</t>
        </is>
      </c>
      <c r="E452" t="inlineStr">
        <is>
          <t>VILHELMINA</t>
        </is>
      </c>
      <c r="F452" t="inlineStr">
        <is>
          <t>SCA</t>
        </is>
      </c>
      <c r="G452" t="n">
        <v>12.3</v>
      </c>
      <c r="H452" t="n">
        <v>0</v>
      </c>
      <c r="I452" t="n">
        <v>0</v>
      </c>
      <c r="J452" t="n">
        <v>0</v>
      </c>
      <c r="K452" t="n">
        <v>0</v>
      </c>
      <c r="L452" t="n">
        <v>0</v>
      </c>
      <c r="M452" t="n">
        <v>0</v>
      </c>
      <c r="N452" t="n">
        <v>0</v>
      </c>
      <c r="O452" t="n">
        <v>0</v>
      </c>
      <c r="P452" t="n">
        <v>0</v>
      </c>
      <c r="Q452" t="n">
        <v>0</v>
      </c>
      <c r="R452" s="2" t="inlineStr"/>
    </row>
    <row r="453" ht="15" customHeight="1">
      <c r="A453" t="inlineStr">
        <is>
          <t>A 48505-2023</t>
        </is>
      </c>
      <c r="B453" s="1" t="n">
        <v>45207.93900462963</v>
      </c>
      <c r="C453" s="1" t="n">
        <v>45890</v>
      </c>
      <c r="D453" t="inlineStr">
        <is>
          <t>VÄSTERBOTTENS LÄN</t>
        </is>
      </c>
      <c r="E453" t="inlineStr">
        <is>
          <t>VILHELMINA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52749-2023</t>
        </is>
      </c>
      <c r="B454" s="1" t="n">
        <v>45225.9678587963</v>
      </c>
      <c r="C454" s="1" t="n">
        <v>45890</v>
      </c>
      <c r="D454" t="inlineStr">
        <is>
          <t>VÄSTERBOTTENS LÄN</t>
        </is>
      </c>
      <c r="E454" t="inlineStr">
        <is>
          <t>VILHELMINA</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38187-2024</t>
        </is>
      </c>
      <c r="B455" s="1" t="n">
        <v>45545.49028935185</v>
      </c>
      <c r="C455" s="1" t="n">
        <v>45890</v>
      </c>
      <c r="D455" t="inlineStr">
        <is>
          <t>VÄSTERBOTTENS LÄN</t>
        </is>
      </c>
      <c r="E455" t="inlineStr">
        <is>
          <t>VILHELMINA</t>
        </is>
      </c>
      <c r="F455" t="inlineStr">
        <is>
          <t>SCA</t>
        </is>
      </c>
      <c r="G455" t="n">
        <v>6.1</v>
      </c>
      <c r="H455" t="n">
        <v>0</v>
      </c>
      <c r="I455" t="n">
        <v>0</v>
      </c>
      <c r="J455" t="n">
        <v>0</v>
      </c>
      <c r="K455" t="n">
        <v>0</v>
      </c>
      <c r="L455" t="n">
        <v>0</v>
      </c>
      <c r="M455" t="n">
        <v>0</v>
      </c>
      <c r="N455" t="n">
        <v>0</v>
      </c>
      <c r="O455" t="n">
        <v>0</v>
      </c>
      <c r="P455" t="n">
        <v>0</v>
      </c>
      <c r="Q455" t="n">
        <v>0</v>
      </c>
      <c r="R455" s="2" t="inlineStr"/>
    </row>
    <row r="456" ht="15" customHeight="1">
      <c r="A456" t="inlineStr">
        <is>
          <t>A 40505-2024</t>
        </is>
      </c>
      <c r="B456" s="1" t="n">
        <v>45555.57373842593</v>
      </c>
      <c r="C456" s="1" t="n">
        <v>45890</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35412-2024</t>
        </is>
      </c>
      <c r="B457" s="1" t="n">
        <v>45531.4075</v>
      </c>
      <c r="C457" s="1" t="n">
        <v>45890</v>
      </c>
      <c r="D457" t="inlineStr">
        <is>
          <t>VÄSTERBOTTENS LÄN</t>
        </is>
      </c>
      <c r="E457" t="inlineStr">
        <is>
          <t>VILHELMINA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48423-2023</t>
        </is>
      </c>
      <c r="B458" s="1" t="n">
        <v>45205</v>
      </c>
      <c r="C458" s="1" t="n">
        <v>45890</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55978-2024</t>
        </is>
      </c>
      <c r="B459" s="1" t="n">
        <v>45623</v>
      </c>
      <c r="C459" s="1" t="n">
        <v>45890</v>
      </c>
      <c r="D459" t="inlineStr">
        <is>
          <t>VÄSTERBOTTENS LÄN</t>
        </is>
      </c>
      <c r="E459" t="inlineStr">
        <is>
          <t>VILHELMINA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37325-2022</t>
        </is>
      </c>
      <c r="B460" s="1" t="n">
        <v>44806</v>
      </c>
      <c r="C460" s="1" t="n">
        <v>45890</v>
      </c>
      <c r="D460" t="inlineStr">
        <is>
          <t>VÄSTERBOTTENS LÄN</t>
        </is>
      </c>
      <c r="E460" t="inlineStr">
        <is>
          <t>VILHELMINA</t>
        </is>
      </c>
      <c r="F460" t="inlineStr">
        <is>
          <t>Övriga statliga verk och myndigheter</t>
        </is>
      </c>
      <c r="G460" t="n">
        <v>11</v>
      </c>
      <c r="H460" t="n">
        <v>0</v>
      </c>
      <c r="I460" t="n">
        <v>0</v>
      </c>
      <c r="J460" t="n">
        <v>0</v>
      </c>
      <c r="K460" t="n">
        <v>0</v>
      </c>
      <c r="L460" t="n">
        <v>0</v>
      </c>
      <c r="M460" t="n">
        <v>0</v>
      </c>
      <c r="N460" t="n">
        <v>0</v>
      </c>
      <c r="O460" t="n">
        <v>0</v>
      </c>
      <c r="P460" t="n">
        <v>0</v>
      </c>
      <c r="Q460" t="n">
        <v>0</v>
      </c>
      <c r="R460" s="2" t="inlineStr"/>
    </row>
    <row r="461" ht="15" customHeight="1">
      <c r="A461" t="inlineStr">
        <is>
          <t>A 35984-2023</t>
        </is>
      </c>
      <c r="B461" s="1" t="n">
        <v>45148.96195601852</v>
      </c>
      <c r="C461" s="1" t="n">
        <v>45890</v>
      </c>
      <c r="D461" t="inlineStr">
        <is>
          <t>VÄSTERBOTTENS LÄN</t>
        </is>
      </c>
      <c r="E461" t="inlineStr">
        <is>
          <t>VILHELMINA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48422-2023</t>
        </is>
      </c>
      <c r="B462" s="1" t="n">
        <v>45205</v>
      </c>
      <c r="C462" s="1" t="n">
        <v>45890</v>
      </c>
      <c r="D462" t="inlineStr">
        <is>
          <t>VÄSTERBOTTENS LÄN</t>
        </is>
      </c>
      <c r="E462" t="inlineStr">
        <is>
          <t>VILHELMINA</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53987-2021</t>
        </is>
      </c>
      <c r="B463" s="1" t="n">
        <v>44470.31884259259</v>
      </c>
      <c r="C463" s="1" t="n">
        <v>45890</v>
      </c>
      <c r="D463" t="inlineStr">
        <is>
          <t>VÄSTERBOTTENS LÄN</t>
        </is>
      </c>
      <c r="E463" t="inlineStr">
        <is>
          <t>VILHELMINA</t>
        </is>
      </c>
      <c r="F463" t="inlineStr">
        <is>
          <t>Kommuner</t>
        </is>
      </c>
      <c r="G463" t="n">
        <v>10</v>
      </c>
      <c r="H463" t="n">
        <v>0</v>
      </c>
      <c r="I463" t="n">
        <v>0</v>
      </c>
      <c r="J463" t="n">
        <v>0</v>
      </c>
      <c r="K463" t="n">
        <v>0</v>
      </c>
      <c r="L463" t="n">
        <v>0</v>
      </c>
      <c r="M463" t="n">
        <v>0</v>
      </c>
      <c r="N463" t="n">
        <v>0</v>
      </c>
      <c r="O463" t="n">
        <v>0</v>
      </c>
      <c r="P463" t="n">
        <v>0</v>
      </c>
      <c r="Q463" t="n">
        <v>0</v>
      </c>
      <c r="R463" s="2" t="inlineStr"/>
    </row>
    <row r="464" ht="15" customHeight="1">
      <c r="A464" t="inlineStr">
        <is>
          <t>A 19873-2024</t>
        </is>
      </c>
      <c r="B464" s="1" t="n">
        <v>45433</v>
      </c>
      <c r="C464" s="1" t="n">
        <v>45890</v>
      </c>
      <c r="D464" t="inlineStr">
        <is>
          <t>VÄSTERBOTTENS LÄN</t>
        </is>
      </c>
      <c r="E464" t="inlineStr">
        <is>
          <t>VILHELMINA</t>
        </is>
      </c>
      <c r="G464" t="n">
        <v>8.6</v>
      </c>
      <c r="H464" t="n">
        <v>0</v>
      </c>
      <c r="I464" t="n">
        <v>0</v>
      </c>
      <c r="J464" t="n">
        <v>0</v>
      </c>
      <c r="K464" t="n">
        <v>0</v>
      </c>
      <c r="L464" t="n">
        <v>0</v>
      </c>
      <c r="M464" t="n">
        <v>0</v>
      </c>
      <c r="N464" t="n">
        <v>0</v>
      </c>
      <c r="O464" t="n">
        <v>0</v>
      </c>
      <c r="P464" t="n">
        <v>0</v>
      </c>
      <c r="Q464" t="n">
        <v>0</v>
      </c>
      <c r="R464" s="2" t="inlineStr"/>
    </row>
    <row r="465" ht="15" customHeight="1">
      <c r="A465" t="inlineStr">
        <is>
          <t>A 47242-2024</t>
        </is>
      </c>
      <c r="B465" s="1" t="n">
        <v>45586</v>
      </c>
      <c r="C465" s="1" t="n">
        <v>45890</v>
      </c>
      <c r="D465" t="inlineStr">
        <is>
          <t>VÄSTERBOTTENS LÄN</t>
        </is>
      </c>
      <c r="E465" t="inlineStr">
        <is>
          <t>VILHELMINA</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23412-2025</t>
        </is>
      </c>
      <c r="B466" s="1" t="n">
        <v>45792.34596064815</v>
      </c>
      <c r="C466" s="1" t="n">
        <v>45890</v>
      </c>
      <c r="D466" t="inlineStr">
        <is>
          <t>VÄSTERBOTTENS LÄN</t>
        </is>
      </c>
      <c r="E466" t="inlineStr">
        <is>
          <t>VILHELMINA</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56891-2023</t>
        </is>
      </c>
      <c r="B467" s="1" t="n">
        <v>45239</v>
      </c>
      <c r="C467" s="1" t="n">
        <v>45890</v>
      </c>
      <c r="D467" t="inlineStr">
        <is>
          <t>VÄSTERBOTTENS LÄN</t>
        </is>
      </c>
      <c r="E467" t="inlineStr">
        <is>
          <t>VILHELMINA</t>
        </is>
      </c>
      <c r="G467" t="n">
        <v>1.1</v>
      </c>
      <c r="H467" t="n">
        <v>0</v>
      </c>
      <c r="I467" t="n">
        <v>0</v>
      </c>
      <c r="J467" t="n">
        <v>0</v>
      </c>
      <c r="K467" t="n">
        <v>0</v>
      </c>
      <c r="L467" t="n">
        <v>0</v>
      </c>
      <c r="M467" t="n">
        <v>0</v>
      </c>
      <c r="N467" t="n">
        <v>0</v>
      </c>
      <c r="O467" t="n">
        <v>0</v>
      </c>
      <c r="P467" t="n">
        <v>0</v>
      </c>
      <c r="Q467" t="n">
        <v>0</v>
      </c>
      <c r="R467" s="2" t="inlineStr"/>
    </row>
    <row r="468" ht="15" customHeight="1">
      <c r="A468" t="inlineStr">
        <is>
          <t>A 23826-2025</t>
        </is>
      </c>
      <c r="B468" s="1" t="n">
        <v>45793.59461805555</v>
      </c>
      <c r="C468" s="1" t="n">
        <v>45890</v>
      </c>
      <c r="D468" t="inlineStr">
        <is>
          <t>VÄSTERBOTTENS LÄN</t>
        </is>
      </c>
      <c r="E468" t="inlineStr">
        <is>
          <t>VILHELMINA</t>
        </is>
      </c>
      <c r="F468" t="inlineStr">
        <is>
          <t>SCA</t>
        </is>
      </c>
      <c r="G468" t="n">
        <v>5.9</v>
      </c>
      <c r="H468" t="n">
        <v>0</v>
      </c>
      <c r="I468" t="n">
        <v>0</v>
      </c>
      <c r="J468" t="n">
        <v>0</v>
      </c>
      <c r="K468" t="n">
        <v>0</v>
      </c>
      <c r="L468" t="n">
        <v>0</v>
      </c>
      <c r="M468" t="n">
        <v>0</v>
      </c>
      <c r="N468" t="n">
        <v>0</v>
      </c>
      <c r="O468" t="n">
        <v>0</v>
      </c>
      <c r="P468" t="n">
        <v>0</v>
      </c>
      <c r="Q468" t="n">
        <v>0</v>
      </c>
      <c r="R468" s="2" t="inlineStr"/>
    </row>
    <row r="469" ht="15" customHeight="1">
      <c r="A469" t="inlineStr">
        <is>
          <t>A 23686-2025</t>
        </is>
      </c>
      <c r="B469" s="1" t="n">
        <v>45793</v>
      </c>
      <c r="C469" s="1" t="n">
        <v>45890</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36082-2022</t>
        </is>
      </c>
      <c r="B470" s="1" t="n">
        <v>44802</v>
      </c>
      <c r="C470" s="1" t="n">
        <v>45890</v>
      </c>
      <c r="D470" t="inlineStr">
        <is>
          <t>VÄSTERBOTTENS LÄN</t>
        </is>
      </c>
      <c r="E470" t="inlineStr">
        <is>
          <t>VILHELMINA</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47440-2024</t>
        </is>
      </c>
      <c r="B471" s="1" t="n">
        <v>45587</v>
      </c>
      <c r="C471" s="1" t="n">
        <v>45890</v>
      </c>
      <c r="D471" t="inlineStr">
        <is>
          <t>VÄSTERBOTTENS LÄN</t>
        </is>
      </c>
      <c r="E471" t="inlineStr">
        <is>
          <t>VILHELMINA</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23764-2025</t>
        </is>
      </c>
      <c r="B472" s="1" t="n">
        <v>45793</v>
      </c>
      <c r="C472" s="1" t="n">
        <v>45890</v>
      </c>
      <c r="D472" t="inlineStr">
        <is>
          <t>VÄSTERBOTTENS LÄN</t>
        </is>
      </c>
      <c r="E472" t="inlineStr">
        <is>
          <t>VILHELMINA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146-2025</t>
        </is>
      </c>
      <c r="B473" s="1" t="n">
        <v>45659</v>
      </c>
      <c r="C473" s="1" t="n">
        <v>45890</v>
      </c>
      <c r="D473" t="inlineStr">
        <is>
          <t>VÄSTERBOTTENS LÄN</t>
        </is>
      </c>
      <c r="E473" t="inlineStr">
        <is>
          <t>VILHELMINA</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25308-2025</t>
        </is>
      </c>
      <c r="B474" s="1" t="n">
        <v>45800</v>
      </c>
      <c r="C474" s="1" t="n">
        <v>45890</v>
      </c>
      <c r="D474" t="inlineStr">
        <is>
          <t>VÄSTERBOTTENS LÄN</t>
        </is>
      </c>
      <c r="E474" t="inlineStr">
        <is>
          <t>VILHELMINA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48088-2024</t>
        </is>
      </c>
      <c r="B475" s="1" t="n">
        <v>45589</v>
      </c>
      <c r="C475" s="1" t="n">
        <v>45890</v>
      </c>
      <c r="D475" t="inlineStr">
        <is>
          <t>VÄSTERBOTTENS LÄN</t>
        </is>
      </c>
      <c r="E475" t="inlineStr">
        <is>
          <t>VILHELMINA</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39035-2024</t>
        </is>
      </c>
      <c r="B476" s="1" t="n">
        <v>45548.46918981482</v>
      </c>
      <c r="C476" s="1" t="n">
        <v>45890</v>
      </c>
      <c r="D476" t="inlineStr">
        <is>
          <t>VÄSTERBOTTENS LÄN</t>
        </is>
      </c>
      <c r="E476" t="inlineStr">
        <is>
          <t>VILHELMINA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54985-2023</t>
        </is>
      </c>
      <c r="B477" s="1" t="n">
        <v>45236</v>
      </c>
      <c r="C477" s="1" t="n">
        <v>45890</v>
      </c>
      <c r="D477" t="inlineStr">
        <is>
          <t>VÄSTERBOTTENS LÄN</t>
        </is>
      </c>
      <c r="E477" t="inlineStr">
        <is>
          <t>VILHELMINA</t>
        </is>
      </c>
      <c r="F477" t="inlineStr">
        <is>
          <t>SCA</t>
        </is>
      </c>
      <c r="G477" t="n">
        <v>7.5</v>
      </c>
      <c r="H477" t="n">
        <v>0</v>
      </c>
      <c r="I477" t="n">
        <v>0</v>
      </c>
      <c r="J477" t="n">
        <v>0</v>
      </c>
      <c r="K477" t="n">
        <v>0</v>
      </c>
      <c r="L477" t="n">
        <v>0</v>
      </c>
      <c r="M477" t="n">
        <v>0</v>
      </c>
      <c r="N477" t="n">
        <v>0</v>
      </c>
      <c r="O477" t="n">
        <v>0</v>
      </c>
      <c r="P477" t="n">
        <v>0</v>
      </c>
      <c r="Q477" t="n">
        <v>0</v>
      </c>
      <c r="R477" s="2" t="inlineStr"/>
    </row>
    <row r="478" ht="15" customHeight="1">
      <c r="A478" t="inlineStr">
        <is>
          <t>A 38569-2024</t>
        </is>
      </c>
      <c r="B478" s="1" t="n">
        <v>45546.63689814815</v>
      </c>
      <c r="C478" s="1" t="n">
        <v>45890</v>
      </c>
      <c r="D478" t="inlineStr">
        <is>
          <t>VÄSTERBOTTENS LÄN</t>
        </is>
      </c>
      <c r="E478" t="inlineStr">
        <is>
          <t>VILHELMINA</t>
        </is>
      </c>
      <c r="G478" t="n">
        <v>31.5</v>
      </c>
      <c r="H478" t="n">
        <v>0</v>
      </c>
      <c r="I478" t="n">
        <v>0</v>
      </c>
      <c r="J478" t="n">
        <v>0</v>
      </c>
      <c r="K478" t="n">
        <v>0</v>
      </c>
      <c r="L478" t="n">
        <v>0</v>
      </c>
      <c r="M478" t="n">
        <v>0</v>
      </c>
      <c r="N478" t="n">
        <v>0</v>
      </c>
      <c r="O478" t="n">
        <v>0</v>
      </c>
      <c r="P478" t="n">
        <v>0</v>
      </c>
      <c r="Q478" t="n">
        <v>0</v>
      </c>
      <c r="R478" s="2" t="inlineStr"/>
    </row>
    <row r="479" ht="15" customHeight="1">
      <c r="A479" t="inlineStr">
        <is>
          <t>A 17467-2025</t>
        </is>
      </c>
      <c r="B479" s="1" t="n">
        <v>45757</v>
      </c>
      <c r="C479" s="1" t="n">
        <v>45890</v>
      </c>
      <c r="D479" t="inlineStr">
        <is>
          <t>VÄSTERBOTTENS LÄN</t>
        </is>
      </c>
      <c r="E479" t="inlineStr">
        <is>
          <t>VILHELMINA</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23415-2025</t>
        </is>
      </c>
      <c r="B480" s="1" t="n">
        <v>45792.34643518519</v>
      </c>
      <c r="C480" s="1" t="n">
        <v>45890</v>
      </c>
      <c r="D480" t="inlineStr">
        <is>
          <t>VÄSTERBOTTENS LÄN</t>
        </is>
      </c>
      <c r="E480" t="inlineStr">
        <is>
          <t>VILHELMINA</t>
        </is>
      </c>
      <c r="F480" t="inlineStr">
        <is>
          <t>SCA</t>
        </is>
      </c>
      <c r="G480" t="n">
        <v>36.9</v>
      </c>
      <c r="H480" t="n">
        <v>0</v>
      </c>
      <c r="I480" t="n">
        <v>0</v>
      </c>
      <c r="J480" t="n">
        <v>0</v>
      </c>
      <c r="K480" t="n">
        <v>0</v>
      </c>
      <c r="L480" t="n">
        <v>0</v>
      </c>
      <c r="M480" t="n">
        <v>0</v>
      </c>
      <c r="N480" t="n">
        <v>0</v>
      </c>
      <c r="O480" t="n">
        <v>0</v>
      </c>
      <c r="P480" t="n">
        <v>0</v>
      </c>
      <c r="Q480" t="n">
        <v>0</v>
      </c>
      <c r="R480" s="2" t="inlineStr"/>
    </row>
    <row r="481" ht="15" customHeight="1">
      <c r="A481" t="inlineStr">
        <is>
          <t>A 44285-2024</t>
        </is>
      </c>
      <c r="B481" s="1" t="n">
        <v>45573</v>
      </c>
      <c r="C481" s="1" t="n">
        <v>45890</v>
      </c>
      <c r="D481" t="inlineStr">
        <is>
          <t>VÄSTERBOTTENS LÄN</t>
        </is>
      </c>
      <c r="E481" t="inlineStr">
        <is>
          <t>VILHELMINA</t>
        </is>
      </c>
      <c r="G481" t="n">
        <v>30.9</v>
      </c>
      <c r="H481" t="n">
        <v>0</v>
      </c>
      <c r="I481" t="n">
        <v>0</v>
      </c>
      <c r="J481" t="n">
        <v>0</v>
      </c>
      <c r="K481" t="n">
        <v>0</v>
      </c>
      <c r="L481" t="n">
        <v>0</v>
      </c>
      <c r="M481" t="n">
        <v>0</v>
      </c>
      <c r="N481" t="n">
        <v>0</v>
      </c>
      <c r="O481" t="n">
        <v>0</v>
      </c>
      <c r="P481" t="n">
        <v>0</v>
      </c>
      <c r="Q481" t="n">
        <v>0</v>
      </c>
      <c r="R481" s="2" t="inlineStr"/>
    </row>
    <row r="482" ht="15" customHeight="1">
      <c r="A482" t="inlineStr">
        <is>
          <t>A 59030-2022</t>
        </is>
      </c>
      <c r="B482" s="1" t="n">
        <v>44903</v>
      </c>
      <c r="C482" s="1" t="n">
        <v>45890</v>
      </c>
      <c r="D482" t="inlineStr">
        <is>
          <t>VÄSTERBOTTENS LÄN</t>
        </is>
      </c>
      <c r="E482" t="inlineStr">
        <is>
          <t>VILHELMINA</t>
        </is>
      </c>
      <c r="G482" t="n">
        <v>17.8</v>
      </c>
      <c r="H482" t="n">
        <v>0</v>
      </c>
      <c r="I482" t="n">
        <v>0</v>
      </c>
      <c r="J482" t="n">
        <v>0</v>
      </c>
      <c r="K482" t="n">
        <v>0</v>
      </c>
      <c r="L482" t="n">
        <v>0</v>
      </c>
      <c r="M482" t="n">
        <v>0</v>
      </c>
      <c r="N482" t="n">
        <v>0</v>
      </c>
      <c r="O482" t="n">
        <v>0</v>
      </c>
      <c r="P482" t="n">
        <v>0</v>
      </c>
      <c r="Q482" t="n">
        <v>0</v>
      </c>
      <c r="R482" s="2" t="inlineStr"/>
    </row>
    <row r="483" ht="15" customHeight="1">
      <c r="A483" t="inlineStr">
        <is>
          <t>A 9916-2021</t>
        </is>
      </c>
      <c r="B483" s="1" t="n">
        <v>44253</v>
      </c>
      <c r="C483" s="1" t="n">
        <v>45890</v>
      </c>
      <c r="D483" t="inlineStr">
        <is>
          <t>VÄSTERBOTTENS LÄN</t>
        </is>
      </c>
      <c r="E483" t="inlineStr">
        <is>
          <t>VILHELMINA</t>
        </is>
      </c>
      <c r="G483" t="n">
        <v>1</v>
      </c>
      <c r="H483" t="n">
        <v>0</v>
      </c>
      <c r="I483" t="n">
        <v>0</v>
      </c>
      <c r="J483" t="n">
        <v>0</v>
      </c>
      <c r="K483" t="n">
        <v>0</v>
      </c>
      <c r="L483" t="n">
        <v>0</v>
      </c>
      <c r="M483" t="n">
        <v>0</v>
      </c>
      <c r="N483" t="n">
        <v>0</v>
      </c>
      <c r="O483" t="n">
        <v>0</v>
      </c>
      <c r="P483" t="n">
        <v>0</v>
      </c>
      <c r="Q483" t="n">
        <v>0</v>
      </c>
      <c r="R483" s="2" t="inlineStr"/>
    </row>
    <row r="484" ht="15" customHeight="1">
      <c r="A484" t="inlineStr">
        <is>
          <t>A 23406-2025</t>
        </is>
      </c>
      <c r="B484" s="1" t="n">
        <v>45792.34540509259</v>
      </c>
      <c r="C484" s="1" t="n">
        <v>45890</v>
      </c>
      <c r="D484" t="inlineStr">
        <is>
          <t>VÄSTERBOTTENS LÄN</t>
        </is>
      </c>
      <c r="E484" t="inlineStr">
        <is>
          <t>VILHELMINA</t>
        </is>
      </c>
      <c r="F484" t="inlineStr">
        <is>
          <t>SCA</t>
        </is>
      </c>
      <c r="G484" t="n">
        <v>15.4</v>
      </c>
      <c r="H484" t="n">
        <v>0</v>
      </c>
      <c r="I484" t="n">
        <v>0</v>
      </c>
      <c r="J484" t="n">
        <v>0</v>
      </c>
      <c r="K484" t="n">
        <v>0</v>
      </c>
      <c r="L484" t="n">
        <v>0</v>
      </c>
      <c r="M484" t="n">
        <v>0</v>
      </c>
      <c r="N484" t="n">
        <v>0</v>
      </c>
      <c r="O484" t="n">
        <v>0</v>
      </c>
      <c r="P484" t="n">
        <v>0</v>
      </c>
      <c r="Q484" t="n">
        <v>0</v>
      </c>
      <c r="R484" s="2" t="inlineStr"/>
    </row>
    <row r="485" ht="15" customHeight="1">
      <c r="A485" t="inlineStr">
        <is>
          <t>A 23459-2025</t>
        </is>
      </c>
      <c r="B485" s="1" t="n">
        <v>45792</v>
      </c>
      <c r="C485" s="1" t="n">
        <v>45890</v>
      </c>
      <c r="D485" t="inlineStr">
        <is>
          <t>VÄSTERBOTTENS LÄN</t>
        </is>
      </c>
      <c r="E485" t="inlineStr">
        <is>
          <t>VILHELMINA</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23461-2025</t>
        </is>
      </c>
      <c r="B486" s="1" t="n">
        <v>45792</v>
      </c>
      <c r="C486" s="1" t="n">
        <v>45890</v>
      </c>
      <c r="D486" t="inlineStr">
        <is>
          <t>VÄSTERBOTTENS LÄN</t>
        </is>
      </c>
      <c r="E486" t="inlineStr">
        <is>
          <t>VILHELMINA</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51825-2023</t>
        </is>
      </c>
      <c r="B487" s="1" t="n">
        <v>45222</v>
      </c>
      <c r="C487" s="1" t="n">
        <v>45890</v>
      </c>
      <c r="D487" t="inlineStr">
        <is>
          <t>VÄSTERBOTTENS LÄN</t>
        </is>
      </c>
      <c r="E487" t="inlineStr">
        <is>
          <t>VILHELMINA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48062-2024</t>
        </is>
      </c>
      <c r="B488" s="1" t="n">
        <v>45589</v>
      </c>
      <c r="C488" s="1" t="n">
        <v>45890</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47548-2024</t>
        </is>
      </c>
      <c r="B489" s="1" t="n">
        <v>45587</v>
      </c>
      <c r="C489" s="1" t="n">
        <v>45890</v>
      </c>
      <c r="D489" t="inlineStr">
        <is>
          <t>VÄSTERBOTTENS LÄN</t>
        </is>
      </c>
      <c r="E489" t="inlineStr">
        <is>
          <t>VILHELMINA</t>
        </is>
      </c>
      <c r="F489" t="inlineStr">
        <is>
          <t>SCA</t>
        </is>
      </c>
      <c r="G489" t="n">
        <v>7.7</v>
      </c>
      <c r="H489" t="n">
        <v>0</v>
      </c>
      <c r="I489" t="n">
        <v>0</v>
      </c>
      <c r="J489" t="n">
        <v>0</v>
      </c>
      <c r="K489" t="n">
        <v>0</v>
      </c>
      <c r="L489" t="n">
        <v>0</v>
      </c>
      <c r="M489" t="n">
        <v>0</v>
      </c>
      <c r="N489" t="n">
        <v>0</v>
      </c>
      <c r="O489" t="n">
        <v>0</v>
      </c>
      <c r="P489" t="n">
        <v>0</v>
      </c>
      <c r="Q489" t="n">
        <v>0</v>
      </c>
      <c r="R489" s="2" t="inlineStr"/>
    </row>
    <row r="490" ht="15" customHeight="1">
      <c r="A490" t="inlineStr">
        <is>
          <t>A 19585-2024</t>
        </is>
      </c>
      <c r="B490" s="1" t="n">
        <v>45429</v>
      </c>
      <c r="C490" s="1" t="n">
        <v>45890</v>
      </c>
      <c r="D490" t="inlineStr">
        <is>
          <t>VÄSTERBOTTENS LÄN</t>
        </is>
      </c>
      <c r="E490" t="inlineStr">
        <is>
          <t>VILHELMINA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54459-2024</t>
        </is>
      </c>
      <c r="B491" s="1" t="n">
        <v>45617</v>
      </c>
      <c r="C491" s="1" t="n">
        <v>45890</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12368-2025</t>
        </is>
      </c>
      <c r="B492" s="1" t="n">
        <v>45730.37633101852</v>
      </c>
      <c r="C492" s="1" t="n">
        <v>45890</v>
      </c>
      <c r="D492" t="inlineStr">
        <is>
          <t>VÄSTERBOTTENS LÄN</t>
        </is>
      </c>
      <c r="E492" t="inlineStr">
        <is>
          <t>VILHELMINA</t>
        </is>
      </c>
      <c r="F492" t="inlineStr">
        <is>
          <t>Övriga statliga verk och myndigheter</t>
        </is>
      </c>
      <c r="G492" t="n">
        <v>14.8</v>
      </c>
      <c r="H492" t="n">
        <v>0</v>
      </c>
      <c r="I492" t="n">
        <v>0</v>
      </c>
      <c r="J492" t="n">
        <v>0</v>
      </c>
      <c r="K492" t="n">
        <v>0</v>
      </c>
      <c r="L492" t="n">
        <v>0</v>
      </c>
      <c r="M492" t="n">
        <v>0</v>
      </c>
      <c r="N492" t="n">
        <v>0</v>
      </c>
      <c r="O492" t="n">
        <v>0</v>
      </c>
      <c r="P492" t="n">
        <v>0</v>
      </c>
      <c r="Q492" t="n">
        <v>0</v>
      </c>
      <c r="R492" s="2" t="inlineStr"/>
    </row>
    <row r="493" ht="15" customHeight="1">
      <c r="A493" t="inlineStr">
        <is>
          <t>A 12373-2025</t>
        </is>
      </c>
      <c r="B493" s="1" t="n">
        <v>45730</v>
      </c>
      <c r="C493" s="1" t="n">
        <v>45890</v>
      </c>
      <c r="D493" t="inlineStr">
        <is>
          <t>VÄSTERBOTTENS LÄN</t>
        </is>
      </c>
      <c r="E493" t="inlineStr">
        <is>
          <t>VILHELMINA</t>
        </is>
      </c>
      <c r="F493" t="inlineStr">
        <is>
          <t>Övriga statliga verk och myndigheter</t>
        </is>
      </c>
      <c r="G493" t="n">
        <v>25.5</v>
      </c>
      <c r="H493" t="n">
        <v>0</v>
      </c>
      <c r="I493" t="n">
        <v>0</v>
      </c>
      <c r="J493" t="n">
        <v>0</v>
      </c>
      <c r="K493" t="n">
        <v>0</v>
      </c>
      <c r="L493" t="n">
        <v>0</v>
      </c>
      <c r="M493" t="n">
        <v>0</v>
      </c>
      <c r="N493" t="n">
        <v>0</v>
      </c>
      <c r="O493" t="n">
        <v>0</v>
      </c>
      <c r="P493" t="n">
        <v>0</v>
      </c>
      <c r="Q493" t="n">
        <v>0</v>
      </c>
      <c r="R493" s="2" t="inlineStr"/>
    </row>
    <row r="494" ht="15" customHeight="1">
      <c r="A494" t="inlineStr">
        <is>
          <t>A 10548-2022</t>
        </is>
      </c>
      <c r="B494" s="1" t="n">
        <v>44623</v>
      </c>
      <c r="C494" s="1" t="n">
        <v>45890</v>
      </c>
      <c r="D494" t="inlineStr">
        <is>
          <t>VÄSTERBOTTENS LÄN</t>
        </is>
      </c>
      <c r="E494" t="inlineStr">
        <is>
          <t>VILHELMINA</t>
        </is>
      </c>
      <c r="F494" t="inlineStr">
        <is>
          <t>SCA</t>
        </is>
      </c>
      <c r="G494" t="n">
        <v>11.5</v>
      </c>
      <c r="H494" t="n">
        <v>0</v>
      </c>
      <c r="I494" t="n">
        <v>0</v>
      </c>
      <c r="J494" t="n">
        <v>0</v>
      </c>
      <c r="K494" t="n">
        <v>0</v>
      </c>
      <c r="L494" t="n">
        <v>0</v>
      </c>
      <c r="M494" t="n">
        <v>0</v>
      </c>
      <c r="N494" t="n">
        <v>0</v>
      </c>
      <c r="O494" t="n">
        <v>0</v>
      </c>
      <c r="P494" t="n">
        <v>0</v>
      </c>
      <c r="Q494" t="n">
        <v>0</v>
      </c>
      <c r="R494" s="2" t="inlineStr"/>
    </row>
    <row r="495" ht="15" customHeight="1">
      <c r="A495" t="inlineStr">
        <is>
          <t>A 69502-2020</t>
        </is>
      </c>
      <c r="B495" s="1" t="n">
        <v>44193</v>
      </c>
      <c r="C495" s="1" t="n">
        <v>45890</v>
      </c>
      <c r="D495" t="inlineStr">
        <is>
          <t>VÄSTERBOTTENS LÄN</t>
        </is>
      </c>
      <c r="E495" t="inlineStr">
        <is>
          <t>VILHELMINA</t>
        </is>
      </c>
      <c r="G495" t="n">
        <v>19</v>
      </c>
      <c r="H495" t="n">
        <v>0</v>
      </c>
      <c r="I495" t="n">
        <v>0</v>
      </c>
      <c r="J495" t="n">
        <v>0</v>
      </c>
      <c r="K495" t="n">
        <v>0</v>
      </c>
      <c r="L495" t="n">
        <v>0</v>
      </c>
      <c r="M495" t="n">
        <v>0</v>
      </c>
      <c r="N495" t="n">
        <v>0</v>
      </c>
      <c r="O495" t="n">
        <v>0</v>
      </c>
      <c r="P495" t="n">
        <v>0</v>
      </c>
      <c r="Q495" t="n">
        <v>0</v>
      </c>
      <c r="R495" s="2" t="inlineStr"/>
    </row>
    <row r="496" ht="15" customHeight="1">
      <c r="A496" t="inlineStr">
        <is>
          <t>A 15617-2024</t>
        </is>
      </c>
      <c r="B496" s="1" t="n">
        <v>45401.94358796296</v>
      </c>
      <c r="C496" s="1" t="n">
        <v>45890</v>
      </c>
      <c r="D496" t="inlineStr">
        <is>
          <t>VÄSTERBOTTENS LÄN</t>
        </is>
      </c>
      <c r="E496" t="inlineStr">
        <is>
          <t>VILHELMINA</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15639-2024</t>
        </is>
      </c>
      <c r="B497" s="1" t="n">
        <v>45403</v>
      </c>
      <c r="C497" s="1" t="n">
        <v>45890</v>
      </c>
      <c r="D497" t="inlineStr">
        <is>
          <t>VÄSTERBOTTENS LÄN</t>
        </is>
      </c>
      <c r="E497" t="inlineStr">
        <is>
          <t>VILHELMINA</t>
        </is>
      </c>
      <c r="G497" t="n">
        <v>81.90000000000001</v>
      </c>
      <c r="H497" t="n">
        <v>0</v>
      </c>
      <c r="I497" t="n">
        <v>0</v>
      </c>
      <c r="J497" t="n">
        <v>0</v>
      </c>
      <c r="K497" t="n">
        <v>0</v>
      </c>
      <c r="L497" t="n">
        <v>0</v>
      </c>
      <c r="M497" t="n">
        <v>0</v>
      </c>
      <c r="N497" t="n">
        <v>0</v>
      </c>
      <c r="O497" t="n">
        <v>0</v>
      </c>
      <c r="P497" t="n">
        <v>0</v>
      </c>
      <c r="Q497" t="n">
        <v>0</v>
      </c>
      <c r="R497" s="2" t="inlineStr"/>
    </row>
    <row r="498" ht="15" customHeight="1">
      <c r="A498" t="inlineStr">
        <is>
          <t>A 12229-2022</t>
        </is>
      </c>
      <c r="B498" s="1" t="n">
        <v>44637</v>
      </c>
      <c r="C498" s="1" t="n">
        <v>45890</v>
      </c>
      <c r="D498" t="inlineStr">
        <is>
          <t>VÄSTERBOTTENS LÄN</t>
        </is>
      </c>
      <c r="E498" t="inlineStr">
        <is>
          <t>VILHELMINA</t>
        </is>
      </c>
      <c r="G498" t="n">
        <v>5</v>
      </c>
      <c r="H498" t="n">
        <v>0</v>
      </c>
      <c r="I498" t="n">
        <v>0</v>
      </c>
      <c r="J498" t="n">
        <v>0</v>
      </c>
      <c r="K498" t="n">
        <v>0</v>
      </c>
      <c r="L498" t="n">
        <v>0</v>
      </c>
      <c r="M498" t="n">
        <v>0</v>
      </c>
      <c r="N498" t="n">
        <v>0</v>
      </c>
      <c r="O498" t="n">
        <v>0</v>
      </c>
      <c r="P498" t="n">
        <v>0</v>
      </c>
      <c r="Q498" t="n">
        <v>0</v>
      </c>
      <c r="R498" s="2" t="inlineStr"/>
    </row>
    <row r="499" ht="15" customHeight="1">
      <c r="A499" t="inlineStr">
        <is>
          <t>A 27917-2024</t>
        </is>
      </c>
      <c r="B499" s="1" t="n">
        <v>45475.94844907407</v>
      </c>
      <c r="C499" s="1" t="n">
        <v>45890</v>
      </c>
      <c r="D499" t="inlineStr">
        <is>
          <t>VÄSTERBOTTENS LÄN</t>
        </is>
      </c>
      <c r="E499" t="inlineStr">
        <is>
          <t>VILHELMINA</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24224-2025</t>
        </is>
      </c>
      <c r="B500" s="1" t="n">
        <v>45797</v>
      </c>
      <c r="C500" s="1" t="n">
        <v>45890</v>
      </c>
      <c r="D500" t="inlineStr">
        <is>
          <t>VÄSTERBOTTENS LÄN</t>
        </is>
      </c>
      <c r="E500" t="inlineStr">
        <is>
          <t>VILHELMINA</t>
        </is>
      </c>
      <c r="G500" t="n">
        <v>27.2</v>
      </c>
      <c r="H500" t="n">
        <v>0</v>
      </c>
      <c r="I500" t="n">
        <v>0</v>
      </c>
      <c r="J500" t="n">
        <v>0</v>
      </c>
      <c r="K500" t="n">
        <v>0</v>
      </c>
      <c r="L500" t="n">
        <v>0</v>
      </c>
      <c r="M500" t="n">
        <v>0</v>
      </c>
      <c r="N500" t="n">
        <v>0</v>
      </c>
      <c r="O500" t="n">
        <v>0</v>
      </c>
      <c r="P500" t="n">
        <v>0</v>
      </c>
      <c r="Q500" t="n">
        <v>0</v>
      </c>
      <c r="R500" s="2" t="inlineStr"/>
    </row>
    <row r="501" ht="15" customHeight="1">
      <c r="A501" t="inlineStr">
        <is>
          <t>A 8215-2023</t>
        </is>
      </c>
      <c r="B501" s="1" t="n">
        <v>44971</v>
      </c>
      <c r="C501" s="1" t="n">
        <v>45890</v>
      </c>
      <c r="D501" t="inlineStr">
        <is>
          <t>VÄSTERBOTTENS LÄN</t>
        </is>
      </c>
      <c r="E501" t="inlineStr">
        <is>
          <t>VILHELMINA</t>
        </is>
      </c>
      <c r="G501" t="n">
        <v>0.8</v>
      </c>
      <c r="H501" t="n">
        <v>0</v>
      </c>
      <c r="I501" t="n">
        <v>0</v>
      </c>
      <c r="J501" t="n">
        <v>0</v>
      </c>
      <c r="K501" t="n">
        <v>0</v>
      </c>
      <c r="L501" t="n">
        <v>0</v>
      </c>
      <c r="M501" t="n">
        <v>0</v>
      </c>
      <c r="N501" t="n">
        <v>0</v>
      </c>
      <c r="O501" t="n">
        <v>0</v>
      </c>
      <c r="P501" t="n">
        <v>0</v>
      </c>
      <c r="Q501" t="n">
        <v>0</v>
      </c>
      <c r="R501" s="2" t="inlineStr"/>
    </row>
    <row r="502" ht="15" customHeight="1">
      <c r="A502" t="inlineStr">
        <is>
          <t>A 33319-2024</t>
        </is>
      </c>
      <c r="B502" s="1" t="n">
        <v>45518</v>
      </c>
      <c r="C502" s="1" t="n">
        <v>45890</v>
      </c>
      <c r="D502" t="inlineStr">
        <is>
          <t>VÄSTERBOTTENS LÄN</t>
        </is>
      </c>
      <c r="E502" t="inlineStr">
        <is>
          <t>VILHELMINA</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35760-2023</t>
        </is>
      </c>
      <c r="B503" s="1" t="n">
        <v>45147</v>
      </c>
      <c r="C503" s="1" t="n">
        <v>45890</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8556-2025</t>
        </is>
      </c>
      <c r="B504" s="1" t="n">
        <v>45709</v>
      </c>
      <c r="C504" s="1" t="n">
        <v>45890</v>
      </c>
      <c r="D504" t="inlineStr">
        <is>
          <t>VÄSTERBOTTENS LÄN</t>
        </is>
      </c>
      <c r="E504" t="inlineStr">
        <is>
          <t>VILHELMINA</t>
        </is>
      </c>
      <c r="G504" t="n">
        <v>1</v>
      </c>
      <c r="H504" t="n">
        <v>0</v>
      </c>
      <c r="I504" t="n">
        <v>0</v>
      </c>
      <c r="J504" t="n">
        <v>0</v>
      </c>
      <c r="K504" t="n">
        <v>0</v>
      </c>
      <c r="L504" t="n">
        <v>0</v>
      </c>
      <c r="M504" t="n">
        <v>0</v>
      </c>
      <c r="N504" t="n">
        <v>0</v>
      </c>
      <c r="O504" t="n">
        <v>0</v>
      </c>
      <c r="P504" t="n">
        <v>0</v>
      </c>
      <c r="Q504" t="n">
        <v>0</v>
      </c>
      <c r="R504" s="2" t="inlineStr"/>
    </row>
    <row r="505" ht="15" customHeight="1">
      <c r="A505" t="inlineStr">
        <is>
          <t>A 22108-2024</t>
        </is>
      </c>
      <c r="B505" s="1" t="n">
        <v>45443</v>
      </c>
      <c r="C505" s="1" t="n">
        <v>45890</v>
      </c>
      <c r="D505" t="inlineStr">
        <is>
          <t>VÄSTERBOTTENS LÄN</t>
        </is>
      </c>
      <c r="E505" t="inlineStr">
        <is>
          <t>VILHELMINA</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26499-2024</t>
        </is>
      </c>
      <c r="B506" s="1" t="n">
        <v>45469</v>
      </c>
      <c r="C506" s="1" t="n">
        <v>45890</v>
      </c>
      <c r="D506" t="inlineStr">
        <is>
          <t>VÄSTERBOTTENS LÄN</t>
        </is>
      </c>
      <c r="E506" t="inlineStr">
        <is>
          <t>VILHELMINA</t>
        </is>
      </c>
      <c r="F506" t="inlineStr">
        <is>
          <t>Sveaskog</t>
        </is>
      </c>
      <c r="G506" t="n">
        <v>5.1</v>
      </c>
      <c r="H506" t="n">
        <v>0</v>
      </c>
      <c r="I506" t="n">
        <v>0</v>
      </c>
      <c r="J506" t="n">
        <v>0</v>
      </c>
      <c r="K506" t="n">
        <v>0</v>
      </c>
      <c r="L506" t="n">
        <v>0</v>
      </c>
      <c r="M506" t="n">
        <v>0</v>
      </c>
      <c r="N506" t="n">
        <v>0</v>
      </c>
      <c r="O506" t="n">
        <v>0</v>
      </c>
      <c r="P506" t="n">
        <v>0</v>
      </c>
      <c r="Q506" t="n">
        <v>0</v>
      </c>
      <c r="R506" s="2" t="inlineStr"/>
    </row>
    <row r="507" ht="15" customHeight="1">
      <c r="A507" t="inlineStr">
        <is>
          <t>A 33661-2023</t>
        </is>
      </c>
      <c r="B507" s="1" t="n">
        <v>45119</v>
      </c>
      <c r="C507" s="1" t="n">
        <v>45890</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25062-2025</t>
        </is>
      </c>
      <c r="B508" s="1" t="n">
        <v>45799.69844907407</v>
      </c>
      <c r="C508" s="1" t="n">
        <v>45890</v>
      </c>
      <c r="D508" t="inlineStr">
        <is>
          <t>VÄSTERBOTTENS LÄN</t>
        </is>
      </c>
      <c r="E508" t="inlineStr">
        <is>
          <t>VILHELMINA</t>
        </is>
      </c>
      <c r="F508" t="inlineStr">
        <is>
          <t>SCA</t>
        </is>
      </c>
      <c r="G508" t="n">
        <v>4.7</v>
      </c>
      <c r="H508" t="n">
        <v>0</v>
      </c>
      <c r="I508" t="n">
        <v>0</v>
      </c>
      <c r="J508" t="n">
        <v>0</v>
      </c>
      <c r="K508" t="n">
        <v>0</v>
      </c>
      <c r="L508" t="n">
        <v>0</v>
      </c>
      <c r="M508" t="n">
        <v>0</v>
      </c>
      <c r="N508" t="n">
        <v>0</v>
      </c>
      <c r="O508" t="n">
        <v>0</v>
      </c>
      <c r="P508" t="n">
        <v>0</v>
      </c>
      <c r="Q508" t="n">
        <v>0</v>
      </c>
      <c r="R508" s="2" t="inlineStr"/>
    </row>
    <row r="509" ht="15" customHeight="1">
      <c r="A509" t="inlineStr">
        <is>
          <t>A 55714-2023</t>
        </is>
      </c>
      <c r="B509" s="1" t="n">
        <v>45232</v>
      </c>
      <c r="C509" s="1" t="n">
        <v>45890</v>
      </c>
      <c r="D509" t="inlineStr">
        <is>
          <t>VÄSTERBOTTENS LÄN</t>
        </is>
      </c>
      <c r="E509" t="inlineStr">
        <is>
          <t>VILHELMINA</t>
        </is>
      </c>
      <c r="G509" t="n">
        <v>1.8</v>
      </c>
      <c r="H509" t="n">
        <v>0</v>
      </c>
      <c r="I509" t="n">
        <v>0</v>
      </c>
      <c r="J509" t="n">
        <v>0</v>
      </c>
      <c r="K509" t="n">
        <v>0</v>
      </c>
      <c r="L509" t="n">
        <v>0</v>
      </c>
      <c r="M509" t="n">
        <v>0</v>
      </c>
      <c r="N509" t="n">
        <v>0</v>
      </c>
      <c r="O509" t="n">
        <v>0</v>
      </c>
      <c r="P509" t="n">
        <v>0</v>
      </c>
      <c r="Q509" t="n">
        <v>0</v>
      </c>
      <c r="R509" s="2" t="inlineStr"/>
    </row>
    <row r="510" ht="15" customHeight="1">
      <c r="A510" t="inlineStr">
        <is>
          <t>A 34763-2024</t>
        </is>
      </c>
      <c r="B510" s="1" t="n">
        <v>45526.61646990741</v>
      </c>
      <c r="C510" s="1" t="n">
        <v>45890</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34764-2024</t>
        </is>
      </c>
      <c r="B511" s="1" t="n">
        <v>45526.61664351852</v>
      </c>
      <c r="C511" s="1" t="n">
        <v>45890</v>
      </c>
      <c r="D511" t="inlineStr">
        <is>
          <t>VÄSTERBOTTENS LÄN</t>
        </is>
      </c>
      <c r="E511" t="inlineStr">
        <is>
          <t>VILHELMINA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19600-2025</t>
        </is>
      </c>
      <c r="B512" s="1" t="n">
        <v>45770</v>
      </c>
      <c r="C512" s="1" t="n">
        <v>45890</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34819-2024</t>
        </is>
      </c>
      <c r="B513" s="1" t="n">
        <v>45526.71134259259</v>
      </c>
      <c r="C513" s="1" t="n">
        <v>45890</v>
      </c>
      <c r="D513" t="inlineStr">
        <is>
          <t>VÄSTERBOTTENS LÄN</t>
        </is>
      </c>
      <c r="E513" t="inlineStr">
        <is>
          <t>VILHELMINA</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36215-2023</t>
        </is>
      </c>
      <c r="B514" s="1" t="n">
        <v>45149.95266203704</v>
      </c>
      <c r="C514" s="1" t="n">
        <v>45890</v>
      </c>
      <c r="D514" t="inlineStr">
        <is>
          <t>VÄSTERBOTTENS LÄN</t>
        </is>
      </c>
      <c r="E514" t="inlineStr">
        <is>
          <t>VILHELMINA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57795-2023</t>
        </is>
      </c>
      <c r="B515" s="1" t="n">
        <v>45246.96861111111</v>
      </c>
      <c r="C515" s="1" t="n">
        <v>45890</v>
      </c>
      <c r="D515" t="inlineStr">
        <is>
          <t>VÄSTERBOTTENS LÄN</t>
        </is>
      </c>
      <c r="E515" t="inlineStr">
        <is>
          <t>VILHELMINA</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62101-2024</t>
        </is>
      </c>
      <c r="B516" s="1" t="n">
        <v>45656.51119212963</v>
      </c>
      <c r="C516" s="1" t="n">
        <v>45890</v>
      </c>
      <c r="D516" t="inlineStr">
        <is>
          <t>VÄSTERBOTTENS LÄN</t>
        </is>
      </c>
      <c r="E516" t="inlineStr">
        <is>
          <t>VILHELMINA</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24988-2025</t>
        </is>
      </c>
      <c r="B517" s="1" t="n">
        <v>45799</v>
      </c>
      <c r="C517" s="1" t="n">
        <v>45890</v>
      </c>
      <c r="D517" t="inlineStr">
        <is>
          <t>VÄSTERBOTTENS LÄN</t>
        </is>
      </c>
      <c r="E517" t="inlineStr">
        <is>
          <t>VILHELMINA</t>
        </is>
      </c>
      <c r="G517" t="n">
        <v>8.9</v>
      </c>
      <c r="H517" t="n">
        <v>0</v>
      </c>
      <c r="I517" t="n">
        <v>0</v>
      </c>
      <c r="J517" t="n">
        <v>0</v>
      </c>
      <c r="K517" t="n">
        <v>0</v>
      </c>
      <c r="L517" t="n">
        <v>0</v>
      </c>
      <c r="M517" t="n">
        <v>0</v>
      </c>
      <c r="N517" t="n">
        <v>0</v>
      </c>
      <c r="O517" t="n">
        <v>0</v>
      </c>
      <c r="P517" t="n">
        <v>0</v>
      </c>
      <c r="Q517" t="n">
        <v>0</v>
      </c>
      <c r="R517" s="2" t="inlineStr"/>
    </row>
    <row r="518" ht="15" customHeight="1">
      <c r="A518" t="inlineStr">
        <is>
          <t>A 43987-2024</t>
        </is>
      </c>
      <c r="B518" s="1" t="n">
        <v>45572.51092592593</v>
      </c>
      <c r="C518" s="1" t="n">
        <v>45890</v>
      </c>
      <c r="D518" t="inlineStr">
        <is>
          <t>VÄSTERBOTTENS LÄN</t>
        </is>
      </c>
      <c r="E518" t="inlineStr">
        <is>
          <t>VILHELMINA</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24871-2025</t>
        </is>
      </c>
      <c r="B519" s="1" t="n">
        <v>45799.49028935185</v>
      </c>
      <c r="C519" s="1" t="n">
        <v>45890</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36214-2023</t>
        </is>
      </c>
      <c r="B520" s="1" t="n">
        <v>45149.95256944445</v>
      </c>
      <c r="C520" s="1" t="n">
        <v>45890</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43637-2023</t>
        </is>
      </c>
      <c r="B521" s="1" t="n">
        <v>45186.51590277778</v>
      </c>
      <c r="C521" s="1" t="n">
        <v>45890</v>
      </c>
      <c r="D521" t="inlineStr">
        <is>
          <t>VÄSTERBOTTENS LÄN</t>
        </is>
      </c>
      <c r="E521" t="inlineStr">
        <is>
          <t>VILHELMINA</t>
        </is>
      </c>
      <c r="G521" t="n">
        <v>3.3</v>
      </c>
      <c r="H521" t="n">
        <v>0</v>
      </c>
      <c r="I521" t="n">
        <v>0</v>
      </c>
      <c r="J521" t="n">
        <v>0</v>
      </c>
      <c r="K521" t="n">
        <v>0</v>
      </c>
      <c r="L521" t="n">
        <v>0</v>
      </c>
      <c r="M521" t="n">
        <v>0</v>
      </c>
      <c r="N521" t="n">
        <v>0</v>
      </c>
      <c r="O521" t="n">
        <v>0</v>
      </c>
      <c r="P521" t="n">
        <v>0</v>
      </c>
      <c r="Q521" t="n">
        <v>0</v>
      </c>
      <c r="R521" s="2" t="inlineStr"/>
    </row>
    <row r="522" ht="15" customHeight="1">
      <c r="A522" t="inlineStr">
        <is>
          <t>A 24870-2025</t>
        </is>
      </c>
      <c r="B522" s="1" t="n">
        <v>45799.49025462963</v>
      </c>
      <c r="C522" s="1" t="n">
        <v>45890</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36408-2023</t>
        </is>
      </c>
      <c r="B523" s="1" t="n">
        <v>45152</v>
      </c>
      <c r="C523" s="1" t="n">
        <v>45890</v>
      </c>
      <c r="D523" t="inlineStr">
        <is>
          <t>VÄSTERBOTTENS LÄN</t>
        </is>
      </c>
      <c r="E523" t="inlineStr">
        <is>
          <t>VILHELMINA</t>
        </is>
      </c>
      <c r="G523" t="n">
        <v>4.4</v>
      </c>
      <c r="H523" t="n">
        <v>0</v>
      </c>
      <c r="I523" t="n">
        <v>0</v>
      </c>
      <c r="J523" t="n">
        <v>0</v>
      </c>
      <c r="K523" t="n">
        <v>0</v>
      </c>
      <c r="L523" t="n">
        <v>0</v>
      </c>
      <c r="M523" t="n">
        <v>0</v>
      </c>
      <c r="N523" t="n">
        <v>0</v>
      </c>
      <c r="O523" t="n">
        <v>0</v>
      </c>
      <c r="P523" t="n">
        <v>0</v>
      </c>
      <c r="Q523" t="n">
        <v>0</v>
      </c>
      <c r="R523" s="2" t="inlineStr"/>
    </row>
    <row r="524" ht="15" customHeight="1">
      <c r="A524" t="inlineStr">
        <is>
          <t>A 664-2022</t>
        </is>
      </c>
      <c r="B524" s="1" t="n">
        <v>44568</v>
      </c>
      <c r="C524" s="1" t="n">
        <v>45890</v>
      </c>
      <c r="D524" t="inlineStr">
        <is>
          <t>VÄSTERBOTTENS LÄN</t>
        </is>
      </c>
      <c r="E524" t="inlineStr">
        <is>
          <t>VILHELMINA</t>
        </is>
      </c>
      <c r="G524" t="n">
        <v>1.8</v>
      </c>
      <c r="H524" t="n">
        <v>0</v>
      </c>
      <c r="I524" t="n">
        <v>0</v>
      </c>
      <c r="J524" t="n">
        <v>0</v>
      </c>
      <c r="K524" t="n">
        <v>0</v>
      </c>
      <c r="L524" t="n">
        <v>0</v>
      </c>
      <c r="M524" t="n">
        <v>0</v>
      </c>
      <c r="N524" t="n">
        <v>0</v>
      </c>
      <c r="O524" t="n">
        <v>0</v>
      </c>
      <c r="P524" t="n">
        <v>0</v>
      </c>
      <c r="Q524" t="n">
        <v>0</v>
      </c>
      <c r="R524" s="2" t="inlineStr"/>
    </row>
    <row r="525" ht="15" customHeight="1">
      <c r="A525" t="inlineStr">
        <is>
          <t>A 35983-2023</t>
        </is>
      </c>
      <c r="B525" s="1" t="n">
        <v>45148.96185185185</v>
      </c>
      <c r="C525" s="1" t="n">
        <v>45890</v>
      </c>
      <c r="D525" t="inlineStr">
        <is>
          <t>VÄSTERBOTTENS LÄN</t>
        </is>
      </c>
      <c r="E525" t="inlineStr">
        <is>
          <t>VILHELMINA</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6369-2024</t>
        </is>
      </c>
      <c r="B526" s="1" t="n">
        <v>45338</v>
      </c>
      <c r="C526" s="1" t="n">
        <v>45890</v>
      </c>
      <c r="D526" t="inlineStr">
        <is>
          <t>VÄSTERBOTTENS LÄN</t>
        </is>
      </c>
      <c r="E526" t="inlineStr">
        <is>
          <t>VILHELMINA</t>
        </is>
      </c>
      <c r="G526" t="n">
        <v>3.6</v>
      </c>
      <c r="H526" t="n">
        <v>0</v>
      </c>
      <c r="I526" t="n">
        <v>0</v>
      </c>
      <c r="J526" t="n">
        <v>0</v>
      </c>
      <c r="K526" t="n">
        <v>0</v>
      </c>
      <c r="L526" t="n">
        <v>0</v>
      </c>
      <c r="M526" t="n">
        <v>0</v>
      </c>
      <c r="N526" t="n">
        <v>0</v>
      </c>
      <c r="O526" t="n">
        <v>0</v>
      </c>
      <c r="P526" t="n">
        <v>0</v>
      </c>
      <c r="Q526" t="n">
        <v>0</v>
      </c>
      <c r="R526" s="2" t="inlineStr"/>
    </row>
    <row r="527" ht="15" customHeight="1">
      <c r="A527" t="inlineStr">
        <is>
          <t>A 34805-2023</t>
        </is>
      </c>
      <c r="B527" s="1" t="n">
        <v>45140</v>
      </c>
      <c r="C527" s="1" t="n">
        <v>45890</v>
      </c>
      <c r="D527" t="inlineStr">
        <is>
          <t>VÄSTERBOTTENS LÄN</t>
        </is>
      </c>
      <c r="E527" t="inlineStr">
        <is>
          <t>VILHELMINA</t>
        </is>
      </c>
      <c r="G527" t="n">
        <v>4.3</v>
      </c>
      <c r="H527" t="n">
        <v>0</v>
      </c>
      <c r="I527" t="n">
        <v>0</v>
      </c>
      <c r="J527" t="n">
        <v>0</v>
      </c>
      <c r="K527" t="n">
        <v>0</v>
      </c>
      <c r="L527" t="n">
        <v>0</v>
      </c>
      <c r="M527" t="n">
        <v>0</v>
      </c>
      <c r="N527" t="n">
        <v>0</v>
      </c>
      <c r="O527" t="n">
        <v>0</v>
      </c>
      <c r="P527" t="n">
        <v>0</v>
      </c>
      <c r="Q527" t="n">
        <v>0</v>
      </c>
      <c r="R527" s="2" t="inlineStr"/>
    </row>
    <row r="528" ht="15" customHeight="1">
      <c r="A528" t="inlineStr">
        <is>
          <t>A 32253-2024</t>
        </is>
      </c>
      <c r="B528" s="1" t="n">
        <v>45511.95214120371</v>
      </c>
      <c r="C528" s="1" t="n">
        <v>45890</v>
      </c>
      <c r="D528" t="inlineStr">
        <is>
          <t>VÄSTERBOTTENS LÄN</t>
        </is>
      </c>
      <c r="E528" t="inlineStr">
        <is>
          <t>VILHELMINA</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37322-2022</t>
        </is>
      </c>
      <c r="B529" s="1" t="n">
        <v>44806</v>
      </c>
      <c r="C529" s="1" t="n">
        <v>45890</v>
      </c>
      <c r="D529" t="inlineStr">
        <is>
          <t>VÄSTERBOTTENS LÄN</t>
        </is>
      </c>
      <c r="E529" t="inlineStr">
        <is>
          <t>VILHELMINA</t>
        </is>
      </c>
      <c r="F529" t="inlineStr">
        <is>
          <t>Övriga statliga verk och myndigheter</t>
        </is>
      </c>
      <c r="G529" t="n">
        <v>15.4</v>
      </c>
      <c r="H529" t="n">
        <v>0</v>
      </c>
      <c r="I529" t="n">
        <v>0</v>
      </c>
      <c r="J529" t="n">
        <v>0</v>
      </c>
      <c r="K529" t="n">
        <v>0</v>
      </c>
      <c r="L529" t="n">
        <v>0</v>
      </c>
      <c r="M529" t="n">
        <v>0</v>
      </c>
      <c r="N529" t="n">
        <v>0</v>
      </c>
      <c r="O529" t="n">
        <v>0</v>
      </c>
      <c r="P529" t="n">
        <v>0</v>
      </c>
      <c r="Q529" t="n">
        <v>0</v>
      </c>
      <c r="R529" s="2" t="inlineStr"/>
    </row>
    <row r="530" ht="15" customHeight="1">
      <c r="A530" t="inlineStr">
        <is>
          <t>A 17587-2024</t>
        </is>
      </c>
      <c r="B530" s="1" t="n">
        <v>45415.94033564815</v>
      </c>
      <c r="C530" s="1" t="n">
        <v>45890</v>
      </c>
      <c r="D530" t="inlineStr">
        <is>
          <t>VÄSTERBOTTENS LÄN</t>
        </is>
      </c>
      <c r="E530" t="inlineStr">
        <is>
          <t>VILHELMINA</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20534-2025</t>
        </is>
      </c>
      <c r="B531" s="1" t="n">
        <v>45775.61550925926</v>
      </c>
      <c r="C531" s="1" t="n">
        <v>45890</v>
      </c>
      <c r="D531" t="inlineStr">
        <is>
          <t>VÄSTERBOTTENS LÄN</t>
        </is>
      </c>
      <c r="E531" t="inlineStr">
        <is>
          <t>VILHELMINA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21370-2024</t>
        </is>
      </c>
      <c r="B532" s="1" t="n">
        <v>45440.95310185185</v>
      </c>
      <c r="C532" s="1" t="n">
        <v>45890</v>
      </c>
      <c r="D532" t="inlineStr">
        <is>
          <t>VÄSTERBOTTENS LÄN</t>
        </is>
      </c>
      <c r="E532" t="inlineStr">
        <is>
          <t>VILHELMINA</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25524-2025</t>
        </is>
      </c>
      <c r="B533" s="1" t="n">
        <v>45803.38644675926</v>
      </c>
      <c r="C533" s="1" t="n">
        <v>45890</v>
      </c>
      <c r="D533" t="inlineStr">
        <is>
          <t>VÄSTERBOTTENS LÄN</t>
        </is>
      </c>
      <c r="E533" t="inlineStr">
        <is>
          <t>VILHELMINA</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45972-2023</t>
        </is>
      </c>
      <c r="B534" s="1" t="n">
        <v>45195</v>
      </c>
      <c r="C534" s="1" t="n">
        <v>45890</v>
      </c>
      <c r="D534" t="inlineStr">
        <is>
          <t>VÄSTERBOTTENS LÄN</t>
        </is>
      </c>
      <c r="E534" t="inlineStr">
        <is>
          <t>VILHELMINA</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25180-2025</t>
        </is>
      </c>
      <c r="B535" s="1" t="n">
        <v>45800.44892361111</v>
      </c>
      <c r="C535" s="1" t="n">
        <v>45890</v>
      </c>
      <c r="D535" t="inlineStr">
        <is>
          <t>VÄSTERBOTTENS LÄN</t>
        </is>
      </c>
      <c r="E535" t="inlineStr">
        <is>
          <t>VILHELMINA</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56823-2023</t>
        </is>
      </c>
      <c r="B536" s="1" t="n">
        <v>45238</v>
      </c>
      <c r="C536" s="1" t="n">
        <v>45890</v>
      </c>
      <c r="D536" t="inlineStr">
        <is>
          <t>VÄSTERBOTTENS LÄN</t>
        </is>
      </c>
      <c r="E536" t="inlineStr">
        <is>
          <t>VILHELMINA</t>
        </is>
      </c>
      <c r="F536" t="inlineStr">
        <is>
          <t>Allmännings- och besparingsskogar</t>
        </is>
      </c>
      <c r="G536" t="n">
        <v>82</v>
      </c>
      <c r="H536" t="n">
        <v>0</v>
      </c>
      <c r="I536" t="n">
        <v>0</v>
      </c>
      <c r="J536" t="n">
        <v>0</v>
      </c>
      <c r="K536" t="n">
        <v>0</v>
      </c>
      <c r="L536" t="n">
        <v>0</v>
      </c>
      <c r="M536" t="n">
        <v>0</v>
      </c>
      <c r="N536" t="n">
        <v>0</v>
      </c>
      <c r="O536" t="n">
        <v>0</v>
      </c>
      <c r="P536" t="n">
        <v>0</v>
      </c>
      <c r="Q536" t="n">
        <v>0</v>
      </c>
      <c r="R536" s="2" t="inlineStr"/>
    </row>
    <row r="537" ht="15" customHeight="1">
      <c r="A537" t="inlineStr">
        <is>
          <t>A 56830-2023</t>
        </is>
      </c>
      <c r="B537" s="1" t="n">
        <v>45238</v>
      </c>
      <c r="C537" s="1" t="n">
        <v>45890</v>
      </c>
      <c r="D537" t="inlineStr">
        <is>
          <t>VÄSTERBOTTENS LÄN</t>
        </is>
      </c>
      <c r="E537" t="inlineStr">
        <is>
          <t>VILHELMINA</t>
        </is>
      </c>
      <c r="F537" t="inlineStr">
        <is>
          <t>Allmännings- och besparingsskogar</t>
        </is>
      </c>
      <c r="G537" t="n">
        <v>66</v>
      </c>
      <c r="H537" t="n">
        <v>0</v>
      </c>
      <c r="I537" t="n">
        <v>0</v>
      </c>
      <c r="J537" t="n">
        <v>0</v>
      </c>
      <c r="K537" t="n">
        <v>0</v>
      </c>
      <c r="L537" t="n">
        <v>0</v>
      </c>
      <c r="M537" t="n">
        <v>0</v>
      </c>
      <c r="N537" t="n">
        <v>0</v>
      </c>
      <c r="O537" t="n">
        <v>0</v>
      </c>
      <c r="P537" t="n">
        <v>0</v>
      </c>
      <c r="Q537" t="n">
        <v>0</v>
      </c>
      <c r="R537" s="2" t="inlineStr"/>
    </row>
    <row r="538" ht="15" customHeight="1">
      <c r="A538" t="inlineStr">
        <is>
          <t>A 8750-2021</t>
        </is>
      </c>
      <c r="B538" s="1" t="n">
        <v>44246</v>
      </c>
      <c r="C538" s="1" t="n">
        <v>45890</v>
      </c>
      <c r="D538" t="inlineStr">
        <is>
          <t>VÄSTERBOTTENS LÄN</t>
        </is>
      </c>
      <c r="E538" t="inlineStr">
        <is>
          <t>VILHELMINA</t>
        </is>
      </c>
      <c r="G538" t="n">
        <v>5.2</v>
      </c>
      <c r="H538" t="n">
        <v>0</v>
      </c>
      <c r="I538" t="n">
        <v>0</v>
      </c>
      <c r="J538" t="n">
        <v>0</v>
      </c>
      <c r="K538" t="n">
        <v>0</v>
      </c>
      <c r="L538" t="n">
        <v>0</v>
      </c>
      <c r="M538" t="n">
        <v>0</v>
      </c>
      <c r="N538" t="n">
        <v>0</v>
      </c>
      <c r="O538" t="n">
        <v>0</v>
      </c>
      <c r="P538" t="n">
        <v>0</v>
      </c>
      <c r="Q538" t="n">
        <v>0</v>
      </c>
      <c r="R538" s="2" t="inlineStr"/>
    </row>
    <row r="539" ht="15" customHeight="1">
      <c r="A539" t="inlineStr">
        <is>
          <t>A 25176-2025</t>
        </is>
      </c>
      <c r="B539" s="1" t="n">
        <v>45800.44840277778</v>
      </c>
      <c r="C539" s="1" t="n">
        <v>45890</v>
      </c>
      <c r="D539" t="inlineStr">
        <is>
          <t>VÄSTERBOTTENS LÄN</t>
        </is>
      </c>
      <c r="E539" t="inlineStr">
        <is>
          <t>VILHELMINA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46318-2022</t>
        </is>
      </c>
      <c r="B540" s="1" t="n">
        <v>44847</v>
      </c>
      <c r="C540" s="1" t="n">
        <v>45890</v>
      </c>
      <c r="D540" t="inlineStr">
        <is>
          <t>VÄSTERBOTTENS LÄN</t>
        </is>
      </c>
      <c r="E540" t="inlineStr">
        <is>
          <t>VILHELMINA</t>
        </is>
      </c>
      <c r="G540" t="n">
        <v>11.7</v>
      </c>
      <c r="H540" t="n">
        <v>0</v>
      </c>
      <c r="I540" t="n">
        <v>0</v>
      </c>
      <c r="J540" t="n">
        <v>0</v>
      </c>
      <c r="K540" t="n">
        <v>0</v>
      </c>
      <c r="L540" t="n">
        <v>0</v>
      </c>
      <c r="M540" t="n">
        <v>0</v>
      </c>
      <c r="N540" t="n">
        <v>0</v>
      </c>
      <c r="O540" t="n">
        <v>0</v>
      </c>
      <c r="P540" t="n">
        <v>0</v>
      </c>
      <c r="Q540" t="n">
        <v>0</v>
      </c>
      <c r="R540" s="2" t="inlineStr"/>
    </row>
    <row r="541" ht="15" customHeight="1">
      <c r="A541" t="inlineStr">
        <is>
          <t>A 34762-2024</t>
        </is>
      </c>
      <c r="B541" s="1" t="n">
        <v>45526.61637731481</v>
      </c>
      <c r="C541" s="1" t="n">
        <v>45890</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25309-2025</t>
        </is>
      </c>
      <c r="B542" s="1" t="n">
        <v>45800.57380787037</v>
      </c>
      <c r="C542" s="1" t="n">
        <v>45890</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25239-2025</t>
        </is>
      </c>
      <c r="B543" s="1" t="n">
        <v>45800</v>
      </c>
      <c r="C543" s="1" t="n">
        <v>45890</v>
      </c>
      <c r="D543" t="inlineStr">
        <is>
          <t>VÄSTERBOTTENS LÄN</t>
        </is>
      </c>
      <c r="E543" t="inlineStr">
        <is>
          <t>VILHELMINA</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25770-2025</t>
        </is>
      </c>
      <c r="B544" s="1" t="n">
        <v>45804.3449537037</v>
      </c>
      <c r="C544" s="1" t="n">
        <v>45890</v>
      </c>
      <c r="D544" t="inlineStr">
        <is>
          <t>VÄSTERBOTTENS LÄN</t>
        </is>
      </c>
      <c r="E544" t="inlineStr">
        <is>
          <t>VILHELMINA</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27355-2023</t>
        </is>
      </c>
      <c r="B545" s="1" t="n">
        <v>45096</v>
      </c>
      <c r="C545" s="1" t="n">
        <v>45890</v>
      </c>
      <c r="D545" t="inlineStr">
        <is>
          <t>VÄSTERBOTTENS LÄN</t>
        </is>
      </c>
      <c r="E545" t="inlineStr">
        <is>
          <t>VILHELMINA</t>
        </is>
      </c>
      <c r="G545" t="n">
        <v>2.6</v>
      </c>
      <c r="H545" t="n">
        <v>0</v>
      </c>
      <c r="I545" t="n">
        <v>0</v>
      </c>
      <c r="J545" t="n">
        <v>0</v>
      </c>
      <c r="K545" t="n">
        <v>0</v>
      </c>
      <c r="L545" t="n">
        <v>0</v>
      </c>
      <c r="M545" t="n">
        <v>0</v>
      </c>
      <c r="N545" t="n">
        <v>0</v>
      </c>
      <c r="O545" t="n">
        <v>0</v>
      </c>
      <c r="P545" t="n">
        <v>0</v>
      </c>
      <c r="Q545" t="n">
        <v>0</v>
      </c>
      <c r="R545" s="2" t="inlineStr"/>
    </row>
    <row r="546" ht="15" customHeight="1">
      <c r="A546" t="inlineStr">
        <is>
          <t>A 49221-2024</t>
        </is>
      </c>
      <c r="B546" s="1" t="n">
        <v>45595.41166666667</v>
      </c>
      <c r="C546" s="1" t="n">
        <v>45890</v>
      </c>
      <c r="D546" t="inlineStr">
        <is>
          <t>VÄSTERBOTTENS LÄN</t>
        </is>
      </c>
      <c r="E546" t="inlineStr">
        <is>
          <t>VILHELMINA</t>
        </is>
      </c>
      <c r="G546" t="n">
        <v>11.4</v>
      </c>
      <c r="H546" t="n">
        <v>0</v>
      </c>
      <c r="I546" t="n">
        <v>0</v>
      </c>
      <c r="J546" t="n">
        <v>0</v>
      </c>
      <c r="K546" t="n">
        <v>0</v>
      </c>
      <c r="L546" t="n">
        <v>0</v>
      </c>
      <c r="M546" t="n">
        <v>0</v>
      </c>
      <c r="N546" t="n">
        <v>0</v>
      </c>
      <c r="O546" t="n">
        <v>0</v>
      </c>
      <c r="P546" t="n">
        <v>0</v>
      </c>
      <c r="Q546" t="n">
        <v>0</v>
      </c>
      <c r="R546" s="2" t="inlineStr"/>
    </row>
    <row r="547" ht="15" customHeight="1">
      <c r="A547" t="inlineStr">
        <is>
          <t>A 26018-2025</t>
        </is>
      </c>
      <c r="B547" s="1" t="n">
        <v>45804.67799768518</v>
      </c>
      <c r="C547" s="1" t="n">
        <v>45890</v>
      </c>
      <c r="D547" t="inlineStr">
        <is>
          <t>VÄSTERBOTTENS LÄN</t>
        </is>
      </c>
      <c r="E547" t="inlineStr">
        <is>
          <t>VILHELMINA</t>
        </is>
      </c>
      <c r="F547" t="inlineStr">
        <is>
          <t>SCA</t>
        </is>
      </c>
      <c r="G547" t="n">
        <v>7.3</v>
      </c>
      <c r="H547" t="n">
        <v>0</v>
      </c>
      <c r="I547" t="n">
        <v>0</v>
      </c>
      <c r="J547" t="n">
        <v>0</v>
      </c>
      <c r="K547" t="n">
        <v>0</v>
      </c>
      <c r="L547" t="n">
        <v>0</v>
      </c>
      <c r="M547" t="n">
        <v>0</v>
      </c>
      <c r="N547" t="n">
        <v>0</v>
      </c>
      <c r="O547" t="n">
        <v>0</v>
      </c>
      <c r="P547" t="n">
        <v>0</v>
      </c>
      <c r="Q547" t="n">
        <v>0</v>
      </c>
      <c r="R547" s="2" t="inlineStr"/>
    </row>
    <row r="548" ht="15" customHeight="1">
      <c r="A548" t="inlineStr">
        <is>
          <t>A 31851-2024</t>
        </is>
      </c>
      <c r="B548" s="1" t="n">
        <v>45509</v>
      </c>
      <c r="C548" s="1" t="n">
        <v>45890</v>
      </c>
      <c r="D548" t="inlineStr">
        <is>
          <t>VÄSTERBOTTENS LÄN</t>
        </is>
      </c>
      <c r="E548" t="inlineStr">
        <is>
          <t>VILHELMINA</t>
        </is>
      </c>
      <c r="G548" t="n">
        <v>5.1</v>
      </c>
      <c r="H548" t="n">
        <v>0</v>
      </c>
      <c r="I548" t="n">
        <v>0</v>
      </c>
      <c r="J548" t="n">
        <v>0</v>
      </c>
      <c r="K548" t="n">
        <v>0</v>
      </c>
      <c r="L548" t="n">
        <v>0</v>
      </c>
      <c r="M548" t="n">
        <v>0</v>
      </c>
      <c r="N548" t="n">
        <v>0</v>
      </c>
      <c r="O548" t="n">
        <v>0</v>
      </c>
      <c r="P548" t="n">
        <v>0</v>
      </c>
      <c r="Q548" t="n">
        <v>0</v>
      </c>
      <c r="R548" s="2" t="inlineStr"/>
    </row>
    <row r="549" ht="15" customHeight="1">
      <c r="A549" t="inlineStr">
        <is>
          <t>A 31896-2024</t>
        </is>
      </c>
      <c r="B549" s="1" t="n">
        <v>45509</v>
      </c>
      <c r="C549" s="1" t="n">
        <v>45890</v>
      </c>
      <c r="D549" t="inlineStr">
        <is>
          <t>VÄSTERBOTTENS LÄN</t>
        </is>
      </c>
      <c r="E549" t="inlineStr">
        <is>
          <t>VILHELMINA</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55697-2024</t>
        </is>
      </c>
      <c r="B550" s="1" t="n">
        <v>45622</v>
      </c>
      <c r="C550" s="1" t="n">
        <v>45890</v>
      </c>
      <c r="D550" t="inlineStr">
        <is>
          <t>VÄSTERBOTTENS LÄN</t>
        </is>
      </c>
      <c r="E550" t="inlineStr">
        <is>
          <t>VILHELMINA</t>
        </is>
      </c>
      <c r="G550" t="n">
        <v>3.2</v>
      </c>
      <c r="H550" t="n">
        <v>0</v>
      </c>
      <c r="I550" t="n">
        <v>0</v>
      </c>
      <c r="J550" t="n">
        <v>0</v>
      </c>
      <c r="K550" t="n">
        <v>0</v>
      </c>
      <c r="L550" t="n">
        <v>0</v>
      </c>
      <c r="M550" t="n">
        <v>0</v>
      </c>
      <c r="N550" t="n">
        <v>0</v>
      </c>
      <c r="O550" t="n">
        <v>0</v>
      </c>
      <c r="P550" t="n">
        <v>0</v>
      </c>
      <c r="Q550" t="n">
        <v>0</v>
      </c>
      <c r="R550" s="2" t="inlineStr"/>
    </row>
    <row r="551" ht="15" customHeight="1">
      <c r="A551" t="inlineStr">
        <is>
          <t>A 55695-2024</t>
        </is>
      </c>
      <c r="B551" s="1" t="n">
        <v>45622</v>
      </c>
      <c r="C551" s="1" t="n">
        <v>45890</v>
      </c>
      <c r="D551" t="inlineStr">
        <is>
          <t>VÄSTERBOTTENS LÄN</t>
        </is>
      </c>
      <c r="E551" t="inlineStr">
        <is>
          <t>VILHELMINA</t>
        </is>
      </c>
      <c r="G551" t="n">
        <v>7.2</v>
      </c>
      <c r="H551" t="n">
        <v>0</v>
      </c>
      <c r="I551" t="n">
        <v>0</v>
      </c>
      <c r="J551" t="n">
        <v>0</v>
      </c>
      <c r="K551" t="n">
        <v>0</v>
      </c>
      <c r="L551" t="n">
        <v>0</v>
      </c>
      <c r="M551" t="n">
        <v>0</v>
      </c>
      <c r="N551" t="n">
        <v>0</v>
      </c>
      <c r="O551" t="n">
        <v>0</v>
      </c>
      <c r="P551" t="n">
        <v>0</v>
      </c>
      <c r="Q551" t="n">
        <v>0</v>
      </c>
      <c r="R551" s="2" t="inlineStr"/>
    </row>
    <row r="552" ht="15" customHeight="1">
      <c r="A552" t="inlineStr">
        <is>
          <t>A 58946-2024</t>
        </is>
      </c>
      <c r="B552" s="1" t="n">
        <v>45636.55063657407</v>
      </c>
      <c r="C552" s="1" t="n">
        <v>45890</v>
      </c>
      <c r="D552" t="inlineStr">
        <is>
          <t>VÄSTERBOTTENS LÄN</t>
        </is>
      </c>
      <c r="E552" t="inlineStr">
        <is>
          <t>VILHELMINA</t>
        </is>
      </c>
      <c r="F552" t="inlineStr">
        <is>
          <t>Kommuner</t>
        </is>
      </c>
      <c r="G552" t="n">
        <v>4.9</v>
      </c>
      <c r="H552" t="n">
        <v>0</v>
      </c>
      <c r="I552" t="n">
        <v>0</v>
      </c>
      <c r="J552" t="n">
        <v>0</v>
      </c>
      <c r="K552" t="n">
        <v>0</v>
      </c>
      <c r="L552" t="n">
        <v>0</v>
      </c>
      <c r="M552" t="n">
        <v>0</v>
      </c>
      <c r="N552" t="n">
        <v>0</v>
      </c>
      <c r="O552" t="n">
        <v>0</v>
      </c>
      <c r="P552" t="n">
        <v>0</v>
      </c>
      <c r="Q552" t="n">
        <v>0</v>
      </c>
      <c r="R552" s="2" t="inlineStr"/>
    </row>
    <row r="553" ht="15" customHeight="1">
      <c r="A553" t="inlineStr">
        <is>
          <t>A 25942-2025</t>
        </is>
      </c>
      <c r="B553" s="1" t="n">
        <v>45804.59461805555</v>
      </c>
      <c r="C553" s="1" t="n">
        <v>45890</v>
      </c>
      <c r="D553" t="inlineStr">
        <is>
          <t>VÄSTERBOTTENS LÄN</t>
        </is>
      </c>
      <c r="E553" t="inlineStr">
        <is>
          <t>VILHELMINA</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49886-2024</t>
        </is>
      </c>
      <c r="B554" s="1" t="n">
        <v>45597</v>
      </c>
      <c r="C554" s="1" t="n">
        <v>45890</v>
      </c>
      <c r="D554" t="inlineStr">
        <is>
          <t>VÄSTERBOTTENS LÄN</t>
        </is>
      </c>
      <c r="E554" t="inlineStr">
        <is>
          <t>VILHELMINA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47254-2022</t>
        </is>
      </c>
      <c r="B555" s="1" t="n">
        <v>44852.94685185186</v>
      </c>
      <c r="C555" s="1" t="n">
        <v>45890</v>
      </c>
      <c r="D555" t="inlineStr">
        <is>
          <t>VÄSTERBOTTENS LÄN</t>
        </is>
      </c>
      <c r="E555" t="inlineStr">
        <is>
          <t>VILHELMINA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43251-2024</t>
        </is>
      </c>
      <c r="B556" s="1" t="n">
        <v>45568.34429398148</v>
      </c>
      <c r="C556" s="1" t="n">
        <v>45890</v>
      </c>
      <c r="D556" t="inlineStr">
        <is>
          <t>VÄSTERBOTTENS LÄN</t>
        </is>
      </c>
      <c r="E556" t="inlineStr">
        <is>
          <t>VILHELMINA</t>
        </is>
      </c>
      <c r="F556" t="inlineStr">
        <is>
          <t>SCA</t>
        </is>
      </c>
      <c r="G556" t="n">
        <v>5.4</v>
      </c>
      <c r="H556" t="n">
        <v>0</v>
      </c>
      <c r="I556" t="n">
        <v>0</v>
      </c>
      <c r="J556" t="n">
        <v>0</v>
      </c>
      <c r="K556" t="n">
        <v>0</v>
      </c>
      <c r="L556" t="n">
        <v>0</v>
      </c>
      <c r="M556" t="n">
        <v>0</v>
      </c>
      <c r="N556" t="n">
        <v>0</v>
      </c>
      <c r="O556" t="n">
        <v>0</v>
      </c>
      <c r="P556" t="n">
        <v>0</v>
      </c>
      <c r="Q556" t="n">
        <v>0</v>
      </c>
      <c r="R556" s="2" t="inlineStr"/>
    </row>
    <row r="557" ht="15" customHeight="1">
      <c r="A557" t="inlineStr">
        <is>
          <t>A 21345-2024</t>
        </is>
      </c>
      <c r="B557" s="1" t="n">
        <v>45440.92866898148</v>
      </c>
      <c r="C557" s="1" t="n">
        <v>45890</v>
      </c>
      <c r="D557" t="inlineStr">
        <is>
          <t>VÄSTERBOTTENS LÄN</t>
        </is>
      </c>
      <c r="E557" t="inlineStr">
        <is>
          <t>VILHELMINA</t>
        </is>
      </c>
      <c r="G557" t="n">
        <v>3</v>
      </c>
      <c r="H557" t="n">
        <v>0</v>
      </c>
      <c r="I557" t="n">
        <v>0</v>
      </c>
      <c r="J557" t="n">
        <v>0</v>
      </c>
      <c r="K557" t="n">
        <v>0</v>
      </c>
      <c r="L557" t="n">
        <v>0</v>
      </c>
      <c r="M557" t="n">
        <v>0</v>
      </c>
      <c r="N557" t="n">
        <v>0</v>
      </c>
      <c r="O557" t="n">
        <v>0</v>
      </c>
      <c r="P557" t="n">
        <v>0</v>
      </c>
      <c r="Q557" t="n">
        <v>0</v>
      </c>
      <c r="R557" s="2" t="inlineStr"/>
    </row>
    <row r="558" ht="15" customHeight="1">
      <c r="A558" t="inlineStr">
        <is>
          <t>A 26098-2025</t>
        </is>
      </c>
      <c r="B558" s="1" t="n">
        <v>45805</v>
      </c>
      <c r="C558" s="1" t="n">
        <v>45890</v>
      </c>
      <c r="D558" t="inlineStr">
        <is>
          <t>VÄSTERBOTTENS LÄN</t>
        </is>
      </c>
      <c r="E558" t="inlineStr">
        <is>
          <t>VILHELMINA</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37320-2021</t>
        </is>
      </c>
      <c r="B559" s="1" t="n">
        <v>44397</v>
      </c>
      <c r="C559" s="1" t="n">
        <v>45890</v>
      </c>
      <c r="D559" t="inlineStr">
        <is>
          <t>VÄSTERBOTTENS LÄN</t>
        </is>
      </c>
      <c r="E559" t="inlineStr">
        <is>
          <t>VILHELMINA</t>
        </is>
      </c>
      <c r="F559" t="inlineStr">
        <is>
          <t>Kommuner</t>
        </is>
      </c>
      <c r="G559" t="n">
        <v>1.2</v>
      </c>
      <c r="H559" t="n">
        <v>0</v>
      </c>
      <c r="I559" t="n">
        <v>0</v>
      </c>
      <c r="J559" t="n">
        <v>0</v>
      </c>
      <c r="K559" t="n">
        <v>0</v>
      </c>
      <c r="L559" t="n">
        <v>0</v>
      </c>
      <c r="M559" t="n">
        <v>0</v>
      </c>
      <c r="N559" t="n">
        <v>0</v>
      </c>
      <c r="O559" t="n">
        <v>0</v>
      </c>
      <c r="P559" t="n">
        <v>0</v>
      </c>
      <c r="Q559" t="n">
        <v>0</v>
      </c>
      <c r="R559" s="2" t="inlineStr"/>
    </row>
    <row r="560" ht="15" customHeight="1">
      <c r="A560" t="inlineStr">
        <is>
          <t>A 57246-2023</t>
        </is>
      </c>
      <c r="B560" s="1" t="n">
        <v>45239</v>
      </c>
      <c r="C560" s="1" t="n">
        <v>45890</v>
      </c>
      <c r="D560" t="inlineStr">
        <is>
          <t>VÄSTERBOTTENS LÄN</t>
        </is>
      </c>
      <c r="E560" t="inlineStr">
        <is>
          <t>VILHELMINA</t>
        </is>
      </c>
      <c r="G560" t="n">
        <v>15.3</v>
      </c>
      <c r="H560" t="n">
        <v>0</v>
      </c>
      <c r="I560" t="n">
        <v>0</v>
      </c>
      <c r="J560" t="n">
        <v>0</v>
      </c>
      <c r="K560" t="n">
        <v>0</v>
      </c>
      <c r="L560" t="n">
        <v>0</v>
      </c>
      <c r="M560" t="n">
        <v>0</v>
      </c>
      <c r="N560" t="n">
        <v>0</v>
      </c>
      <c r="O560" t="n">
        <v>0</v>
      </c>
      <c r="P560" t="n">
        <v>0</v>
      </c>
      <c r="Q560" t="n">
        <v>0</v>
      </c>
      <c r="R560" s="2" t="inlineStr"/>
    </row>
    <row r="561" ht="15" customHeight="1">
      <c r="A561" t="inlineStr">
        <is>
          <t>A 47010-2024</t>
        </is>
      </c>
      <c r="B561" s="1" t="n">
        <v>45586</v>
      </c>
      <c r="C561" s="1" t="n">
        <v>45890</v>
      </c>
      <c r="D561" t="inlineStr">
        <is>
          <t>VÄSTERBOTTENS LÄN</t>
        </is>
      </c>
      <c r="E561" t="inlineStr">
        <is>
          <t>VILHELMINA</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56627-2024</t>
        </is>
      </c>
      <c r="B562" s="1" t="n">
        <v>45625</v>
      </c>
      <c r="C562" s="1" t="n">
        <v>45890</v>
      </c>
      <c r="D562" t="inlineStr">
        <is>
          <t>VÄSTERBOTTENS LÄN</t>
        </is>
      </c>
      <c r="E562" t="inlineStr">
        <is>
          <t>VILHELMINA</t>
        </is>
      </c>
      <c r="F562" t="inlineStr">
        <is>
          <t>Allmännings- och besparingsskogar</t>
        </is>
      </c>
      <c r="G562" t="n">
        <v>21.5</v>
      </c>
      <c r="H562" t="n">
        <v>0</v>
      </c>
      <c r="I562" t="n">
        <v>0</v>
      </c>
      <c r="J562" t="n">
        <v>0</v>
      </c>
      <c r="K562" t="n">
        <v>0</v>
      </c>
      <c r="L562" t="n">
        <v>0</v>
      </c>
      <c r="M562" t="n">
        <v>0</v>
      </c>
      <c r="N562" t="n">
        <v>0</v>
      </c>
      <c r="O562" t="n">
        <v>0</v>
      </c>
      <c r="P562" t="n">
        <v>0</v>
      </c>
      <c r="Q562" t="n">
        <v>0</v>
      </c>
      <c r="R562" s="2" t="inlineStr"/>
    </row>
    <row r="563" ht="15" customHeight="1">
      <c r="A563" t="inlineStr">
        <is>
          <t>A 59003-2024</t>
        </is>
      </c>
      <c r="B563" s="1" t="n">
        <v>45636</v>
      </c>
      <c r="C563" s="1" t="n">
        <v>45890</v>
      </c>
      <c r="D563" t="inlineStr">
        <is>
          <t>VÄSTERBOTTENS LÄN</t>
        </is>
      </c>
      <c r="E563" t="inlineStr">
        <is>
          <t>VILHELMINA</t>
        </is>
      </c>
      <c r="F563" t="inlineStr">
        <is>
          <t>Allmännings- och besparingsskogar</t>
        </is>
      </c>
      <c r="G563" t="n">
        <v>21.8</v>
      </c>
      <c r="H563" t="n">
        <v>0</v>
      </c>
      <c r="I563" t="n">
        <v>0</v>
      </c>
      <c r="J563" t="n">
        <v>0</v>
      </c>
      <c r="K563" t="n">
        <v>0</v>
      </c>
      <c r="L563" t="n">
        <v>0</v>
      </c>
      <c r="M563" t="n">
        <v>0</v>
      </c>
      <c r="N563" t="n">
        <v>0</v>
      </c>
      <c r="O563" t="n">
        <v>0</v>
      </c>
      <c r="P563" t="n">
        <v>0</v>
      </c>
      <c r="Q563" t="n">
        <v>0</v>
      </c>
      <c r="R563" s="2" t="inlineStr"/>
    </row>
    <row r="564" ht="15" customHeight="1">
      <c r="A564" t="inlineStr">
        <is>
          <t>A 70849-2021</t>
        </is>
      </c>
      <c r="B564" s="1" t="n">
        <v>44532</v>
      </c>
      <c r="C564" s="1" t="n">
        <v>45890</v>
      </c>
      <c r="D564" t="inlineStr">
        <is>
          <t>VÄSTERBOTTENS LÄN</t>
        </is>
      </c>
      <c r="E564" t="inlineStr">
        <is>
          <t>VILHELMINA</t>
        </is>
      </c>
      <c r="G564" t="n">
        <v>21.4</v>
      </c>
      <c r="H564" t="n">
        <v>0</v>
      </c>
      <c r="I564" t="n">
        <v>0</v>
      </c>
      <c r="J564" t="n">
        <v>0</v>
      </c>
      <c r="K564" t="n">
        <v>0</v>
      </c>
      <c r="L564" t="n">
        <v>0</v>
      </c>
      <c r="M564" t="n">
        <v>0</v>
      </c>
      <c r="N564" t="n">
        <v>0</v>
      </c>
      <c r="O564" t="n">
        <v>0</v>
      </c>
      <c r="P564" t="n">
        <v>0</v>
      </c>
      <c r="Q564" t="n">
        <v>0</v>
      </c>
      <c r="R564" s="2" t="inlineStr"/>
    </row>
    <row r="565" ht="15" customHeight="1">
      <c r="A565" t="inlineStr">
        <is>
          <t>A 22440-2025</t>
        </is>
      </c>
      <c r="B565" s="1" t="n">
        <v>45786</v>
      </c>
      <c r="C565" s="1" t="n">
        <v>45890</v>
      </c>
      <c r="D565" t="inlineStr">
        <is>
          <t>VÄSTERBOTTENS LÄN</t>
        </is>
      </c>
      <c r="E565" t="inlineStr">
        <is>
          <t>VILHELMINA</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12043-2023</t>
        </is>
      </c>
      <c r="B566" s="1" t="n">
        <v>44995</v>
      </c>
      <c r="C566" s="1" t="n">
        <v>45890</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46908-2024</t>
        </is>
      </c>
      <c r="B567" s="1" t="n">
        <v>45583</v>
      </c>
      <c r="C567" s="1" t="n">
        <v>45890</v>
      </c>
      <c r="D567" t="inlineStr">
        <is>
          <t>VÄSTERBOTTENS LÄN</t>
        </is>
      </c>
      <c r="E567" t="inlineStr">
        <is>
          <t>VILHELMINA</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59011-2024</t>
        </is>
      </c>
      <c r="B568" s="1" t="n">
        <v>45636</v>
      </c>
      <c r="C568" s="1" t="n">
        <v>45890</v>
      </c>
      <c r="D568" t="inlineStr">
        <is>
          <t>VÄSTERBOTTENS LÄN</t>
        </is>
      </c>
      <c r="E568" t="inlineStr">
        <is>
          <t>VILHELMINA</t>
        </is>
      </c>
      <c r="F568" t="inlineStr">
        <is>
          <t>Allmännings- och besparingsskogar</t>
        </is>
      </c>
      <c r="G568" t="n">
        <v>35.2</v>
      </c>
      <c r="H568" t="n">
        <v>0</v>
      </c>
      <c r="I568" t="n">
        <v>0</v>
      </c>
      <c r="J568" t="n">
        <v>0</v>
      </c>
      <c r="K568" t="n">
        <v>0</v>
      </c>
      <c r="L568" t="n">
        <v>0</v>
      </c>
      <c r="M568" t="n">
        <v>0</v>
      </c>
      <c r="N568" t="n">
        <v>0</v>
      </c>
      <c r="O568" t="n">
        <v>0</v>
      </c>
      <c r="P568" t="n">
        <v>0</v>
      </c>
      <c r="Q568" t="n">
        <v>0</v>
      </c>
      <c r="R568" s="2" t="inlineStr"/>
    </row>
    <row r="569" ht="15" customHeight="1">
      <c r="A569" t="inlineStr">
        <is>
          <t>A 59018-2024</t>
        </is>
      </c>
      <c r="B569" s="1" t="n">
        <v>45636</v>
      </c>
      <c r="C569" s="1" t="n">
        <v>45890</v>
      </c>
      <c r="D569" t="inlineStr">
        <is>
          <t>VÄSTERBOTTENS LÄN</t>
        </is>
      </c>
      <c r="E569" t="inlineStr">
        <is>
          <t>VILHELMINA</t>
        </is>
      </c>
      <c r="F569" t="inlineStr">
        <is>
          <t>Allmännings- och besparingsskogar</t>
        </is>
      </c>
      <c r="G569" t="n">
        <v>13.9</v>
      </c>
      <c r="H569" t="n">
        <v>0</v>
      </c>
      <c r="I569" t="n">
        <v>0</v>
      </c>
      <c r="J569" t="n">
        <v>0</v>
      </c>
      <c r="K569" t="n">
        <v>0</v>
      </c>
      <c r="L569" t="n">
        <v>0</v>
      </c>
      <c r="M569" t="n">
        <v>0</v>
      </c>
      <c r="N569" t="n">
        <v>0</v>
      </c>
      <c r="O569" t="n">
        <v>0</v>
      </c>
      <c r="P569" t="n">
        <v>0</v>
      </c>
      <c r="Q569" t="n">
        <v>0</v>
      </c>
      <c r="R569" s="2" t="inlineStr"/>
    </row>
    <row r="570" ht="15" customHeight="1">
      <c r="A570" t="inlineStr">
        <is>
          <t>A 56624-2024</t>
        </is>
      </c>
      <c r="B570" s="1" t="n">
        <v>45625</v>
      </c>
      <c r="C570" s="1" t="n">
        <v>45890</v>
      </c>
      <c r="D570" t="inlineStr">
        <is>
          <t>VÄSTERBOTTENS LÄN</t>
        </is>
      </c>
      <c r="E570" t="inlineStr">
        <is>
          <t>VILHELMINA</t>
        </is>
      </c>
      <c r="F570" t="inlineStr">
        <is>
          <t>Allmännings- och besparingsskogar</t>
        </is>
      </c>
      <c r="G570" t="n">
        <v>17.8</v>
      </c>
      <c r="H570" t="n">
        <v>0</v>
      </c>
      <c r="I570" t="n">
        <v>0</v>
      </c>
      <c r="J570" t="n">
        <v>0</v>
      </c>
      <c r="K570" t="n">
        <v>0</v>
      </c>
      <c r="L570" t="n">
        <v>0</v>
      </c>
      <c r="M570" t="n">
        <v>0</v>
      </c>
      <c r="N570" t="n">
        <v>0</v>
      </c>
      <c r="O570" t="n">
        <v>0</v>
      </c>
      <c r="P570" t="n">
        <v>0</v>
      </c>
      <c r="Q570" t="n">
        <v>0</v>
      </c>
      <c r="R570" s="2" t="inlineStr"/>
    </row>
    <row r="571" ht="15" customHeight="1">
      <c r="A571" t="inlineStr">
        <is>
          <t>A 58999-2024</t>
        </is>
      </c>
      <c r="B571" s="1" t="n">
        <v>45636</v>
      </c>
      <c r="C571" s="1" t="n">
        <v>45890</v>
      </c>
      <c r="D571" t="inlineStr">
        <is>
          <t>VÄSTERBOTTENS LÄN</t>
        </is>
      </c>
      <c r="E571" t="inlineStr">
        <is>
          <t>VILHELMINA</t>
        </is>
      </c>
      <c r="F571" t="inlineStr">
        <is>
          <t>Allmännings- och besparingsskogar</t>
        </is>
      </c>
      <c r="G571" t="n">
        <v>12.3</v>
      </c>
      <c r="H571" t="n">
        <v>0</v>
      </c>
      <c r="I571" t="n">
        <v>0</v>
      </c>
      <c r="J571" t="n">
        <v>0</v>
      </c>
      <c r="K571" t="n">
        <v>0</v>
      </c>
      <c r="L571" t="n">
        <v>0</v>
      </c>
      <c r="M571" t="n">
        <v>0</v>
      </c>
      <c r="N571" t="n">
        <v>0</v>
      </c>
      <c r="O571" t="n">
        <v>0</v>
      </c>
      <c r="P571" t="n">
        <v>0</v>
      </c>
      <c r="Q571" t="n">
        <v>0</v>
      </c>
      <c r="R571" s="2" t="inlineStr"/>
    </row>
    <row r="572" ht="15" customHeight="1">
      <c r="A572" t="inlineStr">
        <is>
          <t>A 57108-2023</t>
        </is>
      </c>
      <c r="B572" s="1" t="n">
        <v>45239</v>
      </c>
      <c r="C572" s="1" t="n">
        <v>45890</v>
      </c>
      <c r="D572" t="inlineStr">
        <is>
          <t>VÄSTERBOTTENS LÄN</t>
        </is>
      </c>
      <c r="E572" t="inlineStr">
        <is>
          <t>VILHELMINA</t>
        </is>
      </c>
      <c r="G572" t="n">
        <v>0.6</v>
      </c>
      <c r="H572" t="n">
        <v>0</v>
      </c>
      <c r="I572" t="n">
        <v>0</v>
      </c>
      <c r="J572" t="n">
        <v>0</v>
      </c>
      <c r="K572" t="n">
        <v>0</v>
      </c>
      <c r="L572" t="n">
        <v>0</v>
      </c>
      <c r="M572" t="n">
        <v>0</v>
      </c>
      <c r="N572" t="n">
        <v>0</v>
      </c>
      <c r="O572" t="n">
        <v>0</v>
      </c>
      <c r="P572" t="n">
        <v>0</v>
      </c>
      <c r="Q572" t="n">
        <v>0</v>
      </c>
      <c r="R572" s="2" t="inlineStr"/>
    </row>
    <row r="573" ht="15" customHeight="1">
      <c r="A573" t="inlineStr">
        <is>
          <t>A 56629-2024</t>
        </is>
      </c>
      <c r="B573" s="1" t="n">
        <v>45625</v>
      </c>
      <c r="C573" s="1" t="n">
        <v>45890</v>
      </c>
      <c r="D573" t="inlineStr">
        <is>
          <t>VÄSTERBOTTENS LÄN</t>
        </is>
      </c>
      <c r="E573" t="inlineStr">
        <is>
          <t>VILHELMINA</t>
        </is>
      </c>
      <c r="F573" t="inlineStr">
        <is>
          <t>Allmännings- och besparingsskogar</t>
        </is>
      </c>
      <c r="G573" t="n">
        <v>19.7</v>
      </c>
      <c r="H573" t="n">
        <v>0</v>
      </c>
      <c r="I573" t="n">
        <v>0</v>
      </c>
      <c r="J573" t="n">
        <v>0</v>
      </c>
      <c r="K573" t="n">
        <v>0</v>
      </c>
      <c r="L573" t="n">
        <v>0</v>
      </c>
      <c r="M573" t="n">
        <v>0</v>
      </c>
      <c r="N573" t="n">
        <v>0</v>
      </c>
      <c r="O573" t="n">
        <v>0</v>
      </c>
      <c r="P573" t="n">
        <v>0</v>
      </c>
      <c r="Q573" t="n">
        <v>0</v>
      </c>
      <c r="R573" s="2" t="inlineStr"/>
    </row>
    <row r="574" ht="15" customHeight="1">
      <c r="A574" t="inlineStr">
        <is>
          <t>A 54727-2022</t>
        </is>
      </c>
      <c r="B574" s="1" t="n">
        <v>44881</v>
      </c>
      <c r="C574" s="1" t="n">
        <v>45890</v>
      </c>
      <c r="D574" t="inlineStr">
        <is>
          <t>VÄSTERBOTTENS LÄN</t>
        </is>
      </c>
      <c r="E574" t="inlineStr">
        <is>
          <t>VILHELMINA</t>
        </is>
      </c>
      <c r="G574" t="n">
        <v>4.3</v>
      </c>
      <c r="H574" t="n">
        <v>0</v>
      </c>
      <c r="I574" t="n">
        <v>0</v>
      </c>
      <c r="J574" t="n">
        <v>0</v>
      </c>
      <c r="K574" t="n">
        <v>0</v>
      </c>
      <c r="L574" t="n">
        <v>0</v>
      </c>
      <c r="M574" t="n">
        <v>0</v>
      </c>
      <c r="N574" t="n">
        <v>0</v>
      </c>
      <c r="O574" t="n">
        <v>0</v>
      </c>
      <c r="P574" t="n">
        <v>0</v>
      </c>
      <c r="Q574" t="n">
        <v>0</v>
      </c>
      <c r="R574" s="2" t="inlineStr"/>
    </row>
    <row r="575" ht="15" customHeight="1">
      <c r="A575" t="inlineStr">
        <is>
          <t>A 50506-2023</t>
        </is>
      </c>
      <c r="B575" s="1" t="n">
        <v>45216.9580787037</v>
      </c>
      <c r="C575" s="1" t="n">
        <v>45890</v>
      </c>
      <c r="D575" t="inlineStr">
        <is>
          <t>VÄSTERBOTTENS LÄN</t>
        </is>
      </c>
      <c r="E575" t="inlineStr">
        <is>
          <t>VILHELMINA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7035-2025</t>
        </is>
      </c>
      <c r="B576" s="1" t="n">
        <v>45701.63577546296</v>
      </c>
      <c r="C576" s="1" t="n">
        <v>45890</v>
      </c>
      <c r="D576" t="inlineStr">
        <is>
          <t>VÄSTERBOTTENS LÄN</t>
        </is>
      </c>
      <c r="E576" t="inlineStr">
        <is>
          <t>VILHELMINA</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72-2025</t>
        </is>
      </c>
      <c r="B577" s="1" t="n">
        <v>45659</v>
      </c>
      <c r="C577" s="1" t="n">
        <v>45890</v>
      </c>
      <c r="D577" t="inlineStr">
        <is>
          <t>VÄSTERBOTTENS LÄN</t>
        </is>
      </c>
      <c r="E577" t="inlineStr">
        <is>
          <t>VILHELMINA</t>
        </is>
      </c>
      <c r="G577" t="n">
        <v>0.9</v>
      </c>
      <c r="H577" t="n">
        <v>0</v>
      </c>
      <c r="I577" t="n">
        <v>0</v>
      </c>
      <c r="J577" t="n">
        <v>0</v>
      </c>
      <c r="K577" t="n">
        <v>0</v>
      </c>
      <c r="L577" t="n">
        <v>0</v>
      </c>
      <c r="M577" t="n">
        <v>0</v>
      </c>
      <c r="N577" t="n">
        <v>0</v>
      </c>
      <c r="O577" t="n">
        <v>0</v>
      </c>
      <c r="P577" t="n">
        <v>0</v>
      </c>
      <c r="Q577" t="n">
        <v>0</v>
      </c>
      <c r="R577" s="2" t="inlineStr"/>
    </row>
    <row r="578" ht="15" customHeight="1">
      <c r="A578" t="inlineStr">
        <is>
          <t>A 29922-2024</t>
        </is>
      </c>
      <c r="B578" s="1" t="n">
        <v>45487.9563425926</v>
      </c>
      <c r="C578" s="1" t="n">
        <v>45890</v>
      </c>
      <c r="D578" t="inlineStr">
        <is>
          <t>VÄSTERBOTTENS LÄN</t>
        </is>
      </c>
      <c r="E578" t="inlineStr">
        <is>
          <t>VILHELMINA</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26744-2025</t>
        </is>
      </c>
      <c r="B579" s="1" t="n">
        <v>45810.53185185185</v>
      </c>
      <c r="C579" s="1" t="n">
        <v>45890</v>
      </c>
      <c r="D579" t="inlineStr">
        <is>
          <t>VÄSTERBOTTENS LÄN</t>
        </is>
      </c>
      <c r="E579" t="inlineStr">
        <is>
          <t>VILHELMINA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35230-2025</t>
        </is>
      </c>
      <c r="B580" s="1" t="n">
        <v>45853.59447916667</v>
      </c>
      <c r="C580" s="1" t="n">
        <v>45890</v>
      </c>
      <c r="D580" t="inlineStr">
        <is>
          <t>VÄSTERBOTTENS LÄN</t>
        </is>
      </c>
      <c r="E580" t="inlineStr">
        <is>
          <t>VILHELMINA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35231-2025</t>
        </is>
      </c>
      <c r="B581" s="1" t="n">
        <v>45853.59453703704</v>
      </c>
      <c r="C581" s="1" t="n">
        <v>45890</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26790-2025</t>
        </is>
      </c>
      <c r="B582" s="1" t="n">
        <v>45810.59417824074</v>
      </c>
      <c r="C582" s="1" t="n">
        <v>45890</v>
      </c>
      <c r="D582" t="inlineStr">
        <is>
          <t>VÄSTERBOTTENS LÄN</t>
        </is>
      </c>
      <c r="E582" t="inlineStr">
        <is>
          <t>VILHELMINA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7982-2025</t>
        </is>
      </c>
      <c r="B583" s="1" t="n">
        <v>45707.46905092592</v>
      </c>
      <c r="C583" s="1" t="n">
        <v>45890</v>
      </c>
      <c r="D583" t="inlineStr">
        <is>
          <t>VÄSTERBOTTENS LÄN</t>
        </is>
      </c>
      <c r="E583" t="inlineStr">
        <is>
          <t>VILHELMINA</t>
        </is>
      </c>
      <c r="G583" t="n">
        <v>6</v>
      </c>
      <c r="H583" t="n">
        <v>0</v>
      </c>
      <c r="I583" t="n">
        <v>0</v>
      </c>
      <c r="J583" t="n">
        <v>0</v>
      </c>
      <c r="K583" t="n">
        <v>0</v>
      </c>
      <c r="L583" t="n">
        <v>0</v>
      </c>
      <c r="M583" t="n">
        <v>0</v>
      </c>
      <c r="N583" t="n">
        <v>0</v>
      </c>
      <c r="O583" t="n">
        <v>0</v>
      </c>
      <c r="P583" t="n">
        <v>0</v>
      </c>
      <c r="Q583" t="n">
        <v>0</v>
      </c>
      <c r="R583" s="2" t="inlineStr"/>
    </row>
    <row r="584" ht="15" customHeight="1">
      <c r="A584" t="inlineStr">
        <is>
          <t>A 41267-2020</t>
        </is>
      </c>
      <c r="B584" s="1" t="n">
        <v>44071</v>
      </c>
      <c r="C584" s="1" t="n">
        <v>45890</v>
      </c>
      <c r="D584" t="inlineStr">
        <is>
          <t>VÄSTERBOTTENS LÄN</t>
        </is>
      </c>
      <c r="E584" t="inlineStr">
        <is>
          <t>VILHELMINA</t>
        </is>
      </c>
      <c r="G584" t="n">
        <v>1.9</v>
      </c>
      <c r="H584" t="n">
        <v>0</v>
      </c>
      <c r="I584" t="n">
        <v>0</v>
      </c>
      <c r="J584" t="n">
        <v>0</v>
      </c>
      <c r="K584" t="n">
        <v>0</v>
      </c>
      <c r="L584" t="n">
        <v>0</v>
      </c>
      <c r="M584" t="n">
        <v>0</v>
      </c>
      <c r="N584" t="n">
        <v>0</v>
      </c>
      <c r="O584" t="n">
        <v>0</v>
      </c>
      <c r="P584" t="n">
        <v>0</v>
      </c>
      <c r="Q584" t="n">
        <v>0</v>
      </c>
      <c r="R584" s="2" t="inlineStr"/>
    </row>
    <row r="585" ht="15" customHeight="1">
      <c r="A585" t="inlineStr">
        <is>
          <t>A 26722-2025</t>
        </is>
      </c>
      <c r="B585" s="1" t="n">
        <v>45810</v>
      </c>
      <c r="C585" s="1" t="n">
        <v>45890</v>
      </c>
      <c r="D585" t="inlineStr">
        <is>
          <t>VÄSTERBOTTENS LÄN</t>
        </is>
      </c>
      <c r="E585" t="inlineStr">
        <is>
          <t>VILHELMINA</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26745-2025</t>
        </is>
      </c>
      <c r="B586" s="1" t="n">
        <v>45810.53188657408</v>
      </c>
      <c r="C586" s="1" t="n">
        <v>45890</v>
      </c>
      <c r="D586" t="inlineStr">
        <is>
          <t>VÄSTERBOTTENS LÄN</t>
        </is>
      </c>
      <c r="E586" t="inlineStr">
        <is>
          <t>VILHELMINA</t>
        </is>
      </c>
      <c r="F586" t="inlineStr">
        <is>
          <t>SCA</t>
        </is>
      </c>
      <c r="G586" t="n">
        <v>0.3</v>
      </c>
      <c r="H586" t="n">
        <v>0</v>
      </c>
      <c r="I586" t="n">
        <v>0</v>
      </c>
      <c r="J586" t="n">
        <v>0</v>
      </c>
      <c r="K586" t="n">
        <v>0</v>
      </c>
      <c r="L586" t="n">
        <v>0</v>
      </c>
      <c r="M586" t="n">
        <v>0</v>
      </c>
      <c r="N586" t="n">
        <v>0</v>
      </c>
      <c r="O586" t="n">
        <v>0</v>
      </c>
      <c r="P586" t="n">
        <v>0</v>
      </c>
      <c r="Q586" t="n">
        <v>0</v>
      </c>
      <c r="R586" s="2" t="inlineStr"/>
    </row>
    <row r="587" ht="15" customHeight="1">
      <c r="A587" t="inlineStr">
        <is>
          <t>A 17302-2025</t>
        </is>
      </c>
      <c r="B587" s="1" t="n">
        <v>45756</v>
      </c>
      <c r="C587" s="1" t="n">
        <v>45890</v>
      </c>
      <c r="D587" t="inlineStr">
        <is>
          <t>VÄSTERBOTTENS LÄN</t>
        </is>
      </c>
      <c r="E587" t="inlineStr">
        <is>
          <t>VILHELMINA</t>
        </is>
      </c>
      <c r="G587" t="n">
        <v>6.6</v>
      </c>
      <c r="H587" t="n">
        <v>0</v>
      </c>
      <c r="I587" t="n">
        <v>0</v>
      </c>
      <c r="J587" t="n">
        <v>0</v>
      </c>
      <c r="K587" t="n">
        <v>0</v>
      </c>
      <c r="L587" t="n">
        <v>0</v>
      </c>
      <c r="M587" t="n">
        <v>0</v>
      </c>
      <c r="N587" t="n">
        <v>0</v>
      </c>
      <c r="O587" t="n">
        <v>0</v>
      </c>
      <c r="P587" t="n">
        <v>0</v>
      </c>
      <c r="Q587" t="n">
        <v>0</v>
      </c>
      <c r="R587" s="2" t="inlineStr"/>
    </row>
    <row r="588" ht="15" customHeight="1">
      <c r="A588" t="inlineStr">
        <is>
          <t>A 17307-2025</t>
        </is>
      </c>
      <c r="B588" s="1" t="n">
        <v>45756</v>
      </c>
      <c r="C588" s="1" t="n">
        <v>45890</v>
      </c>
      <c r="D588" t="inlineStr">
        <is>
          <t>VÄSTERBOTTENS LÄN</t>
        </is>
      </c>
      <c r="E588" t="inlineStr">
        <is>
          <t>VILHELMINA</t>
        </is>
      </c>
      <c r="G588" t="n">
        <v>11.2</v>
      </c>
      <c r="H588" t="n">
        <v>0</v>
      </c>
      <c r="I588" t="n">
        <v>0</v>
      </c>
      <c r="J588" t="n">
        <v>0</v>
      </c>
      <c r="K588" t="n">
        <v>0</v>
      </c>
      <c r="L588" t="n">
        <v>0</v>
      </c>
      <c r="M588" t="n">
        <v>0</v>
      </c>
      <c r="N588" t="n">
        <v>0</v>
      </c>
      <c r="O588" t="n">
        <v>0</v>
      </c>
      <c r="P588" t="n">
        <v>0</v>
      </c>
      <c r="Q588" t="n">
        <v>0</v>
      </c>
      <c r="R588" s="2" t="inlineStr"/>
    </row>
    <row r="589" ht="15" customHeight="1">
      <c r="A589" t="inlineStr">
        <is>
          <t>A 17314-2025</t>
        </is>
      </c>
      <c r="B589" s="1" t="n">
        <v>45756</v>
      </c>
      <c r="C589" s="1" t="n">
        <v>45890</v>
      </c>
      <c r="D589" t="inlineStr">
        <is>
          <t>VÄSTERBOTTENS LÄN</t>
        </is>
      </c>
      <c r="E589" t="inlineStr">
        <is>
          <t>VILHELMINA</t>
        </is>
      </c>
      <c r="G589" t="n">
        <v>3.4</v>
      </c>
      <c r="H589" t="n">
        <v>0</v>
      </c>
      <c r="I589" t="n">
        <v>0</v>
      </c>
      <c r="J589" t="n">
        <v>0</v>
      </c>
      <c r="K589" t="n">
        <v>0</v>
      </c>
      <c r="L589" t="n">
        <v>0</v>
      </c>
      <c r="M589" t="n">
        <v>0</v>
      </c>
      <c r="N589" t="n">
        <v>0</v>
      </c>
      <c r="O589" t="n">
        <v>0</v>
      </c>
      <c r="P589" t="n">
        <v>0</v>
      </c>
      <c r="Q589" t="n">
        <v>0</v>
      </c>
      <c r="R589" s="2" t="inlineStr"/>
    </row>
    <row r="590" ht="15" customHeight="1">
      <c r="A590" t="inlineStr">
        <is>
          <t>A 11538-2024</t>
        </is>
      </c>
      <c r="B590" s="1" t="n">
        <v>45372</v>
      </c>
      <c r="C590" s="1" t="n">
        <v>45890</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8859-2023</t>
        </is>
      </c>
      <c r="B591" s="1" t="n">
        <v>44978</v>
      </c>
      <c r="C591" s="1" t="n">
        <v>45890</v>
      </c>
      <c r="D591" t="inlineStr">
        <is>
          <t>VÄSTERBOTTENS LÄN</t>
        </is>
      </c>
      <c r="E591" t="inlineStr">
        <is>
          <t>VILHELMINA</t>
        </is>
      </c>
      <c r="G591" t="n">
        <v>6.3</v>
      </c>
      <c r="H591" t="n">
        <v>0</v>
      </c>
      <c r="I591" t="n">
        <v>0</v>
      </c>
      <c r="J591" t="n">
        <v>0</v>
      </c>
      <c r="K591" t="n">
        <v>0</v>
      </c>
      <c r="L591" t="n">
        <v>0</v>
      </c>
      <c r="M591" t="n">
        <v>0</v>
      </c>
      <c r="N591" t="n">
        <v>0</v>
      </c>
      <c r="O591" t="n">
        <v>0</v>
      </c>
      <c r="P591" t="n">
        <v>0</v>
      </c>
      <c r="Q591" t="n">
        <v>0</v>
      </c>
      <c r="R591" s="2" t="inlineStr"/>
    </row>
    <row r="592" ht="15" customHeight="1">
      <c r="A592" t="inlineStr">
        <is>
          <t>A 8745-2023</t>
        </is>
      </c>
      <c r="B592" s="1" t="n">
        <v>44972</v>
      </c>
      <c r="C592" s="1" t="n">
        <v>45890</v>
      </c>
      <c r="D592" t="inlineStr">
        <is>
          <t>VÄSTERBOTTENS LÄN</t>
        </is>
      </c>
      <c r="E592" t="inlineStr">
        <is>
          <t>VILHELMINA</t>
        </is>
      </c>
      <c r="F592" t="inlineStr">
        <is>
          <t>Allmännings- och besparingsskogar</t>
        </is>
      </c>
      <c r="G592" t="n">
        <v>41</v>
      </c>
      <c r="H592" t="n">
        <v>0</v>
      </c>
      <c r="I592" t="n">
        <v>0</v>
      </c>
      <c r="J592" t="n">
        <v>0</v>
      </c>
      <c r="K592" t="n">
        <v>0</v>
      </c>
      <c r="L592" t="n">
        <v>0</v>
      </c>
      <c r="M592" t="n">
        <v>0</v>
      </c>
      <c r="N592" t="n">
        <v>0</v>
      </c>
      <c r="O592" t="n">
        <v>0</v>
      </c>
      <c r="P592" t="n">
        <v>0</v>
      </c>
      <c r="Q592" t="n">
        <v>0</v>
      </c>
      <c r="R592" s="2" t="inlineStr"/>
    </row>
    <row r="593" ht="15" customHeight="1">
      <c r="A593" t="inlineStr">
        <is>
          <t>A 2022-2024</t>
        </is>
      </c>
      <c r="B593" s="1" t="n">
        <v>45308</v>
      </c>
      <c r="C593" s="1" t="n">
        <v>45890</v>
      </c>
      <c r="D593" t="inlineStr">
        <is>
          <t>VÄSTERBOTTENS LÄN</t>
        </is>
      </c>
      <c r="E593" t="inlineStr">
        <is>
          <t>VILHELMINA</t>
        </is>
      </c>
      <c r="G593" t="n">
        <v>8.5</v>
      </c>
      <c r="H593" t="n">
        <v>0</v>
      </c>
      <c r="I593" t="n">
        <v>0</v>
      </c>
      <c r="J593" t="n">
        <v>0</v>
      </c>
      <c r="K593" t="n">
        <v>0</v>
      </c>
      <c r="L593" t="n">
        <v>0</v>
      </c>
      <c r="M593" t="n">
        <v>0</v>
      </c>
      <c r="N593" t="n">
        <v>0</v>
      </c>
      <c r="O593" t="n">
        <v>0</v>
      </c>
      <c r="P593" t="n">
        <v>0</v>
      </c>
      <c r="Q593" t="n">
        <v>0</v>
      </c>
      <c r="R593" s="2" t="inlineStr"/>
    </row>
    <row r="594" ht="15" customHeight="1">
      <c r="A594" t="inlineStr">
        <is>
          <t>A 58456-2023</t>
        </is>
      </c>
      <c r="B594" s="1" t="n">
        <v>45250.96092592592</v>
      </c>
      <c r="C594" s="1" t="n">
        <v>45890</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60782-2023</t>
        </is>
      </c>
      <c r="B595" s="1" t="n">
        <v>45259</v>
      </c>
      <c r="C595" s="1" t="n">
        <v>45890</v>
      </c>
      <c r="D595" t="inlineStr">
        <is>
          <t>VÄSTERBOTTENS LÄN</t>
        </is>
      </c>
      <c r="E595" t="inlineStr">
        <is>
          <t>VILHELMINA</t>
        </is>
      </c>
      <c r="G595" t="n">
        <v>12.7</v>
      </c>
      <c r="H595" t="n">
        <v>0</v>
      </c>
      <c r="I595" t="n">
        <v>0</v>
      </c>
      <c r="J595" t="n">
        <v>0</v>
      </c>
      <c r="K595" t="n">
        <v>0</v>
      </c>
      <c r="L595" t="n">
        <v>0</v>
      </c>
      <c r="M595" t="n">
        <v>0</v>
      </c>
      <c r="N595" t="n">
        <v>0</v>
      </c>
      <c r="O595" t="n">
        <v>0</v>
      </c>
      <c r="P595" t="n">
        <v>0</v>
      </c>
      <c r="Q595" t="n">
        <v>0</v>
      </c>
      <c r="R595" s="2" t="inlineStr"/>
    </row>
    <row r="596" ht="15" customHeight="1">
      <c r="A596" t="inlineStr">
        <is>
          <t>A 8229-2022</t>
        </is>
      </c>
      <c r="B596" s="1" t="n">
        <v>44609</v>
      </c>
      <c r="C596" s="1" t="n">
        <v>45890</v>
      </c>
      <c r="D596" t="inlineStr">
        <is>
          <t>VÄSTERBOTTENS LÄN</t>
        </is>
      </c>
      <c r="E596" t="inlineStr">
        <is>
          <t>VILHELMINA</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65151-2021</t>
        </is>
      </c>
      <c r="B597" s="1" t="n">
        <v>44515</v>
      </c>
      <c r="C597" s="1" t="n">
        <v>45890</v>
      </c>
      <c r="D597" t="inlineStr">
        <is>
          <t>VÄSTERBOTTENS LÄN</t>
        </is>
      </c>
      <c r="E597" t="inlineStr">
        <is>
          <t>VILHELMINA</t>
        </is>
      </c>
      <c r="G597" t="n">
        <v>11.8</v>
      </c>
      <c r="H597" t="n">
        <v>0</v>
      </c>
      <c r="I597" t="n">
        <v>0</v>
      </c>
      <c r="J597" t="n">
        <v>0</v>
      </c>
      <c r="K597" t="n">
        <v>0</v>
      </c>
      <c r="L597" t="n">
        <v>0</v>
      </c>
      <c r="M597" t="n">
        <v>0</v>
      </c>
      <c r="N597" t="n">
        <v>0</v>
      </c>
      <c r="O597" t="n">
        <v>0</v>
      </c>
      <c r="P597" t="n">
        <v>0</v>
      </c>
      <c r="Q597" t="n">
        <v>0</v>
      </c>
      <c r="R597" s="2" t="inlineStr"/>
    </row>
    <row r="598" ht="15" customHeight="1">
      <c r="A598" t="inlineStr">
        <is>
          <t>A 65159-2021</t>
        </is>
      </c>
      <c r="B598" s="1" t="n">
        <v>44515</v>
      </c>
      <c r="C598" s="1" t="n">
        <v>45890</v>
      </c>
      <c r="D598" t="inlineStr">
        <is>
          <t>VÄSTERBOTTENS LÄN</t>
        </is>
      </c>
      <c r="E598" t="inlineStr">
        <is>
          <t>VILHELMINA</t>
        </is>
      </c>
      <c r="G598" t="n">
        <v>5</v>
      </c>
      <c r="H598" t="n">
        <v>0</v>
      </c>
      <c r="I598" t="n">
        <v>0</v>
      </c>
      <c r="J598" t="n">
        <v>0</v>
      </c>
      <c r="K598" t="n">
        <v>0</v>
      </c>
      <c r="L598" t="n">
        <v>0</v>
      </c>
      <c r="M598" t="n">
        <v>0</v>
      </c>
      <c r="N598" t="n">
        <v>0</v>
      </c>
      <c r="O598" t="n">
        <v>0</v>
      </c>
      <c r="P598" t="n">
        <v>0</v>
      </c>
      <c r="Q598" t="n">
        <v>0</v>
      </c>
      <c r="R598" s="2" t="inlineStr"/>
    </row>
    <row r="599" ht="15" customHeight="1">
      <c r="A599" t="inlineStr">
        <is>
          <t>A 45593-2024</t>
        </is>
      </c>
      <c r="B599" s="1" t="n">
        <v>45579</v>
      </c>
      <c r="C599" s="1" t="n">
        <v>45890</v>
      </c>
      <c r="D599" t="inlineStr">
        <is>
          <t>VÄSTERBOTTENS LÄN</t>
        </is>
      </c>
      <c r="E599" t="inlineStr">
        <is>
          <t>VILHELMINA</t>
        </is>
      </c>
      <c r="G599" t="n">
        <v>0.9</v>
      </c>
      <c r="H599" t="n">
        <v>0</v>
      </c>
      <c r="I599" t="n">
        <v>0</v>
      </c>
      <c r="J599" t="n">
        <v>0</v>
      </c>
      <c r="K599" t="n">
        <v>0</v>
      </c>
      <c r="L599" t="n">
        <v>0</v>
      </c>
      <c r="M599" t="n">
        <v>0</v>
      </c>
      <c r="N599" t="n">
        <v>0</v>
      </c>
      <c r="O599" t="n">
        <v>0</v>
      </c>
      <c r="P599" t="n">
        <v>0</v>
      </c>
      <c r="Q599" t="n">
        <v>0</v>
      </c>
      <c r="R599" s="2" t="inlineStr"/>
    </row>
    <row r="600" ht="15" customHeight="1">
      <c r="A600" t="inlineStr">
        <is>
          <t>A 252-2025</t>
        </is>
      </c>
      <c r="B600" s="1" t="n">
        <v>45660.42734953704</v>
      </c>
      <c r="C600" s="1" t="n">
        <v>45890</v>
      </c>
      <c r="D600" t="inlineStr">
        <is>
          <t>VÄSTERBOTTENS LÄN</t>
        </is>
      </c>
      <c r="E600" t="inlineStr">
        <is>
          <t>VILHELMINA</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296-2025</t>
        </is>
      </c>
      <c r="B601" s="1" t="n">
        <v>45660.53215277778</v>
      </c>
      <c r="C601" s="1" t="n">
        <v>45890</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27601-2025</t>
        </is>
      </c>
      <c r="B602" s="1" t="n">
        <v>45813.52791666667</v>
      </c>
      <c r="C602" s="1" t="n">
        <v>45890</v>
      </c>
      <c r="D602" t="inlineStr">
        <is>
          <t>VÄSTERBOTTENS LÄN</t>
        </is>
      </c>
      <c r="E602" t="inlineStr">
        <is>
          <t>VILHELMINA</t>
        </is>
      </c>
      <c r="F602" t="inlineStr">
        <is>
          <t>Övriga statliga verk och myndigheter</t>
        </is>
      </c>
      <c r="G602" t="n">
        <v>36.5</v>
      </c>
      <c r="H602" t="n">
        <v>0</v>
      </c>
      <c r="I602" t="n">
        <v>0</v>
      </c>
      <c r="J602" t="n">
        <v>0</v>
      </c>
      <c r="K602" t="n">
        <v>0</v>
      </c>
      <c r="L602" t="n">
        <v>0</v>
      </c>
      <c r="M602" t="n">
        <v>0</v>
      </c>
      <c r="N602" t="n">
        <v>0</v>
      </c>
      <c r="O602" t="n">
        <v>0</v>
      </c>
      <c r="P602" t="n">
        <v>0</v>
      </c>
      <c r="Q602" t="n">
        <v>0</v>
      </c>
      <c r="R602" s="2" t="inlineStr"/>
    </row>
    <row r="603" ht="15" customHeight="1">
      <c r="A603" t="inlineStr">
        <is>
          <t>A 35287-2025</t>
        </is>
      </c>
      <c r="B603" s="1" t="n">
        <v>45854.3653587963</v>
      </c>
      <c r="C603" s="1" t="n">
        <v>45890</v>
      </c>
      <c r="D603" t="inlineStr">
        <is>
          <t>VÄSTERBOTTENS LÄN</t>
        </is>
      </c>
      <c r="E603" t="inlineStr">
        <is>
          <t>VILHELMINA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36219-2023</t>
        </is>
      </c>
      <c r="B604" s="1" t="n">
        <v>45149.95310185185</v>
      </c>
      <c r="C604" s="1" t="n">
        <v>45890</v>
      </c>
      <c r="D604" t="inlineStr">
        <is>
          <t>VÄSTERBOTTENS LÄN</t>
        </is>
      </c>
      <c r="E604" t="inlineStr">
        <is>
          <t>VILHELMINA</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2008-2025</t>
        </is>
      </c>
      <c r="B605" s="1" t="n">
        <v>45672.45302083333</v>
      </c>
      <c r="C605" s="1" t="n">
        <v>45890</v>
      </c>
      <c r="D605" t="inlineStr">
        <is>
          <t>VÄSTERBOTTENS LÄN</t>
        </is>
      </c>
      <c r="E605" t="inlineStr">
        <is>
          <t>VILHELMINA</t>
        </is>
      </c>
      <c r="G605" t="n">
        <v>0.7</v>
      </c>
      <c r="H605" t="n">
        <v>0</v>
      </c>
      <c r="I605" t="n">
        <v>0</v>
      </c>
      <c r="J605" t="n">
        <v>0</v>
      </c>
      <c r="K605" t="n">
        <v>0</v>
      </c>
      <c r="L605" t="n">
        <v>0</v>
      </c>
      <c r="M605" t="n">
        <v>0</v>
      </c>
      <c r="N605" t="n">
        <v>0</v>
      </c>
      <c r="O605" t="n">
        <v>0</v>
      </c>
      <c r="P605" t="n">
        <v>0</v>
      </c>
      <c r="Q605" t="n">
        <v>0</v>
      </c>
      <c r="R605" s="2" t="inlineStr"/>
    </row>
    <row r="606" ht="15" customHeight="1">
      <c r="A606" t="inlineStr">
        <is>
          <t>A 35288-2025</t>
        </is>
      </c>
      <c r="B606" s="1" t="n">
        <v>45854.36543981481</v>
      </c>
      <c r="C606" s="1" t="n">
        <v>45890</v>
      </c>
      <c r="D606" t="inlineStr">
        <is>
          <t>VÄSTERBOTTENS LÄN</t>
        </is>
      </c>
      <c r="E606" t="inlineStr">
        <is>
          <t>VILHELMINA</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54727-2024</t>
        </is>
      </c>
      <c r="B607" s="1" t="n">
        <v>45618.43804398148</v>
      </c>
      <c r="C607" s="1" t="n">
        <v>45890</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41484-2022</t>
        </is>
      </c>
      <c r="B608" s="1" t="n">
        <v>44826</v>
      </c>
      <c r="C608" s="1" t="n">
        <v>45890</v>
      </c>
      <c r="D608" t="inlineStr">
        <is>
          <t>VÄSTERBOTTENS LÄN</t>
        </is>
      </c>
      <c r="E608" t="inlineStr">
        <is>
          <t>VILHELMINA</t>
        </is>
      </c>
      <c r="F608" t="inlineStr">
        <is>
          <t>SCA</t>
        </is>
      </c>
      <c r="G608" t="n">
        <v>18.1</v>
      </c>
      <c r="H608" t="n">
        <v>0</v>
      </c>
      <c r="I608" t="n">
        <v>0</v>
      </c>
      <c r="J608" t="n">
        <v>0</v>
      </c>
      <c r="K608" t="n">
        <v>0</v>
      </c>
      <c r="L608" t="n">
        <v>0</v>
      </c>
      <c r="M608" t="n">
        <v>0</v>
      </c>
      <c r="N608" t="n">
        <v>0</v>
      </c>
      <c r="O608" t="n">
        <v>0</v>
      </c>
      <c r="P608" t="n">
        <v>0</v>
      </c>
      <c r="Q608" t="n">
        <v>0</v>
      </c>
      <c r="R608" s="2" t="inlineStr"/>
    </row>
    <row r="609" ht="15" customHeight="1">
      <c r="A609" t="inlineStr">
        <is>
          <t>A 74-2025</t>
        </is>
      </c>
      <c r="B609" s="1" t="n">
        <v>45659</v>
      </c>
      <c r="C609" s="1" t="n">
        <v>45890</v>
      </c>
      <c r="D609" t="inlineStr">
        <is>
          <t>VÄSTERBOTTENS LÄN</t>
        </is>
      </c>
      <c r="E609" t="inlineStr">
        <is>
          <t>VILHELMINA</t>
        </is>
      </c>
      <c r="G609" t="n">
        <v>5.9</v>
      </c>
      <c r="H609" t="n">
        <v>0</v>
      </c>
      <c r="I609" t="n">
        <v>0</v>
      </c>
      <c r="J609" t="n">
        <v>0</v>
      </c>
      <c r="K609" t="n">
        <v>0</v>
      </c>
      <c r="L609" t="n">
        <v>0</v>
      </c>
      <c r="M609" t="n">
        <v>0</v>
      </c>
      <c r="N609" t="n">
        <v>0</v>
      </c>
      <c r="O609" t="n">
        <v>0</v>
      </c>
      <c r="P609" t="n">
        <v>0</v>
      </c>
      <c r="Q609" t="n">
        <v>0</v>
      </c>
      <c r="R609" s="2" t="inlineStr"/>
    </row>
    <row r="610" ht="15" customHeight="1">
      <c r="A610" t="inlineStr">
        <is>
          <t>A 78-2025</t>
        </is>
      </c>
      <c r="B610" s="1" t="n">
        <v>45659</v>
      </c>
      <c r="C610" s="1" t="n">
        <v>45890</v>
      </c>
      <c r="D610" t="inlineStr">
        <is>
          <t>VÄSTERBOTTENS LÄN</t>
        </is>
      </c>
      <c r="E610" t="inlineStr">
        <is>
          <t>VILHELMINA</t>
        </is>
      </c>
      <c r="G610" t="n">
        <v>7.3</v>
      </c>
      <c r="H610" t="n">
        <v>0</v>
      </c>
      <c r="I610" t="n">
        <v>0</v>
      </c>
      <c r="J610" t="n">
        <v>0</v>
      </c>
      <c r="K610" t="n">
        <v>0</v>
      </c>
      <c r="L610" t="n">
        <v>0</v>
      </c>
      <c r="M610" t="n">
        <v>0</v>
      </c>
      <c r="N610" t="n">
        <v>0</v>
      </c>
      <c r="O610" t="n">
        <v>0</v>
      </c>
      <c r="P610" t="n">
        <v>0</v>
      </c>
      <c r="Q610" t="n">
        <v>0</v>
      </c>
      <c r="R610" s="2" t="inlineStr"/>
    </row>
    <row r="611" ht="15" customHeight="1">
      <c r="A611" t="inlineStr">
        <is>
          <t>A 46316-2022</t>
        </is>
      </c>
      <c r="B611" s="1" t="n">
        <v>44847</v>
      </c>
      <c r="C611" s="1" t="n">
        <v>45890</v>
      </c>
      <c r="D611" t="inlineStr">
        <is>
          <t>VÄSTERBOTTENS LÄN</t>
        </is>
      </c>
      <c r="E611" t="inlineStr">
        <is>
          <t>VILHELMINA</t>
        </is>
      </c>
      <c r="G611" t="n">
        <v>2.1</v>
      </c>
      <c r="H611" t="n">
        <v>0</v>
      </c>
      <c r="I611" t="n">
        <v>0</v>
      </c>
      <c r="J611" t="n">
        <v>0</v>
      </c>
      <c r="K611" t="n">
        <v>0</v>
      </c>
      <c r="L611" t="n">
        <v>0</v>
      </c>
      <c r="M611" t="n">
        <v>0</v>
      </c>
      <c r="N611" t="n">
        <v>0</v>
      </c>
      <c r="O611" t="n">
        <v>0</v>
      </c>
      <c r="P611" t="n">
        <v>0</v>
      </c>
      <c r="Q611" t="n">
        <v>0</v>
      </c>
      <c r="R611" s="2" t="inlineStr"/>
    </row>
    <row r="612" ht="15" customHeight="1">
      <c r="A612" t="inlineStr">
        <is>
          <t>A 27943-2025</t>
        </is>
      </c>
      <c r="B612" s="1" t="n">
        <v>45817.51078703703</v>
      </c>
      <c r="C612" s="1" t="n">
        <v>45890</v>
      </c>
      <c r="D612" t="inlineStr">
        <is>
          <t>VÄSTERBOTTENS LÄN</t>
        </is>
      </c>
      <c r="E612" t="inlineStr">
        <is>
          <t>VILHELMINA</t>
        </is>
      </c>
      <c r="F612" t="inlineStr">
        <is>
          <t>SCA</t>
        </is>
      </c>
      <c r="G612" t="n">
        <v>4.4</v>
      </c>
      <c r="H612" t="n">
        <v>0</v>
      </c>
      <c r="I612" t="n">
        <v>0</v>
      </c>
      <c r="J612" t="n">
        <v>0</v>
      </c>
      <c r="K612" t="n">
        <v>0</v>
      </c>
      <c r="L612" t="n">
        <v>0</v>
      </c>
      <c r="M612" t="n">
        <v>0</v>
      </c>
      <c r="N612" t="n">
        <v>0</v>
      </c>
      <c r="O612" t="n">
        <v>0</v>
      </c>
      <c r="P612" t="n">
        <v>0</v>
      </c>
      <c r="Q612" t="n">
        <v>0</v>
      </c>
      <c r="R612" s="2" t="inlineStr"/>
    </row>
    <row r="613" ht="15" customHeight="1">
      <c r="A613" t="inlineStr">
        <is>
          <t>A 27952-2025</t>
        </is>
      </c>
      <c r="B613" s="1" t="n">
        <v>45817.53157407408</v>
      </c>
      <c r="C613" s="1" t="n">
        <v>45890</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28016-2025</t>
        </is>
      </c>
      <c r="B614" s="1" t="n">
        <v>45817.61506944444</v>
      </c>
      <c r="C614" s="1" t="n">
        <v>45890</v>
      </c>
      <c r="D614" t="inlineStr">
        <is>
          <t>VÄSTERBOTTENS LÄN</t>
        </is>
      </c>
      <c r="E614" t="inlineStr">
        <is>
          <t>VILHELMINA</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25551-2024</t>
        </is>
      </c>
      <c r="B615" s="1" t="n">
        <v>45463</v>
      </c>
      <c r="C615" s="1" t="n">
        <v>45890</v>
      </c>
      <c r="D615" t="inlineStr">
        <is>
          <t>VÄSTERBOTTENS LÄN</t>
        </is>
      </c>
      <c r="E615" t="inlineStr">
        <is>
          <t>VILHELMINA</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12374-2025</t>
        </is>
      </c>
      <c r="B616" s="1" t="n">
        <v>45730</v>
      </c>
      <c r="C616" s="1" t="n">
        <v>45890</v>
      </c>
      <c r="D616" t="inlineStr">
        <is>
          <t>VÄSTERBOTTENS LÄN</t>
        </is>
      </c>
      <c r="E616" t="inlineStr">
        <is>
          <t>VILHELMINA</t>
        </is>
      </c>
      <c r="F616" t="inlineStr">
        <is>
          <t>Övriga statliga verk och myndigheter</t>
        </is>
      </c>
      <c r="G616" t="n">
        <v>18.7</v>
      </c>
      <c r="H616" t="n">
        <v>0</v>
      </c>
      <c r="I616" t="n">
        <v>0</v>
      </c>
      <c r="J616" t="n">
        <v>0</v>
      </c>
      <c r="K616" t="n">
        <v>0</v>
      </c>
      <c r="L616" t="n">
        <v>0</v>
      </c>
      <c r="M616" t="n">
        <v>0</v>
      </c>
      <c r="N616" t="n">
        <v>0</v>
      </c>
      <c r="O616" t="n">
        <v>0</v>
      </c>
      <c r="P616" t="n">
        <v>0</v>
      </c>
      <c r="Q616" t="n">
        <v>0</v>
      </c>
      <c r="R616" s="2" t="inlineStr"/>
    </row>
    <row r="617" ht="15" customHeight="1">
      <c r="A617" t="inlineStr">
        <is>
          <t>A 27945-2025</t>
        </is>
      </c>
      <c r="B617" s="1" t="n">
        <v>45817</v>
      </c>
      <c r="C617" s="1" t="n">
        <v>45890</v>
      </c>
      <c r="D617" t="inlineStr">
        <is>
          <t>VÄSTERBOTTENS LÄN</t>
        </is>
      </c>
      <c r="E617" t="inlineStr">
        <is>
          <t>VILHELMINA</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28071-2025</t>
        </is>
      </c>
      <c r="B618" s="1" t="n">
        <v>45817.67755787037</v>
      </c>
      <c r="C618" s="1" t="n">
        <v>45890</v>
      </c>
      <c r="D618" t="inlineStr">
        <is>
          <t>VÄSTERBOTTENS LÄN</t>
        </is>
      </c>
      <c r="E618" t="inlineStr">
        <is>
          <t>VILHELMINA</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28019-2025</t>
        </is>
      </c>
      <c r="B619" s="1" t="n">
        <v>45817.61545138889</v>
      </c>
      <c r="C619" s="1" t="n">
        <v>45890</v>
      </c>
      <c r="D619" t="inlineStr">
        <is>
          <t>VÄSTERBOTTENS LÄN</t>
        </is>
      </c>
      <c r="E619" t="inlineStr">
        <is>
          <t>VILHELMINA</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28050-2025</t>
        </is>
      </c>
      <c r="B620" s="1" t="n">
        <v>45817.65658564815</v>
      </c>
      <c r="C620" s="1" t="n">
        <v>45890</v>
      </c>
      <c r="D620" t="inlineStr">
        <is>
          <t>VÄSTERBOTTENS LÄN</t>
        </is>
      </c>
      <c r="E620" t="inlineStr">
        <is>
          <t>VILHELMINA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47011-2024</t>
        </is>
      </c>
      <c r="B621" s="1" t="n">
        <v>45586.38592592593</v>
      </c>
      <c r="C621" s="1" t="n">
        <v>45890</v>
      </c>
      <c r="D621" t="inlineStr">
        <is>
          <t>VÄSTERBOTTENS LÄN</t>
        </is>
      </c>
      <c r="E621" t="inlineStr">
        <is>
          <t>VILHELMINA</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12375-2025</t>
        </is>
      </c>
      <c r="B622" s="1" t="n">
        <v>45730</v>
      </c>
      <c r="C622" s="1" t="n">
        <v>45890</v>
      </c>
      <c r="D622" t="inlineStr">
        <is>
          <t>VÄSTERBOTTENS LÄN</t>
        </is>
      </c>
      <c r="E622" t="inlineStr">
        <is>
          <t>VILHELMINA</t>
        </is>
      </c>
      <c r="F622" t="inlineStr">
        <is>
          <t>Övriga statliga verk och myndigheter</t>
        </is>
      </c>
      <c r="G622" t="n">
        <v>22.3</v>
      </c>
      <c r="H622" t="n">
        <v>0</v>
      </c>
      <c r="I622" t="n">
        <v>0</v>
      </c>
      <c r="J622" t="n">
        <v>0</v>
      </c>
      <c r="K622" t="n">
        <v>0</v>
      </c>
      <c r="L622" t="n">
        <v>0</v>
      </c>
      <c r="M622" t="n">
        <v>0</v>
      </c>
      <c r="N622" t="n">
        <v>0</v>
      </c>
      <c r="O622" t="n">
        <v>0</v>
      </c>
      <c r="P622" t="n">
        <v>0</v>
      </c>
      <c r="Q622" t="n">
        <v>0</v>
      </c>
      <c r="R622" s="2" t="inlineStr"/>
    </row>
    <row r="623" ht="15" customHeight="1">
      <c r="A623" t="inlineStr">
        <is>
          <t>A 18564-2022</t>
        </is>
      </c>
      <c r="B623" s="1" t="n">
        <v>44686</v>
      </c>
      <c r="C623" s="1" t="n">
        <v>45890</v>
      </c>
      <c r="D623" t="inlineStr">
        <is>
          <t>VÄSTERBOTTENS LÄN</t>
        </is>
      </c>
      <c r="E623" t="inlineStr">
        <is>
          <t>VILHELMINA</t>
        </is>
      </c>
      <c r="F623" t="inlineStr">
        <is>
          <t>SCA</t>
        </is>
      </c>
      <c r="G623" t="n">
        <v>6</v>
      </c>
      <c r="H623" t="n">
        <v>0</v>
      </c>
      <c r="I623" t="n">
        <v>0</v>
      </c>
      <c r="J623" t="n">
        <v>0</v>
      </c>
      <c r="K623" t="n">
        <v>0</v>
      </c>
      <c r="L623" t="n">
        <v>0</v>
      </c>
      <c r="M623" t="n">
        <v>0</v>
      </c>
      <c r="N623" t="n">
        <v>0</v>
      </c>
      <c r="O623" t="n">
        <v>0</v>
      </c>
      <c r="P623" t="n">
        <v>0</v>
      </c>
      <c r="Q623" t="n">
        <v>0</v>
      </c>
      <c r="R623" s="2" t="inlineStr"/>
    </row>
    <row r="624" ht="15" customHeight="1">
      <c r="A624" t="inlineStr">
        <is>
          <t>A 56246-2023</t>
        </is>
      </c>
      <c r="B624" s="1" t="n">
        <v>45240</v>
      </c>
      <c r="C624" s="1" t="n">
        <v>45890</v>
      </c>
      <c r="D624" t="inlineStr">
        <is>
          <t>VÄSTERBOTTENS LÄN</t>
        </is>
      </c>
      <c r="E624" t="inlineStr">
        <is>
          <t>VILHELMINA</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21965-2025</t>
        </is>
      </c>
      <c r="B625" s="1" t="n">
        <v>45784</v>
      </c>
      <c r="C625" s="1" t="n">
        <v>45890</v>
      </c>
      <c r="D625" t="inlineStr">
        <is>
          <t>VÄSTERBOTTENS LÄN</t>
        </is>
      </c>
      <c r="E625" t="inlineStr">
        <is>
          <t>VILHELMINA</t>
        </is>
      </c>
      <c r="G625" t="n">
        <v>7.4</v>
      </c>
      <c r="H625" t="n">
        <v>0</v>
      </c>
      <c r="I625" t="n">
        <v>0</v>
      </c>
      <c r="J625" t="n">
        <v>0</v>
      </c>
      <c r="K625" t="n">
        <v>0</v>
      </c>
      <c r="L625" t="n">
        <v>0</v>
      </c>
      <c r="M625" t="n">
        <v>0</v>
      </c>
      <c r="N625" t="n">
        <v>0</v>
      </c>
      <c r="O625" t="n">
        <v>0</v>
      </c>
      <c r="P625" t="n">
        <v>0</v>
      </c>
      <c r="Q625" t="n">
        <v>0</v>
      </c>
      <c r="R625" s="2" t="inlineStr"/>
    </row>
    <row r="626" ht="15" customHeight="1">
      <c r="A626" t="inlineStr">
        <is>
          <t>A 48470-2023</t>
        </is>
      </c>
      <c r="B626" s="1" t="n">
        <v>45206.95747685185</v>
      </c>
      <c r="C626" s="1" t="n">
        <v>45890</v>
      </c>
      <c r="D626" t="inlineStr">
        <is>
          <t>VÄSTERBOTTENS LÄN</t>
        </is>
      </c>
      <c r="E626" t="inlineStr">
        <is>
          <t>VILHELMINA</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12990-2025</t>
        </is>
      </c>
      <c r="B627" s="1" t="n">
        <v>45734</v>
      </c>
      <c r="C627" s="1" t="n">
        <v>45890</v>
      </c>
      <c r="D627" t="inlineStr">
        <is>
          <t>VÄSTERBOTTENS LÄN</t>
        </is>
      </c>
      <c r="E627" t="inlineStr">
        <is>
          <t>VILHELMINA</t>
        </is>
      </c>
      <c r="G627" t="n">
        <v>11.2</v>
      </c>
      <c r="H627" t="n">
        <v>0</v>
      </c>
      <c r="I627" t="n">
        <v>0</v>
      </c>
      <c r="J627" t="n">
        <v>0</v>
      </c>
      <c r="K627" t="n">
        <v>0</v>
      </c>
      <c r="L627" t="n">
        <v>0</v>
      </c>
      <c r="M627" t="n">
        <v>0</v>
      </c>
      <c r="N627" t="n">
        <v>0</v>
      </c>
      <c r="O627" t="n">
        <v>0</v>
      </c>
      <c r="P627" t="n">
        <v>0</v>
      </c>
      <c r="Q627" t="n">
        <v>0</v>
      </c>
      <c r="R627" s="2" t="inlineStr"/>
    </row>
    <row r="628" ht="15" customHeight="1">
      <c r="A628" t="inlineStr">
        <is>
          <t>A 63218-2021</t>
        </is>
      </c>
      <c r="B628" s="1" t="n">
        <v>44505</v>
      </c>
      <c r="C628" s="1" t="n">
        <v>45890</v>
      </c>
      <c r="D628" t="inlineStr">
        <is>
          <t>VÄSTERBOTTENS LÄN</t>
        </is>
      </c>
      <c r="E628" t="inlineStr">
        <is>
          <t>VILHELMINA</t>
        </is>
      </c>
      <c r="G628" t="n">
        <v>6.8</v>
      </c>
      <c r="H628" t="n">
        <v>0</v>
      </c>
      <c r="I628" t="n">
        <v>0</v>
      </c>
      <c r="J628" t="n">
        <v>0</v>
      </c>
      <c r="K628" t="n">
        <v>0</v>
      </c>
      <c r="L628" t="n">
        <v>0</v>
      </c>
      <c r="M628" t="n">
        <v>0</v>
      </c>
      <c r="N628" t="n">
        <v>0</v>
      </c>
      <c r="O628" t="n">
        <v>0</v>
      </c>
      <c r="P628" t="n">
        <v>0</v>
      </c>
      <c r="Q628" t="n">
        <v>0</v>
      </c>
      <c r="R628" s="2" t="inlineStr"/>
    </row>
    <row r="629" ht="15" customHeight="1">
      <c r="A629" t="inlineStr">
        <is>
          <t>A 37937-2023</t>
        </is>
      </c>
      <c r="B629" s="1" t="n">
        <v>45159</v>
      </c>
      <c r="C629" s="1" t="n">
        <v>45890</v>
      </c>
      <c r="D629" t="inlineStr">
        <is>
          <t>VÄSTERBOTTENS LÄN</t>
        </is>
      </c>
      <c r="E629" t="inlineStr">
        <is>
          <t>VILHELMINA</t>
        </is>
      </c>
      <c r="G629" t="n">
        <v>2.2</v>
      </c>
      <c r="H629" t="n">
        <v>0</v>
      </c>
      <c r="I629" t="n">
        <v>0</v>
      </c>
      <c r="J629" t="n">
        <v>0</v>
      </c>
      <c r="K629" t="n">
        <v>0</v>
      </c>
      <c r="L629" t="n">
        <v>0</v>
      </c>
      <c r="M629" t="n">
        <v>0</v>
      </c>
      <c r="N629" t="n">
        <v>0</v>
      </c>
      <c r="O629" t="n">
        <v>0</v>
      </c>
      <c r="P629" t="n">
        <v>0</v>
      </c>
      <c r="Q629" t="n">
        <v>0</v>
      </c>
      <c r="R629" s="2" t="inlineStr"/>
    </row>
    <row r="630" ht="15" customHeight="1">
      <c r="A630" t="inlineStr">
        <is>
          <t>A 46177-2023</t>
        </is>
      </c>
      <c r="B630" s="1" t="n">
        <v>45190</v>
      </c>
      <c r="C630" s="1" t="n">
        <v>45890</v>
      </c>
      <c r="D630" t="inlineStr">
        <is>
          <t>VÄSTERBOTTENS LÄN</t>
        </is>
      </c>
      <c r="E630" t="inlineStr">
        <is>
          <t>VILHELMINA</t>
        </is>
      </c>
      <c r="F630" t="inlineStr">
        <is>
          <t>Övriga Aktiebolag</t>
        </is>
      </c>
      <c r="G630" t="n">
        <v>7.7</v>
      </c>
      <c r="H630" t="n">
        <v>0</v>
      </c>
      <c r="I630" t="n">
        <v>0</v>
      </c>
      <c r="J630" t="n">
        <v>0</v>
      </c>
      <c r="K630" t="n">
        <v>0</v>
      </c>
      <c r="L630" t="n">
        <v>0</v>
      </c>
      <c r="M630" t="n">
        <v>0</v>
      </c>
      <c r="N630" t="n">
        <v>0</v>
      </c>
      <c r="O630" t="n">
        <v>0</v>
      </c>
      <c r="P630" t="n">
        <v>0</v>
      </c>
      <c r="Q630" t="n">
        <v>0</v>
      </c>
      <c r="R630" s="2" t="inlineStr"/>
    </row>
    <row r="631" ht="15" customHeight="1">
      <c r="A631" t="inlineStr">
        <is>
          <t>A 468-2024</t>
        </is>
      </c>
      <c r="B631" s="1" t="n">
        <v>45297</v>
      </c>
      <c r="C631" s="1" t="n">
        <v>45890</v>
      </c>
      <c r="D631" t="inlineStr">
        <is>
          <t>VÄSTERBOTTENS LÄN</t>
        </is>
      </c>
      <c r="E631" t="inlineStr">
        <is>
          <t>VILHELMINA</t>
        </is>
      </c>
      <c r="G631" t="n">
        <v>6.7</v>
      </c>
      <c r="H631" t="n">
        <v>0</v>
      </c>
      <c r="I631" t="n">
        <v>0</v>
      </c>
      <c r="J631" t="n">
        <v>0</v>
      </c>
      <c r="K631" t="n">
        <v>0</v>
      </c>
      <c r="L631" t="n">
        <v>0</v>
      </c>
      <c r="M631" t="n">
        <v>0</v>
      </c>
      <c r="N631" t="n">
        <v>0</v>
      </c>
      <c r="O631" t="n">
        <v>0</v>
      </c>
      <c r="P631" t="n">
        <v>0</v>
      </c>
      <c r="Q631" t="n">
        <v>0</v>
      </c>
      <c r="R631" s="2" t="inlineStr"/>
    </row>
    <row r="632" ht="15" customHeight="1">
      <c r="A632" t="inlineStr">
        <is>
          <t>A 9181-2023</t>
        </is>
      </c>
      <c r="B632" s="1" t="n">
        <v>44972</v>
      </c>
      <c r="C632" s="1" t="n">
        <v>45890</v>
      </c>
      <c r="D632" t="inlineStr">
        <is>
          <t>VÄSTERBOTTENS LÄN</t>
        </is>
      </c>
      <c r="E632" t="inlineStr">
        <is>
          <t>VILHELMINA</t>
        </is>
      </c>
      <c r="F632" t="inlineStr">
        <is>
          <t>Allmännings- och besparingsskogar</t>
        </is>
      </c>
      <c r="G632" t="n">
        <v>220.1</v>
      </c>
      <c r="H632" t="n">
        <v>0</v>
      </c>
      <c r="I632" t="n">
        <v>0</v>
      </c>
      <c r="J632" t="n">
        <v>0</v>
      </c>
      <c r="K632" t="n">
        <v>0</v>
      </c>
      <c r="L632" t="n">
        <v>0</v>
      </c>
      <c r="M632" t="n">
        <v>0</v>
      </c>
      <c r="N632" t="n">
        <v>0</v>
      </c>
      <c r="O632" t="n">
        <v>0</v>
      </c>
      <c r="P632" t="n">
        <v>0</v>
      </c>
      <c r="Q632" t="n">
        <v>0</v>
      </c>
      <c r="R632" s="2" t="inlineStr"/>
    </row>
    <row r="633" ht="15" customHeight="1">
      <c r="A633" t="inlineStr">
        <is>
          <t>A 32683-2024</t>
        </is>
      </c>
      <c r="B633" s="1" t="n">
        <v>45515</v>
      </c>
      <c r="C633" s="1" t="n">
        <v>45890</v>
      </c>
      <c r="D633" t="inlineStr">
        <is>
          <t>VÄSTERBOTTENS LÄN</t>
        </is>
      </c>
      <c r="E633" t="inlineStr">
        <is>
          <t>VILHELMINA</t>
        </is>
      </c>
      <c r="G633" t="n">
        <v>6.1</v>
      </c>
      <c r="H633" t="n">
        <v>0</v>
      </c>
      <c r="I633" t="n">
        <v>0</v>
      </c>
      <c r="J633" t="n">
        <v>0</v>
      </c>
      <c r="K633" t="n">
        <v>0</v>
      </c>
      <c r="L633" t="n">
        <v>0</v>
      </c>
      <c r="M633" t="n">
        <v>0</v>
      </c>
      <c r="N633" t="n">
        <v>0</v>
      </c>
      <c r="O633" t="n">
        <v>0</v>
      </c>
      <c r="P633" t="n">
        <v>0</v>
      </c>
      <c r="Q633" t="n">
        <v>0</v>
      </c>
      <c r="R633" s="2" t="inlineStr"/>
    </row>
    <row r="634" ht="15" customHeight="1">
      <c r="A634" t="inlineStr">
        <is>
          <t>A 58824-2024</t>
        </is>
      </c>
      <c r="B634" s="1" t="n">
        <v>45636.36488425926</v>
      </c>
      <c r="C634" s="1" t="n">
        <v>45890</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33412-2023</t>
        </is>
      </c>
      <c r="B635" s="1" t="n">
        <v>45117</v>
      </c>
      <c r="C635" s="1" t="n">
        <v>45890</v>
      </c>
      <c r="D635" t="inlineStr">
        <is>
          <t>VÄSTERBOTTENS LÄN</t>
        </is>
      </c>
      <c r="E635" t="inlineStr">
        <is>
          <t>VILHELMINA</t>
        </is>
      </c>
      <c r="F635" t="inlineStr">
        <is>
          <t>Övriga Aktiebolag</t>
        </is>
      </c>
      <c r="G635" t="n">
        <v>0.3</v>
      </c>
      <c r="H635" t="n">
        <v>0</v>
      </c>
      <c r="I635" t="n">
        <v>0</v>
      </c>
      <c r="J635" t="n">
        <v>0</v>
      </c>
      <c r="K635" t="n">
        <v>0</v>
      </c>
      <c r="L635" t="n">
        <v>0</v>
      </c>
      <c r="M635" t="n">
        <v>0</v>
      </c>
      <c r="N635" t="n">
        <v>0</v>
      </c>
      <c r="O635" t="n">
        <v>0</v>
      </c>
      <c r="P635" t="n">
        <v>0</v>
      </c>
      <c r="Q635" t="n">
        <v>0</v>
      </c>
      <c r="R635" s="2" t="inlineStr"/>
    </row>
    <row r="636" ht="15" customHeight="1">
      <c r="A636" t="inlineStr">
        <is>
          <t>A 28144-2025</t>
        </is>
      </c>
      <c r="B636" s="1" t="n">
        <v>45818</v>
      </c>
      <c r="C636" s="1" t="n">
        <v>45890</v>
      </c>
      <c r="D636" t="inlineStr">
        <is>
          <t>VÄSTERBOTTENS LÄN</t>
        </is>
      </c>
      <c r="E636" t="inlineStr">
        <is>
          <t>VILHELMINA</t>
        </is>
      </c>
      <c r="F636" t="inlineStr">
        <is>
          <t>SCA</t>
        </is>
      </c>
      <c r="G636" t="n">
        <v>10.8</v>
      </c>
      <c r="H636" t="n">
        <v>0</v>
      </c>
      <c r="I636" t="n">
        <v>0</v>
      </c>
      <c r="J636" t="n">
        <v>0</v>
      </c>
      <c r="K636" t="n">
        <v>0</v>
      </c>
      <c r="L636" t="n">
        <v>0</v>
      </c>
      <c r="M636" t="n">
        <v>0</v>
      </c>
      <c r="N636" t="n">
        <v>0</v>
      </c>
      <c r="O636" t="n">
        <v>0</v>
      </c>
      <c r="P636" t="n">
        <v>0</v>
      </c>
      <c r="Q636" t="n">
        <v>0</v>
      </c>
      <c r="R636" s="2" t="inlineStr"/>
    </row>
    <row r="637" ht="15" customHeight="1">
      <c r="A637" t="inlineStr">
        <is>
          <t>A 11139-2022</t>
        </is>
      </c>
      <c r="B637" s="1" t="n">
        <v>44628</v>
      </c>
      <c r="C637" s="1" t="n">
        <v>45890</v>
      </c>
      <c r="D637" t="inlineStr">
        <is>
          <t>VÄSTERBOTTENS LÄN</t>
        </is>
      </c>
      <c r="E637" t="inlineStr">
        <is>
          <t>VILHELMINA</t>
        </is>
      </c>
      <c r="G637" t="n">
        <v>13.6</v>
      </c>
      <c r="H637" t="n">
        <v>0</v>
      </c>
      <c r="I637" t="n">
        <v>0</v>
      </c>
      <c r="J637" t="n">
        <v>0</v>
      </c>
      <c r="K637" t="n">
        <v>0</v>
      </c>
      <c r="L637" t="n">
        <v>0</v>
      </c>
      <c r="M637" t="n">
        <v>0</v>
      </c>
      <c r="N637" t="n">
        <v>0</v>
      </c>
      <c r="O637" t="n">
        <v>0</v>
      </c>
      <c r="P637" t="n">
        <v>0</v>
      </c>
      <c r="Q637" t="n">
        <v>0</v>
      </c>
      <c r="R637" s="2" t="inlineStr"/>
    </row>
    <row r="638" ht="15" customHeight="1">
      <c r="A638" t="inlineStr">
        <is>
          <t>A 12362-2025</t>
        </is>
      </c>
      <c r="B638" s="1" t="n">
        <v>45730</v>
      </c>
      <c r="C638" s="1" t="n">
        <v>45890</v>
      </c>
      <c r="D638" t="inlineStr">
        <is>
          <t>VÄSTERBOTTENS LÄN</t>
        </is>
      </c>
      <c r="E638" t="inlineStr">
        <is>
          <t>VILHELMINA</t>
        </is>
      </c>
      <c r="F638" t="inlineStr">
        <is>
          <t>Övriga statliga verk och myndigheter</t>
        </is>
      </c>
      <c r="G638" t="n">
        <v>6.1</v>
      </c>
      <c r="H638" t="n">
        <v>0</v>
      </c>
      <c r="I638" t="n">
        <v>0</v>
      </c>
      <c r="J638" t="n">
        <v>0</v>
      </c>
      <c r="K638" t="n">
        <v>0</v>
      </c>
      <c r="L638" t="n">
        <v>0</v>
      </c>
      <c r="M638" t="n">
        <v>0</v>
      </c>
      <c r="N638" t="n">
        <v>0</v>
      </c>
      <c r="O638" t="n">
        <v>0</v>
      </c>
      <c r="P638" t="n">
        <v>0</v>
      </c>
      <c r="Q638" t="n">
        <v>0</v>
      </c>
      <c r="R638" s="2" t="inlineStr"/>
    </row>
    <row r="639" ht="15" customHeight="1">
      <c r="A639" t="inlineStr">
        <is>
          <t>A 12364-2025</t>
        </is>
      </c>
      <c r="B639" s="1" t="n">
        <v>45730.37515046296</v>
      </c>
      <c r="C639" s="1" t="n">
        <v>45890</v>
      </c>
      <c r="D639" t="inlineStr">
        <is>
          <t>VÄSTERBOTTENS LÄN</t>
        </is>
      </c>
      <c r="E639" t="inlineStr">
        <is>
          <t>VILHELMINA</t>
        </is>
      </c>
      <c r="F639" t="inlineStr">
        <is>
          <t>Övriga statliga verk och myndigheter</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12377-2025</t>
        </is>
      </c>
      <c r="B640" s="1" t="n">
        <v>45730</v>
      </c>
      <c r="C640" s="1" t="n">
        <v>45890</v>
      </c>
      <c r="D640" t="inlineStr">
        <is>
          <t>VÄSTERBOTTENS LÄN</t>
        </is>
      </c>
      <c r="E640" t="inlineStr">
        <is>
          <t>VILHELMINA</t>
        </is>
      </c>
      <c r="F640" t="inlineStr">
        <is>
          <t>Övriga statliga verk och myndigheter</t>
        </is>
      </c>
      <c r="G640" t="n">
        <v>37.1</v>
      </c>
      <c r="H640" t="n">
        <v>0</v>
      </c>
      <c r="I640" t="n">
        <v>0</v>
      </c>
      <c r="J640" t="n">
        <v>0</v>
      </c>
      <c r="K640" t="n">
        <v>0</v>
      </c>
      <c r="L640" t="n">
        <v>0</v>
      </c>
      <c r="M640" t="n">
        <v>0</v>
      </c>
      <c r="N640" t="n">
        <v>0</v>
      </c>
      <c r="O640" t="n">
        <v>0</v>
      </c>
      <c r="P640" t="n">
        <v>0</v>
      </c>
      <c r="Q640" t="n">
        <v>0</v>
      </c>
      <c r="R640" s="2" t="inlineStr"/>
    </row>
    <row r="641" ht="15" customHeight="1">
      <c r="A641" t="inlineStr">
        <is>
          <t>A 46547-2023</t>
        </is>
      </c>
      <c r="B641" s="1" t="n">
        <v>45197.94158564815</v>
      </c>
      <c r="C641" s="1" t="n">
        <v>45890</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1470-2021</t>
        </is>
      </c>
      <c r="B642" s="1" t="n">
        <v>44208</v>
      </c>
      <c r="C642" s="1" t="n">
        <v>45890</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29347-2021</t>
        </is>
      </c>
      <c r="B643" s="1" t="n">
        <v>44361</v>
      </c>
      <c r="C643" s="1" t="n">
        <v>45890</v>
      </c>
      <c r="D643" t="inlineStr">
        <is>
          <t>VÄSTERBOTTENS LÄN</t>
        </is>
      </c>
      <c r="E643" t="inlineStr">
        <is>
          <t>VILHELMINA</t>
        </is>
      </c>
      <c r="F643" t="inlineStr">
        <is>
          <t>Allmännings- och besparingsskogar</t>
        </is>
      </c>
      <c r="G643" t="n">
        <v>52</v>
      </c>
      <c r="H643" t="n">
        <v>0</v>
      </c>
      <c r="I643" t="n">
        <v>0</v>
      </c>
      <c r="J643" t="n">
        <v>0</v>
      </c>
      <c r="K643" t="n">
        <v>0</v>
      </c>
      <c r="L643" t="n">
        <v>0</v>
      </c>
      <c r="M643" t="n">
        <v>0</v>
      </c>
      <c r="N643" t="n">
        <v>0</v>
      </c>
      <c r="O643" t="n">
        <v>0</v>
      </c>
      <c r="P643" t="n">
        <v>0</v>
      </c>
      <c r="Q643" t="n">
        <v>0</v>
      </c>
      <c r="R643" s="2" t="inlineStr"/>
    </row>
    <row r="644" ht="15" customHeight="1">
      <c r="A644" t="inlineStr">
        <is>
          <t>A 29722-2024</t>
        </is>
      </c>
      <c r="B644" s="1" t="n">
        <v>45485</v>
      </c>
      <c r="C644" s="1" t="n">
        <v>45890</v>
      </c>
      <c r="D644" t="inlineStr">
        <is>
          <t>VÄSTERBOTTENS LÄN</t>
        </is>
      </c>
      <c r="E644" t="inlineStr">
        <is>
          <t>VILHELMINA</t>
        </is>
      </c>
      <c r="G644" t="n">
        <v>2.5</v>
      </c>
      <c r="H644" t="n">
        <v>0</v>
      </c>
      <c r="I644" t="n">
        <v>0</v>
      </c>
      <c r="J644" t="n">
        <v>0</v>
      </c>
      <c r="K644" t="n">
        <v>0</v>
      </c>
      <c r="L644" t="n">
        <v>0</v>
      </c>
      <c r="M644" t="n">
        <v>0</v>
      </c>
      <c r="N644" t="n">
        <v>0</v>
      </c>
      <c r="O644" t="n">
        <v>0</v>
      </c>
      <c r="P644" t="n">
        <v>0</v>
      </c>
      <c r="Q644" t="n">
        <v>0</v>
      </c>
      <c r="R644" s="2" t="inlineStr"/>
    </row>
    <row r="645" ht="15" customHeight="1">
      <c r="A645" t="inlineStr">
        <is>
          <t>A 28897-2025</t>
        </is>
      </c>
      <c r="B645" s="1" t="n">
        <v>45820.6360300926</v>
      </c>
      <c r="C645" s="1" t="n">
        <v>45890</v>
      </c>
      <c r="D645" t="inlineStr">
        <is>
          <t>VÄSTERBOTTENS LÄN</t>
        </is>
      </c>
      <c r="E645" t="inlineStr">
        <is>
          <t>VILHELMINA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62100-2024</t>
        </is>
      </c>
      <c r="B646" s="1" t="n">
        <v>45656</v>
      </c>
      <c r="C646" s="1" t="n">
        <v>45890</v>
      </c>
      <c r="D646" t="inlineStr">
        <is>
          <t>VÄSTERBOTTENS LÄN</t>
        </is>
      </c>
      <c r="E646" t="inlineStr">
        <is>
          <t>VILHELMINA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35888-2025</t>
        </is>
      </c>
      <c r="B647" s="1" t="n">
        <v>45862.44034722223</v>
      </c>
      <c r="C647" s="1" t="n">
        <v>45890</v>
      </c>
      <c r="D647" t="inlineStr">
        <is>
          <t>VÄSTERBOTTENS LÄN</t>
        </is>
      </c>
      <c r="E647" t="inlineStr">
        <is>
          <t>VILHELMINA</t>
        </is>
      </c>
      <c r="G647" t="n">
        <v>2.4</v>
      </c>
      <c r="H647" t="n">
        <v>0</v>
      </c>
      <c r="I647" t="n">
        <v>0</v>
      </c>
      <c r="J647" t="n">
        <v>0</v>
      </c>
      <c r="K647" t="n">
        <v>0</v>
      </c>
      <c r="L647" t="n">
        <v>0</v>
      </c>
      <c r="M647" t="n">
        <v>0</v>
      </c>
      <c r="N647" t="n">
        <v>0</v>
      </c>
      <c r="O647" t="n">
        <v>0</v>
      </c>
      <c r="P647" t="n">
        <v>0</v>
      </c>
      <c r="Q647" t="n">
        <v>0</v>
      </c>
      <c r="R647" s="2" t="inlineStr"/>
    </row>
    <row r="648" ht="15" customHeight="1">
      <c r="A648" t="inlineStr">
        <is>
          <t>A 33318-2024</t>
        </is>
      </c>
      <c r="B648" s="1" t="n">
        <v>45518.97211805556</v>
      </c>
      <c r="C648" s="1" t="n">
        <v>45890</v>
      </c>
      <c r="D648" t="inlineStr">
        <is>
          <t>VÄSTERBOTTENS LÄN</t>
        </is>
      </c>
      <c r="E648" t="inlineStr">
        <is>
          <t>VILHELMINA</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34807-2023</t>
        </is>
      </c>
      <c r="B649" s="1" t="n">
        <v>45140</v>
      </c>
      <c r="C649" s="1" t="n">
        <v>45890</v>
      </c>
      <c r="D649" t="inlineStr">
        <is>
          <t>VÄSTERBOTTENS LÄN</t>
        </is>
      </c>
      <c r="E649" t="inlineStr">
        <is>
          <t>VILHELMINA</t>
        </is>
      </c>
      <c r="G649" t="n">
        <v>8.1</v>
      </c>
      <c r="H649" t="n">
        <v>0</v>
      </c>
      <c r="I649" t="n">
        <v>0</v>
      </c>
      <c r="J649" t="n">
        <v>0</v>
      </c>
      <c r="K649" t="n">
        <v>0</v>
      </c>
      <c r="L649" t="n">
        <v>0</v>
      </c>
      <c r="M649" t="n">
        <v>0</v>
      </c>
      <c r="N649" t="n">
        <v>0</v>
      </c>
      <c r="O649" t="n">
        <v>0</v>
      </c>
      <c r="P649" t="n">
        <v>0</v>
      </c>
      <c r="Q649" t="n">
        <v>0</v>
      </c>
      <c r="R649" s="2" t="inlineStr"/>
    </row>
    <row r="650" ht="15" customHeight="1">
      <c r="A650" t="inlineStr">
        <is>
          <t>A 46071-2022</t>
        </is>
      </c>
      <c r="B650" s="1" t="n">
        <v>44847</v>
      </c>
      <c r="C650" s="1" t="n">
        <v>45890</v>
      </c>
      <c r="D650" t="inlineStr">
        <is>
          <t>VÄSTERBOTTENS LÄN</t>
        </is>
      </c>
      <c r="E650" t="inlineStr">
        <is>
          <t>VILHELMINA</t>
        </is>
      </c>
      <c r="G650" t="n">
        <v>10.6</v>
      </c>
      <c r="H650" t="n">
        <v>0</v>
      </c>
      <c r="I650" t="n">
        <v>0</v>
      </c>
      <c r="J650" t="n">
        <v>0</v>
      </c>
      <c r="K650" t="n">
        <v>0</v>
      </c>
      <c r="L650" t="n">
        <v>0</v>
      </c>
      <c r="M650" t="n">
        <v>0</v>
      </c>
      <c r="N650" t="n">
        <v>0</v>
      </c>
      <c r="O650" t="n">
        <v>0</v>
      </c>
      <c r="P650" t="n">
        <v>0</v>
      </c>
      <c r="Q650" t="n">
        <v>0</v>
      </c>
      <c r="R650" s="2" t="inlineStr"/>
    </row>
    <row r="651" ht="15" customHeight="1">
      <c r="A651" t="inlineStr">
        <is>
          <t>A 26663-2023</t>
        </is>
      </c>
      <c r="B651" s="1" t="n">
        <v>45092.94042824074</v>
      </c>
      <c r="C651" s="1" t="n">
        <v>45890</v>
      </c>
      <c r="D651" t="inlineStr">
        <is>
          <t>VÄSTERBOTTENS LÄN</t>
        </is>
      </c>
      <c r="E651" t="inlineStr">
        <is>
          <t>VILHELMINA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25701-2024</t>
        </is>
      </c>
      <c r="B652" s="1" t="n">
        <v>45463.94247685185</v>
      </c>
      <c r="C652" s="1" t="n">
        <v>45890</v>
      </c>
      <c r="D652" t="inlineStr">
        <is>
          <t>VÄSTERBOTTENS LÄN</t>
        </is>
      </c>
      <c r="E652" t="inlineStr">
        <is>
          <t>VILHELMINA</t>
        </is>
      </c>
      <c r="F652" t="inlineStr">
        <is>
          <t>SCA</t>
        </is>
      </c>
      <c r="G652" t="n">
        <v>8.6</v>
      </c>
      <c r="H652" t="n">
        <v>0</v>
      </c>
      <c r="I652" t="n">
        <v>0</v>
      </c>
      <c r="J652" t="n">
        <v>0</v>
      </c>
      <c r="K652" t="n">
        <v>0</v>
      </c>
      <c r="L652" t="n">
        <v>0</v>
      </c>
      <c r="M652" t="n">
        <v>0</v>
      </c>
      <c r="N652" t="n">
        <v>0</v>
      </c>
      <c r="O652" t="n">
        <v>0</v>
      </c>
      <c r="P652" t="n">
        <v>0</v>
      </c>
      <c r="Q652" t="n">
        <v>0</v>
      </c>
      <c r="R652" s="2" t="inlineStr"/>
    </row>
    <row r="653" ht="15" customHeight="1">
      <c r="A653" t="inlineStr">
        <is>
          <t>A 29120-2025</t>
        </is>
      </c>
      <c r="B653" s="1" t="n">
        <v>45821</v>
      </c>
      <c r="C653" s="1" t="n">
        <v>45890</v>
      </c>
      <c r="D653" t="inlineStr">
        <is>
          <t>VÄSTERBOTTENS LÄN</t>
        </is>
      </c>
      <c r="E653" t="inlineStr">
        <is>
          <t>VILHELMINA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38364-2023</t>
        </is>
      </c>
      <c r="B654" s="1" t="n">
        <v>45161</v>
      </c>
      <c r="C654" s="1" t="n">
        <v>45890</v>
      </c>
      <c r="D654" t="inlineStr">
        <is>
          <t>VÄSTERBOTTENS LÄN</t>
        </is>
      </c>
      <c r="E654" t="inlineStr">
        <is>
          <t>VILHELMINA</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20322-2022</t>
        </is>
      </c>
      <c r="B655" s="1" t="n">
        <v>44698</v>
      </c>
      <c r="C655" s="1" t="n">
        <v>45890</v>
      </c>
      <c r="D655" t="inlineStr">
        <is>
          <t>VÄSTERBOTTENS LÄN</t>
        </is>
      </c>
      <c r="E655" t="inlineStr">
        <is>
          <t>VILHELMINA</t>
        </is>
      </c>
      <c r="G655" t="n">
        <v>10.5</v>
      </c>
      <c r="H655" t="n">
        <v>0</v>
      </c>
      <c r="I655" t="n">
        <v>0</v>
      </c>
      <c r="J655" t="n">
        <v>0</v>
      </c>
      <c r="K655" t="n">
        <v>0</v>
      </c>
      <c r="L655" t="n">
        <v>0</v>
      </c>
      <c r="M655" t="n">
        <v>0</v>
      </c>
      <c r="N655" t="n">
        <v>0</v>
      </c>
      <c r="O655" t="n">
        <v>0</v>
      </c>
      <c r="P655" t="n">
        <v>0</v>
      </c>
      <c r="Q655" t="n">
        <v>0</v>
      </c>
      <c r="R655" s="2" t="inlineStr"/>
    </row>
    <row r="656" ht="15" customHeight="1">
      <c r="A656" t="inlineStr">
        <is>
          <t>A 38222-2024</t>
        </is>
      </c>
      <c r="B656" s="1" t="n">
        <v>45545.53619212963</v>
      </c>
      <c r="C656" s="1" t="n">
        <v>45890</v>
      </c>
      <c r="D656" t="inlineStr">
        <is>
          <t>VÄSTERBOTTENS LÄN</t>
        </is>
      </c>
      <c r="E656" t="inlineStr">
        <is>
          <t>VILHELMINA</t>
        </is>
      </c>
      <c r="F656" t="inlineStr">
        <is>
          <t>Sveaskog</t>
        </is>
      </c>
      <c r="G656" t="n">
        <v>6</v>
      </c>
      <c r="H656" t="n">
        <v>0</v>
      </c>
      <c r="I656" t="n">
        <v>0</v>
      </c>
      <c r="J656" t="n">
        <v>0</v>
      </c>
      <c r="K656" t="n">
        <v>0</v>
      </c>
      <c r="L656" t="n">
        <v>0</v>
      </c>
      <c r="M656" t="n">
        <v>0</v>
      </c>
      <c r="N656" t="n">
        <v>0</v>
      </c>
      <c r="O656" t="n">
        <v>0</v>
      </c>
      <c r="P656" t="n">
        <v>0</v>
      </c>
      <c r="Q656" t="n">
        <v>0</v>
      </c>
      <c r="R656" s="2" t="inlineStr"/>
    </row>
    <row r="657" ht="15" customHeight="1">
      <c r="A657" t="inlineStr">
        <is>
          <t>A 56747-2023</t>
        </is>
      </c>
      <c r="B657" s="1" t="n">
        <v>45238</v>
      </c>
      <c r="C657" s="1" t="n">
        <v>45890</v>
      </c>
      <c r="D657" t="inlineStr">
        <is>
          <t>VÄSTERBOTTENS LÄN</t>
        </is>
      </c>
      <c r="E657" t="inlineStr">
        <is>
          <t>VILHELMINA</t>
        </is>
      </c>
      <c r="F657" t="inlineStr">
        <is>
          <t>Allmännings- och besparingsskogar</t>
        </is>
      </c>
      <c r="G657" t="n">
        <v>16.2</v>
      </c>
      <c r="H657" t="n">
        <v>0</v>
      </c>
      <c r="I657" t="n">
        <v>0</v>
      </c>
      <c r="J657" t="n">
        <v>0</v>
      </c>
      <c r="K657" t="n">
        <v>0</v>
      </c>
      <c r="L657" t="n">
        <v>0</v>
      </c>
      <c r="M657" t="n">
        <v>0</v>
      </c>
      <c r="N657" t="n">
        <v>0</v>
      </c>
      <c r="O657" t="n">
        <v>0</v>
      </c>
      <c r="P657" t="n">
        <v>0</v>
      </c>
      <c r="Q657" t="n">
        <v>0</v>
      </c>
      <c r="R657" s="2" t="inlineStr"/>
    </row>
    <row r="658" ht="15" customHeight="1">
      <c r="A658" t="inlineStr">
        <is>
          <t>A 56758-2023</t>
        </is>
      </c>
      <c r="B658" s="1" t="n">
        <v>45238</v>
      </c>
      <c r="C658" s="1" t="n">
        <v>45890</v>
      </c>
      <c r="D658" t="inlineStr">
        <is>
          <t>VÄSTERBOTTENS LÄN</t>
        </is>
      </c>
      <c r="E658" t="inlineStr">
        <is>
          <t>VILHELMINA</t>
        </is>
      </c>
      <c r="F658" t="inlineStr">
        <is>
          <t>Allmännings- och besparingsskogar</t>
        </is>
      </c>
      <c r="G658" t="n">
        <v>371.4</v>
      </c>
      <c r="H658" t="n">
        <v>0</v>
      </c>
      <c r="I658" t="n">
        <v>0</v>
      </c>
      <c r="J658" t="n">
        <v>0</v>
      </c>
      <c r="K658" t="n">
        <v>0</v>
      </c>
      <c r="L658" t="n">
        <v>0</v>
      </c>
      <c r="M658" t="n">
        <v>0</v>
      </c>
      <c r="N658" t="n">
        <v>0</v>
      </c>
      <c r="O658" t="n">
        <v>0</v>
      </c>
      <c r="P658" t="n">
        <v>0</v>
      </c>
      <c r="Q658" t="n">
        <v>0</v>
      </c>
      <c r="R658" s="2" t="inlineStr"/>
    </row>
    <row r="659" ht="15" customHeight="1">
      <c r="A659" t="inlineStr">
        <is>
          <t>A 48229-2024</t>
        </is>
      </c>
      <c r="B659" s="1" t="n">
        <v>45590.37554398148</v>
      </c>
      <c r="C659" s="1" t="n">
        <v>45890</v>
      </c>
      <c r="D659" t="inlineStr">
        <is>
          <t>VÄSTERBOTTENS LÄN</t>
        </is>
      </c>
      <c r="E659" t="inlineStr">
        <is>
          <t>VILHELMINA</t>
        </is>
      </c>
      <c r="G659" t="n">
        <v>11.6</v>
      </c>
      <c r="H659" t="n">
        <v>0</v>
      </c>
      <c r="I659" t="n">
        <v>0</v>
      </c>
      <c r="J659" t="n">
        <v>0</v>
      </c>
      <c r="K659" t="n">
        <v>0</v>
      </c>
      <c r="L659" t="n">
        <v>0</v>
      </c>
      <c r="M659" t="n">
        <v>0</v>
      </c>
      <c r="N659" t="n">
        <v>0</v>
      </c>
      <c r="O659" t="n">
        <v>0</v>
      </c>
      <c r="P659" t="n">
        <v>0</v>
      </c>
      <c r="Q659" t="n">
        <v>0</v>
      </c>
      <c r="R659" s="2" t="inlineStr"/>
    </row>
    <row r="660" ht="15" customHeight="1">
      <c r="A660" t="inlineStr">
        <is>
          <t>A 12118-2024</t>
        </is>
      </c>
      <c r="B660" s="1" t="n">
        <v>45376</v>
      </c>
      <c r="C660" s="1" t="n">
        <v>45890</v>
      </c>
      <c r="D660" t="inlineStr">
        <is>
          <t>VÄSTERBOTTENS LÄN</t>
        </is>
      </c>
      <c r="E660" t="inlineStr">
        <is>
          <t>VILHELMINA</t>
        </is>
      </c>
      <c r="G660" t="n">
        <v>3.6</v>
      </c>
      <c r="H660" t="n">
        <v>0</v>
      </c>
      <c r="I660" t="n">
        <v>0</v>
      </c>
      <c r="J660" t="n">
        <v>0</v>
      </c>
      <c r="K660" t="n">
        <v>0</v>
      </c>
      <c r="L660" t="n">
        <v>0</v>
      </c>
      <c r="M660" t="n">
        <v>0</v>
      </c>
      <c r="N660" t="n">
        <v>0</v>
      </c>
      <c r="O660" t="n">
        <v>0</v>
      </c>
      <c r="P660" t="n">
        <v>0</v>
      </c>
      <c r="Q660" t="n">
        <v>0</v>
      </c>
      <c r="R660" s="2" t="inlineStr"/>
    </row>
    <row r="661" ht="15" customHeight="1">
      <c r="A661" t="inlineStr">
        <is>
          <t>A 23278-2021</t>
        </is>
      </c>
      <c r="B661" s="1" t="n">
        <v>44328</v>
      </c>
      <c r="C661" s="1" t="n">
        <v>45890</v>
      </c>
      <c r="D661" t="inlineStr">
        <is>
          <t>VÄSTERBOTTENS LÄN</t>
        </is>
      </c>
      <c r="E661" t="inlineStr">
        <is>
          <t>VILHELMINA</t>
        </is>
      </c>
      <c r="F661" t="inlineStr">
        <is>
          <t>Allmännings- och besparingsskogar</t>
        </is>
      </c>
      <c r="G661" t="n">
        <v>13.6</v>
      </c>
      <c r="H661" t="n">
        <v>0</v>
      </c>
      <c r="I661" t="n">
        <v>0</v>
      </c>
      <c r="J661" t="n">
        <v>0</v>
      </c>
      <c r="K661" t="n">
        <v>0</v>
      </c>
      <c r="L661" t="n">
        <v>0</v>
      </c>
      <c r="M661" t="n">
        <v>0</v>
      </c>
      <c r="N661" t="n">
        <v>0</v>
      </c>
      <c r="O661" t="n">
        <v>0</v>
      </c>
      <c r="P661" t="n">
        <v>0</v>
      </c>
      <c r="Q661" t="n">
        <v>0</v>
      </c>
      <c r="R661" s="2" t="inlineStr"/>
    </row>
    <row r="662" ht="15" customHeight="1">
      <c r="A662" t="inlineStr">
        <is>
          <t>A 64421-2023</t>
        </is>
      </c>
      <c r="B662" s="1" t="n">
        <v>45280</v>
      </c>
      <c r="C662" s="1" t="n">
        <v>45890</v>
      </c>
      <c r="D662" t="inlineStr">
        <is>
          <t>VÄSTERBOTTENS LÄN</t>
        </is>
      </c>
      <c r="E662" t="inlineStr">
        <is>
          <t>VILHELMINA</t>
        </is>
      </c>
      <c r="G662" t="n">
        <v>4.9</v>
      </c>
      <c r="H662" t="n">
        <v>0</v>
      </c>
      <c r="I662" t="n">
        <v>0</v>
      </c>
      <c r="J662" t="n">
        <v>0</v>
      </c>
      <c r="K662" t="n">
        <v>0</v>
      </c>
      <c r="L662" t="n">
        <v>0</v>
      </c>
      <c r="M662" t="n">
        <v>0</v>
      </c>
      <c r="N662" t="n">
        <v>0</v>
      </c>
      <c r="O662" t="n">
        <v>0</v>
      </c>
      <c r="P662" t="n">
        <v>0</v>
      </c>
      <c r="Q662" t="n">
        <v>0</v>
      </c>
      <c r="R662" s="2" t="inlineStr"/>
    </row>
    <row r="663" ht="15" customHeight="1">
      <c r="A663" t="inlineStr">
        <is>
          <t>A 15326-2024</t>
        </is>
      </c>
      <c r="B663" s="1" t="n">
        <v>45400</v>
      </c>
      <c r="C663" s="1" t="n">
        <v>45890</v>
      </c>
      <c r="D663" t="inlineStr">
        <is>
          <t>VÄSTERBOTTENS LÄN</t>
        </is>
      </c>
      <c r="E663" t="inlineStr">
        <is>
          <t>VILHELMINA</t>
        </is>
      </c>
      <c r="G663" t="n">
        <v>4.7</v>
      </c>
      <c r="H663" t="n">
        <v>0</v>
      </c>
      <c r="I663" t="n">
        <v>0</v>
      </c>
      <c r="J663" t="n">
        <v>0</v>
      </c>
      <c r="K663" t="n">
        <v>0</v>
      </c>
      <c r="L663" t="n">
        <v>0</v>
      </c>
      <c r="M663" t="n">
        <v>0</v>
      </c>
      <c r="N663" t="n">
        <v>0</v>
      </c>
      <c r="O663" t="n">
        <v>0</v>
      </c>
      <c r="P663" t="n">
        <v>0</v>
      </c>
      <c r="Q663" t="n">
        <v>0</v>
      </c>
      <c r="R663" s="2" t="inlineStr"/>
    </row>
    <row r="664" ht="15" customHeight="1">
      <c r="A664" t="inlineStr">
        <is>
          <t>A 29466-2025</t>
        </is>
      </c>
      <c r="B664" s="1" t="n">
        <v>45824.69865740741</v>
      </c>
      <c r="C664" s="1" t="n">
        <v>45890</v>
      </c>
      <c r="D664" t="inlineStr">
        <is>
          <t>VÄSTERBOTTENS LÄN</t>
        </is>
      </c>
      <c r="E664" t="inlineStr">
        <is>
          <t>VILHELMINA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48472-2023</t>
        </is>
      </c>
      <c r="B665" s="1" t="n">
        <v>45206.95761574074</v>
      </c>
      <c r="C665" s="1" t="n">
        <v>45890</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53606-2024</t>
        </is>
      </c>
      <c r="B666" s="1" t="n">
        <v>45614</v>
      </c>
      <c r="C666" s="1" t="n">
        <v>45890</v>
      </c>
      <c r="D666" t="inlineStr">
        <is>
          <t>VÄSTERBOTTENS LÄN</t>
        </is>
      </c>
      <c r="E666" t="inlineStr">
        <is>
          <t>VILHELMINA</t>
        </is>
      </c>
      <c r="F666" t="inlineStr">
        <is>
          <t>SCA</t>
        </is>
      </c>
      <c r="G666" t="n">
        <v>10.1</v>
      </c>
      <c r="H666" t="n">
        <v>0</v>
      </c>
      <c r="I666" t="n">
        <v>0</v>
      </c>
      <c r="J666" t="n">
        <v>0</v>
      </c>
      <c r="K666" t="n">
        <v>0</v>
      </c>
      <c r="L666" t="n">
        <v>0</v>
      </c>
      <c r="M666" t="n">
        <v>0</v>
      </c>
      <c r="N666" t="n">
        <v>0</v>
      </c>
      <c r="O666" t="n">
        <v>0</v>
      </c>
      <c r="P666" t="n">
        <v>0</v>
      </c>
      <c r="Q666" t="n">
        <v>0</v>
      </c>
      <c r="R666" s="2" t="inlineStr"/>
    </row>
    <row r="667" ht="15" customHeight="1">
      <c r="A667" t="inlineStr">
        <is>
          <t>A 52740-2023</t>
        </is>
      </c>
      <c r="B667" s="1" t="n">
        <v>45225</v>
      </c>
      <c r="C667" s="1" t="n">
        <v>45890</v>
      </c>
      <c r="D667" t="inlineStr">
        <is>
          <t>VÄSTERBOTTENS LÄN</t>
        </is>
      </c>
      <c r="E667" t="inlineStr">
        <is>
          <t>VILHELMINA</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45890</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54804-2024</t>
        </is>
      </c>
      <c r="B669" s="1" t="n">
        <v>45618</v>
      </c>
      <c r="C669" s="1" t="n">
        <v>45890</v>
      </c>
      <c r="D669" t="inlineStr">
        <is>
          <t>VÄSTERBOTTENS LÄN</t>
        </is>
      </c>
      <c r="E669" t="inlineStr">
        <is>
          <t>VILHELMINA</t>
        </is>
      </c>
      <c r="F669" t="inlineStr">
        <is>
          <t>SCA</t>
        </is>
      </c>
      <c r="G669" t="n">
        <v>6.2</v>
      </c>
      <c r="H669" t="n">
        <v>0</v>
      </c>
      <c r="I669" t="n">
        <v>0</v>
      </c>
      <c r="J669" t="n">
        <v>0</v>
      </c>
      <c r="K669" t="n">
        <v>0</v>
      </c>
      <c r="L669" t="n">
        <v>0</v>
      </c>
      <c r="M669" t="n">
        <v>0</v>
      </c>
      <c r="N669" t="n">
        <v>0</v>
      </c>
      <c r="O669" t="n">
        <v>0</v>
      </c>
      <c r="P669" t="n">
        <v>0</v>
      </c>
      <c r="Q669" t="n">
        <v>0</v>
      </c>
      <c r="R669" s="2" t="inlineStr"/>
    </row>
    <row r="670" ht="15" customHeight="1">
      <c r="A670" t="inlineStr">
        <is>
          <t>A 66952-2021</t>
        </is>
      </c>
      <c r="B670" s="1" t="n">
        <v>44522</v>
      </c>
      <c r="C670" s="1" t="n">
        <v>45890</v>
      </c>
      <c r="D670" t="inlineStr">
        <is>
          <t>VÄSTERBOTTENS LÄN</t>
        </is>
      </c>
      <c r="E670" t="inlineStr">
        <is>
          <t>VILHELMINA</t>
        </is>
      </c>
      <c r="F670" t="inlineStr">
        <is>
          <t>Allmännings- och besparingsskogar</t>
        </is>
      </c>
      <c r="G670" t="n">
        <v>70</v>
      </c>
      <c r="H670" t="n">
        <v>0</v>
      </c>
      <c r="I670" t="n">
        <v>0</v>
      </c>
      <c r="J670" t="n">
        <v>0</v>
      </c>
      <c r="K670" t="n">
        <v>0</v>
      </c>
      <c r="L670" t="n">
        <v>0</v>
      </c>
      <c r="M670" t="n">
        <v>0</v>
      </c>
      <c r="N670" t="n">
        <v>0</v>
      </c>
      <c r="O670" t="n">
        <v>0</v>
      </c>
      <c r="P670" t="n">
        <v>0</v>
      </c>
      <c r="Q670" t="n">
        <v>0</v>
      </c>
      <c r="R670" s="2" t="inlineStr"/>
    </row>
    <row r="671" ht="15" customHeight="1">
      <c r="A671" t="inlineStr">
        <is>
          <t>A 29234-2025</t>
        </is>
      </c>
      <c r="B671" s="1" t="n">
        <v>45824.34478009259</v>
      </c>
      <c r="C671" s="1" t="n">
        <v>45890</v>
      </c>
      <c r="D671" t="inlineStr">
        <is>
          <t>VÄSTERBOTTENS LÄN</t>
        </is>
      </c>
      <c r="E671" t="inlineStr">
        <is>
          <t>VILHELMINA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24828-2023</t>
        </is>
      </c>
      <c r="B672" s="1" t="n">
        <v>45084</v>
      </c>
      <c r="C672" s="1" t="n">
        <v>45890</v>
      </c>
      <c r="D672" t="inlineStr">
        <is>
          <t>VÄSTERBOTTENS LÄN</t>
        </is>
      </c>
      <c r="E672" t="inlineStr">
        <is>
          <t>VILHELMINA</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36972-2023</t>
        </is>
      </c>
      <c r="B673" s="1" t="n">
        <v>45154</v>
      </c>
      <c r="C673" s="1" t="n">
        <v>45890</v>
      </c>
      <c r="D673" t="inlineStr">
        <is>
          <t>VÄSTERBOTTENS LÄN</t>
        </is>
      </c>
      <c r="E673" t="inlineStr">
        <is>
          <t>VILHELMINA</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30575-2024</t>
        </is>
      </c>
      <c r="B674" s="1" t="n">
        <v>45492.95818287037</v>
      </c>
      <c r="C674" s="1" t="n">
        <v>45890</v>
      </c>
      <c r="D674" t="inlineStr">
        <is>
          <t>VÄSTERBOTTENS LÄN</t>
        </is>
      </c>
      <c r="E674" t="inlineStr">
        <is>
          <t>VILHELMINA</t>
        </is>
      </c>
      <c r="F674" t="inlineStr">
        <is>
          <t>SCA</t>
        </is>
      </c>
      <c r="G674" t="n">
        <v>6.5</v>
      </c>
      <c r="H674" t="n">
        <v>0</v>
      </c>
      <c r="I674" t="n">
        <v>0</v>
      </c>
      <c r="J674" t="n">
        <v>0</v>
      </c>
      <c r="K674" t="n">
        <v>0</v>
      </c>
      <c r="L674" t="n">
        <v>0</v>
      </c>
      <c r="M674" t="n">
        <v>0</v>
      </c>
      <c r="N674" t="n">
        <v>0</v>
      </c>
      <c r="O674" t="n">
        <v>0</v>
      </c>
      <c r="P674" t="n">
        <v>0</v>
      </c>
      <c r="Q674" t="n">
        <v>0</v>
      </c>
      <c r="R674" s="2" t="inlineStr"/>
    </row>
    <row r="675" ht="15" customHeight="1">
      <c r="A675" t="inlineStr">
        <is>
          <t>A 30578-2024</t>
        </is>
      </c>
      <c r="B675" s="1" t="n">
        <v>45492.95939814814</v>
      </c>
      <c r="C675" s="1" t="n">
        <v>45890</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30580-2024</t>
        </is>
      </c>
      <c r="B676" s="1" t="n">
        <v>45492.95981481481</v>
      </c>
      <c r="C676" s="1" t="n">
        <v>45890</v>
      </c>
      <c r="D676" t="inlineStr">
        <is>
          <t>VÄSTERBOTTENS LÄN</t>
        </is>
      </c>
      <c r="E676" t="inlineStr">
        <is>
          <t>VILHELMINA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26381-2024</t>
        </is>
      </c>
      <c r="B677" s="1" t="n">
        <v>45469</v>
      </c>
      <c r="C677" s="1" t="n">
        <v>45890</v>
      </c>
      <c r="D677" t="inlineStr">
        <is>
          <t>VÄSTERBOTTENS LÄN</t>
        </is>
      </c>
      <c r="E677" t="inlineStr">
        <is>
          <t>VILHELMINA</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29468-2025</t>
        </is>
      </c>
      <c r="B678" s="1" t="n">
        <v>45824.69888888889</v>
      </c>
      <c r="C678" s="1" t="n">
        <v>45890</v>
      </c>
      <c r="D678" t="inlineStr">
        <is>
          <t>VÄSTERBOTTENS LÄN</t>
        </is>
      </c>
      <c r="E678" t="inlineStr">
        <is>
          <t>VILHELMINA</t>
        </is>
      </c>
      <c r="F678" t="inlineStr">
        <is>
          <t>SCA</t>
        </is>
      </c>
      <c r="G678" t="n">
        <v>4.5</v>
      </c>
      <c r="H678" t="n">
        <v>0</v>
      </c>
      <c r="I678" t="n">
        <v>0</v>
      </c>
      <c r="J678" t="n">
        <v>0</v>
      </c>
      <c r="K678" t="n">
        <v>0</v>
      </c>
      <c r="L678" t="n">
        <v>0</v>
      </c>
      <c r="M678" t="n">
        <v>0</v>
      </c>
      <c r="N678" t="n">
        <v>0</v>
      </c>
      <c r="O678" t="n">
        <v>0</v>
      </c>
      <c r="P678" t="n">
        <v>0</v>
      </c>
      <c r="Q678" t="n">
        <v>0</v>
      </c>
      <c r="R678" s="2" t="inlineStr"/>
    </row>
    <row r="679" ht="15" customHeight="1">
      <c r="A679" t="inlineStr">
        <is>
          <t>A 30681-2024</t>
        </is>
      </c>
      <c r="B679" s="1" t="n">
        <v>45495.9509837963</v>
      </c>
      <c r="C679" s="1" t="n">
        <v>45890</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36288-2021</t>
        </is>
      </c>
      <c r="B680" s="1" t="n">
        <v>44389</v>
      </c>
      <c r="C680" s="1" t="n">
        <v>45890</v>
      </c>
      <c r="D680" t="inlineStr">
        <is>
          <t>VÄSTERBOTTENS LÄN</t>
        </is>
      </c>
      <c r="E680" t="inlineStr">
        <is>
          <t>VILHELMINA</t>
        </is>
      </c>
      <c r="G680" t="n">
        <v>20.5</v>
      </c>
      <c r="H680" t="n">
        <v>0</v>
      </c>
      <c r="I680" t="n">
        <v>0</v>
      </c>
      <c r="J680" t="n">
        <v>0</v>
      </c>
      <c r="K680" t="n">
        <v>0</v>
      </c>
      <c r="L680" t="n">
        <v>0</v>
      </c>
      <c r="M680" t="n">
        <v>0</v>
      </c>
      <c r="N680" t="n">
        <v>0</v>
      </c>
      <c r="O680" t="n">
        <v>0</v>
      </c>
      <c r="P680" t="n">
        <v>0</v>
      </c>
      <c r="Q680" t="n">
        <v>0</v>
      </c>
      <c r="R680" s="2" t="inlineStr"/>
    </row>
    <row r="681" ht="15" customHeight="1">
      <c r="A681" t="inlineStr">
        <is>
          <t>A 16719-2025</t>
        </is>
      </c>
      <c r="B681" s="1" t="n">
        <v>45754.49008101852</v>
      </c>
      <c r="C681" s="1" t="n">
        <v>45890</v>
      </c>
      <c r="D681" t="inlineStr">
        <is>
          <t>VÄSTERBOTTENS LÄN</t>
        </is>
      </c>
      <c r="E681" t="inlineStr">
        <is>
          <t>VILHELMINA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54457-2024</t>
        </is>
      </c>
      <c r="B682" s="1" t="n">
        <v>45617</v>
      </c>
      <c r="C682" s="1" t="n">
        <v>45890</v>
      </c>
      <c r="D682" t="inlineStr">
        <is>
          <t>VÄSTERBOTTENS LÄN</t>
        </is>
      </c>
      <c r="E682" t="inlineStr">
        <is>
          <t>VILHELMINA</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53034-2023</t>
        </is>
      </c>
      <c r="B683" s="1" t="n">
        <v>45226.96258101852</v>
      </c>
      <c r="C683" s="1" t="n">
        <v>45890</v>
      </c>
      <c r="D683" t="inlineStr">
        <is>
          <t>VÄSTERBOTTENS LÄN</t>
        </is>
      </c>
      <c r="E683" t="inlineStr">
        <is>
          <t>VILHELMINA</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48754-2021</t>
        </is>
      </c>
      <c r="B684" s="1" t="n">
        <v>44452</v>
      </c>
      <c r="C684" s="1" t="n">
        <v>45890</v>
      </c>
      <c r="D684" t="inlineStr">
        <is>
          <t>VÄSTERBOTTENS LÄN</t>
        </is>
      </c>
      <c r="E684" t="inlineStr">
        <is>
          <t>VILHELMINA</t>
        </is>
      </c>
      <c r="G684" t="n">
        <v>5.6</v>
      </c>
      <c r="H684" t="n">
        <v>0</v>
      </c>
      <c r="I684" t="n">
        <v>0</v>
      </c>
      <c r="J684" t="n">
        <v>0</v>
      </c>
      <c r="K684" t="n">
        <v>0</v>
      </c>
      <c r="L684" t="n">
        <v>0</v>
      </c>
      <c r="M684" t="n">
        <v>0</v>
      </c>
      <c r="N684" t="n">
        <v>0</v>
      </c>
      <c r="O684" t="n">
        <v>0</v>
      </c>
      <c r="P684" t="n">
        <v>0</v>
      </c>
      <c r="Q684" t="n">
        <v>0</v>
      </c>
      <c r="R684" s="2" t="inlineStr"/>
    </row>
    <row r="685" ht="15" customHeight="1">
      <c r="A685" t="inlineStr">
        <is>
          <t>A 48756-2021</t>
        </is>
      </c>
      <c r="B685" s="1" t="n">
        <v>44452</v>
      </c>
      <c r="C685" s="1" t="n">
        <v>45890</v>
      </c>
      <c r="D685" t="inlineStr">
        <is>
          <t>VÄSTERBOTTENS LÄN</t>
        </is>
      </c>
      <c r="E685" t="inlineStr">
        <is>
          <t>VILHELMINA</t>
        </is>
      </c>
      <c r="G685" t="n">
        <v>13.3</v>
      </c>
      <c r="H685" t="n">
        <v>0</v>
      </c>
      <c r="I685" t="n">
        <v>0</v>
      </c>
      <c r="J685" t="n">
        <v>0</v>
      </c>
      <c r="K685" t="n">
        <v>0</v>
      </c>
      <c r="L685" t="n">
        <v>0</v>
      </c>
      <c r="M685" t="n">
        <v>0</v>
      </c>
      <c r="N685" t="n">
        <v>0</v>
      </c>
      <c r="O685" t="n">
        <v>0</v>
      </c>
      <c r="P685" t="n">
        <v>0</v>
      </c>
      <c r="Q685" t="n">
        <v>0</v>
      </c>
      <c r="R685" s="2" t="inlineStr"/>
    </row>
    <row r="686" ht="15" customHeight="1">
      <c r="A686" t="inlineStr">
        <is>
          <t>A 39677-2024</t>
        </is>
      </c>
      <c r="B686" s="1" t="n">
        <v>45552</v>
      </c>
      <c r="C686" s="1" t="n">
        <v>45890</v>
      </c>
      <c r="D686" t="inlineStr">
        <is>
          <t>VÄSTERBOTTENS LÄN</t>
        </is>
      </c>
      <c r="E686" t="inlineStr">
        <is>
          <t>VILHELMINA</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26000-2023</t>
        </is>
      </c>
      <c r="B687" s="1" t="n">
        <v>45090</v>
      </c>
      <c r="C687" s="1" t="n">
        <v>45890</v>
      </c>
      <c r="D687" t="inlineStr">
        <is>
          <t>VÄSTERBOTTENS LÄN</t>
        </is>
      </c>
      <c r="E687" t="inlineStr">
        <is>
          <t>VILHELMINA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69621-2020</t>
        </is>
      </c>
      <c r="B688" s="1" t="n">
        <v>44195</v>
      </c>
      <c r="C688" s="1" t="n">
        <v>45890</v>
      </c>
      <c r="D688" t="inlineStr">
        <is>
          <t>VÄSTERBOTTENS LÄN</t>
        </is>
      </c>
      <c r="E688" t="inlineStr">
        <is>
          <t>VILHELMINA</t>
        </is>
      </c>
      <c r="G688" t="n">
        <v>2.9</v>
      </c>
      <c r="H688" t="n">
        <v>0</v>
      </c>
      <c r="I688" t="n">
        <v>0</v>
      </c>
      <c r="J688" t="n">
        <v>0</v>
      </c>
      <c r="K688" t="n">
        <v>0</v>
      </c>
      <c r="L688" t="n">
        <v>0</v>
      </c>
      <c r="M688" t="n">
        <v>0</v>
      </c>
      <c r="N688" t="n">
        <v>0</v>
      </c>
      <c r="O688" t="n">
        <v>0</v>
      </c>
      <c r="P688" t="n">
        <v>0</v>
      </c>
      <c r="Q688" t="n">
        <v>0</v>
      </c>
      <c r="R688" s="2" t="inlineStr"/>
    </row>
    <row r="689" ht="15" customHeight="1">
      <c r="A689" t="inlineStr">
        <is>
          <t>A 7102-2024</t>
        </is>
      </c>
      <c r="B689" s="1" t="n">
        <v>45343</v>
      </c>
      <c r="C689" s="1" t="n">
        <v>45890</v>
      </c>
      <c r="D689" t="inlineStr">
        <is>
          <t>VÄSTERBOTTENS LÄN</t>
        </is>
      </c>
      <c r="E689" t="inlineStr">
        <is>
          <t>VILHELMINA</t>
        </is>
      </c>
      <c r="G689" t="n">
        <v>3.2</v>
      </c>
      <c r="H689" t="n">
        <v>0</v>
      </c>
      <c r="I689" t="n">
        <v>0</v>
      </c>
      <c r="J689" t="n">
        <v>0</v>
      </c>
      <c r="K689" t="n">
        <v>0</v>
      </c>
      <c r="L689" t="n">
        <v>0</v>
      </c>
      <c r="M689" t="n">
        <v>0</v>
      </c>
      <c r="N689" t="n">
        <v>0</v>
      </c>
      <c r="O689" t="n">
        <v>0</v>
      </c>
      <c r="P689" t="n">
        <v>0</v>
      </c>
      <c r="Q689" t="n">
        <v>0</v>
      </c>
      <c r="R689" s="2" t="inlineStr"/>
    </row>
    <row r="690" ht="15" customHeight="1">
      <c r="A690" t="inlineStr">
        <is>
          <t>A 29940-2025</t>
        </is>
      </c>
      <c r="B690" s="1" t="n">
        <v>45826.45104166667</v>
      </c>
      <c r="C690" s="1" t="n">
        <v>45890</v>
      </c>
      <c r="D690" t="inlineStr">
        <is>
          <t>VÄSTERBOTTENS LÄN</t>
        </is>
      </c>
      <c r="E690" t="inlineStr">
        <is>
          <t>VILHELMINA</t>
        </is>
      </c>
      <c r="F690" t="inlineStr">
        <is>
          <t>Sveaskog</t>
        </is>
      </c>
      <c r="G690" t="n">
        <v>11.6</v>
      </c>
      <c r="H690" t="n">
        <v>0</v>
      </c>
      <c r="I690" t="n">
        <v>0</v>
      </c>
      <c r="J690" t="n">
        <v>0</v>
      </c>
      <c r="K690" t="n">
        <v>0</v>
      </c>
      <c r="L690" t="n">
        <v>0</v>
      </c>
      <c r="M690" t="n">
        <v>0</v>
      </c>
      <c r="N690" t="n">
        <v>0</v>
      </c>
      <c r="O690" t="n">
        <v>0</v>
      </c>
      <c r="P690" t="n">
        <v>0</v>
      </c>
      <c r="Q690" t="n">
        <v>0</v>
      </c>
      <c r="R690" s="2" t="inlineStr"/>
    </row>
    <row r="691" ht="15" customHeight="1">
      <c r="A691" t="inlineStr">
        <is>
          <t>A 29942-2025</t>
        </is>
      </c>
      <c r="B691" s="1" t="n">
        <v>45826.45702546297</v>
      </c>
      <c r="C691" s="1" t="n">
        <v>45890</v>
      </c>
      <c r="D691" t="inlineStr">
        <is>
          <t>VÄSTERBOTTENS LÄN</t>
        </is>
      </c>
      <c r="E691" t="inlineStr">
        <is>
          <t>VILHELMINA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37716-2024</t>
        </is>
      </c>
      <c r="B692" s="1" t="n">
        <v>45541.63592592593</v>
      </c>
      <c r="C692" s="1" t="n">
        <v>45890</v>
      </c>
      <c r="D692" t="inlineStr">
        <is>
          <t>VÄSTERBOTTENS LÄN</t>
        </is>
      </c>
      <c r="E692" t="inlineStr">
        <is>
          <t>VILHELMINA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30553-2025</t>
        </is>
      </c>
      <c r="B693" s="1" t="n">
        <v>45831.38579861111</v>
      </c>
      <c r="C693" s="1" t="n">
        <v>45890</v>
      </c>
      <c r="D693" t="inlineStr">
        <is>
          <t>VÄSTERBOTTENS LÄN</t>
        </is>
      </c>
      <c r="E693" t="inlineStr">
        <is>
          <t>VILHELMINA</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30746-2025</t>
        </is>
      </c>
      <c r="B694" s="1" t="n">
        <v>45831.58256944444</v>
      </c>
      <c r="C694" s="1" t="n">
        <v>45890</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35285-2025</t>
        </is>
      </c>
      <c r="B695" s="1" t="n">
        <v>45854</v>
      </c>
      <c r="C695" s="1" t="n">
        <v>45890</v>
      </c>
      <c r="D695" t="inlineStr">
        <is>
          <t>VÄSTERBOTTENS LÄN</t>
        </is>
      </c>
      <c r="E695" t="inlineStr">
        <is>
          <t>VILHELMINA</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36569-2025</t>
        </is>
      </c>
      <c r="B696" s="1" t="n">
        <v>45870</v>
      </c>
      <c r="C696" s="1" t="n">
        <v>45890</v>
      </c>
      <c r="D696" t="inlineStr">
        <is>
          <t>VÄSTERBOTTENS LÄN</t>
        </is>
      </c>
      <c r="E696" t="inlineStr">
        <is>
          <t>VILHELMINA</t>
        </is>
      </c>
      <c r="F696" t="inlineStr">
        <is>
          <t>SCA</t>
        </is>
      </c>
      <c r="G696" t="n">
        <v>5.1</v>
      </c>
      <c r="H696" t="n">
        <v>0</v>
      </c>
      <c r="I696" t="n">
        <v>0</v>
      </c>
      <c r="J696" t="n">
        <v>0</v>
      </c>
      <c r="K696" t="n">
        <v>0</v>
      </c>
      <c r="L696" t="n">
        <v>0</v>
      </c>
      <c r="M696" t="n">
        <v>0</v>
      </c>
      <c r="N696" t="n">
        <v>0</v>
      </c>
      <c r="O696" t="n">
        <v>0</v>
      </c>
      <c r="P696" t="n">
        <v>0</v>
      </c>
      <c r="Q696" t="n">
        <v>0</v>
      </c>
      <c r="R696" s="2" t="inlineStr"/>
    </row>
    <row r="697" ht="15" customHeight="1">
      <c r="A697" t="inlineStr">
        <is>
          <t>A 19223-2025</t>
        </is>
      </c>
      <c r="B697" s="1" t="n">
        <v>45769</v>
      </c>
      <c r="C697" s="1" t="n">
        <v>45890</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9534-2023</t>
        </is>
      </c>
      <c r="B698" s="1" t="n">
        <v>44981.72646990741</v>
      </c>
      <c r="C698" s="1" t="n">
        <v>45890</v>
      </c>
      <c r="D698" t="inlineStr">
        <is>
          <t>VÄSTERBOTTENS LÄN</t>
        </is>
      </c>
      <c r="E698" t="inlineStr">
        <is>
          <t>VILHELMINA</t>
        </is>
      </c>
      <c r="G698" t="n">
        <v>1.7</v>
      </c>
      <c r="H698" t="n">
        <v>0</v>
      </c>
      <c r="I698" t="n">
        <v>0</v>
      </c>
      <c r="J698" t="n">
        <v>0</v>
      </c>
      <c r="K698" t="n">
        <v>0</v>
      </c>
      <c r="L698" t="n">
        <v>0</v>
      </c>
      <c r="M698" t="n">
        <v>0</v>
      </c>
      <c r="N698" t="n">
        <v>0</v>
      </c>
      <c r="O698" t="n">
        <v>0</v>
      </c>
      <c r="P698" t="n">
        <v>0</v>
      </c>
      <c r="Q698" t="n">
        <v>0</v>
      </c>
      <c r="R698" s="2" t="inlineStr"/>
    </row>
    <row r="699" ht="15" customHeight="1">
      <c r="A699" t="inlineStr">
        <is>
          <t>A 36376-2023</t>
        </is>
      </c>
      <c r="B699" s="1" t="n">
        <v>45152</v>
      </c>
      <c r="C699" s="1" t="n">
        <v>45890</v>
      </c>
      <c r="D699" t="inlineStr">
        <is>
          <t>VÄSTERBOTTENS LÄN</t>
        </is>
      </c>
      <c r="E699" t="inlineStr">
        <is>
          <t>VILHELMINA</t>
        </is>
      </c>
      <c r="G699" t="n">
        <v>12.7</v>
      </c>
      <c r="H699" t="n">
        <v>0</v>
      </c>
      <c r="I699" t="n">
        <v>0</v>
      </c>
      <c r="J699" t="n">
        <v>0</v>
      </c>
      <c r="K699" t="n">
        <v>0</v>
      </c>
      <c r="L699" t="n">
        <v>0</v>
      </c>
      <c r="M699" t="n">
        <v>0</v>
      </c>
      <c r="N699" t="n">
        <v>0</v>
      </c>
      <c r="O699" t="n">
        <v>0</v>
      </c>
      <c r="P699" t="n">
        <v>0</v>
      </c>
      <c r="Q699" t="n">
        <v>0</v>
      </c>
      <c r="R699" s="2" t="inlineStr"/>
    </row>
    <row r="700" ht="15" customHeight="1">
      <c r="A700" t="inlineStr">
        <is>
          <t>A 54984-2023</t>
        </is>
      </c>
      <c r="B700" s="1" t="n">
        <v>45236</v>
      </c>
      <c r="C700" s="1" t="n">
        <v>45890</v>
      </c>
      <c r="D700" t="inlineStr">
        <is>
          <t>VÄSTERBOTTENS LÄN</t>
        </is>
      </c>
      <c r="E700" t="inlineStr">
        <is>
          <t>VILHELMINA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40781-2023</t>
        </is>
      </c>
      <c r="B701" s="1" t="n">
        <v>45170.95747685185</v>
      </c>
      <c r="C701" s="1" t="n">
        <v>45890</v>
      </c>
      <c r="D701" t="inlineStr">
        <is>
          <t>VÄSTERBOTTENS LÄN</t>
        </is>
      </c>
      <c r="E701" t="inlineStr">
        <is>
          <t>VILHELMINA</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10956-2023</t>
        </is>
      </c>
      <c r="B702" s="1" t="n">
        <v>44985</v>
      </c>
      <c r="C702" s="1" t="n">
        <v>45890</v>
      </c>
      <c r="D702" t="inlineStr">
        <is>
          <t>VÄSTERBOTTENS LÄN</t>
        </is>
      </c>
      <c r="E702" t="inlineStr">
        <is>
          <t>VILHELMINA</t>
        </is>
      </c>
      <c r="G702" t="n">
        <v>3.3</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45890</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20653-2021</t>
        </is>
      </c>
      <c r="B704" s="1" t="n">
        <v>44316.41677083333</v>
      </c>
      <c r="C704" s="1" t="n">
        <v>45890</v>
      </c>
      <c r="D704" t="inlineStr">
        <is>
          <t>VÄSTERBOTTENS LÄN</t>
        </is>
      </c>
      <c r="E704" t="inlineStr">
        <is>
          <t>VILHELMINA</t>
        </is>
      </c>
      <c r="F704" t="inlineStr">
        <is>
          <t>Kommuner</t>
        </is>
      </c>
      <c r="G704" t="n">
        <v>2.5</v>
      </c>
      <c r="H704" t="n">
        <v>0</v>
      </c>
      <c r="I704" t="n">
        <v>0</v>
      </c>
      <c r="J704" t="n">
        <v>0</v>
      </c>
      <c r="K704" t="n">
        <v>0</v>
      </c>
      <c r="L704" t="n">
        <v>0</v>
      </c>
      <c r="M704" t="n">
        <v>0</v>
      </c>
      <c r="N704" t="n">
        <v>0</v>
      </c>
      <c r="O704" t="n">
        <v>0</v>
      </c>
      <c r="P704" t="n">
        <v>0</v>
      </c>
      <c r="Q704" t="n">
        <v>0</v>
      </c>
      <c r="R704" s="2" t="inlineStr"/>
    </row>
    <row r="705" ht="15" customHeight="1">
      <c r="A705" t="inlineStr">
        <is>
          <t>A 44505-2024</t>
        </is>
      </c>
      <c r="B705" s="1" t="n">
        <v>45574.40974537037</v>
      </c>
      <c r="C705" s="1" t="n">
        <v>45890</v>
      </c>
      <c r="D705" t="inlineStr">
        <is>
          <t>VÄSTERBOTTENS LÄN</t>
        </is>
      </c>
      <c r="E705" t="inlineStr">
        <is>
          <t>VILHELMINA</t>
        </is>
      </c>
      <c r="G705" t="n">
        <v>15.5</v>
      </c>
      <c r="H705" t="n">
        <v>0</v>
      </c>
      <c r="I705" t="n">
        <v>0</v>
      </c>
      <c r="J705" t="n">
        <v>0</v>
      </c>
      <c r="K705" t="n">
        <v>0</v>
      </c>
      <c r="L705" t="n">
        <v>0</v>
      </c>
      <c r="M705" t="n">
        <v>0</v>
      </c>
      <c r="N705" t="n">
        <v>0</v>
      </c>
      <c r="O705" t="n">
        <v>0</v>
      </c>
      <c r="P705" t="n">
        <v>0</v>
      </c>
      <c r="Q705" t="n">
        <v>0</v>
      </c>
      <c r="R705" s="2" t="inlineStr"/>
    </row>
    <row r="706" ht="15" customHeight="1">
      <c r="A706" t="inlineStr">
        <is>
          <t>A 23180-2024</t>
        </is>
      </c>
      <c r="B706" s="1" t="n">
        <v>45450.9444212963</v>
      </c>
      <c r="C706" s="1" t="n">
        <v>45890</v>
      </c>
      <c r="D706" t="inlineStr">
        <is>
          <t>VÄSTERBOTTENS LÄN</t>
        </is>
      </c>
      <c r="E706" t="inlineStr">
        <is>
          <t>VILHELMINA</t>
        </is>
      </c>
      <c r="F706" t="inlineStr">
        <is>
          <t>SCA</t>
        </is>
      </c>
      <c r="G706" t="n">
        <v>5.6</v>
      </c>
      <c r="H706" t="n">
        <v>0</v>
      </c>
      <c r="I706" t="n">
        <v>0</v>
      </c>
      <c r="J706" t="n">
        <v>0</v>
      </c>
      <c r="K706" t="n">
        <v>0</v>
      </c>
      <c r="L706" t="n">
        <v>0</v>
      </c>
      <c r="M706" t="n">
        <v>0</v>
      </c>
      <c r="N706" t="n">
        <v>0</v>
      </c>
      <c r="O706" t="n">
        <v>0</v>
      </c>
      <c r="P706" t="n">
        <v>0</v>
      </c>
      <c r="Q706" t="n">
        <v>0</v>
      </c>
      <c r="R706" s="2" t="inlineStr"/>
    </row>
    <row r="707" ht="15" customHeight="1">
      <c r="A707" t="inlineStr">
        <is>
          <t>A 13200-2025</t>
        </is>
      </c>
      <c r="B707" s="1" t="n">
        <v>45735</v>
      </c>
      <c r="C707" s="1" t="n">
        <v>45890</v>
      </c>
      <c r="D707" t="inlineStr">
        <is>
          <t>VÄSTERBOTTENS LÄN</t>
        </is>
      </c>
      <c r="E707" t="inlineStr">
        <is>
          <t>VILHELMINA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36973-2025</t>
        </is>
      </c>
      <c r="B708" s="1" t="n">
        <v>45874.63747685185</v>
      </c>
      <c r="C708" s="1" t="n">
        <v>45890</v>
      </c>
      <c r="D708" t="inlineStr">
        <is>
          <t>VÄSTERBOTTENS LÄN</t>
        </is>
      </c>
      <c r="E708" t="inlineStr">
        <is>
          <t>VILHELMINA</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22457-2025</t>
        </is>
      </c>
      <c r="B709" s="1" t="n">
        <v>45786</v>
      </c>
      <c r="C709" s="1" t="n">
        <v>45890</v>
      </c>
      <c r="D709" t="inlineStr">
        <is>
          <t>VÄSTERBOTTENS LÄN</t>
        </is>
      </c>
      <c r="E709" t="inlineStr">
        <is>
          <t>VILHELMINA</t>
        </is>
      </c>
      <c r="G709" t="n">
        <v>10.8</v>
      </c>
      <c r="H709" t="n">
        <v>0</v>
      </c>
      <c r="I709" t="n">
        <v>0</v>
      </c>
      <c r="J709" t="n">
        <v>0</v>
      </c>
      <c r="K709" t="n">
        <v>0</v>
      </c>
      <c r="L709" t="n">
        <v>0</v>
      </c>
      <c r="M709" t="n">
        <v>0</v>
      </c>
      <c r="N709" t="n">
        <v>0</v>
      </c>
      <c r="O709" t="n">
        <v>0</v>
      </c>
      <c r="P709" t="n">
        <v>0</v>
      </c>
      <c r="Q709" t="n">
        <v>0</v>
      </c>
      <c r="R709" s="2" t="inlineStr"/>
    </row>
    <row r="710" ht="15" customHeight="1">
      <c r="A710" t="inlineStr">
        <is>
          <t>A 63877-2023</t>
        </is>
      </c>
      <c r="B710" s="1" t="n">
        <v>45278</v>
      </c>
      <c r="C710" s="1" t="n">
        <v>45890</v>
      </c>
      <c r="D710" t="inlineStr">
        <is>
          <t>VÄSTERBOTTENS LÄN</t>
        </is>
      </c>
      <c r="E710" t="inlineStr">
        <is>
          <t>VILHELMINA</t>
        </is>
      </c>
      <c r="G710" t="n">
        <v>1.2</v>
      </c>
      <c r="H710" t="n">
        <v>0</v>
      </c>
      <c r="I710" t="n">
        <v>0</v>
      </c>
      <c r="J710" t="n">
        <v>0</v>
      </c>
      <c r="K710" t="n">
        <v>0</v>
      </c>
      <c r="L710" t="n">
        <v>0</v>
      </c>
      <c r="M710" t="n">
        <v>0</v>
      </c>
      <c r="N710" t="n">
        <v>0</v>
      </c>
      <c r="O710" t="n">
        <v>0</v>
      </c>
      <c r="P710" t="n">
        <v>0</v>
      </c>
      <c r="Q710" t="n">
        <v>0</v>
      </c>
      <c r="R710" s="2" t="inlineStr"/>
    </row>
    <row r="711" ht="15" customHeight="1">
      <c r="A711" t="inlineStr">
        <is>
          <t>A 36944-2025</t>
        </is>
      </c>
      <c r="B711" s="1" t="n">
        <v>45874.59450231482</v>
      </c>
      <c r="C711" s="1" t="n">
        <v>45890</v>
      </c>
      <c r="D711" t="inlineStr">
        <is>
          <t>VÄSTERBOTTENS LÄN</t>
        </is>
      </c>
      <c r="E711" t="inlineStr">
        <is>
          <t>VILHELMINA</t>
        </is>
      </c>
      <c r="F711" t="inlineStr">
        <is>
          <t>SCA</t>
        </is>
      </c>
      <c r="G711" t="n">
        <v>17.4</v>
      </c>
      <c r="H711" t="n">
        <v>0</v>
      </c>
      <c r="I711" t="n">
        <v>0</v>
      </c>
      <c r="J711" t="n">
        <v>0</v>
      </c>
      <c r="K711" t="n">
        <v>0</v>
      </c>
      <c r="L711" t="n">
        <v>0</v>
      </c>
      <c r="M711" t="n">
        <v>0</v>
      </c>
      <c r="N711" t="n">
        <v>0</v>
      </c>
      <c r="O711" t="n">
        <v>0</v>
      </c>
      <c r="P711" t="n">
        <v>0</v>
      </c>
      <c r="Q711" t="n">
        <v>0</v>
      </c>
      <c r="R711" s="2" t="inlineStr"/>
    </row>
    <row r="712" ht="15" customHeight="1">
      <c r="A712" t="inlineStr">
        <is>
          <t>A 35753-2023</t>
        </is>
      </c>
      <c r="B712" s="1" t="n">
        <v>45147.95390046296</v>
      </c>
      <c r="C712" s="1" t="n">
        <v>45890</v>
      </c>
      <c r="D712" t="inlineStr">
        <is>
          <t>VÄSTERBOTTENS LÄN</t>
        </is>
      </c>
      <c r="E712" t="inlineStr">
        <is>
          <t>VILHELMINA</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3096-2021</t>
        </is>
      </c>
      <c r="B713" s="1" t="n">
        <v>44216.93865740741</v>
      </c>
      <c r="C713" s="1" t="n">
        <v>45890</v>
      </c>
      <c r="D713" t="inlineStr">
        <is>
          <t>VÄSTERBOTTENS LÄN</t>
        </is>
      </c>
      <c r="E713" t="inlineStr">
        <is>
          <t>VILHELMINA</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11825-2023</t>
        </is>
      </c>
      <c r="B714" s="1" t="n">
        <v>44994</v>
      </c>
      <c r="C714" s="1" t="n">
        <v>45890</v>
      </c>
      <c r="D714" t="inlineStr">
        <is>
          <t>VÄSTERBOTTENS LÄN</t>
        </is>
      </c>
      <c r="E714" t="inlineStr">
        <is>
          <t>VILHELMINA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31868-2024</t>
        </is>
      </c>
      <c r="B715" s="1" t="n">
        <v>45509</v>
      </c>
      <c r="C715" s="1" t="n">
        <v>45890</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8003-2021</t>
        </is>
      </c>
      <c r="B716" s="1" t="n">
        <v>44243</v>
      </c>
      <c r="C716" s="1" t="n">
        <v>45890</v>
      </c>
      <c r="D716" t="inlineStr">
        <is>
          <t>VÄSTERBOTTENS LÄN</t>
        </is>
      </c>
      <c r="E716" t="inlineStr">
        <is>
          <t>VILHELMINA</t>
        </is>
      </c>
      <c r="G716" t="n">
        <v>5.1</v>
      </c>
      <c r="H716" t="n">
        <v>0</v>
      </c>
      <c r="I716" t="n">
        <v>0</v>
      </c>
      <c r="J716" t="n">
        <v>0</v>
      </c>
      <c r="K716" t="n">
        <v>0</v>
      </c>
      <c r="L716" t="n">
        <v>0</v>
      </c>
      <c r="M716" t="n">
        <v>0</v>
      </c>
      <c r="N716" t="n">
        <v>0</v>
      </c>
      <c r="O716" t="n">
        <v>0</v>
      </c>
      <c r="P716" t="n">
        <v>0</v>
      </c>
      <c r="Q716" t="n">
        <v>0</v>
      </c>
      <c r="R716" s="2" t="inlineStr"/>
    </row>
    <row r="717" ht="15" customHeight="1">
      <c r="A717" t="inlineStr">
        <is>
          <t>A 50505-2023</t>
        </is>
      </c>
      <c r="B717" s="1" t="n">
        <v>45216.95800925926</v>
      </c>
      <c r="C717" s="1" t="n">
        <v>45890</v>
      </c>
      <c r="D717" t="inlineStr">
        <is>
          <t>VÄSTERBOTTENS LÄN</t>
        </is>
      </c>
      <c r="E717" t="inlineStr">
        <is>
          <t>VILHELMINA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15782-2025</t>
        </is>
      </c>
      <c r="B718" s="1" t="n">
        <v>45748</v>
      </c>
      <c r="C718" s="1" t="n">
        <v>45890</v>
      </c>
      <c r="D718" t="inlineStr">
        <is>
          <t>VÄSTERBOTTENS LÄN</t>
        </is>
      </c>
      <c r="E718" t="inlineStr">
        <is>
          <t>VILHELMINA</t>
        </is>
      </c>
      <c r="G718" t="n">
        <v>2.5</v>
      </c>
      <c r="H718" t="n">
        <v>0</v>
      </c>
      <c r="I718" t="n">
        <v>0</v>
      </c>
      <c r="J718" t="n">
        <v>0</v>
      </c>
      <c r="K718" t="n">
        <v>0</v>
      </c>
      <c r="L718" t="n">
        <v>0</v>
      </c>
      <c r="M718" t="n">
        <v>0</v>
      </c>
      <c r="N718" t="n">
        <v>0</v>
      </c>
      <c r="O718" t="n">
        <v>0</v>
      </c>
      <c r="P718" t="n">
        <v>0</v>
      </c>
      <c r="Q718" t="n">
        <v>0</v>
      </c>
      <c r="R718" s="2" t="inlineStr"/>
    </row>
    <row r="719" ht="15" customHeight="1">
      <c r="A719" t="inlineStr">
        <is>
          <t>A 42478-2024</t>
        </is>
      </c>
      <c r="B719" s="1" t="n">
        <v>45565.4912962963</v>
      </c>
      <c r="C719" s="1" t="n">
        <v>45890</v>
      </c>
      <c r="D719" t="inlineStr">
        <is>
          <t>VÄSTERBOTTENS LÄN</t>
        </is>
      </c>
      <c r="E719" t="inlineStr">
        <is>
          <t>VILHELMINA</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29463-2024</t>
        </is>
      </c>
      <c r="B720" s="1" t="n">
        <v>45483.96994212963</v>
      </c>
      <c r="C720" s="1" t="n">
        <v>45890</v>
      </c>
      <c r="D720" t="inlineStr">
        <is>
          <t>VÄSTERBOTTENS LÄN</t>
        </is>
      </c>
      <c r="E720" t="inlineStr">
        <is>
          <t>VILHELMINA</t>
        </is>
      </c>
      <c r="F720" t="inlineStr">
        <is>
          <t>SCA</t>
        </is>
      </c>
      <c r="G720" t="n">
        <v>4.4</v>
      </c>
      <c r="H720" t="n">
        <v>0</v>
      </c>
      <c r="I720" t="n">
        <v>0</v>
      </c>
      <c r="J720" t="n">
        <v>0</v>
      </c>
      <c r="K720" t="n">
        <v>0</v>
      </c>
      <c r="L720" t="n">
        <v>0</v>
      </c>
      <c r="M720" t="n">
        <v>0</v>
      </c>
      <c r="N720" t="n">
        <v>0</v>
      </c>
      <c r="O720" t="n">
        <v>0</v>
      </c>
      <c r="P720" t="n">
        <v>0</v>
      </c>
      <c r="Q720" t="n">
        <v>0</v>
      </c>
      <c r="R720" s="2" t="inlineStr"/>
    </row>
    <row r="721" ht="15" customHeight="1">
      <c r="A721" t="inlineStr">
        <is>
          <t>A 27881-2022</t>
        </is>
      </c>
      <c r="B721" s="1" t="n">
        <v>44743</v>
      </c>
      <c r="C721" s="1" t="n">
        <v>45890</v>
      </c>
      <c r="D721" t="inlineStr">
        <is>
          <t>VÄSTERBOTTENS LÄN</t>
        </is>
      </c>
      <c r="E721" t="inlineStr">
        <is>
          <t>VILHELMINA</t>
        </is>
      </c>
      <c r="F721" t="inlineStr">
        <is>
          <t>Sveaskog</t>
        </is>
      </c>
      <c r="G721" t="n">
        <v>14.3</v>
      </c>
      <c r="H721" t="n">
        <v>0</v>
      </c>
      <c r="I721" t="n">
        <v>0</v>
      </c>
      <c r="J721" t="n">
        <v>0</v>
      </c>
      <c r="K721" t="n">
        <v>0</v>
      </c>
      <c r="L721" t="n">
        <v>0</v>
      </c>
      <c r="M721" t="n">
        <v>0</v>
      </c>
      <c r="N721" t="n">
        <v>0</v>
      </c>
      <c r="O721" t="n">
        <v>0</v>
      </c>
      <c r="P721" t="n">
        <v>0</v>
      </c>
      <c r="Q721" t="n">
        <v>0</v>
      </c>
      <c r="R721" s="2" t="inlineStr"/>
    </row>
    <row r="722" ht="15" customHeight="1">
      <c r="A722" t="inlineStr">
        <is>
          <t>A 45673-2023</t>
        </is>
      </c>
      <c r="B722" s="1" t="n">
        <v>45194</v>
      </c>
      <c r="C722" s="1" t="n">
        <v>45890</v>
      </c>
      <c r="D722" t="inlineStr">
        <is>
          <t>VÄSTERBOTTENS LÄN</t>
        </is>
      </c>
      <c r="E722" t="inlineStr">
        <is>
          <t>VILHELMINA</t>
        </is>
      </c>
      <c r="G722" t="n">
        <v>13.4</v>
      </c>
      <c r="H722" t="n">
        <v>0</v>
      </c>
      <c r="I722" t="n">
        <v>0</v>
      </c>
      <c r="J722" t="n">
        <v>0</v>
      </c>
      <c r="K722" t="n">
        <v>0</v>
      </c>
      <c r="L722" t="n">
        <v>0</v>
      </c>
      <c r="M722" t="n">
        <v>0</v>
      </c>
      <c r="N722" t="n">
        <v>0</v>
      </c>
      <c r="O722" t="n">
        <v>0</v>
      </c>
      <c r="P722" t="n">
        <v>0</v>
      </c>
      <c r="Q722" t="n">
        <v>0</v>
      </c>
      <c r="R722" s="2" t="inlineStr"/>
    </row>
    <row r="723" ht="15" customHeight="1">
      <c r="A723" t="inlineStr">
        <is>
          <t>A 72153-2021</t>
        </is>
      </c>
      <c r="B723" s="1" t="n">
        <v>44543</v>
      </c>
      <c r="C723" s="1" t="n">
        <v>45890</v>
      </c>
      <c r="D723" t="inlineStr">
        <is>
          <t>VÄSTERBOTTENS LÄN</t>
        </is>
      </c>
      <c r="E723" t="inlineStr">
        <is>
          <t>VILHELMINA</t>
        </is>
      </c>
      <c r="G723" t="n">
        <v>6.7</v>
      </c>
      <c r="H723" t="n">
        <v>0</v>
      </c>
      <c r="I723" t="n">
        <v>0</v>
      </c>
      <c r="J723" t="n">
        <v>0</v>
      </c>
      <c r="K723" t="n">
        <v>0</v>
      </c>
      <c r="L723" t="n">
        <v>0</v>
      </c>
      <c r="M723" t="n">
        <v>0</v>
      </c>
      <c r="N723" t="n">
        <v>0</v>
      </c>
      <c r="O723" t="n">
        <v>0</v>
      </c>
      <c r="P723" t="n">
        <v>0</v>
      </c>
      <c r="Q723" t="n">
        <v>0</v>
      </c>
      <c r="R723" s="2" t="inlineStr"/>
    </row>
    <row r="724" ht="15" customHeight="1">
      <c r="A724" t="inlineStr">
        <is>
          <t>A 31307-2025</t>
        </is>
      </c>
      <c r="B724" s="1" t="n">
        <v>45833</v>
      </c>
      <c r="C724" s="1" t="n">
        <v>45890</v>
      </c>
      <c r="D724" t="inlineStr">
        <is>
          <t>VÄSTERBOTTENS LÄN</t>
        </is>
      </c>
      <c r="E724" t="inlineStr">
        <is>
          <t>VILHELMINA</t>
        </is>
      </c>
      <c r="G724" t="n">
        <v>9.9</v>
      </c>
      <c r="H724" t="n">
        <v>0</v>
      </c>
      <c r="I724" t="n">
        <v>0</v>
      </c>
      <c r="J724" t="n">
        <v>0</v>
      </c>
      <c r="K724" t="n">
        <v>0</v>
      </c>
      <c r="L724" t="n">
        <v>0</v>
      </c>
      <c r="M724" t="n">
        <v>0</v>
      </c>
      <c r="N724" t="n">
        <v>0</v>
      </c>
      <c r="O724" t="n">
        <v>0</v>
      </c>
      <c r="P724" t="n">
        <v>0</v>
      </c>
      <c r="Q724" t="n">
        <v>0</v>
      </c>
      <c r="R724" s="2" t="inlineStr"/>
    </row>
    <row r="725" ht="15" customHeight="1">
      <c r="A725" t="inlineStr">
        <is>
          <t>A 367-2024</t>
        </is>
      </c>
      <c r="B725" s="1" t="n">
        <v>45295</v>
      </c>
      <c r="C725" s="1" t="n">
        <v>45890</v>
      </c>
      <c r="D725" t="inlineStr">
        <is>
          <t>VÄSTERBOTTENS LÄN</t>
        </is>
      </c>
      <c r="E725" t="inlineStr">
        <is>
          <t>VILHELMINA</t>
        </is>
      </c>
      <c r="F725" t="inlineStr">
        <is>
          <t>SCA</t>
        </is>
      </c>
      <c r="G725" t="n">
        <v>5.4</v>
      </c>
      <c r="H725" t="n">
        <v>0</v>
      </c>
      <c r="I725" t="n">
        <v>0</v>
      </c>
      <c r="J725" t="n">
        <v>0</v>
      </c>
      <c r="K725" t="n">
        <v>0</v>
      </c>
      <c r="L725" t="n">
        <v>0</v>
      </c>
      <c r="M725" t="n">
        <v>0</v>
      </c>
      <c r="N725" t="n">
        <v>0</v>
      </c>
      <c r="O725" t="n">
        <v>0</v>
      </c>
      <c r="P725" t="n">
        <v>0</v>
      </c>
      <c r="Q725" t="n">
        <v>0</v>
      </c>
      <c r="R725" s="2" t="inlineStr"/>
    </row>
    <row r="726" ht="15" customHeight="1">
      <c r="A726" t="inlineStr">
        <is>
          <t>A 37015-2025</t>
        </is>
      </c>
      <c r="B726" s="1" t="n">
        <v>45874.71912037037</v>
      </c>
      <c r="C726" s="1" t="n">
        <v>45890</v>
      </c>
      <c r="D726" t="inlineStr">
        <is>
          <t>VÄSTERBOTTENS LÄN</t>
        </is>
      </c>
      <c r="E726" t="inlineStr">
        <is>
          <t>VILHELMINA</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27918-2022</t>
        </is>
      </c>
      <c r="B727" s="1" t="n">
        <v>44743.94145833333</v>
      </c>
      <c r="C727" s="1" t="n">
        <v>45890</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8726-2023</t>
        </is>
      </c>
      <c r="B728" s="1" t="n">
        <v>44972</v>
      </c>
      <c r="C728" s="1" t="n">
        <v>45890</v>
      </c>
      <c r="D728" t="inlineStr">
        <is>
          <t>VÄSTERBOTTENS LÄN</t>
        </is>
      </c>
      <c r="E728" t="inlineStr">
        <is>
          <t>VILHELMINA</t>
        </is>
      </c>
      <c r="F728" t="inlineStr">
        <is>
          <t>Allmännings- och besparingsskogar</t>
        </is>
      </c>
      <c r="G728" t="n">
        <v>50</v>
      </c>
      <c r="H728" t="n">
        <v>0</v>
      </c>
      <c r="I728" t="n">
        <v>0</v>
      </c>
      <c r="J728" t="n">
        <v>0</v>
      </c>
      <c r="K728" t="n">
        <v>0</v>
      </c>
      <c r="L728" t="n">
        <v>0</v>
      </c>
      <c r="M728" t="n">
        <v>0</v>
      </c>
      <c r="N728" t="n">
        <v>0</v>
      </c>
      <c r="O728" t="n">
        <v>0</v>
      </c>
      <c r="P728" t="n">
        <v>0</v>
      </c>
      <c r="Q728" t="n">
        <v>0</v>
      </c>
      <c r="R728" s="2" t="inlineStr"/>
    </row>
    <row r="729" ht="15" customHeight="1">
      <c r="A729" t="inlineStr">
        <is>
          <t>A 31485-2025</t>
        </is>
      </c>
      <c r="B729" s="1" t="n">
        <v>45833</v>
      </c>
      <c r="C729" s="1" t="n">
        <v>45890</v>
      </c>
      <c r="D729" t="inlineStr">
        <is>
          <t>VÄSTERBOTTENS LÄN</t>
        </is>
      </c>
      <c r="E729" t="inlineStr">
        <is>
          <t>VILHELMINA</t>
        </is>
      </c>
      <c r="G729" t="n">
        <v>2.8</v>
      </c>
      <c r="H729" t="n">
        <v>0</v>
      </c>
      <c r="I729" t="n">
        <v>0</v>
      </c>
      <c r="J729" t="n">
        <v>0</v>
      </c>
      <c r="K729" t="n">
        <v>0</v>
      </c>
      <c r="L729" t="n">
        <v>0</v>
      </c>
      <c r="M729" t="n">
        <v>0</v>
      </c>
      <c r="N729" t="n">
        <v>0</v>
      </c>
      <c r="O729" t="n">
        <v>0</v>
      </c>
      <c r="P729" t="n">
        <v>0</v>
      </c>
      <c r="Q729" t="n">
        <v>0</v>
      </c>
      <c r="R729" s="2" t="inlineStr"/>
    </row>
    <row r="730" ht="15" customHeight="1">
      <c r="A730" t="inlineStr">
        <is>
          <t>A 38125-2024</t>
        </is>
      </c>
      <c r="B730" s="1" t="n">
        <v>45545.40717592592</v>
      </c>
      <c r="C730" s="1" t="n">
        <v>45890</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38126-2024</t>
        </is>
      </c>
      <c r="B731" s="1" t="n">
        <v>45545</v>
      </c>
      <c r="C731" s="1" t="n">
        <v>45890</v>
      </c>
      <c r="D731" t="inlineStr">
        <is>
          <t>VÄSTERBOTTENS LÄN</t>
        </is>
      </c>
      <c r="E731" t="inlineStr">
        <is>
          <t>VILHELMINA</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38130-2024</t>
        </is>
      </c>
      <c r="B732" s="1" t="n">
        <v>45545</v>
      </c>
      <c r="C732" s="1" t="n">
        <v>45890</v>
      </c>
      <c r="D732" t="inlineStr">
        <is>
          <t>VÄSTERBOTTENS LÄN</t>
        </is>
      </c>
      <c r="E732" t="inlineStr">
        <is>
          <t>VILHELMINA</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31308-2025</t>
        </is>
      </c>
      <c r="B733" s="1" t="n">
        <v>45833</v>
      </c>
      <c r="C733" s="1" t="n">
        <v>45890</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31730-2025</t>
        </is>
      </c>
      <c r="B734" s="1" t="n">
        <v>45834</v>
      </c>
      <c r="C734" s="1" t="n">
        <v>45890</v>
      </c>
      <c r="D734" t="inlineStr">
        <is>
          <t>VÄSTERBOTTENS LÄN</t>
        </is>
      </c>
      <c r="E734" t="inlineStr">
        <is>
          <t>VILHELMINA</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41330-2022</t>
        </is>
      </c>
      <c r="B735" s="1" t="n">
        <v>44826</v>
      </c>
      <c r="C735" s="1" t="n">
        <v>45890</v>
      </c>
      <c r="D735" t="inlineStr">
        <is>
          <t>VÄSTERBOTTENS LÄN</t>
        </is>
      </c>
      <c r="E735" t="inlineStr">
        <is>
          <t>VILHELMINA</t>
        </is>
      </c>
      <c r="G735" t="n">
        <v>3.4</v>
      </c>
      <c r="H735" t="n">
        <v>0</v>
      </c>
      <c r="I735" t="n">
        <v>0</v>
      </c>
      <c r="J735" t="n">
        <v>0</v>
      </c>
      <c r="K735" t="n">
        <v>0</v>
      </c>
      <c r="L735" t="n">
        <v>0</v>
      </c>
      <c r="M735" t="n">
        <v>0</v>
      </c>
      <c r="N735" t="n">
        <v>0</v>
      </c>
      <c r="O735" t="n">
        <v>0</v>
      </c>
      <c r="P735" t="n">
        <v>0</v>
      </c>
      <c r="Q735" t="n">
        <v>0</v>
      </c>
      <c r="R735" s="2" t="inlineStr"/>
    </row>
    <row r="736" ht="15" customHeight="1">
      <c r="A736" t="inlineStr">
        <is>
          <t>A 37376-2025</t>
        </is>
      </c>
      <c r="B736" s="1" t="n">
        <v>45877.36513888889</v>
      </c>
      <c r="C736" s="1" t="n">
        <v>45890</v>
      </c>
      <c r="D736" t="inlineStr">
        <is>
          <t>VÄSTERBOTTENS LÄN</t>
        </is>
      </c>
      <c r="E736" t="inlineStr">
        <is>
          <t>VILHELMINA</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44963.93989583333</v>
      </c>
      <c r="C737" s="1" t="n">
        <v>45890</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12825-2023</t>
        </is>
      </c>
      <c r="B738" s="1" t="n">
        <v>45000</v>
      </c>
      <c r="C738" s="1" t="n">
        <v>45890</v>
      </c>
      <c r="D738" t="inlineStr">
        <is>
          <t>VÄSTERBOTTENS LÄN</t>
        </is>
      </c>
      <c r="E738" t="inlineStr">
        <is>
          <t>VILHELMINA</t>
        </is>
      </c>
      <c r="G738" t="n">
        <v>22.4</v>
      </c>
      <c r="H738" t="n">
        <v>0</v>
      </c>
      <c r="I738" t="n">
        <v>0</v>
      </c>
      <c r="J738" t="n">
        <v>0</v>
      </c>
      <c r="K738" t="n">
        <v>0</v>
      </c>
      <c r="L738" t="n">
        <v>0</v>
      </c>
      <c r="M738" t="n">
        <v>0</v>
      </c>
      <c r="N738" t="n">
        <v>0</v>
      </c>
      <c r="O738" t="n">
        <v>0</v>
      </c>
      <c r="P738" t="n">
        <v>0</v>
      </c>
      <c r="Q738" t="n">
        <v>0</v>
      </c>
      <c r="R738" s="2" t="inlineStr"/>
    </row>
    <row r="739" ht="15" customHeight="1">
      <c r="A739" t="inlineStr">
        <is>
          <t>A 20510-2024</t>
        </is>
      </c>
      <c r="B739" s="1" t="n">
        <v>45435.94324074074</v>
      </c>
      <c r="C739" s="1" t="n">
        <v>45890</v>
      </c>
      <c r="D739" t="inlineStr">
        <is>
          <t>VÄSTERBOTTENS LÄN</t>
        </is>
      </c>
      <c r="E739" t="inlineStr">
        <is>
          <t>VILHELMINA</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45890</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6653-2021</t>
        </is>
      </c>
      <c r="B741" s="1" t="n">
        <v>44235</v>
      </c>
      <c r="C741" s="1" t="n">
        <v>45890</v>
      </c>
      <c r="D741" t="inlineStr">
        <is>
          <t>VÄSTERBOTTENS LÄN</t>
        </is>
      </c>
      <c r="E741" t="inlineStr">
        <is>
          <t>VILHELMINA</t>
        </is>
      </c>
      <c r="G741" t="n">
        <v>18</v>
      </c>
      <c r="H741" t="n">
        <v>0</v>
      </c>
      <c r="I741" t="n">
        <v>0</v>
      </c>
      <c r="J741" t="n">
        <v>0</v>
      </c>
      <c r="K741" t="n">
        <v>0</v>
      </c>
      <c r="L741" t="n">
        <v>0</v>
      </c>
      <c r="M741" t="n">
        <v>0</v>
      </c>
      <c r="N741" t="n">
        <v>0</v>
      </c>
      <c r="O741" t="n">
        <v>0</v>
      </c>
      <c r="P741" t="n">
        <v>0</v>
      </c>
      <c r="Q741" t="n">
        <v>0</v>
      </c>
      <c r="R741" s="2" t="inlineStr"/>
    </row>
    <row r="742" ht="15" customHeight="1">
      <c r="A742" t="inlineStr">
        <is>
          <t>A 60842-2023</t>
        </is>
      </c>
      <c r="B742" s="1" t="n">
        <v>45260.9258912037</v>
      </c>
      <c r="C742" s="1" t="n">
        <v>45890</v>
      </c>
      <c r="D742" t="inlineStr">
        <is>
          <t>VÄSTERBOTTENS LÄN</t>
        </is>
      </c>
      <c r="E742" t="inlineStr">
        <is>
          <t>VILHELMINA</t>
        </is>
      </c>
      <c r="G742" t="n">
        <v>2.9</v>
      </c>
      <c r="H742" t="n">
        <v>0</v>
      </c>
      <c r="I742" t="n">
        <v>0</v>
      </c>
      <c r="J742" t="n">
        <v>0</v>
      </c>
      <c r="K742" t="n">
        <v>0</v>
      </c>
      <c r="L742" t="n">
        <v>0</v>
      </c>
      <c r="M742" t="n">
        <v>0</v>
      </c>
      <c r="N742" t="n">
        <v>0</v>
      </c>
      <c r="O742" t="n">
        <v>0</v>
      </c>
      <c r="P742" t="n">
        <v>0</v>
      </c>
      <c r="Q742" t="n">
        <v>0</v>
      </c>
      <c r="R742" s="2" t="inlineStr"/>
    </row>
    <row r="743" ht="15" customHeight="1">
      <c r="A743" t="inlineStr">
        <is>
          <t>A 706-2024</t>
        </is>
      </c>
      <c r="B743" s="1" t="n">
        <v>45300</v>
      </c>
      <c r="C743" s="1" t="n">
        <v>45890</v>
      </c>
      <c r="D743" t="inlineStr">
        <is>
          <t>VÄSTERBOTTENS LÄN</t>
        </is>
      </c>
      <c r="E743" t="inlineStr">
        <is>
          <t>VILHELMINA</t>
        </is>
      </c>
      <c r="G743" t="n">
        <v>2.8</v>
      </c>
      <c r="H743" t="n">
        <v>0</v>
      </c>
      <c r="I743" t="n">
        <v>0</v>
      </c>
      <c r="J743" t="n">
        <v>0</v>
      </c>
      <c r="K743" t="n">
        <v>0</v>
      </c>
      <c r="L743" t="n">
        <v>0</v>
      </c>
      <c r="M743" t="n">
        <v>0</v>
      </c>
      <c r="N743" t="n">
        <v>0</v>
      </c>
      <c r="O743" t="n">
        <v>0</v>
      </c>
      <c r="P743" t="n">
        <v>0</v>
      </c>
      <c r="Q743" t="n">
        <v>0</v>
      </c>
      <c r="R743" s="2" t="inlineStr"/>
    </row>
    <row r="744" ht="15" customHeight="1">
      <c r="A744" t="inlineStr">
        <is>
          <t>A 37369-2025</t>
        </is>
      </c>
      <c r="B744" s="1" t="n">
        <v>45877.34444444445</v>
      </c>
      <c r="C744" s="1" t="n">
        <v>45890</v>
      </c>
      <c r="D744" t="inlineStr">
        <is>
          <t>VÄSTERBOTTENS LÄN</t>
        </is>
      </c>
      <c r="E744" t="inlineStr">
        <is>
          <t>VILHELMINA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31724-2025</t>
        </is>
      </c>
      <c r="B745" s="1" t="n">
        <v>45834</v>
      </c>
      <c r="C745" s="1" t="n">
        <v>45890</v>
      </c>
      <c r="D745" t="inlineStr">
        <is>
          <t>VÄSTERBOTTENS LÄN</t>
        </is>
      </c>
      <c r="E745" t="inlineStr">
        <is>
          <t>VILHELMINA</t>
        </is>
      </c>
      <c r="G745" t="n">
        <v>19.7</v>
      </c>
      <c r="H745" t="n">
        <v>0</v>
      </c>
      <c r="I745" t="n">
        <v>0</v>
      </c>
      <c r="J745" t="n">
        <v>0</v>
      </c>
      <c r="K745" t="n">
        <v>0</v>
      </c>
      <c r="L745" t="n">
        <v>0</v>
      </c>
      <c r="M745" t="n">
        <v>0</v>
      </c>
      <c r="N745" t="n">
        <v>0</v>
      </c>
      <c r="O745" t="n">
        <v>0</v>
      </c>
      <c r="P745" t="n">
        <v>0</v>
      </c>
      <c r="Q745" t="n">
        <v>0</v>
      </c>
      <c r="R745" s="2" t="inlineStr"/>
    </row>
    <row r="746" ht="15" customHeight="1">
      <c r="A746" t="inlineStr">
        <is>
          <t>A 11114-2022</t>
        </is>
      </c>
      <c r="B746" s="1" t="n">
        <v>44628.925625</v>
      </c>
      <c r="C746" s="1" t="n">
        <v>45890</v>
      </c>
      <c r="D746" t="inlineStr">
        <is>
          <t>VÄSTERBOTTENS LÄN</t>
        </is>
      </c>
      <c r="E746" t="inlineStr">
        <is>
          <t>VILHELMINA</t>
        </is>
      </c>
      <c r="G746" t="n">
        <v>8.6</v>
      </c>
      <c r="H746" t="n">
        <v>0</v>
      </c>
      <c r="I746" t="n">
        <v>0</v>
      </c>
      <c r="J746" t="n">
        <v>0</v>
      </c>
      <c r="K746" t="n">
        <v>0</v>
      </c>
      <c r="L746" t="n">
        <v>0</v>
      </c>
      <c r="M746" t="n">
        <v>0</v>
      </c>
      <c r="N746" t="n">
        <v>0</v>
      </c>
      <c r="O746" t="n">
        <v>0</v>
      </c>
      <c r="P746" t="n">
        <v>0</v>
      </c>
      <c r="Q746" t="n">
        <v>0</v>
      </c>
      <c r="R746" s="2" t="inlineStr"/>
    </row>
    <row r="747" ht="15" customHeight="1">
      <c r="A747" t="inlineStr">
        <is>
          <t>A 31733-2025</t>
        </is>
      </c>
      <c r="B747" s="1" t="n">
        <v>45834.47035879629</v>
      </c>
      <c r="C747" s="1" t="n">
        <v>45890</v>
      </c>
      <c r="D747" t="inlineStr">
        <is>
          <t>VÄSTERBOTTENS LÄN</t>
        </is>
      </c>
      <c r="E747" t="inlineStr">
        <is>
          <t>VILHELMINA</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48068-2022</t>
        </is>
      </c>
      <c r="B748" s="1" t="n">
        <v>44855</v>
      </c>
      <c r="C748" s="1" t="n">
        <v>45890</v>
      </c>
      <c r="D748" t="inlineStr">
        <is>
          <t>VÄSTERBOTTENS LÄN</t>
        </is>
      </c>
      <c r="E748" t="inlineStr">
        <is>
          <t>VILHELMINA</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33349-2023</t>
        </is>
      </c>
      <c r="B749" s="1" t="n">
        <v>45117</v>
      </c>
      <c r="C749" s="1" t="n">
        <v>45890</v>
      </c>
      <c r="D749" t="inlineStr">
        <is>
          <t>VÄSTERBOTTENS LÄN</t>
        </is>
      </c>
      <c r="E749" t="inlineStr">
        <is>
          <t>VILHELMINA</t>
        </is>
      </c>
      <c r="G749" t="n">
        <v>1.3</v>
      </c>
      <c r="H749" t="n">
        <v>0</v>
      </c>
      <c r="I749" t="n">
        <v>0</v>
      </c>
      <c r="J749" t="n">
        <v>0</v>
      </c>
      <c r="K749" t="n">
        <v>0</v>
      </c>
      <c r="L749" t="n">
        <v>0</v>
      </c>
      <c r="M749" t="n">
        <v>0</v>
      </c>
      <c r="N749" t="n">
        <v>0</v>
      </c>
      <c r="O749" t="n">
        <v>0</v>
      </c>
      <c r="P749" t="n">
        <v>0</v>
      </c>
      <c r="Q749" t="n">
        <v>0</v>
      </c>
      <c r="R749" s="2" t="inlineStr"/>
    </row>
    <row r="750" ht="15" customHeight="1">
      <c r="A750" t="inlineStr">
        <is>
          <t>A 18692-2023</t>
        </is>
      </c>
      <c r="B750" s="1" t="n">
        <v>45042</v>
      </c>
      <c r="C750" s="1" t="n">
        <v>45890</v>
      </c>
      <c r="D750" t="inlineStr">
        <is>
          <t>VÄSTERBOTTENS LÄN</t>
        </is>
      </c>
      <c r="E750" t="inlineStr">
        <is>
          <t>VILHELMINA</t>
        </is>
      </c>
      <c r="F750" t="inlineStr">
        <is>
          <t>Allmännings- och besparingsskogar</t>
        </is>
      </c>
      <c r="G750" t="n">
        <v>0.6</v>
      </c>
      <c r="H750" t="n">
        <v>0</v>
      </c>
      <c r="I750" t="n">
        <v>0</v>
      </c>
      <c r="J750" t="n">
        <v>0</v>
      </c>
      <c r="K750" t="n">
        <v>0</v>
      </c>
      <c r="L750" t="n">
        <v>0</v>
      </c>
      <c r="M750" t="n">
        <v>0</v>
      </c>
      <c r="N750" t="n">
        <v>0</v>
      </c>
      <c r="O750" t="n">
        <v>0</v>
      </c>
      <c r="P750" t="n">
        <v>0</v>
      </c>
      <c r="Q750" t="n">
        <v>0</v>
      </c>
      <c r="R750" s="2" t="inlineStr"/>
    </row>
    <row r="751" ht="15" customHeight="1">
      <c r="A751" t="inlineStr">
        <is>
          <t>A 58833-2023</t>
        </is>
      </c>
      <c r="B751" s="1" t="n">
        <v>45248</v>
      </c>
      <c r="C751" s="1" t="n">
        <v>45890</v>
      </c>
      <c r="D751" t="inlineStr">
        <is>
          <t>VÄSTERBOTTENS LÄN</t>
        </is>
      </c>
      <c r="E751" t="inlineStr">
        <is>
          <t>VILHELMINA</t>
        </is>
      </c>
      <c r="G751" t="n">
        <v>1.5</v>
      </c>
      <c r="H751" t="n">
        <v>0</v>
      </c>
      <c r="I751" t="n">
        <v>0</v>
      </c>
      <c r="J751" t="n">
        <v>0</v>
      </c>
      <c r="K751" t="n">
        <v>0</v>
      </c>
      <c r="L751" t="n">
        <v>0</v>
      </c>
      <c r="M751" t="n">
        <v>0</v>
      </c>
      <c r="N751" t="n">
        <v>0</v>
      </c>
      <c r="O751" t="n">
        <v>0</v>
      </c>
      <c r="P751" t="n">
        <v>0</v>
      </c>
      <c r="Q751" t="n">
        <v>0</v>
      </c>
      <c r="R751" s="2" t="inlineStr"/>
    </row>
    <row r="752" ht="15" customHeight="1">
      <c r="A752" t="inlineStr">
        <is>
          <t>A 19465-2025</t>
        </is>
      </c>
      <c r="B752" s="1" t="n">
        <v>45770</v>
      </c>
      <c r="C752" s="1" t="n">
        <v>45890</v>
      </c>
      <c r="D752" t="inlineStr">
        <is>
          <t>VÄSTERBOTTENS LÄN</t>
        </is>
      </c>
      <c r="E752" t="inlineStr">
        <is>
          <t>VILHELMINA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51826-2023</t>
        </is>
      </c>
      <c r="B753" s="1" t="n">
        <v>45222.9678125</v>
      </c>
      <c r="C753" s="1" t="n">
        <v>45890</v>
      </c>
      <c r="D753" t="inlineStr">
        <is>
          <t>VÄSTERBOTTENS LÄN</t>
        </is>
      </c>
      <c r="E753" t="inlineStr">
        <is>
          <t>VILHELMINA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6664-2021</t>
        </is>
      </c>
      <c r="B754" s="1" t="n">
        <v>44235</v>
      </c>
      <c r="C754" s="1" t="n">
        <v>45890</v>
      </c>
      <c r="D754" t="inlineStr">
        <is>
          <t>VÄSTERBOTTENS LÄN</t>
        </is>
      </c>
      <c r="E754" t="inlineStr">
        <is>
          <t>VILHELMINA</t>
        </is>
      </c>
      <c r="G754" t="n">
        <v>2.5</v>
      </c>
      <c r="H754" t="n">
        <v>0</v>
      </c>
      <c r="I754" t="n">
        <v>0</v>
      </c>
      <c r="J754" t="n">
        <v>0</v>
      </c>
      <c r="K754" t="n">
        <v>0</v>
      </c>
      <c r="L754" t="n">
        <v>0</v>
      </c>
      <c r="M754" t="n">
        <v>0</v>
      </c>
      <c r="N754" t="n">
        <v>0</v>
      </c>
      <c r="O754" t="n">
        <v>0</v>
      </c>
      <c r="P754" t="n">
        <v>0</v>
      </c>
      <c r="Q754" t="n">
        <v>0</v>
      </c>
      <c r="R754" s="2" t="inlineStr"/>
    </row>
    <row r="755" ht="15" customHeight="1">
      <c r="A755" t="inlineStr">
        <is>
          <t>A 23360-2025</t>
        </is>
      </c>
      <c r="B755" s="1" t="n">
        <v>45791</v>
      </c>
      <c r="C755" s="1" t="n">
        <v>45890</v>
      </c>
      <c r="D755" t="inlineStr">
        <is>
          <t>VÄSTERBOTTENS LÄN</t>
        </is>
      </c>
      <c r="E755" t="inlineStr">
        <is>
          <t>VILHELMINA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36669-2025</t>
        </is>
      </c>
      <c r="B756" s="1" t="n">
        <v>45873</v>
      </c>
      <c r="C756" s="1" t="n">
        <v>45890</v>
      </c>
      <c r="D756" t="inlineStr">
        <is>
          <t>VÄSTERBOTTENS LÄN</t>
        </is>
      </c>
      <c r="E756" t="inlineStr">
        <is>
          <t>VILHELMINA</t>
        </is>
      </c>
      <c r="G756" t="n">
        <v>12.5</v>
      </c>
      <c r="H756" t="n">
        <v>0</v>
      </c>
      <c r="I756" t="n">
        <v>0</v>
      </c>
      <c r="J756" t="n">
        <v>0</v>
      </c>
      <c r="K756" t="n">
        <v>0</v>
      </c>
      <c r="L756" t="n">
        <v>0</v>
      </c>
      <c r="M756" t="n">
        <v>0</v>
      </c>
      <c r="N756" t="n">
        <v>0</v>
      </c>
      <c r="O756" t="n">
        <v>0</v>
      </c>
      <c r="P756" t="n">
        <v>0</v>
      </c>
      <c r="Q756" t="n">
        <v>0</v>
      </c>
      <c r="R756" s="2" t="inlineStr"/>
    </row>
    <row r="757" ht="15" customHeight="1">
      <c r="A757" t="inlineStr">
        <is>
          <t>A 37269-2025</t>
        </is>
      </c>
      <c r="B757" s="1" t="n">
        <v>45876</v>
      </c>
      <c r="C757" s="1" t="n">
        <v>45890</v>
      </c>
      <c r="D757" t="inlineStr">
        <is>
          <t>VÄSTERBOTTENS LÄN</t>
        </is>
      </c>
      <c r="E757" t="inlineStr">
        <is>
          <t>VILHELMINA</t>
        </is>
      </c>
      <c r="G757" t="n">
        <v>2.5</v>
      </c>
      <c r="H757" t="n">
        <v>0</v>
      </c>
      <c r="I757" t="n">
        <v>0</v>
      </c>
      <c r="J757" t="n">
        <v>0</v>
      </c>
      <c r="K757" t="n">
        <v>0</v>
      </c>
      <c r="L757" t="n">
        <v>0</v>
      </c>
      <c r="M757" t="n">
        <v>0</v>
      </c>
      <c r="N757" t="n">
        <v>0</v>
      </c>
      <c r="O757" t="n">
        <v>0</v>
      </c>
      <c r="P757" t="n">
        <v>0</v>
      </c>
      <c r="Q757" t="n">
        <v>0</v>
      </c>
      <c r="R757" s="2" t="inlineStr"/>
    </row>
    <row r="758" ht="15" customHeight="1">
      <c r="A758" t="inlineStr">
        <is>
          <t>A 37302-2025</t>
        </is>
      </c>
      <c r="B758" s="1" t="n">
        <v>45876</v>
      </c>
      <c r="C758" s="1" t="n">
        <v>45890</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61920-2020</t>
        </is>
      </c>
      <c r="B759" s="1" t="n">
        <v>44155</v>
      </c>
      <c r="C759" s="1" t="n">
        <v>45890</v>
      </c>
      <c r="D759" t="inlineStr">
        <is>
          <t>VÄSTERBOTTENS LÄN</t>
        </is>
      </c>
      <c r="E759" t="inlineStr">
        <is>
          <t>VILHELMINA</t>
        </is>
      </c>
      <c r="G759" t="n">
        <v>7.7</v>
      </c>
      <c r="H759" t="n">
        <v>0</v>
      </c>
      <c r="I759" t="n">
        <v>0</v>
      </c>
      <c r="J759" t="n">
        <v>0</v>
      </c>
      <c r="K759" t="n">
        <v>0</v>
      </c>
      <c r="L759" t="n">
        <v>0</v>
      </c>
      <c r="M759" t="n">
        <v>0</v>
      </c>
      <c r="N759" t="n">
        <v>0</v>
      </c>
      <c r="O759" t="n">
        <v>0</v>
      </c>
      <c r="P759" t="n">
        <v>0</v>
      </c>
      <c r="Q759" t="n">
        <v>0</v>
      </c>
      <c r="R759" s="2" t="inlineStr"/>
    </row>
    <row r="760" ht="15" customHeight="1">
      <c r="A760" t="inlineStr">
        <is>
          <t>A 59031-2024</t>
        </is>
      </c>
      <c r="B760" s="1" t="n">
        <v>45636</v>
      </c>
      <c r="C760" s="1" t="n">
        <v>45890</v>
      </c>
      <c r="D760" t="inlineStr">
        <is>
          <t>VÄSTERBOTTENS LÄN</t>
        </is>
      </c>
      <c r="E760" t="inlineStr">
        <is>
          <t>VILHELMINA</t>
        </is>
      </c>
      <c r="G760" t="n">
        <v>38.9</v>
      </c>
      <c r="H760" t="n">
        <v>0</v>
      </c>
      <c r="I760" t="n">
        <v>0</v>
      </c>
      <c r="J760" t="n">
        <v>0</v>
      </c>
      <c r="K760" t="n">
        <v>0</v>
      </c>
      <c r="L760" t="n">
        <v>0</v>
      </c>
      <c r="M760" t="n">
        <v>0</v>
      </c>
      <c r="N760" t="n">
        <v>0</v>
      </c>
      <c r="O760" t="n">
        <v>0</v>
      </c>
      <c r="P760" t="n">
        <v>0</v>
      </c>
      <c r="Q760" t="n">
        <v>0</v>
      </c>
      <c r="R760" s="2" t="inlineStr"/>
    </row>
    <row r="761" ht="15" customHeight="1">
      <c r="A761" t="inlineStr">
        <is>
          <t>A 58749-2023</t>
        </is>
      </c>
      <c r="B761" s="1" t="n">
        <v>45251.92947916667</v>
      </c>
      <c r="C761" s="1" t="n">
        <v>45890</v>
      </c>
      <c r="D761" t="inlineStr">
        <is>
          <t>VÄSTERBOTTENS LÄN</t>
        </is>
      </c>
      <c r="E761" t="inlineStr">
        <is>
          <t>VILHELMINA</t>
        </is>
      </c>
      <c r="G761" t="n">
        <v>2.8</v>
      </c>
      <c r="H761" t="n">
        <v>0</v>
      </c>
      <c r="I761" t="n">
        <v>0</v>
      </c>
      <c r="J761" t="n">
        <v>0</v>
      </c>
      <c r="K761" t="n">
        <v>0</v>
      </c>
      <c r="L761" t="n">
        <v>0</v>
      </c>
      <c r="M761" t="n">
        <v>0</v>
      </c>
      <c r="N761" t="n">
        <v>0</v>
      </c>
      <c r="O761" t="n">
        <v>0</v>
      </c>
      <c r="P761" t="n">
        <v>0</v>
      </c>
      <c r="Q761" t="n">
        <v>0</v>
      </c>
      <c r="R761" s="2" t="inlineStr"/>
    </row>
    <row r="762" ht="15" customHeight="1">
      <c r="A762" t="inlineStr">
        <is>
          <t>A 18848-2025</t>
        </is>
      </c>
      <c r="B762" s="1" t="n">
        <v>45764</v>
      </c>
      <c r="C762" s="1" t="n">
        <v>45890</v>
      </c>
      <c r="D762" t="inlineStr">
        <is>
          <t>VÄSTERBOTTENS LÄN</t>
        </is>
      </c>
      <c r="E762" t="inlineStr">
        <is>
          <t>VILHELMINA</t>
        </is>
      </c>
      <c r="G762" t="n">
        <v>16.4</v>
      </c>
      <c r="H762" t="n">
        <v>0</v>
      </c>
      <c r="I762" t="n">
        <v>0</v>
      </c>
      <c r="J762" t="n">
        <v>0</v>
      </c>
      <c r="K762" t="n">
        <v>0</v>
      </c>
      <c r="L762" t="n">
        <v>0</v>
      </c>
      <c r="M762" t="n">
        <v>0</v>
      </c>
      <c r="N762" t="n">
        <v>0</v>
      </c>
      <c r="O762" t="n">
        <v>0</v>
      </c>
      <c r="P762" t="n">
        <v>0</v>
      </c>
      <c r="Q762" t="n">
        <v>0</v>
      </c>
      <c r="R762" s="2" t="inlineStr"/>
    </row>
    <row r="763" ht="15" customHeight="1">
      <c r="A763" t="inlineStr">
        <is>
          <t>A 38297-2024</t>
        </is>
      </c>
      <c r="B763" s="1" t="n">
        <v>45545</v>
      </c>
      <c r="C763" s="1" t="n">
        <v>45890</v>
      </c>
      <c r="D763" t="inlineStr">
        <is>
          <t>VÄSTERBOTTENS LÄN</t>
        </is>
      </c>
      <c r="E763" t="inlineStr">
        <is>
          <t>VILHELMINA</t>
        </is>
      </c>
      <c r="G763" t="n">
        <v>139.8</v>
      </c>
      <c r="H763" t="n">
        <v>0</v>
      </c>
      <c r="I763" t="n">
        <v>0</v>
      </c>
      <c r="J763" t="n">
        <v>0</v>
      </c>
      <c r="K763" t="n">
        <v>0</v>
      </c>
      <c r="L763" t="n">
        <v>0</v>
      </c>
      <c r="M763" t="n">
        <v>0</v>
      </c>
      <c r="N763" t="n">
        <v>0</v>
      </c>
      <c r="O763" t="n">
        <v>0</v>
      </c>
      <c r="P763" t="n">
        <v>0</v>
      </c>
      <c r="Q763" t="n">
        <v>0</v>
      </c>
      <c r="R763" s="2" t="inlineStr"/>
    </row>
    <row r="764" ht="15" customHeight="1">
      <c r="A764" t="inlineStr">
        <is>
          <t>A 35886-2025</t>
        </is>
      </c>
      <c r="B764" s="1" t="n">
        <v>45862</v>
      </c>
      <c r="C764" s="1" t="n">
        <v>45890</v>
      </c>
      <c r="D764" t="inlineStr">
        <is>
          <t>VÄSTERBOTTENS LÄN</t>
        </is>
      </c>
      <c r="E764" t="inlineStr">
        <is>
          <t>VILHELMINA</t>
        </is>
      </c>
      <c r="G764" t="n">
        <v>7</v>
      </c>
      <c r="H764" t="n">
        <v>0</v>
      </c>
      <c r="I764" t="n">
        <v>0</v>
      </c>
      <c r="J764" t="n">
        <v>0</v>
      </c>
      <c r="K764" t="n">
        <v>0</v>
      </c>
      <c r="L764" t="n">
        <v>0</v>
      </c>
      <c r="M764" t="n">
        <v>0</v>
      </c>
      <c r="N764" t="n">
        <v>0</v>
      </c>
      <c r="O764" t="n">
        <v>0</v>
      </c>
      <c r="P764" t="n">
        <v>0</v>
      </c>
      <c r="Q764" t="n">
        <v>0</v>
      </c>
      <c r="R764" s="2" t="inlineStr"/>
    </row>
    <row r="765" ht="15" customHeight="1">
      <c r="A765" t="inlineStr">
        <is>
          <t>A 32947-2025</t>
        </is>
      </c>
      <c r="B765" s="1" t="n">
        <v>45839</v>
      </c>
      <c r="C765" s="1" t="n">
        <v>45890</v>
      </c>
      <c r="D765" t="inlineStr">
        <is>
          <t>VÄSTERBOTTENS LÄN</t>
        </is>
      </c>
      <c r="E765" t="inlineStr">
        <is>
          <t>VILHELMINA</t>
        </is>
      </c>
      <c r="G765" t="n">
        <v>19.1</v>
      </c>
      <c r="H765" t="n">
        <v>0</v>
      </c>
      <c r="I765" t="n">
        <v>0</v>
      </c>
      <c r="J765" t="n">
        <v>0</v>
      </c>
      <c r="K765" t="n">
        <v>0</v>
      </c>
      <c r="L765" t="n">
        <v>0</v>
      </c>
      <c r="M765" t="n">
        <v>0</v>
      </c>
      <c r="N765" t="n">
        <v>0</v>
      </c>
      <c r="O765" t="n">
        <v>0</v>
      </c>
      <c r="P765" t="n">
        <v>0</v>
      </c>
      <c r="Q765" t="n">
        <v>0</v>
      </c>
      <c r="R765" s="2" t="inlineStr"/>
    </row>
    <row r="766" ht="15" customHeight="1">
      <c r="A766" t="inlineStr">
        <is>
          <t>A 40732-2024</t>
        </is>
      </c>
      <c r="B766" s="1" t="n">
        <v>45558</v>
      </c>
      <c r="C766" s="1" t="n">
        <v>45890</v>
      </c>
      <c r="D766" t="inlineStr">
        <is>
          <t>VÄSTERBOTTENS LÄN</t>
        </is>
      </c>
      <c r="E766" t="inlineStr">
        <is>
          <t>VILHELMINA</t>
        </is>
      </c>
      <c r="F766" t="inlineStr">
        <is>
          <t>Allmännings- och besparingsskogar</t>
        </is>
      </c>
      <c r="G766" t="n">
        <v>89.59999999999999</v>
      </c>
      <c r="H766" t="n">
        <v>0</v>
      </c>
      <c r="I766" t="n">
        <v>0</v>
      </c>
      <c r="J766" t="n">
        <v>0</v>
      </c>
      <c r="K766" t="n">
        <v>0</v>
      </c>
      <c r="L766" t="n">
        <v>0</v>
      </c>
      <c r="M766" t="n">
        <v>0</v>
      </c>
      <c r="N766" t="n">
        <v>0</v>
      </c>
      <c r="O766" t="n">
        <v>0</v>
      </c>
      <c r="P766" t="n">
        <v>0</v>
      </c>
      <c r="Q766" t="n">
        <v>0</v>
      </c>
      <c r="R766" s="2" t="inlineStr"/>
    </row>
    <row r="767" ht="15" customHeight="1">
      <c r="A767" t="inlineStr">
        <is>
          <t>A 37368-2025</t>
        </is>
      </c>
      <c r="B767" s="1" t="n">
        <v>45877.34436342592</v>
      </c>
      <c r="C767" s="1" t="n">
        <v>45890</v>
      </c>
      <c r="D767" t="inlineStr">
        <is>
          <t>VÄSTERBOTTENS LÄN</t>
        </is>
      </c>
      <c r="E767" t="inlineStr">
        <is>
          <t>VILHELMINA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40726-2024</t>
        </is>
      </c>
      <c r="B768" s="1" t="n">
        <v>45558</v>
      </c>
      <c r="C768" s="1" t="n">
        <v>45890</v>
      </c>
      <c r="D768" t="inlineStr">
        <is>
          <t>VÄSTERBOTTENS LÄN</t>
        </is>
      </c>
      <c r="E768" t="inlineStr">
        <is>
          <t>VILHELMINA</t>
        </is>
      </c>
      <c r="F768" t="inlineStr">
        <is>
          <t>Allmännings- och besparingsskogar</t>
        </is>
      </c>
      <c r="G768" t="n">
        <v>73.59999999999999</v>
      </c>
      <c r="H768" t="n">
        <v>0</v>
      </c>
      <c r="I768" t="n">
        <v>0</v>
      </c>
      <c r="J768" t="n">
        <v>0</v>
      </c>
      <c r="K768" t="n">
        <v>0</v>
      </c>
      <c r="L768" t="n">
        <v>0</v>
      </c>
      <c r="M768" t="n">
        <v>0</v>
      </c>
      <c r="N768" t="n">
        <v>0</v>
      </c>
      <c r="O768" t="n">
        <v>0</v>
      </c>
      <c r="P768" t="n">
        <v>0</v>
      </c>
      <c r="Q768" t="n">
        <v>0</v>
      </c>
      <c r="R768" s="2" t="inlineStr"/>
    </row>
    <row r="769" ht="15" customHeight="1">
      <c r="A769" t="inlineStr">
        <is>
          <t>A 38211-2025</t>
        </is>
      </c>
      <c r="B769" s="1" t="n">
        <v>45882.93524305556</v>
      </c>
      <c r="C769" s="1" t="n">
        <v>45890</v>
      </c>
      <c r="D769" t="inlineStr">
        <is>
          <t>VÄSTERBOTTENS LÄN</t>
        </is>
      </c>
      <c r="E769" t="inlineStr">
        <is>
          <t>VILHELMINA</t>
        </is>
      </c>
      <c r="G769" t="n">
        <v>13.8</v>
      </c>
      <c r="H769" t="n">
        <v>0</v>
      </c>
      <c r="I769" t="n">
        <v>0</v>
      </c>
      <c r="J769" t="n">
        <v>0</v>
      </c>
      <c r="K769" t="n">
        <v>0</v>
      </c>
      <c r="L769" t="n">
        <v>0</v>
      </c>
      <c r="M769" t="n">
        <v>0</v>
      </c>
      <c r="N769" t="n">
        <v>0</v>
      </c>
      <c r="O769" t="n">
        <v>0</v>
      </c>
      <c r="P769" t="n">
        <v>0</v>
      </c>
      <c r="Q769" t="n">
        <v>0</v>
      </c>
      <c r="R769" s="2" t="inlineStr"/>
    </row>
    <row r="770" ht="15" customHeight="1">
      <c r="A770" t="inlineStr">
        <is>
          <t>A 38212-2025</t>
        </is>
      </c>
      <c r="B770" s="1" t="n">
        <v>45882.95137731481</v>
      </c>
      <c r="C770" s="1" t="n">
        <v>45890</v>
      </c>
      <c r="D770" t="inlineStr">
        <is>
          <t>VÄSTERBOTTENS LÄN</t>
        </is>
      </c>
      <c r="E770" t="inlineStr">
        <is>
          <t>VILHELMINA</t>
        </is>
      </c>
      <c r="G770" t="n">
        <v>11.7</v>
      </c>
      <c r="H770" t="n">
        <v>0</v>
      </c>
      <c r="I770" t="n">
        <v>0</v>
      </c>
      <c r="J770" t="n">
        <v>0</v>
      </c>
      <c r="K770" t="n">
        <v>0</v>
      </c>
      <c r="L770" t="n">
        <v>0</v>
      </c>
      <c r="M770" t="n">
        <v>0</v>
      </c>
      <c r="N770" t="n">
        <v>0</v>
      </c>
      <c r="O770" t="n">
        <v>0</v>
      </c>
      <c r="P770" t="n">
        <v>0</v>
      </c>
      <c r="Q770" t="n">
        <v>0</v>
      </c>
      <c r="R770" s="2" t="inlineStr"/>
    </row>
    <row r="771" ht="15" customHeight="1">
      <c r="A771" t="inlineStr">
        <is>
          <t>A 38387-2025</t>
        </is>
      </c>
      <c r="B771" s="1" t="n">
        <v>45883.57451388889</v>
      </c>
      <c r="C771" s="1" t="n">
        <v>45890</v>
      </c>
      <c r="D771" t="inlineStr">
        <is>
          <t>VÄSTERBOTTENS LÄN</t>
        </is>
      </c>
      <c r="E771" t="inlineStr">
        <is>
          <t>VILHELMINA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33319-2025</t>
        </is>
      </c>
      <c r="B772" s="1" t="n">
        <v>45841</v>
      </c>
      <c r="C772" s="1" t="n">
        <v>45890</v>
      </c>
      <c r="D772" t="inlineStr">
        <is>
          <t>VÄSTERBOTTENS LÄN</t>
        </is>
      </c>
      <c r="E772" t="inlineStr">
        <is>
          <t>VILHELMINA</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33641-2025</t>
        </is>
      </c>
      <c r="B773" s="1" t="n">
        <v>45841.65045138889</v>
      </c>
      <c r="C773" s="1" t="n">
        <v>45890</v>
      </c>
      <c r="D773" t="inlineStr">
        <is>
          <t>VÄSTERBOTTENS LÄN</t>
        </is>
      </c>
      <c r="E773" t="inlineStr">
        <is>
          <t>VILHELMINA</t>
        </is>
      </c>
      <c r="G773" t="n">
        <v>7.3</v>
      </c>
      <c r="H773" t="n">
        <v>0</v>
      </c>
      <c r="I773" t="n">
        <v>0</v>
      </c>
      <c r="J773" t="n">
        <v>0</v>
      </c>
      <c r="K773" t="n">
        <v>0</v>
      </c>
      <c r="L773" t="n">
        <v>0</v>
      </c>
      <c r="M773" t="n">
        <v>0</v>
      </c>
      <c r="N773" t="n">
        <v>0</v>
      </c>
      <c r="O773" t="n">
        <v>0</v>
      </c>
      <c r="P773" t="n">
        <v>0</v>
      </c>
      <c r="Q773" t="n">
        <v>0</v>
      </c>
      <c r="R773" s="2" t="inlineStr"/>
    </row>
    <row r="774" ht="15" customHeight="1">
      <c r="A774" t="inlineStr">
        <is>
          <t>A 62405-2022</t>
        </is>
      </c>
      <c r="B774" s="1" t="n">
        <v>44923</v>
      </c>
      <c r="C774" s="1" t="n">
        <v>45890</v>
      </c>
      <c r="D774" t="inlineStr">
        <is>
          <t>VÄSTERBOTTENS LÄN</t>
        </is>
      </c>
      <c r="E774" t="inlineStr">
        <is>
          <t>VILHELMINA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48424-2023</t>
        </is>
      </c>
      <c r="B775" s="1" t="n">
        <v>45205</v>
      </c>
      <c r="C775" s="1" t="n">
        <v>45890</v>
      </c>
      <c r="D775" t="inlineStr">
        <is>
          <t>VÄSTERBOTTENS LÄN</t>
        </is>
      </c>
      <c r="E775" t="inlineStr">
        <is>
          <t>VILHELMINA</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38454-2025</t>
        </is>
      </c>
      <c r="B776" s="1" t="n">
        <v>45883.67839120371</v>
      </c>
      <c r="C776" s="1" t="n">
        <v>45890</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38355-2025</t>
        </is>
      </c>
      <c r="B777" s="1" t="n">
        <v>45883.53228009259</v>
      </c>
      <c r="C777" s="1" t="n">
        <v>45890</v>
      </c>
      <c r="D777" t="inlineStr">
        <is>
          <t>VÄSTERBOTTENS LÄN</t>
        </is>
      </c>
      <c r="E777" t="inlineStr">
        <is>
          <t>VILHELMINA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72057-2021</t>
        </is>
      </c>
      <c r="B778" s="1" t="n">
        <v>44540</v>
      </c>
      <c r="C778" s="1" t="n">
        <v>45890</v>
      </c>
      <c r="D778" t="inlineStr">
        <is>
          <t>VÄSTERBOTTENS LÄN</t>
        </is>
      </c>
      <c r="E778" t="inlineStr">
        <is>
          <t>VILHELMINA</t>
        </is>
      </c>
      <c r="G778" t="n">
        <v>7</v>
      </c>
      <c r="H778" t="n">
        <v>0</v>
      </c>
      <c r="I778" t="n">
        <v>0</v>
      </c>
      <c r="J778" t="n">
        <v>0</v>
      </c>
      <c r="K778" t="n">
        <v>0</v>
      </c>
      <c r="L778" t="n">
        <v>0</v>
      </c>
      <c r="M778" t="n">
        <v>0</v>
      </c>
      <c r="N778" t="n">
        <v>0</v>
      </c>
      <c r="O778" t="n">
        <v>0</v>
      </c>
      <c r="P778" t="n">
        <v>0</v>
      </c>
      <c r="Q778" t="n">
        <v>0</v>
      </c>
      <c r="R778" s="2" t="inlineStr"/>
    </row>
    <row r="779" ht="15" customHeight="1">
      <c r="A779" t="inlineStr">
        <is>
          <t>A 33320-2025</t>
        </is>
      </c>
      <c r="B779" s="1" t="n">
        <v>45841.34461805555</v>
      </c>
      <c r="C779" s="1" t="n">
        <v>45890</v>
      </c>
      <c r="D779" t="inlineStr">
        <is>
          <t>VÄSTERBOTTENS LÄN</t>
        </is>
      </c>
      <c r="E779" t="inlineStr">
        <is>
          <t>VILHELMINA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17996-2024</t>
        </is>
      </c>
      <c r="B780" s="1" t="n">
        <v>45419</v>
      </c>
      <c r="C780" s="1" t="n">
        <v>45890</v>
      </c>
      <c r="D780" t="inlineStr">
        <is>
          <t>VÄSTERBOTTENS LÄN</t>
        </is>
      </c>
      <c r="E780" t="inlineStr">
        <is>
          <t>VILHELMINA</t>
        </is>
      </c>
      <c r="G780" t="n">
        <v>5.3</v>
      </c>
      <c r="H780" t="n">
        <v>0</v>
      </c>
      <c r="I780" t="n">
        <v>0</v>
      </c>
      <c r="J780" t="n">
        <v>0</v>
      </c>
      <c r="K780" t="n">
        <v>0</v>
      </c>
      <c r="L780" t="n">
        <v>0</v>
      </c>
      <c r="M780" t="n">
        <v>0</v>
      </c>
      <c r="N780" t="n">
        <v>0</v>
      </c>
      <c r="O780" t="n">
        <v>0</v>
      </c>
      <c r="P780" t="n">
        <v>0</v>
      </c>
      <c r="Q780" t="n">
        <v>0</v>
      </c>
      <c r="R780" s="2" t="inlineStr"/>
    </row>
    <row r="781" ht="15" customHeight="1">
      <c r="A781" t="inlineStr">
        <is>
          <t>A 54387-2024</t>
        </is>
      </c>
      <c r="B781" s="1" t="n">
        <v>45617</v>
      </c>
      <c r="C781" s="1" t="n">
        <v>45890</v>
      </c>
      <c r="D781" t="inlineStr">
        <is>
          <t>VÄSTERBOTTENS LÄN</t>
        </is>
      </c>
      <c r="E781" t="inlineStr">
        <is>
          <t>VILHELMINA</t>
        </is>
      </c>
      <c r="F781" t="inlineStr">
        <is>
          <t>SCA</t>
        </is>
      </c>
      <c r="G781" t="n">
        <v>7.6</v>
      </c>
      <c r="H781" t="n">
        <v>0</v>
      </c>
      <c r="I781" t="n">
        <v>0</v>
      </c>
      <c r="J781" t="n">
        <v>0</v>
      </c>
      <c r="K781" t="n">
        <v>0</v>
      </c>
      <c r="L781" t="n">
        <v>0</v>
      </c>
      <c r="M781" t="n">
        <v>0</v>
      </c>
      <c r="N781" t="n">
        <v>0</v>
      </c>
      <c r="O781" t="n">
        <v>0</v>
      </c>
      <c r="P781" t="n">
        <v>0</v>
      </c>
      <c r="Q781" t="n">
        <v>0</v>
      </c>
      <c r="R781" s="2" t="inlineStr"/>
    </row>
    <row r="782" ht="15" customHeight="1">
      <c r="A782" t="inlineStr">
        <is>
          <t>A 34135-2024</t>
        </is>
      </c>
      <c r="B782" s="1" t="n">
        <v>45524.35605324074</v>
      </c>
      <c r="C782" s="1" t="n">
        <v>45890</v>
      </c>
      <c r="D782" t="inlineStr">
        <is>
          <t>VÄSTERBOTTENS LÄN</t>
        </is>
      </c>
      <c r="E782" t="inlineStr">
        <is>
          <t>VILHELMINA</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210-2022</t>
        </is>
      </c>
      <c r="B783" s="1" t="n">
        <v>44564.80189814815</v>
      </c>
      <c r="C783" s="1" t="n">
        <v>45890</v>
      </c>
      <c r="D783" t="inlineStr">
        <is>
          <t>VÄSTERBOTTENS LÄN</t>
        </is>
      </c>
      <c r="E783" t="inlineStr">
        <is>
          <t>VILHELMINA</t>
        </is>
      </c>
      <c r="G783" t="n">
        <v>2</v>
      </c>
      <c r="H783" t="n">
        <v>0</v>
      </c>
      <c r="I783" t="n">
        <v>0</v>
      </c>
      <c r="J783" t="n">
        <v>0</v>
      </c>
      <c r="K783" t="n">
        <v>0</v>
      </c>
      <c r="L783" t="n">
        <v>0</v>
      </c>
      <c r="M783" t="n">
        <v>0</v>
      </c>
      <c r="N783" t="n">
        <v>0</v>
      </c>
      <c r="O783" t="n">
        <v>0</v>
      </c>
      <c r="P783" t="n">
        <v>0</v>
      </c>
      <c r="Q783" t="n">
        <v>0</v>
      </c>
      <c r="R783" s="2" t="inlineStr"/>
    </row>
    <row r="784" ht="15" customHeight="1">
      <c r="A784" t="inlineStr">
        <is>
          <t>A 44714-2021</t>
        </is>
      </c>
      <c r="B784" s="1" t="n">
        <v>44435</v>
      </c>
      <c r="C784" s="1" t="n">
        <v>45890</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8652-2023</t>
        </is>
      </c>
      <c r="B785" s="1" t="n">
        <v>44977.98401620371</v>
      </c>
      <c r="C785" s="1" t="n">
        <v>45890</v>
      </c>
      <c r="D785" t="inlineStr">
        <is>
          <t>VÄSTERBOTTENS LÄN</t>
        </is>
      </c>
      <c r="E785" t="inlineStr">
        <is>
          <t>VILHELMINA</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8653-2023</t>
        </is>
      </c>
      <c r="B786" s="1" t="n">
        <v>44977</v>
      </c>
      <c r="C786" s="1" t="n">
        <v>45890</v>
      </c>
      <c r="D786" t="inlineStr">
        <is>
          <t>VÄSTERBOTTENS LÄN</t>
        </is>
      </c>
      <c r="E786" t="inlineStr">
        <is>
          <t>VILHELMINA</t>
        </is>
      </c>
      <c r="F786" t="inlineStr">
        <is>
          <t>SCA</t>
        </is>
      </c>
      <c r="G786" t="n">
        <v>7.9</v>
      </c>
      <c r="H786" t="n">
        <v>0</v>
      </c>
      <c r="I786" t="n">
        <v>0</v>
      </c>
      <c r="J786" t="n">
        <v>0</v>
      </c>
      <c r="K786" t="n">
        <v>0</v>
      </c>
      <c r="L786" t="n">
        <v>0</v>
      </c>
      <c r="M786" t="n">
        <v>0</v>
      </c>
      <c r="N786" t="n">
        <v>0</v>
      </c>
      <c r="O786" t="n">
        <v>0</v>
      </c>
      <c r="P786" t="n">
        <v>0</v>
      </c>
      <c r="Q786" t="n">
        <v>0</v>
      </c>
      <c r="R786" s="2" t="inlineStr"/>
    </row>
    <row r="787" ht="15" customHeight="1">
      <c r="A787" t="inlineStr">
        <is>
          <t>A 58934-2024</t>
        </is>
      </c>
      <c r="B787" s="1" t="n">
        <v>45636</v>
      </c>
      <c r="C787" s="1" t="n">
        <v>45890</v>
      </c>
      <c r="D787" t="inlineStr">
        <is>
          <t>VÄSTERBOTTENS LÄN</t>
        </is>
      </c>
      <c r="E787" t="inlineStr">
        <is>
          <t>VILHELMINA</t>
        </is>
      </c>
      <c r="F787" t="inlineStr">
        <is>
          <t>Allmännings- och besparingsskogar</t>
        </is>
      </c>
      <c r="G787" t="n">
        <v>45.6</v>
      </c>
      <c r="H787" t="n">
        <v>0</v>
      </c>
      <c r="I787" t="n">
        <v>0</v>
      </c>
      <c r="J787" t="n">
        <v>0</v>
      </c>
      <c r="K787" t="n">
        <v>0</v>
      </c>
      <c r="L787" t="n">
        <v>0</v>
      </c>
      <c r="M787" t="n">
        <v>0</v>
      </c>
      <c r="N787" t="n">
        <v>0</v>
      </c>
      <c r="O787" t="n">
        <v>0</v>
      </c>
      <c r="P787" t="n">
        <v>0</v>
      </c>
      <c r="Q787" t="n">
        <v>0</v>
      </c>
      <c r="R787" s="2" t="inlineStr"/>
    </row>
    <row r="788" ht="15" customHeight="1">
      <c r="A788" t="inlineStr">
        <is>
          <t>A 38429-2025</t>
        </is>
      </c>
      <c r="B788" s="1" t="n">
        <v>45883.63638888889</v>
      </c>
      <c r="C788" s="1" t="n">
        <v>45890</v>
      </c>
      <c r="D788" t="inlineStr">
        <is>
          <t>VÄSTERBOTTENS LÄN</t>
        </is>
      </c>
      <c r="E788" t="inlineStr">
        <is>
          <t>VILHELMINA</t>
        </is>
      </c>
      <c r="G788" t="n">
        <v>5.5</v>
      </c>
      <c r="H788" t="n">
        <v>0</v>
      </c>
      <c r="I788" t="n">
        <v>0</v>
      </c>
      <c r="J788" t="n">
        <v>0</v>
      </c>
      <c r="K788" t="n">
        <v>0</v>
      </c>
      <c r="L788" t="n">
        <v>0</v>
      </c>
      <c r="M788" t="n">
        <v>0</v>
      </c>
      <c r="N788" t="n">
        <v>0</v>
      </c>
      <c r="O788" t="n">
        <v>0</v>
      </c>
      <c r="P788" t="n">
        <v>0</v>
      </c>
      <c r="Q788" t="n">
        <v>0</v>
      </c>
      <c r="R788" s="2" t="inlineStr"/>
    </row>
    <row r="789" ht="15" customHeight="1">
      <c r="A789" t="inlineStr">
        <is>
          <t>A 38430-2025</t>
        </is>
      </c>
      <c r="B789" s="1" t="n">
        <v>45883.6364699074</v>
      </c>
      <c r="C789" s="1" t="n">
        <v>45890</v>
      </c>
      <c r="D789" t="inlineStr">
        <is>
          <t>VÄSTERBOTTENS LÄN</t>
        </is>
      </c>
      <c r="E789" t="inlineStr">
        <is>
          <t>VILHELMINA</t>
        </is>
      </c>
      <c r="G789" t="n">
        <v>36.7</v>
      </c>
      <c r="H789" t="n">
        <v>0</v>
      </c>
      <c r="I789" t="n">
        <v>0</v>
      </c>
      <c r="J789" t="n">
        <v>0</v>
      </c>
      <c r="K789" t="n">
        <v>0</v>
      </c>
      <c r="L789" t="n">
        <v>0</v>
      </c>
      <c r="M789" t="n">
        <v>0</v>
      </c>
      <c r="N789" t="n">
        <v>0</v>
      </c>
      <c r="O789" t="n">
        <v>0</v>
      </c>
      <c r="P789" t="n">
        <v>0</v>
      </c>
      <c r="Q789" t="n">
        <v>0</v>
      </c>
      <c r="R789" s="2" t="inlineStr"/>
    </row>
    <row r="790" ht="15" customHeight="1">
      <c r="A790" t="inlineStr">
        <is>
          <t>A 38427-2025</t>
        </is>
      </c>
      <c r="B790" s="1" t="n">
        <v>45883.63611111111</v>
      </c>
      <c r="C790" s="1" t="n">
        <v>45890</v>
      </c>
      <c r="D790" t="inlineStr">
        <is>
          <t>VÄSTERBOTTENS LÄN</t>
        </is>
      </c>
      <c r="E790" t="inlineStr">
        <is>
          <t>VILHELMINA</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38242-2025</t>
        </is>
      </c>
      <c r="B791" s="1" t="n">
        <v>45883.36547453704</v>
      </c>
      <c r="C791" s="1" t="n">
        <v>45890</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33322-2025</t>
        </is>
      </c>
      <c r="B792" s="1" t="n">
        <v>45841.3452662037</v>
      </c>
      <c r="C792" s="1" t="n">
        <v>45890</v>
      </c>
      <c r="D792" t="inlineStr">
        <is>
          <t>VÄSTERBOTTENS LÄN</t>
        </is>
      </c>
      <c r="E792" t="inlineStr">
        <is>
          <t>VILHELMINA</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33142-2025</t>
        </is>
      </c>
      <c r="B793" s="1" t="n">
        <v>45840</v>
      </c>
      <c r="C793" s="1" t="n">
        <v>45890</v>
      </c>
      <c r="D793" t="inlineStr">
        <is>
          <t>VÄSTERBOTTENS LÄN</t>
        </is>
      </c>
      <c r="E793" t="inlineStr">
        <is>
          <t>VILHELMINA</t>
        </is>
      </c>
      <c r="G793" t="n">
        <v>15.2</v>
      </c>
      <c r="H793" t="n">
        <v>0</v>
      </c>
      <c r="I793" t="n">
        <v>0</v>
      </c>
      <c r="J793" t="n">
        <v>0</v>
      </c>
      <c r="K793" t="n">
        <v>0</v>
      </c>
      <c r="L793" t="n">
        <v>0</v>
      </c>
      <c r="M793" t="n">
        <v>0</v>
      </c>
      <c r="N793" t="n">
        <v>0</v>
      </c>
      <c r="O793" t="n">
        <v>0</v>
      </c>
      <c r="P793" t="n">
        <v>0</v>
      </c>
      <c r="Q793" t="n">
        <v>0</v>
      </c>
      <c r="R793" s="2" t="inlineStr"/>
    </row>
    <row r="794" ht="15" customHeight="1">
      <c r="A794" t="inlineStr">
        <is>
          <t>A 38243-2025</t>
        </is>
      </c>
      <c r="B794" s="1" t="n">
        <v>45883.36553240741</v>
      </c>
      <c r="C794" s="1" t="n">
        <v>45890</v>
      </c>
      <c r="D794" t="inlineStr">
        <is>
          <t>VÄSTERBOTTENS LÄN</t>
        </is>
      </c>
      <c r="E794" t="inlineStr">
        <is>
          <t>VILHELMINA</t>
        </is>
      </c>
      <c r="G794" t="n">
        <v>4.7</v>
      </c>
      <c r="H794" t="n">
        <v>0</v>
      </c>
      <c r="I794" t="n">
        <v>0</v>
      </c>
      <c r="J794" t="n">
        <v>0</v>
      </c>
      <c r="K794" t="n">
        <v>0</v>
      </c>
      <c r="L794" t="n">
        <v>0</v>
      </c>
      <c r="M794" t="n">
        <v>0</v>
      </c>
      <c r="N794" t="n">
        <v>0</v>
      </c>
      <c r="O794" t="n">
        <v>0</v>
      </c>
      <c r="P794" t="n">
        <v>0</v>
      </c>
      <c r="Q794" t="n">
        <v>0</v>
      </c>
      <c r="R794" s="2" t="inlineStr"/>
    </row>
    <row r="795" ht="15" customHeight="1">
      <c r="A795" t="inlineStr">
        <is>
          <t>A 38409-2025</t>
        </is>
      </c>
      <c r="B795" s="1" t="n">
        <v>45883.59429398148</v>
      </c>
      <c r="C795" s="1" t="n">
        <v>45890</v>
      </c>
      <c r="D795" t="inlineStr">
        <is>
          <t>VÄSTERBOTTENS LÄN</t>
        </is>
      </c>
      <c r="E795" t="inlineStr">
        <is>
          <t>VILHELMINA</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38356-2025</t>
        </is>
      </c>
      <c r="B796" s="1" t="n">
        <v>45883.53247685185</v>
      </c>
      <c r="C796" s="1" t="n">
        <v>45890</v>
      </c>
      <c r="D796" t="inlineStr">
        <is>
          <t>VÄSTERBOTTENS LÄN</t>
        </is>
      </c>
      <c r="E796" t="inlineStr">
        <is>
          <t>VILHELMINA</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34087-2023</t>
        </is>
      </c>
      <c r="B797" s="1" t="n">
        <v>45125</v>
      </c>
      <c r="C797" s="1" t="n">
        <v>45890</v>
      </c>
      <c r="D797" t="inlineStr">
        <is>
          <t>VÄSTERBOTTENS LÄN</t>
        </is>
      </c>
      <c r="E797" t="inlineStr">
        <is>
          <t>VILHELMINA</t>
        </is>
      </c>
      <c r="G797" t="n">
        <v>13.2</v>
      </c>
      <c r="H797" t="n">
        <v>0</v>
      </c>
      <c r="I797" t="n">
        <v>0</v>
      </c>
      <c r="J797" t="n">
        <v>0</v>
      </c>
      <c r="K797" t="n">
        <v>0</v>
      </c>
      <c r="L797" t="n">
        <v>0</v>
      </c>
      <c r="M797" t="n">
        <v>0</v>
      </c>
      <c r="N797" t="n">
        <v>0</v>
      </c>
      <c r="O797" t="n">
        <v>0</v>
      </c>
      <c r="P797" t="n">
        <v>0</v>
      </c>
      <c r="Q797" t="n">
        <v>0</v>
      </c>
      <c r="R797" s="2" t="inlineStr"/>
    </row>
    <row r="798" ht="15" customHeight="1">
      <c r="A798" t="inlineStr">
        <is>
          <t>A 38357-2025</t>
        </is>
      </c>
      <c r="B798" s="1" t="n">
        <v>45883.53263888889</v>
      </c>
      <c r="C798" s="1" t="n">
        <v>45890</v>
      </c>
      <c r="D798" t="inlineStr">
        <is>
          <t>VÄSTERBOTTENS LÄN</t>
        </is>
      </c>
      <c r="E798" t="inlineStr">
        <is>
          <t>VILHELMINA</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38363-2023</t>
        </is>
      </c>
      <c r="B799" s="1" t="n">
        <v>45161</v>
      </c>
      <c r="C799" s="1" t="n">
        <v>45890</v>
      </c>
      <c r="D799" t="inlineStr">
        <is>
          <t>VÄSTERBOTTENS LÄN</t>
        </is>
      </c>
      <c r="E799" t="inlineStr">
        <is>
          <t>VILHELMINA</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6665-2021</t>
        </is>
      </c>
      <c r="B800" s="1" t="n">
        <v>44235</v>
      </c>
      <c r="C800" s="1" t="n">
        <v>45890</v>
      </c>
      <c r="D800" t="inlineStr">
        <is>
          <t>VÄSTERBOTTENS LÄN</t>
        </is>
      </c>
      <c r="E800" t="inlineStr">
        <is>
          <t>VILHELMINA</t>
        </is>
      </c>
      <c r="G800" t="n">
        <v>20</v>
      </c>
      <c r="H800" t="n">
        <v>0</v>
      </c>
      <c r="I800" t="n">
        <v>0</v>
      </c>
      <c r="J800" t="n">
        <v>0</v>
      </c>
      <c r="K800" t="n">
        <v>0</v>
      </c>
      <c r="L800" t="n">
        <v>0</v>
      </c>
      <c r="M800" t="n">
        <v>0</v>
      </c>
      <c r="N800" t="n">
        <v>0</v>
      </c>
      <c r="O800" t="n">
        <v>0</v>
      </c>
      <c r="P800" t="n">
        <v>0</v>
      </c>
      <c r="Q800" t="n">
        <v>0</v>
      </c>
      <c r="R800" s="2" t="inlineStr"/>
    </row>
    <row r="801" ht="15" customHeight="1">
      <c r="A801" t="inlineStr">
        <is>
          <t>A 16608-2024</t>
        </is>
      </c>
      <c r="B801" s="1" t="n">
        <v>45408</v>
      </c>
      <c r="C801" s="1" t="n">
        <v>45890</v>
      </c>
      <c r="D801" t="inlineStr">
        <is>
          <t>VÄSTERBOTTENS LÄN</t>
        </is>
      </c>
      <c r="E801" t="inlineStr">
        <is>
          <t>VILHELMINA</t>
        </is>
      </c>
      <c r="G801" t="n">
        <v>17.5</v>
      </c>
      <c r="H801" t="n">
        <v>0</v>
      </c>
      <c r="I801" t="n">
        <v>0</v>
      </c>
      <c r="J801" t="n">
        <v>0</v>
      </c>
      <c r="K801" t="n">
        <v>0</v>
      </c>
      <c r="L801" t="n">
        <v>0</v>
      </c>
      <c r="M801" t="n">
        <v>0</v>
      </c>
      <c r="N801" t="n">
        <v>0</v>
      </c>
      <c r="O801" t="n">
        <v>0</v>
      </c>
      <c r="P801" t="n">
        <v>0</v>
      </c>
      <c r="Q801" t="n">
        <v>0</v>
      </c>
      <c r="R801" s="2" t="inlineStr"/>
    </row>
    <row r="802" ht="15" customHeight="1">
      <c r="A802" t="inlineStr">
        <is>
          <t>A 48117-2022</t>
        </is>
      </c>
      <c r="B802" s="1" t="n">
        <v>44857</v>
      </c>
      <c r="C802" s="1" t="n">
        <v>45890</v>
      </c>
      <c r="D802" t="inlineStr">
        <is>
          <t>VÄSTERBOTTENS LÄN</t>
        </is>
      </c>
      <c r="E802" t="inlineStr">
        <is>
          <t>VILHELMINA</t>
        </is>
      </c>
      <c r="G802" t="n">
        <v>5.6</v>
      </c>
      <c r="H802" t="n">
        <v>0</v>
      </c>
      <c r="I802" t="n">
        <v>0</v>
      </c>
      <c r="J802" t="n">
        <v>0</v>
      </c>
      <c r="K802" t="n">
        <v>0</v>
      </c>
      <c r="L802" t="n">
        <v>0</v>
      </c>
      <c r="M802" t="n">
        <v>0</v>
      </c>
      <c r="N802" t="n">
        <v>0</v>
      </c>
      <c r="O802" t="n">
        <v>0</v>
      </c>
      <c r="P802" t="n">
        <v>0</v>
      </c>
      <c r="Q802" t="n">
        <v>0</v>
      </c>
      <c r="R802" s="2" t="inlineStr"/>
    </row>
    <row r="803" ht="15" customHeight="1">
      <c r="A803" t="inlineStr">
        <is>
          <t>A 45258-2024</t>
        </is>
      </c>
      <c r="B803" s="1" t="n">
        <v>45576.34444444445</v>
      </c>
      <c r="C803" s="1" t="n">
        <v>45890</v>
      </c>
      <c r="D803" t="inlineStr">
        <is>
          <t>VÄSTERBOTTENS LÄN</t>
        </is>
      </c>
      <c r="E803" t="inlineStr">
        <is>
          <t>VILHELMINA</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38597-2025</t>
        </is>
      </c>
      <c r="B804" s="1" t="n">
        <v>45884.49061342593</v>
      </c>
      <c r="C804" s="1" t="n">
        <v>45890</v>
      </c>
      <c r="D804" t="inlineStr">
        <is>
          <t>VÄSTERBOTTENS LÄN</t>
        </is>
      </c>
      <c r="E804" t="inlineStr">
        <is>
          <t>VILHELMINA</t>
        </is>
      </c>
      <c r="F804" t="inlineStr">
        <is>
          <t>SCA</t>
        </is>
      </c>
      <c r="G804" t="n">
        <v>7.5</v>
      </c>
      <c r="H804" t="n">
        <v>0</v>
      </c>
      <c r="I804" t="n">
        <v>0</v>
      </c>
      <c r="J804" t="n">
        <v>0</v>
      </c>
      <c r="K804" t="n">
        <v>0</v>
      </c>
      <c r="L804" t="n">
        <v>0</v>
      </c>
      <c r="M804" t="n">
        <v>0</v>
      </c>
      <c r="N804" t="n">
        <v>0</v>
      </c>
      <c r="O804" t="n">
        <v>0</v>
      </c>
      <c r="P804" t="n">
        <v>0</v>
      </c>
      <c r="Q804" t="n">
        <v>0</v>
      </c>
      <c r="R804" s="2" t="inlineStr"/>
    </row>
    <row r="805" ht="15" customHeight="1">
      <c r="A805" t="inlineStr">
        <is>
          <t>A 34253-2025</t>
        </is>
      </c>
      <c r="B805" s="1" t="n">
        <v>45845</v>
      </c>
      <c r="C805" s="1" t="n">
        <v>45890</v>
      </c>
      <c r="D805" t="inlineStr">
        <is>
          <t>VÄSTERBOTTENS LÄN</t>
        </is>
      </c>
      <c r="E805" t="inlineStr">
        <is>
          <t>VILHELMINA</t>
        </is>
      </c>
      <c r="G805" t="n">
        <v>14.3</v>
      </c>
      <c r="H805" t="n">
        <v>0</v>
      </c>
      <c r="I805" t="n">
        <v>0</v>
      </c>
      <c r="J805" t="n">
        <v>0</v>
      </c>
      <c r="K805" t="n">
        <v>0</v>
      </c>
      <c r="L805" t="n">
        <v>0</v>
      </c>
      <c r="M805" t="n">
        <v>0</v>
      </c>
      <c r="N805" t="n">
        <v>0</v>
      </c>
      <c r="O805" t="n">
        <v>0</v>
      </c>
      <c r="P805" t="n">
        <v>0</v>
      </c>
      <c r="Q805" t="n">
        <v>0</v>
      </c>
      <c r="R805" s="2" t="inlineStr"/>
    </row>
    <row r="806" ht="15" customHeight="1">
      <c r="A806" t="inlineStr">
        <is>
          <t>A 38540-2025</t>
        </is>
      </c>
      <c r="B806" s="1" t="n">
        <v>45884.42768518518</v>
      </c>
      <c r="C806" s="1" t="n">
        <v>45890</v>
      </c>
      <c r="D806" t="inlineStr">
        <is>
          <t>VÄSTERBOTTENS LÄN</t>
        </is>
      </c>
      <c r="E806" t="inlineStr">
        <is>
          <t>VILHELMINA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38543-2025</t>
        </is>
      </c>
      <c r="B807" s="1" t="n">
        <v>45884.42813657408</v>
      </c>
      <c r="C807" s="1" t="n">
        <v>45890</v>
      </c>
      <c r="D807" t="inlineStr">
        <is>
          <t>VÄSTERBOTTENS LÄN</t>
        </is>
      </c>
      <c r="E807" t="inlineStr">
        <is>
          <t>VILHELMINA</t>
        </is>
      </c>
      <c r="G807" t="n">
        <v>2.4</v>
      </c>
      <c r="H807" t="n">
        <v>0</v>
      </c>
      <c r="I807" t="n">
        <v>0</v>
      </c>
      <c r="J807" t="n">
        <v>0</v>
      </c>
      <c r="K807" t="n">
        <v>0</v>
      </c>
      <c r="L807" t="n">
        <v>0</v>
      </c>
      <c r="M807" t="n">
        <v>0</v>
      </c>
      <c r="N807" t="n">
        <v>0</v>
      </c>
      <c r="O807" t="n">
        <v>0</v>
      </c>
      <c r="P807" t="n">
        <v>0</v>
      </c>
      <c r="Q807" t="n">
        <v>0</v>
      </c>
      <c r="R807" s="2" t="inlineStr"/>
    </row>
    <row r="808" ht="15" customHeight="1">
      <c r="A808" t="inlineStr">
        <is>
          <t>A 38620-2025</t>
        </is>
      </c>
      <c r="B808" s="1" t="n">
        <v>45884.55297453704</v>
      </c>
      <c r="C808" s="1" t="n">
        <v>45890</v>
      </c>
      <c r="D808" t="inlineStr">
        <is>
          <t>VÄSTERBOTTENS LÄN</t>
        </is>
      </c>
      <c r="E808" t="inlineStr">
        <is>
          <t>VILHELMINA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26143-2025</t>
        </is>
      </c>
      <c r="B809" s="1" t="n">
        <v>45805</v>
      </c>
      <c r="C809" s="1" t="n">
        <v>45890</v>
      </c>
      <c r="D809" t="inlineStr">
        <is>
          <t>VÄSTERBOTTENS LÄN</t>
        </is>
      </c>
      <c r="E809" t="inlineStr">
        <is>
          <t>VILHELMINA</t>
        </is>
      </c>
      <c r="G809" t="n">
        <v>20</v>
      </c>
      <c r="H809" t="n">
        <v>0</v>
      </c>
      <c r="I809" t="n">
        <v>0</v>
      </c>
      <c r="J809" t="n">
        <v>0</v>
      </c>
      <c r="K809" t="n">
        <v>0</v>
      </c>
      <c r="L809" t="n">
        <v>0</v>
      </c>
      <c r="M809" t="n">
        <v>0</v>
      </c>
      <c r="N809" t="n">
        <v>0</v>
      </c>
      <c r="O809" t="n">
        <v>0</v>
      </c>
      <c r="P809" t="n">
        <v>0</v>
      </c>
      <c r="Q809" t="n">
        <v>0</v>
      </c>
      <c r="R809" s="2" t="inlineStr"/>
    </row>
    <row r="810" ht="15" customHeight="1">
      <c r="A810" t="inlineStr">
        <is>
          <t>A 21726-2021</t>
        </is>
      </c>
      <c r="B810" s="1" t="n">
        <v>44322</v>
      </c>
      <c r="C810" s="1" t="n">
        <v>45890</v>
      </c>
      <c r="D810" t="inlineStr">
        <is>
          <t>VÄSTERBOTTENS LÄN</t>
        </is>
      </c>
      <c r="E810" t="inlineStr">
        <is>
          <t>VILHELMINA</t>
        </is>
      </c>
      <c r="G810" t="n">
        <v>19.6</v>
      </c>
      <c r="H810" t="n">
        <v>0</v>
      </c>
      <c r="I810" t="n">
        <v>0</v>
      </c>
      <c r="J810" t="n">
        <v>0</v>
      </c>
      <c r="K810" t="n">
        <v>0</v>
      </c>
      <c r="L810" t="n">
        <v>0</v>
      </c>
      <c r="M810" t="n">
        <v>0</v>
      </c>
      <c r="N810" t="n">
        <v>0</v>
      </c>
      <c r="O810" t="n">
        <v>0</v>
      </c>
      <c r="P810" t="n">
        <v>0</v>
      </c>
      <c r="Q810" t="n">
        <v>0</v>
      </c>
      <c r="R810" s="2" t="inlineStr"/>
    </row>
    <row r="811" ht="15" customHeight="1">
      <c r="A811" t="inlineStr">
        <is>
          <t>A 38580-2025</t>
        </is>
      </c>
      <c r="B811" s="1" t="n">
        <v>45884.46951388889</v>
      </c>
      <c r="C811" s="1" t="n">
        <v>45890</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7777-2024</t>
        </is>
      </c>
      <c r="B812" s="1" t="n">
        <v>45349</v>
      </c>
      <c r="C812" s="1" t="n">
        <v>45890</v>
      </c>
      <c r="D812" t="inlineStr">
        <is>
          <t>VÄSTERBOTTENS LÄN</t>
        </is>
      </c>
      <c r="E812" t="inlineStr">
        <is>
          <t>VILHELMINA</t>
        </is>
      </c>
      <c r="G812" t="n">
        <v>7</v>
      </c>
      <c r="H812" t="n">
        <v>0</v>
      </c>
      <c r="I812" t="n">
        <v>0</v>
      </c>
      <c r="J812" t="n">
        <v>0</v>
      </c>
      <c r="K812" t="n">
        <v>0</v>
      </c>
      <c r="L812" t="n">
        <v>0</v>
      </c>
      <c r="M812" t="n">
        <v>0</v>
      </c>
      <c r="N812" t="n">
        <v>0</v>
      </c>
      <c r="O812" t="n">
        <v>0</v>
      </c>
      <c r="P812" t="n">
        <v>0</v>
      </c>
      <c r="Q812" t="n">
        <v>0</v>
      </c>
      <c r="R812" s="2" t="inlineStr"/>
    </row>
    <row r="813" ht="15" customHeight="1">
      <c r="A813" t="inlineStr">
        <is>
          <t>A 9162-2022</t>
        </is>
      </c>
      <c r="B813" s="1" t="n">
        <v>44615</v>
      </c>
      <c r="C813" s="1" t="n">
        <v>45890</v>
      </c>
      <c r="D813" t="inlineStr">
        <is>
          <t>VÄSTERBOTTENS LÄN</t>
        </is>
      </c>
      <c r="E813" t="inlineStr">
        <is>
          <t>VILHELMINA</t>
        </is>
      </c>
      <c r="G813" t="n">
        <v>7.2</v>
      </c>
      <c r="H813" t="n">
        <v>0</v>
      </c>
      <c r="I813" t="n">
        <v>0</v>
      </c>
      <c r="J813" t="n">
        <v>0</v>
      </c>
      <c r="K813" t="n">
        <v>0</v>
      </c>
      <c r="L813" t="n">
        <v>0</v>
      </c>
      <c r="M813" t="n">
        <v>0</v>
      </c>
      <c r="N813" t="n">
        <v>0</v>
      </c>
      <c r="O813" t="n">
        <v>0</v>
      </c>
      <c r="P813" t="n">
        <v>0</v>
      </c>
      <c r="Q813" t="n">
        <v>0</v>
      </c>
      <c r="R813" s="2" t="inlineStr"/>
    </row>
    <row r="814" ht="15" customHeight="1">
      <c r="A814" t="inlineStr">
        <is>
          <t>A 59022-2024</t>
        </is>
      </c>
      <c r="B814" s="1" t="n">
        <v>45636</v>
      </c>
      <c r="C814" s="1" t="n">
        <v>45890</v>
      </c>
      <c r="D814" t="inlineStr">
        <is>
          <t>VÄSTERBOTTENS LÄN</t>
        </is>
      </c>
      <c r="E814" t="inlineStr">
        <is>
          <t>VILHELMINA</t>
        </is>
      </c>
      <c r="F814" t="inlineStr">
        <is>
          <t>Allmännings- och besparingsskogar</t>
        </is>
      </c>
      <c r="G814" t="n">
        <v>35.1</v>
      </c>
      <c r="H814" t="n">
        <v>0</v>
      </c>
      <c r="I814" t="n">
        <v>0</v>
      </c>
      <c r="J814" t="n">
        <v>0</v>
      </c>
      <c r="K814" t="n">
        <v>0</v>
      </c>
      <c r="L814" t="n">
        <v>0</v>
      </c>
      <c r="M814" t="n">
        <v>0</v>
      </c>
      <c r="N814" t="n">
        <v>0</v>
      </c>
      <c r="O814" t="n">
        <v>0</v>
      </c>
      <c r="P814" t="n">
        <v>0</v>
      </c>
      <c r="Q814" t="n">
        <v>0</v>
      </c>
      <c r="R814" s="2" t="inlineStr"/>
    </row>
    <row r="815" ht="15" customHeight="1">
      <c r="A815" t="inlineStr">
        <is>
          <t>A 38360-2025</t>
        </is>
      </c>
      <c r="B815" s="1" t="n">
        <v>45883.53290509259</v>
      </c>
      <c r="C815" s="1" t="n">
        <v>45890</v>
      </c>
      <c r="D815" t="inlineStr">
        <is>
          <t>VÄSTERBOTTENS LÄN</t>
        </is>
      </c>
      <c r="E815" t="inlineStr">
        <is>
          <t>VILHELMINA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38384-2025</t>
        </is>
      </c>
      <c r="B816" s="1" t="n">
        <v>45883</v>
      </c>
      <c r="C816" s="1" t="n">
        <v>45890</v>
      </c>
      <c r="D816" t="inlineStr">
        <is>
          <t>VÄSTERBOTTENS LÄN</t>
        </is>
      </c>
      <c r="E816" t="inlineStr">
        <is>
          <t>VILHELMINA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34413-2025</t>
        </is>
      </c>
      <c r="B817" s="1" t="n">
        <v>45845</v>
      </c>
      <c r="C817" s="1" t="n">
        <v>45890</v>
      </c>
      <c r="D817" t="inlineStr">
        <is>
          <t>VÄSTERBOTTENS LÄN</t>
        </is>
      </c>
      <c r="E817" t="inlineStr">
        <is>
          <t>VILHELMINA</t>
        </is>
      </c>
      <c r="G817" t="n">
        <v>6.8</v>
      </c>
      <c r="H817" t="n">
        <v>0</v>
      </c>
      <c r="I817" t="n">
        <v>0</v>
      </c>
      <c r="J817" t="n">
        <v>0</v>
      </c>
      <c r="K817" t="n">
        <v>0</v>
      </c>
      <c r="L817" t="n">
        <v>0</v>
      </c>
      <c r="M817" t="n">
        <v>0</v>
      </c>
      <c r="N817" t="n">
        <v>0</v>
      </c>
      <c r="O817" t="n">
        <v>0</v>
      </c>
      <c r="P817" t="n">
        <v>0</v>
      </c>
      <c r="Q817" t="n">
        <v>0</v>
      </c>
      <c r="R817" s="2" t="inlineStr"/>
    </row>
    <row r="818" ht="15" customHeight="1">
      <c r="A818" t="inlineStr">
        <is>
          <t>A 15792-2025</t>
        </is>
      </c>
      <c r="B818" s="1" t="n">
        <v>45748.63356481482</v>
      </c>
      <c r="C818" s="1" t="n">
        <v>45890</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17432-2025</t>
        </is>
      </c>
      <c r="B819" s="1" t="n">
        <v>45757</v>
      </c>
      <c r="C819" s="1" t="n">
        <v>45890</v>
      </c>
      <c r="D819" t="inlineStr">
        <is>
          <t>VÄSTERBOTTENS LÄN</t>
        </is>
      </c>
      <c r="E819" t="inlineStr">
        <is>
          <t>VILHELMINA</t>
        </is>
      </c>
      <c r="G819" t="n">
        <v>4.6</v>
      </c>
      <c r="H819" t="n">
        <v>0</v>
      </c>
      <c r="I819" t="n">
        <v>0</v>
      </c>
      <c r="J819" t="n">
        <v>0</v>
      </c>
      <c r="K819" t="n">
        <v>0</v>
      </c>
      <c r="L819" t="n">
        <v>0</v>
      </c>
      <c r="M819" t="n">
        <v>0</v>
      </c>
      <c r="N819" t="n">
        <v>0</v>
      </c>
      <c r="O819" t="n">
        <v>0</v>
      </c>
      <c r="P819" t="n">
        <v>0</v>
      </c>
      <c r="Q819" t="n">
        <v>0</v>
      </c>
      <c r="R819" s="2" t="inlineStr"/>
    </row>
    <row r="820" ht="15" customHeight="1">
      <c r="A820" t="inlineStr">
        <is>
          <t>A 48483-2023</t>
        </is>
      </c>
      <c r="B820" s="1" t="n">
        <v>45206.95854166667</v>
      </c>
      <c r="C820" s="1" t="n">
        <v>45890</v>
      </c>
      <c r="D820" t="inlineStr">
        <is>
          <t>VÄSTERBOTTENS LÄN</t>
        </is>
      </c>
      <c r="E820" t="inlineStr">
        <is>
          <t>VILHELMINA</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56396-2022</t>
        </is>
      </c>
      <c r="B821" s="1" t="n">
        <v>44890</v>
      </c>
      <c r="C821" s="1" t="n">
        <v>45890</v>
      </c>
      <c r="D821" t="inlineStr">
        <is>
          <t>VÄSTERBOTTENS LÄN</t>
        </is>
      </c>
      <c r="E821" t="inlineStr">
        <is>
          <t>VILHELMINA</t>
        </is>
      </c>
      <c r="G821" t="n">
        <v>1.6</v>
      </c>
      <c r="H821" t="n">
        <v>0</v>
      </c>
      <c r="I821" t="n">
        <v>0</v>
      </c>
      <c r="J821" t="n">
        <v>0</v>
      </c>
      <c r="K821" t="n">
        <v>0</v>
      </c>
      <c r="L821" t="n">
        <v>0</v>
      </c>
      <c r="M821" t="n">
        <v>0</v>
      </c>
      <c r="N821" t="n">
        <v>0</v>
      </c>
      <c r="O821" t="n">
        <v>0</v>
      </c>
      <c r="P821" t="n">
        <v>0</v>
      </c>
      <c r="Q821" t="n">
        <v>0</v>
      </c>
      <c r="R821" s="2" t="inlineStr"/>
    </row>
    <row r="822" ht="15" customHeight="1">
      <c r="A822" t="inlineStr">
        <is>
          <t>A 10941-2023</t>
        </is>
      </c>
      <c r="B822" s="1" t="n">
        <v>44985</v>
      </c>
      <c r="C822" s="1" t="n">
        <v>45890</v>
      </c>
      <c r="D822" t="inlineStr">
        <is>
          <t>VÄSTERBOTTENS LÄN</t>
        </is>
      </c>
      <c r="E822" t="inlineStr">
        <is>
          <t>VILHELMINA</t>
        </is>
      </c>
      <c r="G822" t="n">
        <v>16.7</v>
      </c>
      <c r="H822" t="n">
        <v>0</v>
      </c>
      <c r="I822" t="n">
        <v>0</v>
      </c>
      <c r="J822" t="n">
        <v>0</v>
      </c>
      <c r="K822" t="n">
        <v>0</v>
      </c>
      <c r="L822" t="n">
        <v>0</v>
      </c>
      <c r="M822" t="n">
        <v>0</v>
      </c>
      <c r="N822" t="n">
        <v>0</v>
      </c>
      <c r="O822" t="n">
        <v>0</v>
      </c>
      <c r="P822" t="n">
        <v>0</v>
      </c>
      <c r="Q822" t="n">
        <v>0</v>
      </c>
      <c r="R822" s="2" t="inlineStr"/>
    </row>
    <row r="823" ht="15" customHeight="1">
      <c r="A823" t="inlineStr">
        <is>
          <t>A 37717-2024</t>
        </is>
      </c>
      <c r="B823" s="1" t="n">
        <v>45541</v>
      </c>
      <c r="C823" s="1" t="n">
        <v>45890</v>
      </c>
      <c r="D823" t="inlineStr">
        <is>
          <t>VÄSTERBOTTENS LÄN</t>
        </is>
      </c>
      <c r="E823" t="inlineStr">
        <is>
          <t>VILHELMINA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26401-2022</t>
        </is>
      </c>
      <c r="B824" s="1" t="n">
        <v>44735</v>
      </c>
      <c r="C824" s="1" t="n">
        <v>45890</v>
      </c>
      <c r="D824" t="inlineStr">
        <is>
          <t>VÄSTERBOTTENS LÄN</t>
        </is>
      </c>
      <c r="E824" t="inlineStr">
        <is>
          <t>VILHELMINA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58363-2021</t>
        </is>
      </c>
      <c r="B825" s="1" t="n">
        <v>44488</v>
      </c>
      <c r="C825" s="1" t="n">
        <v>45890</v>
      </c>
      <c r="D825" t="inlineStr">
        <is>
          <t>VÄSTERBOTTENS LÄN</t>
        </is>
      </c>
      <c r="E825" t="inlineStr">
        <is>
          <t>VILHELMINA</t>
        </is>
      </c>
      <c r="G825" t="n">
        <v>7.3</v>
      </c>
      <c r="H825" t="n">
        <v>0</v>
      </c>
      <c r="I825" t="n">
        <v>0</v>
      </c>
      <c r="J825" t="n">
        <v>0</v>
      </c>
      <c r="K825" t="n">
        <v>0</v>
      </c>
      <c r="L825" t="n">
        <v>0</v>
      </c>
      <c r="M825" t="n">
        <v>0</v>
      </c>
      <c r="N825" t="n">
        <v>0</v>
      </c>
      <c r="O825" t="n">
        <v>0</v>
      </c>
      <c r="P825" t="n">
        <v>0</v>
      </c>
      <c r="Q825" t="n">
        <v>0</v>
      </c>
      <c r="R825" s="2" t="inlineStr"/>
    </row>
    <row r="826" ht="15" customHeight="1">
      <c r="A826" t="inlineStr">
        <is>
          <t>A 39320-2025</t>
        </is>
      </c>
      <c r="B826" s="1" t="n">
        <v>45889.46940972222</v>
      </c>
      <c r="C826" s="1" t="n">
        <v>45890</v>
      </c>
      <c r="D826" t="inlineStr">
        <is>
          <t>VÄSTERBOTTENS LÄN</t>
        </is>
      </c>
      <c r="E826" t="inlineStr">
        <is>
          <t>VILHELMINA</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6638-2025</t>
        </is>
      </c>
      <c r="B827" s="1" t="n">
        <v>45700</v>
      </c>
      <c r="C827" s="1" t="n">
        <v>45890</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23544-2024</t>
        </is>
      </c>
      <c r="B828" s="1" t="n">
        <v>45453.95314814815</v>
      </c>
      <c r="C828" s="1" t="n">
        <v>45890</v>
      </c>
      <c r="D828" t="inlineStr">
        <is>
          <t>VÄSTERBOTTENS LÄN</t>
        </is>
      </c>
      <c r="E828" t="inlineStr">
        <is>
          <t>VILHELMINA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23545-2024</t>
        </is>
      </c>
      <c r="B829" s="1" t="n">
        <v>45453.95326388889</v>
      </c>
      <c r="C829" s="1" t="n">
        <v>45890</v>
      </c>
      <c r="D829" t="inlineStr">
        <is>
          <t>VÄSTERBOTTENS LÄN</t>
        </is>
      </c>
      <c r="E829" t="inlineStr">
        <is>
          <t>VILHELMINA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37346-2024</t>
        </is>
      </c>
      <c r="B830" s="1" t="n">
        <v>45540</v>
      </c>
      <c r="C830" s="1" t="n">
        <v>45890</v>
      </c>
      <c r="D830" t="inlineStr">
        <is>
          <t>VÄSTERBOTTENS LÄN</t>
        </is>
      </c>
      <c r="E830" t="inlineStr">
        <is>
          <t>VILHELMINA</t>
        </is>
      </c>
      <c r="G830" t="n">
        <v>100.3</v>
      </c>
      <c r="H830" t="n">
        <v>0</v>
      </c>
      <c r="I830" t="n">
        <v>0</v>
      </c>
      <c r="J830" t="n">
        <v>0</v>
      </c>
      <c r="K830" t="n">
        <v>0</v>
      </c>
      <c r="L830" t="n">
        <v>0</v>
      </c>
      <c r="M830" t="n">
        <v>0</v>
      </c>
      <c r="N830" t="n">
        <v>0</v>
      </c>
      <c r="O830" t="n">
        <v>0</v>
      </c>
      <c r="P830" t="n">
        <v>0</v>
      </c>
      <c r="Q830" t="n">
        <v>0</v>
      </c>
      <c r="R830" s="2" t="inlineStr"/>
    </row>
    <row r="831" ht="15" customHeight="1">
      <c r="A831" t="inlineStr">
        <is>
          <t>A 39138-2025</t>
        </is>
      </c>
      <c r="B831" s="1" t="n">
        <v>45888.59435185185</v>
      </c>
      <c r="C831" s="1" t="n">
        <v>45890</v>
      </c>
      <c r="D831" t="inlineStr">
        <is>
          <t>VÄSTERBOTTENS LÄN</t>
        </is>
      </c>
      <c r="E831" t="inlineStr">
        <is>
          <t>VILHELMINA</t>
        </is>
      </c>
      <c r="G831" t="n">
        <v>6.7</v>
      </c>
      <c r="H831" t="n">
        <v>0</v>
      </c>
      <c r="I831" t="n">
        <v>0</v>
      </c>
      <c r="J831" t="n">
        <v>0</v>
      </c>
      <c r="K831" t="n">
        <v>0</v>
      </c>
      <c r="L831" t="n">
        <v>0</v>
      </c>
      <c r="M831" t="n">
        <v>0</v>
      </c>
      <c r="N831" t="n">
        <v>0</v>
      </c>
      <c r="O831" t="n">
        <v>0</v>
      </c>
      <c r="P831" t="n">
        <v>0</v>
      </c>
      <c r="Q831" t="n">
        <v>0</v>
      </c>
      <c r="R831" s="2" t="inlineStr"/>
    </row>
    <row r="832" ht="15" customHeight="1">
      <c r="A832" t="inlineStr">
        <is>
          <t>A 34563-2025</t>
        </is>
      </c>
      <c r="B832" s="1" t="n">
        <v>45847.57950231482</v>
      </c>
      <c r="C832" s="1" t="n">
        <v>45890</v>
      </c>
      <c r="D832" t="inlineStr">
        <is>
          <t>VÄSTERBOTTENS LÄN</t>
        </is>
      </c>
      <c r="E832" t="inlineStr">
        <is>
          <t>VILHELMINA</t>
        </is>
      </c>
      <c r="G832" t="n">
        <v>20.6</v>
      </c>
      <c r="H832" t="n">
        <v>0</v>
      </c>
      <c r="I832" t="n">
        <v>0</v>
      </c>
      <c r="J832" t="n">
        <v>0</v>
      </c>
      <c r="K832" t="n">
        <v>0</v>
      </c>
      <c r="L832" t="n">
        <v>0</v>
      </c>
      <c r="M832" t="n">
        <v>0</v>
      </c>
      <c r="N832" t="n">
        <v>0</v>
      </c>
      <c r="O832" t="n">
        <v>0</v>
      </c>
      <c r="P832" t="n">
        <v>0</v>
      </c>
      <c r="Q832" t="n">
        <v>0</v>
      </c>
      <c r="R832" s="2" t="inlineStr"/>
    </row>
    <row r="833" ht="15" customHeight="1">
      <c r="A833" t="inlineStr">
        <is>
          <t>A 12365-2025</t>
        </is>
      </c>
      <c r="B833" s="1" t="n">
        <v>45730.37549768519</v>
      </c>
      <c r="C833" s="1" t="n">
        <v>45890</v>
      </c>
      <c r="D833" t="inlineStr">
        <is>
          <t>VÄSTERBOTTENS LÄN</t>
        </is>
      </c>
      <c r="E833" t="inlineStr">
        <is>
          <t>VILHELMINA</t>
        </is>
      </c>
      <c r="F833" t="inlineStr">
        <is>
          <t>Övriga statliga verk och myndigheter</t>
        </is>
      </c>
      <c r="G833" t="n">
        <v>11.5</v>
      </c>
      <c r="H833" t="n">
        <v>0</v>
      </c>
      <c r="I833" t="n">
        <v>0</v>
      </c>
      <c r="J833" t="n">
        <v>0</v>
      </c>
      <c r="K833" t="n">
        <v>0</v>
      </c>
      <c r="L833" t="n">
        <v>0</v>
      </c>
      <c r="M833" t="n">
        <v>0</v>
      </c>
      <c r="N833" t="n">
        <v>0</v>
      </c>
      <c r="O833" t="n">
        <v>0</v>
      </c>
      <c r="P833" t="n">
        <v>0</v>
      </c>
      <c r="Q833" t="n">
        <v>0</v>
      </c>
      <c r="R833" s="2" t="inlineStr"/>
    </row>
    <row r="834" ht="15" customHeight="1">
      <c r="A834" t="inlineStr">
        <is>
          <t>A 12370-2025</t>
        </is>
      </c>
      <c r="B834" s="1" t="n">
        <v>45730.37681712963</v>
      </c>
      <c r="C834" s="1" t="n">
        <v>45890</v>
      </c>
      <c r="D834" t="inlineStr">
        <is>
          <t>VÄSTERBOTTENS LÄN</t>
        </is>
      </c>
      <c r="E834" t="inlineStr">
        <is>
          <t>VILHELMINA</t>
        </is>
      </c>
      <c r="F834" t="inlineStr">
        <is>
          <t>Övriga statliga verk och myndigheter</t>
        </is>
      </c>
      <c r="G834" t="n">
        <v>8.9</v>
      </c>
      <c r="H834" t="n">
        <v>0</v>
      </c>
      <c r="I834" t="n">
        <v>0</v>
      </c>
      <c r="J834" t="n">
        <v>0</v>
      </c>
      <c r="K834" t="n">
        <v>0</v>
      </c>
      <c r="L834" t="n">
        <v>0</v>
      </c>
      <c r="M834" t="n">
        <v>0</v>
      </c>
      <c r="N834" t="n">
        <v>0</v>
      </c>
      <c r="O834" t="n">
        <v>0</v>
      </c>
      <c r="P834" t="n">
        <v>0</v>
      </c>
      <c r="Q834" t="n">
        <v>0</v>
      </c>
      <c r="R834" s="2" t="inlineStr"/>
    </row>
    <row r="835" ht="15" customHeight="1">
      <c r="A835" t="inlineStr">
        <is>
          <t>A 39378-2025</t>
        </is>
      </c>
      <c r="B835" s="1" t="n">
        <v>45889.59453703704</v>
      </c>
      <c r="C835" s="1" t="n">
        <v>45890</v>
      </c>
      <c r="D835" t="inlineStr">
        <is>
          <t>VÄSTERBOTTENS LÄN</t>
        </is>
      </c>
      <c r="E835" t="inlineStr">
        <is>
          <t>VILHELMINA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34569-2025</t>
        </is>
      </c>
      <c r="B836" s="1" t="n">
        <v>45847.58480324074</v>
      </c>
      <c r="C836" s="1" t="n">
        <v>45890</v>
      </c>
      <c r="D836" t="inlineStr">
        <is>
          <t>VÄSTERBOTTENS LÄN</t>
        </is>
      </c>
      <c r="E836" t="inlineStr">
        <is>
          <t>VILHELMINA</t>
        </is>
      </c>
      <c r="G836" t="n">
        <v>5.3</v>
      </c>
      <c r="H836" t="n">
        <v>0</v>
      </c>
      <c r="I836" t="n">
        <v>0</v>
      </c>
      <c r="J836" t="n">
        <v>0</v>
      </c>
      <c r="K836" t="n">
        <v>0</v>
      </c>
      <c r="L836" t="n">
        <v>0</v>
      </c>
      <c r="M836" t="n">
        <v>0</v>
      </c>
      <c r="N836" t="n">
        <v>0</v>
      </c>
      <c r="O836" t="n">
        <v>0</v>
      </c>
      <c r="P836" t="n">
        <v>0</v>
      </c>
      <c r="Q836" t="n">
        <v>0</v>
      </c>
      <c r="R836" s="2" t="inlineStr"/>
    </row>
    <row r="837" ht="15" customHeight="1">
      <c r="A837" t="inlineStr">
        <is>
          <t>A 19221-2025</t>
        </is>
      </c>
      <c r="B837" s="1" t="n">
        <v>45769</v>
      </c>
      <c r="C837" s="1" t="n">
        <v>45890</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34542-2025</t>
        </is>
      </c>
      <c r="B838" s="1" t="n">
        <v>45847.53211805555</v>
      </c>
      <c r="C838" s="1" t="n">
        <v>45890</v>
      </c>
      <c r="D838" t="inlineStr">
        <is>
          <t>VÄSTERBOTTENS LÄN</t>
        </is>
      </c>
      <c r="E838" t="inlineStr">
        <is>
          <t>VILHELMINA</t>
        </is>
      </c>
      <c r="F838" t="inlineStr">
        <is>
          <t>SCA</t>
        </is>
      </c>
      <c r="G838" t="n">
        <v>0.4</v>
      </c>
      <c r="H838" t="n">
        <v>0</v>
      </c>
      <c r="I838" t="n">
        <v>0</v>
      </c>
      <c r="J838" t="n">
        <v>0</v>
      </c>
      <c r="K838" t="n">
        <v>0</v>
      </c>
      <c r="L838" t="n">
        <v>0</v>
      </c>
      <c r="M838" t="n">
        <v>0</v>
      </c>
      <c r="N838" t="n">
        <v>0</v>
      </c>
      <c r="O838" t="n">
        <v>0</v>
      </c>
      <c r="P838" t="n">
        <v>0</v>
      </c>
      <c r="Q838" t="n">
        <v>0</v>
      </c>
      <c r="R838" s="2" t="inlineStr"/>
    </row>
    <row r="839" ht="15" customHeight="1">
      <c r="A839" t="inlineStr">
        <is>
          <t>A 6669-2021</t>
        </is>
      </c>
      <c r="B839" s="1" t="n">
        <v>44235</v>
      </c>
      <c r="C839" s="1" t="n">
        <v>45890</v>
      </c>
      <c r="D839" t="inlineStr">
        <is>
          <t>VÄSTERBOTTENS LÄN</t>
        </is>
      </c>
      <c r="E839" t="inlineStr">
        <is>
          <t>VILHELMINA</t>
        </is>
      </c>
      <c r="G839" t="n">
        <v>19.8</v>
      </c>
      <c r="H839" t="n">
        <v>0</v>
      </c>
      <c r="I839" t="n">
        <v>0</v>
      </c>
      <c r="J839" t="n">
        <v>0</v>
      </c>
      <c r="K839" t="n">
        <v>0</v>
      </c>
      <c r="L839" t="n">
        <v>0</v>
      </c>
      <c r="M839" t="n">
        <v>0</v>
      </c>
      <c r="N839" t="n">
        <v>0</v>
      </c>
      <c r="O839" t="n">
        <v>0</v>
      </c>
      <c r="P839" t="n">
        <v>0</v>
      </c>
      <c r="Q839" t="n">
        <v>0</v>
      </c>
      <c r="R839" s="2" t="inlineStr"/>
    </row>
    <row r="840" ht="15" customHeight="1">
      <c r="A840" t="inlineStr">
        <is>
          <t>A 6706-2021</t>
        </is>
      </c>
      <c r="B840" s="1" t="n">
        <v>44235</v>
      </c>
      <c r="C840" s="1" t="n">
        <v>45890</v>
      </c>
      <c r="D840" t="inlineStr">
        <is>
          <t>VÄSTERBOTTENS LÄN</t>
        </is>
      </c>
      <c r="E840" t="inlineStr">
        <is>
          <t>VILHELMINA</t>
        </is>
      </c>
      <c r="G840" t="n">
        <v>3.8</v>
      </c>
      <c r="H840" t="n">
        <v>0</v>
      </c>
      <c r="I840" t="n">
        <v>0</v>
      </c>
      <c r="J840" t="n">
        <v>0</v>
      </c>
      <c r="K840" t="n">
        <v>0</v>
      </c>
      <c r="L840" t="n">
        <v>0</v>
      </c>
      <c r="M840" t="n">
        <v>0</v>
      </c>
      <c r="N840" t="n">
        <v>0</v>
      </c>
      <c r="O840" t="n">
        <v>0</v>
      </c>
      <c r="P840" t="n">
        <v>0</v>
      </c>
      <c r="Q840" t="n">
        <v>0</v>
      </c>
      <c r="R840" s="2" t="inlineStr"/>
    </row>
    <row r="841" ht="15" customHeight="1">
      <c r="A841" t="inlineStr">
        <is>
          <t>A 61778-2023</t>
        </is>
      </c>
      <c r="B841" s="1" t="n">
        <v>45265.95667824074</v>
      </c>
      <c r="C841" s="1" t="n">
        <v>45890</v>
      </c>
      <c r="D841" t="inlineStr">
        <is>
          <t>VÄSTERBOTTENS LÄN</t>
        </is>
      </c>
      <c r="E841" t="inlineStr">
        <is>
          <t>VILHELMINA</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58377-2021</t>
        </is>
      </c>
      <c r="B842" s="1" t="n">
        <v>44488</v>
      </c>
      <c r="C842" s="1" t="n">
        <v>45890</v>
      </c>
      <c r="D842" t="inlineStr">
        <is>
          <t>VÄSTERBOTTENS LÄN</t>
        </is>
      </c>
      <c r="E842" t="inlineStr">
        <is>
          <t>VILHELMINA</t>
        </is>
      </c>
      <c r="G842" t="n">
        <v>1.5</v>
      </c>
      <c r="H842" t="n">
        <v>0</v>
      </c>
      <c r="I842" t="n">
        <v>0</v>
      </c>
      <c r="J842" t="n">
        <v>0</v>
      </c>
      <c r="K842" t="n">
        <v>0</v>
      </c>
      <c r="L842" t="n">
        <v>0</v>
      </c>
      <c r="M842" t="n">
        <v>0</v>
      </c>
      <c r="N842" t="n">
        <v>0</v>
      </c>
      <c r="O842" t="n">
        <v>0</v>
      </c>
      <c r="P842" t="n">
        <v>0</v>
      </c>
      <c r="Q842" t="n">
        <v>0</v>
      </c>
      <c r="R842" s="2" t="inlineStr"/>
    </row>
    <row r="843" ht="15" customHeight="1">
      <c r="A843" t="inlineStr">
        <is>
          <t>A 475-2024</t>
        </is>
      </c>
      <c r="B843" s="1" t="n">
        <v>45297.83246527778</v>
      </c>
      <c r="C843" s="1" t="n">
        <v>45890</v>
      </c>
      <c r="D843" t="inlineStr">
        <is>
          <t>VÄSTERBOTTENS LÄN</t>
        </is>
      </c>
      <c r="E843" t="inlineStr">
        <is>
          <t>VILHELMINA</t>
        </is>
      </c>
      <c r="G843" t="n">
        <v>6.1</v>
      </c>
      <c r="H843" t="n">
        <v>0</v>
      </c>
      <c r="I843" t="n">
        <v>0</v>
      </c>
      <c r="J843" t="n">
        <v>0</v>
      </c>
      <c r="K843" t="n">
        <v>0</v>
      </c>
      <c r="L843" t="n">
        <v>0</v>
      </c>
      <c r="M843" t="n">
        <v>0</v>
      </c>
      <c r="N843" t="n">
        <v>0</v>
      </c>
      <c r="O843" t="n">
        <v>0</v>
      </c>
      <c r="P843" t="n">
        <v>0</v>
      </c>
      <c r="Q843" t="n">
        <v>0</v>
      </c>
      <c r="R843" s="2" t="inlineStr"/>
    </row>
    <row r="844" ht="15" customHeight="1">
      <c r="A844" t="inlineStr">
        <is>
          <t>A 14254-2025</t>
        </is>
      </c>
      <c r="B844" s="1" t="n">
        <v>45740.61644675926</v>
      </c>
      <c r="C844" s="1" t="n">
        <v>45890</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19909-2025</t>
        </is>
      </c>
      <c r="B845" s="1" t="n">
        <v>45771.60482638889</v>
      </c>
      <c r="C845" s="1" t="n">
        <v>45890</v>
      </c>
      <c r="D845" t="inlineStr">
        <is>
          <t>VÄSTERBOTTENS LÄN</t>
        </is>
      </c>
      <c r="E845" t="inlineStr">
        <is>
          <t>VILHELMINA</t>
        </is>
      </c>
      <c r="G845" t="n">
        <v>12.4</v>
      </c>
      <c r="H845" t="n">
        <v>0</v>
      </c>
      <c r="I845" t="n">
        <v>0</v>
      </c>
      <c r="J845" t="n">
        <v>0</v>
      </c>
      <c r="K845" t="n">
        <v>0</v>
      </c>
      <c r="L845" t="n">
        <v>0</v>
      </c>
      <c r="M845" t="n">
        <v>0</v>
      </c>
      <c r="N845" t="n">
        <v>0</v>
      </c>
      <c r="O845" t="n">
        <v>0</v>
      </c>
      <c r="P845" t="n">
        <v>0</v>
      </c>
      <c r="Q845" t="n">
        <v>0</v>
      </c>
      <c r="R845" s="2" t="inlineStr"/>
    </row>
    <row r="846" ht="15" customHeight="1">
      <c r="A846" t="inlineStr">
        <is>
          <t>A 13030-2025</t>
        </is>
      </c>
      <c r="B846" s="1" t="n">
        <v>45734</v>
      </c>
      <c r="C846" s="1" t="n">
        <v>45890</v>
      </c>
      <c r="D846" t="inlineStr">
        <is>
          <t>VÄSTERBOTTENS LÄN</t>
        </is>
      </c>
      <c r="E846" t="inlineStr">
        <is>
          <t>VILHELMINA</t>
        </is>
      </c>
      <c r="G846" t="n">
        <v>13.9</v>
      </c>
      <c r="H846" t="n">
        <v>0</v>
      </c>
      <c r="I846" t="n">
        <v>0</v>
      </c>
      <c r="J846" t="n">
        <v>0</v>
      </c>
      <c r="K846" t="n">
        <v>0</v>
      </c>
      <c r="L846" t="n">
        <v>0</v>
      </c>
      <c r="M846" t="n">
        <v>0</v>
      </c>
      <c r="N846" t="n">
        <v>0</v>
      </c>
      <c r="O846" t="n">
        <v>0</v>
      </c>
      <c r="P846" t="n">
        <v>0</v>
      </c>
      <c r="Q846" t="n">
        <v>0</v>
      </c>
      <c r="R846" s="2" t="inlineStr"/>
    </row>
    <row r="847" ht="15" customHeight="1">
      <c r="A847" t="inlineStr">
        <is>
          <t>A 8916-2023</t>
        </is>
      </c>
      <c r="B847" s="1" t="n">
        <v>44972</v>
      </c>
      <c r="C847" s="1" t="n">
        <v>45890</v>
      </c>
      <c r="D847" t="inlineStr">
        <is>
          <t>VÄSTERBOTTENS LÄN</t>
        </is>
      </c>
      <c r="E847" t="inlineStr">
        <is>
          <t>VILHELMINA</t>
        </is>
      </c>
      <c r="F847" t="inlineStr">
        <is>
          <t>Allmännings- och besparingsskogar</t>
        </is>
      </c>
      <c r="G847" t="n">
        <v>22.1</v>
      </c>
      <c r="H847" t="n">
        <v>0</v>
      </c>
      <c r="I847" t="n">
        <v>0</v>
      </c>
      <c r="J847" t="n">
        <v>0</v>
      </c>
      <c r="K847" t="n">
        <v>0</v>
      </c>
      <c r="L847" t="n">
        <v>0</v>
      </c>
      <c r="M847" t="n">
        <v>0</v>
      </c>
      <c r="N847" t="n">
        <v>0</v>
      </c>
      <c r="O847" t="n">
        <v>0</v>
      </c>
      <c r="P847" t="n">
        <v>0</v>
      </c>
      <c r="Q847" t="n">
        <v>0</v>
      </c>
      <c r="R847" s="2" t="inlineStr"/>
    </row>
    <row r="848" ht="15" customHeight="1">
      <c r="A848" t="inlineStr">
        <is>
          <t>A 15805-2025</t>
        </is>
      </c>
      <c r="B848" s="1" t="n">
        <v>45748</v>
      </c>
      <c r="C848" s="1" t="n">
        <v>45890</v>
      </c>
      <c r="D848" t="inlineStr">
        <is>
          <t>VÄSTERBOTTENS LÄN</t>
        </is>
      </c>
      <c r="E848" t="inlineStr">
        <is>
          <t>VILHELMINA</t>
        </is>
      </c>
      <c r="G848" t="n">
        <v>1.4</v>
      </c>
      <c r="H848" t="n">
        <v>0</v>
      </c>
      <c r="I848" t="n">
        <v>0</v>
      </c>
      <c r="J848" t="n">
        <v>0</v>
      </c>
      <c r="K848" t="n">
        <v>0</v>
      </c>
      <c r="L848" t="n">
        <v>0</v>
      </c>
      <c r="M848" t="n">
        <v>0</v>
      </c>
      <c r="N848" t="n">
        <v>0</v>
      </c>
      <c r="O848" t="n">
        <v>0</v>
      </c>
      <c r="P848" t="n">
        <v>0</v>
      </c>
      <c r="Q848" t="n">
        <v>0</v>
      </c>
      <c r="R848" s="2" t="inlineStr"/>
    </row>
    <row r="849" ht="15" customHeight="1">
      <c r="A849" t="inlineStr">
        <is>
          <t>A 2187-2021</t>
        </is>
      </c>
      <c r="B849" s="1" t="n">
        <v>44211</v>
      </c>
      <c r="C849" s="1" t="n">
        <v>45890</v>
      </c>
      <c r="D849" t="inlineStr">
        <is>
          <t>VÄSTERBOTTENS LÄN</t>
        </is>
      </c>
      <c r="E849" t="inlineStr">
        <is>
          <t>VILHELMINA</t>
        </is>
      </c>
      <c r="F849" t="inlineStr">
        <is>
          <t>Allmännings- och besparingsskogar</t>
        </is>
      </c>
      <c r="G849" t="n">
        <v>21.3</v>
      </c>
      <c r="H849" t="n">
        <v>0</v>
      </c>
      <c r="I849" t="n">
        <v>0</v>
      </c>
      <c r="J849" t="n">
        <v>0</v>
      </c>
      <c r="K849" t="n">
        <v>0</v>
      </c>
      <c r="L849" t="n">
        <v>0</v>
      </c>
      <c r="M849" t="n">
        <v>0</v>
      </c>
      <c r="N849" t="n">
        <v>0</v>
      </c>
      <c r="O849" t="n">
        <v>0</v>
      </c>
      <c r="P849" t="n">
        <v>0</v>
      </c>
      <c r="Q849" t="n">
        <v>0</v>
      </c>
      <c r="R849" s="2" t="inlineStr"/>
    </row>
    <row r="850" ht="15" customHeight="1">
      <c r="A850" t="inlineStr">
        <is>
          <t>A 44634-2024</t>
        </is>
      </c>
      <c r="B850" s="1" t="n">
        <v>45574</v>
      </c>
      <c r="C850" s="1" t="n">
        <v>45890</v>
      </c>
      <c r="D850" t="inlineStr">
        <is>
          <t>VÄSTERBOTTENS LÄN</t>
        </is>
      </c>
      <c r="E850" t="inlineStr">
        <is>
          <t>VILHELMINA</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48471-2023</t>
        </is>
      </c>
      <c r="B851" s="1" t="n">
        <v>45206.9575462963</v>
      </c>
      <c r="C851" s="1" t="n">
        <v>45890</v>
      </c>
      <c r="D851" t="inlineStr">
        <is>
          <t>VÄSTERBOTTENS LÄN</t>
        </is>
      </c>
      <c r="E851" t="inlineStr">
        <is>
          <t>VILHELMINA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34130-2024</t>
        </is>
      </c>
      <c r="B852" s="1" t="n">
        <v>45524.34668981482</v>
      </c>
      <c r="C852" s="1" t="n">
        <v>45890</v>
      </c>
      <c r="D852" t="inlineStr">
        <is>
          <t>VÄSTERBOTTENS LÄN</t>
        </is>
      </c>
      <c r="E852" t="inlineStr">
        <is>
          <t>VILHELMINA</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56763-2023</t>
        </is>
      </c>
      <c r="B853" s="1" t="n">
        <v>45238</v>
      </c>
      <c r="C853" s="1" t="n">
        <v>45890</v>
      </c>
      <c r="D853" t="inlineStr">
        <is>
          <t>VÄSTERBOTTENS LÄN</t>
        </is>
      </c>
      <c r="E853" t="inlineStr">
        <is>
          <t>VILHELMINA</t>
        </is>
      </c>
      <c r="F853" t="inlineStr">
        <is>
          <t>Allmännings- och besparingsskogar</t>
        </is>
      </c>
      <c r="G853" t="n">
        <v>77</v>
      </c>
      <c r="H853" t="n">
        <v>0</v>
      </c>
      <c r="I853" t="n">
        <v>0</v>
      </c>
      <c r="J853" t="n">
        <v>0</v>
      </c>
      <c r="K853" t="n">
        <v>0</v>
      </c>
      <c r="L853" t="n">
        <v>0</v>
      </c>
      <c r="M853" t="n">
        <v>0</v>
      </c>
      <c r="N853" t="n">
        <v>0</v>
      </c>
      <c r="O853" t="n">
        <v>0</v>
      </c>
      <c r="P853" t="n">
        <v>0</v>
      </c>
      <c r="Q853" t="n">
        <v>0</v>
      </c>
      <c r="R853" s="2" t="inlineStr"/>
    </row>
    <row r="854" ht="15" customHeight="1">
      <c r="A854" t="inlineStr">
        <is>
          <t>A 45007-2024</t>
        </is>
      </c>
      <c r="B854" s="1" t="n">
        <v>45575.49100694444</v>
      </c>
      <c r="C854" s="1" t="n">
        <v>45890</v>
      </c>
      <c r="D854" t="inlineStr">
        <is>
          <t>VÄSTERBOTTENS LÄN</t>
        </is>
      </c>
      <c r="E854" t="inlineStr">
        <is>
          <t>VILHELMINA</t>
        </is>
      </c>
      <c r="F854" t="inlineStr">
        <is>
          <t>SCA</t>
        </is>
      </c>
      <c r="G854" t="n">
        <v>14.8</v>
      </c>
      <c r="H854" t="n">
        <v>0</v>
      </c>
      <c r="I854" t="n">
        <v>0</v>
      </c>
      <c r="J854" t="n">
        <v>0</v>
      </c>
      <c r="K854" t="n">
        <v>0</v>
      </c>
      <c r="L854" t="n">
        <v>0</v>
      </c>
      <c r="M854" t="n">
        <v>0</v>
      </c>
      <c r="N854" t="n">
        <v>0</v>
      </c>
      <c r="O854" t="n">
        <v>0</v>
      </c>
      <c r="P854" t="n">
        <v>0</v>
      </c>
      <c r="Q854" t="n">
        <v>0</v>
      </c>
      <c r="R854" s="2" t="inlineStr"/>
    </row>
    <row r="855" ht="15" customHeight="1">
      <c r="A855" t="inlineStr">
        <is>
          <t>A 33786-2024</t>
        </is>
      </c>
      <c r="B855" s="1" t="n">
        <v>45520.58966435185</v>
      </c>
      <c r="C855" s="1" t="n">
        <v>45890</v>
      </c>
      <c r="D855" t="inlineStr">
        <is>
          <t>VÄSTERBOTTENS LÄN</t>
        </is>
      </c>
      <c r="E855" t="inlineStr">
        <is>
          <t>VILHELMINA</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61780-2023</t>
        </is>
      </c>
      <c r="B856" s="1" t="n">
        <v>45265.95685185185</v>
      </c>
      <c r="C856" s="1" t="n">
        <v>45890</v>
      </c>
      <c r="D856" t="inlineStr">
        <is>
          <t>VÄSTERBOTTENS LÄN</t>
        </is>
      </c>
      <c r="E856" t="inlineStr">
        <is>
          <t>VILHELMINA</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18781-2021</t>
        </is>
      </c>
      <c r="B857" s="1" t="n">
        <v>44307</v>
      </c>
      <c r="C857" s="1" t="n">
        <v>45890</v>
      </c>
      <c r="D857" t="inlineStr">
        <is>
          <t>VÄSTERBOTTENS LÄN</t>
        </is>
      </c>
      <c r="E857" t="inlineStr">
        <is>
          <t>VILHELMINA</t>
        </is>
      </c>
      <c r="G857" t="n">
        <v>3.5</v>
      </c>
      <c r="H857" t="n">
        <v>0</v>
      </c>
      <c r="I857" t="n">
        <v>0</v>
      </c>
      <c r="J857" t="n">
        <v>0</v>
      </c>
      <c r="K857" t="n">
        <v>0</v>
      </c>
      <c r="L857" t="n">
        <v>0</v>
      </c>
      <c r="M857" t="n">
        <v>0</v>
      </c>
      <c r="N857" t="n">
        <v>0</v>
      </c>
      <c r="O857" t="n">
        <v>0</v>
      </c>
      <c r="P857" t="n">
        <v>0</v>
      </c>
      <c r="Q857" t="n">
        <v>0</v>
      </c>
      <c r="R857" s="2" t="inlineStr"/>
    </row>
    <row r="858" ht="15" customHeight="1">
      <c r="A858" t="inlineStr">
        <is>
          <t>A 18790-2021</t>
        </is>
      </c>
      <c r="B858" s="1" t="n">
        <v>44307</v>
      </c>
      <c r="C858" s="1" t="n">
        <v>45890</v>
      </c>
      <c r="D858" t="inlineStr">
        <is>
          <t>VÄSTERBOTTENS LÄN</t>
        </is>
      </c>
      <c r="E858" t="inlineStr">
        <is>
          <t>VILHELMINA</t>
        </is>
      </c>
      <c r="G858" t="n">
        <v>1.1</v>
      </c>
      <c r="H858" t="n">
        <v>0</v>
      </c>
      <c r="I858" t="n">
        <v>0</v>
      </c>
      <c r="J858" t="n">
        <v>0</v>
      </c>
      <c r="K858" t="n">
        <v>0</v>
      </c>
      <c r="L858" t="n">
        <v>0</v>
      </c>
      <c r="M858" t="n">
        <v>0</v>
      </c>
      <c r="N858" t="n">
        <v>0</v>
      </c>
      <c r="O858" t="n">
        <v>0</v>
      </c>
      <c r="P858" t="n">
        <v>0</v>
      </c>
      <c r="Q858" t="n">
        <v>0</v>
      </c>
      <c r="R858" s="2" t="inlineStr"/>
    </row>
    <row r="859" ht="15" customHeight="1">
      <c r="A859" t="inlineStr">
        <is>
          <t>A 59671-2023</t>
        </is>
      </c>
      <c r="B859" s="1" t="n">
        <v>45254.96524305556</v>
      </c>
      <c r="C859" s="1" t="n">
        <v>45890</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59693-2024</t>
        </is>
      </c>
      <c r="B860" s="1" t="n">
        <v>45639</v>
      </c>
      <c r="C860" s="1" t="n">
        <v>45890</v>
      </c>
      <c r="D860" t="inlineStr">
        <is>
          <t>VÄSTERBOTTENS LÄN</t>
        </is>
      </c>
      <c r="E860" t="inlineStr">
        <is>
          <t>VILHELMINA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20324-2025</t>
        </is>
      </c>
      <c r="B861" s="1" t="n">
        <v>45775</v>
      </c>
      <c r="C861" s="1" t="n">
        <v>45890</v>
      </c>
      <c r="D861" t="inlineStr">
        <is>
          <t>VÄSTERBOTTENS LÄN</t>
        </is>
      </c>
      <c r="E861" t="inlineStr">
        <is>
          <t>VILHELMINA</t>
        </is>
      </c>
      <c r="G861" t="n">
        <v>3.5</v>
      </c>
      <c r="H861" t="n">
        <v>0</v>
      </c>
      <c r="I861" t="n">
        <v>0</v>
      </c>
      <c r="J861" t="n">
        <v>0</v>
      </c>
      <c r="K861" t="n">
        <v>0</v>
      </c>
      <c r="L861" t="n">
        <v>0</v>
      </c>
      <c r="M861" t="n">
        <v>0</v>
      </c>
      <c r="N861" t="n">
        <v>0</v>
      </c>
      <c r="O861" t="n">
        <v>0</v>
      </c>
      <c r="P861" t="n">
        <v>0</v>
      </c>
      <c r="Q861" t="n">
        <v>0</v>
      </c>
      <c r="R861" s="2" t="inlineStr"/>
    </row>
    <row r="862" ht="15" customHeight="1">
      <c r="A862" t="inlineStr">
        <is>
          <t>A 38555-2024</t>
        </is>
      </c>
      <c r="B862" s="1" t="n">
        <v>45546</v>
      </c>
      <c r="C862" s="1" t="n">
        <v>45890</v>
      </c>
      <c r="D862" t="inlineStr">
        <is>
          <t>VÄSTERBOTTENS LÄN</t>
        </is>
      </c>
      <c r="E862" t="inlineStr">
        <is>
          <t>VILHELMINA</t>
        </is>
      </c>
      <c r="G862" t="n">
        <v>7.8</v>
      </c>
      <c r="H862" t="n">
        <v>0</v>
      </c>
      <c r="I862" t="n">
        <v>0</v>
      </c>
      <c r="J862" t="n">
        <v>0</v>
      </c>
      <c r="K862" t="n">
        <v>0</v>
      </c>
      <c r="L862" t="n">
        <v>0</v>
      </c>
      <c r="M862" t="n">
        <v>0</v>
      </c>
      <c r="N862" t="n">
        <v>0</v>
      </c>
      <c r="O862" t="n">
        <v>0</v>
      </c>
      <c r="P862" t="n">
        <v>0</v>
      </c>
      <c r="Q862" t="n">
        <v>0</v>
      </c>
      <c r="R862" s="2" t="inlineStr"/>
    </row>
    <row r="863" ht="15" customHeight="1">
      <c r="A863" t="inlineStr">
        <is>
          <t>A 56754-2023</t>
        </is>
      </c>
      <c r="B863" s="1" t="n">
        <v>45238</v>
      </c>
      <c r="C863" s="1" t="n">
        <v>45890</v>
      </c>
      <c r="D863" t="inlineStr">
        <is>
          <t>VÄSTERBOTTENS LÄN</t>
        </is>
      </c>
      <c r="E863" t="inlineStr">
        <is>
          <t>VILHELMINA</t>
        </is>
      </c>
      <c r="F863" t="inlineStr">
        <is>
          <t>Allmännings- och besparingsskogar</t>
        </is>
      </c>
      <c r="G863" t="n">
        <v>18</v>
      </c>
      <c r="H863" t="n">
        <v>0</v>
      </c>
      <c r="I863" t="n">
        <v>0</v>
      </c>
      <c r="J863" t="n">
        <v>0</v>
      </c>
      <c r="K863" t="n">
        <v>0</v>
      </c>
      <c r="L863" t="n">
        <v>0</v>
      </c>
      <c r="M863" t="n">
        <v>0</v>
      </c>
      <c r="N863" t="n">
        <v>0</v>
      </c>
      <c r="O863" t="n">
        <v>0</v>
      </c>
      <c r="P863" t="n">
        <v>0</v>
      </c>
      <c r="Q863" t="n">
        <v>0</v>
      </c>
      <c r="R863" s="2" t="inlineStr"/>
    </row>
    <row r="864" ht="15" customHeight="1">
      <c r="A864" t="inlineStr">
        <is>
          <t>A 60311-2024</t>
        </is>
      </c>
      <c r="B864" s="1" t="n">
        <v>45643.34430555555</v>
      </c>
      <c r="C864" s="1" t="n">
        <v>45890</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14993-2025</t>
        </is>
      </c>
      <c r="B865" s="1" t="n">
        <v>45743</v>
      </c>
      <c r="C865" s="1" t="n">
        <v>45890</v>
      </c>
      <c r="D865" t="inlineStr">
        <is>
          <t>VÄSTERBOTTENS LÄN</t>
        </is>
      </c>
      <c r="E865" t="inlineStr">
        <is>
          <t>VILHELMINA</t>
        </is>
      </c>
      <c r="G865" t="n">
        <v>2.1</v>
      </c>
      <c r="H865" t="n">
        <v>0</v>
      </c>
      <c r="I865" t="n">
        <v>0</v>
      </c>
      <c r="J865" t="n">
        <v>0</v>
      </c>
      <c r="K865" t="n">
        <v>0</v>
      </c>
      <c r="L865" t="n">
        <v>0</v>
      </c>
      <c r="M865" t="n">
        <v>0</v>
      </c>
      <c r="N865" t="n">
        <v>0</v>
      </c>
      <c r="O865" t="n">
        <v>0</v>
      </c>
      <c r="P865" t="n">
        <v>0</v>
      </c>
      <c r="Q865" t="n">
        <v>0</v>
      </c>
      <c r="R865" s="2" t="inlineStr"/>
    </row>
    <row r="866" ht="15" customHeight="1">
      <c r="A866" t="inlineStr">
        <is>
          <t>A 60151-2024</t>
        </is>
      </c>
      <c r="B866" s="1" t="n">
        <v>45642.61490740741</v>
      </c>
      <c r="C866" s="1" t="n">
        <v>45890</v>
      </c>
      <c r="D866" t="inlineStr">
        <is>
          <t>VÄSTERBOTTENS LÄN</t>
        </is>
      </c>
      <c r="E866" t="inlineStr">
        <is>
          <t>VILHELMINA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60227-2022</t>
        </is>
      </c>
      <c r="B867" s="1" t="n">
        <v>44903</v>
      </c>
      <c r="C867" s="1" t="n">
        <v>45890</v>
      </c>
      <c r="D867" t="inlineStr">
        <is>
          <t>VÄSTERBOTTENS LÄN</t>
        </is>
      </c>
      <c r="E867" t="inlineStr">
        <is>
          <t>VILHELMINA</t>
        </is>
      </c>
      <c r="G867" t="n">
        <v>11</v>
      </c>
      <c r="H867" t="n">
        <v>0</v>
      </c>
      <c r="I867" t="n">
        <v>0</v>
      </c>
      <c r="J867" t="n">
        <v>0</v>
      </c>
      <c r="K867" t="n">
        <v>0</v>
      </c>
      <c r="L867" t="n">
        <v>0</v>
      </c>
      <c r="M867" t="n">
        <v>0</v>
      </c>
      <c r="N867" t="n">
        <v>0</v>
      </c>
      <c r="O867" t="n">
        <v>0</v>
      </c>
      <c r="P867" t="n">
        <v>0</v>
      </c>
      <c r="Q867" t="n">
        <v>0</v>
      </c>
      <c r="R867" s="2" t="inlineStr"/>
    </row>
    <row r="868" ht="15" customHeight="1">
      <c r="A868" t="inlineStr">
        <is>
          <t>A 26137-2024</t>
        </is>
      </c>
      <c r="B868" s="1" t="n">
        <v>45468</v>
      </c>
      <c r="C868" s="1" t="n">
        <v>45890</v>
      </c>
      <c r="D868" t="inlineStr">
        <is>
          <t>VÄSTERBOTTENS LÄN</t>
        </is>
      </c>
      <c r="E868" t="inlineStr">
        <is>
          <t>VILHELMINA</t>
        </is>
      </c>
      <c r="G868" t="n">
        <v>3.5</v>
      </c>
      <c r="H868" t="n">
        <v>0</v>
      </c>
      <c r="I868" t="n">
        <v>0</v>
      </c>
      <c r="J868" t="n">
        <v>0</v>
      </c>
      <c r="K868" t="n">
        <v>0</v>
      </c>
      <c r="L868" t="n">
        <v>0</v>
      </c>
      <c r="M868" t="n">
        <v>0</v>
      </c>
      <c r="N868" t="n">
        <v>0</v>
      </c>
      <c r="O868" t="n">
        <v>0</v>
      </c>
      <c r="P868" t="n">
        <v>0</v>
      </c>
      <c r="Q868" t="n">
        <v>0</v>
      </c>
      <c r="R868" s="2" t="inlineStr"/>
    </row>
    <row r="869" ht="15" customHeight="1">
      <c r="A869" t="inlineStr">
        <is>
          <t>A 20591-2025</t>
        </is>
      </c>
      <c r="B869" s="1" t="n">
        <v>45775</v>
      </c>
      <c r="C869" s="1" t="n">
        <v>45890</v>
      </c>
      <c r="D869" t="inlineStr">
        <is>
          <t>VÄSTERBOTTENS LÄN</t>
        </is>
      </c>
      <c r="E869" t="inlineStr">
        <is>
          <t>VILHELMINA</t>
        </is>
      </c>
      <c r="F869" t="inlineStr">
        <is>
          <t>SCA</t>
        </is>
      </c>
      <c r="G869" t="n">
        <v>27.4</v>
      </c>
      <c r="H869" t="n">
        <v>0</v>
      </c>
      <c r="I869" t="n">
        <v>0</v>
      </c>
      <c r="J869" t="n">
        <v>0</v>
      </c>
      <c r="K869" t="n">
        <v>0</v>
      </c>
      <c r="L869" t="n">
        <v>0</v>
      </c>
      <c r="M869" t="n">
        <v>0</v>
      </c>
      <c r="N869" t="n">
        <v>0</v>
      </c>
      <c r="O869" t="n">
        <v>0</v>
      </c>
      <c r="P869" t="n">
        <v>0</v>
      </c>
      <c r="Q869" t="n">
        <v>0</v>
      </c>
      <c r="R869" s="2" t="inlineStr"/>
    </row>
    <row r="870" ht="15" customHeight="1">
      <c r="A870" t="inlineStr">
        <is>
          <t>A 26553-2023</t>
        </is>
      </c>
      <c r="B870" s="1" t="n">
        <v>45089</v>
      </c>
      <c r="C870" s="1" t="n">
        <v>45890</v>
      </c>
      <c r="D870" t="inlineStr">
        <is>
          <t>VÄSTERBOTTENS LÄN</t>
        </is>
      </c>
      <c r="E870" t="inlineStr">
        <is>
          <t>VILHELMINA</t>
        </is>
      </c>
      <c r="G870" t="n">
        <v>5.5</v>
      </c>
      <c r="H870" t="n">
        <v>0</v>
      </c>
      <c r="I870" t="n">
        <v>0</v>
      </c>
      <c r="J870" t="n">
        <v>0</v>
      </c>
      <c r="K870" t="n">
        <v>0</v>
      </c>
      <c r="L870" t="n">
        <v>0</v>
      </c>
      <c r="M870" t="n">
        <v>0</v>
      </c>
      <c r="N870" t="n">
        <v>0</v>
      </c>
      <c r="O870" t="n">
        <v>0</v>
      </c>
      <c r="P870" t="n">
        <v>0</v>
      </c>
      <c r="Q870" t="n">
        <v>0</v>
      </c>
      <c r="R870" s="2" t="inlineStr"/>
    </row>
    <row r="871" ht="15" customHeight="1">
      <c r="A871" t="inlineStr">
        <is>
          <t>A 15786-2025</t>
        </is>
      </c>
      <c r="B871" s="1" t="n">
        <v>45748.62240740741</v>
      </c>
      <c r="C871" s="1" t="n">
        <v>45890</v>
      </c>
      <c r="D871" t="inlineStr">
        <is>
          <t>VÄSTERBOTTENS LÄN</t>
        </is>
      </c>
      <c r="E871" t="inlineStr">
        <is>
          <t>VILHELMINA</t>
        </is>
      </c>
      <c r="G871" t="n">
        <v>1.1</v>
      </c>
      <c r="H871" t="n">
        <v>0</v>
      </c>
      <c r="I871" t="n">
        <v>0</v>
      </c>
      <c r="J871" t="n">
        <v>0</v>
      </c>
      <c r="K871" t="n">
        <v>0</v>
      </c>
      <c r="L871" t="n">
        <v>0</v>
      </c>
      <c r="M871" t="n">
        <v>0</v>
      </c>
      <c r="N871" t="n">
        <v>0</v>
      </c>
      <c r="O871" t="n">
        <v>0</v>
      </c>
      <c r="P871" t="n">
        <v>0</v>
      </c>
      <c r="Q871" t="n">
        <v>0</v>
      </c>
      <c r="R871" s="2" t="inlineStr"/>
    </row>
    <row r="872" ht="15" customHeight="1">
      <c r="A872" t="inlineStr">
        <is>
          <t>A 49236-2024</t>
        </is>
      </c>
      <c r="B872" s="1" t="n">
        <v>45595</v>
      </c>
      <c r="C872" s="1" t="n">
        <v>45890</v>
      </c>
      <c r="D872" t="inlineStr">
        <is>
          <t>VÄSTERBOTTENS LÄN</t>
        </is>
      </c>
      <c r="E872" t="inlineStr">
        <is>
          <t>VILHELMINA</t>
        </is>
      </c>
      <c r="G872" t="n">
        <v>4.1</v>
      </c>
      <c r="H872" t="n">
        <v>0</v>
      </c>
      <c r="I872" t="n">
        <v>0</v>
      </c>
      <c r="J872" t="n">
        <v>0</v>
      </c>
      <c r="K872" t="n">
        <v>0</v>
      </c>
      <c r="L872" t="n">
        <v>0</v>
      </c>
      <c r="M872" t="n">
        <v>0</v>
      </c>
      <c r="N872" t="n">
        <v>0</v>
      </c>
      <c r="O872" t="n">
        <v>0</v>
      </c>
      <c r="P872" t="n">
        <v>0</v>
      </c>
      <c r="Q872" t="n">
        <v>0</v>
      </c>
      <c r="R872" s="2" t="inlineStr"/>
    </row>
    <row r="873" ht="15" customHeight="1">
      <c r="A873" t="inlineStr">
        <is>
          <t>A 49246-2024</t>
        </is>
      </c>
      <c r="B873" s="1" t="n">
        <v>45595.4618287037</v>
      </c>
      <c r="C873" s="1" t="n">
        <v>45890</v>
      </c>
      <c r="D873" t="inlineStr">
        <is>
          <t>VÄSTERBOTTENS LÄN</t>
        </is>
      </c>
      <c r="E873" t="inlineStr">
        <is>
          <t>VILHELMINA</t>
        </is>
      </c>
      <c r="G873" t="n">
        <v>0.9</v>
      </c>
      <c r="H873" t="n">
        <v>0</v>
      </c>
      <c r="I873" t="n">
        <v>0</v>
      </c>
      <c r="J873" t="n">
        <v>0</v>
      </c>
      <c r="K873" t="n">
        <v>0</v>
      </c>
      <c r="L873" t="n">
        <v>0</v>
      </c>
      <c r="M873" t="n">
        <v>0</v>
      </c>
      <c r="N873" t="n">
        <v>0</v>
      </c>
      <c r="O873" t="n">
        <v>0</v>
      </c>
      <c r="P873" t="n">
        <v>0</v>
      </c>
      <c r="Q873" t="n">
        <v>0</v>
      </c>
      <c r="R873" s="2" t="inlineStr"/>
    </row>
    <row r="874" ht="15" customHeight="1">
      <c r="A874" t="inlineStr">
        <is>
          <t>A 30572-2024</t>
        </is>
      </c>
      <c r="B874" s="1" t="n">
        <v>45492.95777777778</v>
      </c>
      <c r="C874" s="1" t="n">
        <v>45890</v>
      </c>
      <c r="D874" t="inlineStr">
        <is>
          <t>VÄSTERBOTTENS LÄN</t>
        </is>
      </c>
      <c r="E874" t="inlineStr">
        <is>
          <t>VILHELMINA</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15062-2024</t>
        </is>
      </c>
      <c r="B875" s="1" t="n">
        <v>45399</v>
      </c>
      <c r="C875" s="1" t="n">
        <v>45890</v>
      </c>
      <c r="D875" t="inlineStr">
        <is>
          <t>VÄSTERBOTTENS LÄN</t>
        </is>
      </c>
      <c r="E875" t="inlineStr">
        <is>
          <t>VILHELMINA</t>
        </is>
      </c>
      <c r="G875" t="n">
        <v>1.7</v>
      </c>
      <c r="H875" t="n">
        <v>0</v>
      </c>
      <c r="I875" t="n">
        <v>0</v>
      </c>
      <c r="J875" t="n">
        <v>0</v>
      </c>
      <c r="K875" t="n">
        <v>0</v>
      </c>
      <c r="L875" t="n">
        <v>0</v>
      </c>
      <c r="M875" t="n">
        <v>0</v>
      </c>
      <c r="N875" t="n">
        <v>0</v>
      </c>
      <c r="O875" t="n">
        <v>0</v>
      </c>
      <c r="P875" t="n">
        <v>0</v>
      </c>
      <c r="Q875" t="n">
        <v>0</v>
      </c>
      <c r="R875" s="2" t="inlineStr"/>
    </row>
    <row r="876" ht="15" customHeight="1">
      <c r="A876" t="inlineStr">
        <is>
          <t>A 15066-2024</t>
        </is>
      </c>
      <c r="B876" s="1" t="n">
        <v>45399</v>
      </c>
      <c r="C876" s="1" t="n">
        <v>45890</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46373-2020</t>
        </is>
      </c>
      <c r="B877" s="1" t="n">
        <v>44092</v>
      </c>
      <c r="C877" s="1" t="n">
        <v>45890</v>
      </c>
      <c r="D877" t="inlineStr">
        <is>
          <t>VÄSTERBOTTENS LÄN</t>
        </is>
      </c>
      <c r="E877" t="inlineStr">
        <is>
          <t>VILHELMINA</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9197-2023</t>
        </is>
      </c>
      <c r="B878" s="1" t="n">
        <v>44977</v>
      </c>
      <c r="C878" s="1" t="n">
        <v>45890</v>
      </c>
      <c r="D878" t="inlineStr">
        <is>
          <t>VÄSTERBOTTENS LÄN</t>
        </is>
      </c>
      <c r="E878" t="inlineStr">
        <is>
          <t>VILHELMINA</t>
        </is>
      </c>
      <c r="G878" t="n">
        <v>8.9</v>
      </c>
      <c r="H878" t="n">
        <v>0</v>
      </c>
      <c r="I878" t="n">
        <v>0</v>
      </c>
      <c r="J878" t="n">
        <v>0</v>
      </c>
      <c r="K878" t="n">
        <v>0</v>
      </c>
      <c r="L878" t="n">
        <v>0</v>
      </c>
      <c r="M878" t="n">
        <v>0</v>
      </c>
      <c r="N878" t="n">
        <v>0</v>
      </c>
      <c r="O878" t="n">
        <v>0</v>
      </c>
      <c r="P878" t="n">
        <v>0</v>
      </c>
      <c r="Q878" t="n">
        <v>0</v>
      </c>
      <c r="R878" s="2" t="inlineStr"/>
    </row>
    <row r="879" ht="15" customHeight="1">
      <c r="A879" t="inlineStr">
        <is>
          <t>A 17732-2024</t>
        </is>
      </c>
      <c r="B879" s="1" t="n">
        <v>45415</v>
      </c>
      <c r="C879" s="1" t="n">
        <v>45890</v>
      </c>
      <c r="D879" t="inlineStr">
        <is>
          <t>VÄSTERBOTTENS LÄN</t>
        </is>
      </c>
      <c r="E879" t="inlineStr">
        <is>
          <t>VILHELMINA</t>
        </is>
      </c>
      <c r="G879" t="n">
        <v>0.6</v>
      </c>
      <c r="H879" t="n">
        <v>0</v>
      </c>
      <c r="I879" t="n">
        <v>0</v>
      </c>
      <c r="J879" t="n">
        <v>0</v>
      </c>
      <c r="K879" t="n">
        <v>0</v>
      </c>
      <c r="L879" t="n">
        <v>0</v>
      </c>
      <c r="M879" t="n">
        <v>0</v>
      </c>
      <c r="N879" t="n">
        <v>0</v>
      </c>
      <c r="O879" t="n">
        <v>0</v>
      </c>
      <c r="P879" t="n">
        <v>0</v>
      </c>
      <c r="Q879" t="n">
        <v>0</v>
      </c>
      <c r="R879" s="2" t="inlineStr"/>
    </row>
    <row r="880" ht="15" customHeight="1">
      <c r="A880" t="inlineStr">
        <is>
          <t>A 19464-2025</t>
        </is>
      </c>
      <c r="B880" s="1" t="n">
        <v>45770</v>
      </c>
      <c r="C880" s="1" t="n">
        <v>45890</v>
      </c>
      <c r="D880" t="inlineStr">
        <is>
          <t>VÄSTERBOTTENS LÄN</t>
        </is>
      </c>
      <c r="E880" t="inlineStr">
        <is>
          <t>VILHELMINA</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54931-2023</t>
        </is>
      </c>
      <c r="B881" s="1" t="n">
        <v>45229</v>
      </c>
      <c r="C881" s="1" t="n">
        <v>45890</v>
      </c>
      <c r="D881" t="inlineStr">
        <is>
          <t>VÄSTERBOTTENS LÄN</t>
        </is>
      </c>
      <c r="E881" t="inlineStr">
        <is>
          <t>VILHELMINA</t>
        </is>
      </c>
      <c r="G881" t="n">
        <v>14.5</v>
      </c>
      <c r="H881" t="n">
        <v>0</v>
      </c>
      <c r="I881" t="n">
        <v>0</v>
      </c>
      <c r="J881" t="n">
        <v>0</v>
      </c>
      <c r="K881" t="n">
        <v>0</v>
      </c>
      <c r="L881" t="n">
        <v>0</v>
      </c>
      <c r="M881" t="n">
        <v>0</v>
      </c>
      <c r="N881" t="n">
        <v>0</v>
      </c>
      <c r="O881" t="n">
        <v>0</v>
      </c>
      <c r="P881" t="n">
        <v>0</v>
      </c>
      <c r="Q881" t="n">
        <v>0</v>
      </c>
      <c r="R881" s="2" t="inlineStr"/>
    </row>
    <row r="882" ht="15" customHeight="1">
      <c r="A882" t="inlineStr">
        <is>
          <t>A 65179-2021</t>
        </is>
      </c>
      <c r="B882" s="1" t="n">
        <v>44515</v>
      </c>
      <c r="C882" s="1" t="n">
        <v>45890</v>
      </c>
      <c r="D882" t="inlineStr">
        <is>
          <t>VÄSTERBOTTENS LÄN</t>
        </is>
      </c>
      <c r="E882" t="inlineStr">
        <is>
          <t>VILHELMINA</t>
        </is>
      </c>
      <c r="G882" t="n">
        <v>8</v>
      </c>
      <c r="H882" t="n">
        <v>0</v>
      </c>
      <c r="I882" t="n">
        <v>0</v>
      </c>
      <c r="J882" t="n">
        <v>0</v>
      </c>
      <c r="K882" t="n">
        <v>0</v>
      </c>
      <c r="L882" t="n">
        <v>0</v>
      </c>
      <c r="M882" t="n">
        <v>0</v>
      </c>
      <c r="N882" t="n">
        <v>0</v>
      </c>
      <c r="O882" t="n">
        <v>0</v>
      </c>
      <c r="P882" t="n">
        <v>0</v>
      </c>
      <c r="Q882" t="n">
        <v>0</v>
      </c>
      <c r="R882" s="2" t="inlineStr"/>
    </row>
    <row r="883">
      <c r="A883" t="inlineStr">
        <is>
          <t>A 8585-2025</t>
        </is>
      </c>
      <c r="B883" s="1" t="n">
        <v>45709</v>
      </c>
      <c r="C883" s="1" t="n">
        <v>45890</v>
      </c>
      <c r="D883" t="inlineStr">
        <is>
          <t>VÄSTERBOTTENS LÄN</t>
        </is>
      </c>
      <c r="E883" t="inlineStr">
        <is>
          <t>VILHELMINA</t>
        </is>
      </c>
      <c r="G883" t="n">
        <v>3.4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2025-08-21T08:27:22Z</dcterms:created>
  <dcterms:modified xmlns:dcterms="http://purl.org/dc/terms/" xmlns:xsi="http://www.w3.org/2001/XMLSchema-instance" xsi:type="dcterms:W3CDTF">2025-08-21T08:27:23Z</dcterms:modified>
</cp:coreProperties>
</file>