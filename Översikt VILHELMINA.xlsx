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45510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45510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45510</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45510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45510</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45510</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45510</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45510</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45510</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45510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45510</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45510</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45510</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45510</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45510</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45510</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45510</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45510</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45510</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45510</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45510</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45510</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45510</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45510</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45510</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45510</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45510</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45510</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45510</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45510</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45510</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45510</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45510</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45510</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45510</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45510</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45510</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45510</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45510</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45510</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45510</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45510</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45510</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45510</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45510</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45510</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45510</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45510</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45510</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45510</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45510</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45510</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45510</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45510</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45510</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45510</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45510</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45510</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45510</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45510</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45510</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45510</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45510</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45510</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45510</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45510</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45510</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45510</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45510</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45510</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45510</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45510</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45510</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45510</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45510</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45510</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45510</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45510</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45510</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45510</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45510</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45510</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45510</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45510</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45510</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45510</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45510</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45510</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45510</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45510</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45510</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45510</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45510</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45510</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45510</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45510</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45510</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45510</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45510</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45510</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45510</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45510</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45510</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45510</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45510</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45510</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45510</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45510</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45510</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45510</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45510</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45510</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45510</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45510</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45510</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45510</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45510</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45510</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45510</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45510</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45510</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45510</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45510</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45510</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31884-2024</t>
        </is>
      </c>
      <c r="B129" s="1" t="n">
        <v>45510</v>
      </c>
      <c r="C129" s="1" t="n">
        <v>45510</v>
      </c>
      <c r="D129" t="inlineStr">
        <is>
          <t>VÄSTERBOTTENS LÄN</t>
        </is>
      </c>
      <c r="E129" t="inlineStr">
        <is>
          <t>VILHELMINA</t>
        </is>
      </c>
      <c r="F129" t="inlineStr">
        <is>
          <t>SCA</t>
        </is>
      </c>
      <c r="G129" t="n">
        <v>1.6</v>
      </c>
      <c r="H129" t="n">
        <v>0</v>
      </c>
      <c r="I129" t="n">
        <v>0</v>
      </c>
      <c r="J129" t="n">
        <v>2</v>
      </c>
      <c r="K129" t="n">
        <v>0</v>
      </c>
      <c r="L129" t="n">
        <v>0</v>
      </c>
      <c r="M129" t="n">
        <v>0</v>
      </c>
      <c r="N129" t="n">
        <v>0</v>
      </c>
      <c r="O129" t="n">
        <v>2</v>
      </c>
      <c r="P129" t="n">
        <v>0</v>
      </c>
      <c r="Q129" t="n">
        <v>2</v>
      </c>
      <c r="R129" s="2" t="inlineStr">
        <is>
          <t>Granticka
Skogshare</t>
        </is>
      </c>
      <c r="S129">
        <f>HYPERLINK("https://klasma.github.io/Logging_2462/artfynd/A 31884-2024 artfynd.xlsx", "A 31884-2024")</f>
        <v/>
      </c>
      <c r="T129">
        <f>HYPERLINK("https://klasma.github.io/Logging_2462/kartor/A 31884-2024 karta.png", "A 31884-2024")</f>
        <v/>
      </c>
      <c r="V129">
        <f>HYPERLINK("https://klasma.github.io/Logging_2462/klagomål/A 31884-2024 FSC-klagomål.docx", "A 31884-2024")</f>
        <v/>
      </c>
      <c r="W129">
        <f>HYPERLINK("https://klasma.github.io/Logging_2462/klagomålsmail/A 31884-2024 FSC-klagomål mail.docx", "A 31884-2024")</f>
        <v/>
      </c>
      <c r="X129">
        <f>HYPERLINK("https://klasma.github.io/Logging_2462/tillsyn/A 31884-2024 tillsynsbegäran.docx", "A 31884-2024")</f>
        <v/>
      </c>
      <c r="Y129">
        <f>HYPERLINK("https://klasma.github.io/Logging_2462/tillsynsmail/A 31884-2024 tillsynsbegäran mail.docx", "A 31884-2024")</f>
        <v/>
      </c>
    </row>
    <row r="130" ht="15" customHeight="1">
      <c r="A130" t="inlineStr">
        <is>
          <t>A 51774-2019</t>
        </is>
      </c>
      <c r="B130" s="1" t="n">
        <v>43741</v>
      </c>
      <c r="C130" s="1" t="n">
        <v>45510</v>
      </c>
      <c r="D130" t="inlineStr">
        <is>
          <t>VÄSTERBOTTENS LÄN</t>
        </is>
      </c>
      <c r="E130" t="inlineStr">
        <is>
          <t>VILHELMINA</t>
        </is>
      </c>
      <c r="F130" t="inlineStr">
        <is>
          <t>Allmännings- och besparingsskogar</t>
        </is>
      </c>
      <c r="G130" t="n">
        <v>19.9</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51774-2019 artfynd.xlsx", "A 51774-2019")</f>
        <v/>
      </c>
      <c r="T130">
        <f>HYPERLINK("https://klasma.github.io/Logging_2462/kartor/A 51774-2019 karta.png", "A 51774-2019")</f>
        <v/>
      </c>
      <c r="V130">
        <f>HYPERLINK("https://klasma.github.io/Logging_2462/klagomål/A 51774-2019 FSC-klagomål.docx", "A 51774-2019")</f>
        <v/>
      </c>
      <c r="W130">
        <f>HYPERLINK("https://klasma.github.io/Logging_2462/klagomålsmail/A 51774-2019 FSC-klagomål mail.docx", "A 51774-2019")</f>
        <v/>
      </c>
      <c r="X130">
        <f>HYPERLINK("https://klasma.github.io/Logging_2462/tillsyn/A 51774-2019 tillsynsbegäran.docx", "A 51774-2019")</f>
        <v/>
      </c>
      <c r="Y130">
        <f>HYPERLINK("https://klasma.github.io/Logging_2462/tillsynsmail/A 51774-2019 tillsynsbegäran mail.docx", "A 51774-2019")</f>
        <v/>
      </c>
      <c r="Z130">
        <f>HYPERLINK("https://klasma.github.io/Logging_2462/fåglar/A 51774-2019 prioriterade fågelarter.docx", "A 51774-2019")</f>
        <v/>
      </c>
    </row>
    <row r="131" ht="15" customHeight="1">
      <c r="A131" t="inlineStr">
        <is>
          <t>A 59424-2019</t>
        </is>
      </c>
      <c r="B131" s="1" t="n">
        <v>43775</v>
      </c>
      <c r="C131" s="1" t="n">
        <v>45510</v>
      </c>
      <c r="D131" t="inlineStr">
        <is>
          <t>VÄSTERBOTTENS LÄN</t>
        </is>
      </c>
      <c r="E131" t="inlineStr">
        <is>
          <t>VILHELMINA</t>
        </is>
      </c>
      <c r="G131" t="n">
        <v>17.4</v>
      </c>
      <c r="H131" t="n">
        <v>0</v>
      </c>
      <c r="I131" t="n">
        <v>0</v>
      </c>
      <c r="J131" t="n">
        <v>1</v>
      </c>
      <c r="K131" t="n">
        <v>0</v>
      </c>
      <c r="L131" t="n">
        <v>0</v>
      </c>
      <c r="M131" t="n">
        <v>0</v>
      </c>
      <c r="N131" t="n">
        <v>0</v>
      </c>
      <c r="O131" t="n">
        <v>1</v>
      </c>
      <c r="P131" t="n">
        <v>0</v>
      </c>
      <c r="Q131" t="n">
        <v>1</v>
      </c>
      <c r="R131" s="2" t="inlineStr">
        <is>
          <t>Granticka</t>
        </is>
      </c>
      <c r="S131">
        <f>HYPERLINK("https://klasma.github.io/Logging_2462/artfynd/A 59424-2019 artfynd.xlsx", "A 59424-2019")</f>
        <v/>
      </c>
      <c r="T131">
        <f>HYPERLINK("https://klasma.github.io/Logging_2462/kartor/A 59424-2019 karta.png", "A 59424-2019")</f>
        <v/>
      </c>
      <c r="V131">
        <f>HYPERLINK("https://klasma.github.io/Logging_2462/klagomål/A 59424-2019 FSC-klagomål.docx", "A 59424-2019")</f>
        <v/>
      </c>
      <c r="W131">
        <f>HYPERLINK("https://klasma.github.io/Logging_2462/klagomålsmail/A 59424-2019 FSC-klagomål mail.docx", "A 59424-2019")</f>
        <v/>
      </c>
      <c r="X131">
        <f>HYPERLINK("https://klasma.github.io/Logging_2462/tillsyn/A 59424-2019 tillsynsbegäran.docx", "A 59424-2019")</f>
        <v/>
      </c>
      <c r="Y131">
        <f>HYPERLINK("https://klasma.github.io/Logging_2462/tillsynsmail/A 59424-2019 tillsynsbegäran mail.docx", "A 59424-2019")</f>
        <v/>
      </c>
    </row>
    <row r="132" ht="15" customHeight="1">
      <c r="A132" t="inlineStr">
        <is>
          <t>A 220-2020</t>
        </is>
      </c>
      <c r="B132" s="1" t="n">
        <v>43833</v>
      </c>
      <c r="C132" s="1" t="n">
        <v>45510</v>
      </c>
      <c r="D132" t="inlineStr">
        <is>
          <t>VÄSTERBOTTENS LÄN</t>
        </is>
      </c>
      <c r="E132" t="inlineStr">
        <is>
          <t>VILHELMINA</t>
        </is>
      </c>
      <c r="F132" t="inlineStr">
        <is>
          <t>SCA</t>
        </is>
      </c>
      <c r="G132" t="n">
        <v>3.2</v>
      </c>
      <c r="H132" t="n">
        <v>0</v>
      </c>
      <c r="I132" t="n">
        <v>0</v>
      </c>
      <c r="J132" t="n">
        <v>1</v>
      </c>
      <c r="K132" t="n">
        <v>0</v>
      </c>
      <c r="L132" t="n">
        <v>0</v>
      </c>
      <c r="M132" t="n">
        <v>0</v>
      </c>
      <c r="N132" t="n">
        <v>0</v>
      </c>
      <c r="O132" t="n">
        <v>1</v>
      </c>
      <c r="P132" t="n">
        <v>0</v>
      </c>
      <c r="Q132" t="n">
        <v>1</v>
      </c>
      <c r="R132" s="2" t="inlineStr">
        <is>
          <t>Vedskivlav</t>
        </is>
      </c>
      <c r="S132">
        <f>HYPERLINK("https://klasma.github.io/Logging_2462/artfynd/A 220-2020 artfynd.xlsx", "A 220-2020")</f>
        <v/>
      </c>
      <c r="T132">
        <f>HYPERLINK("https://klasma.github.io/Logging_2462/kartor/A 220-2020 karta.png", "A 220-2020")</f>
        <v/>
      </c>
      <c r="V132">
        <f>HYPERLINK("https://klasma.github.io/Logging_2462/klagomål/A 220-2020 FSC-klagomål.docx", "A 220-2020")</f>
        <v/>
      </c>
      <c r="W132">
        <f>HYPERLINK("https://klasma.github.io/Logging_2462/klagomålsmail/A 220-2020 FSC-klagomål mail.docx", "A 220-2020")</f>
        <v/>
      </c>
      <c r="X132">
        <f>HYPERLINK("https://klasma.github.io/Logging_2462/tillsyn/A 220-2020 tillsynsbegäran.docx", "A 220-2020")</f>
        <v/>
      </c>
      <c r="Y132">
        <f>HYPERLINK("https://klasma.github.io/Logging_2462/tillsynsmail/A 220-2020 tillsynsbegäran mail.docx", "A 220-2020")</f>
        <v/>
      </c>
    </row>
    <row r="133" ht="15" customHeight="1">
      <c r="A133" t="inlineStr">
        <is>
          <t>A 546-2020</t>
        </is>
      </c>
      <c r="B133" s="1" t="n">
        <v>43837</v>
      </c>
      <c r="C133" s="1" t="n">
        <v>45510</v>
      </c>
      <c r="D133" t="inlineStr">
        <is>
          <t>VÄSTERBOTTENS LÄN</t>
        </is>
      </c>
      <c r="E133" t="inlineStr">
        <is>
          <t>VILHELMINA</t>
        </is>
      </c>
      <c r="F133" t="inlineStr">
        <is>
          <t>SCA</t>
        </is>
      </c>
      <c r="G133" t="n">
        <v>3.1</v>
      </c>
      <c r="H133" t="n">
        <v>0</v>
      </c>
      <c r="I133" t="n">
        <v>0</v>
      </c>
      <c r="J133" t="n">
        <v>1</v>
      </c>
      <c r="K133" t="n">
        <v>0</v>
      </c>
      <c r="L133" t="n">
        <v>0</v>
      </c>
      <c r="M133" t="n">
        <v>0</v>
      </c>
      <c r="N133" t="n">
        <v>0</v>
      </c>
      <c r="O133" t="n">
        <v>1</v>
      </c>
      <c r="P133" t="n">
        <v>0</v>
      </c>
      <c r="Q133" t="n">
        <v>1</v>
      </c>
      <c r="R133" s="2" t="inlineStr">
        <is>
          <t>Vedskivlav</t>
        </is>
      </c>
      <c r="S133">
        <f>HYPERLINK("https://klasma.github.io/Logging_2462/artfynd/A 546-2020 artfynd.xlsx", "A 546-2020")</f>
        <v/>
      </c>
      <c r="T133">
        <f>HYPERLINK("https://klasma.github.io/Logging_2462/kartor/A 546-2020 karta.png", "A 546-2020")</f>
        <v/>
      </c>
      <c r="V133">
        <f>HYPERLINK("https://klasma.github.io/Logging_2462/klagomål/A 546-2020 FSC-klagomål.docx", "A 546-2020")</f>
        <v/>
      </c>
      <c r="W133">
        <f>HYPERLINK("https://klasma.github.io/Logging_2462/klagomålsmail/A 546-2020 FSC-klagomål mail.docx", "A 546-2020")</f>
        <v/>
      </c>
      <c r="X133">
        <f>HYPERLINK("https://klasma.github.io/Logging_2462/tillsyn/A 546-2020 tillsynsbegäran.docx", "A 546-2020")</f>
        <v/>
      </c>
      <c r="Y133">
        <f>HYPERLINK("https://klasma.github.io/Logging_2462/tillsynsmail/A 546-2020 tillsynsbegäran mail.docx", "A 546-2020")</f>
        <v/>
      </c>
    </row>
    <row r="134" ht="15" customHeight="1">
      <c r="A134" t="inlineStr">
        <is>
          <t>A 57861-2020</t>
        </is>
      </c>
      <c r="B134" s="1" t="n">
        <v>44141</v>
      </c>
      <c r="C134" s="1" t="n">
        <v>45510</v>
      </c>
      <c r="D134" t="inlineStr">
        <is>
          <t>VÄSTERBOTTENS LÄN</t>
        </is>
      </c>
      <c r="E134" t="inlineStr">
        <is>
          <t>VILHELMINA</t>
        </is>
      </c>
      <c r="F134" t="inlineStr">
        <is>
          <t>Sveaskog</t>
        </is>
      </c>
      <c r="G134" t="n">
        <v>11.9</v>
      </c>
      <c r="H134" t="n">
        <v>0</v>
      </c>
      <c r="I134" t="n">
        <v>0</v>
      </c>
      <c r="J134" t="n">
        <v>0</v>
      </c>
      <c r="K134" t="n">
        <v>1</v>
      </c>
      <c r="L134" t="n">
        <v>0</v>
      </c>
      <c r="M134" t="n">
        <v>0</v>
      </c>
      <c r="N134" t="n">
        <v>0</v>
      </c>
      <c r="O134" t="n">
        <v>1</v>
      </c>
      <c r="P134" t="n">
        <v>1</v>
      </c>
      <c r="Q134" t="n">
        <v>1</v>
      </c>
      <c r="R134" s="2" t="inlineStr">
        <is>
          <t>Fläckporing</t>
        </is>
      </c>
      <c r="S134">
        <f>HYPERLINK("https://klasma.github.io/Logging_2462/artfynd/A 57861-2020 artfynd.xlsx", "A 57861-2020")</f>
        <v/>
      </c>
      <c r="T134">
        <f>HYPERLINK("https://klasma.github.io/Logging_2462/kartor/A 57861-2020 karta.png", "A 57861-2020")</f>
        <v/>
      </c>
      <c r="V134">
        <f>HYPERLINK("https://klasma.github.io/Logging_2462/klagomål/A 57861-2020 FSC-klagomål.docx", "A 57861-2020")</f>
        <v/>
      </c>
      <c r="W134">
        <f>HYPERLINK("https://klasma.github.io/Logging_2462/klagomålsmail/A 57861-2020 FSC-klagomål mail.docx", "A 57861-2020")</f>
        <v/>
      </c>
      <c r="X134">
        <f>HYPERLINK("https://klasma.github.io/Logging_2462/tillsyn/A 57861-2020 tillsynsbegäran.docx", "A 57861-2020")</f>
        <v/>
      </c>
      <c r="Y134">
        <f>HYPERLINK("https://klasma.github.io/Logging_2462/tillsynsmail/A 57861-2020 tillsynsbegäran mail.docx", "A 57861-2020")</f>
        <v/>
      </c>
    </row>
    <row r="135" ht="15" customHeight="1">
      <c r="A135" t="inlineStr">
        <is>
          <t>A 29376-2021</t>
        </is>
      </c>
      <c r="B135" s="1" t="n">
        <v>44361</v>
      </c>
      <c r="C135" s="1" t="n">
        <v>45510</v>
      </c>
      <c r="D135" t="inlineStr">
        <is>
          <t>VÄSTERBOTTENS LÄN</t>
        </is>
      </c>
      <c r="E135" t="inlineStr">
        <is>
          <t>VILHELMINA</t>
        </is>
      </c>
      <c r="F135" t="inlineStr">
        <is>
          <t>Allmännings- och besparingsskogar</t>
        </is>
      </c>
      <c r="G135" t="n">
        <v>110.8</v>
      </c>
      <c r="H135" t="n">
        <v>1</v>
      </c>
      <c r="I135" t="n">
        <v>0</v>
      </c>
      <c r="J135" t="n">
        <v>0</v>
      </c>
      <c r="K135" t="n">
        <v>0</v>
      </c>
      <c r="L135" t="n">
        <v>0</v>
      </c>
      <c r="M135" t="n">
        <v>0</v>
      </c>
      <c r="N135" t="n">
        <v>0</v>
      </c>
      <c r="O135" t="n">
        <v>0</v>
      </c>
      <c r="P135" t="n">
        <v>0</v>
      </c>
      <c r="Q135" t="n">
        <v>1</v>
      </c>
      <c r="R135" s="2" t="inlineStr">
        <is>
          <t>Lavskrika</t>
        </is>
      </c>
      <c r="S135">
        <f>HYPERLINK("https://klasma.github.io/Logging_2462/artfynd/A 29376-2021 artfynd.xlsx", "A 29376-2021")</f>
        <v/>
      </c>
      <c r="T135">
        <f>HYPERLINK("https://klasma.github.io/Logging_2462/kartor/A 29376-2021 karta.png", "A 29376-2021")</f>
        <v/>
      </c>
      <c r="V135">
        <f>HYPERLINK("https://klasma.github.io/Logging_2462/klagomål/A 29376-2021 FSC-klagomål.docx", "A 29376-2021")</f>
        <v/>
      </c>
      <c r="W135">
        <f>HYPERLINK("https://klasma.github.io/Logging_2462/klagomålsmail/A 29376-2021 FSC-klagomål mail.docx", "A 29376-2021")</f>
        <v/>
      </c>
      <c r="X135">
        <f>HYPERLINK("https://klasma.github.io/Logging_2462/tillsyn/A 29376-2021 tillsynsbegäran.docx", "A 29376-2021")</f>
        <v/>
      </c>
      <c r="Y135">
        <f>HYPERLINK("https://klasma.github.io/Logging_2462/tillsynsmail/A 29376-2021 tillsynsbegäran mail.docx", "A 29376-2021")</f>
        <v/>
      </c>
      <c r="Z135">
        <f>HYPERLINK("https://klasma.github.io/Logging_2462/fåglar/A 29376-2021 prioriterade fågelarter.docx", "A 29376-2021")</f>
        <v/>
      </c>
    </row>
    <row r="136" ht="15" customHeight="1">
      <c r="A136" t="inlineStr">
        <is>
          <t>A 32677-2021</t>
        </is>
      </c>
      <c r="B136" s="1" t="n">
        <v>44371</v>
      </c>
      <c r="C136" s="1" t="n">
        <v>45510</v>
      </c>
      <c r="D136" t="inlineStr">
        <is>
          <t>VÄSTERBOTTENS LÄN</t>
        </is>
      </c>
      <c r="E136" t="inlineStr">
        <is>
          <t>VILHELMINA</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32677-2021 artfynd.xlsx", "A 32677-2021")</f>
        <v/>
      </c>
      <c r="T136">
        <f>HYPERLINK("https://klasma.github.io/Logging_2462/kartor/A 32677-2021 karta.png", "A 32677-2021")</f>
        <v/>
      </c>
      <c r="V136">
        <f>HYPERLINK("https://klasma.github.io/Logging_2462/klagomål/A 32677-2021 FSC-klagomål.docx", "A 32677-2021")</f>
        <v/>
      </c>
      <c r="W136">
        <f>HYPERLINK("https://klasma.github.io/Logging_2462/klagomålsmail/A 32677-2021 FSC-klagomål mail.docx", "A 32677-2021")</f>
        <v/>
      </c>
      <c r="X136">
        <f>HYPERLINK("https://klasma.github.io/Logging_2462/tillsyn/A 32677-2021 tillsynsbegäran.docx", "A 32677-2021")</f>
        <v/>
      </c>
      <c r="Y136">
        <f>HYPERLINK("https://klasma.github.io/Logging_2462/tillsynsmail/A 32677-2021 tillsynsbegäran mail.docx", "A 32677-2021")</f>
        <v/>
      </c>
      <c r="Z136">
        <f>HYPERLINK("https://klasma.github.io/Logging_2462/fåglar/A 32677-2021 prioriterade fågelarter.docx", "A 32677-2021")</f>
        <v/>
      </c>
    </row>
    <row r="137" ht="15" customHeight="1">
      <c r="A137" t="inlineStr">
        <is>
          <t>A 55739-2021</t>
        </is>
      </c>
      <c r="B137" s="1" t="n">
        <v>44476</v>
      </c>
      <c r="C137" s="1" t="n">
        <v>45510</v>
      </c>
      <c r="D137" t="inlineStr">
        <is>
          <t>VÄSTERBOTTENS LÄN</t>
        </is>
      </c>
      <c r="E137" t="inlineStr">
        <is>
          <t>VILHELMINA</t>
        </is>
      </c>
      <c r="G137" t="n">
        <v>5.5</v>
      </c>
      <c r="H137" t="n">
        <v>0</v>
      </c>
      <c r="I137" t="n">
        <v>0</v>
      </c>
      <c r="J137" t="n">
        <v>1</v>
      </c>
      <c r="K137" t="n">
        <v>0</v>
      </c>
      <c r="L137" t="n">
        <v>0</v>
      </c>
      <c r="M137" t="n">
        <v>0</v>
      </c>
      <c r="N137" t="n">
        <v>0</v>
      </c>
      <c r="O137" t="n">
        <v>1</v>
      </c>
      <c r="P137" t="n">
        <v>0</v>
      </c>
      <c r="Q137" t="n">
        <v>1</v>
      </c>
      <c r="R137" s="2" t="inlineStr">
        <is>
          <t>Garnlav</t>
        </is>
      </c>
      <c r="S137">
        <f>HYPERLINK("https://klasma.github.io/Logging_2462/artfynd/A 55739-2021 artfynd.xlsx", "A 55739-2021")</f>
        <v/>
      </c>
      <c r="T137">
        <f>HYPERLINK("https://klasma.github.io/Logging_2462/kartor/A 55739-2021 karta.png", "A 55739-2021")</f>
        <v/>
      </c>
      <c r="V137">
        <f>HYPERLINK("https://klasma.github.io/Logging_2462/klagomål/A 55739-2021 FSC-klagomål.docx", "A 55739-2021")</f>
        <v/>
      </c>
      <c r="W137">
        <f>HYPERLINK("https://klasma.github.io/Logging_2462/klagomålsmail/A 55739-2021 FSC-klagomål mail.docx", "A 55739-2021")</f>
        <v/>
      </c>
      <c r="X137">
        <f>HYPERLINK("https://klasma.github.io/Logging_2462/tillsyn/A 55739-2021 tillsynsbegäran.docx", "A 55739-2021")</f>
        <v/>
      </c>
      <c r="Y137">
        <f>HYPERLINK("https://klasma.github.io/Logging_2462/tillsynsmail/A 55739-2021 tillsynsbegäran mail.docx", "A 55739-2021")</f>
        <v/>
      </c>
    </row>
    <row r="138" ht="15" customHeight="1">
      <c r="A138" t="inlineStr">
        <is>
          <t>A 60369-2021</t>
        </is>
      </c>
      <c r="B138" s="1" t="n">
        <v>44494</v>
      </c>
      <c r="C138" s="1" t="n">
        <v>45510</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66924-2021</t>
        </is>
      </c>
      <c r="B139" s="1" t="n">
        <v>44522</v>
      </c>
      <c r="C139" s="1" t="n">
        <v>45510</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68783-2021</t>
        </is>
      </c>
      <c r="B140" s="1" t="n">
        <v>44529</v>
      </c>
      <c r="C140" s="1" t="n">
        <v>45510</v>
      </c>
      <c r="D140" t="inlineStr">
        <is>
          <t>VÄSTERBOTTENS LÄN</t>
        </is>
      </c>
      <c r="E140" t="inlineStr">
        <is>
          <t>VILHELMINA</t>
        </is>
      </c>
      <c r="F140" t="inlineStr">
        <is>
          <t>SCA</t>
        </is>
      </c>
      <c r="G140" t="n">
        <v>7.3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68783-2021 artfynd.xlsx", "A 68783-2021")</f>
        <v/>
      </c>
      <c r="T140">
        <f>HYPERLINK("https://klasma.github.io/Logging_2462/kartor/A 68783-2021 karta.png", "A 68783-2021")</f>
        <v/>
      </c>
      <c r="V140">
        <f>HYPERLINK("https://klasma.github.io/Logging_2462/klagomål/A 68783-2021 FSC-klagomål.docx", "A 68783-2021")</f>
        <v/>
      </c>
      <c r="W140">
        <f>HYPERLINK("https://klasma.github.io/Logging_2462/klagomålsmail/A 68783-2021 FSC-klagomål mail.docx", "A 68783-2021")</f>
        <v/>
      </c>
      <c r="X140">
        <f>HYPERLINK("https://klasma.github.io/Logging_2462/tillsyn/A 68783-2021 tillsynsbegäran.docx", "A 68783-2021")</f>
        <v/>
      </c>
      <c r="Y140">
        <f>HYPERLINK("https://klasma.github.io/Logging_2462/tillsynsmail/A 68783-2021 tillsynsbegäran mail.docx", "A 68783-2021")</f>
        <v/>
      </c>
      <c r="Z140">
        <f>HYPERLINK("https://klasma.github.io/Logging_2462/fåglar/A 68783-2021 prioriterade fågelarter.docx", "A 68783-2021")</f>
        <v/>
      </c>
    </row>
    <row r="141" ht="15" customHeight="1">
      <c r="A141" t="inlineStr">
        <is>
          <t>A 69545-2021</t>
        </is>
      </c>
      <c r="B141" s="1" t="n">
        <v>44531</v>
      </c>
      <c r="C141" s="1" t="n">
        <v>45510</v>
      </c>
      <c r="D141" t="inlineStr">
        <is>
          <t>VÄSTERBOTTENS LÄN</t>
        </is>
      </c>
      <c r="E141" t="inlineStr">
        <is>
          <t>VILHELMINA</t>
        </is>
      </c>
      <c r="F141" t="inlineStr">
        <is>
          <t>SCA</t>
        </is>
      </c>
      <c r="G141" t="n">
        <v>3.8</v>
      </c>
      <c r="H141" t="n">
        <v>0</v>
      </c>
      <c r="I141" t="n">
        <v>1</v>
      </c>
      <c r="J141" t="n">
        <v>0</v>
      </c>
      <c r="K141" t="n">
        <v>0</v>
      </c>
      <c r="L141" t="n">
        <v>0</v>
      </c>
      <c r="M141" t="n">
        <v>0</v>
      </c>
      <c r="N141" t="n">
        <v>0</v>
      </c>
      <c r="O141" t="n">
        <v>0</v>
      </c>
      <c r="P141" t="n">
        <v>0</v>
      </c>
      <c r="Q141" t="n">
        <v>1</v>
      </c>
      <c r="R141" s="2" t="inlineStr">
        <is>
          <t>Norrlandslav</t>
        </is>
      </c>
      <c r="S141">
        <f>HYPERLINK("https://klasma.github.io/Logging_2462/artfynd/A 69545-2021 artfynd.xlsx", "A 69545-2021")</f>
        <v/>
      </c>
      <c r="T141">
        <f>HYPERLINK("https://klasma.github.io/Logging_2462/kartor/A 69545-2021 karta.png", "A 69545-2021")</f>
        <v/>
      </c>
      <c r="V141">
        <f>HYPERLINK("https://klasma.github.io/Logging_2462/klagomål/A 69545-2021 FSC-klagomål.docx", "A 69545-2021")</f>
        <v/>
      </c>
      <c r="W141">
        <f>HYPERLINK("https://klasma.github.io/Logging_2462/klagomålsmail/A 69545-2021 FSC-klagomål mail.docx", "A 69545-2021")</f>
        <v/>
      </c>
      <c r="X141">
        <f>HYPERLINK("https://klasma.github.io/Logging_2462/tillsyn/A 69545-2021 tillsynsbegäran.docx", "A 69545-2021")</f>
        <v/>
      </c>
      <c r="Y141">
        <f>HYPERLINK("https://klasma.github.io/Logging_2462/tillsynsmail/A 69545-2021 tillsynsbegäran mail.docx", "A 69545-2021")</f>
        <v/>
      </c>
    </row>
    <row r="142" ht="15" customHeight="1">
      <c r="A142" t="inlineStr">
        <is>
          <t>A 69915-2021</t>
        </is>
      </c>
      <c r="B142" s="1" t="n">
        <v>44532</v>
      </c>
      <c r="C142" s="1" t="n">
        <v>45510</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74395-2021</t>
        </is>
      </c>
      <c r="B143" s="1" t="n">
        <v>44560</v>
      </c>
      <c r="C143" s="1" t="n">
        <v>45510</v>
      </c>
      <c r="D143" t="inlineStr">
        <is>
          <t>VÄSTERBOTTENS LÄN</t>
        </is>
      </c>
      <c r="E143" t="inlineStr">
        <is>
          <t>VILHELMINA</t>
        </is>
      </c>
      <c r="G143" t="n">
        <v>37.6</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74395-2021 artfynd.xlsx", "A 74395-2021")</f>
        <v/>
      </c>
      <c r="T143">
        <f>HYPERLINK("https://klasma.github.io/Logging_2462/kartor/A 74395-2021 karta.png", "A 74395-2021")</f>
        <v/>
      </c>
      <c r="V143">
        <f>HYPERLINK("https://klasma.github.io/Logging_2462/klagomål/A 74395-2021 FSC-klagomål.docx", "A 74395-2021")</f>
        <v/>
      </c>
      <c r="W143">
        <f>HYPERLINK("https://klasma.github.io/Logging_2462/klagomålsmail/A 74395-2021 FSC-klagomål mail.docx", "A 74395-2021")</f>
        <v/>
      </c>
      <c r="X143">
        <f>HYPERLINK("https://klasma.github.io/Logging_2462/tillsyn/A 74395-2021 tillsynsbegäran.docx", "A 74395-2021")</f>
        <v/>
      </c>
      <c r="Y143">
        <f>HYPERLINK("https://klasma.github.io/Logging_2462/tillsynsmail/A 74395-2021 tillsynsbegäran mail.docx", "A 74395-2021")</f>
        <v/>
      </c>
      <c r="Z143">
        <f>HYPERLINK("https://klasma.github.io/Logging_2462/fåglar/A 74395-2021 prioriterade fågelarter.docx", "A 74395-2021")</f>
        <v/>
      </c>
    </row>
    <row r="144" ht="15" customHeight="1">
      <c r="A144" t="inlineStr">
        <is>
          <t>A 12486-2022</t>
        </is>
      </c>
      <c r="B144" s="1" t="n">
        <v>44638</v>
      </c>
      <c r="C144" s="1" t="n">
        <v>45510</v>
      </c>
      <c r="D144" t="inlineStr">
        <is>
          <t>VÄSTERBOTTENS LÄN</t>
        </is>
      </c>
      <c r="E144" t="inlineStr">
        <is>
          <t>VILHELMINA</t>
        </is>
      </c>
      <c r="G144" t="n">
        <v>19.3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12486-2022 artfynd.xlsx", "A 12486-2022")</f>
        <v/>
      </c>
      <c r="T144">
        <f>HYPERLINK("https://klasma.github.io/Logging_2462/kartor/A 12486-2022 karta.png", "A 12486-2022")</f>
        <v/>
      </c>
      <c r="V144">
        <f>HYPERLINK("https://klasma.github.io/Logging_2462/klagomål/A 12486-2022 FSC-klagomål.docx", "A 12486-2022")</f>
        <v/>
      </c>
      <c r="W144">
        <f>HYPERLINK("https://klasma.github.io/Logging_2462/klagomålsmail/A 12486-2022 FSC-klagomål mail.docx", "A 12486-2022")</f>
        <v/>
      </c>
      <c r="X144">
        <f>HYPERLINK("https://klasma.github.io/Logging_2462/tillsyn/A 12486-2022 tillsynsbegäran.docx", "A 12486-2022")</f>
        <v/>
      </c>
      <c r="Y144">
        <f>HYPERLINK("https://klasma.github.io/Logging_2462/tillsynsmail/A 12486-2022 tillsynsbegäran mail.docx", "A 12486-2022")</f>
        <v/>
      </c>
      <c r="Z144">
        <f>HYPERLINK("https://klasma.github.io/Logging_2462/fåglar/A 12486-2022 prioriterade fågelarter.docx", "A 12486-2022")</f>
        <v/>
      </c>
    </row>
    <row r="145" ht="15" customHeight="1">
      <c r="A145" t="inlineStr">
        <is>
          <t>A 38421-2022</t>
        </is>
      </c>
      <c r="B145" s="1" t="n">
        <v>44812</v>
      </c>
      <c r="C145" s="1" t="n">
        <v>45510</v>
      </c>
      <c r="D145" t="inlineStr">
        <is>
          <t>VÄSTERBOTTENS LÄN</t>
        </is>
      </c>
      <c r="E145" t="inlineStr">
        <is>
          <t>VILHELMINA</t>
        </is>
      </c>
      <c r="F145" t="inlineStr">
        <is>
          <t>SCA</t>
        </is>
      </c>
      <c r="G145" t="n">
        <v>3.2</v>
      </c>
      <c r="H145" t="n">
        <v>0</v>
      </c>
      <c r="I145" t="n">
        <v>0</v>
      </c>
      <c r="J145" t="n">
        <v>1</v>
      </c>
      <c r="K145" t="n">
        <v>0</v>
      </c>
      <c r="L145" t="n">
        <v>0</v>
      </c>
      <c r="M145" t="n">
        <v>0</v>
      </c>
      <c r="N145" t="n">
        <v>0</v>
      </c>
      <c r="O145" t="n">
        <v>1</v>
      </c>
      <c r="P145" t="n">
        <v>0</v>
      </c>
      <c r="Q145" t="n">
        <v>1</v>
      </c>
      <c r="R145" s="2" t="inlineStr">
        <is>
          <t>Ullticka</t>
        </is>
      </c>
      <c r="S145">
        <f>HYPERLINK("https://klasma.github.io/Logging_2462/artfynd/A 38421-2022 artfynd.xlsx", "A 38421-2022")</f>
        <v/>
      </c>
      <c r="T145">
        <f>HYPERLINK("https://klasma.github.io/Logging_2462/kartor/A 38421-2022 karta.png", "A 38421-2022")</f>
        <v/>
      </c>
      <c r="V145">
        <f>HYPERLINK("https://klasma.github.io/Logging_2462/klagomål/A 38421-2022 FSC-klagomål.docx", "A 38421-2022")</f>
        <v/>
      </c>
      <c r="W145">
        <f>HYPERLINK("https://klasma.github.io/Logging_2462/klagomålsmail/A 38421-2022 FSC-klagomål mail.docx", "A 38421-2022")</f>
        <v/>
      </c>
      <c r="X145">
        <f>HYPERLINK("https://klasma.github.io/Logging_2462/tillsyn/A 38421-2022 tillsynsbegäran.docx", "A 38421-2022")</f>
        <v/>
      </c>
      <c r="Y145">
        <f>HYPERLINK("https://klasma.github.io/Logging_2462/tillsynsmail/A 38421-2022 tillsynsbegäran mail.docx", "A 38421-2022")</f>
        <v/>
      </c>
    </row>
    <row r="146" ht="15" customHeight="1">
      <c r="A146" t="inlineStr">
        <is>
          <t>A 41483-2022</t>
        </is>
      </c>
      <c r="B146" s="1" t="n">
        <v>44827</v>
      </c>
      <c r="C146" s="1" t="n">
        <v>45510</v>
      </c>
      <c r="D146" t="inlineStr">
        <is>
          <t>VÄSTERBOTTENS LÄN</t>
        </is>
      </c>
      <c r="E146" t="inlineStr">
        <is>
          <t>VILHELMINA</t>
        </is>
      </c>
      <c r="F146" t="inlineStr">
        <is>
          <t>SCA</t>
        </is>
      </c>
      <c r="G146" t="n">
        <v>4.6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41483-2022 artfynd.xlsx", "A 41483-2022")</f>
        <v/>
      </c>
      <c r="T146">
        <f>HYPERLINK("https://klasma.github.io/Logging_2462/kartor/A 41483-2022 karta.png", "A 41483-2022")</f>
        <v/>
      </c>
      <c r="V146">
        <f>HYPERLINK("https://klasma.github.io/Logging_2462/klagomål/A 41483-2022 FSC-klagomål.docx", "A 41483-2022")</f>
        <v/>
      </c>
      <c r="W146">
        <f>HYPERLINK("https://klasma.github.io/Logging_2462/klagomålsmail/A 41483-2022 FSC-klagomål mail.docx", "A 41483-2022")</f>
        <v/>
      </c>
      <c r="X146">
        <f>HYPERLINK("https://klasma.github.io/Logging_2462/tillsyn/A 41483-2022 tillsynsbegäran.docx", "A 41483-2022")</f>
        <v/>
      </c>
      <c r="Y146">
        <f>HYPERLINK("https://klasma.github.io/Logging_2462/tillsynsmail/A 41483-2022 tillsynsbegäran mail.docx", "A 41483-2022")</f>
        <v/>
      </c>
      <c r="Z146">
        <f>HYPERLINK("https://klasma.github.io/Logging_2462/fåglar/A 41483-2022 prioriterade fågelarter.docx", "A 41483-2022")</f>
        <v/>
      </c>
    </row>
    <row r="147" ht="15" customHeight="1">
      <c r="A147" t="inlineStr">
        <is>
          <t>A 47251-2022</t>
        </is>
      </c>
      <c r="B147" s="1" t="n">
        <v>44852</v>
      </c>
      <c r="C147" s="1" t="n">
        <v>45510</v>
      </c>
      <c r="D147" t="inlineStr">
        <is>
          <t>VÄSTERBOTTENS LÄN</t>
        </is>
      </c>
      <c r="E147" t="inlineStr">
        <is>
          <t>VILHELMINA</t>
        </is>
      </c>
      <c r="F147" t="inlineStr">
        <is>
          <t>SCA</t>
        </is>
      </c>
      <c r="G147" t="n">
        <v>16.4</v>
      </c>
      <c r="H147" t="n">
        <v>0</v>
      </c>
      <c r="I147" t="n">
        <v>0</v>
      </c>
      <c r="J147" t="n">
        <v>1</v>
      </c>
      <c r="K147" t="n">
        <v>0</v>
      </c>
      <c r="L147" t="n">
        <v>0</v>
      </c>
      <c r="M147" t="n">
        <v>0</v>
      </c>
      <c r="N147" t="n">
        <v>0</v>
      </c>
      <c r="O147" t="n">
        <v>1</v>
      </c>
      <c r="P147" t="n">
        <v>0</v>
      </c>
      <c r="Q147" t="n">
        <v>1</v>
      </c>
      <c r="R147" s="2" t="inlineStr">
        <is>
          <t>Rosenticka</t>
        </is>
      </c>
      <c r="S147">
        <f>HYPERLINK("https://klasma.github.io/Logging_2462/artfynd/A 47251-2022 artfynd.xlsx", "A 47251-2022")</f>
        <v/>
      </c>
      <c r="T147">
        <f>HYPERLINK("https://klasma.github.io/Logging_2462/kartor/A 47251-2022 karta.png", "A 47251-2022")</f>
        <v/>
      </c>
      <c r="V147">
        <f>HYPERLINK("https://klasma.github.io/Logging_2462/klagomål/A 47251-2022 FSC-klagomål.docx", "A 47251-2022")</f>
        <v/>
      </c>
      <c r="W147">
        <f>HYPERLINK("https://klasma.github.io/Logging_2462/klagomålsmail/A 47251-2022 FSC-klagomål mail.docx", "A 47251-2022")</f>
        <v/>
      </c>
      <c r="X147">
        <f>HYPERLINK("https://klasma.github.io/Logging_2462/tillsyn/A 47251-2022 tillsynsbegäran.docx", "A 47251-2022")</f>
        <v/>
      </c>
      <c r="Y147">
        <f>HYPERLINK("https://klasma.github.io/Logging_2462/tillsynsmail/A 47251-2022 tillsynsbegäran mail.docx", "A 47251-2022")</f>
        <v/>
      </c>
    </row>
    <row r="148" ht="15" customHeight="1">
      <c r="A148" t="inlineStr">
        <is>
          <t>A 6604-2023</t>
        </is>
      </c>
      <c r="B148" s="1" t="n">
        <v>44960</v>
      </c>
      <c r="C148" s="1" t="n">
        <v>45510</v>
      </c>
      <c r="D148" t="inlineStr">
        <is>
          <t>VÄSTERBOTTENS LÄN</t>
        </is>
      </c>
      <c r="E148" t="inlineStr">
        <is>
          <t>VILHELMINA</t>
        </is>
      </c>
      <c r="G148" t="n">
        <v>13.4</v>
      </c>
      <c r="H148" t="n">
        <v>0</v>
      </c>
      <c r="I148" t="n">
        <v>1</v>
      </c>
      <c r="J148" t="n">
        <v>0</v>
      </c>
      <c r="K148" t="n">
        <v>0</v>
      </c>
      <c r="L148" t="n">
        <v>0</v>
      </c>
      <c r="M148" t="n">
        <v>0</v>
      </c>
      <c r="N148" t="n">
        <v>0</v>
      </c>
      <c r="O148" t="n">
        <v>0</v>
      </c>
      <c r="P148" t="n">
        <v>0</v>
      </c>
      <c r="Q148" t="n">
        <v>1</v>
      </c>
      <c r="R148" s="2" t="inlineStr">
        <is>
          <t>Luddlav</t>
        </is>
      </c>
      <c r="S148">
        <f>HYPERLINK("https://klasma.github.io/Logging_2462/artfynd/A 6604-2023 artfynd.xlsx", "A 6604-2023")</f>
        <v/>
      </c>
      <c r="T148">
        <f>HYPERLINK("https://klasma.github.io/Logging_2462/kartor/A 6604-2023 karta.png", "A 6604-2023")</f>
        <v/>
      </c>
      <c r="V148">
        <f>HYPERLINK("https://klasma.github.io/Logging_2462/klagomål/A 6604-2023 FSC-klagomål.docx", "A 6604-2023")</f>
        <v/>
      </c>
      <c r="W148">
        <f>HYPERLINK("https://klasma.github.io/Logging_2462/klagomålsmail/A 6604-2023 FSC-klagomål mail.docx", "A 6604-2023")</f>
        <v/>
      </c>
      <c r="X148">
        <f>HYPERLINK("https://klasma.github.io/Logging_2462/tillsyn/A 6604-2023 tillsynsbegäran.docx", "A 6604-2023")</f>
        <v/>
      </c>
      <c r="Y148">
        <f>HYPERLINK("https://klasma.github.io/Logging_2462/tillsynsmail/A 6604-2023 tillsynsbegäran mail.docx", "A 6604-2023")</f>
        <v/>
      </c>
    </row>
    <row r="149" ht="15" customHeight="1">
      <c r="A149" t="inlineStr">
        <is>
          <t>A 9249-2023</t>
        </is>
      </c>
      <c r="B149" s="1" t="n">
        <v>44972</v>
      </c>
      <c r="C149" s="1" t="n">
        <v>45510</v>
      </c>
      <c r="D149" t="inlineStr">
        <is>
          <t>VÄSTERBOTTENS LÄN</t>
        </is>
      </c>
      <c r="E149" t="inlineStr">
        <is>
          <t>VILHELMINA</t>
        </is>
      </c>
      <c r="F149" t="inlineStr">
        <is>
          <t>Allmännings- och besparingsskogar</t>
        </is>
      </c>
      <c r="G149" t="n">
        <v>18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9249-2023 artfynd.xlsx", "A 9249-2023")</f>
        <v/>
      </c>
      <c r="T149">
        <f>HYPERLINK("https://klasma.github.io/Logging_2462/kartor/A 9249-2023 karta.png", "A 9249-2023")</f>
        <v/>
      </c>
      <c r="V149">
        <f>HYPERLINK("https://klasma.github.io/Logging_2462/klagomål/A 9249-2023 FSC-klagomål.docx", "A 9249-2023")</f>
        <v/>
      </c>
      <c r="W149">
        <f>HYPERLINK("https://klasma.github.io/Logging_2462/klagomålsmail/A 9249-2023 FSC-klagomål mail.docx", "A 9249-2023")</f>
        <v/>
      </c>
      <c r="X149">
        <f>HYPERLINK("https://klasma.github.io/Logging_2462/tillsyn/A 9249-2023 tillsynsbegäran.docx", "A 9249-2023")</f>
        <v/>
      </c>
      <c r="Y149">
        <f>HYPERLINK("https://klasma.github.io/Logging_2462/tillsynsmail/A 9249-2023 tillsynsbegäran mail.docx", "A 9249-2023")</f>
        <v/>
      </c>
      <c r="Z149">
        <f>HYPERLINK("https://klasma.github.io/Logging_2462/fåglar/A 9249-2023 prioriterade fågelarter.docx", "A 9249-2023")</f>
        <v/>
      </c>
    </row>
    <row r="150" ht="15" customHeight="1">
      <c r="A150" t="inlineStr">
        <is>
          <t>A 11832-2023</t>
        </is>
      </c>
      <c r="B150" s="1" t="n">
        <v>44994</v>
      </c>
      <c r="C150" s="1" t="n">
        <v>45510</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29317-2023</t>
        </is>
      </c>
      <c r="B151" s="1" t="n">
        <v>45105</v>
      </c>
      <c r="C151" s="1" t="n">
        <v>45510</v>
      </c>
      <c r="D151" t="inlineStr">
        <is>
          <t>VÄSTERBOTTENS LÄN</t>
        </is>
      </c>
      <c r="E151" t="inlineStr">
        <is>
          <t>VILHELMINA</t>
        </is>
      </c>
      <c r="F151" t="inlineStr">
        <is>
          <t>SCA</t>
        </is>
      </c>
      <c r="G151" t="n">
        <v>18.8</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29317-2023 artfynd.xlsx", "A 29317-2023")</f>
        <v/>
      </c>
      <c r="T151">
        <f>HYPERLINK("https://klasma.github.io/Logging_2462/kartor/A 29317-2023 karta.png", "A 29317-2023")</f>
        <v/>
      </c>
      <c r="V151">
        <f>HYPERLINK("https://klasma.github.io/Logging_2462/klagomål/A 29317-2023 FSC-klagomål.docx", "A 29317-2023")</f>
        <v/>
      </c>
      <c r="W151">
        <f>HYPERLINK("https://klasma.github.io/Logging_2462/klagomålsmail/A 29317-2023 FSC-klagomål mail.docx", "A 29317-2023")</f>
        <v/>
      </c>
      <c r="X151">
        <f>HYPERLINK("https://klasma.github.io/Logging_2462/tillsyn/A 29317-2023 tillsynsbegäran.docx", "A 29317-2023")</f>
        <v/>
      </c>
      <c r="Y151">
        <f>HYPERLINK("https://klasma.github.io/Logging_2462/tillsynsmail/A 29317-2023 tillsynsbegäran mail.docx", "A 29317-2023")</f>
        <v/>
      </c>
      <c r="Z151">
        <f>HYPERLINK("https://klasma.github.io/Logging_2462/fåglar/A 29317-2023 prioriterade fågelarter.docx", "A 29317-2023")</f>
        <v/>
      </c>
    </row>
    <row r="152" ht="15" customHeight="1">
      <c r="A152" t="inlineStr">
        <is>
          <t>A 39919-2023</t>
        </is>
      </c>
      <c r="B152" s="1" t="n">
        <v>45166</v>
      </c>
      <c r="C152" s="1" t="n">
        <v>45510</v>
      </c>
      <c r="D152" t="inlineStr">
        <is>
          <t>VÄSTERBOTTENS LÄN</t>
        </is>
      </c>
      <c r="E152" t="inlineStr">
        <is>
          <t>VILHELMINA</t>
        </is>
      </c>
      <c r="G152" t="n">
        <v>22.2</v>
      </c>
      <c r="H152" t="n">
        <v>1</v>
      </c>
      <c r="I152" t="n">
        <v>0</v>
      </c>
      <c r="J152" t="n">
        <v>1</v>
      </c>
      <c r="K152" t="n">
        <v>0</v>
      </c>
      <c r="L152" t="n">
        <v>0</v>
      </c>
      <c r="M152" t="n">
        <v>0</v>
      </c>
      <c r="N152" t="n">
        <v>0</v>
      </c>
      <c r="O152" t="n">
        <v>1</v>
      </c>
      <c r="P152" t="n">
        <v>0</v>
      </c>
      <c r="Q152" t="n">
        <v>1</v>
      </c>
      <c r="R152" s="2" t="inlineStr">
        <is>
          <t>Utter</t>
        </is>
      </c>
      <c r="S152">
        <f>HYPERLINK("https://klasma.github.io/Logging_2462/artfynd/A 39919-2023 artfynd.xlsx", "A 39919-2023")</f>
        <v/>
      </c>
      <c r="T152">
        <f>HYPERLINK("https://klasma.github.io/Logging_2462/kartor/A 39919-2023 karta.png", "A 39919-2023")</f>
        <v/>
      </c>
      <c r="V152">
        <f>HYPERLINK("https://klasma.github.io/Logging_2462/klagomål/A 39919-2023 FSC-klagomål.docx", "A 39919-2023")</f>
        <v/>
      </c>
      <c r="W152">
        <f>HYPERLINK("https://klasma.github.io/Logging_2462/klagomålsmail/A 39919-2023 FSC-klagomål mail.docx", "A 39919-2023")</f>
        <v/>
      </c>
      <c r="X152">
        <f>HYPERLINK("https://klasma.github.io/Logging_2462/tillsyn/A 39919-2023 tillsynsbegäran.docx", "A 39919-2023")</f>
        <v/>
      </c>
      <c r="Y152">
        <f>HYPERLINK("https://klasma.github.io/Logging_2462/tillsynsmail/A 39919-2023 tillsynsbegäran mail.docx", "A 39919-2023")</f>
        <v/>
      </c>
    </row>
    <row r="153" ht="15" customHeight="1">
      <c r="A153" t="inlineStr">
        <is>
          <t>A 56247-2023</t>
        </is>
      </c>
      <c r="B153" s="1" t="n">
        <v>45240</v>
      </c>
      <c r="C153" s="1" t="n">
        <v>45510</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22467-2024</t>
        </is>
      </c>
      <c r="B154" s="1" t="n">
        <v>45447</v>
      </c>
      <c r="C154" s="1" t="n">
        <v>45510</v>
      </c>
      <c r="D154" t="inlineStr">
        <is>
          <t>VÄSTERBOTTENS LÄN</t>
        </is>
      </c>
      <c r="E154" t="inlineStr">
        <is>
          <t>VILHELMINA</t>
        </is>
      </c>
      <c r="F154" t="inlineStr">
        <is>
          <t>SCA</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22467-2024 artfynd.xlsx", "A 22467-2024")</f>
        <v/>
      </c>
      <c r="T154">
        <f>HYPERLINK("https://klasma.github.io/Logging_2462/kartor/A 22467-2024 karta.png", "A 22467-2024")</f>
        <v/>
      </c>
      <c r="V154">
        <f>HYPERLINK("https://klasma.github.io/Logging_2462/klagomål/A 22467-2024 FSC-klagomål.docx", "A 22467-2024")</f>
        <v/>
      </c>
      <c r="W154">
        <f>HYPERLINK("https://klasma.github.io/Logging_2462/klagomålsmail/A 22467-2024 FSC-klagomål mail.docx", "A 22467-2024")</f>
        <v/>
      </c>
      <c r="X154">
        <f>HYPERLINK("https://klasma.github.io/Logging_2462/tillsyn/A 22467-2024 tillsynsbegäran.docx", "A 22467-2024")</f>
        <v/>
      </c>
      <c r="Y154">
        <f>HYPERLINK("https://klasma.github.io/Logging_2462/tillsynsmail/A 22467-2024 tillsynsbegäran mail.docx", "A 22467-2024")</f>
        <v/>
      </c>
      <c r="Z154">
        <f>HYPERLINK("https://klasma.github.io/Logging_2462/fåglar/A 22467-2024 prioriterade fågelarter.docx", "A 22467-2024")</f>
        <v/>
      </c>
    </row>
    <row r="155" ht="15" customHeight="1">
      <c r="A155" t="inlineStr">
        <is>
          <t>A 22466-2024</t>
        </is>
      </c>
      <c r="B155" s="1" t="n">
        <v>45446</v>
      </c>
      <c r="C155" s="1" t="n">
        <v>45510</v>
      </c>
      <c r="D155" t="inlineStr">
        <is>
          <t>VÄSTERBOTTENS LÄN</t>
        </is>
      </c>
      <c r="E155" t="inlineStr">
        <is>
          <t>VILHELMINA</t>
        </is>
      </c>
      <c r="F155" t="inlineStr">
        <is>
          <t>SCA</t>
        </is>
      </c>
      <c r="G155" t="n">
        <v>3.9</v>
      </c>
      <c r="H155" t="n">
        <v>0</v>
      </c>
      <c r="I155" t="n">
        <v>0</v>
      </c>
      <c r="J155" t="n">
        <v>1</v>
      </c>
      <c r="K155" t="n">
        <v>0</v>
      </c>
      <c r="L155" t="n">
        <v>0</v>
      </c>
      <c r="M155" t="n">
        <v>0</v>
      </c>
      <c r="N155" t="n">
        <v>0</v>
      </c>
      <c r="O155" t="n">
        <v>1</v>
      </c>
      <c r="P155" t="n">
        <v>0</v>
      </c>
      <c r="Q155" t="n">
        <v>1</v>
      </c>
      <c r="R155" s="2" t="inlineStr">
        <is>
          <t>Ullticka</t>
        </is>
      </c>
      <c r="S155">
        <f>HYPERLINK("https://klasma.github.io/Logging_2462/artfynd/A 22466-2024 artfynd.xlsx", "A 22466-2024")</f>
        <v/>
      </c>
      <c r="T155">
        <f>HYPERLINK("https://klasma.github.io/Logging_2462/kartor/A 22466-2024 karta.png", "A 22466-2024")</f>
        <v/>
      </c>
      <c r="V155">
        <f>HYPERLINK("https://klasma.github.io/Logging_2462/klagomål/A 22466-2024 FSC-klagomål.docx", "A 22466-2024")</f>
        <v/>
      </c>
      <c r="W155">
        <f>HYPERLINK("https://klasma.github.io/Logging_2462/klagomålsmail/A 22466-2024 FSC-klagomål mail.docx", "A 22466-2024")</f>
        <v/>
      </c>
      <c r="X155">
        <f>HYPERLINK("https://klasma.github.io/Logging_2462/tillsyn/A 22466-2024 tillsynsbegäran.docx", "A 22466-2024")</f>
        <v/>
      </c>
      <c r="Y155">
        <f>HYPERLINK("https://klasma.github.io/Logging_2462/tillsynsmail/A 22466-2024 tillsynsbegäran mail.docx", "A 22466-2024")</f>
        <v/>
      </c>
    </row>
    <row r="156" ht="15" customHeight="1">
      <c r="A156" t="inlineStr">
        <is>
          <t>A 25368-2024</t>
        </is>
      </c>
      <c r="B156" s="1" t="n">
        <v>45462</v>
      </c>
      <c r="C156" s="1" t="n">
        <v>45510</v>
      </c>
      <c r="D156" t="inlineStr">
        <is>
          <t>VÄSTERBOTTENS LÄN</t>
        </is>
      </c>
      <c r="E156" t="inlineStr">
        <is>
          <t>VILHELMINA</t>
        </is>
      </c>
      <c r="F156" t="inlineStr">
        <is>
          <t>SCA</t>
        </is>
      </c>
      <c r="G156" t="n">
        <v>2.5</v>
      </c>
      <c r="H156" t="n">
        <v>1</v>
      </c>
      <c r="I156" t="n">
        <v>0</v>
      </c>
      <c r="J156" t="n">
        <v>1</v>
      </c>
      <c r="K156" t="n">
        <v>0</v>
      </c>
      <c r="L156" t="n">
        <v>0</v>
      </c>
      <c r="M156" t="n">
        <v>0</v>
      </c>
      <c r="N156" t="n">
        <v>0</v>
      </c>
      <c r="O156" t="n">
        <v>1</v>
      </c>
      <c r="P156" t="n">
        <v>0</v>
      </c>
      <c r="Q156" t="n">
        <v>1</v>
      </c>
      <c r="R156" s="2" t="inlineStr">
        <is>
          <t>Utter</t>
        </is>
      </c>
      <c r="S156">
        <f>HYPERLINK("https://klasma.github.io/Logging_2462/artfynd/A 25368-2024 artfynd.xlsx", "A 25368-2024")</f>
        <v/>
      </c>
      <c r="T156">
        <f>HYPERLINK("https://klasma.github.io/Logging_2462/kartor/A 25368-2024 karta.png", "A 25368-2024")</f>
        <v/>
      </c>
      <c r="V156">
        <f>HYPERLINK("https://klasma.github.io/Logging_2462/klagomål/A 25368-2024 FSC-klagomål.docx", "A 25368-2024")</f>
        <v/>
      </c>
      <c r="W156">
        <f>HYPERLINK("https://klasma.github.io/Logging_2462/klagomålsmail/A 25368-2024 FSC-klagomål mail.docx", "A 25368-2024")</f>
        <v/>
      </c>
      <c r="X156">
        <f>HYPERLINK("https://klasma.github.io/Logging_2462/tillsyn/A 25368-2024 tillsynsbegäran.docx", "A 25368-2024")</f>
        <v/>
      </c>
      <c r="Y156">
        <f>HYPERLINK("https://klasma.github.io/Logging_2462/tillsynsmail/A 25368-2024 tillsynsbegäran mail.docx", "A 25368-2024")</f>
        <v/>
      </c>
    </row>
    <row r="157" ht="15" customHeight="1">
      <c r="A157" t="inlineStr">
        <is>
          <t>A 28701-2024</t>
        </is>
      </c>
      <c r="B157" s="1" t="n">
        <v>45478</v>
      </c>
      <c r="C157" s="1" t="n">
        <v>45510</v>
      </c>
      <c r="D157" t="inlineStr">
        <is>
          <t>VÄSTERBOTTENS LÄN</t>
        </is>
      </c>
      <c r="E157" t="inlineStr">
        <is>
          <t>VILHELMINA</t>
        </is>
      </c>
      <c r="F157" t="inlineStr">
        <is>
          <t>Allmännings- och besparingsskogar</t>
        </is>
      </c>
      <c r="G157" t="n">
        <v>4.3</v>
      </c>
      <c r="H157" t="n">
        <v>0</v>
      </c>
      <c r="I157" t="n">
        <v>0</v>
      </c>
      <c r="J157" t="n">
        <v>1</v>
      </c>
      <c r="K157" t="n">
        <v>0</v>
      </c>
      <c r="L157" t="n">
        <v>0</v>
      </c>
      <c r="M157" t="n">
        <v>0</v>
      </c>
      <c r="N157" t="n">
        <v>0</v>
      </c>
      <c r="O157" t="n">
        <v>1</v>
      </c>
      <c r="P157" t="n">
        <v>0</v>
      </c>
      <c r="Q157" t="n">
        <v>1</v>
      </c>
      <c r="R157" s="2" t="inlineStr">
        <is>
          <t>Granticka</t>
        </is>
      </c>
      <c r="S157">
        <f>HYPERLINK("https://klasma.github.io/Logging_2462/artfynd/A 28701-2024 artfynd.xlsx", "A 28701-2024")</f>
        <v/>
      </c>
      <c r="T157">
        <f>HYPERLINK("https://klasma.github.io/Logging_2462/kartor/A 28701-2024 karta.png", "A 28701-2024")</f>
        <v/>
      </c>
      <c r="V157">
        <f>HYPERLINK("https://klasma.github.io/Logging_2462/klagomål/A 28701-2024 FSC-klagomål.docx", "A 28701-2024")</f>
        <v/>
      </c>
      <c r="W157">
        <f>HYPERLINK("https://klasma.github.io/Logging_2462/klagomålsmail/A 28701-2024 FSC-klagomål mail.docx", "A 28701-2024")</f>
        <v/>
      </c>
      <c r="X157">
        <f>HYPERLINK("https://klasma.github.io/Logging_2462/tillsyn/A 28701-2024 tillsynsbegäran.docx", "A 28701-2024")</f>
        <v/>
      </c>
      <c r="Y157">
        <f>HYPERLINK("https://klasma.github.io/Logging_2462/tillsynsmail/A 28701-2024 tillsynsbegäran mail.docx", "A 28701-2024")</f>
        <v/>
      </c>
    </row>
    <row r="158" ht="15" customHeight="1">
      <c r="A158" t="inlineStr">
        <is>
          <t>A 18521-2019</t>
        </is>
      </c>
      <c r="B158" s="1" t="n">
        <v>43558</v>
      </c>
      <c r="C158" s="1" t="n">
        <v>45510</v>
      </c>
      <c r="D158" t="inlineStr">
        <is>
          <t>VÄSTERBOTTENS LÄN</t>
        </is>
      </c>
      <c r="E158" t="inlineStr">
        <is>
          <t>VILHELMINA</t>
        </is>
      </c>
      <c r="G158" t="n">
        <v>4.5</v>
      </c>
      <c r="H158" t="n">
        <v>0</v>
      </c>
      <c r="I158" t="n">
        <v>0</v>
      </c>
      <c r="J158" t="n">
        <v>0</v>
      </c>
      <c r="K158" t="n">
        <v>0</v>
      </c>
      <c r="L158" t="n">
        <v>0</v>
      </c>
      <c r="M158" t="n">
        <v>0</v>
      </c>
      <c r="N158" t="n">
        <v>0</v>
      </c>
      <c r="O158" t="n">
        <v>0</v>
      </c>
      <c r="P158" t="n">
        <v>0</v>
      </c>
      <c r="Q158" t="n">
        <v>0</v>
      </c>
      <c r="R158" s="2" t="inlineStr"/>
    </row>
    <row r="159" ht="15" customHeight="1">
      <c r="A159" t="inlineStr">
        <is>
          <t>A 18529-2019</t>
        </is>
      </c>
      <c r="B159" s="1" t="n">
        <v>43559</v>
      </c>
      <c r="C159" s="1" t="n">
        <v>45510</v>
      </c>
      <c r="D159" t="inlineStr">
        <is>
          <t>VÄSTERBOTTENS LÄN</t>
        </is>
      </c>
      <c r="E159" t="inlineStr">
        <is>
          <t>VILHELMINA</t>
        </is>
      </c>
      <c r="F159" t="inlineStr">
        <is>
          <t>Kommuner</t>
        </is>
      </c>
      <c r="G159" t="n">
        <v>3</v>
      </c>
      <c r="H159" t="n">
        <v>0</v>
      </c>
      <c r="I159" t="n">
        <v>0</v>
      </c>
      <c r="J159" t="n">
        <v>0</v>
      </c>
      <c r="K159" t="n">
        <v>0</v>
      </c>
      <c r="L159" t="n">
        <v>0</v>
      </c>
      <c r="M159" t="n">
        <v>0</v>
      </c>
      <c r="N159" t="n">
        <v>0</v>
      </c>
      <c r="O159" t="n">
        <v>0</v>
      </c>
      <c r="P159" t="n">
        <v>0</v>
      </c>
      <c r="Q159" t="n">
        <v>0</v>
      </c>
      <c r="R159" s="2" t="inlineStr"/>
    </row>
    <row r="160" ht="15" customHeight="1">
      <c r="A160" t="inlineStr">
        <is>
          <t>A 18449-2019</t>
        </is>
      </c>
      <c r="B160" s="1" t="n">
        <v>43559</v>
      </c>
      <c r="C160" s="1" t="n">
        <v>45510</v>
      </c>
      <c r="D160" t="inlineStr">
        <is>
          <t>VÄSTERBOTTENS LÄN</t>
        </is>
      </c>
      <c r="E160" t="inlineStr">
        <is>
          <t>VILHELMINA</t>
        </is>
      </c>
      <c r="F160" t="inlineStr">
        <is>
          <t>Kommuner</t>
        </is>
      </c>
      <c r="G160" t="n">
        <v>20.8</v>
      </c>
      <c r="H160" t="n">
        <v>0</v>
      </c>
      <c r="I160" t="n">
        <v>0</v>
      </c>
      <c r="J160" t="n">
        <v>0</v>
      </c>
      <c r="K160" t="n">
        <v>0</v>
      </c>
      <c r="L160" t="n">
        <v>0</v>
      </c>
      <c r="M160" t="n">
        <v>0</v>
      </c>
      <c r="N160" t="n">
        <v>0</v>
      </c>
      <c r="O160" t="n">
        <v>0</v>
      </c>
      <c r="P160" t="n">
        <v>0</v>
      </c>
      <c r="Q160" t="n">
        <v>0</v>
      </c>
      <c r="R160" s="2" t="inlineStr"/>
    </row>
    <row r="161" ht="15" customHeight="1">
      <c r="A161" t="inlineStr">
        <is>
          <t>A 19130-2019</t>
        </is>
      </c>
      <c r="B161" s="1" t="n">
        <v>43564</v>
      </c>
      <c r="C161" s="1" t="n">
        <v>45510</v>
      </c>
      <c r="D161" t="inlineStr">
        <is>
          <t>VÄSTERBOTTENS LÄN</t>
        </is>
      </c>
      <c r="E161" t="inlineStr">
        <is>
          <t>VILHELMINA</t>
        </is>
      </c>
      <c r="G161" t="n">
        <v>5.6</v>
      </c>
      <c r="H161" t="n">
        <v>0</v>
      </c>
      <c r="I161" t="n">
        <v>0</v>
      </c>
      <c r="J161" t="n">
        <v>0</v>
      </c>
      <c r="K161" t="n">
        <v>0</v>
      </c>
      <c r="L161" t="n">
        <v>0</v>
      </c>
      <c r="M161" t="n">
        <v>0</v>
      </c>
      <c r="N161" t="n">
        <v>0</v>
      </c>
      <c r="O161" t="n">
        <v>0</v>
      </c>
      <c r="P161" t="n">
        <v>0</v>
      </c>
      <c r="Q161" t="n">
        <v>0</v>
      </c>
      <c r="R161" s="2" t="inlineStr"/>
    </row>
    <row r="162" ht="15" customHeight="1">
      <c r="A162" t="inlineStr">
        <is>
          <t>A 23278-2019</t>
        </is>
      </c>
      <c r="B162" s="1" t="n">
        <v>43592</v>
      </c>
      <c r="C162" s="1" t="n">
        <v>45510</v>
      </c>
      <c r="D162" t="inlineStr">
        <is>
          <t>VÄSTERBOTTENS LÄN</t>
        </is>
      </c>
      <c r="E162" t="inlineStr">
        <is>
          <t>VILHELMINA</t>
        </is>
      </c>
      <c r="F162" t="inlineStr">
        <is>
          <t>SCA</t>
        </is>
      </c>
      <c r="G162" t="n">
        <v>6.6</v>
      </c>
      <c r="H162" t="n">
        <v>0</v>
      </c>
      <c r="I162" t="n">
        <v>0</v>
      </c>
      <c r="J162" t="n">
        <v>0</v>
      </c>
      <c r="K162" t="n">
        <v>0</v>
      </c>
      <c r="L162" t="n">
        <v>0</v>
      </c>
      <c r="M162" t="n">
        <v>0</v>
      </c>
      <c r="N162" t="n">
        <v>0</v>
      </c>
      <c r="O162" t="n">
        <v>0</v>
      </c>
      <c r="P162" t="n">
        <v>0</v>
      </c>
      <c r="Q162" t="n">
        <v>0</v>
      </c>
      <c r="R162" s="2" t="inlineStr"/>
    </row>
    <row r="163" ht="15" customHeight="1">
      <c r="A163" t="inlineStr">
        <is>
          <t>A 23277-2019</t>
        </is>
      </c>
      <c r="B163" s="1" t="n">
        <v>43592</v>
      </c>
      <c r="C163" s="1" t="n">
        <v>45510</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23724-2019</t>
        </is>
      </c>
      <c r="B164" s="1" t="n">
        <v>43594</v>
      </c>
      <c r="C164" s="1" t="n">
        <v>45510</v>
      </c>
      <c r="D164" t="inlineStr">
        <is>
          <t>VÄSTERBOTTENS LÄN</t>
        </is>
      </c>
      <c r="E164" t="inlineStr">
        <is>
          <t>VILHELMINA</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23723-2019</t>
        </is>
      </c>
      <c r="B165" s="1" t="n">
        <v>43594</v>
      </c>
      <c r="C165" s="1" t="n">
        <v>45510</v>
      </c>
      <c r="D165" t="inlineStr">
        <is>
          <t>VÄSTERBOTTENS LÄN</t>
        </is>
      </c>
      <c r="E165" t="inlineStr">
        <is>
          <t>VILHELMINA</t>
        </is>
      </c>
      <c r="F165" t="inlineStr">
        <is>
          <t>SCA</t>
        </is>
      </c>
      <c r="G165" t="n">
        <v>5.3</v>
      </c>
      <c r="H165" t="n">
        <v>0</v>
      </c>
      <c r="I165" t="n">
        <v>0</v>
      </c>
      <c r="J165" t="n">
        <v>0</v>
      </c>
      <c r="K165" t="n">
        <v>0</v>
      </c>
      <c r="L165" t="n">
        <v>0</v>
      </c>
      <c r="M165" t="n">
        <v>0</v>
      </c>
      <c r="N165" t="n">
        <v>0</v>
      </c>
      <c r="O165" t="n">
        <v>0</v>
      </c>
      <c r="P165" t="n">
        <v>0</v>
      </c>
      <c r="Q165" t="n">
        <v>0</v>
      </c>
      <c r="R165" s="2" t="inlineStr"/>
    </row>
    <row r="166" ht="15" customHeight="1">
      <c r="A166" t="inlineStr">
        <is>
          <t>A 26852-2019</t>
        </is>
      </c>
      <c r="B166" s="1" t="n">
        <v>43608</v>
      </c>
      <c r="C166" s="1" t="n">
        <v>45510</v>
      </c>
      <c r="D166" t="inlineStr">
        <is>
          <t>VÄSTERBOTTENS LÄN</t>
        </is>
      </c>
      <c r="E166" t="inlineStr">
        <is>
          <t>VILHELMINA</t>
        </is>
      </c>
      <c r="G166" t="n">
        <v>0.6</v>
      </c>
      <c r="H166" t="n">
        <v>0</v>
      </c>
      <c r="I166" t="n">
        <v>0</v>
      </c>
      <c r="J166" t="n">
        <v>0</v>
      </c>
      <c r="K166" t="n">
        <v>0</v>
      </c>
      <c r="L166" t="n">
        <v>0</v>
      </c>
      <c r="M166" t="n">
        <v>0</v>
      </c>
      <c r="N166" t="n">
        <v>0</v>
      </c>
      <c r="O166" t="n">
        <v>0</v>
      </c>
      <c r="P166" t="n">
        <v>0</v>
      </c>
      <c r="Q166" t="n">
        <v>0</v>
      </c>
      <c r="R166" s="2" t="inlineStr"/>
    </row>
    <row r="167" ht="15" customHeight="1">
      <c r="A167" t="inlineStr">
        <is>
          <t>A 26896-2019</t>
        </is>
      </c>
      <c r="B167" s="1" t="n">
        <v>43608</v>
      </c>
      <c r="C167" s="1" t="n">
        <v>45510</v>
      </c>
      <c r="D167" t="inlineStr">
        <is>
          <t>VÄSTERBOTTENS LÄN</t>
        </is>
      </c>
      <c r="E167" t="inlineStr">
        <is>
          <t>VILHELMINA</t>
        </is>
      </c>
      <c r="G167" t="n">
        <v>3.1</v>
      </c>
      <c r="H167" t="n">
        <v>0</v>
      </c>
      <c r="I167" t="n">
        <v>0</v>
      </c>
      <c r="J167" t="n">
        <v>0</v>
      </c>
      <c r="K167" t="n">
        <v>0</v>
      </c>
      <c r="L167" t="n">
        <v>0</v>
      </c>
      <c r="M167" t="n">
        <v>0</v>
      </c>
      <c r="N167" t="n">
        <v>0</v>
      </c>
      <c r="O167" t="n">
        <v>0</v>
      </c>
      <c r="P167" t="n">
        <v>0</v>
      </c>
      <c r="Q167" t="n">
        <v>0</v>
      </c>
      <c r="R167" s="2" t="inlineStr"/>
    </row>
    <row r="168" ht="15" customHeight="1">
      <c r="A168" t="inlineStr">
        <is>
          <t>A 27075-2019</t>
        </is>
      </c>
      <c r="B168" s="1" t="n">
        <v>43612</v>
      </c>
      <c r="C168" s="1" t="n">
        <v>45510</v>
      </c>
      <c r="D168" t="inlineStr">
        <is>
          <t>VÄSTERBOTTENS LÄN</t>
        </is>
      </c>
      <c r="E168" t="inlineStr">
        <is>
          <t>VILHELMINA</t>
        </is>
      </c>
      <c r="G168" t="n">
        <v>4.3</v>
      </c>
      <c r="H168" t="n">
        <v>0</v>
      </c>
      <c r="I168" t="n">
        <v>0</v>
      </c>
      <c r="J168" t="n">
        <v>0</v>
      </c>
      <c r="K168" t="n">
        <v>0</v>
      </c>
      <c r="L168" t="n">
        <v>0</v>
      </c>
      <c r="M168" t="n">
        <v>0</v>
      </c>
      <c r="N168" t="n">
        <v>0</v>
      </c>
      <c r="O168" t="n">
        <v>0</v>
      </c>
      <c r="P168" t="n">
        <v>0</v>
      </c>
      <c r="Q168" t="n">
        <v>0</v>
      </c>
      <c r="R168" s="2" t="inlineStr"/>
    </row>
    <row r="169" ht="15" customHeight="1">
      <c r="A169" t="inlineStr">
        <is>
          <t>A 26763-2019</t>
        </is>
      </c>
      <c r="B169" s="1" t="n">
        <v>43613</v>
      </c>
      <c r="C169" s="1" t="n">
        <v>45510</v>
      </c>
      <c r="D169" t="inlineStr">
        <is>
          <t>VÄSTERBOTTENS LÄN</t>
        </is>
      </c>
      <c r="E169" t="inlineStr">
        <is>
          <t>VILHELMINA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27254-2019</t>
        </is>
      </c>
      <c r="B170" s="1" t="n">
        <v>43614</v>
      </c>
      <c r="C170" s="1" t="n">
        <v>45510</v>
      </c>
      <c r="D170" t="inlineStr">
        <is>
          <t>VÄSTERBOTTENS LÄN</t>
        </is>
      </c>
      <c r="E170" t="inlineStr">
        <is>
          <t>VILHELMINA</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27253-2019</t>
        </is>
      </c>
      <c r="B171" s="1" t="n">
        <v>43614</v>
      </c>
      <c r="C171" s="1" t="n">
        <v>45510</v>
      </c>
      <c r="D171" t="inlineStr">
        <is>
          <t>VÄSTERBOTTENS LÄN</t>
        </is>
      </c>
      <c r="E171" t="inlineStr">
        <is>
          <t>VILHELMINA</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31612-2019</t>
        </is>
      </c>
      <c r="B172" s="1" t="n">
        <v>43640</v>
      </c>
      <c r="C172" s="1" t="n">
        <v>45510</v>
      </c>
      <c r="D172" t="inlineStr">
        <is>
          <t>VÄSTERBOTTENS LÄN</t>
        </is>
      </c>
      <c r="E172" t="inlineStr">
        <is>
          <t>VILHELMINA</t>
        </is>
      </c>
      <c r="G172" t="n">
        <v>1.3</v>
      </c>
      <c r="H172" t="n">
        <v>0</v>
      </c>
      <c r="I172" t="n">
        <v>0</v>
      </c>
      <c r="J172" t="n">
        <v>0</v>
      </c>
      <c r="K172" t="n">
        <v>0</v>
      </c>
      <c r="L172" t="n">
        <v>0</v>
      </c>
      <c r="M172" t="n">
        <v>0</v>
      </c>
      <c r="N172" t="n">
        <v>0</v>
      </c>
      <c r="O172" t="n">
        <v>0</v>
      </c>
      <c r="P172" t="n">
        <v>0</v>
      </c>
      <c r="Q172" t="n">
        <v>0</v>
      </c>
      <c r="R172" s="2" t="inlineStr"/>
    </row>
    <row r="173" ht="15" customHeight="1">
      <c r="A173" t="inlineStr">
        <is>
          <t>A 31615-2019</t>
        </is>
      </c>
      <c r="B173" s="1" t="n">
        <v>43640</v>
      </c>
      <c r="C173" s="1" t="n">
        <v>45510</v>
      </c>
      <c r="D173" t="inlineStr">
        <is>
          <t>VÄSTERBOTTENS LÄN</t>
        </is>
      </c>
      <c r="E173" t="inlineStr">
        <is>
          <t>VILHELMINA</t>
        </is>
      </c>
      <c r="G173" t="n">
        <v>3.1</v>
      </c>
      <c r="H173" t="n">
        <v>0</v>
      </c>
      <c r="I173" t="n">
        <v>0</v>
      </c>
      <c r="J173" t="n">
        <v>0</v>
      </c>
      <c r="K173" t="n">
        <v>0</v>
      </c>
      <c r="L173" t="n">
        <v>0</v>
      </c>
      <c r="M173" t="n">
        <v>0</v>
      </c>
      <c r="N173" t="n">
        <v>0</v>
      </c>
      <c r="O173" t="n">
        <v>0</v>
      </c>
      <c r="P173" t="n">
        <v>0</v>
      </c>
      <c r="Q173" t="n">
        <v>0</v>
      </c>
      <c r="R173" s="2" t="inlineStr"/>
    </row>
    <row r="174" ht="15" customHeight="1">
      <c r="A174" t="inlineStr">
        <is>
          <t>A 31610-2019</t>
        </is>
      </c>
      <c r="B174" s="1" t="n">
        <v>43640</v>
      </c>
      <c r="C174" s="1" t="n">
        <v>45510</v>
      </c>
      <c r="D174" t="inlineStr">
        <is>
          <t>VÄSTERBOTTENS LÄN</t>
        </is>
      </c>
      <c r="E174" t="inlineStr">
        <is>
          <t>VILHELMINA</t>
        </is>
      </c>
      <c r="G174" t="n">
        <v>1</v>
      </c>
      <c r="H174" t="n">
        <v>0</v>
      </c>
      <c r="I174" t="n">
        <v>0</v>
      </c>
      <c r="J174" t="n">
        <v>0</v>
      </c>
      <c r="K174" t="n">
        <v>0</v>
      </c>
      <c r="L174" t="n">
        <v>0</v>
      </c>
      <c r="M174" t="n">
        <v>0</v>
      </c>
      <c r="N174" t="n">
        <v>0</v>
      </c>
      <c r="O174" t="n">
        <v>0</v>
      </c>
      <c r="P174" t="n">
        <v>0</v>
      </c>
      <c r="Q174" t="n">
        <v>0</v>
      </c>
      <c r="R174" s="2" t="inlineStr"/>
    </row>
    <row r="175" ht="15" customHeight="1">
      <c r="A175" t="inlineStr">
        <is>
          <t>A 31607-2019</t>
        </is>
      </c>
      <c r="B175" s="1" t="n">
        <v>43640</v>
      </c>
      <c r="C175" s="1" t="n">
        <v>45510</v>
      </c>
      <c r="D175" t="inlineStr">
        <is>
          <t>VÄSTERBOTTENS LÄN</t>
        </is>
      </c>
      <c r="E175" t="inlineStr">
        <is>
          <t>VILHELMINA</t>
        </is>
      </c>
      <c r="G175" t="n">
        <v>0.4</v>
      </c>
      <c r="H175" t="n">
        <v>0</v>
      </c>
      <c r="I175" t="n">
        <v>0</v>
      </c>
      <c r="J175" t="n">
        <v>0</v>
      </c>
      <c r="K175" t="n">
        <v>0</v>
      </c>
      <c r="L175" t="n">
        <v>0</v>
      </c>
      <c r="M175" t="n">
        <v>0</v>
      </c>
      <c r="N175" t="n">
        <v>0</v>
      </c>
      <c r="O175" t="n">
        <v>0</v>
      </c>
      <c r="P175" t="n">
        <v>0</v>
      </c>
      <c r="Q175" t="n">
        <v>0</v>
      </c>
      <c r="R175" s="2" t="inlineStr"/>
    </row>
    <row r="176" ht="15" customHeight="1">
      <c r="A176" t="inlineStr">
        <is>
          <t>A 31845-2019</t>
        </is>
      </c>
      <c r="B176" s="1" t="n">
        <v>43640</v>
      </c>
      <c r="C176" s="1" t="n">
        <v>45510</v>
      </c>
      <c r="D176" t="inlineStr">
        <is>
          <t>VÄSTERBOTTENS LÄN</t>
        </is>
      </c>
      <c r="E176" t="inlineStr">
        <is>
          <t>VILHELMINA</t>
        </is>
      </c>
      <c r="G176" t="n">
        <v>10.9</v>
      </c>
      <c r="H176" t="n">
        <v>0</v>
      </c>
      <c r="I176" t="n">
        <v>0</v>
      </c>
      <c r="J176" t="n">
        <v>0</v>
      </c>
      <c r="K176" t="n">
        <v>0</v>
      </c>
      <c r="L176" t="n">
        <v>0</v>
      </c>
      <c r="M176" t="n">
        <v>0</v>
      </c>
      <c r="N176" t="n">
        <v>0</v>
      </c>
      <c r="O176" t="n">
        <v>0</v>
      </c>
      <c r="P176" t="n">
        <v>0</v>
      </c>
      <c r="Q176" t="n">
        <v>0</v>
      </c>
      <c r="R176" s="2" t="inlineStr"/>
    </row>
    <row r="177" ht="15" customHeight="1">
      <c r="A177" t="inlineStr">
        <is>
          <t>A 31511-2019</t>
        </is>
      </c>
      <c r="B177" s="1" t="n">
        <v>43641</v>
      </c>
      <c r="C177" s="1" t="n">
        <v>45510</v>
      </c>
      <c r="D177" t="inlineStr">
        <is>
          <t>VÄSTERBOTTENS LÄN</t>
        </is>
      </c>
      <c r="E177" t="inlineStr">
        <is>
          <t>VILHELMINA</t>
        </is>
      </c>
      <c r="G177" t="n">
        <v>21.8</v>
      </c>
      <c r="H177" t="n">
        <v>0</v>
      </c>
      <c r="I177" t="n">
        <v>0</v>
      </c>
      <c r="J177" t="n">
        <v>0</v>
      </c>
      <c r="K177" t="n">
        <v>0</v>
      </c>
      <c r="L177" t="n">
        <v>0</v>
      </c>
      <c r="M177" t="n">
        <v>0</v>
      </c>
      <c r="N177" t="n">
        <v>0</v>
      </c>
      <c r="O177" t="n">
        <v>0</v>
      </c>
      <c r="P177" t="n">
        <v>0</v>
      </c>
      <c r="Q177" t="n">
        <v>0</v>
      </c>
      <c r="R177" s="2" t="inlineStr"/>
    </row>
    <row r="178" ht="15" customHeight="1">
      <c r="A178" t="inlineStr">
        <is>
          <t>A 32731-2019</t>
        </is>
      </c>
      <c r="B178" s="1" t="n">
        <v>43648</v>
      </c>
      <c r="C178" s="1" t="n">
        <v>45510</v>
      </c>
      <c r="D178" t="inlineStr">
        <is>
          <t>VÄSTERBOTTENS LÄN</t>
        </is>
      </c>
      <c r="E178" t="inlineStr">
        <is>
          <t>VILHELMINA</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32787-2019</t>
        </is>
      </c>
      <c r="B179" s="1" t="n">
        <v>43648</v>
      </c>
      <c r="C179" s="1" t="n">
        <v>45510</v>
      </c>
      <c r="D179" t="inlineStr">
        <is>
          <t>VÄSTERBOTTENS LÄN</t>
        </is>
      </c>
      <c r="E179" t="inlineStr">
        <is>
          <t>VILHELMINA</t>
        </is>
      </c>
      <c r="G179" t="n">
        <v>9.4</v>
      </c>
      <c r="H179" t="n">
        <v>0</v>
      </c>
      <c r="I179" t="n">
        <v>0</v>
      </c>
      <c r="J179" t="n">
        <v>0</v>
      </c>
      <c r="K179" t="n">
        <v>0</v>
      </c>
      <c r="L179" t="n">
        <v>0</v>
      </c>
      <c r="M179" t="n">
        <v>0</v>
      </c>
      <c r="N179" t="n">
        <v>0</v>
      </c>
      <c r="O179" t="n">
        <v>0</v>
      </c>
      <c r="P179" t="n">
        <v>0</v>
      </c>
      <c r="Q179" t="n">
        <v>0</v>
      </c>
      <c r="R179" s="2" t="inlineStr"/>
    </row>
    <row r="180" ht="15" customHeight="1">
      <c r="A180" t="inlineStr">
        <is>
          <t>A 34370-2019</t>
        </is>
      </c>
      <c r="B180" s="1" t="n">
        <v>43656</v>
      </c>
      <c r="C180" s="1" t="n">
        <v>45510</v>
      </c>
      <c r="D180" t="inlineStr">
        <is>
          <t>VÄSTERBOTTENS LÄN</t>
        </is>
      </c>
      <c r="E180" t="inlineStr">
        <is>
          <t>VILHELMINA</t>
        </is>
      </c>
      <c r="G180" t="n">
        <v>20.7</v>
      </c>
      <c r="H180" t="n">
        <v>0</v>
      </c>
      <c r="I180" t="n">
        <v>0</v>
      </c>
      <c r="J180" t="n">
        <v>0</v>
      </c>
      <c r="K180" t="n">
        <v>0</v>
      </c>
      <c r="L180" t="n">
        <v>0</v>
      </c>
      <c r="M180" t="n">
        <v>0</v>
      </c>
      <c r="N180" t="n">
        <v>0</v>
      </c>
      <c r="O180" t="n">
        <v>0</v>
      </c>
      <c r="P180" t="n">
        <v>0</v>
      </c>
      <c r="Q180" t="n">
        <v>0</v>
      </c>
      <c r="R180" s="2" t="inlineStr"/>
    </row>
    <row r="181" ht="15" customHeight="1">
      <c r="A181" t="inlineStr">
        <is>
          <t>A 35051-2019</t>
        </is>
      </c>
      <c r="B181" s="1" t="n">
        <v>43661</v>
      </c>
      <c r="C181" s="1" t="n">
        <v>45510</v>
      </c>
      <c r="D181" t="inlineStr">
        <is>
          <t>VÄSTERBOTTENS LÄN</t>
        </is>
      </c>
      <c r="E181" t="inlineStr">
        <is>
          <t>VILHELMINA</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35054-2019</t>
        </is>
      </c>
      <c r="B182" s="1" t="n">
        <v>43661</v>
      </c>
      <c r="C182" s="1" t="n">
        <v>45510</v>
      </c>
      <c r="D182" t="inlineStr">
        <is>
          <t>VÄSTERBOTTENS LÄN</t>
        </is>
      </c>
      <c r="E182" t="inlineStr">
        <is>
          <t>VILHELMINA</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35723-2019</t>
        </is>
      </c>
      <c r="B183" s="1" t="n">
        <v>43664</v>
      </c>
      <c r="C183" s="1" t="n">
        <v>45510</v>
      </c>
      <c r="D183" t="inlineStr">
        <is>
          <t>VÄSTERBOTTENS LÄN</t>
        </is>
      </c>
      <c r="E183" t="inlineStr">
        <is>
          <t>VILHELMINA</t>
        </is>
      </c>
      <c r="G183" t="n">
        <v>16.8</v>
      </c>
      <c r="H183" t="n">
        <v>0</v>
      </c>
      <c r="I183" t="n">
        <v>0</v>
      </c>
      <c r="J183" t="n">
        <v>0</v>
      </c>
      <c r="K183" t="n">
        <v>0</v>
      </c>
      <c r="L183" t="n">
        <v>0</v>
      </c>
      <c r="M183" t="n">
        <v>0</v>
      </c>
      <c r="N183" t="n">
        <v>0</v>
      </c>
      <c r="O183" t="n">
        <v>0</v>
      </c>
      <c r="P183" t="n">
        <v>0</v>
      </c>
      <c r="Q183" t="n">
        <v>0</v>
      </c>
      <c r="R183" s="2" t="inlineStr"/>
    </row>
    <row r="184" ht="15" customHeight="1">
      <c r="A184" t="inlineStr">
        <is>
          <t>A 35737-2019</t>
        </is>
      </c>
      <c r="B184" s="1" t="n">
        <v>43664</v>
      </c>
      <c r="C184" s="1" t="n">
        <v>45510</v>
      </c>
      <c r="D184" t="inlineStr">
        <is>
          <t>VÄSTERBOTTENS LÄN</t>
        </is>
      </c>
      <c r="E184" t="inlineStr">
        <is>
          <t>VILHELMINA</t>
        </is>
      </c>
      <c r="G184" t="n">
        <v>22.4</v>
      </c>
      <c r="H184" t="n">
        <v>0</v>
      </c>
      <c r="I184" t="n">
        <v>0</v>
      </c>
      <c r="J184" t="n">
        <v>0</v>
      </c>
      <c r="K184" t="n">
        <v>0</v>
      </c>
      <c r="L184" t="n">
        <v>0</v>
      </c>
      <c r="M184" t="n">
        <v>0</v>
      </c>
      <c r="N184" t="n">
        <v>0</v>
      </c>
      <c r="O184" t="n">
        <v>0</v>
      </c>
      <c r="P184" t="n">
        <v>0</v>
      </c>
      <c r="Q184" t="n">
        <v>0</v>
      </c>
      <c r="R184" s="2" t="inlineStr"/>
    </row>
    <row r="185" ht="15" customHeight="1">
      <c r="A185" t="inlineStr">
        <is>
          <t>A 35726-2019</t>
        </is>
      </c>
      <c r="B185" s="1" t="n">
        <v>43664</v>
      </c>
      <c r="C185" s="1" t="n">
        <v>45510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35731-2019</t>
        </is>
      </c>
      <c r="B186" s="1" t="n">
        <v>43665</v>
      </c>
      <c r="C186" s="1" t="n">
        <v>45510</v>
      </c>
      <c r="D186" t="inlineStr">
        <is>
          <t>VÄSTERBOTTENS LÄN</t>
        </is>
      </c>
      <c r="E186" t="inlineStr">
        <is>
          <t>VILHELMINA</t>
        </is>
      </c>
      <c r="G186" t="n">
        <v>0.4</v>
      </c>
      <c r="H186" t="n">
        <v>0</v>
      </c>
      <c r="I186" t="n">
        <v>0</v>
      </c>
      <c r="J186" t="n">
        <v>0</v>
      </c>
      <c r="K186" t="n">
        <v>0</v>
      </c>
      <c r="L186" t="n">
        <v>0</v>
      </c>
      <c r="M186" t="n">
        <v>0</v>
      </c>
      <c r="N186" t="n">
        <v>0</v>
      </c>
      <c r="O186" t="n">
        <v>0</v>
      </c>
      <c r="P186" t="n">
        <v>0</v>
      </c>
      <c r="Q186" t="n">
        <v>0</v>
      </c>
      <c r="R186" s="2" t="inlineStr"/>
    </row>
    <row r="187" ht="15" customHeight="1">
      <c r="A187" t="inlineStr">
        <is>
          <t>A 37824-2019</t>
        </is>
      </c>
      <c r="B187" s="1" t="n">
        <v>43682</v>
      </c>
      <c r="C187" s="1" t="n">
        <v>45510</v>
      </c>
      <c r="D187" t="inlineStr">
        <is>
          <t>VÄSTERBOTTENS LÄN</t>
        </is>
      </c>
      <c r="E187" t="inlineStr">
        <is>
          <t>VILHELMINA</t>
        </is>
      </c>
      <c r="G187" t="n">
        <v>14.2</v>
      </c>
      <c r="H187" t="n">
        <v>0</v>
      </c>
      <c r="I187" t="n">
        <v>0</v>
      </c>
      <c r="J187" t="n">
        <v>0</v>
      </c>
      <c r="K187" t="n">
        <v>0</v>
      </c>
      <c r="L187" t="n">
        <v>0</v>
      </c>
      <c r="M187" t="n">
        <v>0</v>
      </c>
      <c r="N187" t="n">
        <v>0</v>
      </c>
      <c r="O187" t="n">
        <v>0</v>
      </c>
      <c r="P187" t="n">
        <v>0</v>
      </c>
      <c r="Q187" t="n">
        <v>0</v>
      </c>
      <c r="R187" s="2" t="inlineStr"/>
    </row>
    <row r="188" ht="15" customHeight="1">
      <c r="A188" t="inlineStr">
        <is>
          <t>A 40282-2019</t>
        </is>
      </c>
      <c r="B188" s="1" t="n">
        <v>43690</v>
      </c>
      <c r="C188" s="1" t="n">
        <v>45510</v>
      </c>
      <c r="D188" t="inlineStr">
        <is>
          <t>VÄSTERBOTTENS LÄN</t>
        </is>
      </c>
      <c r="E188" t="inlineStr">
        <is>
          <t>VILHELMINA</t>
        </is>
      </c>
      <c r="G188" t="n">
        <v>13.2</v>
      </c>
      <c r="H188" t="n">
        <v>0</v>
      </c>
      <c r="I188" t="n">
        <v>0</v>
      </c>
      <c r="J188" t="n">
        <v>0</v>
      </c>
      <c r="K188" t="n">
        <v>0</v>
      </c>
      <c r="L188" t="n">
        <v>0</v>
      </c>
      <c r="M188" t="n">
        <v>0</v>
      </c>
      <c r="N188" t="n">
        <v>0</v>
      </c>
      <c r="O188" t="n">
        <v>0</v>
      </c>
      <c r="P188" t="n">
        <v>0</v>
      </c>
      <c r="Q188" t="n">
        <v>0</v>
      </c>
      <c r="R188" s="2" t="inlineStr"/>
    </row>
    <row r="189" ht="15" customHeight="1">
      <c r="A189" t="inlineStr">
        <is>
          <t>A 41782-2019</t>
        </is>
      </c>
      <c r="B189" s="1" t="n">
        <v>43699</v>
      </c>
      <c r="C189" s="1" t="n">
        <v>45510</v>
      </c>
      <c r="D189" t="inlineStr">
        <is>
          <t>VÄSTERBOTTENS LÄN</t>
        </is>
      </c>
      <c r="E189" t="inlineStr">
        <is>
          <t>VILHELMINA</t>
        </is>
      </c>
      <c r="F189" t="inlineStr">
        <is>
          <t>SCA</t>
        </is>
      </c>
      <c r="G189" t="n">
        <v>30.8</v>
      </c>
      <c r="H189" t="n">
        <v>0</v>
      </c>
      <c r="I189" t="n">
        <v>0</v>
      </c>
      <c r="J189" t="n">
        <v>0</v>
      </c>
      <c r="K189" t="n">
        <v>0</v>
      </c>
      <c r="L189" t="n">
        <v>0</v>
      </c>
      <c r="M189" t="n">
        <v>0</v>
      </c>
      <c r="N189" t="n">
        <v>0</v>
      </c>
      <c r="O189" t="n">
        <v>0</v>
      </c>
      <c r="P189" t="n">
        <v>0</v>
      </c>
      <c r="Q189" t="n">
        <v>0</v>
      </c>
      <c r="R189" s="2" t="inlineStr"/>
    </row>
    <row r="190" ht="15" customHeight="1">
      <c r="A190" t="inlineStr">
        <is>
          <t>A 42068-2019</t>
        </is>
      </c>
      <c r="B190" s="1" t="n">
        <v>43700</v>
      </c>
      <c r="C190" s="1" t="n">
        <v>45510</v>
      </c>
      <c r="D190" t="inlineStr">
        <is>
          <t>VÄSTERBOTTENS LÄN</t>
        </is>
      </c>
      <c r="E190" t="inlineStr">
        <is>
          <t>VILHELMINA</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42362-2019</t>
        </is>
      </c>
      <c r="B191" s="1" t="n">
        <v>43703</v>
      </c>
      <c r="C191" s="1" t="n">
        <v>45510</v>
      </c>
      <c r="D191" t="inlineStr">
        <is>
          <t>VÄSTERBOTTENS LÄN</t>
        </is>
      </c>
      <c r="E191" t="inlineStr">
        <is>
          <t>VILHELMINA</t>
        </is>
      </c>
      <c r="G191" t="n">
        <v>5.3</v>
      </c>
      <c r="H191" t="n">
        <v>0</v>
      </c>
      <c r="I191" t="n">
        <v>0</v>
      </c>
      <c r="J191" t="n">
        <v>0</v>
      </c>
      <c r="K191" t="n">
        <v>0</v>
      </c>
      <c r="L191" t="n">
        <v>0</v>
      </c>
      <c r="M191" t="n">
        <v>0</v>
      </c>
      <c r="N191" t="n">
        <v>0</v>
      </c>
      <c r="O191" t="n">
        <v>0</v>
      </c>
      <c r="P191" t="n">
        <v>0</v>
      </c>
      <c r="Q191" t="n">
        <v>0</v>
      </c>
      <c r="R191" s="2" t="inlineStr"/>
    </row>
    <row r="192" ht="15" customHeight="1">
      <c r="A192" t="inlineStr">
        <is>
          <t>A 44388-2019</t>
        </is>
      </c>
      <c r="B192" s="1" t="n">
        <v>43705</v>
      </c>
      <c r="C192" s="1" t="n">
        <v>45510</v>
      </c>
      <c r="D192" t="inlineStr">
        <is>
          <t>VÄSTERBOTTENS LÄN</t>
        </is>
      </c>
      <c r="E192" t="inlineStr">
        <is>
          <t>VILHELMINA</t>
        </is>
      </c>
      <c r="G192" t="n">
        <v>17</v>
      </c>
      <c r="H192" t="n">
        <v>0</v>
      </c>
      <c r="I192" t="n">
        <v>0</v>
      </c>
      <c r="J192" t="n">
        <v>0</v>
      </c>
      <c r="K192" t="n">
        <v>0</v>
      </c>
      <c r="L192" t="n">
        <v>0</v>
      </c>
      <c r="M192" t="n">
        <v>0</v>
      </c>
      <c r="N192" t="n">
        <v>0</v>
      </c>
      <c r="O192" t="n">
        <v>0</v>
      </c>
      <c r="P192" t="n">
        <v>0</v>
      </c>
      <c r="Q192" t="n">
        <v>0</v>
      </c>
      <c r="R192" s="2" t="inlineStr"/>
    </row>
    <row r="193" ht="15" customHeight="1">
      <c r="A193" t="inlineStr">
        <is>
          <t>A 44649-2019</t>
        </is>
      </c>
      <c r="B193" s="1" t="n">
        <v>43712</v>
      </c>
      <c r="C193" s="1" t="n">
        <v>45510</v>
      </c>
      <c r="D193" t="inlineStr">
        <is>
          <t>VÄSTERBOTTENS LÄN</t>
        </is>
      </c>
      <c r="E193" t="inlineStr">
        <is>
          <t>VILHELMINA</t>
        </is>
      </c>
      <c r="G193" t="n">
        <v>7.8</v>
      </c>
      <c r="H193" t="n">
        <v>0</v>
      </c>
      <c r="I193" t="n">
        <v>0</v>
      </c>
      <c r="J193" t="n">
        <v>0</v>
      </c>
      <c r="K193" t="n">
        <v>0</v>
      </c>
      <c r="L193" t="n">
        <v>0</v>
      </c>
      <c r="M193" t="n">
        <v>0</v>
      </c>
      <c r="N193" t="n">
        <v>0</v>
      </c>
      <c r="O193" t="n">
        <v>0</v>
      </c>
      <c r="P193" t="n">
        <v>0</v>
      </c>
      <c r="Q193" t="n">
        <v>0</v>
      </c>
      <c r="R193" s="2" t="inlineStr"/>
    </row>
    <row r="194" ht="15" customHeight="1">
      <c r="A194" t="inlineStr">
        <is>
          <t>A 45275-2019</t>
        </is>
      </c>
      <c r="B194" s="1" t="n">
        <v>43714</v>
      </c>
      <c r="C194" s="1" t="n">
        <v>45510</v>
      </c>
      <c r="D194" t="inlineStr">
        <is>
          <t>VÄSTERBOTTENS LÄN</t>
        </is>
      </c>
      <c r="E194" t="inlineStr">
        <is>
          <t>VILHELMINA</t>
        </is>
      </c>
      <c r="F194" t="inlineStr">
        <is>
          <t>SCA</t>
        </is>
      </c>
      <c r="G194" t="n">
        <v>10.3</v>
      </c>
      <c r="H194" t="n">
        <v>0</v>
      </c>
      <c r="I194" t="n">
        <v>0</v>
      </c>
      <c r="J194" t="n">
        <v>0</v>
      </c>
      <c r="K194" t="n">
        <v>0</v>
      </c>
      <c r="L194" t="n">
        <v>0</v>
      </c>
      <c r="M194" t="n">
        <v>0</v>
      </c>
      <c r="N194" t="n">
        <v>0</v>
      </c>
      <c r="O194" t="n">
        <v>0</v>
      </c>
      <c r="P194" t="n">
        <v>0</v>
      </c>
      <c r="Q194" t="n">
        <v>0</v>
      </c>
      <c r="R194" s="2" t="inlineStr"/>
    </row>
    <row r="195" ht="15" customHeight="1">
      <c r="A195" t="inlineStr">
        <is>
          <t>A 47388-2019</t>
        </is>
      </c>
      <c r="B195" s="1" t="n">
        <v>43721</v>
      </c>
      <c r="C195" s="1" t="n">
        <v>45510</v>
      </c>
      <c r="D195" t="inlineStr">
        <is>
          <t>VÄSTERBOTTENS LÄN</t>
        </is>
      </c>
      <c r="E195" t="inlineStr">
        <is>
          <t>VILHELMINA</t>
        </is>
      </c>
      <c r="F195" t="inlineStr">
        <is>
          <t>SCA</t>
        </is>
      </c>
      <c r="G195" t="n">
        <v>15.4</v>
      </c>
      <c r="H195" t="n">
        <v>0</v>
      </c>
      <c r="I195" t="n">
        <v>0</v>
      </c>
      <c r="J195" t="n">
        <v>0</v>
      </c>
      <c r="K195" t="n">
        <v>0</v>
      </c>
      <c r="L195" t="n">
        <v>0</v>
      </c>
      <c r="M195" t="n">
        <v>0</v>
      </c>
      <c r="N195" t="n">
        <v>0</v>
      </c>
      <c r="O195" t="n">
        <v>0</v>
      </c>
      <c r="P195" t="n">
        <v>0</v>
      </c>
      <c r="Q195" t="n">
        <v>0</v>
      </c>
      <c r="R195" s="2" t="inlineStr"/>
    </row>
    <row r="196" ht="15" customHeight="1">
      <c r="A196" t="inlineStr">
        <is>
          <t>A 48259-2019</t>
        </is>
      </c>
      <c r="B196" s="1" t="n">
        <v>43726</v>
      </c>
      <c r="C196" s="1" t="n">
        <v>45510</v>
      </c>
      <c r="D196" t="inlineStr">
        <is>
          <t>VÄSTERBOTTENS LÄN</t>
        </is>
      </c>
      <c r="E196" t="inlineStr">
        <is>
          <t>VILHELMINA</t>
        </is>
      </c>
      <c r="G196" t="n">
        <v>5.2</v>
      </c>
      <c r="H196" t="n">
        <v>0</v>
      </c>
      <c r="I196" t="n">
        <v>0</v>
      </c>
      <c r="J196" t="n">
        <v>0</v>
      </c>
      <c r="K196" t="n">
        <v>0</v>
      </c>
      <c r="L196" t="n">
        <v>0</v>
      </c>
      <c r="M196" t="n">
        <v>0</v>
      </c>
      <c r="N196" t="n">
        <v>0</v>
      </c>
      <c r="O196" t="n">
        <v>0</v>
      </c>
      <c r="P196" t="n">
        <v>0</v>
      </c>
      <c r="Q196" t="n">
        <v>0</v>
      </c>
      <c r="R196" s="2" t="inlineStr"/>
    </row>
    <row r="197" ht="15" customHeight="1">
      <c r="A197" t="inlineStr">
        <is>
          <t>A 49615-2019</t>
        </is>
      </c>
      <c r="B197" s="1" t="n">
        <v>43728</v>
      </c>
      <c r="C197" s="1" t="n">
        <v>45510</v>
      </c>
      <c r="D197" t="inlineStr">
        <is>
          <t>VÄSTERBOTTENS LÄN</t>
        </is>
      </c>
      <c r="E197" t="inlineStr">
        <is>
          <t>VILHELMINA</t>
        </is>
      </c>
      <c r="G197" t="n">
        <v>0.6</v>
      </c>
      <c r="H197" t="n">
        <v>0</v>
      </c>
      <c r="I197" t="n">
        <v>0</v>
      </c>
      <c r="J197" t="n">
        <v>0</v>
      </c>
      <c r="K197" t="n">
        <v>0</v>
      </c>
      <c r="L197" t="n">
        <v>0</v>
      </c>
      <c r="M197" t="n">
        <v>0</v>
      </c>
      <c r="N197" t="n">
        <v>0</v>
      </c>
      <c r="O197" t="n">
        <v>0</v>
      </c>
      <c r="P197" t="n">
        <v>0</v>
      </c>
      <c r="Q197" t="n">
        <v>0</v>
      </c>
      <c r="R197" s="2" t="inlineStr"/>
    </row>
    <row r="198" ht="15" customHeight="1">
      <c r="A198" t="inlineStr">
        <is>
          <t>A 49254-2019</t>
        </is>
      </c>
      <c r="B198" s="1" t="n">
        <v>43731</v>
      </c>
      <c r="C198" s="1" t="n">
        <v>45510</v>
      </c>
      <c r="D198" t="inlineStr">
        <is>
          <t>VÄSTERBOTTENS LÄN</t>
        </is>
      </c>
      <c r="E198" t="inlineStr">
        <is>
          <t>VILHELMINA</t>
        </is>
      </c>
      <c r="G198" t="n">
        <v>10.9</v>
      </c>
      <c r="H198" t="n">
        <v>0</v>
      </c>
      <c r="I198" t="n">
        <v>0</v>
      </c>
      <c r="J198" t="n">
        <v>0</v>
      </c>
      <c r="K198" t="n">
        <v>0</v>
      </c>
      <c r="L198" t="n">
        <v>0</v>
      </c>
      <c r="M198" t="n">
        <v>0</v>
      </c>
      <c r="N198" t="n">
        <v>0</v>
      </c>
      <c r="O198" t="n">
        <v>0</v>
      </c>
      <c r="P198" t="n">
        <v>0</v>
      </c>
      <c r="Q198" t="n">
        <v>0</v>
      </c>
      <c r="R198" s="2" t="inlineStr"/>
    </row>
    <row r="199" ht="15" customHeight="1">
      <c r="A199" t="inlineStr">
        <is>
          <t>A 50006-2019</t>
        </is>
      </c>
      <c r="B199" s="1" t="n">
        <v>43733</v>
      </c>
      <c r="C199" s="1" t="n">
        <v>45510</v>
      </c>
      <c r="D199" t="inlineStr">
        <is>
          <t>VÄSTERBOTTENS LÄN</t>
        </is>
      </c>
      <c r="E199" t="inlineStr">
        <is>
          <t>VILHELMINA</t>
        </is>
      </c>
      <c r="F199" t="inlineStr">
        <is>
          <t>SCA</t>
        </is>
      </c>
      <c r="G199" t="n">
        <v>12.6</v>
      </c>
      <c r="H199" t="n">
        <v>0</v>
      </c>
      <c r="I199" t="n">
        <v>0</v>
      </c>
      <c r="J199" t="n">
        <v>0</v>
      </c>
      <c r="K199" t="n">
        <v>0</v>
      </c>
      <c r="L199" t="n">
        <v>0</v>
      </c>
      <c r="M199" t="n">
        <v>0</v>
      </c>
      <c r="N199" t="n">
        <v>0</v>
      </c>
      <c r="O199" t="n">
        <v>0</v>
      </c>
      <c r="P199" t="n">
        <v>0</v>
      </c>
      <c r="Q199" t="n">
        <v>0</v>
      </c>
      <c r="R199" s="2" t="inlineStr"/>
    </row>
    <row r="200" ht="15" customHeight="1">
      <c r="A200" t="inlineStr">
        <is>
          <t>A 50009-2019</t>
        </is>
      </c>
      <c r="B200" s="1" t="n">
        <v>43733</v>
      </c>
      <c r="C200" s="1" t="n">
        <v>45510</v>
      </c>
      <c r="D200" t="inlineStr">
        <is>
          <t>VÄSTERBOTTENS LÄN</t>
        </is>
      </c>
      <c r="E200" t="inlineStr">
        <is>
          <t>VILHELMINA</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50008-2019</t>
        </is>
      </c>
      <c r="B201" s="1" t="n">
        <v>43733</v>
      </c>
      <c r="C201" s="1" t="n">
        <v>45510</v>
      </c>
      <c r="D201" t="inlineStr">
        <is>
          <t>VÄSTERBOTTENS LÄN</t>
        </is>
      </c>
      <c r="E201" t="inlineStr">
        <is>
          <t>VILHELMINA</t>
        </is>
      </c>
      <c r="F201" t="inlineStr">
        <is>
          <t>SCA</t>
        </is>
      </c>
      <c r="G201" t="n">
        <v>14.8</v>
      </c>
      <c r="H201" t="n">
        <v>0</v>
      </c>
      <c r="I201" t="n">
        <v>0</v>
      </c>
      <c r="J201" t="n">
        <v>0</v>
      </c>
      <c r="K201" t="n">
        <v>0</v>
      </c>
      <c r="L201" t="n">
        <v>0</v>
      </c>
      <c r="M201" t="n">
        <v>0</v>
      </c>
      <c r="N201" t="n">
        <v>0</v>
      </c>
      <c r="O201" t="n">
        <v>0</v>
      </c>
      <c r="P201" t="n">
        <v>0</v>
      </c>
      <c r="Q201" t="n">
        <v>0</v>
      </c>
      <c r="R201" s="2" t="inlineStr"/>
    </row>
    <row r="202" ht="15" customHeight="1">
      <c r="A202" t="inlineStr">
        <is>
          <t>A 51094-2019</t>
        </is>
      </c>
      <c r="B202" s="1" t="n">
        <v>43739</v>
      </c>
      <c r="C202" s="1" t="n">
        <v>45510</v>
      </c>
      <c r="D202" t="inlineStr">
        <is>
          <t>VÄSTERBOTTENS LÄN</t>
        </is>
      </c>
      <c r="E202" t="inlineStr">
        <is>
          <t>VILHELMINA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51895-2019</t>
        </is>
      </c>
      <c r="B203" s="1" t="n">
        <v>43741</v>
      </c>
      <c r="C203" s="1" t="n">
        <v>45510</v>
      </c>
      <c r="D203" t="inlineStr">
        <is>
          <t>VÄSTERBOTTENS LÄN</t>
        </is>
      </c>
      <c r="E203" t="inlineStr">
        <is>
          <t>VILHELMINA</t>
        </is>
      </c>
      <c r="F203" t="inlineStr">
        <is>
          <t>Allmännings- och besparingsskogar</t>
        </is>
      </c>
      <c r="G203" t="n">
        <v>10.5</v>
      </c>
      <c r="H203" t="n">
        <v>0</v>
      </c>
      <c r="I203" t="n">
        <v>0</v>
      </c>
      <c r="J203" t="n">
        <v>0</v>
      </c>
      <c r="K203" t="n">
        <v>0</v>
      </c>
      <c r="L203" t="n">
        <v>0</v>
      </c>
      <c r="M203" t="n">
        <v>0</v>
      </c>
      <c r="N203" t="n">
        <v>0</v>
      </c>
      <c r="O203" t="n">
        <v>0</v>
      </c>
      <c r="P203" t="n">
        <v>0</v>
      </c>
      <c r="Q203" t="n">
        <v>0</v>
      </c>
      <c r="R203" s="2" t="inlineStr"/>
    </row>
    <row r="204" ht="15" customHeight="1">
      <c r="A204" t="inlineStr">
        <is>
          <t>A 54070-2019</t>
        </is>
      </c>
      <c r="B204" s="1" t="n">
        <v>43746</v>
      </c>
      <c r="C204" s="1" t="n">
        <v>45510</v>
      </c>
      <c r="D204" t="inlineStr">
        <is>
          <t>VÄSTERBOTTENS LÄN</t>
        </is>
      </c>
      <c r="E204" t="inlineStr">
        <is>
          <t>VILHELMINA</t>
        </is>
      </c>
      <c r="G204" t="n">
        <v>2.1</v>
      </c>
      <c r="H204" t="n">
        <v>0</v>
      </c>
      <c r="I204" t="n">
        <v>0</v>
      </c>
      <c r="J204" t="n">
        <v>0</v>
      </c>
      <c r="K204" t="n">
        <v>0</v>
      </c>
      <c r="L204" t="n">
        <v>0</v>
      </c>
      <c r="M204" t="n">
        <v>0</v>
      </c>
      <c r="N204" t="n">
        <v>0</v>
      </c>
      <c r="O204" t="n">
        <v>0</v>
      </c>
      <c r="P204" t="n">
        <v>0</v>
      </c>
      <c r="Q204" t="n">
        <v>0</v>
      </c>
      <c r="R204" s="2" t="inlineStr"/>
    </row>
    <row r="205" ht="15" customHeight="1">
      <c r="A205" t="inlineStr">
        <is>
          <t>A 53750-2019</t>
        </is>
      </c>
      <c r="B205" s="1" t="n">
        <v>43749</v>
      </c>
      <c r="C205" s="1" t="n">
        <v>45510</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53757-2019</t>
        </is>
      </c>
      <c r="B206" s="1" t="n">
        <v>43749</v>
      </c>
      <c r="C206" s="1" t="n">
        <v>45510</v>
      </c>
      <c r="D206" t="inlineStr">
        <is>
          <t>VÄSTERBOTTENS LÄN</t>
        </is>
      </c>
      <c r="E206" t="inlineStr">
        <is>
          <t>VILHELMINA</t>
        </is>
      </c>
      <c r="F206" t="inlineStr">
        <is>
          <t>SCA</t>
        </is>
      </c>
      <c r="G206" t="n">
        <v>12.4</v>
      </c>
      <c r="H206" t="n">
        <v>0</v>
      </c>
      <c r="I206" t="n">
        <v>0</v>
      </c>
      <c r="J206" t="n">
        <v>0</v>
      </c>
      <c r="K206" t="n">
        <v>0</v>
      </c>
      <c r="L206" t="n">
        <v>0</v>
      </c>
      <c r="M206" t="n">
        <v>0</v>
      </c>
      <c r="N206" t="n">
        <v>0</v>
      </c>
      <c r="O206" t="n">
        <v>0</v>
      </c>
      <c r="P206" t="n">
        <v>0</v>
      </c>
      <c r="Q206" t="n">
        <v>0</v>
      </c>
      <c r="R206" s="2" t="inlineStr"/>
    </row>
    <row r="207" ht="15" customHeight="1">
      <c r="A207" t="inlineStr">
        <is>
          <t>A 54184-2019</t>
        </is>
      </c>
      <c r="B207" s="1" t="n">
        <v>43753</v>
      </c>
      <c r="C207" s="1" t="n">
        <v>45510</v>
      </c>
      <c r="D207" t="inlineStr">
        <is>
          <t>VÄSTERBOTTENS LÄN</t>
        </is>
      </c>
      <c r="E207" t="inlineStr">
        <is>
          <t>VILHELMINA</t>
        </is>
      </c>
      <c r="F207" t="inlineStr">
        <is>
          <t>Kommuner</t>
        </is>
      </c>
      <c r="G207" t="n">
        <v>10.6</v>
      </c>
      <c r="H207" t="n">
        <v>0</v>
      </c>
      <c r="I207" t="n">
        <v>0</v>
      </c>
      <c r="J207" t="n">
        <v>0</v>
      </c>
      <c r="K207" t="n">
        <v>0</v>
      </c>
      <c r="L207" t="n">
        <v>0</v>
      </c>
      <c r="M207" t="n">
        <v>0</v>
      </c>
      <c r="N207" t="n">
        <v>0</v>
      </c>
      <c r="O207" t="n">
        <v>0</v>
      </c>
      <c r="P207" t="n">
        <v>0</v>
      </c>
      <c r="Q207" t="n">
        <v>0</v>
      </c>
      <c r="R207" s="2" t="inlineStr"/>
    </row>
    <row r="208" ht="15" customHeight="1">
      <c r="A208" t="inlineStr">
        <is>
          <t>A 54985-2019</t>
        </is>
      </c>
      <c r="B208" s="1" t="n">
        <v>43755</v>
      </c>
      <c r="C208" s="1" t="n">
        <v>45510</v>
      </c>
      <c r="D208" t="inlineStr">
        <is>
          <t>VÄSTERBOTTENS LÄN</t>
        </is>
      </c>
      <c r="E208" t="inlineStr">
        <is>
          <t>VILHELMINA</t>
        </is>
      </c>
      <c r="G208" t="n">
        <v>12.2</v>
      </c>
      <c r="H208" t="n">
        <v>0</v>
      </c>
      <c r="I208" t="n">
        <v>0</v>
      </c>
      <c r="J208" t="n">
        <v>0</v>
      </c>
      <c r="K208" t="n">
        <v>0</v>
      </c>
      <c r="L208" t="n">
        <v>0</v>
      </c>
      <c r="M208" t="n">
        <v>0</v>
      </c>
      <c r="N208" t="n">
        <v>0</v>
      </c>
      <c r="O208" t="n">
        <v>0</v>
      </c>
      <c r="P208" t="n">
        <v>0</v>
      </c>
      <c r="Q208" t="n">
        <v>0</v>
      </c>
      <c r="R208" s="2" t="inlineStr"/>
    </row>
    <row r="209" ht="15" customHeight="1">
      <c r="A209" t="inlineStr">
        <is>
          <t>A 57906-2019</t>
        </is>
      </c>
      <c r="B209" s="1" t="n">
        <v>43762</v>
      </c>
      <c r="C209" s="1" t="n">
        <v>45510</v>
      </c>
      <c r="D209" t="inlineStr">
        <is>
          <t>VÄSTERBOTTENS LÄN</t>
        </is>
      </c>
      <c r="E209" t="inlineStr">
        <is>
          <t>VILHELMINA</t>
        </is>
      </c>
      <c r="F209" t="inlineStr">
        <is>
          <t>Allmännings- och besparingsskogar</t>
        </is>
      </c>
      <c r="G209" t="n">
        <v>5.3</v>
      </c>
      <c r="H209" t="n">
        <v>0</v>
      </c>
      <c r="I209" t="n">
        <v>0</v>
      </c>
      <c r="J209" t="n">
        <v>0</v>
      </c>
      <c r="K209" t="n">
        <v>0</v>
      </c>
      <c r="L209" t="n">
        <v>0</v>
      </c>
      <c r="M209" t="n">
        <v>0</v>
      </c>
      <c r="N209" t="n">
        <v>0</v>
      </c>
      <c r="O209" t="n">
        <v>0</v>
      </c>
      <c r="P209" t="n">
        <v>0</v>
      </c>
      <c r="Q209" t="n">
        <v>0</v>
      </c>
      <c r="R209" s="2" t="inlineStr"/>
    </row>
    <row r="210" ht="15" customHeight="1">
      <c r="A210" t="inlineStr">
        <is>
          <t>A 57940-2019</t>
        </is>
      </c>
      <c r="B210" s="1" t="n">
        <v>43762</v>
      </c>
      <c r="C210" s="1" t="n">
        <v>45510</v>
      </c>
      <c r="D210" t="inlineStr">
        <is>
          <t>VÄSTERBOTTENS LÄN</t>
        </is>
      </c>
      <c r="E210" t="inlineStr">
        <is>
          <t>VILHELMINA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56833-2019</t>
        </is>
      </c>
      <c r="B211" s="1" t="n">
        <v>43765</v>
      </c>
      <c r="C211" s="1" t="n">
        <v>45510</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59021-2019</t>
        </is>
      </c>
      <c r="B212" s="1" t="n">
        <v>43774</v>
      </c>
      <c r="C212" s="1" t="n">
        <v>45510</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58962-2019</t>
        </is>
      </c>
      <c r="B213" s="1" t="n">
        <v>43774</v>
      </c>
      <c r="C213" s="1" t="n">
        <v>45510</v>
      </c>
      <c r="D213" t="inlineStr">
        <is>
          <t>VÄSTERBOTTENS LÄN</t>
        </is>
      </c>
      <c r="E213" t="inlineStr">
        <is>
          <t>VILHELMINA</t>
        </is>
      </c>
      <c r="G213" t="n">
        <v>2.4</v>
      </c>
      <c r="H213" t="n">
        <v>0</v>
      </c>
      <c r="I213" t="n">
        <v>0</v>
      </c>
      <c r="J213" t="n">
        <v>0</v>
      </c>
      <c r="K213" t="n">
        <v>0</v>
      </c>
      <c r="L213" t="n">
        <v>0</v>
      </c>
      <c r="M213" t="n">
        <v>0</v>
      </c>
      <c r="N213" t="n">
        <v>0</v>
      </c>
      <c r="O213" t="n">
        <v>0</v>
      </c>
      <c r="P213" t="n">
        <v>0</v>
      </c>
      <c r="Q213" t="n">
        <v>0</v>
      </c>
      <c r="R213" s="2" t="inlineStr"/>
    </row>
    <row r="214" ht="15" customHeight="1">
      <c r="A214" t="inlineStr">
        <is>
          <t>A 59052-2019</t>
        </is>
      </c>
      <c r="B214" s="1" t="n">
        <v>43774</v>
      </c>
      <c r="C214" s="1" t="n">
        <v>45510</v>
      </c>
      <c r="D214" t="inlineStr">
        <is>
          <t>VÄSTERBOTTENS LÄN</t>
        </is>
      </c>
      <c r="E214" t="inlineStr">
        <is>
          <t>VILHELMINA</t>
        </is>
      </c>
      <c r="G214" t="n">
        <v>0.2</v>
      </c>
      <c r="H214" t="n">
        <v>0</v>
      </c>
      <c r="I214" t="n">
        <v>0</v>
      </c>
      <c r="J214" t="n">
        <v>0</v>
      </c>
      <c r="K214" t="n">
        <v>0</v>
      </c>
      <c r="L214" t="n">
        <v>0</v>
      </c>
      <c r="M214" t="n">
        <v>0</v>
      </c>
      <c r="N214" t="n">
        <v>0</v>
      </c>
      <c r="O214" t="n">
        <v>0</v>
      </c>
      <c r="P214" t="n">
        <v>0</v>
      </c>
      <c r="Q214" t="n">
        <v>0</v>
      </c>
      <c r="R214" s="2" t="inlineStr"/>
    </row>
    <row r="215" ht="15" customHeight="1">
      <c r="A215" t="inlineStr">
        <is>
          <t>A 59165-2019</t>
        </is>
      </c>
      <c r="B215" s="1" t="n">
        <v>43775</v>
      </c>
      <c r="C215" s="1" t="n">
        <v>45510</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63027-2019</t>
        </is>
      </c>
      <c r="B216" s="1" t="n">
        <v>43791</v>
      </c>
      <c r="C216" s="1" t="n">
        <v>45510</v>
      </c>
      <c r="D216" t="inlineStr">
        <is>
          <t>VÄSTERBOTTENS LÄN</t>
        </is>
      </c>
      <c r="E216" t="inlineStr">
        <is>
          <t>VILHELMINA</t>
        </is>
      </c>
      <c r="G216" t="n">
        <v>0.5</v>
      </c>
      <c r="H216" t="n">
        <v>0</v>
      </c>
      <c r="I216" t="n">
        <v>0</v>
      </c>
      <c r="J216" t="n">
        <v>0</v>
      </c>
      <c r="K216" t="n">
        <v>0</v>
      </c>
      <c r="L216" t="n">
        <v>0</v>
      </c>
      <c r="M216" t="n">
        <v>0</v>
      </c>
      <c r="N216" t="n">
        <v>0</v>
      </c>
      <c r="O216" t="n">
        <v>0</v>
      </c>
      <c r="P216" t="n">
        <v>0</v>
      </c>
      <c r="Q216" t="n">
        <v>0</v>
      </c>
      <c r="R216" s="2" t="inlineStr"/>
    </row>
    <row r="217" ht="15" customHeight="1">
      <c r="A217" t="inlineStr">
        <is>
          <t>A 66570-2019</t>
        </is>
      </c>
      <c r="B217" s="1" t="n">
        <v>43803</v>
      </c>
      <c r="C217" s="1" t="n">
        <v>45510</v>
      </c>
      <c r="D217" t="inlineStr">
        <is>
          <t>VÄSTERBOTTENS LÄN</t>
        </is>
      </c>
      <c r="E217" t="inlineStr">
        <is>
          <t>VILHELMINA</t>
        </is>
      </c>
      <c r="G217" t="n">
        <v>3.6</v>
      </c>
      <c r="H217" t="n">
        <v>0</v>
      </c>
      <c r="I217" t="n">
        <v>0</v>
      </c>
      <c r="J217" t="n">
        <v>0</v>
      </c>
      <c r="K217" t="n">
        <v>0</v>
      </c>
      <c r="L217" t="n">
        <v>0</v>
      </c>
      <c r="M217" t="n">
        <v>0</v>
      </c>
      <c r="N217" t="n">
        <v>0</v>
      </c>
      <c r="O217" t="n">
        <v>0</v>
      </c>
      <c r="P217" t="n">
        <v>0</v>
      </c>
      <c r="Q217" t="n">
        <v>0</v>
      </c>
      <c r="R217" s="2" t="inlineStr"/>
    </row>
    <row r="218" ht="15" customHeight="1">
      <c r="A218" t="inlineStr">
        <is>
          <t>A 65885-2019</t>
        </is>
      </c>
      <c r="B218" s="1" t="n">
        <v>43805</v>
      </c>
      <c r="C218" s="1" t="n">
        <v>45510</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66311-2019</t>
        </is>
      </c>
      <c r="B219" s="1" t="n">
        <v>43808</v>
      </c>
      <c r="C219" s="1" t="n">
        <v>45510</v>
      </c>
      <c r="D219" t="inlineStr">
        <is>
          <t>VÄSTERBOTTENS LÄN</t>
        </is>
      </c>
      <c r="E219" t="inlineStr">
        <is>
          <t>VILHELMINA</t>
        </is>
      </c>
      <c r="G219" t="n">
        <v>72.90000000000001</v>
      </c>
      <c r="H219" t="n">
        <v>0</v>
      </c>
      <c r="I219" t="n">
        <v>0</v>
      </c>
      <c r="J219" t="n">
        <v>0</v>
      </c>
      <c r="K219" t="n">
        <v>0</v>
      </c>
      <c r="L219" t="n">
        <v>0</v>
      </c>
      <c r="M219" t="n">
        <v>0</v>
      </c>
      <c r="N219" t="n">
        <v>0</v>
      </c>
      <c r="O219" t="n">
        <v>0</v>
      </c>
      <c r="P219" t="n">
        <v>0</v>
      </c>
      <c r="Q219" t="n">
        <v>0</v>
      </c>
      <c r="R219" s="2" t="inlineStr"/>
    </row>
    <row r="220" ht="15" customHeight="1">
      <c r="A220" t="inlineStr">
        <is>
          <t>A 66720-2019</t>
        </is>
      </c>
      <c r="B220" s="1" t="n">
        <v>43810</v>
      </c>
      <c r="C220" s="1" t="n">
        <v>45510</v>
      </c>
      <c r="D220" t="inlineStr">
        <is>
          <t>VÄSTERBOTTENS LÄN</t>
        </is>
      </c>
      <c r="E220" t="inlineStr">
        <is>
          <t>VILHELMINA</t>
        </is>
      </c>
      <c r="G220" t="n">
        <v>0.5</v>
      </c>
      <c r="H220" t="n">
        <v>0</v>
      </c>
      <c r="I220" t="n">
        <v>0</v>
      </c>
      <c r="J220" t="n">
        <v>0</v>
      </c>
      <c r="K220" t="n">
        <v>0</v>
      </c>
      <c r="L220" t="n">
        <v>0</v>
      </c>
      <c r="M220" t="n">
        <v>0</v>
      </c>
      <c r="N220" t="n">
        <v>0</v>
      </c>
      <c r="O220" t="n">
        <v>0</v>
      </c>
      <c r="P220" t="n">
        <v>0</v>
      </c>
      <c r="Q220" t="n">
        <v>0</v>
      </c>
      <c r="R220" s="2" t="inlineStr"/>
    </row>
    <row r="221" ht="15" customHeight="1">
      <c r="A221" t="inlineStr">
        <is>
          <t>A 67814-2019</t>
        </is>
      </c>
      <c r="B221" s="1" t="n">
        <v>43815</v>
      </c>
      <c r="C221" s="1" t="n">
        <v>45510</v>
      </c>
      <c r="D221" t="inlineStr">
        <is>
          <t>VÄSTERBOTTENS LÄN</t>
        </is>
      </c>
      <c r="E221" t="inlineStr">
        <is>
          <t>VILHELMINA</t>
        </is>
      </c>
      <c r="G221" t="n">
        <v>2.9</v>
      </c>
      <c r="H221" t="n">
        <v>0</v>
      </c>
      <c r="I221" t="n">
        <v>0</v>
      </c>
      <c r="J221" t="n">
        <v>0</v>
      </c>
      <c r="K221" t="n">
        <v>0</v>
      </c>
      <c r="L221" t="n">
        <v>0</v>
      </c>
      <c r="M221" t="n">
        <v>0</v>
      </c>
      <c r="N221" t="n">
        <v>0</v>
      </c>
      <c r="O221" t="n">
        <v>0</v>
      </c>
      <c r="P221" t="n">
        <v>0</v>
      </c>
      <c r="Q221" t="n">
        <v>0</v>
      </c>
      <c r="R221" s="2" t="inlineStr"/>
    </row>
    <row r="222" ht="15" customHeight="1">
      <c r="A222" t="inlineStr">
        <is>
          <t>A 219-2020</t>
        </is>
      </c>
      <c r="B222" s="1" t="n">
        <v>43833</v>
      </c>
      <c r="C222" s="1" t="n">
        <v>45510</v>
      </c>
      <c r="D222" t="inlineStr">
        <is>
          <t>VÄSTERBOTTENS LÄN</t>
        </is>
      </c>
      <c r="E222" t="inlineStr">
        <is>
          <t>VILHELMINA</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217-2020</t>
        </is>
      </c>
      <c r="B223" s="1" t="n">
        <v>43833</v>
      </c>
      <c r="C223" s="1" t="n">
        <v>45510</v>
      </c>
      <c r="D223" t="inlineStr">
        <is>
          <t>VÄSTERBOTTENS LÄN</t>
        </is>
      </c>
      <c r="E223" t="inlineStr">
        <is>
          <t>VILHELMINA</t>
        </is>
      </c>
      <c r="F223" t="inlineStr">
        <is>
          <t>SCA</t>
        </is>
      </c>
      <c r="G223" t="n">
        <v>5.4</v>
      </c>
      <c r="H223" t="n">
        <v>0</v>
      </c>
      <c r="I223" t="n">
        <v>0</v>
      </c>
      <c r="J223" t="n">
        <v>0</v>
      </c>
      <c r="K223" t="n">
        <v>0</v>
      </c>
      <c r="L223" t="n">
        <v>0</v>
      </c>
      <c r="M223" t="n">
        <v>0</v>
      </c>
      <c r="N223" t="n">
        <v>0</v>
      </c>
      <c r="O223" t="n">
        <v>0</v>
      </c>
      <c r="P223" t="n">
        <v>0</v>
      </c>
      <c r="Q223" t="n">
        <v>0</v>
      </c>
      <c r="R223" s="2" t="inlineStr"/>
    </row>
    <row r="224" ht="15" customHeight="1">
      <c r="A224" t="inlineStr">
        <is>
          <t>A 226-2020</t>
        </is>
      </c>
      <c r="B224" s="1" t="n">
        <v>43833</v>
      </c>
      <c r="C224" s="1" t="n">
        <v>45510</v>
      </c>
      <c r="D224" t="inlineStr">
        <is>
          <t>VÄSTERBOTTENS LÄN</t>
        </is>
      </c>
      <c r="E224" t="inlineStr">
        <is>
          <t>VILHELMINA</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300-2020</t>
        </is>
      </c>
      <c r="B225" s="1" t="n">
        <v>43837</v>
      </c>
      <c r="C225" s="1" t="n">
        <v>45510</v>
      </c>
      <c r="D225" t="inlineStr">
        <is>
          <t>VÄSTERBOTTENS LÄN</t>
        </is>
      </c>
      <c r="E225" t="inlineStr">
        <is>
          <t>VILHELMINA</t>
        </is>
      </c>
      <c r="G225" t="n">
        <v>7.6</v>
      </c>
      <c r="H225" t="n">
        <v>0</v>
      </c>
      <c r="I225" t="n">
        <v>0</v>
      </c>
      <c r="J225" t="n">
        <v>0</v>
      </c>
      <c r="K225" t="n">
        <v>0</v>
      </c>
      <c r="L225" t="n">
        <v>0</v>
      </c>
      <c r="M225" t="n">
        <v>0</v>
      </c>
      <c r="N225" t="n">
        <v>0</v>
      </c>
      <c r="O225" t="n">
        <v>0</v>
      </c>
      <c r="P225" t="n">
        <v>0</v>
      </c>
      <c r="Q225" t="n">
        <v>0</v>
      </c>
      <c r="R225" s="2" t="inlineStr"/>
    </row>
    <row r="226" ht="15" customHeight="1">
      <c r="A226" t="inlineStr">
        <is>
          <t>A 1235-2020</t>
        </is>
      </c>
      <c r="B226" s="1" t="n">
        <v>43837</v>
      </c>
      <c r="C226" s="1" t="n">
        <v>45510</v>
      </c>
      <c r="D226" t="inlineStr">
        <is>
          <t>VÄSTERBOTTENS LÄN</t>
        </is>
      </c>
      <c r="E226" t="inlineStr">
        <is>
          <t>VILHELMINA</t>
        </is>
      </c>
      <c r="G226" t="n">
        <v>5</v>
      </c>
      <c r="H226" t="n">
        <v>0</v>
      </c>
      <c r="I226" t="n">
        <v>0</v>
      </c>
      <c r="J226" t="n">
        <v>0</v>
      </c>
      <c r="K226" t="n">
        <v>0</v>
      </c>
      <c r="L226" t="n">
        <v>0</v>
      </c>
      <c r="M226" t="n">
        <v>0</v>
      </c>
      <c r="N226" t="n">
        <v>0</v>
      </c>
      <c r="O226" t="n">
        <v>0</v>
      </c>
      <c r="P226" t="n">
        <v>0</v>
      </c>
      <c r="Q226" t="n">
        <v>0</v>
      </c>
      <c r="R226" s="2" t="inlineStr"/>
    </row>
    <row r="227" ht="15" customHeight="1">
      <c r="A227" t="inlineStr">
        <is>
          <t>A 802-2020</t>
        </is>
      </c>
      <c r="B227" s="1" t="n">
        <v>43838</v>
      </c>
      <c r="C227" s="1" t="n">
        <v>45510</v>
      </c>
      <c r="D227" t="inlineStr">
        <is>
          <t>VÄSTERBOTTENS LÄN</t>
        </is>
      </c>
      <c r="E227" t="inlineStr">
        <is>
          <t>VILHELMINA</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1992-2020</t>
        </is>
      </c>
      <c r="B228" s="1" t="n">
        <v>43838</v>
      </c>
      <c r="C228" s="1" t="n">
        <v>45510</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3074-2020</t>
        </is>
      </c>
      <c r="B229" s="1" t="n">
        <v>43851</v>
      </c>
      <c r="C229" s="1" t="n">
        <v>45510</v>
      </c>
      <c r="D229" t="inlineStr">
        <is>
          <t>VÄSTERBOTTENS LÄN</t>
        </is>
      </c>
      <c r="E229" t="inlineStr">
        <is>
          <t>VILHELMINA</t>
        </is>
      </c>
      <c r="G229" t="n">
        <v>2.3</v>
      </c>
      <c r="H229" t="n">
        <v>0</v>
      </c>
      <c r="I229" t="n">
        <v>0</v>
      </c>
      <c r="J229" t="n">
        <v>0</v>
      </c>
      <c r="K229" t="n">
        <v>0</v>
      </c>
      <c r="L229" t="n">
        <v>0</v>
      </c>
      <c r="M229" t="n">
        <v>0</v>
      </c>
      <c r="N229" t="n">
        <v>0</v>
      </c>
      <c r="O229" t="n">
        <v>0</v>
      </c>
      <c r="P229" t="n">
        <v>0</v>
      </c>
      <c r="Q229" t="n">
        <v>0</v>
      </c>
      <c r="R229" s="2" t="inlineStr"/>
    </row>
    <row r="230" ht="15" customHeight="1">
      <c r="A230" t="inlineStr">
        <is>
          <t>A 3343-2020</t>
        </is>
      </c>
      <c r="B230" s="1" t="n">
        <v>43852</v>
      </c>
      <c r="C230" s="1" t="n">
        <v>45510</v>
      </c>
      <c r="D230" t="inlineStr">
        <is>
          <t>VÄSTERBOTTENS LÄN</t>
        </is>
      </c>
      <c r="E230" t="inlineStr">
        <is>
          <t>VILHELMINA</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5236-2020</t>
        </is>
      </c>
      <c r="B231" s="1" t="n">
        <v>43854</v>
      </c>
      <c r="C231" s="1" t="n">
        <v>45510</v>
      </c>
      <c r="D231" t="inlineStr">
        <is>
          <t>VÄSTERBOTTENS LÄN</t>
        </is>
      </c>
      <c r="E231" t="inlineStr">
        <is>
          <t>VILHELMINA</t>
        </is>
      </c>
      <c r="G231" t="n">
        <v>25</v>
      </c>
      <c r="H231" t="n">
        <v>0</v>
      </c>
      <c r="I231" t="n">
        <v>0</v>
      </c>
      <c r="J231" t="n">
        <v>0</v>
      </c>
      <c r="K231" t="n">
        <v>0</v>
      </c>
      <c r="L231" t="n">
        <v>0</v>
      </c>
      <c r="M231" t="n">
        <v>0</v>
      </c>
      <c r="N231" t="n">
        <v>0</v>
      </c>
      <c r="O231" t="n">
        <v>0</v>
      </c>
      <c r="P231" t="n">
        <v>0</v>
      </c>
      <c r="Q231" t="n">
        <v>0</v>
      </c>
      <c r="R231" s="2" t="inlineStr"/>
    </row>
    <row r="232" ht="15" customHeight="1">
      <c r="A232" t="inlineStr">
        <is>
          <t>A 4586-2020</t>
        </is>
      </c>
      <c r="B232" s="1" t="n">
        <v>43858</v>
      </c>
      <c r="C232" s="1" t="n">
        <v>45510</v>
      </c>
      <c r="D232" t="inlineStr">
        <is>
          <t>VÄSTERBOTTENS LÄN</t>
        </is>
      </c>
      <c r="E232" t="inlineStr">
        <is>
          <t>VILHELMINA</t>
        </is>
      </c>
      <c r="G232" t="n">
        <v>3.4</v>
      </c>
      <c r="H232" t="n">
        <v>0</v>
      </c>
      <c r="I232" t="n">
        <v>0</v>
      </c>
      <c r="J232" t="n">
        <v>0</v>
      </c>
      <c r="K232" t="n">
        <v>0</v>
      </c>
      <c r="L232" t="n">
        <v>0</v>
      </c>
      <c r="M232" t="n">
        <v>0</v>
      </c>
      <c r="N232" t="n">
        <v>0</v>
      </c>
      <c r="O232" t="n">
        <v>0</v>
      </c>
      <c r="P232" t="n">
        <v>0</v>
      </c>
      <c r="Q232" t="n">
        <v>0</v>
      </c>
      <c r="R232" s="2" t="inlineStr"/>
    </row>
    <row r="233" ht="15" customHeight="1">
      <c r="A233" t="inlineStr">
        <is>
          <t>A 5432-2020</t>
        </is>
      </c>
      <c r="B233" s="1" t="n">
        <v>43858</v>
      </c>
      <c r="C233" s="1" t="n">
        <v>45510</v>
      </c>
      <c r="D233" t="inlineStr">
        <is>
          <t>VÄSTERBOTTENS LÄN</t>
        </is>
      </c>
      <c r="E233" t="inlineStr">
        <is>
          <t>VILHELMINA</t>
        </is>
      </c>
      <c r="G233" t="n">
        <v>6.2</v>
      </c>
      <c r="H233" t="n">
        <v>0</v>
      </c>
      <c r="I233" t="n">
        <v>0</v>
      </c>
      <c r="J233" t="n">
        <v>0</v>
      </c>
      <c r="K233" t="n">
        <v>0</v>
      </c>
      <c r="L233" t="n">
        <v>0</v>
      </c>
      <c r="M233" t="n">
        <v>0</v>
      </c>
      <c r="N233" t="n">
        <v>0</v>
      </c>
      <c r="O233" t="n">
        <v>0</v>
      </c>
      <c r="P233" t="n">
        <v>0</v>
      </c>
      <c r="Q233" t="n">
        <v>0</v>
      </c>
      <c r="R233" s="2" t="inlineStr"/>
    </row>
    <row r="234" ht="15" customHeight="1">
      <c r="A234" t="inlineStr">
        <is>
          <t>A 12419-2020</t>
        </is>
      </c>
      <c r="B234" s="1" t="n">
        <v>43896</v>
      </c>
      <c r="C234" s="1" t="n">
        <v>45510</v>
      </c>
      <c r="D234" t="inlineStr">
        <is>
          <t>VÄSTERBOTTENS LÄN</t>
        </is>
      </c>
      <c r="E234" t="inlineStr">
        <is>
          <t>VILHELMINA</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12424-2020</t>
        </is>
      </c>
      <c r="B235" s="1" t="n">
        <v>43896</v>
      </c>
      <c r="C235" s="1" t="n">
        <v>45510</v>
      </c>
      <c r="D235" t="inlineStr">
        <is>
          <t>VÄSTERBOTTENS LÄN</t>
        </is>
      </c>
      <c r="E235" t="inlineStr">
        <is>
          <t>VILHELMINA</t>
        </is>
      </c>
      <c r="F235" t="inlineStr">
        <is>
          <t>Kommuner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12423-2020</t>
        </is>
      </c>
      <c r="B236" s="1" t="n">
        <v>43896</v>
      </c>
      <c r="C236" s="1" t="n">
        <v>45510</v>
      </c>
      <c r="D236" t="inlineStr">
        <is>
          <t>VÄSTERBOTTENS LÄN</t>
        </is>
      </c>
      <c r="E236" t="inlineStr">
        <is>
          <t>VILHELMINA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12451-2020</t>
        </is>
      </c>
      <c r="B237" s="1" t="n">
        <v>43896</v>
      </c>
      <c r="C237" s="1" t="n">
        <v>45510</v>
      </c>
      <c r="D237" t="inlineStr">
        <is>
          <t>VÄSTERBOTTENS LÄN</t>
        </is>
      </c>
      <c r="E237" t="inlineStr">
        <is>
          <t>VILHELMINA</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14738-2020</t>
        </is>
      </c>
      <c r="B238" s="1" t="n">
        <v>43909</v>
      </c>
      <c r="C238" s="1" t="n">
        <v>45510</v>
      </c>
      <c r="D238" t="inlineStr">
        <is>
          <t>VÄSTERBOTTENS LÄN</t>
        </is>
      </c>
      <c r="E238" t="inlineStr">
        <is>
          <t>VILHELMINA</t>
        </is>
      </c>
      <c r="G238" t="n">
        <v>3.9</v>
      </c>
      <c r="H238" t="n">
        <v>0</v>
      </c>
      <c r="I238" t="n">
        <v>0</v>
      </c>
      <c r="J238" t="n">
        <v>0</v>
      </c>
      <c r="K238" t="n">
        <v>0</v>
      </c>
      <c r="L238" t="n">
        <v>0</v>
      </c>
      <c r="M238" t="n">
        <v>0</v>
      </c>
      <c r="N238" t="n">
        <v>0</v>
      </c>
      <c r="O238" t="n">
        <v>0</v>
      </c>
      <c r="P238" t="n">
        <v>0</v>
      </c>
      <c r="Q238" t="n">
        <v>0</v>
      </c>
      <c r="R238" s="2" t="inlineStr"/>
    </row>
    <row r="239" ht="15" customHeight="1">
      <c r="A239" t="inlineStr">
        <is>
          <t>A 15113-2020</t>
        </is>
      </c>
      <c r="B239" s="1" t="n">
        <v>43910</v>
      </c>
      <c r="C239" s="1" t="n">
        <v>45510</v>
      </c>
      <c r="D239" t="inlineStr">
        <is>
          <t>VÄSTERBOTTENS LÄN</t>
        </is>
      </c>
      <c r="E239" t="inlineStr">
        <is>
          <t>VILHELMINA</t>
        </is>
      </c>
      <c r="G239" t="n">
        <v>9.5</v>
      </c>
      <c r="H239" t="n">
        <v>0</v>
      </c>
      <c r="I239" t="n">
        <v>0</v>
      </c>
      <c r="J239" t="n">
        <v>0</v>
      </c>
      <c r="K239" t="n">
        <v>0</v>
      </c>
      <c r="L239" t="n">
        <v>0</v>
      </c>
      <c r="M239" t="n">
        <v>0</v>
      </c>
      <c r="N239" t="n">
        <v>0</v>
      </c>
      <c r="O239" t="n">
        <v>0</v>
      </c>
      <c r="P239" t="n">
        <v>0</v>
      </c>
      <c r="Q239" t="n">
        <v>0</v>
      </c>
      <c r="R239" s="2" t="inlineStr"/>
    </row>
    <row r="240" ht="15" customHeight="1">
      <c r="A240" t="inlineStr">
        <is>
          <t>A 15400-2020</t>
        </is>
      </c>
      <c r="B240" s="1" t="n">
        <v>43913</v>
      </c>
      <c r="C240" s="1" t="n">
        <v>45510</v>
      </c>
      <c r="D240" t="inlineStr">
        <is>
          <t>VÄSTERBOTTENS LÄN</t>
        </is>
      </c>
      <c r="E240" t="inlineStr">
        <is>
          <t>VILHELMINA</t>
        </is>
      </c>
      <c r="F240" t="inlineStr">
        <is>
          <t>SCA</t>
        </is>
      </c>
      <c r="G240" t="n">
        <v>11.7</v>
      </c>
      <c r="H240" t="n">
        <v>0</v>
      </c>
      <c r="I240" t="n">
        <v>0</v>
      </c>
      <c r="J240" t="n">
        <v>0</v>
      </c>
      <c r="K240" t="n">
        <v>0</v>
      </c>
      <c r="L240" t="n">
        <v>0</v>
      </c>
      <c r="M240" t="n">
        <v>0</v>
      </c>
      <c r="N240" t="n">
        <v>0</v>
      </c>
      <c r="O240" t="n">
        <v>0</v>
      </c>
      <c r="P240" t="n">
        <v>0</v>
      </c>
      <c r="Q240" t="n">
        <v>0</v>
      </c>
      <c r="R240" s="2" t="inlineStr"/>
    </row>
    <row r="241" ht="15" customHeight="1">
      <c r="A241" t="inlineStr">
        <is>
          <t>A 15410-2020</t>
        </is>
      </c>
      <c r="B241" s="1" t="n">
        <v>43913</v>
      </c>
      <c r="C241" s="1" t="n">
        <v>45510</v>
      </c>
      <c r="D241" t="inlineStr">
        <is>
          <t>VÄSTERBOTTENS LÄN</t>
        </is>
      </c>
      <c r="E241" t="inlineStr">
        <is>
          <t>VILHELMINA</t>
        </is>
      </c>
      <c r="F241" t="inlineStr">
        <is>
          <t>SCA</t>
        </is>
      </c>
      <c r="G241" t="n">
        <v>7.4</v>
      </c>
      <c r="H241" t="n">
        <v>0</v>
      </c>
      <c r="I241" t="n">
        <v>0</v>
      </c>
      <c r="J241" t="n">
        <v>0</v>
      </c>
      <c r="K241" t="n">
        <v>0</v>
      </c>
      <c r="L241" t="n">
        <v>0</v>
      </c>
      <c r="M241" t="n">
        <v>0</v>
      </c>
      <c r="N241" t="n">
        <v>0</v>
      </c>
      <c r="O241" t="n">
        <v>0</v>
      </c>
      <c r="P241" t="n">
        <v>0</v>
      </c>
      <c r="Q241" t="n">
        <v>0</v>
      </c>
      <c r="R241" s="2" t="inlineStr"/>
    </row>
    <row r="242" ht="15" customHeight="1">
      <c r="A242" t="inlineStr">
        <is>
          <t>A 15399-2020</t>
        </is>
      </c>
      <c r="B242" s="1" t="n">
        <v>43913</v>
      </c>
      <c r="C242" s="1" t="n">
        <v>45510</v>
      </c>
      <c r="D242" t="inlineStr">
        <is>
          <t>VÄSTERBOTTENS LÄN</t>
        </is>
      </c>
      <c r="E242" t="inlineStr">
        <is>
          <t>VILHELMINA</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15407-2020</t>
        </is>
      </c>
      <c r="B243" s="1" t="n">
        <v>43913</v>
      </c>
      <c r="C243" s="1" t="n">
        <v>45510</v>
      </c>
      <c r="D243" t="inlineStr">
        <is>
          <t>VÄSTERBOTTENS LÄN</t>
        </is>
      </c>
      <c r="E243" t="inlineStr">
        <is>
          <t>VILHELMINA</t>
        </is>
      </c>
      <c r="F243" t="inlineStr">
        <is>
          <t>SCA</t>
        </is>
      </c>
      <c r="G243" t="n">
        <v>3.4</v>
      </c>
      <c r="H243" t="n">
        <v>0</v>
      </c>
      <c r="I243" t="n">
        <v>0</v>
      </c>
      <c r="J243" t="n">
        <v>0</v>
      </c>
      <c r="K243" t="n">
        <v>0</v>
      </c>
      <c r="L243" t="n">
        <v>0</v>
      </c>
      <c r="M243" t="n">
        <v>0</v>
      </c>
      <c r="N243" t="n">
        <v>0</v>
      </c>
      <c r="O243" t="n">
        <v>0</v>
      </c>
      <c r="P243" t="n">
        <v>0</v>
      </c>
      <c r="Q243" t="n">
        <v>0</v>
      </c>
      <c r="R243" s="2" t="inlineStr"/>
    </row>
    <row r="244" ht="15" customHeight="1">
      <c r="A244" t="inlineStr">
        <is>
          <t>A 15413-2020</t>
        </is>
      </c>
      <c r="B244" s="1" t="n">
        <v>43913</v>
      </c>
      <c r="C244" s="1" t="n">
        <v>45510</v>
      </c>
      <c r="D244" t="inlineStr">
        <is>
          <t>VÄSTERBOTTENS LÄN</t>
        </is>
      </c>
      <c r="E244" t="inlineStr">
        <is>
          <t>VILHELMINA</t>
        </is>
      </c>
      <c r="F244" t="inlineStr">
        <is>
          <t>SCA</t>
        </is>
      </c>
      <c r="G244" t="n">
        <v>12.1</v>
      </c>
      <c r="H244" t="n">
        <v>0</v>
      </c>
      <c r="I244" t="n">
        <v>0</v>
      </c>
      <c r="J244" t="n">
        <v>0</v>
      </c>
      <c r="K244" t="n">
        <v>0</v>
      </c>
      <c r="L244" t="n">
        <v>0</v>
      </c>
      <c r="M244" t="n">
        <v>0</v>
      </c>
      <c r="N244" t="n">
        <v>0</v>
      </c>
      <c r="O244" t="n">
        <v>0</v>
      </c>
      <c r="P244" t="n">
        <v>0</v>
      </c>
      <c r="Q244" t="n">
        <v>0</v>
      </c>
      <c r="R244" s="2" t="inlineStr"/>
    </row>
    <row r="245" ht="15" customHeight="1">
      <c r="A245" t="inlineStr">
        <is>
          <t>A 15409-2020</t>
        </is>
      </c>
      <c r="B245" s="1" t="n">
        <v>43913</v>
      </c>
      <c r="C245" s="1" t="n">
        <v>45510</v>
      </c>
      <c r="D245" t="inlineStr">
        <is>
          <t>VÄSTERBOTTENS LÄN</t>
        </is>
      </c>
      <c r="E245" t="inlineStr">
        <is>
          <t>VILHELMINA</t>
        </is>
      </c>
      <c r="F245" t="inlineStr">
        <is>
          <t>SCA</t>
        </is>
      </c>
      <c r="G245" t="n">
        <v>11.1</v>
      </c>
      <c r="H245" t="n">
        <v>0</v>
      </c>
      <c r="I245" t="n">
        <v>0</v>
      </c>
      <c r="J245" t="n">
        <v>0</v>
      </c>
      <c r="K245" t="n">
        <v>0</v>
      </c>
      <c r="L245" t="n">
        <v>0</v>
      </c>
      <c r="M245" t="n">
        <v>0</v>
      </c>
      <c r="N245" t="n">
        <v>0</v>
      </c>
      <c r="O245" t="n">
        <v>0</v>
      </c>
      <c r="P245" t="n">
        <v>0</v>
      </c>
      <c r="Q245" t="n">
        <v>0</v>
      </c>
      <c r="R245" s="2" t="inlineStr"/>
    </row>
    <row r="246" ht="15" customHeight="1">
      <c r="A246" t="inlineStr">
        <is>
          <t>A 15411-2020</t>
        </is>
      </c>
      <c r="B246" s="1" t="n">
        <v>43913</v>
      </c>
      <c r="C246" s="1" t="n">
        <v>45510</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17110-2020</t>
        </is>
      </c>
      <c r="B247" s="1" t="n">
        <v>43913</v>
      </c>
      <c r="C247" s="1" t="n">
        <v>45510</v>
      </c>
      <c r="D247" t="inlineStr">
        <is>
          <t>VÄSTERBOTTENS LÄN</t>
        </is>
      </c>
      <c r="E247" t="inlineStr">
        <is>
          <t>VILHELMINA</t>
        </is>
      </c>
      <c r="G247" t="n">
        <v>15.1</v>
      </c>
      <c r="H247" t="n">
        <v>0</v>
      </c>
      <c r="I247" t="n">
        <v>0</v>
      </c>
      <c r="J247" t="n">
        <v>0</v>
      </c>
      <c r="K247" t="n">
        <v>0</v>
      </c>
      <c r="L247" t="n">
        <v>0</v>
      </c>
      <c r="M247" t="n">
        <v>0</v>
      </c>
      <c r="N247" t="n">
        <v>0</v>
      </c>
      <c r="O247" t="n">
        <v>0</v>
      </c>
      <c r="P247" t="n">
        <v>0</v>
      </c>
      <c r="Q247" t="n">
        <v>0</v>
      </c>
      <c r="R247" s="2" t="inlineStr"/>
    </row>
    <row r="248" ht="15" customHeight="1">
      <c r="A248" t="inlineStr">
        <is>
          <t>A 17115-2020</t>
        </is>
      </c>
      <c r="B248" s="1" t="n">
        <v>43913</v>
      </c>
      <c r="C248" s="1" t="n">
        <v>45510</v>
      </c>
      <c r="D248" t="inlineStr">
        <is>
          <t>VÄSTERBOTTENS LÄN</t>
        </is>
      </c>
      <c r="E248" t="inlineStr">
        <is>
          <t>VILHELMINA</t>
        </is>
      </c>
      <c r="G248" t="n">
        <v>19.8</v>
      </c>
      <c r="H248" t="n">
        <v>0</v>
      </c>
      <c r="I248" t="n">
        <v>0</v>
      </c>
      <c r="J248" t="n">
        <v>0</v>
      </c>
      <c r="K248" t="n">
        <v>0</v>
      </c>
      <c r="L248" t="n">
        <v>0</v>
      </c>
      <c r="M248" t="n">
        <v>0</v>
      </c>
      <c r="N248" t="n">
        <v>0</v>
      </c>
      <c r="O248" t="n">
        <v>0</v>
      </c>
      <c r="P248" t="n">
        <v>0</v>
      </c>
      <c r="Q248" t="n">
        <v>0</v>
      </c>
      <c r="R248" s="2" t="inlineStr"/>
    </row>
    <row r="249" ht="15" customHeight="1">
      <c r="A249" t="inlineStr">
        <is>
          <t>A 15489-2020</t>
        </is>
      </c>
      <c r="B249" s="1" t="n">
        <v>43914</v>
      </c>
      <c r="C249" s="1" t="n">
        <v>45510</v>
      </c>
      <c r="D249" t="inlineStr">
        <is>
          <t>VÄSTERBOTTENS LÄN</t>
        </is>
      </c>
      <c r="E249" t="inlineStr">
        <is>
          <t>VILHELMINA</t>
        </is>
      </c>
      <c r="G249" t="n">
        <v>2.5</v>
      </c>
      <c r="H249" t="n">
        <v>0</v>
      </c>
      <c r="I249" t="n">
        <v>0</v>
      </c>
      <c r="J249" t="n">
        <v>0</v>
      </c>
      <c r="K249" t="n">
        <v>0</v>
      </c>
      <c r="L249" t="n">
        <v>0</v>
      </c>
      <c r="M249" t="n">
        <v>0</v>
      </c>
      <c r="N249" t="n">
        <v>0</v>
      </c>
      <c r="O249" t="n">
        <v>0</v>
      </c>
      <c r="P249" t="n">
        <v>0</v>
      </c>
      <c r="Q249" t="n">
        <v>0</v>
      </c>
      <c r="R249" s="2" t="inlineStr"/>
    </row>
    <row r="250" ht="15" customHeight="1">
      <c r="A250" t="inlineStr">
        <is>
          <t>A 15897-2020</t>
        </is>
      </c>
      <c r="B250" s="1" t="n">
        <v>43915</v>
      </c>
      <c r="C250" s="1" t="n">
        <v>45510</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15692-2020</t>
        </is>
      </c>
      <c r="B251" s="1" t="n">
        <v>43915</v>
      </c>
      <c r="C251" s="1" t="n">
        <v>45510</v>
      </c>
      <c r="D251" t="inlineStr">
        <is>
          <t>VÄSTERBOTTENS LÄN</t>
        </is>
      </c>
      <c r="E251" t="inlineStr">
        <is>
          <t>VILHELMINA</t>
        </is>
      </c>
      <c r="G251" t="n">
        <v>4.5</v>
      </c>
      <c r="H251" t="n">
        <v>0</v>
      </c>
      <c r="I251" t="n">
        <v>0</v>
      </c>
      <c r="J251" t="n">
        <v>0</v>
      </c>
      <c r="K251" t="n">
        <v>0</v>
      </c>
      <c r="L251" t="n">
        <v>0</v>
      </c>
      <c r="M251" t="n">
        <v>0</v>
      </c>
      <c r="N251" t="n">
        <v>0</v>
      </c>
      <c r="O251" t="n">
        <v>0</v>
      </c>
      <c r="P251" t="n">
        <v>0</v>
      </c>
      <c r="Q251" t="n">
        <v>0</v>
      </c>
      <c r="R251" s="2" t="inlineStr"/>
    </row>
    <row r="252" ht="15" customHeight="1">
      <c r="A252" t="inlineStr">
        <is>
          <t>A 15750-2020</t>
        </is>
      </c>
      <c r="B252" s="1" t="n">
        <v>43915</v>
      </c>
      <c r="C252" s="1" t="n">
        <v>45510</v>
      </c>
      <c r="D252" t="inlineStr">
        <is>
          <t>VÄSTERBOTTENS LÄN</t>
        </is>
      </c>
      <c r="E252" t="inlineStr">
        <is>
          <t>VILHELMINA</t>
        </is>
      </c>
      <c r="G252" t="n">
        <v>4.8</v>
      </c>
      <c r="H252" t="n">
        <v>0</v>
      </c>
      <c r="I252" t="n">
        <v>0</v>
      </c>
      <c r="J252" t="n">
        <v>0</v>
      </c>
      <c r="K252" t="n">
        <v>0</v>
      </c>
      <c r="L252" t="n">
        <v>0</v>
      </c>
      <c r="M252" t="n">
        <v>0</v>
      </c>
      <c r="N252" t="n">
        <v>0</v>
      </c>
      <c r="O252" t="n">
        <v>0</v>
      </c>
      <c r="P252" t="n">
        <v>0</v>
      </c>
      <c r="Q252" t="n">
        <v>0</v>
      </c>
      <c r="R252" s="2" t="inlineStr"/>
    </row>
    <row r="253" ht="15" customHeight="1">
      <c r="A253" t="inlineStr">
        <is>
          <t>A 15695-2020</t>
        </is>
      </c>
      <c r="B253" s="1" t="n">
        <v>43915</v>
      </c>
      <c r="C253" s="1" t="n">
        <v>45510</v>
      </c>
      <c r="D253" t="inlineStr">
        <is>
          <t>VÄSTERBOTTENS LÄN</t>
        </is>
      </c>
      <c r="E253" t="inlineStr">
        <is>
          <t>VILHELMINA</t>
        </is>
      </c>
      <c r="G253" t="n">
        <v>2.2</v>
      </c>
      <c r="H253" t="n">
        <v>0</v>
      </c>
      <c r="I253" t="n">
        <v>0</v>
      </c>
      <c r="J253" t="n">
        <v>0</v>
      </c>
      <c r="K253" t="n">
        <v>0</v>
      </c>
      <c r="L253" t="n">
        <v>0</v>
      </c>
      <c r="M253" t="n">
        <v>0</v>
      </c>
      <c r="N253" t="n">
        <v>0</v>
      </c>
      <c r="O253" t="n">
        <v>0</v>
      </c>
      <c r="P253" t="n">
        <v>0</v>
      </c>
      <c r="Q253" t="n">
        <v>0</v>
      </c>
      <c r="R253" s="2" t="inlineStr"/>
    </row>
    <row r="254" ht="15" customHeight="1">
      <c r="A254" t="inlineStr">
        <is>
          <t>A 17522-2020</t>
        </is>
      </c>
      <c r="B254" s="1" t="n">
        <v>43923</v>
      </c>
      <c r="C254" s="1" t="n">
        <v>45510</v>
      </c>
      <c r="D254" t="inlineStr">
        <is>
          <t>VÄSTERBOTTENS LÄN</t>
        </is>
      </c>
      <c r="E254" t="inlineStr">
        <is>
          <t>VILHELMINA</t>
        </is>
      </c>
      <c r="G254" t="n">
        <v>1.1</v>
      </c>
      <c r="H254" t="n">
        <v>0</v>
      </c>
      <c r="I254" t="n">
        <v>0</v>
      </c>
      <c r="J254" t="n">
        <v>0</v>
      </c>
      <c r="K254" t="n">
        <v>0</v>
      </c>
      <c r="L254" t="n">
        <v>0</v>
      </c>
      <c r="M254" t="n">
        <v>0</v>
      </c>
      <c r="N254" t="n">
        <v>0</v>
      </c>
      <c r="O254" t="n">
        <v>0</v>
      </c>
      <c r="P254" t="n">
        <v>0</v>
      </c>
      <c r="Q254" t="n">
        <v>0</v>
      </c>
      <c r="R254" s="2" t="inlineStr"/>
    </row>
    <row r="255" ht="15" customHeight="1">
      <c r="A255" t="inlineStr">
        <is>
          <t>A 17619-2020</t>
        </is>
      </c>
      <c r="B255" s="1" t="n">
        <v>43923</v>
      </c>
      <c r="C255" s="1" t="n">
        <v>45510</v>
      </c>
      <c r="D255" t="inlineStr">
        <is>
          <t>VÄSTERBOTTENS LÄN</t>
        </is>
      </c>
      <c r="E255" t="inlineStr">
        <is>
          <t>VILHELMINA</t>
        </is>
      </c>
      <c r="G255" t="n">
        <v>5.5</v>
      </c>
      <c r="H255" t="n">
        <v>0</v>
      </c>
      <c r="I255" t="n">
        <v>0</v>
      </c>
      <c r="J255" t="n">
        <v>0</v>
      </c>
      <c r="K255" t="n">
        <v>0</v>
      </c>
      <c r="L255" t="n">
        <v>0</v>
      </c>
      <c r="M255" t="n">
        <v>0</v>
      </c>
      <c r="N255" t="n">
        <v>0</v>
      </c>
      <c r="O255" t="n">
        <v>0</v>
      </c>
      <c r="P255" t="n">
        <v>0</v>
      </c>
      <c r="Q255" t="n">
        <v>0</v>
      </c>
      <c r="R255" s="2" t="inlineStr"/>
    </row>
    <row r="256" ht="15" customHeight="1">
      <c r="A256" t="inlineStr">
        <is>
          <t>A 17789-2020</t>
        </is>
      </c>
      <c r="B256" s="1" t="n">
        <v>43923</v>
      </c>
      <c r="C256" s="1" t="n">
        <v>45510</v>
      </c>
      <c r="D256" t="inlineStr">
        <is>
          <t>VÄSTERBOTTENS LÄN</t>
        </is>
      </c>
      <c r="E256" t="inlineStr">
        <is>
          <t>VILHELMINA</t>
        </is>
      </c>
      <c r="F256" t="inlineStr">
        <is>
          <t>Allmännings- och besparingsskogar</t>
        </is>
      </c>
      <c r="G256" t="n">
        <v>1.4</v>
      </c>
      <c r="H256" t="n">
        <v>0</v>
      </c>
      <c r="I256" t="n">
        <v>0</v>
      </c>
      <c r="J256" t="n">
        <v>0</v>
      </c>
      <c r="K256" t="n">
        <v>0</v>
      </c>
      <c r="L256" t="n">
        <v>0</v>
      </c>
      <c r="M256" t="n">
        <v>0</v>
      </c>
      <c r="N256" t="n">
        <v>0</v>
      </c>
      <c r="O256" t="n">
        <v>0</v>
      </c>
      <c r="P256" t="n">
        <v>0</v>
      </c>
      <c r="Q256" t="n">
        <v>0</v>
      </c>
      <c r="R256" s="2" t="inlineStr"/>
    </row>
    <row r="257" ht="15" customHeight="1">
      <c r="A257" t="inlineStr">
        <is>
          <t>A 18165-2020</t>
        </is>
      </c>
      <c r="B257" s="1" t="n">
        <v>43927</v>
      </c>
      <c r="C257" s="1" t="n">
        <v>45510</v>
      </c>
      <c r="D257" t="inlineStr">
        <is>
          <t>VÄSTERBOTTENS LÄN</t>
        </is>
      </c>
      <c r="E257" t="inlineStr">
        <is>
          <t>VILHELMINA</t>
        </is>
      </c>
      <c r="F257" t="inlineStr">
        <is>
          <t>Kommuner</t>
        </is>
      </c>
      <c r="G257" t="n">
        <v>3.6</v>
      </c>
      <c r="H257" t="n">
        <v>0</v>
      </c>
      <c r="I257" t="n">
        <v>0</v>
      </c>
      <c r="J257" t="n">
        <v>0</v>
      </c>
      <c r="K257" t="n">
        <v>0</v>
      </c>
      <c r="L257" t="n">
        <v>0</v>
      </c>
      <c r="M257" t="n">
        <v>0</v>
      </c>
      <c r="N257" t="n">
        <v>0</v>
      </c>
      <c r="O257" t="n">
        <v>0</v>
      </c>
      <c r="P257" t="n">
        <v>0</v>
      </c>
      <c r="Q257" t="n">
        <v>0</v>
      </c>
      <c r="R257" s="2" t="inlineStr"/>
    </row>
    <row r="258" ht="15" customHeight="1">
      <c r="A258" t="inlineStr">
        <is>
          <t>A 19009-2020</t>
        </is>
      </c>
      <c r="B258" s="1" t="n">
        <v>43935</v>
      </c>
      <c r="C258" s="1" t="n">
        <v>45510</v>
      </c>
      <c r="D258" t="inlineStr">
        <is>
          <t>VÄSTERBOTTENS LÄN</t>
        </is>
      </c>
      <c r="E258" t="inlineStr">
        <is>
          <t>VILHELMINA</t>
        </is>
      </c>
      <c r="G258" t="n">
        <v>1.5</v>
      </c>
      <c r="H258" t="n">
        <v>0</v>
      </c>
      <c r="I258" t="n">
        <v>0</v>
      </c>
      <c r="J258" t="n">
        <v>0</v>
      </c>
      <c r="K258" t="n">
        <v>0</v>
      </c>
      <c r="L258" t="n">
        <v>0</v>
      </c>
      <c r="M258" t="n">
        <v>0</v>
      </c>
      <c r="N258" t="n">
        <v>0</v>
      </c>
      <c r="O258" t="n">
        <v>0</v>
      </c>
      <c r="P258" t="n">
        <v>0</v>
      </c>
      <c r="Q258" t="n">
        <v>0</v>
      </c>
      <c r="R258" s="2" t="inlineStr"/>
    </row>
    <row r="259" ht="15" customHeight="1">
      <c r="A259" t="inlineStr">
        <is>
          <t>A 20187-2020</t>
        </is>
      </c>
      <c r="B259" s="1" t="n">
        <v>43944</v>
      </c>
      <c r="C259" s="1" t="n">
        <v>45510</v>
      </c>
      <c r="D259" t="inlineStr">
        <is>
          <t>VÄSTERBOTTENS LÄN</t>
        </is>
      </c>
      <c r="E259" t="inlineStr">
        <is>
          <t>VILHELMINA</t>
        </is>
      </c>
      <c r="G259" t="n">
        <v>0.7</v>
      </c>
      <c r="H259" t="n">
        <v>0</v>
      </c>
      <c r="I259" t="n">
        <v>0</v>
      </c>
      <c r="J259" t="n">
        <v>0</v>
      </c>
      <c r="K259" t="n">
        <v>0</v>
      </c>
      <c r="L259" t="n">
        <v>0</v>
      </c>
      <c r="M259" t="n">
        <v>0</v>
      </c>
      <c r="N259" t="n">
        <v>0</v>
      </c>
      <c r="O259" t="n">
        <v>0</v>
      </c>
      <c r="P259" t="n">
        <v>0</v>
      </c>
      <c r="Q259" t="n">
        <v>0</v>
      </c>
      <c r="R259" s="2" t="inlineStr"/>
    </row>
    <row r="260" ht="15" customHeight="1">
      <c r="A260" t="inlineStr">
        <is>
          <t>A 20420-2020</t>
        </is>
      </c>
      <c r="B260" s="1" t="n">
        <v>43945</v>
      </c>
      <c r="C260" s="1" t="n">
        <v>45510</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22789-2020</t>
        </is>
      </c>
      <c r="B261" s="1" t="n">
        <v>43964</v>
      </c>
      <c r="C261" s="1" t="n">
        <v>45510</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22791-2020</t>
        </is>
      </c>
      <c r="B262" s="1" t="n">
        <v>43964</v>
      </c>
      <c r="C262" s="1" t="n">
        <v>45510</v>
      </c>
      <c r="D262" t="inlineStr">
        <is>
          <t>VÄSTERBOTTENS LÄN</t>
        </is>
      </c>
      <c r="E262" t="inlineStr">
        <is>
          <t>VILHELMINA</t>
        </is>
      </c>
      <c r="G262" t="n">
        <v>1.3</v>
      </c>
      <c r="H262" t="n">
        <v>0</v>
      </c>
      <c r="I262" t="n">
        <v>0</v>
      </c>
      <c r="J262" t="n">
        <v>0</v>
      </c>
      <c r="K262" t="n">
        <v>0</v>
      </c>
      <c r="L262" t="n">
        <v>0</v>
      </c>
      <c r="M262" t="n">
        <v>0</v>
      </c>
      <c r="N262" t="n">
        <v>0</v>
      </c>
      <c r="O262" t="n">
        <v>0</v>
      </c>
      <c r="P262" t="n">
        <v>0</v>
      </c>
      <c r="Q262" t="n">
        <v>0</v>
      </c>
      <c r="R262" s="2" t="inlineStr"/>
    </row>
    <row r="263" ht="15" customHeight="1">
      <c r="A263" t="inlineStr">
        <is>
          <t>A 23168-2020</t>
        </is>
      </c>
      <c r="B263" s="1" t="n">
        <v>43966</v>
      </c>
      <c r="C263" s="1" t="n">
        <v>45510</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23175-2020</t>
        </is>
      </c>
      <c r="B264" s="1" t="n">
        <v>43966</v>
      </c>
      <c r="C264" s="1" t="n">
        <v>45510</v>
      </c>
      <c r="D264" t="inlineStr">
        <is>
          <t>VÄSTERBOTTENS LÄN</t>
        </is>
      </c>
      <c r="E264" t="inlineStr">
        <is>
          <t>VILHELMINA</t>
        </is>
      </c>
      <c r="F264" t="inlineStr">
        <is>
          <t>Övriga Aktiebolag</t>
        </is>
      </c>
      <c r="G264" t="n">
        <v>1.6</v>
      </c>
      <c r="H264" t="n">
        <v>0</v>
      </c>
      <c r="I264" t="n">
        <v>0</v>
      </c>
      <c r="J264" t="n">
        <v>0</v>
      </c>
      <c r="K264" t="n">
        <v>0</v>
      </c>
      <c r="L264" t="n">
        <v>0</v>
      </c>
      <c r="M264" t="n">
        <v>0</v>
      </c>
      <c r="N264" t="n">
        <v>0</v>
      </c>
      <c r="O264" t="n">
        <v>0</v>
      </c>
      <c r="P264" t="n">
        <v>0</v>
      </c>
      <c r="Q264" t="n">
        <v>0</v>
      </c>
      <c r="R264" s="2" t="inlineStr"/>
    </row>
    <row r="265" ht="15" customHeight="1">
      <c r="A265" t="inlineStr">
        <is>
          <t>A 24985-2020</t>
        </is>
      </c>
      <c r="B265" s="1" t="n">
        <v>43977</v>
      </c>
      <c r="C265" s="1" t="n">
        <v>45510</v>
      </c>
      <c r="D265" t="inlineStr">
        <is>
          <t>VÄSTERBOTTENS LÄN</t>
        </is>
      </c>
      <c r="E265" t="inlineStr">
        <is>
          <t>VILHELMINA</t>
        </is>
      </c>
      <c r="F265" t="inlineStr">
        <is>
          <t>Övriga statliga verk och myndigheter</t>
        </is>
      </c>
      <c r="G265" t="n">
        <v>16</v>
      </c>
      <c r="H265" t="n">
        <v>0</v>
      </c>
      <c r="I265" t="n">
        <v>0</v>
      </c>
      <c r="J265" t="n">
        <v>0</v>
      </c>
      <c r="K265" t="n">
        <v>0</v>
      </c>
      <c r="L265" t="n">
        <v>0</v>
      </c>
      <c r="M265" t="n">
        <v>0</v>
      </c>
      <c r="N265" t="n">
        <v>0</v>
      </c>
      <c r="O265" t="n">
        <v>0</v>
      </c>
      <c r="P265" t="n">
        <v>0</v>
      </c>
      <c r="Q265" t="n">
        <v>0</v>
      </c>
      <c r="R265" s="2" t="inlineStr"/>
    </row>
    <row r="266" ht="15" customHeight="1">
      <c r="A266" t="inlineStr">
        <is>
          <t>A 25491-2020</t>
        </is>
      </c>
      <c r="B266" s="1" t="n">
        <v>43983</v>
      </c>
      <c r="C266" s="1" t="n">
        <v>45510</v>
      </c>
      <c r="D266" t="inlineStr">
        <is>
          <t>VÄSTERBOTTENS LÄN</t>
        </is>
      </c>
      <c r="E266" t="inlineStr">
        <is>
          <t>VILHELMINA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25498-2020</t>
        </is>
      </c>
      <c r="B267" s="1" t="n">
        <v>43983</v>
      </c>
      <c r="C267" s="1" t="n">
        <v>45510</v>
      </c>
      <c r="D267" t="inlineStr">
        <is>
          <t>VÄSTERBOTTENS LÄN</t>
        </is>
      </c>
      <c r="E267" t="inlineStr">
        <is>
          <t>VILHELMINA</t>
        </is>
      </c>
      <c r="F267" t="inlineStr">
        <is>
          <t>Allmännings- och besparingsskogar</t>
        </is>
      </c>
      <c r="G267" t="n">
        <v>22.6</v>
      </c>
      <c r="H267" t="n">
        <v>0</v>
      </c>
      <c r="I267" t="n">
        <v>0</v>
      </c>
      <c r="J267" t="n">
        <v>0</v>
      </c>
      <c r="K267" t="n">
        <v>0</v>
      </c>
      <c r="L267" t="n">
        <v>0</v>
      </c>
      <c r="M267" t="n">
        <v>0</v>
      </c>
      <c r="N267" t="n">
        <v>0</v>
      </c>
      <c r="O267" t="n">
        <v>0</v>
      </c>
      <c r="P267" t="n">
        <v>0</v>
      </c>
      <c r="Q267" t="n">
        <v>0</v>
      </c>
      <c r="R267" s="2" t="inlineStr"/>
    </row>
    <row r="268" ht="15" customHeight="1">
      <c r="A268" t="inlineStr">
        <is>
          <t>A 26382-2020</t>
        </is>
      </c>
      <c r="B268" s="1" t="n">
        <v>43986</v>
      </c>
      <c r="C268" s="1" t="n">
        <v>45510</v>
      </c>
      <c r="D268" t="inlineStr">
        <is>
          <t>VÄSTERBOTTENS LÄN</t>
        </is>
      </c>
      <c r="E268" t="inlineStr">
        <is>
          <t>VILHELMINA</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26308-2020</t>
        </is>
      </c>
      <c r="B269" s="1" t="n">
        <v>43986</v>
      </c>
      <c r="C269" s="1" t="n">
        <v>45510</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28871-2020</t>
        </is>
      </c>
      <c r="B270" s="1" t="n">
        <v>44000</v>
      </c>
      <c r="C270" s="1" t="n">
        <v>45510</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28864-2020</t>
        </is>
      </c>
      <c r="B271" s="1" t="n">
        <v>44000</v>
      </c>
      <c r="C271" s="1" t="n">
        <v>45510</v>
      </c>
      <c r="D271" t="inlineStr">
        <is>
          <t>VÄSTERBOTTENS LÄN</t>
        </is>
      </c>
      <c r="E271" t="inlineStr">
        <is>
          <t>VILHELMINA</t>
        </is>
      </c>
      <c r="F271" t="inlineStr">
        <is>
          <t>Kommuner</t>
        </is>
      </c>
      <c r="G271" t="n">
        <v>0.2</v>
      </c>
      <c r="H271" t="n">
        <v>0</v>
      </c>
      <c r="I271" t="n">
        <v>0</v>
      </c>
      <c r="J271" t="n">
        <v>0</v>
      </c>
      <c r="K271" t="n">
        <v>0</v>
      </c>
      <c r="L271" t="n">
        <v>0</v>
      </c>
      <c r="M271" t="n">
        <v>0</v>
      </c>
      <c r="N271" t="n">
        <v>0</v>
      </c>
      <c r="O271" t="n">
        <v>0</v>
      </c>
      <c r="P271" t="n">
        <v>0</v>
      </c>
      <c r="Q271" t="n">
        <v>0</v>
      </c>
      <c r="R271" s="2" t="inlineStr"/>
    </row>
    <row r="272" ht="15" customHeight="1">
      <c r="A272" t="inlineStr">
        <is>
          <t>A 30210-2020</t>
        </is>
      </c>
      <c r="B272" s="1" t="n">
        <v>44007</v>
      </c>
      <c r="C272" s="1" t="n">
        <v>45510</v>
      </c>
      <c r="D272" t="inlineStr">
        <is>
          <t>VÄSTERBOTTENS LÄN</t>
        </is>
      </c>
      <c r="E272" t="inlineStr">
        <is>
          <t>VILHELMINA</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30373-2020</t>
        </is>
      </c>
      <c r="B273" s="1" t="n">
        <v>44007</v>
      </c>
      <c r="C273" s="1" t="n">
        <v>45510</v>
      </c>
      <c r="D273" t="inlineStr">
        <is>
          <t>VÄSTERBOTTENS LÄN</t>
        </is>
      </c>
      <c r="E273" t="inlineStr">
        <is>
          <t>VILHELMINA</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33370-2020</t>
        </is>
      </c>
      <c r="B274" s="1" t="n">
        <v>44022</v>
      </c>
      <c r="C274" s="1" t="n">
        <v>45510</v>
      </c>
      <c r="D274" t="inlineStr">
        <is>
          <t>VÄSTERBOTTENS LÄN</t>
        </is>
      </c>
      <c r="E274" t="inlineStr">
        <is>
          <t>VILHELMINA</t>
        </is>
      </c>
      <c r="G274" t="n">
        <v>2.7</v>
      </c>
      <c r="H274" t="n">
        <v>0</v>
      </c>
      <c r="I274" t="n">
        <v>0</v>
      </c>
      <c r="J274" t="n">
        <v>0</v>
      </c>
      <c r="K274" t="n">
        <v>0</v>
      </c>
      <c r="L274" t="n">
        <v>0</v>
      </c>
      <c r="M274" t="n">
        <v>0</v>
      </c>
      <c r="N274" t="n">
        <v>0</v>
      </c>
      <c r="O274" t="n">
        <v>0</v>
      </c>
      <c r="P274" t="n">
        <v>0</v>
      </c>
      <c r="Q274" t="n">
        <v>0</v>
      </c>
      <c r="R274" s="2" t="inlineStr"/>
    </row>
    <row r="275" ht="15" customHeight="1">
      <c r="A275" t="inlineStr">
        <is>
          <t>A 34368-2020</t>
        </is>
      </c>
      <c r="B275" s="1" t="n">
        <v>44032</v>
      </c>
      <c r="C275" s="1" t="n">
        <v>45510</v>
      </c>
      <c r="D275" t="inlineStr">
        <is>
          <t>VÄSTERBOTTENS LÄN</t>
        </is>
      </c>
      <c r="E275" t="inlineStr">
        <is>
          <t>VILHELMINA</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34909-2020</t>
        </is>
      </c>
      <c r="B276" s="1" t="n">
        <v>44036</v>
      </c>
      <c r="C276" s="1" t="n">
        <v>45510</v>
      </c>
      <c r="D276" t="inlineStr">
        <is>
          <t>VÄSTERBOTTENS LÄN</t>
        </is>
      </c>
      <c r="E276" t="inlineStr">
        <is>
          <t>VILHELMINA</t>
        </is>
      </c>
      <c r="G276" t="n">
        <v>1.8</v>
      </c>
      <c r="H276" t="n">
        <v>0</v>
      </c>
      <c r="I276" t="n">
        <v>0</v>
      </c>
      <c r="J276" t="n">
        <v>0</v>
      </c>
      <c r="K276" t="n">
        <v>0</v>
      </c>
      <c r="L276" t="n">
        <v>0</v>
      </c>
      <c r="M276" t="n">
        <v>0</v>
      </c>
      <c r="N276" t="n">
        <v>0</v>
      </c>
      <c r="O276" t="n">
        <v>0</v>
      </c>
      <c r="P276" t="n">
        <v>0</v>
      </c>
      <c r="Q276" t="n">
        <v>0</v>
      </c>
      <c r="R276" s="2" t="inlineStr"/>
    </row>
    <row r="277" ht="15" customHeight="1">
      <c r="A277" t="inlineStr">
        <is>
          <t>A 34987-2020</t>
        </is>
      </c>
      <c r="B277" s="1" t="n">
        <v>44039</v>
      </c>
      <c r="C277" s="1" t="n">
        <v>45510</v>
      </c>
      <c r="D277" t="inlineStr">
        <is>
          <t>VÄSTERBOTTENS LÄN</t>
        </is>
      </c>
      <c r="E277" t="inlineStr">
        <is>
          <t>VILHELMINA</t>
        </is>
      </c>
      <c r="G277" t="n">
        <v>16.6</v>
      </c>
      <c r="H277" t="n">
        <v>0</v>
      </c>
      <c r="I277" t="n">
        <v>0</v>
      </c>
      <c r="J277" t="n">
        <v>0</v>
      </c>
      <c r="K277" t="n">
        <v>0</v>
      </c>
      <c r="L277" t="n">
        <v>0</v>
      </c>
      <c r="M277" t="n">
        <v>0</v>
      </c>
      <c r="N277" t="n">
        <v>0</v>
      </c>
      <c r="O277" t="n">
        <v>0</v>
      </c>
      <c r="P277" t="n">
        <v>0</v>
      </c>
      <c r="Q277" t="n">
        <v>0</v>
      </c>
      <c r="R277" s="2" t="inlineStr"/>
    </row>
    <row r="278" ht="15" customHeight="1">
      <c r="A278" t="inlineStr">
        <is>
          <t>A 36875-2020</t>
        </is>
      </c>
      <c r="B278" s="1" t="n">
        <v>44053</v>
      </c>
      <c r="C278" s="1" t="n">
        <v>45510</v>
      </c>
      <c r="D278" t="inlineStr">
        <is>
          <t>VÄSTERBOTTENS LÄN</t>
        </is>
      </c>
      <c r="E278" t="inlineStr">
        <is>
          <t>VILHELMINA</t>
        </is>
      </c>
      <c r="G278" t="n">
        <v>2.9</v>
      </c>
      <c r="H278" t="n">
        <v>0</v>
      </c>
      <c r="I278" t="n">
        <v>0</v>
      </c>
      <c r="J278" t="n">
        <v>0</v>
      </c>
      <c r="K278" t="n">
        <v>0</v>
      </c>
      <c r="L278" t="n">
        <v>0</v>
      </c>
      <c r="M278" t="n">
        <v>0</v>
      </c>
      <c r="N278" t="n">
        <v>0</v>
      </c>
      <c r="O278" t="n">
        <v>0</v>
      </c>
      <c r="P278" t="n">
        <v>0</v>
      </c>
      <c r="Q278" t="n">
        <v>0</v>
      </c>
      <c r="R278" s="2" t="inlineStr"/>
    </row>
    <row r="279" ht="15" customHeight="1">
      <c r="A279" t="inlineStr">
        <is>
          <t>A 38349-2020</t>
        </is>
      </c>
      <c r="B279" s="1" t="n">
        <v>44060</v>
      </c>
      <c r="C279" s="1" t="n">
        <v>45510</v>
      </c>
      <c r="D279" t="inlineStr">
        <is>
          <t>VÄSTERBOTTENS LÄN</t>
        </is>
      </c>
      <c r="E279" t="inlineStr">
        <is>
          <t>VILHELMINA</t>
        </is>
      </c>
      <c r="F279" t="inlineStr">
        <is>
          <t>SCA</t>
        </is>
      </c>
      <c r="G279" t="n">
        <v>26.8</v>
      </c>
      <c r="H279" t="n">
        <v>0</v>
      </c>
      <c r="I279" t="n">
        <v>0</v>
      </c>
      <c r="J279" t="n">
        <v>0</v>
      </c>
      <c r="K279" t="n">
        <v>0</v>
      </c>
      <c r="L279" t="n">
        <v>0</v>
      </c>
      <c r="M279" t="n">
        <v>0</v>
      </c>
      <c r="N279" t="n">
        <v>0</v>
      </c>
      <c r="O279" t="n">
        <v>0</v>
      </c>
      <c r="P279" t="n">
        <v>0</v>
      </c>
      <c r="Q279" t="n">
        <v>0</v>
      </c>
      <c r="R279" s="2" t="inlineStr"/>
    </row>
    <row r="280" ht="15" customHeight="1">
      <c r="A280" t="inlineStr">
        <is>
          <t>A 40116-2020</t>
        </is>
      </c>
      <c r="B280" s="1" t="n">
        <v>44064</v>
      </c>
      <c r="C280" s="1" t="n">
        <v>45510</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40100-2020</t>
        </is>
      </c>
      <c r="B281" s="1" t="n">
        <v>44064</v>
      </c>
      <c r="C281" s="1" t="n">
        <v>45510</v>
      </c>
      <c r="D281" t="inlineStr">
        <is>
          <t>VÄSTERBOTTENS LÄN</t>
        </is>
      </c>
      <c r="E281" t="inlineStr">
        <is>
          <t>VILHELMINA</t>
        </is>
      </c>
      <c r="G281" t="n">
        <v>22.5</v>
      </c>
      <c r="H281" t="n">
        <v>0</v>
      </c>
      <c r="I281" t="n">
        <v>0</v>
      </c>
      <c r="J281" t="n">
        <v>0</v>
      </c>
      <c r="K281" t="n">
        <v>0</v>
      </c>
      <c r="L281" t="n">
        <v>0</v>
      </c>
      <c r="M281" t="n">
        <v>0</v>
      </c>
      <c r="N281" t="n">
        <v>0</v>
      </c>
      <c r="O281" t="n">
        <v>0</v>
      </c>
      <c r="P281" t="n">
        <v>0</v>
      </c>
      <c r="Q281" t="n">
        <v>0</v>
      </c>
      <c r="R281" s="2" t="inlineStr"/>
    </row>
    <row r="282" ht="15" customHeight="1">
      <c r="A282" t="inlineStr">
        <is>
          <t>A 40842-2020</t>
        </is>
      </c>
      <c r="B282" s="1" t="n">
        <v>44069</v>
      </c>
      <c r="C282" s="1" t="n">
        <v>45510</v>
      </c>
      <c r="D282" t="inlineStr">
        <is>
          <t>VÄSTERBOTTENS LÄN</t>
        </is>
      </c>
      <c r="E282" t="inlineStr">
        <is>
          <t>VILHELMINA</t>
        </is>
      </c>
      <c r="G282" t="n">
        <v>20.4</v>
      </c>
      <c r="H282" t="n">
        <v>0</v>
      </c>
      <c r="I282" t="n">
        <v>0</v>
      </c>
      <c r="J282" t="n">
        <v>0</v>
      </c>
      <c r="K282" t="n">
        <v>0</v>
      </c>
      <c r="L282" t="n">
        <v>0</v>
      </c>
      <c r="M282" t="n">
        <v>0</v>
      </c>
      <c r="N282" t="n">
        <v>0</v>
      </c>
      <c r="O282" t="n">
        <v>0</v>
      </c>
      <c r="P282" t="n">
        <v>0</v>
      </c>
      <c r="Q282" t="n">
        <v>0</v>
      </c>
      <c r="R282" s="2" t="inlineStr"/>
    </row>
    <row r="283" ht="15" customHeight="1">
      <c r="A283" t="inlineStr">
        <is>
          <t>A 41267-2020</t>
        </is>
      </c>
      <c r="B283" s="1" t="n">
        <v>44071</v>
      </c>
      <c r="C283" s="1" t="n">
        <v>45510</v>
      </c>
      <c r="D283" t="inlineStr">
        <is>
          <t>VÄSTERBOTTENS LÄN</t>
        </is>
      </c>
      <c r="E283" t="inlineStr">
        <is>
          <t>VILHELMINA</t>
        </is>
      </c>
      <c r="G283" t="n">
        <v>1.9</v>
      </c>
      <c r="H283" t="n">
        <v>0</v>
      </c>
      <c r="I283" t="n">
        <v>0</v>
      </c>
      <c r="J283" t="n">
        <v>0</v>
      </c>
      <c r="K283" t="n">
        <v>0</v>
      </c>
      <c r="L283" t="n">
        <v>0</v>
      </c>
      <c r="M283" t="n">
        <v>0</v>
      </c>
      <c r="N283" t="n">
        <v>0</v>
      </c>
      <c r="O283" t="n">
        <v>0</v>
      </c>
      <c r="P283" t="n">
        <v>0</v>
      </c>
      <c r="Q283" t="n">
        <v>0</v>
      </c>
      <c r="R283" s="2" t="inlineStr"/>
    </row>
    <row r="284" ht="15" customHeight="1">
      <c r="A284" t="inlineStr">
        <is>
          <t>A 42205-2020</t>
        </is>
      </c>
      <c r="B284" s="1" t="n">
        <v>44075</v>
      </c>
      <c r="C284" s="1" t="n">
        <v>45510</v>
      </c>
      <c r="D284" t="inlineStr">
        <is>
          <t>VÄSTERBOTTENS LÄN</t>
        </is>
      </c>
      <c r="E284" t="inlineStr">
        <is>
          <t>VILHELMINA</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43080-2020</t>
        </is>
      </c>
      <c r="B285" s="1" t="n">
        <v>44078</v>
      </c>
      <c r="C285" s="1" t="n">
        <v>45510</v>
      </c>
      <c r="D285" t="inlineStr">
        <is>
          <t>VÄSTERBOTTENS LÄN</t>
        </is>
      </c>
      <c r="E285" t="inlineStr">
        <is>
          <t>VILHELMINA</t>
        </is>
      </c>
      <c r="F285" t="inlineStr">
        <is>
          <t>SCA</t>
        </is>
      </c>
      <c r="G285" t="n">
        <v>15.4</v>
      </c>
      <c r="H285" t="n">
        <v>0</v>
      </c>
      <c r="I285" t="n">
        <v>0</v>
      </c>
      <c r="J285" t="n">
        <v>0</v>
      </c>
      <c r="K285" t="n">
        <v>0</v>
      </c>
      <c r="L285" t="n">
        <v>0</v>
      </c>
      <c r="M285" t="n">
        <v>0</v>
      </c>
      <c r="N285" t="n">
        <v>0</v>
      </c>
      <c r="O285" t="n">
        <v>0</v>
      </c>
      <c r="P285" t="n">
        <v>0</v>
      </c>
      <c r="Q285" t="n">
        <v>0</v>
      </c>
      <c r="R285" s="2" t="inlineStr"/>
    </row>
    <row r="286" ht="15" customHeight="1">
      <c r="A286" t="inlineStr">
        <is>
          <t>A 44507-2020</t>
        </is>
      </c>
      <c r="B286" s="1" t="n">
        <v>44084</v>
      </c>
      <c r="C286" s="1" t="n">
        <v>45510</v>
      </c>
      <c r="D286" t="inlineStr">
        <is>
          <t>VÄSTERBOTTENS LÄN</t>
        </is>
      </c>
      <c r="E286" t="inlineStr">
        <is>
          <t>VILHELMINA</t>
        </is>
      </c>
      <c r="F286" t="inlineStr">
        <is>
          <t>SCA</t>
        </is>
      </c>
      <c r="G286" t="n">
        <v>3</v>
      </c>
      <c r="H286" t="n">
        <v>0</v>
      </c>
      <c r="I286" t="n">
        <v>0</v>
      </c>
      <c r="J286" t="n">
        <v>0</v>
      </c>
      <c r="K286" t="n">
        <v>0</v>
      </c>
      <c r="L286" t="n">
        <v>0</v>
      </c>
      <c r="M286" t="n">
        <v>0</v>
      </c>
      <c r="N286" t="n">
        <v>0</v>
      </c>
      <c r="O286" t="n">
        <v>0</v>
      </c>
      <c r="P286" t="n">
        <v>0</v>
      </c>
      <c r="Q286" t="n">
        <v>0</v>
      </c>
      <c r="R286" s="2" t="inlineStr"/>
    </row>
    <row r="287" ht="15" customHeight="1">
      <c r="A287" t="inlineStr">
        <is>
          <t>A 46509-2020</t>
        </is>
      </c>
      <c r="B287" s="1" t="n">
        <v>44088</v>
      </c>
      <c r="C287" s="1" t="n">
        <v>45510</v>
      </c>
      <c r="D287" t="inlineStr">
        <is>
          <t>VÄSTERBOTTENS LÄN</t>
        </is>
      </c>
      <c r="E287" t="inlineStr">
        <is>
          <t>VILHELMINA</t>
        </is>
      </c>
      <c r="G287" t="n">
        <v>4.5</v>
      </c>
      <c r="H287" t="n">
        <v>0</v>
      </c>
      <c r="I287" t="n">
        <v>0</v>
      </c>
      <c r="J287" t="n">
        <v>0</v>
      </c>
      <c r="K287" t="n">
        <v>0</v>
      </c>
      <c r="L287" t="n">
        <v>0</v>
      </c>
      <c r="M287" t="n">
        <v>0</v>
      </c>
      <c r="N287" t="n">
        <v>0</v>
      </c>
      <c r="O287" t="n">
        <v>0</v>
      </c>
      <c r="P287" t="n">
        <v>0</v>
      </c>
      <c r="Q287" t="n">
        <v>0</v>
      </c>
      <c r="R287" s="2" t="inlineStr"/>
    </row>
    <row r="288" ht="15" customHeight="1">
      <c r="A288" t="inlineStr">
        <is>
          <t>A 46378-2020</t>
        </is>
      </c>
      <c r="B288" s="1" t="n">
        <v>44092</v>
      </c>
      <c r="C288" s="1" t="n">
        <v>45510</v>
      </c>
      <c r="D288" t="inlineStr">
        <is>
          <t>VÄSTERBOTTENS LÄN</t>
        </is>
      </c>
      <c r="E288" t="inlineStr">
        <is>
          <t>VILHELMINA</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46373-2020</t>
        </is>
      </c>
      <c r="B289" s="1" t="n">
        <v>44092</v>
      </c>
      <c r="C289" s="1" t="n">
        <v>45510</v>
      </c>
      <c r="D289" t="inlineStr">
        <is>
          <t>VÄSTERBOTTENS LÄN</t>
        </is>
      </c>
      <c r="E289" t="inlineStr">
        <is>
          <t>VILHELMINA</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47308-2020</t>
        </is>
      </c>
      <c r="B290" s="1" t="n">
        <v>44092</v>
      </c>
      <c r="C290" s="1" t="n">
        <v>45510</v>
      </c>
      <c r="D290" t="inlineStr">
        <is>
          <t>VÄSTERBOTTENS LÄN</t>
        </is>
      </c>
      <c r="E290" t="inlineStr">
        <is>
          <t>VILHELMINA</t>
        </is>
      </c>
      <c r="F290" t="inlineStr">
        <is>
          <t>Övriga statliga verk och myndigheter</t>
        </is>
      </c>
      <c r="G290" t="n">
        <v>35.3</v>
      </c>
      <c r="H290" t="n">
        <v>0</v>
      </c>
      <c r="I290" t="n">
        <v>0</v>
      </c>
      <c r="J290" t="n">
        <v>0</v>
      </c>
      <c r="K290" t="n">
        <v>0</v>
      </c>
      <c r="L290" t="n">
        <v>0</v>
      </c>
      <c r="M290" t="n">
        <v>0</v>
      </c>
      <c r="N290" t="n">
        <v>0</v>
      </c>
      <c r="O290" t="n">
        <v>0</v>
      </c>
      <c r="P290" t="n">
        <v>0</v>
      </c>
      <c r="Q290" t="n">
        <v>0</v>
      </c>
      <c r="R290" s="2" t="inlineStr"/>
    </row>
    <row r="291" ht="15" customHeight="1">
      <c r="A291" t="inlineStr">
        <is>
          <t>A 48256-2020</t>
        </is>
      </c>
      <c r="B291" s="1" t="n">
        <v>44092</v>
      </c>
      <c r="C291" s="1" t="n">
        <v>45510</v>
      </c>
      <c r="D291" t="inlineStr">
        <is>
          <t>VÄSTERBOTTENS LÄN</t>
        </is>
      </c>
      <c r="E291" t="inlineStr">
        <is>
          <t>VILHELMINA</t>
        </is>
      </c>
      <c r="F291" t="inlineStr">
        <is>
          <t>Övriga statliga verk och myndigheter</t>
        </is>
      </c>
      <c r="G291" t="n">
        <v>13.4</v>
      </c>
      <c r="H291" t="n">
        <v>0</v>
      </c>
      <c r="I291" t="n">
        <v>0</v>
      </c>
      <c r="J291" t="n">
        <v>0</v>
      </c>
      <c r="K291" t="n">
        <v>0</v>
      </c>
      <c r="L291" t="n">
        <v>0</v>
      </c>
      <c r="M291" t="n">
        <v>0</v>
      </c>
      <c r="N291" t="n">
        <v>0</v>
      </c>
      <c r="O291" t="n">
        <v>0</v>
      </c>
      <c r="P291" t="n">
        <v>0</v>
      </c>
      <c r="Q291" t="n">
        <v>0</v>
      </c>
      <c r="R291" s="2" t="inlineStr"/>
    </row>
    <row r="292" ht="15" customHeight="1">
      <c r="A292" t="inlineStr">
        <is>
          <t>A 48019-2020</t>
        </is>
      </c>
      <c r="B292" s="1" t="n">
        <v>44092</v>
      </c>
      <c r="C292" s="1" t="n">
        <v>45510</v>
      </c>
      <c r="D292" t="inlineStr">
        <is>
          <t>VÄSTERBOTTENS LÄN</t>
        </is>
      </c>
      <c r="E292" t="inlineStr">
        <is>
          <t>VILHELMINA</t>
        </is>
      </c>
      <c r="F292" t="inlineStr">
        <is>
          <t>Övriga statliga verk och myndigheter</t>
        </is>
      </c>
      <c r="G292" t="n">
        <v>1.3</v>
      </c>
      <c r="H292" t="n">
        <v>0</v>
      </c>
      <c r="I292" t="n">
        <v>0</v>
      </c>
      <c r="J292" t="n">
        <v>0</v>
      </c>
      <c r="K292" t="n">
        <v>0</v>
      </c>
      <c r="L292" t="n">
        <v>0</v>
      </c>
      <c r="M292" t="n">
        <v>0</v>
      </c>
      <c r="N292" t="n">
        <v>0</v>
      </c>
      <c r="O292" t="n">
        <v>0</v>
      </c>
      <c r="P292" t="n">
        <v>0</v>
      </c>
      <c r="Q292" t="n">
        <v>0</v>
      </c>
      <c r="R292" s="2" t="inlineStr"/>
    </row>
    <row r="293" ht="15" customHeight="1">
      <c r="A293" t="inlineStr">
        <is>
          <t>A 47193-2020</t>
        </is>
      </c>
      <c r="B293" s="1" t="n">
        <v>44097</v>
      </c>
      <c r="C293" s="1" t="n">
        <v>45510</v>
      </c>
      <c r="D293" t="inlineStr">
        <is>
          <t>VÄSTERBOTTENS LÄN</t>
        </is>
      </c>
      <c r="E293" t="inlineStr">
        <is>
          <t>VILHELMINA</t>
        </is>
      </c>
      <c r="G293" t="n">
        <v>6.8</v>
      </c>
      <c r="H293" t="n">
        <v>0</v>
      </c>
      <c r="I293" t="n">
        <v>0</v>
      </c>
      <c r="J293" t="n">
        <v>0</v>
      </c>
      <c r="K293" t="n">
        <v>0</v>
      </c>
      <c r="L293" t="n">
        <v>0</v>
      </c>
      <c r="M293" t="n">
        <v>0</v>
      </c>
      <c r="N293" t="n">
        <v>0</v>
      </c>
      <c r="O293" t="n">
        <v>0</v>
      </c>
      <c r="P293" t="n">
        <v>0</v>
      </c>
      <c r="Q293" t="n">
        <v>0</v>
      </c>
      <c r="R293" s="2" t="inlineStr"/>
    </row>
    <row r="294" ht="15" customHeight="1">
      <c r="A294" t="inlineStr">
        <is>
          <t>A 52165-2020</t>
        </is>
      </c>
      <c r="B294" s="1" t="n">
        <v>44105</v>
      </c>
      <c r="C294" s="1" t="n">
        <v>45510</v>
      </c>
      <c r="D294" t="inlineStr">
        <is>
          <t>VÄSTERBOTTENS LÄN</t>
        </is>
      </c>
      <c r="E294" t="inlineStr">
        <is>
          <t>VILHELMINA</t>
        </is>
      </c>
      <c r="G294" t="n">
        <v>16.1</v>
      </c>
      <c r="H294" t="n">
        <v>0</v>
      </c>
      <c r="I294" t="n">
        <v>0</v>
      </c>
      <c r="J294" t="n">
        <v>0</v>
      </c>
      <c r="K294" t="n">
        <v>0</v>
      </c>
      <c r="L294" t="n">
        <v>0</v>
      </c>
      <c r="M294" t="n">
        <v>0</v>
      </c>
      <c r="N294" t="n">
        <v>0</v>
      </c>
      <c r="O294" t="n">
        <v>0</v>
      </c>
      <c r="P294" t="n">
        <v>0</v>
      </c>
      <c r="Q294" t="n">
        <v>0</v>
      </c>
      <c r="R294" s="2" t="inlineStr"/>
    </row>
    <row r="295" ht="15" customHeight="1">
      <c r="A295" t="inlineStr">
        <is>
          <t>A 52174-2020</t>
        </is>
      </c>
      <c r="B295" s="1" t="n">
        <v>44105</v>
      </c>
      <c r="C295" s="1" t="n">
        <v>45510</v>
      </c>
      <c r="D295" t="inlineStr">
        <is>
          <t>VÄSTERBOTTENS LÄN</t>
        </is>
      </c>
      <c r="E295" t="inlineStr">
        <is>
          <t>VILHELMINA</t>
        </is>
      </c>
      <c r="G295" t="n">
        <v>3</v>
      </c>
      <c r="H295" t="n">
        <v>0</v>
      </c>
      <c r="I295" t="n">
        <v>0</v>
      </c>
      <c r="J295" t="n">
        <v>0</v>
      </c>
      <c r="K295" t="n">
        <v>0</v>
      </c>
      <c r="L295" t="n">
        <v>0</v>
      </c>
      <c r="M295" t="n">
        <v>0</v>
      </c>
      <c r="N295" t="n">
        <v>0</v>
      </c>
      <c r="O295" t="n">
        <v>0</v>
      </c>
      <c r="P295" t="n">
        <v>0</v>
      </c>
      <c r="Q295" t="n">
        <v>0</v>
      </c>
      <c r="R295" s="2" t="inlineStr"/>
    </row>
    <row r="296" ht="15" customHeight="1">
      <c r="A296" t="inlineStr">
        <is>
          <t>A 50139-2020</t>
        </is>
      </c>
      <c r="B296" s="1" t="n">
        <v>44109</v>
      </c>
      <c r="C296" s="1" t="n">
        <v>45510</v>
      </c>
      <c r="D296" t="inlineStr">
        <is>
          <t>VÄSTERBOTTENS LÄN</t>
        </is>
      </c>
      <c r="E296" t="inlineStr">
        <is>
          <t>VILHELMINA</t>
        </is>
      </c>
      <c r="G296" t="n">
        <v>1.2</v>
      </c>
      <c r="H296" t="n">
        <v>0</v>
      </c>
      <c r="I296" t="n">
        <v>0</v>
      </c>
      <c r="J296" t="n">
        <v>0</v>
      </c>
      <c r="K296" t="n">
        <v>0</v>
      </c>
      <c r="L296" t="n">
        <v>0</v>
      </c>
      <c r="M296" t="n">
        <v>0</v>
      </c>
      <c r="N296" t="n">
        <v>0</v>
      </c>
      <c r="O296" t="n">
        <v>0</v>
      </c>
      <c r="P296" t="n">
        <v>0</v>
      </c>
      <c r="Q296" t="n">
        <v>0</v>
      </c>
      <c r="R296" s="2" t="inlineStr"/>
    </row>
    <row r="297" ht="15" customHeight="1">
      <c r="A297" t="inlineStr">
        <is>
          <t>A 52669-2020</t>
        </is>
      </c>
      <c r="B297" s="1" t="n">
        <v>44118</v>
      </c>
      <c r="C297" s="1" t="n">
        <v>45510</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54947-2020</t>
        </is>
      </c>
      <c r="B298" s="1" t="n">
        <v>44129</v>
      </c>
      <c r="C298" s="1" t="n">
        <v>45510</v>
      </c>
      <c r="D298" t="inlineStr">
        <is>
          <t>VÄSTERBOTTENS LÄN</t>
        </is>
      </c>
      <c r="E298" t="inlineStr">
        <is>
          <t>VILHELMINA</t>
        </is>
      </c>
      <c r="G298" t="n">
        <v>6.1</v>
      </c>
      <c r="H298" t="n">
        <v>0</v>
      </c>
      <c r="I298" t="n">
        <v>0</v>
      </c>
      <c r="J298" t="n">
        <v>0</v>
      </c>
      <c r="K298" t="n">
        <v>0</v>
      </c>
      <c r="L298" t="n">
        <v>0</v>
      </c>
      <c r="M298" t="n">
        <v>0</v>
      </c>
      <c r="N298" t="n">
        <v>0</v>
      </c>
      <c r="O298" t="n">
        <v>0</v>
      </c>
      <c r="P298" t="n">
        <v>0</v>
      </c>
      <c r="Q298" t="n">
        <v>0</v>
      </c>
      <c r="R298" s="2" t="inlineStr"/>
    </row>
    <row r="299" ht="15" customHeight="1">
      <c r="A299" t="inlineStr">
        <is>
          <t>A 55440-2020</t>
        </is>
      </c>
      <c r="B299" s="1" t="n">
        <v>44131</v>
      </c>
      <c r="C299" s="1" t="n">
        <v>45510</v>
      </c>
      <c r="D299" t="inlineStr">
        <is>
          <t>VÄSTERBOTTENS LÄN</t>
        </is>
      </c>
      <c r="E299" t="inlineStr">
        <is>
          <t>VILHELMINA</t>
        </is>
      </c>
      <c r="G299" t="n">
        <v>18.3</v>
      </c>
      <c r="H299" t="n">
        <v>0</v>
      </c>
      <c r="I299" t="n">
        <v>0</v>
      </c>
      <c r="J299" t="n">
        <v>0</v>
      </c>
      <c r="K299" t="n">
        <v>0</v>
      </c>
      <c r="L299" t="n">
        <v>0</v>
      </c>
      <c r="M299" t="n">
        <v>0</v>
      </c>
      <c r="N299" t="n">
        <v>0</v>
      </c>
      <c r="O299" t="n">
        <v>0</v>
      </c>
      <c r="P299" t="n">
        <v>0</v>
      </c>
      <c r="Q299" t="n">
        <v>0</v>
      </c>
      <c r="R299" s="2" t="inlineStr"/>
    </row>
    <row r="300" ht="15" customHeight="1">
      <c r="A300" t="inlineStr">
        <is>
          <t>A 58584-2020</t>
        </is>
      </c>
      <c r="B300" s="1" t="n">
        <v>44144</v>
      </c>
      <c r="C300" s="1" t="n">
        <v>45510</v>
      </c>
      <c r="D300" t="inlineStr">
        <is>
          <t>VÄSTERBOTTENS LÄN</t>
        </is>
      </c>
      <c r="E300" t="inlineStr">
        <is>
          <t>VILHELMINA</t>
        </is>
      </c>
      <c r="F300" t="inlineStr">
        <is>
          <t>Övriga statliga verk och myndigheter</t>
        </is>
      </c>
      <c r="G300" t="n">
        <v>20.8</v>
      </c>
      <c r="H300" t="n">
        <v>0</v>
      </c>
      <c r="I300" t="n">
        <v>0</v>
      </c>
      <c r="J300" t="n">
        <v>0</v>
      </c>
      <c r="K300" t="n">
        <v>0</v>
      </c>
      <c r="L300" t="n">
        <v>0</v>
      </c>
      <c r="M300" t="n">
        <v>0</v>
      </c>
      <c r="N300" t="n">
        <v>0</v>
      </c>
      <c r="O300" t="n">
        <v>0</v>
      </c>
      <c r="P300" t="n">
        <v>0</v>
      </c>
      <c r="Q300" t="n">
        <v>0</v>
      </c>
      <c r="R300" s="2" t="inlineStr"/>
    </row>
    <row r="301" ht="15" customHeight="1">
      <c r="A301" t="inlineStr">
        <is>
          <t>A 59587-2020</t>
        </is>
      </c>
      <c r="B301" s="1" t="n">
        <v>44148</v>
      </c>
      <c r="C301" s="1" t="n">
        <v>45510</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60090-2020</t>
        </is>
      </c>
      <c r="B302" s="1" t="n">
        <v>44151</v>
      </c>
      <c r="C302" s="1" t="n">
        <v>45510</v>
      </c>
      <c r="D302" t="inlineStr">
        <is>
          <t>VÄSTERBOTTENS LÄN</t>
        </is>
      </c>
      <c r="E302" t="inlineStr">
        <is>
          <t>VILHELMINA</t>
        </is>
      </c>
      <c r="G302" t="n">
        <v>9</v>
      </c>
      <c r="H302" t="n">
        <v>0</v>
      </c>
      <c r="I302" t="n">
        <v>0</v>
      </c>
      <c r="J302" t="n">
        <v>0</v>
      </c>
      <c r="K302" t="n">
        <v>0</v>
      </c>
      <c r="L302" t="n">
        <v>0</v>
      </c>
      <c r="M302" t="n">
        <v>0</v>
      </c>
      <c r="N302" t="n">
        <v>0</v>
      </c>
      <c r="O302" t="n">
        <v>0</v>
      </c>
      <c r="P302" t="n">
        <v>0</v>
      </c>
      <c r="Q302" t="n">
        <v>0</v>
      </c>
      <c r="R302" s="2" t="inlineStr"/>
    </row>
    <row r="303" ht="15" customHeight="1">
      <c r="A303" t="inlineStr">
        <is>
          <t>A 60812-2020</t>
        </is>
      </c>
      <c r="B303" s="1" t="n">
        <v>44153</v>
      </c>
      <c r="C303" s="1" t="n">
        <v>45510</v>
      </c>
      <c r="D303" t="inlineStr">
        <is>
          <t>VÄSTERBOTTENS LÄN</t>
        </is>
      </c>
      <c r="E303" t="inlineStr">
        <is>
          <t>VILHELMINA</t>
        </is>
      </c>
      <c r="F303" t="inlineStr">
        <is>
          <t>Allmännings- och besparingsskogar</t>
        </is>
      </c>
      <c r="G303" t="n">
        <v>1.2</v>
      </c>
      <c r="H303" t="n">
        <v>0</v>
      </c>
      <c r="I303" t="n">
        <v>0</v>
      </c>
      <c r="J303" t="n">
        <v>0</v>
      </c>
      <c r="K303" t="n">
        <v>0</v>
      </c>
      <c r="L303" t="n">
        <v>0</v>
      </c>
      <c r="M303" t="n">
        <v>0</v>
      </c>
      <c r="N303" t="n">
        <v>0</v>
      </c>
      <c r="O303" t="n">
        <v>0</v>
      </c>
      <c r="P303" t="n">
        <v>0</v>
      </c>
      <c r="Q303" t="n">
        <v>0</v>
      </c>
      <c r="R303" s="2" t="inlineStr"/>
    </row>
    <row r="304" ht="15" customHeight="1">
      <c r="A304" t="inlineStr">
        <is>
          <t>A 61129-2020</t>
        </is>
      </c>
      <c r="B304" s="1" t="n">
        <v>44154</v>
      </c>
      <c r="C304" s="1" t="n">
        <v>45510</v>
      </c>
      <c r="D304" t="inlineStr">
        <is>
          <t>VÄSTERBOTTENS LÄN</t>
        </is>
      </c>
      <c r="E304" t="inlineStr">
        <is>
          <t>VILHELMINA</t>
        </is>
      </c>
      <c r="F304" t="inlineStr">
        <is>
          <t>SCA</t>
        </is>
      </c>
      <c r="G304" t="n">
        <v>5</v>
      </c>
      <c r="H304" t="n">
        <v>0</v>
      </c>
      <c r="I304" t="n">
        <v>0</v>
      </c>
      <c r="J304" t="n">
        <v>0</v>
      </c>
      <c r="K304" t="n">
        <v>0</v>
      </c>
      <c r="L304" t="n">
        <v>0</v>
      </c>
      <c r="M304" t="n">
        <v>0</v>
      </c>
      <c r="N304" t="n">
        <v>0</v>
      </c>
      <c r="O304" t="n">
        <v>0</v>
      </c>
      <c r="P304" t="n">
        <v>0</v>
      </c>
      <c r="Q304" t="n">
        <v>0</v>
      </c>
      <c r="R304" s="2" t="inlineStr"/>
    </row>
    <row r="305" ht="15" customHeight="1">
      <c r="A305" t="inlineStr">
        <is>
          <t>A 61920-2020</t>
        </is>
      </c>
      <c r="B305" s="1" t="n">
        <v>44155</v>
      </c>
      <c r="C305" s="1" t="n">
        <v>45510</v>
      </c>
      <c r="D305" t="inlineStr">
        <is>
          <t>VÄSTERBOTTENS LÄN</t>
        </is>
      </c>
      <c r="E305" t="inlineStr">
        <is>
          <t>VILHELMINA</t>
        </is>
      </c>
      <c r="G305" t="n">
        <v>7.7</v>
      </c>
      <c r="H305" t="n">
        <v>0</v>
      </c>
      <c r="I305" t="n">
        <v>0</v>
      </c>
      <c r="J305" t="n">
        <v>0</v>
      </c>
      <c r="K305" t="n">
        <v>0</v>
      </c>
      <c r="L305" t="n">
        <v>0</v>
      </c>
      <c r="M305" t="n">
        <v>0</v>
      </c>
      <c r="N305" t="n">
        <v>0</v>
      </c>
      <c r="O305" t="n">
        <v>0</v>
      </c>
      <c r="P305" t="n">
        <v>0</v>
      </c>
      <c r="Q305" t="n">
        <v>0</v>
      </c>
      <c r="R305" s="2" t="inlineStr"/>
    </row>
    <row r="306" ht="15" customHeight="1">
      <c r="A306" t="inlineStr">
        <is>
          <t>A 62874-2020</t>
        </is>
      </c>
      <c r="B306" s="1" t="n">
        <v>44161</v>
      </c>
      <c r="C306" s="1" t="n">
        <v>45510</v>
      </c>
      <c r="D306" t="inlineStr">
        <is>
          <t>VÄSTERBOTTENS LÄN</t>
        </is>
      </c>
      <c r="E306" t="inlineStr">
        <is>
          <t>VILHELMINA</t>
        </is>
      </c>
      <c r="F306" t="inlineStr">
        <is>
          <t>SCA</t>
        </is>
      </c>
      <c r="G306" t="n">
        <v>10.7</v>
      </c>
      <c r="H306" t="n">
        <v>0</v>
      </c>
      <c r="I306" t="n">
        <v>0</v>
      </c>
      <c r="J306" t="n">
        <v>0</v>
      </c>
      <c r="K306" t="n">
        <v>0</v>
      </c>
      <c r="L306" t="n">
        <v>0</v>
      </c>
      <c r="M306" t="n">
        <v>0</v>
      </c>
      <c r="N306" t="n">
        <v>0</v>
      </c>
      <c r="O306" t="n">
        <v>0</v>
      </c>
      <c r="P306" t="n">
        <v>0</v>
      </c>
      <c r="Q306" t="n">
        <v>0</v>
      </c>
      <c r="R306" s="2" t="inlineStr"/>
    </row>
    <row r="307" ht="15" customHeight="1">
      <c r="A307" t="inlineStr">
        <is>
          <t>A 64065-2020</t>
        </is>
      </c>
      <c r="B307" s="1" t="n">
        <v>44165</v>
      </c>
      <c r="C307" s="1" t="n">
        <v>45510</v>
      </c>
      <c r="D307" t="inlineStr">
        <is>
          <t>VÄSTERBOTTENS LÄN</t>
        </is>
      </c>
      <c r="E307" t="inlineStr">
        <is>
          <t>VILHELMINA</t>
        </is>
      </c>
      <c r="G307" t="n">
        <v>4.6</v>
      </c>
      <c r="H307" t="n">
        <v>0</v>
      </c>
      <c r="I307" t="n">
        <v>0</v>
      </c>
      <c r="J307" t="n">
        <v>0</v>
      </c>
      <c r="K307" t="n">
        <v>0</v>
      </c>
      <c r="L307" t="n">
        <v>0</v>
      </c>
      <c r="M307" t="n">
        <v>0</v>
      </c>
      <c r="N307" t="n">
        <v>0</v>
      </c>
      <c r="O307" t="n">
        <v>0</v>
      </c>
      <c r="P307" t="n">
        <v>0</v>
      </c>
      <c r="Q307" t="n">
        <v>0</v>
      </c>
      <c r="R307" s="2" t="inlineStr"/>
    </row>
    <row r="308" ht="15" customHeight="1">
      <c r="A308" t="inlineStr">
        <is>
          <t>A 64254-2020</t>
        </is>
      </c>
      <c r="B308" s="1" t="n">
        <v>44168</v>
      </c>
      <c r="C308" s="1" t="n">
        <v>45510</v>
      </c>
      <c r="D308" t="inlineStr">
        <is>
          <t>VÄSTERBOTTENS LÄN</t>
        </is>
      </c>
      <c r="E308" t="inlineStr">
        <is>
          <t>VILHELMINA</t>
        </is>
      </c>
      <c r="G308" t="n">
        <v>17.6</v>
      </c>
      <c r="H308" t="n">
        <v>0</v>
      </c>
      <c r="I308" t="n">
        <v>0</v>
      </c>
      <c r="J308" t="n">
        <v>0</v>
      </c>
      <c r="K308" t="n">
        <v>0</v>
      </c>
      <c r="L308" t="n">
        <v>0</v>
      </c>
      <c r="M308" t="n">
        <v>0</v>
      </c>
      <c r="N308" t="n">
        <v>0</v>
      </c>
      <c r="O308" t="n">
        <v>0</v>
      </c>
      <c r="P308" t="n">
        <v>0</v>
      </c>
      <c r="Q308" t="n">
        <v>0</v>
      </c>
      <c r="R308" s="2" t="inlineStr"/>
    </row>
    <row r="309" ht="15" customHeight="1">
      <c r="A309" t="inlineStr">
        <is>
          <t>A 64759-2020</t>
        </is>
      </c>
      <c r="B309" s="1" t="n">
        <v>44169</v>
      </c>
      <c r="C309" s="1" t="n">
        <v>45510</v>
      </c>
      <c r="D309" t="inlineStr">
        <is>
          <t>VÄSTERBOTTENS LÄN</t>
        </is>
      </c>
      <c r="E309" t="inlineStr">
        <is>
          <t>VILHELMINA</t>
        </is>
      </c>
      <c r="G309" t="n">
        <v>24.6</v>
      </c>
      <c r="H309" t="n">
        <v>0</v>
      </c>
      <c r="I309" t="n">
        <v>0</v>
      </c>
      <c r="J309" t="n">
        <v>0</v>
      </c>
      <c r="K309" t="n">
        <v>0</v>
      </c>
      <c r="L309" t="n">
        <v>0</v>
      </c>
      <c r="M309" t="n">
        <v>0</v>
      </c>
      <c r="N309" t="n">
        <v>0</v>
      </c>
      <c r="O309" t="n">
        <v>0</v>
      </c>
      <c r="P309" t="n">
        <v>0</v>
      </c>
      <c r="Q309" t="n">
        <v>0</v>
      </c>
      <c r="R309" s="2" t="inlineStr"/>
    </row>
    <row r="310" ht="15" customHeight="1">
      <c r="A310" t="inlineStr">
        <is>
          <t>A 65663-2020</t>
        </is>
      </c>
      <c r="B310" s="1" t="n">
        <v>44172</v>
      </c>
      <c r="C310" s="1" t="n">
        <v>45510</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68641-2020</t>
        </is>
      </c>
      <c r="B311" s="1" t="n">
        <v>44186</v>
      </c>
      <c r="C311" s="1" t="n">
        <v>45510</v>
      </c>
      <c r="D311" t="inlineStr">
        <is>
          <t>VÄSTERBOTTENS LÄN</t>
        </is>
      </c>
      <c r="E311" t="inlineStr">
        <is>
          <t>VILHELMINA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68640-2020</t>
        </is>
      </c>
      <c r="B312" s="1" t="n">
        <v>44186</v>
      </c>
      <c r="C312" s="1" t="n">
        <v>45510</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69502-2020</t>
        </is>
      </c>
      <c r="B313" s="1" t="n">
        <v>44193</v>
      </c>
      <c r="C313" s="1" t="n">
        <v>45510</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69621-2020</t>
        </is>
      </c>
      <c r="B314" s="1" t="n">
        <v>44195</v>
      </c>
      <c r="C314" s="1" t="n">
        <v>45510</v>
      </c>
      <c r="D314" t="inlineStr">
        <is>
          <t>VÄSTERBOTTENS LÄN</t>
        </is>
      </c>
      <c r="E314" t="inlineStr">
        <is>
          <t>VILHELMINA</t>
        </is>
      </c>
      <c r="G314" t="n">
        <v>2.9</v>
      </c>
      <c r="H314" t="n">
        <v>0</v>
      </c>
      <c r="I314" t="n">
        <v>0</v>
      </c>
      <c r="J314" t="n">
        <v>0</v>
      </c>
      <c r="K314" t="n">
        <v>0</v>
      </c>
      <c r="L314" t="n">
        <v>0</v>
      </c>
      <c r="M314" t="n">
        <v>0</v>
      </c>
      <c r="N314" t="n">
        <v>0</v>
      </c>
      <c r="O314" t="n">
        <v>0</v>
      </c>
      <c r="P314" t="n">
        <v>0</v>
      </c>
      <c r="Q314" t="n">
        <v>0</v>
      </c>
      <c r="R314" s="2" t="inlineStr"/>
    </row>
    <row r="315" ht="15" customHeight="1">
      <c r="A315" t="inlineStr">
        <is>
          <t>A 1471-2021</t>
        </is>
      </c>
      <c r="B315" s="1" t="n">
        <v>44208</v>
      </c>
      <c r="C315" s="1" t="n">
        <v>45510</v>
      </c>
      <c r="D315" t="inlineStr">
        <is>
          <t>VÄSTERBOTTENS LÄN</t>
        </is>
      </c>
      <c r="E315" t="inlineStr">
        <is>
          <t>VILHELMINA</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1470-2021</t>
        </is>
      </c>
      <c r="B316" s="1" t="n">
        <v>44208</v>
      </c>
      <c r="C316" s="1" t="n">
        <v>45510</v>
      </c>
      <c r="D316" t="inlineStr">
        <is>
          <t>VÄSTERBOTTENS LÄN</t>
        </is>
      </c>
      <c r="E316" t="inlineStr">
        <is>
          <t>VILHELMINA</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2187-2021</t>
        </is>
      </c>
      <c r="B317" s="1" t="n">
        <v>44211</v>
      </c>
      <c r="C317" s="1" t="n">
        <v>45510</v>
      </c>
      <c r="D317" t="inlineStr">
        <is>
          <t>VÄSTERBOTTENS LÄN</t>
        </is>
      </c>
      <c r="E317" t="inlineStr">
        <is>
          <t>VILHELMINA</t>
        </is>
      </c>
      <c r="F317" t="inlineStr">
        <is>
          <t>Allmännings- och besparingsskogar</t>
        </is>
      </c>
      <c r="G317" t="n">
        <v>21.3</v>
      </c>
      <c r="H317" t="n">
        <v>0</v>
      </c>
      <c r="I317" t="n">
        <v>0</v>
      </c>
      <c r="J317" t="n">
        <v>0</v>
      </c>
      <c r="K317" t="n">
        <v>0</v>
      </c>
      <c r="L317" t="n">
        <v>0</v>
      </c>
      <c r="M317" t="n">
        <v>0</v>
      </c>
      <c r="N317" t="n">
        <v>0</v>
      </c>
      <c r="O317" t="n">
        <v>0</v>
      </c>
      <c r="P317" t="n">
        <v>0</v>
      </c>
      <c r="Q317" t="n">
        <v>0</v>
      </c>
      <c r="R317" s="2" t="inlineStr"/>
    </row>
    <row r="318" ht="15" customHeight="1">
      <c r="A318" t="inlineStr">
        <is>
          <t>A 2189-2021</t>
        </is>
      </c>
      <c r="B318" s="1" t="n">
        <v>44211</v>
      </c>
      <c r="C318" s="1" t="n">
        <v>45510</v>
      </c>
      <c r="D318" t="inlineStr">
        <is>
          <t>VÄSTERBOTTENS LÄN</t>
        </is>
      </c>
      <c r="E318" t="inlineStr">
        <is>
          <t>VILHELMINA</t>
        </is>
      </c>
      <c r="F318" t="inlineStr">
        <is>
          <t>Allmännings- och besparingsskogar</t>
        </is>
      </c>
      <c r="G318" t="n">
        <v>20.1</v>
      </c>
      <c r="H318" t="n">
        <v>0</v>
      </c>
      <c r="I318" t="n">
        <v>0</v>
      </c>
      <c r="J318" t="n">
        <v>0</v>
      </c>
      <c r="K318" t="n">
        <v>0</v>
      </c>
      <c r="L318" t="n">
        <v>0</v>
      </c>
      <c r="M318" t="n">
        <v>0</v>
      </c>
      <c r="N318" t="n">
        <v>0</v>
      </c>
      <c r="O318" t="n">
        <v>0</v>
      </c>
      <c r="P318" t="n">
        <v>0</v>
      </c>
      <c r="Q318" t="n">
        <v>0</v>
      </c>
      <c r="R318" s="2" t="inlineStr"/>
    </row>
    <row r="319" ht="15" customHeight="1">
      <c r="A319" t="inlineStr">
        <is>
          <t>A 2193-2021</t>
        </is>
      </c>
      <c r="B319" s="1" t="n">
        <v>44211</v>
      </c>
      <c r="C319" s="1" t="n">
        <v>45510</v>
      </c>
      <c r="D319" t="inlineStr">
        <is>
          <t>VÄSTERBOTTENS LÄN</t>
        </is>
      </c>
      <c r="E319" t="inlineStr">
        <is>
          <t>VILHELMINA</t>
        </is>
      </c>
      <c r="F319" t="inlineStr">
        <is>
          <t>Allmännings- och besparingsskogar</t>
        </is>
      </c>
      <c r="G319" t="n">
        <v>157.8</v>
      </c>
      <c r="H319" t="n">
        <v>0</v>
      </c>
      <c r="I319" t="n">
        <v>0</v>
      </c>
      <c r="J319" t="n">
        <v>0</v>
      </c>
      <c r="K319" t="n">
        <v>0</v>
      </c>
      <c r="L319" t="n">
        <v>0</v>
      </c>
      <c r="M319" t="n">
        <v>0</v>
      </c>
      <c r="N319" t="n">
        <v>0</v>
      </c>
      <c r="O319" t="n">
        <v>0</v>
      </c>
      <c r="P319" t="n">
        <v>0</v>
      </c>
      <c r="Q319" t="n">
        <v>0</v>
      </c>
      <c r="R319" s="2" t="inlineStr"/>
    </row>
    <row r="320" ht="15" customHeight="1">
      <c r="A320" t="inlineStr">
        <is>
          <t>A 3096-2021</t>
        </is>
      </c>
      <c r="B320" s="1" t="n">
        <v>44216</v>
      </c>
      <c r="C320" s="1" t="n">
        <v>45510</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3435-2021</t>
        </is>
      </c>
      <c r="B321" s="1" t="n">
        <v>44216</v>
      </c>
      <c r="C321" s="1" t="n">
        <v>45510</v>
      </c>
      <c r="D321" t="inlineStr">
        <is>
          <t>VÄSTERBOTTENS LÄN</t>
        </is>
      </c>
      <c r="E321" t="inlineStr">
        <is>
          <t>VILHELMINA</t>
        </is>
      </c>
      <c r="G321" t="n">
        <v>20.5</v>
      </c>
      <c r="H321" t="n">
        <v>0</v>
      </c>
      <c r="I321" t="n">
        <v>0</v>
      </c>
      <c r="J321" t="n">
        <v>0</v>
      </c>
      <c r="K321" t="n">
        <v>0</v>
      </c>
      <c r="L321" t="n">
        <v>0</v>
      </c>
      <c r="M321" t="n">
        <v>0</v>
      </c>
      <c r="N321" t="n">
        <v>0</v>
      </c>
      <c r="O321" t="n">
        <v>0</v>
      </c>
      <c r="P321" t="n">
        <v>0</v>
      </c>
      <c r="Q321" t="n">
        <v>0</v>
      </c>
      <c r="R321" s="2" t="inlineStr"/>
    </row>
    <row r="322" ht="15" customHeight="1">
      <c r="A322" t="inlineStr">
        <is>
          <t>A 6658-2021</t>
        </is>
      </c>
      <c r="B322" s="1" t="n">
        <v>44235</v>
      </c>
      <c r="C322" s="1" t="n">
        <v>45510</v>
      </c>
      <c r="D322" t="inlineStr">
        <is>
          <t>VÄSTERBOTTENS LÄN</t>
        </is>
      </c>
      <c r="E322" t="inlineStr">
        <is>
          <t>VILHELMINA</t>
        </is>
      </c>
      <c r="G322" t="n">
        <v>6.7</v>
      </c>
      <c r="H322" t="n">
        <v>0</v>
      </c>
      <c r="I322" t="n">
        <v>0</v>
      </c>
      <c r="J322" t="n">
        <v>0</v>
      </c>
      <c r="K322" t="n">
        <v>0</v>
      </c>
      <c r="L322" t="n">
        <v>0</v>
      </c>
      <c r="M322" t="n">
        <v>0</v>
      </c>
      <c r="N322" t="n">
        <v>0</v>
      </c>
      <c r="O322" t="n">
        <v>0</v>
      </c>
      <c r="P322" t="n">
        <v>0</v>
      </c>
      <c r="Q322" t="n">
        <v>0</v>
      </c>
      <c r="R322" s="2" t="inlineStr"/>
    </row>
    <row r="323" ht="15" customHeight="1">
      <c r="A323" t="inlineStr">
        <is>
          <t>A 6699-2021</t>
        </is>
      </c>
      <c r="B323" s="1" t="n">
        <v>44235</v>
      </c>
      <c r="C323" s="1" t="n">
        <v>45510</v>
      </c>
      <c r="D323" t="inlineStr">
        <is>
          <t>VÄSTERBOTTENS LÄN</t>
        </is>
      </c>
      <c r="E323" t="inlineStr">
        <is>
          <t>VILHELMINA</t>
        </is>
      </c>
      <c r="G323" t="n">
        <v>6.9</v>
      </c>
      <c r="H323" t="n">
        <v>0</v>
      </c>
      <c r="I323" t="n">
        <v>0</v>
      </c>
      <c r="J323" t="n">
        <v>0</v>
      </c>
      <c r="K323" t="n">
        <v>0</v>
      </c>
      <c r="L323" t="n">
        <v>0</v>
      </c>
      <c r="M323" t="n">
        <v>0</v>
      </c>
      <c r="N323" t="n">
        <v>0</v>
      </c>
      <c r="O323" t="n">
        <v>0</v>
      </c>
      <c r="P323" t="n">
        <v>0</v>
      </c>
      <c r="Q323" t="n">
        <v>0</v>
      </c>
      <c r="R323" s="2" t="inlineStr"/>
    </row>
    <row r="324" ht="15" customHeight="1">
      <c r="A324" t="inlineStr">
        <is>
          <t>A 6664-2021</t>
        </is>
      </c>
      <c r="B324" s="1" t="n">
        <v>44235</v>
      </c>
      <c r="C324" s="1" t="n">
        <v>45510</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6653-2021</t>
        </is>
      </c>
      <c r="B325" s="1" t="n">
        <v>44235</v>
      </c>
      <c r="C325" s="1" t="n">
        <v>45510</v>
      </c>
      <c r="D325" t="inlineStr">
        <is>
          <t>VÄSTERBOTTENS LÄN</t>
        </is>
      </c>
      <c r="E325" t="inlineStr">
        <is>
          <t>VILHELMINA</t>
        </is>
      </c>
      <c r="G325" t="n">
        <v>18</v>
      </c>
      <c r="H325" t="n">
        <v>0</v>
      </c>
      <c r="I325" t="n">
        <v>0</v>
      </c>
      <c r="J325" t="n">
        <v>0</v>
      </c>
      <c r="K325" t="n">
        <v>0</v>
      </c>
      <c r="L325" t="n">
        <v>0</v>
      </c>
      <c r="M325" t="n">
        <v>0</v>
      </c>
      <c r="N325" t="n">
        <v>0</v>
      </c>
      <c r="O325" t="n">
        <v>0</v>
      </c>
      <c r="P325" t="n">
        <v>0</v>
      </c>
      <c r="Q325" t="n">
        <v>0</v>
      </c>
      <c r="R325" s="2" t="inlineStr"/>
    </row>
    <row r="326" ht="15" customHeight="1">
      <c r="A326" t="inlineStr">
        <is>
          <t>A 6669-2021</t>
        </is>
      </c>
      <c r="B326" s="1" t="n">
        <v>44235</v>
      </c>
      <c r="C326" s="1" t="n">
        <v>45510</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6665-2021</t>
        </is>
      </c>
      <c r="B327" s="1" t="n">
        <v>44235</v>
      </c>
      <c r="C327" s="1" t="n">
        <v>45510</v>
      </c>
      <c r="D327" t="inlineStr">
        <is>
          <t>VÄSTERBOTTENS LÄN</t>
        </is>
      </c>
      <c r="E327" t="inlineStr">
        <is>
          <t>VILHELMINA</t>
        </is>
      </c>
      <c r="G327" t="n">
        <v>20</v>
      </c>
      <c r="H327" t="n">
        <v>0</v>
      </c>
      <c r="I327" t="n">
        <v>0</v>
      </c>
      <c r="J327" t="n">
        <v>0</v>
      </c>
      <c r="K327" t="n">
        <v>0</v>
      </c>
      <c r="L327" t="n">
        <v>0</v>
      </c>
      <c r="M327" t="n">
        <v>0</v>
      </c>
      <c r="N327" t="n">
        <v>0</v>
      </c>
      <c r="O327" t="n">
        <v>0</v>
      </c>
      <c r="P327" t="n">
        <v>0</v>
      </c>
      <c r="Q327" t="n">
        <v>0</v>
      </c>
      <c r="R327" s="2" t="inlineStr"/>
    </row>
    <row r="328" ht="15" customHeight="1">
      <c r="A328" t="inlineStr">
        <is>
          <t>A 6706-2021</t>
        </is>
      </c>
      <c r="B328" s="1" t="n">
        <v>44235</v>
      </c>
      <c r="C328" s="1" t="n">
        <v>45510</v>
      </c>
      <c r="D328" t="inlineStr">
        <is>
          <t>VÄSTERBOTTENS LÄN</t>
        </is>
      </c>
      <c r="E328" t="inlineStr">
        <is>
          <t>VILHELMINA</t>
        </is>
      </c>
      <c r="G328" t="n">
        <v>3.8</v>
      </c>
      <c r="H328" t="n">
        <v>0</v>
      </c>
      <c r="I328" t="n">
        <v>0</v>
      </c>
      <c r="J328" t="n">
        <v>0</v>
      </c>
      <c r="K328" t="n">
        <v>0</v>
      </c>
      <c r="L328" t="n">
        <v>0</v>
      </c>
      <c r="M328" t="n">
        <v>0</v>
      </c>
      <c r="N328" t="n">
        <v>0</v>
      </c>
      <c r="O328" t="n">
        <v>0</v>
      </c>
      <c r="P328" t="n">
        <v>0</v>
      </c>
      <c r="Q328" t="n">
        <v>0</v>
      </c>
      <c r="R328" s="2" t="inlineStr"/>
    </row>
    <row r="329" ht="15" customHeight="1">
      <c r="A329" t="inlineStr">
        <is>
          <t>A 7078-2021</t>
        </is>
      </c>
      <c r="B329" s="1" t="n">
        <v>44237</v>
      </c>
      <c r="C329" s="1" t="n">
        <v>45510</v>
      </c>
      <c r="D329" t="inlineStr">
        <is>
          <t>VÄSTERBOTTENS LÄN</t>
        </is>
      </c>
      <c r="E329" t="inlineStr">
        <is>
          <t>VILHELMINA</t>
        </is>
      </c>
      <c r="F329" t="inlineStr">
        <is>
          <t>SCA</t>
        </is>
      </c>
      <c r="G329" t="n">
        <v>28.4</v>
      </c>
      <c r="H329" t="n">
        <v>0</v>
      </c>
      <c r="I329" t="n">
        <v>0</v>
      </c>
      <c r="J329" t="n">
        <v>0</v>
      </c>
      <c r="K329" t="n">
        <v>0</v>
      </c>
      <c r="L329" t="n">
        <v>0</v>
      </c>
      <c r="M329" t="n">
        <v>0</v>
      </c>
      <c r="N329" t="n">
        <v>0</v>
      </c>
      <c r="O329" t="n">
        <v>0</v>
      </c>
      <c r="P329" t="n">
        <v>0</v>
      </c>
      <c r="Q329" t="n">
        <v>0</v>
      </c>
      <c r="R329" s="2" t="inlineStr"/>
    </row>
    <row r="330" ht="15" customHeight="1">
      <c r="A330" t="inlineStr">
        <is>
          <t>A 8003-2021</t>
        </is>
      </c>
      <c r="B330" s="1" t="n">
        <v>44243</v>
      </c>
      <c r="C330" s="1" t="n">
        <v>45510</v>
      </c>
      <c r="D330" t="inlineStr">
        <is>
          <t>VÄSTERBOTTENS LÄN</t>
        </is>
      </c>
      <c r="E330" t="inlineStr">
        <is>
          <t>VILHELMINA</t>
        </is>
      </c>
      <c r="G330" t="n">
        <v>5.1</v>
      </c>
      <c r="H330" t="n">
        <v>0</v>
      </c>
      <c r="I330" t="n">
        <v>0</v>
      </c>
      <c r="J330" t="n">
        <v>0</v>
      </c>
      <c r="K330" t="n">
        <v>0</v>
      </c>
      <c r="L330" t="n">
        <v>0</v>
      </c>
      <c r="M330" t="n">
        <v>0</v>
      </c>
      <c r="N330" t="n">
        <v>0</v>
      </c>
      <c r="O330" t="n">
        <v>0</v>
      </c>
      <c r="P330" t="n">
        <v>0</v>
      </c>
      <c r="Q330" t="n">
        <v>0</v>
      </c>
      <c r="R330" s="2" t="inlineStr"/>
    </row>
    <row r="331" ht="15" customHeight="1">
      <c r="A331" t="inlineStr">
        <is>
          <t>A 8750-2021</t>
        </is>
      </c>
      <c r="B331" s="1" t="n">
        <v>44246</v>
      </c>
      <c r="C331" s="1" t="n">
        <v>45510</v>
      </c>
      <c r="D331" t="inlineStr">
        <is>
          <t>VÄSTERBOTTENS LÄN</t>
        </is>
      </c>
      <c r="E331" t="inlineStr">
        <is>
          <t>VILHELMINA</t>
        </is>
      </c>
      <c r="G331" t="n">
        <v>5.2</v>
      </c>
      <c r="H331" t="n">
        <v>0</v>
      </c>
      <c r="I331" t="n">
        <v>0</v>
      </c>
      <c r="J331" t="n">
        <v>0</v>
      </c>
      <c r="K331" t="n">
        <v>0</v>
      </c>
      <c r="L331" t="n">
        <v>0</v>
      </c>
      <c r="M331" t="n">
        <v>0</v>
      </c>
      <c r="N331" t="n">
        <v>0</v>
      </c>
      <c r="O331" t="n">
        <v>0</v>
      </c>
      <c r="P331" t="n">
        <v>0</v>
      </c>
      <c r="Q331" t="n">
        <v>0</v>
      </c>
      <c r="R331" s="2" t="inlineStr"/>
    </row>
    <row r="332" ht="15" customHeight="1">
      <c r="A332" t="inlineStr">
        <is>
          <t>A 10075-2021</t>
        </is>
      </c>
      <c r="B332" s="1" t="n">
        <v>44253</v>
      </c>
      <c r="C332" s="1" t="n">
        <v>45510</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9916-2021</t>
        </is>
      </c>
      <c r="B333" s="1" t="n">
        <v>44253</v>
      </c>
      <c r="C333" s="1" t="n">
        <v>45510</v>
      </c>
      <c r="D333" t="inlineStr">
        <is>
          <t>VÄSTERBOTTENS LÄN</t>
        </is>
      </c>
      <c r="E333" t="inlineStr">
        <is>
          <t>VILHELMINA</t>
        </is>
      </c>
      <c r="G333" t="n">
        <v>1</v>
      </c>
      <c r="H333" t="n">
        <v>0</v>
      </c>
      <c r="I333" t="n">
        <v>0</v>
      </c>
      <c r="J333" t="n">
        <v>0</v>
      </c>
      <c r="K333" t="n">
        <v>0</v>
      </c>
      <c r="L333" t="n">
        <v>0</v>
      </c>
      <c r="M333" t="n">
        <v>0</v>
      </c>
      <c r="N333" t="n">
        <v>0</v>
      </c>
      <c r="O333" t="n">
        <v>0</v>
      </c>
      <c r="P333" t="n">
        <v>0</v>
      </c>
      <c r="Q333" t="n">
        <v>0</v>
      </c>
      <c r="R333" s="2" t="inlineStr"/>
    </row>
    <row r="334" ht="15" customHeight="1">
      <c r="A334" t="inlineStr">
        <is>
          <t>A 18802-2021</t>
        </is>
      </c>
      <c r="B334" s="1" t="n">
        <v>44307</v>
      </c>
      <c r="C334" s="1" t="n">
        <v>45510</v>
      </c>
      <c r="D334" t="inlineStr">
        <is>
          <t>VÄSTERBOTTENS LÄN</t>
        </is>
      </c>
      <c r="E334" t="inlineStr">
        <is>
          <t>VILHELMINA</t>
        </is>
      </c>
      <c r="G334" t="n">
        <v>1.2</v>
      </c>
      <c r="H334" t="n">
        <v>0</v>
      </c>
      <c r="I334" t="n">
        <v>0</v>
      </c>
      <c r="J334" t="n">
        <v>0</v>
      </c>
      <c r="K334" t="n">
        <v>0</v>
      </c>
      <c r="L334" t="n">
        <v>0</v>
      </c>
      <c r="M334" t="n">
        <v>0</v>
      </c>
      <c r="N334" t="n">
        <v>0</v>
      </c>
      <c r="O334" t="n">
        <v>0</v>
      </c>
      <c r="P334" t="n">
        <v>0</v>
      </c>
      <c r="Q334" t="n">
        <v>0</v>
      </c>
      <c r="R334" s="2" t="inlineStr"/>
    </row>
    <row r="335" ht="15" customHeight="1">
      <c r="A335" t="inlineStr">
        <is>
          <t>A 18781-2021</t>
        </is>
      </c>
      <c r="B335" s="1" t="n">
        <v>44307</v>
      </c>
      <c r="C335" s="1" t="n">
        <v>45510</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18971-2021</t>
        </is>
      </c>
      <c r="B336" s="1" t="n">
        <v>44307</v>
      </c>
      <c r="C336" s="1" t="n">
        <v>45510</v>
      </c>
      <c r="D336" t="inlineStr">
        <is>
          <t>VÄSTERBOTTENS LÄN</t>
        </is>
      </c>
      <c r="E336" t="inlineStr">
        <is>
          <t>VILHELMINA</t>
        </is>
      </c>
      <c r="G336" t="n">
        <v>2</v>
      </c>
      <c r="H336" t="n">
        <v>0</v>
      </c>
      <c r="I336" t="n">
        <v>0</v>
      </c>
      <c r="J336" t="n">
        <v>0</v>
      </c>
      <c r="K336" t="n">
        <v>0</v>
      </c>
      <c r="L336" t="n">
        <v>0</v>
      </c>
      <c r="M336" t="n">
        <v>0</v>
      </c>
      <c r="N336" t="n">
        <v>0</v>
      </c>
      <c r="O336" t="n">
        <v>0</v>
      </c>
      <c r="P336" t="n">
        <v>0</v>
      </c>
      <c r="Q336" t="n">
        <v>0</v>
      </c>
      <c r="R336" s="2" t="inlineStr"/>
    </row>
    <row r="337" ht="15" customHeight="1">
      <c r="A337" t="inlineStr">
        <is>
          <t>A 18790-2021</t>
        </is>
      </c>
      <c r="B337" s="1" t="n">
        <v>44307</v>
      </c>
      <c r="C337" s="1" t="n">
        <v>45510</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18950-2021</t>
        </is>
      </c>
      <c r="B338" s="1" t="n">
        <v>44307</v>
      </c>
      <c r="C338" s="1" t="n">
        <v>45510</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20568-2021</t>
        </is>
      </c>
      <c r="B339" s="1" t="n">
        <v>44316</v>
      </c>
      <c r="C339" s="1" t="n">
        <v>45510</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20653-2021</t>
        </is>
      </c>
      <c r="B340" s="1" t="n">
        <v>44316</v>
      </c>
      <c r="C340" s="1" t="n">
        <v>45510</v>
      </c>
      <c r="D340" t="inlineStr">
        <is>
          <t>VÄSTERBOTTENS LÄN</t>
        </is>
      </c>
      <c r="E340" t="inlineStr">
        <is>
          <t>VILHELMINA</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21726-2021</t>
        </is>
      </c>
      <c r="B341" s="1" t="n">
        <v>44322</v>
      </c>
      <c r="C341" s="1" t="n">
        <v>45510</v>
      </c>
      <c r="D341" t="inlineStr">
        <is>
          <t>VÄSTERBOTTENS LÄN</t>
        </is>
      </c>
      <c r="E341" t="inlineStr">
        <is>
          <t>VILHELMINA</t>
        </is>
      </c>
      <c r="G341" t="n">
        <v>19.6</v>
      </c>
      <c r="H341" t="n">
        <v>0</v>
      </c>
      <c r="I341" t="n">
        <v>0</v>
      </c>
      <c r="J341" t="n">
        <v>0</v>
      </c>
      <c r="K341" t="n">
        <v>0</v>
      </c>
      <c r="L341" t="n">
        <v>0</v>
      </c>
      <c r="M341" t="n">
        <v>0</v>
      </c>
      <c r="N341" t="n">
        <v>0</v>
      </c>
      <c r="O341" t="n">
        <v>0</v>
      </c>
      <c r="P341" t="n">
        <v>0</v>
      </c>
      <c r="Q341" t="n">
        <v>0</v>
      </c>
      <c r="R341" s="2" t="inlineStr"/>
    </row>
    <row r="342" ht="15" customHeight="1">
      <c r="A342" t="inlineStr">
        <is>
          <t>A 23278-2021</t>
        </is>
      </c>
      <c r="B342" s="1" t="n">
        <v>44328</v>
      </c>
      <c r="C342" s="1" t="n">
        <v>45510</v>
      </c>
      <c r="D342" t="inlineStr">
        <is>
          <t>VÄSTERBOTTENS LÄN</t>
        </is>
      </c>
      <c r="E342" t="inlineStr">
        <is>
          <t>VILHELMINA</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23270-2021</t>
        </is>
      </c>
      <c r="B343" s="1" t="n">
        <v>44328</v>
      </c>
      <c r="C343" s="1" t="n">
        <v>45510</v>
      </c>
      <c r="D343" t="inlineStr">
        <is>
          <t>VÄSTERBOTTENS LÄN</t>
        </is>
      </c>
      <c r="E343" t="inlineStr">
        <is>
          <t>VILHELMINA</t>
        </is>
      </c>
      <c r="F343" t="inlineStr">
        <is>
          <t>Allmännings- och besparingsskogar</t>
        </is>
      </c>
      <c r="G343" t="n">
        <v>14.7</v>
      </c>
      <c r="H343" t="n">
        <v>0</v>
      </c>
      <c r="I343" t="n">
        <v>0</v>
      </c>
      <c r="J343" t="n">
        <v>0</v>
      </c>
      <c r="K343" t="n">
        <v>0</v>
      </c>
      <c r="L343" t="n">
        <v>0</v>
      </c>
      <c r="M343" t="n">
        <v>0</v>
      </c>
      <c r="N343" t="n">
        <v>0</v>
      </c>
      <c r="O343" t="n">
        <v>0</v>
      </c>
      <c r="P343" t="n">
        <v>0</v>
      </c>
      <c r="Q343" t="n">
        <v>0</v>
      </c>
      <c r="R343" s="2" t="inlineStr"/>
    </row>
    <row r="344" ht="15" customHeight="1">
      <c r="A344" t="inlineStr">
        <is>
          <t>A 23261-2021</t>
        </is>
      </c>
      <c r="B344" s="1" t="n">
        <v>44330</v>
      </c>
      <c r="C344" s="1" t="n">
        <v>45510</v>
      </c>
      <c r="D344" t="inlineStr">
        <is>
          <t>VÄSTERBOTTENS LÄN</t>
        </is>
      </c>
      <c r="E344" t="inlineStr">
        <is>
          <t>VILHELMINA</t>
        </is>
      </c>
      <c r="G344" t="n">
        <v>4.5</v>
      </c>
      <c r="H344" t="n">
        <v>0</v>
      </c>
      <c r="I344" t="n">
        <v>0</v>
      </c>
      <c r="J344" t="n">
        <v>0</v>
      </c>
      <c r="K344" t="n">
        <v>0</v>
      </c>
      <c r="L344" t="n">
        <v>0</v>
      </c>
      <c r="M344" t="n">
        <v>0</v>
      </c>
      <c r="N344" t="n">
        <v>0</v>
      </c>
      <c r="O344" t="n">
        <v>0</v>
      </c>
      <c r="P344" t="n">
        <v>0</v>
      </c>
      <c r="Q344" t="n">
        <v>0</v>
      </c>
      <c r="R344" s="2" t="inlineStr"/>
    </row>
    <row r="345" ht="15" customHeight="1">
      <c r="A345" t="inlineStr">
        <is>
          <t>A 24983-2021</t>
        </is>
      </c>
      <c r="B345" s="1" t="n">
        <v>44341</v>
      </c>
      <c r="C345" s="1" t="n">
        <v>45510</v>
      </c>
      <c r="D345" t="inlineStr">
        <is>
          <t>VÄSTERBOTTENS LÄN</t>
        </is>
      </c>
      <c r="E345" t="inlineStr">
        <is>
          <t>VILHELMINA</t>
        </is>
      </c>
      <c r="G345" t="n">
        <v>12.9</v>
      </c>
      <c r="H345" t="n">
        <v>0</v>
      </c>
      <c r="I345" t="n">
        <v>0</v>
      </c>
      <c r="J345" t="n">
        <v>0</v>
      </c>
      <c r="K345" t="n">
        <v>0</v>
      </c>
      <c r="L345" t="n">
        <v>0</v>
      </c>
      <c r="M345" t="n">
        <v>0</v>
      </c>
      <c r="N345" t="n">
        <v>0</v>
      </c>
      <c r="O345" t="n">
        <v>0</v>
      </c>
      <c r="P345" t="n">
        <v>0</v>
      </c>
      <c r="Q345" t="n">
        <v>0</v>
      </c>
      <c r="R345" s="2" t="inlineStr"/>
    </row>
    <row r="346" ht="15" customHeight="1">
      <c r="A346" t="inlineStr">
        <is>
          <t>A 24599-2021</t>
        </is>
      </c>
      <c r="B346" s="1" t="n">
        <v>44341</v>
      </c>
      <c r="C346" s="1" t="n">
        <v>45510</v>
      </c>
      <c r="D346" t="inlineStr">
        <is>
          <t>VÄSTERBOTTENS LÄN</t>
        </is>
      </c>
      <c r="E346" t="inlineStr">
        <is>
          <t>VILHELMINA</t>
        </is>
      </c>
      <c r="G346" t="n">
        <v>14.5</v>
      </c>
      <c r="H346" t="n">
        <v>0</v>
      </c>
      <c r="I346" t="n">
        <v>0</v>
      </c>
      <c r="J346" t="n">
        <v>0</v>
      </c>
      <c r="K346" t="n">
        <v>0</v>
      </c>
      <c r="L346" t="n">
        <v>0</v>
      </c>
      <c r="M346" t="n">
        <v>0</v>
      </c>
      <c r="N346" t="n">
        <v>0</v>
      </c>
      <c r="O346" t="n">
        <v>0</v>
      </c>
      <c r="P346" t="n">
        <v>0</v>
      </c>
      <c r="Q346" t="n">
        <v>0</v>
      </c>
      <c r="R346" s="2" t="inlineStr"/>
    </row>
    <row r="347" ht="15" customHeight="1">
      <c r="A347" t="inlineStr">
        <is>
          <t>A 25102-2021</t>
        </is>
      </c>
      <c r="B347" s="1" t="n">
        <v>44341</v>
      </c>
      <c r="C347" s="1" t="n">
        <v>45510</v>
      </c>
      <c r="D347" t="inlineStr">
        <is>
          <t>VÄSTERBOTTENS LÄN</t>
        </is>
      </c>
      <c r="E347" t="inlineStr">
        <is>
          <t>VILHELMINA</t>
        </is>
      </c>
      <c r="G347" t="n">
        <v>6.7</v>
      </c>
      <c r="H347" t="n">
        <v>0</v>
      </c>
      <c r="I347" t="n">
        <v>0</v>
      </c>
      <c r="J347" t="n">
        <v>0</v>
      </c>
      <c r="K347" t="n">
        <v>0</v>
      </c>
      <c r="L347" t="n">
        <v>0</v>
      </c>
      <c r="M347" t="n">
        <v>0</v>
      </c>
      <c r="N347" t="n">
        <v>0</v>
      </c>
      <c r="O347" t="n">
        <v>0</v>
      </c>
      <c r="P347" t="n">
        <v>0</v>
      </c>
      <c r="Q347" t="n">
        <v>0</v>
      </c>
      <c r="R347" s="2" t="inlineStr"/>
    </row>
    <row r="348" ht="15" customHeight="1">
      <c r="A348" t="inlineStr">
        <is>
          <t>A 26483-2021</t>
        </is>
      </c>
      <c r="B348" s="1" t="n">
        <v>44347</v>
      </c>
      <c r="C348" s="1" t="n">
        <v>45510</v>
      </c>
      <c r="D348" t="inlineStr">
        <is>
          <t>VÄSTERBOTTENS LÄN</t>
        </is>
      </c>
      <c r="E348" t="inlineStr">
        <is>
          <t>VILHELMINA</t>
        </is>
      </c>
      <c r="G348" t="n">
        <v>4.5</v>
      </c>
      <c r="H348" t="n">
        <v>0</v>
      </c>
      <c r="I348" t="n">
        <v>0</v>
      </c>
      <c r="J348" t="n">
        <v>0</v>
      </c>
      <c r="K348" t="n">
        <v>0</v>
      </c>
      <c r="L348" t="n">
        <v>0</v>
      </c>
      <c r="M348" t="n">
        <v>0</v>
      </c>
      <c r="N348" t="n">
        <v>0</v>
      </c>
      <c r="O348" t="n">
        <v>0</v>
      </c>
      <c r="P348" t="n">
        <v>0</v>
      </c>
      <c r="Q348" t="n">
        <v>0</v>
      </c>
      <c r="R348" s="2" t="inlineStr"/>
    </row>
    <row r="349" ht="15" customHeight="1">
      <c r="A349" t="inlineStr">
        <is>
          <t>A 28269-2021</t>
        </is>
      </c>
      <c r="B349" s="1" t="n">
        <v>44356</v>
      </c>
      <c r="C349" s="1" t="n">
        <v>45510</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28272-2021</t>
        </is>
      </c>
      <c r="B350" s="1" t="n">
        <v>44356</v>
      </c>
      <c r="C350" s="1" t="n">
        <v>45510</v>
      </c>
      <c r="D350" t="inlineStr">
        <is>
          <t>VÄSTERBOTTENS LÄN</t>
        </is>
      </c>
      <c r="E350" t="inlineStr">
        <is>
          <t>VILHELMINA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28895-2021</t>
        </is>
      </c>
      <c r="B351" s="1" t="n">
        <v>44357</v>
      </c>
      <c r="C351" s="1" t="n">
        <v>45510</v>
      </c>
      <c r="D351" t="inlineStr">
        <is>
          <t>VÄSTERBOTTENS LÄN</t>
        </is>
      </c>
      <c r="E351" t="inlineStr">
        <is>
          <t>VILHELMINA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29347-2021</t>
        </is>
      </c>
      <c r="B352" s="1" t="n">
        <v>44361</v>
      </c>
      <c r="C352" s="1" t="n">
        <v>45510</v>
      </c>
      <c r="D352" t="inlineStr">
        <is>
          <t>VÄSTERBOTTENS LÄN</t>
        </is>
      </c>
      <c r="E352" t="inlineStr">
        <is>
          <t>VILHELMINA</t>
        </is>
      </c>
      <c r="F352" t="inlineStr">
        <is>
          <t>Allmännings- och besparingsskogar</t>
        </is>
      </c>
      <c r="G352" t="n">
        <v>52</v>
      </c>
      <c r="H352" t="n">
        <v>0</v>
      </c>
      <c r="I352" t="n">
        <v>0</v>
      </c>
      <c r="J352" t="n">
        <v>0</v>
      </c>
      <c r="K352" t="n">
        <v>0</v>
      </c>
      <c r="L352" t="n">
        <v>0</v>
      </c>
      <c r="M352" t="n">
        <v>0</v>
      </c>
      <c r="N352" t="n">
        <v>0</v>
      </c>
      <c r="O352" t="n">
        <v>0</v>
      </c>
      <c r="P352" t="n">
        <v>0</v>
      </c>
      <c r="Q352" t="n">
        <v>0</v>
      </c>
      <c r="R352" s="2" t="inlineStr"/>
    </row>
    <row r="353" ht="15" customHeight="1">
      <c r="A353" t="inlineStr">
        <is>
          <t>A 29332-2021</t>
        </is>
      </c>
      <c r="B353" s="1" t="n">
        <v>44361</v>
      </c>
      <c r="C353" s="1" t="n">
        <v>45510</v>
      </c>
      <c r="D353" t="inlineStr">
        <is>
          <t>VÄSTERBOTTENS LÄN</t>
        </is>
      </c>
      <c r="E353" t="inlineStr">
        <is>
          <t>VILHELMINA</t>
        </is>
      </c>
      <c r="F353" t="inlineStr">
        <is>
          <t>Allmännings- och besparingsskogar</t>
        </is>
      </c>
      <c r="G353" t="n">
        <v>51.8</v>
      </c>
      <c r="H353" t="n">
        <v>0</v>
      </c>
      <c r="I353" t="n">
        <v>0</v>
      </c>
      <c r="J353" t="n">
        <v>0</v>
      </c>
      <c r="K353" t="n">
        <v>0</v>
      </c>
      <c r="L353" t="n">
        <v>0</v>
      </c>
      <c r="M353" t="n">
        <v>0</v>
      </c>
      <c r="N353" t="n">
        <v>0</v>
      </c>
      <c r="O353" t="n">
        <v>0</v>
      </c>
      <c r="P353" t="n">
        <v>0</v>
      </c>
      <c r="Q353" t="n">
        <v>0</v>
      </c>
      <c r="R353" s="2" t="inlineStr"/>
    </row>
    <row r="354" ht="15" customHeight="1">
      <c r="A354" t="inlineStr">
        <is>
          <t>A 31722-2021</t>
        </is>
      </c>
      <c r="B354" s="1" t="n">
        <v>44370</v>
      </c>
      <c r="C354" s="1" t="n">
        <v>45510</v>
      </c>
      <c r="D354" t="inlineStr">
        <is>
          <t>VÄSTERBOTTENS LÄN</t>
        </is>
      </c>
      <c r="E354" t="inlineStr">
        <is>
          <t>VILHELMINA</t>
        </is>
      </c>
      <c r="G354" t="n">
        <v>2.8</v>
      </c>
      <c r="H354" t="n">
        <v>0</v>
      </c>
      <c r="I354" t="n">
        <v>0</v>
      </c>
      <c r="J354" t="n">
        <v>0</v>
      </c>
      <c r="K354" t="n">
        <v>0</v>
      </c>
      <c r="L354" t="n">
        <v>0</v>
      </c>
      <c r="M354" t="n">
        <v>0</v>
      </c>
      <c r="N354" t="n">
        <v>0</v>
      </c>
      <c r="O354" t="n">
        <v>0</v>
      </c>
      <c r="P354" t="n">
        <v>0</v>
      </c>
      <c r="Q354" t="n">
        <v>0</v>
      </c>
      <c r="R354" s="2" t="inlineStr"/>
    </row>
    <row r="355" ht="15" customHeight="1">
      <c r="A355" t="inlineStr">
        <is>
          <t>A 32665-2021</t>
        </is>
      </c>
      <c r="B355" s="1" t="n">
        <v>44371</v>
      </c>
      <c r="C355" s="1" t="n">
        <v>45510</v>
      </c>
      <c r="D355" t="inlineStr">
        <is>
          <t>VÄSTERBOTTENS LÄN</t>
        </is>
      </c>
      <c r="E355" t="inlineStr">
        <is>
          <t>VILHELMINA</t>
        </is>
      </c>
      <c r="G355" t="n">
        <v>2.9</v>
      </c>
      <c r="H355" t="n">
        <v>0</v>
      </c>
      <c r="I355" t="n">
        <v>0</v>
      </c>
      <c r="J355" t="n">
        <v>0</v>
      </c>
      <c r="K355" t="n">
        <v>0</v>
      </c>
      <c r="L355" t="n">
        <v>0</v>
      </c>
      <c r="M355" t="n">
        <v>0</v>
      </c>
      <c r="N355" t="n">
        <v>0</v>
      </c>
      <c r="O355" t="n">
        <v>0</v>
      </c>
      <c r="P355" t="n">
        <v>0</v>
      </c>
      <c r="Q355" t="n">
        <v>0</v>
      </c>
      <c r="R355" s="2" t="inlineStr"/>
    </row>
    <row r="356" ht="15" customHeight="1">
      <c r="A356" t="inlineStr">
        <is>
          <t>A 32672-2021</t>
        </is>
      </c>
      <c r="B356" s="1" t="n">
        <v>44371</v>
      </c>
      <c r="C356" s="1" t="n">
        <v>45510</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32658-2021</t>
        </is>
      </c>
      <c r="B357" s="1" t="n">
        <v>44371</v>
      </c>
      <c r="C357" s="1" t="n">
        <v>45510</v>
      </c>
      <c r="D357" t="inlineStr">
        <is>
          <t>VÄSTERBOTTENS LÄN</t>
        </is>
      </c>
      <c r="E357" t="inlineStr">
        <is>
          <t>VILHELMINA</t>
        </is>
      </c>
      <c r="G357" t="n">
        <v>2.2</v>
      </c>
      <c r="H357" t="n">
        <v>0</v>
      </c>
      <c r="I357" t="n">
        <v>0</v>
      </c>
      <c r="J357" t="n">
        <v>0</v>
      </c>
      <c r="K357" t="n">
        <v>0</v>
      </c>
      <c r="L357" t="n">
        <v>0</v>
      </c>
      <c r="M357" t="n">
        <v>0</v>
      </c>
      <c r="N357" t="n">
        <v>0</v>
      </c>
      <c r="O357" t="n">
        <v>0</v>
      </c>
      <c r="P357" t="n">
        <v>0</v>
      </c>
      <c r="Q357" t="n">
        <v>0</v>
      </c>
      <c r="R357" s="2" t="inlineStr"/>
    </row>
    <row r="358" ht="15" customHeight="1">
      <c r="A358" t="inlineStr">
        <is>
          <t>A 32655-2021</t>
        </is>
      </c>
      <c r="B358" s="1" t="n">
        <v>44371</v>
      </c>
      <c r="C358" s="1" t="n">
        <v>45510</v>
      </c>
      <c r="D358" t="inlineStr">
        <is>
          <t>VÄSTERBOTTENS LÄN</t>
        </is>
      </c>
      <c r="E358" t="inlineStr">
        <is>
          <t>VILHELMINA</t>
        </is>
      </c>
      <c r="G358" t="n">
        <v>0.2</v>
      </c>
      <c r="H358" t="n">
        <v>0</v>
      </c>
      <c r="I358" t="n">
        <v>0</v>
      </c>
      <c r="J358" t="n">
        <v>0</v>
      </c>
      <c r="K358" t="n">
        <v>0</v>
      </c>
      <c r="L358" t="n">
        <v>0</v>
      </c>
      <c r="M358" t="n">
        <v>0</v>
      </c>
      <c r="N358" t="n">
        <v>0</v>
      </c>
      <c r="O358" t="n">
        <v>0</v>
      </c>
      <c r="P358" t="n">
        <v>0</v>
      </c>
      <c r="Q358" t="n">
        <v>0</v>
      </c>
      <c r="R358" s="2" t="inlineStr"/>
    </row>
    <row r="359" ht="15" customHeight="1">
      <c r="A359" t="inlineStr">
        <is>
          <t>A 31656-2021</t>
        </is>
      </c>
      <c r="B359" s="1" t="n">
        <v>44377</v>
      </c>
      <c r="C359" s="1" t="n">
        <v>45510</v>
      </c>
      <c r="D359" t="inlineStr">
        <is>
          <t>VÄSTERBOTTENS LÄN</t>
        </is>
      </c>
      <c r="E359" t="inlineStr">
        <is>
          <t>VILHELMINA</t>
        </is>
      </c>
      <c r="G359" t="n">
        <v>0.9</v>
      </c>
      <c r="H359" t="n">
        <v>0</v>
      </c>
      <c r="I359" t="n">
        <v>0</v>
      </c>
      <c r="J359" t="n">
        <v>0</v>
      </c>
      <c r="K359" t="n">
        <v>0</v>
      </c>
      <c r="L359" t="n">
        <v>0</v>
      </c>
      <c r="M359" t="n">
        <v>0</v>
      </c>
      <c r="N359" t="n">
        <v>0</v>
      </c>
      <c r="O359" t="n">
        <v>0</v>
      </c>
      <c r="P359" t="n">
        <v>0</v>
      </c>
      <c r="Q359" t="n">
        <v>0</v>
      </c>
      <c r="R359" s="2" t="inlineStr"/>
    </row>
    <row r="360" ht="15" customHeight="1">
      <c r="A360" t="inlineStr">
        <is>
          <t>A 33636-2021</t>
        </is>
      </c>
      <c r="B360" s="1" t="n">
        <v>44378</v>
      </c>
      <c r="C360" s="1" t="n">
        <v>45510</v>
      </c>
      <c r="D360" t="inlineStr">
        <is>
          <t>VÄSTERBOTTENS LÄN</t>
        </is>
      </c>
      <c r="E360" t="inlineStr">
        <is>
          <t>VILHELMINA</t>
        </is>
      </c>
      <c r="G360" t="n">
        <v>1.6</v>
      </c>
      <c r="H360" t="n">
        <v>0</v>
      </c>
      <c r="I360" t="n">
        <v>0</v>
      </c>
      <c r="J360" t="n">
        <v>0</v>
      </c>
      <c r="K360" t="n">
        <v>0</v>
      </c>
      <c r="L360" t="n">
        <v>0</v>
      </c>
      <c r="M360" t="n">
        <v>0</v>
      </c>
      <c r="N360" t="n">
        <v>0</v>
      </c>
      <c r="O360" t="n">
        <v>0</v>
      </c>
      <c r="P360" t="n">
        <v>0</v>
      </c>
      <c r="Q360" t="n">
        <v>0</v>
      </c>
      <c r="R360" s="2" t="inlineStr"/>
    </row>
    <row r="361" ht="15" customHeight="1">
      <c r="A361" t="inlineStr">
        <is>
          <t>A 34394-2021</t>
        </is>
      </c>
      <c r="B361" s="1" t="n">
        <v>44379</v>
      </c>
      <c r="C361" s="1" t="n">
        <v>45510</v>
      </c>
      <c r="D361" t="inlineStr">
        <is>
          <t>VÄSTERBOTTENS LÄN</t>
        </is>
      </c>
      <c r="E361" t="inlineStr">
        <is>
          <t>VILHELMINA</t>
        </is>
      </c>
      <c r="F361" t="inlineStr">
        <is>
          <t>SCA</t>
        </is>
      </c>
      <c r="G361" t="n">
        <v>11.7</v>
      </c>
      <c r="H361" t="n">
        <v>0</v>
      </c>
      <c r="I361" t="n">
        <v>0</v>
      </c>
      <c r="J361" t="n">
        <v>0</v>
      </c>
      <c r="K361" t="n">
        <v>0</v>
      </c>
      <c r="L361" t="n">
        <v>0</v>
      </c>
      <c r="M361" t="n">
        <v>0</v>
      </c>
      <c r="N361" t="n">
        <v>0</v>
      </c>
      <c r="O361" t="n">
        <v>0</v>
      </c>
      <c r="P361" t="n">
        <v>0</v>
      </c>
      <c r="Q361" t="n">
        <v>0</v>
      </c>
      <c r="R361" s="2" t="inlineStr"/>
    </row>
    <row r="362" ht="15" customHeight="1">
      <c r="A362" t="inlineStr">
        <is>
          <t>A 34808-2021</t>
        </is>
      </c>
      <c r="B362" s="1" t="n">
        <v>44382</v>
      </c>
      <c r="C362" s="1" t="n">
        <v>45510</v>
      </c>
      <c r="D362" t="inlineStr">
        <is>
          <t>VÄSTERBOTTENS LÄN</t>
        </is>
      </c>
      <c r="E362" t="inlineStr">
        <is>
          <t>VILHELMINA</t>
        </is>
      </c>
      <c r="F362" t="inlineStr">
        <is>
          <t>Allmännings- och besparingsskogar</t>
        </is>
      </c>
      <c r="G362" t="n">
        <v>20.6</v>
      </c>
      <c r="H362" t="n">
        <v>0</v>
      </c>
      <c r="I362" t="n">
        <v>0</v>
      </c>
      <c r="J362" t="n">
        <v>0</v>
      </c>
      <c r="K362" t="n">
        <v>0</v>
      </c>
      <c r="L362" t="n">
        <v>0</v>
      </c>
      <c r="M362" t="n">
        <v>0</v>
      </c>
      <c r="N362" t="n">
        <v>0</v>
      </c>
      <c r="O362" t="n">
        <v>0</v>
      </c>
      <c r="P362" t="n">
        <v>0</v>
      </c>
      <c r="Q362" t="n">
        <v>0</v>
      </c>
      <c r="R362" s="2" t="inlineStr"/>
    </row>
    <row r="363" ht="15" customHeight="1">
      <c r="A363" t="inlineStr">
        <is>
          <t>A 35876-2021</t>
        </is>
      </c>
      <c r="B363" s="1" t="n">
        <v>44386</v>
      </c>
      <c r="C363" s="1" t="n">
        <v>45510</v>
      </c>
      <c r="D363" t="inlineStr">
        <is>
          <t>VÄSTERBOTTENS LÄN</t>
        </is>
      </c>
      <c r="E363" t="inlineStr">
        <is>
          <t>VILHELMINA</t>
        </is>
      </c>
      <c r="F363" t="inlineStr">
        <is>
          <t>SCA</t>
        </is>
      </c>
      <c r="G363" t="n">
        <v>6.5</v>
      </c>
      <c r="H363" t="n">
        <v>0</v>
      </c>
      <c r="I363" t="n">
        <v>0</v>
      </c>
      <c r="J363" t="n">
        <v>0</v>
      </c>
      <c r="K363" t="n">
        <v>0</v>
      </c>
      <c r="L363" t="n">
        <v>0</v>
      </c>
      <c r="M363" t="n">
        <v>0</v>
      </c>
      <c r="N363" t="n">
        <v>0</v>
      </c>
      <c r="O363" t="n">
        <v>0</v>
      </c>
      <c r="P363" t="n">
        <v>0</v>
      </c>
      <c r="Q363" t="n">
        <v>0</v>
      </c>
      <c r="R363" s="2" t="inlineStr"/>
    </row>
    <row r="364" ht="15" customHeight="1">
      <c r="A364" t="inlineStr">
        <is>
          <t>A 36139-2021</t>
        </is>
      </c>
      <c r="B364" s="1" t="n">
        <v>44389</v>
      </c>
      <c r="C364" s="1" t="n">
        <v>45510</v>
      </c>
      <c r="D364" t="inlineStr">
        <is>
          <t>VÄSTERBOTTENS LÄN</t>
        </is>
      </c>
      <c r="E364" t="inlineStr">
        <is>
          <t>VILHELMINA</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36142-2021</t>
        </is>
      </c>
      <c r="B365" s="1" t="n">
        <v>44389</v>
      </c>
      <c r="C365" s="1" t="n">
        <v>45510</v>
      </c>
      <c r="D365" t="inlineStr">
        <is>
          <t>VÄSTERBOTTENS LÄN</t>
        </is>
      </c>
      <c r="E365" t="inlineStr">
        <is>
          <t>VILHELMINA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36147-2021</t>
        </is>
      </c>
      <c r="B366" s="1" t="n">
        <v>44389</v>
      </c>
      <c r="C366" s="1" t="n">
        <v>45510</v>
      </c>
      <c r="D366" t="inlineStr">
        <is>
          <t>VÄSTERBOTTENS LÄN</t>
        </is>
      </c>
      <c r="E366" t="inlineStr">
        <is>
          <t>VILHELMINA</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36288-2021</t>
        </is>
      </c>
      <c r="B367" s="1" t="n">
        <v>44389</v>
      </c>
      <c r="C367" s="1" t="n">
        <v>45510</v>
      </c>
      <c r="D367" t="inlineStr">
        <is>
          <t>VÄSTERBOTTENS LÄN</t>
        </is>
      </c>
      <c r="E367" t="inlineStr">
        <is>
          <t>VILHELMINA</t>
        </is>
      </c>
      <c r="G367" t="n">
        <v>20.5</v>
      </c>
      <c r="H367" t="n">
        <v>0</v>
      </c>
      <c r="I367" t="n">
        <v>0</v>
      </c>
      <c r="J367" t="n">
        <v>0</v>
      </c>
      <c r="K367" t="n">
        <v>0</v>
      </c>
      <c r="L367" t="n">
        <v>0</v>
      </c>
      <c r="M367" t="n">
        <v>0</v>
      </c>
      <c r="N367" t="n">
        <v>0</v>
      </c>
      <c r="O367" t="n">
        <v>0</v>
      </c>
      <c r="P367" t="n">
        <v>0</v>
      </c>
      <c r="Q367" t="n">
        <v>0</v>
      </c>
      <c r="R367" s="2" t="inlineStr"/>
    </row>
    <row r="368" ht="15" customHeight="1">
      <c r="A368" t="inlineStr">
        <is>
          <t>A 37320-2021</t>
        </is>
      </c>
      <c r="B368" s="1" t="n">
        <v>44397</v>
      </c>
      <c r="C368" s="1" t="n">
        <v>45510</v>
      </c>
      <c r="D368" t="inlineStr">
        <is>
          <t>VÄSTERBOTTENS LÄN</t>
        </is>
      </c>
      <c r="E368" t="inlineStr">
        <is>
          <t>VILHELMINA</t>
        </is>
      </c>
      <c r="F368" t="inlineStr">
        <is>
          <t>Kommuner</t>
        </is>
      </c>
      <c r="G368" t="n">
        <v>1.2</v>
      </c>
      <c r="H368" t="n">
        <v>0</v>
      </c>
      <c r="I368" t="n">
        <v>0</v>
      </c>
      <c r="J368" t="n">
        <v>0</v>
      </c>
      <c r="K368" t="n">
        <v>0</v>
      </c>
      <c r="L368" t="n">
        <v>0</v>
      </c>
      <c r="M368" t="n">
        <v>0</v>
      </c>
      <c r="N368" t="n">
        <v>0</v>
      </c>
      <c r="O368" t="n">
        <v>0</v>
      </c>
      <c r="P368" t="n">
        <v>0</v>
      </c>
      <c r="Q368" t="n">
        <v>0</v>
      </c>
      <c r="R368" s="2" t="inlineStr"/>
    </row>
    <row r="369" ht="15" customHeight="1">
      <c r="A369" t="inlineStr">
        <is>
          <t>A 38327-2021</t>
        </is>
      </c>
      <c r="B369" s="1" t="n">
        <v>44406</v>
      </c>
      <c r="C369" s="1" t="n">
        <v>45510</v>
      </c>
      <c r="D369" t="inlineStr">
        <is>
          <t>VÄSTERBOTTENS LÄN</t>
        </is>
      </c>
      <c r="E369" t="inlineStr">
        <is>
          <t>VILHELMINA</t>
        </is>
      </c>
      <c r="G369" t="n">
        <v>0.4</v>
      </c>
      <c r="H369" t="n">
        <v>0</v>
      </c>
      <c r="I369" t="n">
        <v>0</v>
      </c>
      <c r="J369" t="n">
        <v>0</v>
      </c>
      <c r="K369" t="n">
        <v>0</v>
      </c>
      <c r="L369" t="n">
        <v>0</v>
      </c>
      <c r="M369" t="n">
        <v>0</v>
      </c>
      <c r="N369" t="n">
        <v>0</v>
      </c>
      <c r="O369" t="n">
        <v>0</v>
      </c>
      <c r="P369" t="n">
        <v>0</v>
      </c>
      <c r="Q369" t="n">
        <v>0</v>
      </c>
      <c r="R369" s="2" t="inlineStr"/>
    </row>
    <row r="370" ht="15" customHeight="1">
      <c r="A370" t="inlineStr">
        <is>
          <t>A 39186-2021</t>
        </is>
      </c>
      <c r="B370" s="1" t="n">
        <v>44412</v>
      </c>
      <c r="C370" s="1" t="n">
        <v>45510</v>
      </c>
      <c r="D370" t="inlineStr">
        <is>
          <t>VÄSTERBOTTENS LÄN</t>
        </is>
      </c>
      <c r="E370" t="inlineStr">
        <is>
          <t>VILHELMINA</t>
        </is>
      </c>
      <c r="G370" t="n">
        <v>0.3</v>
      </c>
      <c r="H370" t="n">
        <v>0</v>
      </c>
      <c r="I370" t="n">
        <v>0</v>
      </c>
      <c r="J370" t="n">
        <v>0</v>
      </c>
      <c r="K370" t="n">
        <v>0</v>
      </c>
      <c r="L370" t="n">
        <v>0</v>
      </c>
      <c r="M370" t="n">
        <v>0</v>
      </c>
      <c r="N370" t="n">
        <v>0</v>
      </c>
      <c r="O370" t="n">
        <v>0</v>
      </c>
      <c r="P370" t="n">
        <v>0</v>
      </c>
      <c r="Q370" t="n">
        <v>0</v>
      </c>
      <c r="R370" s="2" t="inlineStr"/>
    </row>
    <row r="371" ht="15" customHeight="1">
      <c r="A371" t="inlineStr">
        <is>
          <t>A 40470-2021</t>
        </is>
      </c>
      <c r="B371" s="1" t="n">
        <v>44420</v>
      </c>
      <c r="C371" s="1" t="n">
        <v>45510</v>
      </c>
      <c r="D371" t="inlineStr">
        <is>
          <t>VÄSTERBOTTENS LÄN</t>
        </is>
      </c>
      <c r="E371" t="inlineStr">
        <is>
          <t>VILHELMINA</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40471-2021</t>
        </is>
      </c>
      <c r="B372" s="1" t="n">
        <v>44420</v>
      </c>
      <c r="C372" s="1" t="n">
        <v>45510</v>
      </c>
      <c r="D372" t="inlineStr">
        <is>
          <t>VÄSTERBOTTENS LÄN</t>
        </is>
      </c>
      <c r="E372" t="inlineStr">
        <is>
          <t>VILHELMINA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40477-2021</t>
        </is>
      </c>
      <c r="B373" s="1" t="n">
        <v>44420</v>
      </c>
      <c r="C373" s="1" t="n">
        <v>45510</v>
      </c>
      <c r="D373" t="inlineStr">
        <is>
          <t>VÄSTERBOTTENS LÄN</t>
        </is>
      </c>
      <c r="E373" t="inlineStr">
        <is>
          <t>VILHELMINA</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40468-2021</t>
        </is>
      </c>
      <c r="B374" s="1" t="n">
        <v>44420</v>
      </c>
      <c r="C374" s="1" t="n">
        <v>45510</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40476-2021</t>
        </is>
      </c>
      <c r="B375" s="1" t="n">
        <v>44420</v>
      </c>
      <c r="C375" s="1" t="n">
        <v>45510</v>
      </c>
      <c r="D375" t="inlineStr">
        <is>
          <t>VÄSTERBOTTENS LÄN</t>
        </is>
      </c>
      <c r="E375" t="inlineStr">
        <is>
          <t>VILHELMINA</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40469-2021</t>
        </is>
      </c>
      <c r="B376" s="1" t="n">
        <v>44420</v>
      </c>
      <c r="C376" s="1" t="n">
        <v>45510</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40474-2021</t>
        </is>
      </c>
      <c r="B377" s="1" t="n">
        <v>44420</v>
      </c>
      <c r="C377" s="1" t="n">
        <v>45510</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40472-2021</t>
        </is>
      </c>
      <c r="B378" s="1" t="n">
        <v>44419</v>
      </c>
      <c r="C378" s="1" t="n">
        <v>45510</v>
      </c>
      <c r="D378" t="inlineStr">
        <is>
          <t>VÄSTERBOTTENS LÄN</t>
        </is>
      </c>
      <c r="E378" t="inlineStr">
        <is>
          <t>VILHELMINA</t>
        </is>
      </c>
      <c r="F378" t="inlineStr">
        <is>
          <t>SCA</t>
        </is>
      </c>
      <c r="G378" t="n">
        <v>16.3</v>
      </c>
      <c r="H378" t="n">
        <v>0</v>
      </c>
      <c r="I378" t="n">
        <v>0</v>
      </c>
      <c r="J378" t="n">
        <v>0</v>
      </c>
      <c r="K378" t="n">
        <v>0</v>
      </c>
      <c r="L378" t="n">
        <v>0</v>
      </c>
      <c r="M378" t="n">
        <v>0</v>
      </c>
      <c r="N378" t="n">
        <v>0</v>
      </c>
      <c r="O378" t="n">
        <v>0</v>
      </c>
      <c r="P378" t="n">
        <v>0</v>
      </c>
      <c r="Q378" t="n">
        <v>0</v>
      </c>
      <c r="R378" s="2" t="inlineStr"/>
    </row>
    <row r="379" ht="15" customHeight="1">
      <c r="A379" t="inlineStr">
        <is>
          <t>A 42153-2021</t>
        </is>
      </c>
      <c r="B379" s="1" t="n">
        <v>44426</v>
      </c>
      <c r="C379" s="1" t="n">
        <v>45510</v>
      </c>
      <c r="D379" t="inlineStr">
        <is>
          <t>VÄSTERBOTTENS LÄN</t>
        </is>
      </c>
      <c r="E379" t="inlineStr">
        <is>
          <t>VILHELMINA</t>
        </is>
      </c>
      <c r="F379" t="inlineStr">
        <is>
          <t>Sveaskog</t>
        </is>
      </c>
      <c r="G379" t="n">
        <v>11.5</v>
      </c>
      <c r="H379" t="n">
        <v>0</v>
      </c>
      <c r="I379" t="n">
        <v>0</v>
      </c>
      <c r="J379" t="n">
        <v>0</v>
      </c>
      <c r="K379" t="n">
        <v>0</v>
      </c>
      <c r="L379" t="n">
        <v>0</v>
      </c>
      <c r="M379" t="n">
        <v>0</v>
      </c>
      <c r="N379" t="n">
        <v>0</v>
      </c>
      <c r="O379" t="n">
        <v>0</v>
      </c>
      <c r="P379" t="n">
        <v>0</v>
      </c>
      <c r="Q379" t="n">
        <v>0</v>
      </c>
      <c r="R379" s="2" t="inlineStr"/>
    </row>
    <row r="380" ht="15" customHeight="1">
      <c r="A380" t="inlineStr">
        <is>
          <t>A 43755-2021</t>
        </is>
      </c>
      <c r="B380" s="1" t="n">
        <v>44433</v>
      </c>
      <c r="C380" s="1" t="n">
        <v>45510</v>
      </c>
      <c r="D380" t="inlineStr">
        <is>
          <t>VÄSTERBOTTENS LÄN</t>
        </is>
      </c>
      <c r="E380" t="inlineStr">
        <is>
          <t>VILHELMINA</t>
        </is>
      </c>
      <c r="F380" t="inlineStr">
        <is>
          <t>Sveaskog</t>
        </is>
      </c>
      <c r="G380" t="n">
        <v>10.4</v>
      </c>
      <c r="H380" t="n">
        <v>0</v>
      </c>
      <c r="I380" t="n">
        <v>0</v>
      </c>
      <c r="J380" t="n">
        <v>0</v>
      </c>
      <c r="K380" t="n">
        <v>0</v>
      </c>
      <c r="L380" t="n">
        <v>0</v>
      </c>
      <c r="M380" t="n">
        <v>0</v>
      </c>
      <c r="N380" t="n">
        <v>0</v>
      </c>
      <c r="O380" t="n">
        <v>0</v>
      </c>
      <c r="P380" t="n">
        <v>0</v>
      </c>
      <c r="Q380" t="n">
        <v>0</v>
      </c>
      <c r="R380" s="2" t="inlineStr"/>
    </row>
    <row r="381" ht="15" customHeight="1">
      <c r="A381" t="inlineStr">
        <is>
          <t>A 44136-2021</t>
        </is>
      </c>
      <c r="B381" s="1" t="n">
        <v>44434</v>
      </c>
      <c r="C381" s="1" t="n">
        <v>45510</v>
      </c>
      <c r="D381" t="inlineStr">
        <is>
          <t>VÄSTERBOTTENS LÄN</t>
        </is>
      </c>
      <c r="E381" t="inlineStr">
        <is>
          <t>VILHELMINA</t>
        </is>
      </c>
      <c r="F381" t="inlineStr">
        <is>
          <t>Sveaskog</t>
        </is>
      </c>
      <c r="G381" t="n">
        <v>11.2</v>
      </c>
      <c r="H381" t="n">
        <v>0</v>
      </c>
      <c r="I381" t="n">
        <v>0</v>
      </c>
      <c r="J381" t="n">
        <v>0</v>
      </c>
      <c r="K381" t="n">
        <v>0</v>
      </c>
      <c r="L381" t="n">
        <v>0</v>
      </c>
      <c r="M381" t="n">
        <v>0</v>
      </c>
      <c r="N381" t="n">
        <v>0</v>
      </c>
      <c r="O381" t="n">
        <v>0</v>
      </c>
      <c r="P381" t="n">
        <v>0</v>
      </c>
      <c r="Q381" t="n">
        <v>0</v>
      </c>
      <c r="R381" s="2" t="inlineStr"/>
    </row>
    <row r="382" ht="15" customHeight="1">
      <c r="A382" t="inlineStr">
        <is>
          <t>A 44238-2021</t>
        </is>
      </c>
      <c r="B382" s="1" t="n">
        <v>44434</v>
      </c>
      <c r="C382" s="1" t="n">
        <v>45510</v>
      </c>
      <c r="D382" t="inlineStr">
        <is>
          <t>VÄSTERBOTTENS LÄN</t>
        </is>
      </c>
      <c r="E382" t="inlineStr">
        <is>
          <t>VILHELMINA</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44239-2021</t>
        </is>
      </c>
      <c r="B383" s="1" t="n">
        <v>44434</v>
      </c>
      <c r="C383" s="1" t="n">
        <v>45510</v>
      </c>
      <c r="D383" t="inlineStr">
        <is>
          <t>VÄSTERBOTTENS LÄN</t>
        </is>
      </c>
      <c r="E383" t="inlineStr">
        <is>
          <t>VILHELMINA</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44714-2021</t>
        </is>
      </c>
      <c r="B384" s="1" t="n">
        <v>44435</v>
      </c>
      <c r="C384" s="1" t="n">
        <v>45510</v>
      </c>
      <c r="D384" t="inlineStr">
        <is>
          <t>VÄSTERBOTTENS LÄN</t>
        </is>
      </c>
      <c r="E384" t="inlineStr">
        <is>
          <t>VILHELMINA</t>
        </is>
      </c>
      <c r="G384" t="n">
        <v>4.3</v>
      </c>
      <c r="H384" t="n">
        <v>0</v>
      </c>
      <c r="I384" t="n">
        <v>0</v>
      </c>
      <c r="J384" t="n">
        <v>0</v>
      </c>
      <c r="K384" t="n">
        <v>0</v>
      </c>
      <c r="L384" t="n">
        <v>0</v>
      </c>
      <c r="M384" t="n">
        <v>0</v>
      </c>
      <c r="N384" t="n">
        <v>0</v>
      </c>
      <c r="O384" t="n">
        <v>0</v>
      </c>
      <c r="P384" t="n">
        <v>0</v>
      </c>
      <c r="Q384" t="n">
        <v>0</v>
      </c>
      <c r="R384" s="2" t="inlineStr"/>
    </row>
    <row r="385" ht="15" customHeight="1">
      <c r="A385" t="inlineStr">
        <is>
          <t>A 46046-2021</t>
        </is>
      </c>
      <c r="B385" s="1" t="n">
        <v>44442</v>
      </c>
      <c r="C385" s="1" t="n">
        <v>45510</v>
      </c>
      <c r="D385" t="inlineStr">
        <is>
          <t>VÄSTERBOTTENS LÄN</t>
        </is>
      </c>
      <c r="E385" t="inlineStr">
        <is>
          <t>VILHELMINA</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46045-2021</t>
        </is>
      </c>
      <c r="B386" s="1" t="n">
        <v>44442</v>
      </c>
      <c r="C386" s="1" t="n">
        <v>45510</v>
      </c>
      <c r="D386" t="inlineStr">
        <is>
          <t>VÄSTERBOTTENS LÄN</t>
        </is>
      </c>
      <c r="E386" t="inlineStr">
        <is>
          <t>VILHELMINA</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46372-2021</t>
        </is>
      </c>
      <c r="B387" s="1" t="n">
        <v>44443</v>
      </c>
      <c r="C387" s="1" t="n">
        <v>45510</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46375-2021</t>
        </is>
      </c>
      <c r="B388" s="1" t="n">
        <v>44442</v>
      </c>
      <c r="C388" s="1" t="n">
        <v>45510</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47151-2021</t>
        </is>
      </c>
      <c r="B389" s="1" t="n">
        <v>44447</v>
      </c>
      <c r="C389" s="1" t="n">
        <v>45510</v>
      </c>
      <c r="D389" t="inlineStr">
        <is>
          <t>VÄSTERBOTTENS LÄN</t>
        </is>
      </c>
      <c r="E389" t="inlineStr">
        <is>
          <t>VILHELMINA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48754-2021</t>
        </is>
      </c>
      <c r="B390" s="1" t="n">
        <v>44452</v>
      </c>
      <c r="C390" s="1" t="n">
        <v>45510</v>
      </c>
      <c r="D390" t="inlineStr">
        <is>
          <t>VÄSTERBOTTENS LÄN</t>
        </is>
      </c>
      <c r="E390" t="inlineStr">
        <is>
          <t>VILHELMINA</t>
        </is>
      </c>
      <c r="G390" t="n">
        <v>5.6</v>
      </c>
      <c r="H390" t="n">
        <v>0</v>
      </c>
      <c r="I390" t="n">
        <v>0</v>
      </c>
      <c r="J390" t="n">
        <v>0</v>
      </c>
      <c r="K390" t="n">
        <v>0</v>
      </c>
      <c r="L390" t="n">
        <v>0</v>
      </c>
      <c r="M390" t="n">
        <v>0</v>
      </c>
      <c r="N390" t="n">
        <v>0</v>
      </c>
      <c r="O390" t="n">
        <v>0</v>
      </c>
      <c r="P390" t="n">
        <v>0</v>
      </c>
      <c r="Q390" t="n">
        <v>0</v>
      </c>
      <c r="R390" s="2" t="inlineStr"/>
    </row>
    <row r="391" ht="15" customHeight="1">
      <c r="A391" t="inlineStr">
        <is>
          <t>A 48600-2021</t>
        </is>
      </c>
      <c r="B391" s="1" t="n">
        <v>44452</v>
      </c>
      <c r="C391" s="1" t="n">
        <v>45510</v>
      </c>
      <c r="D391" t="inlineStr">
        <is>
          <t>VÄSTERBOTTENS LÄN</t>
        </is>
      </c>
      <c r="E391" t="inlineStr">
        <is>
          <t>VILHELMINA</t>
        </is>
      </c>
      <c r="F391" t="inlineStr">
        <is>
          <t>Allmännings- och besparingsskogar</t>
        </is>
      </c>
      <c r="G391" t="n">
        <v>48.6</v>
      </c>
      <c r="H391" t="n">
        <v>0</v>
      </c>
      <c r="I391" t="n">
        <v>0</v>
      </c>
      <c r="J391" t="n">
        <v>0</v>
      </c>
      <c r="K391" t="n">
        <v>0</v>
      </c>
      <c r="L391" t="n">
        <v>0</v>
      </c>
      <c r="M391" t="n">
        <v>0</v>
      </c>
      <c r="N391" t="n">
        <v>0</v>
      </c>
      <c r="O391" t="n">
        <v>0</v>
      </c>
      <c r="P391" t="n">
        <v>0</v>
      </c>
      <c r="Q391" t="n">
        <v>0</v>
      </c>
      <c r="R391" s="2" t="inlineStr"/>
    </row>
    <row r="392" ht="15" customHeight="1">
      <c r="A392" t="inlineStr">
        <is>
          <t>A 48756-2021</t>
        </is>
      </c>
      <c r="B392" s="1" t="n">
        <v>44452</v>
      </c>
      <c r="C392" s="1" t="n">
        <v>45510</v>
      </c>
      <c r="D392" t="inlineStr">
        <is>
          <t>VÄSTERBOTTENS LÄN</t>
        </is>
      </c>
      <c r="E392" t="inlineStr">
        <is>
          <t>VILHELMINA</t>
        </is>
      </c>
      <c r="G392" t="n">
        <v>13.3</v>
      </c>
      <c r="H392" t="n">
        <v>0</v>
      </c>
      <c r="I392" t="n">
        <v>0</v>
      </c>
      <c r="J392" t="n">
        <v>0</v>
      </c>
      <c r="K392" t="n">
        <v>0</v>
      </c>
      <c r="L392" t="n">
        <v>0</v>
      </c>
      <c r="M392" t="n">
        <v>0</v>
      </c>
      <c r="N392" t="n">
        <v>0</v>
      </c>
      <c r="O392" t="n">
        <v>0</v>
      </c>
      <c r="P392" t="n">
        <v>0</v>
      </c>
      <c r="Q392" t="n">
        <v>0</v>
      </c>
      <c r="R392" s="2" t="inlineStr"/>
    </row>
    <row r="393" ht="15" customHeight="1">
      <c r="A393" t="inlineStr">
        <is>
          <t>A 48783-2021</t>
        </is>
      </c>
      <c r="B393" s="1" t="n">
        <v>44452</v>
      </c>
      <c r="C393" s="1" t="n">
        <v>45510</v>
      </c>
      <c r="D393" t="inlineStr">
        <is>
          <t>VÄSTERBOTTENS LÄN</t>
        </is>
      </c>
      <c r="E393" t="inlineStr">
        <is>
          <t>VILHELMINA</t>
        </is>
      </c>
      <c r="F393" t="inlineStr">
        <is>
          <t>Allmännings- och besparingsskogar</t>
        </is>
      </c>
      <c r="G393" t="n">
        <v>9.5</v>
      </c>
      <c r="H393" t="n">
        <v>0</v>
      </c>
      <c r="I393" t="n">
        <v>0</v>
      </c>
      <c r="J393" t="n">
        <v>0</v>
      </c>
      <c r="K393" t="n">
        <v>0</v>
      </c>
      <c r="L393" t="n">
        <v>0</v>
      </c>
      <c r="M393" t="n">
        <v>0</v>
      </c>
      <c r="N393" t="n">
        <v>0</v>
      </c>
      <c r="O393" t="n">
        <v>0</v>
      </c>
      <c r="P393" t="n">
        <v>0</v>
      </c>
      <c r="Q393" t="n">
        <v>0</v>
      </c>
      <c r="R393" s="2" t="inlineStr"/>
    </row>
    <row r="394" ht="15" customHeight="1">
      <c r="A394" t="inlineStr">
        <is>
          <t>A 48574-2021</t>
        </is>
      </c>
      <c r="B394" s="1" t="n">
        <v>44452</v>
      </c>
      <c r="C394" s="1" t="n">
        <v>45510</v>
      </c>
      <c r="D394" t="inlineStr">
        <is>
          <t>VÄSTERBOTTENS LÄN</t>
        </is>
      </c>
      <c r="E394" t="inlineStr">
        <is>
          <t>VILHELMINA</t>
        </is>
      </c>
      <c r="F394" t="inlineStr">
        <is>
          <t>Allmännings- och besparingsskogar</t>
        </is>
      </c>
      <c r="G394" t="n">
        <v>85.09999999999999</v>
      </c>
      <c r="H394" t="n">
        <v>0</v>
      </c>
      <c r="I394" t="n">
        <v>0</v>
      </c>
      <c r="J394" t="n">
        <v>0</v>
      </c>
      <c r="K394" t="n">
        <v>0</v>
      </c>
      <c r="L394" t="n">
        <v>0</v>
      </c>
      <c r="M394" t="n">
        <v>0</v>
      </c>
      <c r="N394" t="n">
        <v>0</v>
      </c>
      <c r="O394" t="n">
        <v>0</v>
      </c>
      <c r="P394" t="n">
        <v>0</v>
      </c>
      <c r="Q394" t="n">
        <v>0</v>
      </c>
      <c r="R394" s="2" t="inlineStr"/>
    </row>
    <row r="395" ht="15" customHeight="1">
      <c r="A395" t="inlineStr">
        <is>
          <t>A 49063-2021</t>
        </is>
      </c>
      <c r="B395" s="1" t="n">
        <v>44453</v>
      </c>
      <c r="C395" s="1" t="n">
        <v>45510</v>
      </c>
      <c r="D395" t="inlineStr">
        <is>
          <t>VÄSTERBOTTENS LÄN</t>
        </is>
      </c>
      <c r="E395" t="inlineStr">
        <is>
          <t>VILHELMINA</t>
        </is>
      </c>
      <c r="F395" t="inlineStr">
        <is>
          <t>Övriga statliga verk och myndigheter</t>
        </is>
      </c>
      <c r="G395" t="n">
        <v>42.7</v>
      </c>
      <c r="H395" t="n">
        <v>0</v>
      </c>
      <c r="I395" t="n">
        <v>0</v>
      </c>
      <c r="J395" t="n">
        <v>0</v>
      </c>
      <c r="K395" t="n">
        <v>0</v>
      </c>
      <c r="L395" t="n">
        <v>0</v>
      </c>
      <c r="M395" t="n">
        <v>0</v>
      </c>
      <c r="N395" t="n">
        <v>0</v>
      </c>
      <c r="O395" t="n">
        <v>0</v>
      </c>
      <c r="P395" t="n">
        <v>0</v>
      </c>
      <c r="Q395" t="n">
        <v>0</v>
      </c>
      <c r="R395" s="2" t="inlineStr"/>
    </row>
    <row r="396" ht="15" customHeight="1">
      <c r="A396" t="inlineStr">
        <is>
          <t>A 50635-2021</t>
        </is>
      </c>
      <c r="B396" s="1" t="n">
        <v>44459</v>
      </c>
      <c r="C396" s="1" t="n">
        <v>45510</v>
      </c>
      <c r="D396" t="inlineStr">
        <is>
          <t>VÄSTERBOTTENS LÄN</t>
        </is>
      </c>
      <c r="E396" t="inlineStr">
        <is>
          <t>VILHELMINA</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51016-2021</t>
        </is>
      </c>
      <c r="B397" s="1" t="n">
        <v>44461</v>
      </c>
      <c r="C397" s="1" t="n">
        <v>45510</v>
      </c>
      <c r="D397" t="inlineStr">
        <is>
          <t>VÄSTERBOTTENS LÄN</t>
        </is>
      </c>
      <c r="E397" t="inlineStr">
        <is>
          <t>VILHELMINA</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51018-2021</t>
        </is>
      </c>
      <c r="B398" s="1" t="n">
        <v>44461</v>
      </c>
      <c r="C398" s="1" t="n">
        <v>45510</v>
      </c>
      <c r="D398" t="inlineStr">
        <is>
          <t>VÄSTERBOTTENS LÄN</t>
        </is>
      </c>
      <c r="E398" t="inlineStr">
        <is>
          <t>VILHELMINA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51935-2021</t>
        </is>
      </c>
      <c r="B399" s="1" t="n">
        <v>44462</v>
      </c>
      <c r="C399" s="1" t="n">
        <v>45510</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51933-2021</t>
        </is>
      </c>
      <c r="B400" s="1" t="n">
        <v>44463</v>
      </c>
      <c r="C400" s="1" t="n">
        <v>45510</v>
      </c>
      <c r="D400" t="inlineStr">
        <is>
          <t>VÄSTERBOTTENS LÄN</t>
        </is>
      </c>
      <c r="E400" t="inlineStr">
        <is>
          <t>VILHELMINA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53958-2021</t>
        </is>
      </c>
      <c r="B401" s="1" t="n">
        <v>44469</v>
      </c>
      <c r="C401" s="1" t="n">
        <v>45510</v>
      </c>
      <c r="D401" t="inlineStr">
        <is>
          <t>VÄSTERBOTTENS LÄN</t>
        </is>
      </c>
      <c r="E401" t="inlineStr">
        <is>
          <t>VILHELMINA</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53987-2021</t>
        </is>
      </c>
      <c r="B402" s="1" t="n">
        <v>44470</v>
      </c>
      <c r="C402" s="1" t="n">
        <v>45510</v>
      </c>
      <c r="D402" t="inlineStr">
        <is>
          <t>VÄSTERBOTTENS LÄN</t>
        </is>
      </c>
      <c r="E402" t="inlineStr">
        <is>
          <t>VILHELMINA</t>
        </is>
      </c>
      <c r="F402" t="inlineStr">
        <is>
          <t>Kommuner</t>
        </is>
      </c>
      <c r="G402" t="n">
        <v>10</v>
      </c>
      <c r="H402" t="n">
        <v>0</v>
      </c>
      <c r="I402" t="n">
        <v>0</v>
      </c>
      <c r="J402" t="n">
        <v>0</v>
      </c>
      <c r="K402" t="n">
        <v>0</v>
      </c>
      <c r="L402" t="n">
        <v>0</v>
      </c>
      <c r="M402" t="n">
        <v>0</v>
      </c>
      <c r="N402" t="n">
        <v>0</v>
      </c>
      <c r="O402" t="n">
        <v>0</v>
      </c>
      <c r="P402" t="n">
        <v>0</v>
      </c>
      <c r="Q402" t="n">
        <v>0</v>
      </c>
      <c r="R402" s="2" t="inlineStr"/>
    </row>
    <row r="403" ht="15" customHeight="1">
      <c r="A403" t="inlineStr">
        <is>
          <t>A 54765-2021</t>
        </is>
      </c>
      <c r="B403" s="1" t="n">
        <v>44473</v>
      </c>
      <c r="C403" s="1" t="n">
        <v>45510</v>
      </c>
      <c r="D403" t="inlineStr">
        <is>
          <t>VÄSTERBOTTENS LÄN</t>
        </is>
      </c>
      <c r="E403" t="inlineStr">
        <is>
          <t>VILHELMINA</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55929-2021</t>
        </is>
      </c>
      <c r="B404" s="1" t="n">
        <v>44476</v>
      </c>
      <c r="C404" s="1" t="n">
        <v>45510</v>
      </c>
      <c r="D404" t="inlineStr">
        <is>
          <t>VÄSTERBOTTENS LÄN</t>
        </is>
      </c>
      <c r="E404" t="inlineStr">
        <is>
          <t>VILHELMINA</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55931-2021</t>
        </is>
      </c>
      <c r="B405" s="1" t="n">
        <v>44476</v>
      </c>
      <c r="C405" s="1" t="n">
        <v>45510</v>
      </c>
      <c r="D405" t="inlineStr">
        <is>
          <t>VÄSTERBOTTENS LÄN</t>
        </is>
      </c>
      <c r="E405" t="inlineStr">
        <is>
          <t>VILHELMINA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56947-2021</t>
        </is>
      </c>
      <c r="B406" s="1" t="n">
        <v>44481</v>
      </c>
      <c r="C406" s="1" t="n">
        <v>45510</v>
      </c>
      <c r="D406" t="inlineStr">
        <is>
          <t>VÄSTERBOTTENS LÄN</t>
        </is>
      </c>
      <c r="E406" t="inlineStr">
        <is>
          <t>VILHELMINA</t>
        </is>
      </c>
      <c r="F406" t="inlineStr">
        <is>
          <t>Övriga statliga verk och myndigheter</t>
        </is>
      </c>
      <c r="G406" t="n">
        <v>22.3</v>
      </c>
      <c r="H406" t="n">
        <v>0</v>
      </c>
      <c r="I406" t="n">
        <v>0</v>
      </c>
      <c r="J406" t="n">
        <v>0</v>
      </c>
      <c r="K406" t="n">
        <v>0</v>
      </c>
      <c r="L406" t="n">
        <v>0</v>
      </c>
      <c r="M406" t="n">
        <v>0</v>
      </c>
      <c r="N406" t="n">
        <v>0</v>
      </c>
      <c r="O406" t="n">
        <v>0</v>
      </c>
      <c r="P406" t="n">
        <v>0</v>
      </c>
      <c r="Q406" t="n">
        <v>0</v>
      </c>
      <c r="R406" s="2" t="inlineStr"/>
    </row>
    <row r="407" ht="15" customHeight="1">
      <c r="A407" t="inlineStr">
        <is>
          <t>A 57086-2021</t>
        </is>
      </c>
      <c r="B407" s="1" t="n">
        <v>44482</v>
      </c>
      <c r="C407" s="1" t="n">
        <v>45510</v>
      </c>
      <c r="D407" t="inlineStr">
        <is>
          <t>VÄSTERBOTTENS LÄN</t>
        </is>
      </c>
      <c r="E407" t="inlineStr">
        <is>
          <t>VILHELMINA</t>
        </is>
      </c>
      <c r="G407" t="n">
        <v>1.5</v>
      </c>
      <c r="H407" t="n">
        <v>0</v>
      </c>
      <c r="I407" t="n">
        <v>0</v>
      </c>
      <c r="J407" t="n">
        <v>0</v>
      </c>
      <c r="K407" t="n">
        <v>0</v>
      </c>
      <c r="L407" t="n">
        <v>0</v>
      </c>
      <c r="M407" t="n">
        <v>0</v>
      </c>
      <c r="N407" t="n">
        <v>0</v>
      </c>
      <c r="O407" t="n">
        <v>0</v>
      </c>
      <c r="P407" t="n">
        <v>0</v>
      </c>
      <c r="Q407" t="n">
        <v>0</v>
      </c>
      <c r="R407" s="2" t="inlineStr"/>
    </row>
    <row r="408" ht="15" customHeight="1">
      <c r="A408" t="inlineStr">
        <is>
          <t>A 57167-2021</t>
        </is>
      </c>
      <c r="B408" s="1" t="n">
        <v>44482</v>
      </c>
      <c r="C408" s="1" t="n">
        <v>45510</v>
      </c>
      <c r="D408" t="inlineStr">
        <is>
          <t>VÄSTERBOTTENS LÄN</t>
        </is>
      </c>
      <c r="E408" t="inlineStr">
        <is>
          <t>VILHELMINA</t>
        </is>
      </c>
      <c r="F408" t="inlineStr">
        <is>
          <t>Kommuner</t>
        </is>
      </c>
      <c r="G408" t="n">
        <v>4.9</v>
      </c>
      <c r="H408" t="n">
        <v>0</v>
      </c>
      <c r="I408" t="n">
        <v>0</v>
      </c>
      <c r="J408" t="n">
        <v>0</v>
      </c>
      <c r="K408" t="n">
        <v>0</v>
      </c>
      <c r="L408" t="n">
        <v>0</v>
      </c>
      <c r="M408" t="n">
        <v>0</v>
      </c>
      <c r="N408" t="n">
        <v>0</v>
      </c>
      <c r="O408" t="n">
        <v>0</v>
      </c>
      <c r="P408" t="n">
        <v>0</v>
      </c>
      <c r="Q408" t="n">
        <v>0</v>
      </c>
      <c r="R408" s="2" t="inlineStr"/>
    </row>
    <row r="409" ht="15" customHeight="1">
      <c r="A409" t="inlineStr">
        <is>
          <t>A 57166-2021</t>
        </is>
      </c>
      <c r="B409" s="1" t="n">
        <v>44482</v>
      </c>
      <c r="C409" s="1" t="n">
        <v>45510</v>
      </c>
      <c r="D409" t="inlineStr">
        <is>
          <t>VÄSTERBOTTENS LÄN</t>
        </is>
      </c>
      <c r="E409" t="inlineStr">
        <is>
          <t>VILHELMINA</t>
        </is>
      </c>
      <c r="F409" t="inlineStr">
        <is>
          <t>Kommuner</t>
        </is>
      </c>
      <c r="G409" t="n">
        <v>2.6</v>
      </c>
      <c r="H409" t="n">
        <v>0</v>
      </c>
      <c r="I409" t="n">
        <v>0</v>
      </c>
      <c r="J409" t="n">
        <v>0</v>
      </c>
      <c r="K409" t="n">
        <v>0</v>
      </c>
      <c r="L409" t="n">
        <v>0</v>
      </c>
      <c r="M409" t="n">
        <v>0</v>
      </c>
      <c r="N409" t="n">
        <v>0</v>
      </c>
      <c r="O409" t="n">
        <v>0</v>
      </c>
      <c r="P409" t="n">
        <v>0</v>
      </c>
      <c r="Q409" t="n">
        <v>0</v>
      </c>
      <c r="R409" s="2" t="inlineStr"/>
    </row>
    <row r="410" ht="15" customHeight="1">
      <c r="A410" t="inlineStr">
        <is>
          <t>A 57874-2021</t>
        </is>
      </c>
      <c r="B410" s="1" t="n">
        <v>44484</v>
      </c>
      <c r="C410" s="1" t="n">
        <v>45510</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57875-2021</t>
        </is>
      </c>
      <c r="B411" s="1" t="n">
        <v>44485</v>
      </c>
      <c r="C411" s="1" t="n">
        <v>45510</v>
      </c>
      <c r="D411" t="inlineStr">
        <is>
          <t>VÄSTERBOTTENS LÄN</t>
        </is>
      </c>
      <c r="E411" t="inlineStr">
        <is>
          <t>VILHELMINA</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58377-2021</t>
        </is>
      </c>
      <c r="B412" s="1" t="n">
        <v>44488</v>
      </c>
      <c r="C412" s="1" t="n">
        <v>45510</v>
      </c>
      <c r="D412" t="inlineStr">
        <is>
          <t>VÄSTERBOTTENS LÄN</t>
        </is>
      </c>
      <c r="E412" t="inlineStr">
        <is>
          <t>VILHELMINA</t>
        </is>
      </c>
      <c r="G412" t="n">
        <v>1.5</v>
      </c>
      <c r="H412" t="n">
        <v>0</v>
      </c>
      <c r="I412" t="n">
        <v>0</v>
      </c>
      <c r="J412" t="n">
        <v>0</v>
      </c>
      <c r="K412" t="n">
        <v>0</v>
      </c>
      <c r="L412" t="n">
        <v>0</v>
      </c>
      <c r="M412" t="n">
        <v>0</v>
      </c>
      <c r="N412" t="n">
        <v>0</v>
      </c>
      <c r="O412" t="n">
        <v>0</v>
      </c>
      <c r="P412" t="n">
        <v>0</v>
      </c>
      <c r="Q412" t="n">
        <v>0</v>
      </c>
      <c r="R412" s="2" t="inlineStr"/>
    </row>
    <row r="413" ht="15" customHeight="1">
      <c r="A413" t="inlineStr">
        <is>
          <t>A 58363-2021</t>
        </is>
      </c>
      <c r="B413" s="1" t="n">
        <v>44488</v>
      </c>
      <c r="C413" s="1" t="n">
        <v>45510</v>
      </c>
      <c r="D413" t="inlineStr">
        <is>
          <t>VÄSTERBOTTENS LÄN</t>
        </is>
      </c>
      <c r="E413" t="inlineStr">
        <is>
          <t>VILHELMINA</t>
        </is>
      </c>
      <c r="G413" t="n">
        <v>7.3</v>
      </c>
      <c r="H413" t="n">
        <v>0</v>
      </c>
      <c r="I413" t="n">
        <v>0</v>
      </c>
      <c r="J413" t="n">
        <v>0</v>
      </c>
      <c r="K413" t="n">
        <v>0</v>
      </c>
      <c r="L413" t="n">
        <v>0</v>
      </c>
      <c r="M413" t="n">
        <v>0</v>
      </c>
      <c r="N413" t="n">
        <v>0</v>
      </c>
      <c r="O413" t="n">
        <v>0</v>
      </c>
      <c r="P413" t="n">
        <v>0</v>
      </c>
      <c r="Q413" t="n">
        <v>0</v>
      </c>
      <c r="R413" s="2" t="inlineStr"/>
    </row>
    <row r="414" ht="15" customHeight="1">
      <c r="A414" t="inlineStr">
        <is>
          <t>A 58643-2021</t>
        </is>
      </c>
      <c r="B414" s="1" t="n">
        <v>44489</v>
      </c>
      <c r="C414" s="1" t="n">
        <v>45510</v>
      </c>
      <c r="D414" t="inlineStr">
        <is>
          <t>VÄSTERBOTTENS LÄN</t>
        </is>
      </c>
      <c r="E414" t="inlineStr">
        <is>
          <t>VILHELMINA</t>
        </is>
      </c>
      <c r="F414" t="inlineStr">
        <is>
          <t>Övriga Aktiebolag</t>
        </is>
      </c>
      <c r="G414" t="n">
        <v>30.4</v>
      </c>
      <c r="H414" t="n">
        <v>0</v>
      </c>
      <c r="I414" t="n">
        <v>0</v>
      </c>
      <c r="J414" t="n">
        <v>0</v>
      </c>
      <c r="K414" t="n">
        <v>0</v>
      </c>
      <c r="L414" t="n">
        <v>0</v>
      </c>
      <c r="M414" t="n">
        <v>0</v>
      </c>
      <c r="N414" t="n">
        <v>0</v>
      </c>
      <c r="O414" t="n">
        <v>0</v>
      </c>
      <c r="P414" t="n">
        <v>0</v>
      </c>
      <c r="Q414" t="n">
        <v>0</v>
      </c>
      <c r="R414" s="2" t="inlineStr"/>
    </row>
    <row r="415" ht="15" customHeight="1">
      <c r="A415" t="inlineStr">
        <is>
          <t>A 59172-2021</t>
        </is>
      </c>
      <c r="B415" s="1" t="n">
        <v>44490</v>
      </c>
      <c r="C415" s="1" t="n">
        <v>45510</v>
      </c>
      <c r="D415" t="inlineStr">
        <is>
          <t>VÄSTERBOTTENS LÄN</t>
        </is>
      </c>
      <c r="E415" t="inlineStr">
        <is>
          <t>VILHELMINA</t>
        </is>
      </c>
      <c r="G415" t="n">
        <v>11.5</v>
      </c>
      <c r="H415" t="n">
        <v>0</v>
      </c>
      <c r="I415" t="n">
        <v>0</v>
      </c>
      <c r="J415" t="n">
        <v>0</v>
      </c>
      <c r="K415" t="n">
        <v>0</v>
      </c>
      <c r="L415" t="n">
        <v>0</v>
      </c>
      <c r="M415" t="n">
        <v>0</v>
      </c>
      <c r="N415" t="n">
        <v>0</v>
      </c>
      <c r="O415" t="n">
        <v>0</v>
      </c>
      <c r="P415" t="n">
        <v>0</v>
      </c>
      <c r="Q415" t="n">
        <v>0</v>
      </c>
      <c r="R415" s="2" t="inlineStr"/>
    </row>
    <row r="416" ht="15" customHeight="1">
      <c r="A416" t="inlineStr">
        <is>
          <t>A 59330-2021</t>
        </is>
      </c>
      <c r="B416" s="1" t="n">
        <v>44491</v>
      </c>
      <c r="C416" s="1" t="n">
        <v>45510</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60317-2021</t>
        </is>
      </c>
      <c r="B417" s="1" t="n">
        <v>44496</v>
      </c>
      <c r="C417" s="1" t="n">
        <v>45510</v>
      </c>
      <c r="D417" t="inlineStr">
        <is>
          <t>VÄSTERBOTTENS LÄN</t>
        </is>
      </c>
      <c r="E417" t="inlineStr">
        <is>
          <t>VILHELMINA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61640-2021</t>
        </is>
      </c>
      <c r="B418" s="1" t="n">
        <v>44498</v>
      </c>
      <c r="C418" s="1" t="n">
        <v>45510</v>
      </c>
      <c r="D418" t="inlineStr">
        <is>
          <t>VÄSTERBOTTENS LÄN</t>
        </is>
      </c>
      <c r="E418" t="inlineStr">
        <is>
          <t>VILHELMINA</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61475-2021</t>
        </is>
      </c>
      <c r="B419" s="1" t="n">
        <v>44500</v>
      </c>
      <c r="C419" s="1" t="n">
        <v>45510</v>
      </c>
      <c r="D419" t="inlineStr">
        <is>
          <t>VÄSTERBOTTENS LÄN</t>
        </is>
      </c>
      <c r="E419" t="inlineStr">
        <is>
          <t>VILHELMINA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61853-2021</t>
        </is>
      </c>
      <c r="B420" s="1" t="n">
        <v>44501</v>
      </c>
      <c r="C420" s="1" t="n">
        <v>45510</v>
      </c>
      <c r="D420" t="inlineStr">
        <is>
          <t>VÄSTERBOTTENS LÄN</t>
        </is>
      </c>
      <c r="E420" t="inlineStr">
        <is>
          <t>VILHELMINA</t>
        </is>
      </c>
      <c r="F420" t="inlineStr">
        <is>
          <t>SCA</t>
        </is>
      </c>
      <c r="G420" t="n">
        <v>24.8</v>
      </c>
      <c r="H420" t="n">
        <v>0</v>
      </c>
      <c r="I420" t="n">
        <v>0</v>
      </c>
      <c r="J420" t="n">
        <v>0</v>
      </c>
      <c r="K420" t="n">
        <v>0</v>
      </c>
      <c r="L420" t="n">
        <v>0</v>
      </c>
      <c r="M420" t="n">
        <v>0</v>
      </c>
      <c r="N420" t="n">
        <v>0</v>
      </c>
      <c r="O420" t="n">
        <v>0</v>
      </c>
      <c r="P420" t="n">
        <v>0</v>
      </c>
      <c r="Q420" t="n">
        <v>0</v>
      </c>
      <c r="R420" s="2" t="inlineStr"/>
    </row>
    <row r="421" ht="15" customHeight="1">
      <c r="A421" t="inlineStr">
        <is>
          <t>A 62362-2021</t>
        </is>
      </c>
      <c r="B421" s="1" t="n">
        <v>44502</v>
      </c>
      <c r="C421" s="1" t="n">
        <v>45510</v>
      </c>
      <c r="D421" t="inlineStr">
        <is>
          <t>VÄSTERBOTTENS LÄN</t>
        </is>
      </c>
      <c r="E421" t="inlineStr">
        <is>
          <t>VILHELMINA</t>
        </is>
      </c>
      <c r="G421" t="n">
        <v>8.1</v>
      </c>
      <c r="H421" t="n">
        <v>0</v>
      </c>
      <c r="I421" t="n">
        <v>0</v>
      </c>
      <c r="J421" t="n">
        <v>0</v>
      </c>
      <c r="K421" t="n">
        <v>0</v>
      </c>
      <c r="L421" t="n">
        <v>0</v>
      </c>
      <c r="M421" t="n">
        <v>0</v>
      </c>
      <c r="N421" t="n">
        <v>0</v>
      </c>
      <c r="O421" t="n">
        <v>0</v>
      </c>
      <c r="P421" t="n">
        <v>0</v>
      </c>
      <c r="Q421" t="n">
        <v>0</v>
      </c>
      <c r="R421" s="2" t="inlineStr"/>
    </row>
    <row r="422" ht="15" customHeight="1">
      <c r="A422" t="inlineStr">
        <is>
          <t>A 62658-2021</t>
        </is>
      </c>
      <c r="B422" s="1" t="n">
        <v>44503</v>
      </c>
      <c r="C422" s="1" t="n">
        <v>45510</v>
      </c>
      <c r="D422" t="inlineStr">
        <is>
          <t>VÄSTERBOTTENS LÄN</t>
        </is>
      </c>
      <c r="E422" t="inlineStr">
        <is>
          <t>VILHELMINA</t>
        </is>
      </c>
      <c r="F422" t="inlineStr">
        <is>
          <t>SCA</t>
        </is>
      </c>
      <c r="G422" t="n">
        <v>13.4</v>
      </c>
      <c r="H422" t="n">
        <v>0</v>
      </c>
      <c r="I422" t="n">
        <v>0</v>
      </c>
      <c r="J422" t="n">
        <v>0</v>
      </c>
      <c r="K422" t="n">
        <v>0</v>
      </c>
      <c r="L422" t="n">
        <v>0</v>
      </c>
      <c r="M422" t="n">
        <v>0</v>
      </c>
      <c r="N422" t="n">
        <v>0</v>
      </c>
      <c r="O422" t="n">
        <v>0</v>
      </c>
      <c r="P422" t="n">
        <v>0</v>
      </c>
      <c r="Q422" t="n">
        <v>0</v>
      </c>
      <c r="R422" s="2" t="inlineStr"/>
    </row>
    <row r="423" ht="15" customHeight="1">
      <c r="A423" t="inlineStr">
        <is>
          <t>A 63218-2021</t>
        </is>
      </c>
      <c r="B423" s="1" t="n">
        <v>44505</v>
      </c>
      <c r="C423" s="1" t="n">
        <v>45510</v>
      </c>
      <c r="D423" t="inlineStr">
        <is>
          <t>VÄSTERBOTTENS LÄN</t>
        </is>
      </c>
      <c r="E423" t="inlineStr">
        <is>
          <t>VILHELMINA</t>
        </is>
      </c>
      <c r="G423" t="n">
        <v>6.8</v>
      </c>
      <c r="H423" t="n">
        <v>0</v>
      </c>
      <c r="I423" t="n">
        <v>0</v>
      </c>
      <c r="J423" t="n">
        <v>0</v>
      </c>
      <c r="K423" t="n">
        <v>0</v>
      </c>
      <c r="L423" t="n">
        <v>0</v>
      </c>
      <c r="M423" t="n">
        <v>0</v>
      </c>
      <c r="N423" t="n">
        <v>0</v>
      </c>
      <c r="O423" t="n">
        <v>0</v>
      </c>
      <c r="P423" t="n">
        <v>0</v>
      </c>
      <c r="Q423" t="n">
        <v>0</v>
      </c>
      <c r="R423" s="2" t="inlineStr"/>
    </row>
    <row r="424" ht="15" customHeight="1">
      <c r="A424" t="inlineStr">
        <is>
          <t>A 65033-2021</t>
        </is>
      </c>
      <c r="B424" s="1" t="n">
        <v>44511</v>
      </c>
      <c r="C424" s="1" t="n">
        <v>45510</v>
      </c>
      <c r="D424" t="inlineStr">
        <is>
          <t>VÄSTERBOTTENS LÄN</t>
        </is>
      </c>
      <c r="E424" t="inlineStr">
        <is>
          <t>VILHELMINA</t>
        </is>
      </c>
      <c r="G424" t="n">
        <v>1</v>
      </c>
      <c r="H424" t="n">
        <v>0</v>
      </c>
      <c r="I424" t="n">
        <v>0</v>
      </c>
      <c r="J424" t="n">
        <v>0</v>
      </c>
      <c r="K424" t="n">
        <v>0</v>
      </c>
      <c r="L424" t="n">
        <v>0</v>
      </c>
      <c r="M424" t="n">
        <v>0</v>
      </c>
      <c r="N424" t="n">
        <v>0</v>
      </c>
      <c r="O424" t="n">
        <v>0</v>
      </c>
      <c r="P424" t="n">
        <v>0</v>
      </c>
      <c r="Q424" t="n">
        <v>0</v>
      </c>
      <c r="R424" s="2" t="inlineStr"/>
    </row>
    <row r="425" ht="15" customHeight="1">
      <c r="A425" t="inlineStr">
        <is>
          <t>A 65146-2021</t>
        </is>
      </c>
      <c r="B425" s="1" t="n">
        <v>44515</v>
      </c>
      <c r="C425" s="1" t="n">
        <v>45510</v>
      </c>
      <c r="D425" t="inlineStr">
        <is>
          <t>VÄSTERBOTTENS LÄN</t>
        </is>
      </c>
      <c r="E425" t="inlineStr">
        <is>
          <t>VILHELMINA</t>
        </is>
      </c>
      <c r="G425" t="n">
        <v>7.4</v>
      </c>
      <c r="H425" t="n">
        <v>0</v>
      </c>
      <c r="I425" t="n">
        <v>0</v>
      </c>
      <c r="J425" t="n">
        <v>0</v>
      </c>
      <c r="K425" t="n">
        <v>0</v>
      </c>
      <c r="L425" t="n">
        <v>0</v>
      </c>
      <c r="M425" t="n">
        <v>0</v>
      </c>
      <c r="N425" t="n">
        <v>0</v>
      </c>
      <c r="O425" t="n">
        <v>0</v>
      </c>
      <c r="P425" t="n">
        <v>0</v>
      </c>
      <c r="Q425" t="n">
        <v>0</v>
      </c>
      <c r="R425" s="2" t="inlineStr"/>
    </row>
    <row r="426" ht="15" customHeight="1">
      <c r="A426" t="inlineStr">
        <is>
          <t>A 65133-2021</t>
        </is>
      </c>
      <c r="B426" s="1" t="n">
        <v>44515</v>
      </c>
      <c r="C426" s="1" t="n">
        <v>45510</v>
      </c>
      <c r="D426" t="inlineStr">
        <is>
          <t>VÄSTERBOTTENS LÄN</t>
        </is>
      </c>
      <c r="E426" t="inlineStr">
        <is>
          <t>VILHELMINA</t>
        </is>
      </c>
      <c r="G426" t="n">
        <v>16.4</v>
      </c>
      <c r="H426" t="n">
        <v>0</v>
      </c>
      <c r="I426" t="n">
        <v>0</v>
      </c>
      <c r="J426" t="n">
        <v>0</v>
      </c>
      <c r="K426" t="n">
        <v>0</v>
      </c>
      <c r="L426" t="n">
        <v>0</v>
      </c>
      <c r="M426" t="n">
        <v>0</v>
      </c>
      <c r="N426" t="n">
        <v>0</v>
      </c>
      <c r="O426" t="n">
        <v>0</v>
      </c>
      <c r="P426" t="n">
        <v>0</v>
      </c>
      <c r="Q426" t="n">
        <v>0</v>
      </c>
      <c r="R426" s="2" t="inlineStr"/>
    </row>
    <row r="427" ht="15" customHeight="1">
      <c r="A427" t="inlineStr">
        <is>
          <t>A 65159-2021</t>
        </is>
      </c>
      <c r="B427" s="1" t="n">
        <v>44515</v>
      </c>
      <c r="C427" s="1" t="n">
        <v>45510</v>
      </c>
      <c r="D427" t="inlineStr">
        <is>
          <t>VÄSTERBOTTENS LÄN</t>
        </is>
      </c>
      <c r="E427" t="inlineStr">
        <is>
          <t>VILHELMINA</t>
        </is>
      </c>
      <c r="G427" t="n">
        <v>5</v>
      </c>
      <c r="H427" t="n">
        <v>0</v>
      </c>
      <c r="I427" t="n">
        <v>0</v>
      </c>
      <c r="J427" t="n">
        <v>0</v>
      </c>
      <c r="K427" t="n">
        <v>0</v>
      </c>
      <c r="L427" t="n">
        <v>0</v>
      </c>
      <c r="M427" t="n">
        <v>0</v>
      </c>
      <c r="N427" t="n">
        <v>0</v>
      </c>
      <c r="O427" t="n">
        <v>0</v>
      </c>
      <c r="P427" t="n">
        <v>0</v>
      </c>
      <c r="Q427" t="n">
        <v>0</v>
      </c>
      <c r="R427" s="2" t="inlineStr"/>
    </row>
    <row r="428" ht="15" customHeight="1">
      <c r="A428" t="inlineStr">
        <is>
          <t>A 65151-2021</t>
        </is>
      </c>
      <c r="B428" s="1" t="n">
        <v>44515</v>
      </c>
      <c r="C428" s="1" t="n">
        <v>45510</v>
      </c>
      <c r="D428" t="inlineStr">
        <is>
          <t>VÄSTERBOTTENS LÄN</t>
        </is>
      </c>
      <c r="E428" t="inlineStr">
        <is>
          <t>VILHELMINA</t>
        </is>
      </c>
      <c r="G428" t="n">
        <v>11.8</v>
      </c>
      <c r="H428" t="n">
        <v>0</v>
      </c>
      <c r="I428" t="n">
        <v>0</v>
      </c>
      <c r="J428" t="n">
        <v>0</v>
      </c>
      <c r="K428" t="n">
        <v>0</v>
      </c>
      <c r="L428" t="n">
        <v>0</v>
      </c>
      <c r="M428" t="n">
        <v>0</v>
      </c>
      <c r="N428" t="n">
        <v>0</v>
      </c>
      <c r="O428" t="n">
        <v>0</v>
      </c>
      <c r="P428" t="n">
        <v>0</v>
      </c>
      <c r="Q428" t="n">
        <v>0</v>
      </c>
      <c r="R428" s="2" t="inlineStr"/>
    </row>
    <row r="429" ht="15" customHeight="1">
      <c r="A429" t="inlineStr">
        <is>
          <t>A 65179-2021</t>
        </is>
      </c>
      <c r="B429" s="1" t="n">
        <v>44515</v>
      </c>
      <c r="C429" s="1" t="n">
        <v>45510</v>
      </c>
      <c r="D429" t="inlineStr">
        <is>
          <t>VÄSTERBOTTENS LÄN</t>
        </is>
      </c>
      <c r="E429" t="inlineStr">
        <is>
          <t>VILHELMINA</t>
        </is>
      </c>
      <c r="G429" t="n">
        <v>8</v>
      </c>
      <c r="H429" t="n">
        <v>0</v>
      </c>
      <c r="I429" t="n">
        <v>0</v>
      </c>
      <c r="J429" t="n">
        <v>0</v>
      </c>
      <c r="K429" t="n">
        <v>0</v>
      </c>
      <c r="L429" t="n">
        <v>0</v>
      </c>
      <c r="M429" t="n">
        <v>0</v>
      </c>
      <c r="N429" t="n">
        <v>0</v>
      </c>
      <c r="O429" t="n">
        <v>0</v>
      </c>
      <c r="P429" t="n">
        <v>0</v>
      </c>
      <c r="Q429" t="n">
        <v>0</v>
      </c>
      <c r="R429" s="2" t="inlineStr"/>
    </row>
    <row r="430" ht="15" customHeight="1">
      <c r="A430" t="inlineStr">
        <is>
          <t>A 65382-2021</t>
        </is>
      </c>
      <c r="B430" s="1" t="n">
        <v>44515</v>
      </c>
      <c r="C430" s="1" t="n">
        <v>45510</v>
      </c>
      <c r="D430" t="inlineStr">
        <is>
          <t>VÄSTERBOTTENS LÄN</t>
        </is>
      </c>
      <c r="E430" t="inlineStr">
        <is>
          <t>VILHELMINA</t>
        </is>
      </c>
      <c r="G430" t="n">
        <v>10.7</v>
      </c>
      <c r="H430" t="n">
        <v>0</v>
      </c>
      <c r="I430" t="n">
        <v>0</v>
      </c>
      <c r="J430" t="n">
        <v>0</v>
      </c>
      <c r="K430" t="n">
        <v>0</v>
      </c>
      <c r="L430" t="n">
        <v>0</v>
      </c>
      <c r="M430" t="n">
        <v>0</v>
      </c>
      <c r="N430" t="n">
        <v>0</v>
      </c>
      <c r="O430" t="n">
        <v>0</v>
      </c>
      <c r="P430" t="n">
        <v>0</v>
      </c>
      <c r="Q430" t="n">
        <v>0</v>
      </c>
      <c r="R430" s="2" t="inlineStr"/>
    </row>
    <row r="431" ht="15" customHeight="1">
      <c r="A431" t="inlineStr">
        <is>
          <t>A 66259-2021</t>
        </is>
      </c>
      <c r="B431" s="1" t="n">
        <v>44518</v>
      </c>
      <c r="C431" s="1" t="n">
        <v>45510</v>
      </c>
      <c r="D431" t="inlineStr">
        <is>
          <t>VÄSTERBOTTENS LÄN</t>
        </is>
      </c>
      <c r="E431" t="inlineStr">
        <is>
          <t>VILHELMINA</t>
        </is>
      </c>
      <c r="G431" t="n">
        <v>14.6</v>
      </c>
      <c r="H431" t="n">
        <v>0</v>
      </c>
      <c r="I431" t="n">
        <v>0</v>
      </c>
      <c r="J431" t="n">
        <v>0</v>
      </c>
      <c r="K431" t="n">
        <v>0</v>
      </c>
      <c r="L431" t="n">
        <v>0</v>
      </c>
      <c r="M431" t="n">
        <v>0</v>
      </c>
      <c r="N431" t="n">
        <v>0</v>
      </c>
      <c r="O431" t="n">
        <v>0</v>
      </c>
      <c r="P431" t="n">
        <v>0</v>
      </c>
      <c r="Q431" t="n">
        <v>0</v>
      </c>
      <c r="R431" s="2" t="inlineStr"/>
    </row>
    <row r="432" ht="15" customHeight="1">
      <c r="A432" t="inlineStr">
        <is>
          <t>A 66458-2021</t>
        </is>
      </c>
      <c r="B432" s="1" t="n">
        <v>44518</v>
      </c>
      <c r="C432" s="1" t="n">
        <v>45510</v>
      </c>
      <c r="D432" t="inlineStr">
        <is>
          <t>VÄSTERBOTTENS LÄN</t>
        </is>
      </c>
      <c r="E432" t="inlineStr">
        <is>
          <t>VILHELMINA</t>
        </is>
      </c>
      <c r="G432" t="n">
        <v>3.7</v>
      </c>
      <c r="H432" t="n">
        <v>0</v>
      </c>
      <c r="I432" t="n">
        <v>0</v>
      </c>
      <c r="J432" t="n">
        <v>0</v>
      </c>
      <c r="K432" t="n">
        <v>0</v>
      </c>
      <c r="L432" t="n">
        <v>0</v>
      </c>
      <c r="M432" t="n">
        <v>0</v>
      </c>
      <c r="N432" t="n">
        <v>0</v>
      </c>
      <c r="O432" t="n">
        <v>0</v>
      </c>
      <c r="P432" t="n">
        <v>0</v>
      </c>
      <c r="Q432" t="n">
        <v>0</v>
      </c>
      <c r="R432" s="2" t="inlineStr"/>
    </row>
    <row r="433" ht="15" customHeight="1">
      <c r="A433" t="inlineStr">
        <is>
          <t>A 66917-2021</t>
        </is>
      </c>
      <c r="B433" s="1" t="n">
        <v>44522</v>
      </c>
      <c r="C433" s="1" t="n">
        <v>45510</v>
      </c>
      <c r="D433" t="inlineStr">
        <is>
          <t>VÄSTERBOTTENS LÄN</t>
        </is>
      </c>
      <c r="E433" t="inlineStr">
        <is>
          <t>VILHELMINA</t>
        </is>
      </c>
      <c r="F433" t="inlineStr">
        <is>
          <t>Allmännings- och besparingsskogar</t>
        </is>
      </c>
      <c r="G433" t="n">
        <v>11.7</v>
      </c>
      <c r="H433" t="n">
        <v>0</v>
      </c>
      <c r="I433" t="n">
        <v>0</v>
      </c>
      <c r="J433" t="n">
        <v>0</v>
      </c>
      <c r="K433" t="n">
        <v>0</v>
      </c>
      <c r="L433" t="n">
        <v>0</v>
      </c>
      <c r="M433" t="n">
        <v>0</v>
      </c>
      <c r="N433" t="n">
        <v>0</v>
      </c>
      <c r="O433" t="n">
        <v>0</v>
      </c>
      <c r="P433" t="n">
        <v>0</v>
      </c>
      <c r="Q433" t="n">
        <v>0</v>
      </c>
      <c r="R433" s="2" t="inlineStr"/>
    </row>
    <row r="434" ht="15" customHeight="1">
      <c r="A434" t="inlineStr">
        <is>
          <t>A 66952-2021</t>
        </is>
      </c>
      <c r="B434" s="1" t="n">
        <v>44522</v>
      </c>
      <c r="C434" s="1" t="n">
        <v>45510</v>
      </c>
      <c r="D434" t="inlineStr">
        <is>
          <t>VÄSTERBOTTENS LÄN</t>
        </is>
      </c>
      <c r="E434" t="inlineStr">
        <is>
          <t>VILHELMINA</t>
        </is>
      </c>
      <c r="F434" t="inlineStr">
        <is>
          <t>Allmännings- och besparingsskogar</t>
        </is>
      </c>
      <c r="G434" t="n">
        <v>70</v>
      </c>
      <c r="H434" t="n">
        <v>0</v>
      </c>
      <c r="I434" t="n">
        <v>0</v>
      </c>
      <c r="J434" t="n">
        <v>0</v>
      </c>
      <c r="K434" t="n">
        <v>0</v>
      </c>
      <c r="L434" t="n">
        <v>0</v>
      </c>
      <c r="M434" t="n">
        <v>0</v>
      </c>
      <c r="N434" t="n">
        <v>0</v>
      </c>
      <c r="O434" t="n">
        <v>0</v>
      </c>
      <c r="P434" t="n">
        <v>0</v>
      </c>
      <c r="Q434" t="n">
        <v>0</v>
      </c>
      <c r="R434" s="2" t="inlineStr"/>
    </row>
    <row r="435" ht="15" customHeight="1">
      <c r="A435" t="inlineStr">
        <is>
          <t>A 68037-2021</t>
        </is>
      </c>
      <c r="B435" s="1" t="n">
        <v>44525</v>
      </c>
      <c r="C435" s="1" t="n">
        <v>45510</v>
      </c>
      <c r="D435" t="inlineStr">
        <is>
          <t>VÄSTERBOTTENS LÄN</t>
        </is>
      </c>
      <c r="E435" t="inlineStr">
        <is>
          <t>VILHELMINA</t>
        </is>
      </c>
      <c r="G435" t="n">
        <v>2.1</v>
      </c>
      <c r="H435" t="n">
        <v>0</v>
      </c>
      <c r="I435" t="n">
        <v>0</v>
      </c>
      <c r="J435" t="n">
        <v>0</v>
      </c>
      <c r="K435" t="n">
        <v>0</v>
      </c>
      <c r="L435" t="n">
        <v>0</v>
      </c>
      <c r="M435" t="n">
        <v>0</v>
      </c>
      <c r="N435" t="n">
        <v>0</v>
      </c>
      <c r="O435" t="n">
        <v>0</v>
      </c>
      <c r="P435" t="n">
        <v>0</v>
      </c>
      <c r="Q435" t="n">
        <v>0</v>
      </c>
      <c r="R435" s="2" t="inlineStr"/>
    </row>
    <row r="436" ht="15" customHeight="1">
      <c r="A436" t="inlineStr">
        <is>
          <t>A 69362-2021</t>
        </is>
      </c>
      <c r="B436" s="1" t="n">
        <v>44531</v>
      </c>
      <c r="C436" s="1" t="n">
        <v>45510</v>
      </c>
      <c r="D436" t="inlineStr">
        <is>
          <t>VÄSTERBOTTENS LÄN</t>
        </is>
      </c>
      <c r="E436" t="inlineStr">
        <is>
          <t>VILHELMINA</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69366-2021</t>
        </is>
      </c>
      <c r="B437" s="1" t="n">
        <v>44531</v>
      </c>
      <c r="C437" s="1" t="n">
        <v>45510</v>
      </c>
      <c r="D437" t="inlineStr">
        <is>
          <t>VÄSTERBOTTENS LÄN</t>
        </is>
      </c>
      <c r="E437" t="inlineStr">
        <is>
          <t>VILHELMINA</t>
        </is>
      </c>
      <c r="G437" t="n">
        <v>1.2</v>
      </c>
      <c r="H437" t="n">
        <v>0</v>
      </c>
      <c r="I437" t="n">
        <v>0</v>
      </c>
      <c r="J437" t="n">
        <v>0</v>
      </c>
      <c r="K437" t="n">
        <v>0</v>
      </c>
      <c r="L437" t="n">
        <v>0</v>
      </c>
      <c r="M437" t="n">
        <v>0</v>
      </c>
      <c r="N437" t="n">
        <v>0</v>
      </c>
      <c r="O437" t="n">
        <v>0</v>
      </c>
      <c r="P437" t="n">
        <v>0</v>
      </c>
      <c r="Q437" t="n">
        <v>0</v>
      </c>
      <c r="R437" s="2" t="inlineStr"/>
    </row>
    <row r="438" ht="15" customHeight="1">
      <c r="A438" t="inlineStr">
        <is>
          <t>A 69848-2021</t>
        </is>
      </c>
      <c r="B438" s="1" t="n">
        <v>44532</v>
      </c>
      <c r="C438" s="1" t="n">
        <v>45510</v>
      </c>
      <c r="D438" t="inlineStr">
        <is>
          <t>VÄSTERBOTTENS LÄN</t>
        </is>
      </c>
      <c r="E438" t="inlineStr">
        <is>
          <t>VILHELMINA</t>
        </is>
      </c>
      <c r="G438" t="n">
        <v>2.5</v>
      </c>
      <c r="H438" t="n">
        <v>0</v>
      </c>
      <c r="I438" t="n">
        <v>0</v>
      </c>
      <c r="J438" t="n">
        <v>0</v>
      </c>
      <c r="K438" t="n">
        <v>0</v>
      </c>
      <c r="L438" t="n">
        <v>0</v>
      </c>
      <c r="M438" t="n">
        <v>0</v>
      </c>
      <c r="N438" t="n">
        <v>0</v>
      </c>
      <c r="O438" t="n">
        <v>0</v>
      </c>
      <c r="P438" t="n">
        <v>0</v>
      </c>
      <c r="Q438" t="n">
        <v>0</v>
      </c>
      <c r="R438" s="2" t="inlineStr"/>
    </row>
    <row r="439" ht="15" customHeight="1">
      <c r="A439" t="inlineStr">
        <is>
          <t>A 70849-2021</t>
        </is>
      </c>
      <c r="B439" s="1" t="n">
        <v>44532</v>
      </c>
      <c r="C439" s="1" t="n">
        <v>45510</v>
      </c>
      <c r="D439" t="inlineStr">
        <is>
          <t>VÄSTERBOTTENS LÄN</t>
        </is>
      </c>
      <c r="E439" t="inlineStr">
        <is>
          <t>VILHELMINA</t>
        </is>
      </c>
      <c r="G439" t="n">
        <v>21.4</v>
      </c>
      <c r="H439" t="n">
        <v>0</v>
      </c>
      <c r="I439" t="n">
        <v>0</v>
      </c>
      <c r="J439" t="n">
        <v>0</v>
      </c>
      <c r="K439" t="n">
        <v>0</v>
      </c>
      <c r="L439" t="n">
        <v>0</v>
      </c>
      <c r="M439" t="n">
        <v>0</v>
      </c>
      <c r="N439" t="n">
        <v>0</v>
      </c>
      <c r="O439" t="n">
        <v>0</v>
      </c>
      <c r="P439" t="n">
        <v>0</v>
      </c>
      <c r="Q439" t="n">
        <v>0</v>
      </c>
      <c r="R439" s="2" t="inlineStr"/>
    </row>
    <row r="440" ht="15" customHeight="1">
      <c r="A440" t="inlineStr">
        <is>
          <t>A 69850-2021</t>
        </is>
      </c>
      <c r="B440" s="1" t="n">
        <v>44532</v>
      </c>
      <c r="C440" s="1" t="n">
        <v>45510</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70854-2021</t>
        </is>
      </c>
      <c r="B441" s="1" t="n">
        <v>44532</v>
      </c>
      <c r="C441" s="1" t="n">
        <v>45510</v>
      </c>
      <c r="D441" t="inlineStr">
        <is>
          <t>VÄSTERBOTTENS LÄN</t>
        </is>
      </c>
      <c r="E441" t="inlineStr">
        <is>
          <t>VILHELMINA</t>
        </is>
      </c>
      <c r="G441" t="n">
        <v>2.6</v>
      </c>
      <c r="H441" t="n">
        <v>0</v>
      </c>
      <c r="I441" t="n">
        <v>0</v>
      </c>
      <c r="J441" t="n">
        <v>0</v>
      </c>
      <c r="K441" t="n">
        <v>0</v>
      </c>
      <c r="L441" t="n">
        <v>0</v>
      </c>
      <c r="M441" t="n">
        <v>0</v>
      </c>
      <c r="N441" t="n">
        <v>0</v>
      </c>
      <c r="O441" t="n">
        <v>0</v>
      </c>
      <c r="P441" t="n">
        <v>0</v>
      </c>
      <c r="Q441" t="n">
        <v>0</v>
      </c>
      <c r="R441" s="2" t="inlineStr"/>
    </row>
    <row r="442" ht="15" customHeight="1">
      <c r="A442" t="inlineStr">
        <is>
          <t>A 70117-2021</t>
        </is>
      </c>
      <c r="B442" s="1" t="n">
        <v>44533</v>
      </c>
      <c r="C442" s="1" t="n">
        <v>45510</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70811-2021</t>
        </is>
      </c>
      <c r="B443" s="1" t="n">
        <v>44537</v>
      </c>
      <c r="C443" s="1" t="n">
        <v>45510</v>
      </c>
      <c r="D443" t="inlineStr">
        <is>
          <t>VÄSTERBOTTENS LÄN</t>
        </is>
      </c>
      <c r="E443" t="inlineStr">
        <is>
          <t>VILHELMINA</t>
        </is>
      </c>
      <c r="G443" t="n">
        <v>1.9</v>
      </c>
      <c r="H443" t="n">
        <v>0</v>
      </c>
      <c r="I443" t="n">
        <v>0</v>
      </c>
      <c r="J443" t="n">
        <v>0</v>
      </c>
      <c r="K443" t="n">
        <v>0</v>
      </c>
      <c r="L443" t="n">
        <v>0</v>
      </c>
      <c r="M443" t="n">
        <v>0</v>
      </c>
      <c r="N443" t="n">
        <v>0</v>
      </c>
      <c r="O443" t="n">
        <v>0</v>
      </c>
      <c r="P443" t="n">
        <v>0</v>
      </c>
      <c r="Q443" t="n">
        <v>0</v>
      </c>
      <c r="R443" s="2" t="inlineStr"/>
    </row>
    <row r="444" ht="15" customHeight="1">
      <c r="A444" t="inlineStr">
        <is>
          <t>A 72057-2021</t>
        </is>
      </c>
      <c r="B444" s="1" t="n">
        <v>44540</v>
      </c>
      <c r="C444" s="1" t="n">
        <v>45510</v>
      </c>
      <c r="D444" t="inlineStr">
        <is>
          <t>VÄSTERBOTTENS LÄN</t>
        </is>
      </c>
      <c r="E444" t="inlineStr">
        <is>
          <t>VILHELMINA</t>
        </is>
      </c>
      <c r="G444" t="n">
        <v>7</v>
      </c>
      <c r="H444" t="n">
        <v>0</v>
      </c>
      <c r="I444" t="n">
        <v>0</v>
      </c>
      <c r="J444" t="n">
        <v>0</v>
      </c>
      <c r="K444" t="n">
        <v>0</v>
      </c>
      <c r="L444" t="n">
        <v>0</v>
      </c>
      <c r="M444" t="n">
        <v>0</v>
      </c>
      <c r="N444" t="n">
        <v>0</v>
      </c>
      <c r="O444" t="n">
        <v>0</v>
      </c>
      <c r="P444" t="n">
        <v>0</v>
      </c>
      <c r="Q444" t="n">
        <v>0</v>
      </c>
      <c r="R444" s="2" t="inlineStr"/>
    </row>
    <row r="445" ht="15" customHeight="1">
      <c r="A445" t="inlineStr">
        <is>
          <t>A 72153-2021</t>
        </is>
      </c>
      <c r="B445" s="1" t="n">
        <v>44543</v>
      </c>
      <c r="C445" s="1" t="n">
        <v>45510</v>
      </c>
      <c r="D445" t="inlineStr">
        <is>
          <t>VÄSTERBOTTENS LÄN</t>
        </is>
      </c>
      <c r="E445" t="inlineStr">
        <is>
          <t>VILHELMINA</t>
        </is>
      </c>
      <c r="G445" t="n">
        <v>6.7</v>
      </c>
      <c r="H445" t="n">
        <v>0</v>
      </c>
      <c r="I445" t="n">
        <v>0</v>
      </c>
      <c r="J445" t="n">
        <v>0</v>
      </c>
      <c r="K445" t="n">
        <v>0</v>
      </c>
      <c r="L445" t="n">
        <v>0</v>
      </c>
      <c r="M445" t="n">
        <v>0</v>
      </c>
      <c r="N445" t="n">
        <v>0</v>
      </c>
      <c r="O445" t="n">
        <v>0</v>
      </c>
      <c r="P445" t="n">
        <v>0</v>
      </c>
      <c r="Q445" t="n">
        <v>0</v>
      </c>
      <c r="R445" s="2" t="inlineStr"/>
    </row>
    <row r="446" ht="15" customHeight="1">
      <c r="A446" t="inlineStr">
        <is>
          <t>A 72489-2021</t>
        </is>
      </c>
      <c r="B446" s="1" t="n">
        <v>44545</v>
      </c>
      <c r="C446" s="1" t="n">
        <v>45510</v>
      </c>
      <c r="D446" t="inlineStr">
        <is>
          <t>VÄSTERBOTTENS LÄN</t>
        </is>
      </c>
      <c r="E446" t="inlineStr">
        <is>
          <t>VILHELMINA</t>
        </is>
      </c>
      <c r="G446" t="n">
        <v>5</v>
      </c>
      <c r="H446" t="n">
        <v>0</v>
      </c>
      <c r="I446" t="n">
        <v>0</v>
      </c>
      <c r="J446" t="n">
        <v>0</v>
      </c>
      <c r="K446" t="n">
        <v>0</v>
      </c>
      <c r="L446" t="n">
        <v>0</v>
      </c>
      <c r="M446" t="n">
        <v>0</v>
      </c>
      <c r="N446" t="n">
        <v>0</v>
      </c>
      <c r="O446" t="n">
        <v>0</v>
      </c>
      <c r="P446" t="n">
        <v>0</v>
      </c>
      <c r="Q446" t="n">
        <v>0</v>
      </c>
      <c r="R446" s="2" t="inlineStr"/>
    </row>
    <row r="447" ht="15" customHeight="1">
      <c r="A447" t="inlineStr">
        <is>
          <t>A 72494-2021</t>
        </is>
      </c>
      <c r="B447" s="1" t="n">
        <v>44545</v>
      </c>
      <c r="C447" s="1" t="n">
        <v>45510</v>
      </c>
      <c r="D447" t="inlineStr">
        <is>
          <t>VÄSTERBOTTENS LÄN</t>
        </is>
      </c>
      <c r="E447" t="inlineStr">
        <is>
          <t>VILHELMINA</t>
        </is>
      </c>
      <c r="G447" t="n">
        <v>4.2</v>
      </c>
      <c r="H447" t="n">
        <v>0</v>
      </c>
      <c r="I447" t="n">
        <v>0</v>
      </c>
      <c r="J447" t="n">
        <v>0</v>
      </c>
      <c r="K447" t="n">
        <v>0</v>
      </c>
      <c r="L447" t="n">
        <v>0</v>
      </c>
      <c r="M447" t="n">
        <v>0</v>
      </c>
      <c r="N447" t="n">
        <v>0</v>
      </c>
      <c r="O447" t="n">
        <v>0</v>
      </c>
      <c r="P447" t="n">
        <v>0</v>
      </c>
      <c r="Q447" t="n">
        <v>0</v>
      </c>
      <c r="R447" s="2" t="inlineStr"/>
    </row>
    <row r="448" ht="15" customHeight="1">
      <c r="A448" t="inlineStr">
        <is>
          <t>A 72490-2021</t>
        </is>
      </c>
      <c r="B448" s="1" t="n">
        <v>44545</v>
      </c>
      <c r="C448" s="1" t="n">
        <v>45510</v>
      </c>
      <c r="D448" t="inlineStr">
        <is>
          <t>VÄSTERBOTTENS LÄN</t>
        </is>
      </c>
      <c r="E448" t="inlineStr">
        <is>
          <t>VILHELMINA</t>
        </is>
      </c>
      <c r="G448" t="n">
        <v>3.2</v>
      </c>
      <c r="H448" t="n">
        <v>0</v>
      </c>
      <c r="I448" t="n">
        <v>0</v>
      </c>
      <c r="J448" t="n">
        <v>0</v>
      </c>
      <c r="K448" t="n">
        <v>0</v>
      </c>
      <c r="L448" t="n">
        <v>0</v>
      </c>
      <c r="M448" t="n">
        <v>0</v>
      </c>
      <c r="N448" t="n">
        <v>0</v>
      </c>
      <c r="O448" t="n">
        <v>0</v>
      </c>
      <c r="P448" t="n">
        <v>0</v>
      </c>
      <c r="Q448" t="n">
        <v>0</v>
      </c>
      <c r="R448" s="2" t="inlineStr"/>
    </row>
    <row r="449" ht="15" customHeight="1">
      <c r="A449" t="inlineStr">
        <is>
          <t>A 72488-2021</t>
        </is>
      </c>
      <c r="B449" s="1" t="n">
        <v>44545</v>
      </c>
      <c r="C449" s="1" t="n">
        <v>45510</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72487-2021</t>
        </is>
      </c>
      <c r="B450" s="1" t="n">
        <v>44545</v>
      </c>
      <c r="C450" s="1" t="n">
        <v>45510</v>
      </c>
      <c r="D450" t="inlineStr">
        <is>
          <t>VÄSTERBOTTENS LÄN</t>
        </is>
      </c>
      <c r="E450" t="inlineStr">
        <is>
          <t>VILHELMINA</t>
        </is>
      </c>
      <c r="G450" t="n">
        <v>1.2</v>
      </c>
      <c r="H450" t="n">
        <v>0</v>
      </c>
      <c r="I450" t="n">
        <v>0</v>
      </c>
      <c r="J450" t="n">
        <v>0</v>
      </c>
      <c r="K450" t="n">
        <v>0</v>
      </c>
      <c r="L450" t="n">
        <v>0</v>
      </c>
      <c r="M450" t="n">
        <v>0</v>
      </c>
      <c r="N450" t="n">
        <v>0</v>
      </c>
      <c r="O450" t="n">
        <v>0</v>
      </c>
      <c r="P450" t="n">
        <v>0</v>
      </c>
      <c r="Q450" t="n">
        <v>0</v>
      </c>
      <c r="R450" s="2" t="inlineStr"/>
    </row>
    <row r="451" ht="15" customHeight="1">
      <c r="A451" t="inlineStr">
        <is>
          <t>A 72493-2021</t>
        </is>
      </c>
      <c r="B451" s="1" t="n">
        <v>44545</v>
      </c>
      <c r="C451" s="1" t="n">
        <v>45510</v>
      </c>
      <c r="D451" t="inlineStr">
        <is>
          <t>VÄSTERBOTTENS LÄN</t>
        </is>
      </c>
      <c r="E451" t="inlineStr">
        <is>
          <t>VILHELMINA</t>
        </is>
      </c>
      <c r="G451" t="n">
        <v>4.2</v>
      </c>
      <c r="H451" t="n">
        <v>0</v>
      </c>
      <c r="I451" t="n">
        <v>0</v>
      </c>
      <c r="J451" t="n">
        <v>0</v>
      </c>
      <c r="K451" t="n">
        <v>0</v>
      </c>
      <c r="L451" t="n">
        <v>0</v>
      </c>
      <c r="M451" t="n">
        <v>0</v>
      </c>
      <c r="N451" t="n">
        <v>0</v>
      </c>
      <c r="O451" t="n">
        <v>0</v>
      </c>
      <c r="P451" t="n">
        <v>0</v>
      </c>
      <c r="Q451" t="n">
        <v>0</v>
      </c>
      <c r="R451" s="2" t="inlineStr"/>
    </row>
    <row r="452" ht="15" customHeight="1">
      <c r="A452" t="inlineStr">
        <is>
          <t>A 210-2022</t>
        </is>
      </c>
      <c r="B452" s="1" t="n">
        <v>44564</v>
      </c>
      <c r="C452" s="1" t="n">
        <v>45510</v>
      </c>
      <c r="D452" t="inlineStr">
        <is>
          <t>VÄSTERBOTTENS LÄN</t>
        </is>
      </c>
      <c r="E452" t="inlineStr">
        <is>
          <t>VILHELMINA</t>
        </is>
      </c>
      <c r="G452" t="n">
        <v>2</v>
      </c>
      <c r="H452" t="n">
        <v>0</v>
      </c>
      <c r="I452" t="n">
        <v>0</v>
      </c>
      <c r="J452" t="n">
        <v>0</v>
      </c>
      <c r="K452" t="n">
        <v>0</v>
      </c>
      <c r="L452" t="n">
        <v>0</v>
      </c>
      <c r="M452" t="n">
        <v>0</v>
      </c>
      <c r="N452" t="n">
        <v>0</v>
      </c>
      <c r="O452" t="n">
        <v>0</v>
      </c>
      <c r="P452" t="n">
        <v>0</v>
      </c>
      <c r="Q452" t="n">
        <v>0</v>
      </c>
      <c r="R452" s="2" t="inlineStr"/>
    </row>
    <row r="453" ht="15" customHeight="1">
      <c r="A453" t="inlineStr">
        <is>
          <t>A 590-2022</t>
        </is>
      </c>
      <c r="B453" s="1" t="n">
        <v>44567</v>
      </c>
      <c r="C453" s="1" t="n">
        <v>45510</v>
      </c>
      <c r="D453" t="inlineStr">
        <is>
          <t>VÄSTERBOTTENS LÄN</t>
        </is>
      </c>
      <c r="E453" t="inlineStr">
        <is>
          <t>VILHELMINA</t>
        </is>
      </c>
      <c r="G453" t="n">
        <v>14.5</v>
      </c>
      <c r="H453" t="n">
        <v>0</v>
      </c>
      <c r="I453" t="n">
        <v>0</v>
      </c>
      <c r="J453" t="n">
        <v>0</v>
      </c>
      <c r="K453" t="n">
        <v>0</v>
      </c>
      <c r="L453" t="n">
        <v>0</v>
      </c>
      <c r="M453" t="n">
        <v>0</v>
      </c>
      <c r="N453" t="n">
        <v>0</v>
      </c>
      <c r="O453" t="n">
        <v>0</v>
      </c>
      <c r="P453" t="n">
        <v>0</v>
      </c>
      <c r="Q453" t="n">
        <v>0</v>
      </c>
      <c r="R453" s="2" t="inlineStr"/>
    </row>
    <row r="454" ht="15" customHeight="1">
      <c r="A454" t="inlineStr">
        <is>
          <t>A 664-2022</t>
        </is>
      </c>
      <c r="B454" s="1" t="n">
        <v>44568</v>
      </c>
      <c r="C454" s="1" t="n">
        <v>45510</v>
      </c>
      <c r="D454" t="inlineStr">
        <is>
          <t>VÄSTERBOTTENS LÄN</t>
        </is>
      </c>
      <c r="E454" t="inlineStr">
        <is>
          <t>VILHELMINA</t>
        </is>
      </c>
      <c r="G454" t="n">
        <v>1.8</v>
      </c>
      <c r="H454" t="n">
        <v>0</v>
      </c>
      <c r="I454" t="n">
        <v>0</v>
      </c>
      <c r="J454" t="n">
        <v>0</v>
      </c>
      <c r="K454" t="n">
        <v>0</v>
      </c>
      <c r="L454" t="n">
        <v>0</v>
      </c>
      <c r="M454" t="n">
        <v>0</v>
      </c>
      <c r="N454" t="n">
        <v>0</v>
      </c>
      <c r="O454" t="n">
        <v>0</v>
      </c>
      <c r="P454" t="n">
        <v>0</v>
      </c>
      <c r="Q454" t="n">
        <v>0</v>
      </c>
      <c r="R454" s="2" t="inlineStr"/>
    </row>
    <row r="455" ht="15" customHeight="1">
      <c r="A455" t="inlineStr">
        <is>
          <t>A 2340-2022</t>
        </is>
      </c>
      <c r="B455" s="1" t="n">
        <v>44578</v>
      </c>
      <c r="C455" s="1" t="n">
        <v>45510</v>
      </c>
      <c r="D455" t="inlineStr">
        <is>
          <t>VÄSTERBOTTENS LÄN</t>
        </is>
      </c>
      <c r="E455" t="inlineStr">
        <is>
          <t>VILHELMINA</t>
        </is>
      </c>
      <c r="G455" t="n">
        <v>0.9</v>
      </c>
      <c r="H455" t="n">
        <v>0</v>
      </c>
      <c r="I455" t="n">
        <v>0</v>
      </c>
      <c r="J455" t="n">
        <v>0</v>
      </c>
      <c r="K455" t="n">
        <v>0</v>
      </c>
      <c r="L455" t="n">
        <v>0</v>
      </c>
      <c r="M455" t="n">
        <v>0</v>
      </c>
      <c r="N455" t="n">
        <v>0</v>
      </c>
      <c r="O455" t="n">
        <v>0</v>
      </c>
      <c r="P455" t="n">
        <v>0</v>
      </c>
      <c r="Q455" t="n">
        <v>0</v>
      </c>
      <c r="R455" s="2" t="inlineStr"/>
    </row>
    <row r="456" ht="15" customHeight="1">
      <c r="A456" t="inlineStr">
        <is>
          <t>A 2341-2022</t>
        </is>
      </c>
      <c r="B456" s="1" t="n">
        <v>44578</v>
      </c>
      <c r="C456" s="1" t="n">
        <v>45510</v>
      </c>
      <c r="D456" t="inlineStr">
        <is>
          <t>VÄSTERBOTTENS LÄN</t>
        </is>
      </c>
      <c r="E456" t="inlineStr">
        <is>
          <t>VILHELMINA</t>
        </is>
      </c>
      <c r="G456" t="n">
        <v>3</v>
      </c>
      <c r="H456" t="n">
        <v>0</v>
      </c>
      <c r="I456" t="n">
        <v>0</v>
      </c>
      <c r="J456" t="n">
        <v>0</v>
      </c>
      <c r="K456" t="n">
        <v>0</v>
      </c>
      <c r="L456" t="n">
        <v>0</v>
      </c>
      <c r="M456" t="n">
        <v>0</v>
      </c>
      <c r="N456" t="n">
        <v>0</v>
      </c>
      <c r="O456" t="n">
        <v>0</v>
      </c>
      <c r="P456" t="n">
        <v>0</v>
      </c>
      <c r="Q456" t="n">
        <v>0</v>
      </c>
      <c r="R456" s="2" t="inlineStr"/>
    </row>
    <row r="457" ht="15" customHeight="1">
      <c r="A457" t="inlineStr">
        <is>
          <t>A 5285-2022</t>
        </is>
      </c>
      <c r="B457" s="1" t="n">
        <v>44594</v>
      </c>
      <c r="C457" s="1" t="n">
        <v>45510</v>
      </c>
      <c r="D457" t="inlineStr">
        <is>
          <t>VÄSTERBOTTENS LÄN</t>
        </is>
      </c>
      <c r="E457" t="inlineStr">
        <is>
          <t>VILHELMINA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7156-2022</t>
        </is>
      </c>
      <c r="B458" s="1" t="n">
        <v>44604</v>
      </c>
      <c r="C458" s="1" t="n">
        <v>45510</v>
      </c>
      <c r="D458" t="inlineStr">
        <is>
          <t>VÄSTERBOTTENS LÄN</t>
        </is>
      </c>
      <c r="E458" t="inlineStr">
        <is>
          <t>VILHELMINA</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8229-2022</t>
        </is>
      </c>
      <c r="B459" s="1" t="n">
        <v>44609</v>
      </c>
      <c r="C459" s="1" t="n">
        <v>45510</v>
      </c>
      <c r="D459" t="inlineStr">
        <is>
          <t>VÄSTERBOTTENS LÄN</t>
        </is>
      </c>
      <c r="E459" t="inlineStr">
        <is>
          <t>VILHELMINA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8258-2022</t>
        </is>
      </c>
      <c r="B460" s="1" t="n">
        <v>44609</v>
      </c>
      <c r="C460" s="1" t="n">
        <v>45510</v>
      </c>
      <c r="D460" t="inlineStr">
        <is>
          <t>VÄSTERBOTTENS LÄN</t>
        </is>
      </c>
      <c r="E460" t="inlineStr">
        <is>
          <t>VILHELMINA</t>
        </is>
      </c>
      <c r="G460" t="n">
        <v>31.1</v>
      </c>
      <c r="H460" t="n">
        <v>0</v>
      </c>
      <c r="I460" t="n">
        <v>0</v>
      </c>
      <c r="J460" t="n">
        <v>0</v>
      </c>
      <c r="K460" t="n">
        <v>0</v>
      </c>
      <c r="L460" t="n">
        <v>0</v>
      </c>
      <c r="M460" t="n">
        <v>0</v>
      </c>
      <c r="N460" t="n">
        <v>0</v>
      </c>
      <c r="O460" t="n">
        <v>0</v>
      </c>
      <c r="P460" t="n">
        <v>0</v>
      </c>
      <c r="Q460" t="n">
        <v>0</v>
      </c>
      <c r="R460" s="2" t="inlineStr"/>
    </row>
    <row r="461" ht="15" customHeight="1">
      <c r="A461" t="inlineStr">
        <is>
          <t>A 8731-2022</t>
        </is>
      </c>
      <c r="B461" s="1" t="n">
        <v>44613</v>
      </c>
      <c r="C461" s="1" t="n">
        <v>45510</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8730-2022</t>
        </is>
      </c>
      <c r="B462" s="1" t="n">
        <v>44613</v>
      </c>
      <c r="C462" s="1" t="n">
        <v>45510</v>
      </c>
      <c r="D462" t="inlineStr">
        <is>
          <t>VÄSTERBOTTENS LÄN</t>
        </is>
      </c>
      <c r="E462" t="inlineStr">
        <is>
          <t>VILHELMINA</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9026-2022</t>
        </is>
      </c>
      <c r="B463" s="1" t="n">
        <v>44615</v>
      </c>
      <c r="C463" s="1" t="n">
        <v>45510</v>
      </c>
      <c r="D463" t="inlineStr">
        <is>
          <t>VÄSTERBOTTENS LÄN</t>
        </is>
      </c>
      <c r="E463" t="inlineStr">
        <is>
          <t>VILHELMINA</t>
        </is>
      </c>
      <c r="G463" t="n">
        <v>25.8</v>
      </c>
      <c r="H463" t="n">
        <v>0</v>
      </c>
      <c r="I463" t="n">
        <v>0</v>
      </c>
      <c r="J463" t="n">
        <v>0</v>
      </c>
      <c r="K463" t="n">
        <v>0</v>
      </c>
      <c r="L463" t="n">
        <v>0</v>
      </c>
      <c r="M463" t="n">
        <v>0</v>
      </c>
      <c r="N463" t="n">
        <v>0</v>
      </c>
      <c r="O463" t="n">
        <v>0</v>
      </c>
      <c r="P463" t="n">
        <v>0</v>
      </c>
      <c r="Q463" t="n">
        <v>0</v>
      </c>
      <c r="R463" s="2" t="inlineStr"/>
    </row>
    <row r="464" ht="15" customHeight="1">
      <c r="A464" t="inlineStr">
        <is>
          <t>A 9162-2022</t>
        </is>
      </c>
      <c r="B464" s="1" t="n">
        <v>44615</v>
      </c>
      <c r="C464" s="1" t="n">
        <v>45510</v>
      </c>
      <c r="D464" t="inlineStr">
        <is>
          <t>VÄSTERBOTTENS LÄN</t>
        </is>
      </c>
      <c r="E464" t="inlineStr">
        <is>
          <t>VILHELMINA</t>
        </is>
      </c>
      <c r="G464" t="n">
        <v>7.2</v>
      </c>
      <c r="H464" t="n">
        <v>0</v>
      </c>
      <c r="I464" t="n">
        <v>0</v>
      </c>
      <c r="J464" t="n">
        <v>0</v>
      </c>
      <c r="K464" t="n">
        <v>0</v>
      </c>
      <c r="L464" t="n">
        <v>0</v>
      </c>
      <c r="M464" t="n">
        <v>0</v>
      </c>
      <c r="N464" t="n">
        <v>0</v>
      </c>
      <c r="O464" t="n">
        <v>0</v>
      </c>
      <c r="P464" t="n">
        <v>0</v>
      </c>
      <c r="Q464" t="n">
        <v>0</v>
      </c>
      <c r="R464" s="2" t="inlineStr"/>
    </row>
    <row r="465" ht="15" customHeight="1">
      <c r="A465" t="inlineStr">
        <is>
          <t>A 9501-2022</t>
        </is>
      </c>
      <c r="B465" s="1" t="n">
        <v>44616</v>
      </c>
      <c r="C465" s="1" t="n">
        <v>45510</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9731-2022</t>
        </is>
      </c>
      <c r="B466" s="1" t="n">
        <v>44617</v>
      </c>
      <c r="C466" s="1" t="n">
        <v>45510</v>
      </c>
      <c r="D466" t="inlineStr">
        <is>
          <t>VÄSTERBOTTENS LÄN</t>
        </is>
      </c>
      <c r="E466" t="inlineStr">
        <is>
          <t>VILHELMINA</t>
        </is>
      </c>
      <c r="F466" t="inlineStr">
        <is>
          <t>SCA</t>
        </is>
      </c>
      <c r="G466" t="n">
        <v>15.9</v>
      </c>
      <c r="H466" t="n">
        <v>0</v>
      </c>
      <c r="I466" t="n">
        <v>0</v>
      </c>
      <c r="J466" t="n">
        <v>0</v>
      </c>
      <c r="K466" t="n">
        <v>0</v>
      </c>
      <c r="L466" t="n">
        <v>0</v>
      </c>
      <c r="M466" t="n">
        <v>0</v>
      </c>
      <c r="N466" t="n">
        <v>0</v>
      </c>
      <c r="O466" t="n">
        <v>0</v>
      </c>
      <c r="P466" t="n">
        <v>0</v>
      </c>
      <c r="Q466" t="n">
        <v>0</v>
      </c>
      <c r="R466" s="2" t="inlineStr"/>
    </row>
    <row r="467" ht="15" customHeight="1">
      <c r="A467" t="inlineStr">
        <is>
          <t>A 9735-2022</t>
        </is>
      </c>
      <c r="B467" s="1" t="n">
        <v>44617</v>
      </c>
      <c r="C467" s="1" t="n">
        <v>45510</v>
      </c>
      <c r="D467" t="inlineStr">
        <is>
          <t>VÄSTERBOTTENS LÄN</t>
        </is>
      </c>
      <c r="E467" t="inlineStr">
        <is>
          <t>VILHELMINA</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9734-2022</t>
        </is>
      </c>
      <c r="B468" s="1" t="n">
        <v>44617</v>
      </c>
      <c r="C468" s="1" t="n">
        <v>45510</v>
      </c>
      <c r="D468" t="inlineStr">
        <is>
          <t>VÄSTERBOTTENS LÄN</t>
        </is>
      </c>
      <c r="E468" t="inlineStr">
        <is>
          <t>VILHELMINA</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9732-2022</t>
        </is>
      </c>
      <c r="B469" s="1" t="n">
        <v>44617</v>
      </c>
      <c r="C469" s="1" t="n">
        <v>45510</v>
      </c>
      <c r="D469" t="inlineStr">
        <is>
          <t>VÄSTERBOTTENS LÄN</t>
        </is>
      </c>
      <c r="E469" t="inlineStr">
        <is>
          <t>VILHELMINA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9733-2022</t>
        </is>
      </c>
      <c r="B470" s="1" t="n">
        <v>44617</v>
      </c>
      <c r="C470" s="1" t="n">
        <v>45510</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9777-2022</t>
        </is>
      </c>
      <c r="B471" s="1" t="n">
        <v>44619</v>
      </c>
      <c r="C471" s="1" t="n">
        <v>45510</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9781-2022</t>
        </is>
      </c>
      <c r="B472" s="1" t="n">
        <v>44619</v>
      </c>
      <c r="C472" s="1" t="n">
        <v>45510</v>
      </c>
      <c r="D472" t="inlineStr">
        <is>
          <t>VÄSTERBOTTENS LÄN</t>
        </is>
      </c>
      <c r="E472" t="inlineStr">
        <is>
          <t>VILHELMINA</t>
        </is>
      </c>
      <c r="G472" t="n">
        <v>2</v>
      </c>
      <c r="H472" t="n">
        <v>0</v>
      </c>
      <c r="I472" t="n">
        <v>0</v>
      </c>
      <c r="J472" t="n">
        <v>0</v>
      </c>
      <c r="K472" t="n">
        <v>0</v>
      </c>
      <c r="L472" t="n">
        <v>0</v>
      </c>
      <c r="M472" t="n">
        <v>0</v>
      </c>
      <c r="N472" t="n">
        <v>0</v>
      </c>
      <c r="O472" t="n">
        <v>0</v>
      </c>
      <c r="P472" t="n">
        <v>0</v>
      </c>
      <c r="Q472" t="n">
        <v>0</v>
      </c>
      <c r="R472" s="2" t="inlineStr"/>
    </row>
    <row r="473" ht="15" customHeight="1">
      <c r="A473" t="inlineStr">
        <is>
          <t>A 9780-2022</t>
        </is>
      </c>
      <c r="B473" s="1" t="n">
        <v>44619</v>
      </c>
      <c r="C473" s="1" t="n">
        <v>45510</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9779-2022</t>
        </is>
      </c>
      <c r="B474" s="1" t="n">
        <v>44619</v>
      </c>
      <c r="C474" s="1" t="n">
        <v>45510</v>
      </c>
      <c r="D474" t="inlineStr">
        <is>
          <t>VÄSTERBOTTENS LÄN</t>
        </is>
      </c>
      <c r="E474" t="inlineStr">
        <is>
          <t>VILHELMINA</t>
        </is>
      </c>
      <c r="G474" t="n">
        <v>0.8</v>
      </c>
      <c r="H474" t="n">
        <v>0</v>
      </c>
      <c r="I474" t="n">
        <v>0</v>
      </c>
      <c r="J474" t="n">
        <v>0</v>
      </c>
      <c r="K474" t="n">
        <v>0</v>
      </c>
      <c r="L474" t="n">
        <v>0</v>
      </c>
      <c r="M474" t="n">
        <v>0</v>
      </c>
      <c r="N474" t="n">
        <v>0</v>
      </c>
      <c r="O474" t="n">
        <v>0</v>
      </c>
      <c r="P474" t="n">
        <v>0</v>
      </c>
      <c r="Q474" t="n">
        <v>0</v>
      </c>
      <c r="R474" s="2" t="inlineStr"/>
    </row>
    <row r="475" ht="15" customHeight="1">
      <c r="A475" t="inlineStr">
        <is>
          <t>A 10142-2022</t>
        </is>
      </c>
      <c r="B475" s="1" t="n">
        <v>44621</v>
      </c>
      <c r="C475" s="1" t="n">
        <v>45510</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10121-2022</t>
        </is>
      </c>
      <c r="B476" s="1" t="n">
        <v>44621</v>
      </c>
      <c r="C476" s="1" t="n">
        <v>45510</v>
      </c>
      <c r="D476" t="inlineStr">
        <is>
          <t>VÄSTERBOTTENS LÄN</t>
        </is>
      </c>
      <c r="E476" t="inlineStr">
        <is>
          <t>VILHELMINA</t>
        </is>
      </c>
      <c r="G476" t="n">
        <v>14.1</v>
      </c>
      <c r="H476" t="n">
        <v>0</v>
      </c>
      <c r="I476" t="n">
        <v>0</v>
      </c>
      <c r="J476" t="n">
        <v>0</v>
      </c>
      <c r="K476" t="n">
        <v>0</v>
      </c>
      <c r="L476" t="n">
        <v>0</v>
      </c>
      <c r="M476" t="n">
        <v>0</v>
      </c>
      <c r="N476" t="n">
        <v>0</v>
      </c>
      <c r="O476" t="n">
        <v>0</v>
      </c>
      <c r="P476" t="n">
        <v>0</v>
      </c>
      <c r="Q476" t="n">
        <v>0</v>
      </c>
      <c r="R476" s="2" t="inlineStr"/>
    </row>
    <row r="477" ht="15" customHeight="1">
      <c r="A477" t="inlineStr">
        <is>
          <t>A 10213-2022</t>
        </is>
      </c>
      <c r="B477" s="1" t="n">
        <v>44622</v>
      </c>
      <c r="C477" s="1" t="n">
        <v>45510</v>
      </c>
      <c r="D477" t="inlineStr">
        <is>
          <t>VÄSTERBOTTENS LÄN</t>
        </is>
      </c>
      <c r="E477" t="inlineStr">
        <is>
          <t>VILHELMINA</t>
        </is>
      </c>
      <c r="G477" t="n">
        <v>1.7</v>
      </c>
      <c r="H477" t="n">
        <v>0</v>
      </c>
      <c r="I477" t="n">
        <v>0</v>
      </c>
      <c r="J477" t="n">
        <v>0</v>
      </c>
      <c r="K477" t="n">
        <v>0</v>
      </c>
      <c r="L477" t="n">
        <v>0</v>
      </c>
      <c r="M477" t="n">
        <v>0</v>
      </c>
      <c r="N477" t="n">
        <v>0</v>
      </c>
      <c r="O477" t="n">
        <v>0</v>
      </c>
      <c r="P477" t="n">
        <v>0</v>
      </c>
      <c r="Q477" t="n">
        <v>0</v>
      </c>
      <c r="R477" s="2" t="inlineStr"/>
    </row>
    <row r="478" ht="15" customHeight="1">
      <c r="A478" t="inlineStr">
        <is>
          <t>A 10548-2022</t>
        </is>
      </c>
      <c r="B478" s="1" t="n">
        <v>44623</v>
      </c>
      <c r="C478" s="1" t="n">
        <v>45510</v>
      </c>
      <c r="D478" t="inlineStr">
        <is>
          <t>VÄSTERBOTTENS LÄN</t>
        </is>
      </c>
      <c r="E478" t="inlineStr">
        <is>
          <t>VILHELMINA</t>
        </is>
      </c>
      <c r="F478" t="inlineStr">
        <is>
          <t>SCA</t>
        </is>
      </c>
      <c r="G478" t="n">
        <v>11.5</v>
      </c>
      <c r="H478" t="n">
        <v>0</v>
      </c>
      <c r="I478" t="n">
        <v>0</v>
      </c>
      <c r="J478" t="n">
        <v>0</v>
      </c>
      <c r="K478" t="n">
        <v>0</v>
      </c>
      <c r="L478" t="n">
        <v>0</v>
      </c>
      <c r="M478" t="n">
        <v>0</v>
      </c>
      <c r="N478" t="n">
        <v>0</v>
      </c>
      <c r="O478" t="n">
        <v>0</v>
      </c>
      <c r="P478" t="n">
        <v>0</v>
      </c>
      <c r="Q478" t="n">
        <v>0</v>
      </c>
      <c r="R478" s="2" t="inlineStr"/>
    </row>
    <row r="479" ht="15" customHeight="1">
      <c r="A479" t="inlineStr">
        <is>
          <t>A 10708-2022</t>
        </is>
      </c>
      <c r="B479" s="1" t="n">
        <v>44625</v>
      </c>
      <c r="C479" s="1" t="n">
        <v>45510</v>
      </c>
      <c r="D479" t="inlineStr">
        <is>
          <t>VÄSTERBOTTENS LÄN</t>
        </is>
      </c>
      <c r="E479" t="inlineStr">
        <is>
          <t>VILHELMINA</t>
        </is>
      </c>
      <c r="G479" t="n">
        <v>21.3</v>
      </c>
      <c r="H479" t="n">
        <v>0</v>
      </c>
      <c r="I479" t="n">
        <v>0</v>
      </c>
      <c r="J479" t="n">
        <v>0</v>
      </c>
      <c r="K479" t="n">
        <v>0</v>
      </c>
      <c r="L479" t="n">
        <v>0</v>
      </c>
      <c r="M479" t="n">
        <v>0</v>
      </c>
      <c r="N479" t="n">
        <v>0</v>
      </c>
      <c r="O479" t="n">
        <v>0</v>
      </c>
      <c r="P479" t="n">
        <v>0</v>
      </c>
      <c r="Q479" t="n">
        <v>0</v>
      </c>
      <c r="R479" s="2" t="inlineStr"/>
    </row>
    <row r="480" ht="15" customHeight="1">
      <c r="A480" t="inlineStr">
        <is>
          <t>A 10833-2022</t>
        </is>
      </c>
      <c r="B480" s="1" t="n">
        <v>44627</v>
      </c>
      <c r="C480" s="1" t="n">
        <v>45510</v>
      </c>
      <c r="D480" t="inlineStr">
        <is>
          <t>VÄSTERBOTTENS LÄN</t>
        </is>
      </c>
      <c r="E480" t="inlineStr">
        <is>
          <t>VILHELMINA</t>
        </is>
      </c>
      <c r="G480" t="n">
        <v>5.4</v>
      </c>
      <c r="H480" t="n">
        <v>0</v>
      </c>
      <c r="I480" t="n">
        <v>0</v>
      </c>
      <c r="J480" t="n">
        <v>0</v>
      </c>
      <c r="K480" t="n">
        <v>0</v>
      </c>
      <c r="L480" t="n">
        <v>0</v>
      </c>
      <c r="M480" t="n">
        <v>0</v>
      </c>
      <c r="N480" t="n">
        <v>0</v>
      </c>
      <c r="O480" t="n">
        <v>0</v>
      </c>
      <c r="P480" t="n">
        <v>0</v>
      </c>
      <c r="Q480" t="n">
        <v>0</v>
      </c>
      <c r="R480" s="2" t="inlineStr"/>
    </row>
    <row r="481" ht="15" customHeight="1">
      <c r="A481" t="inlineStr">
        <is>
          <t>A 10839-2022</t>
        </is>
      </c>
      <c r="B481" s="1" t="n">
        <v>44627</v>
      </c>
      <c r="C481" s="1" t="n">
        <v>45510</v>
      </c>
      <c r="D481" t="inlineStr">
        <is>
          <t>VÄSTERBOTTENS LÄN</t>
        </is>
      </c>
      <c r="E481" t="inlineStr">
        <is>
          <t>VILHELMINA</t>
        </is>
      </c>
      <c r="G481" t="n">
        <v>2.9</v>
      </c>
      <c r="H481" t="n">
        <v>0</v>
      </c>
      <c r="I481" t="n">
        <v>0</v>
      </c>
      <c r="J481" t="n">
        <v>0</v>
      </c>
      <c r="K481" t="n">
        <v>0</v>
      </c>
      <c r="L481" t="n">
        <v>0</v>
      </c>
      <c r="M481" t="n">
        <v>0</v>
      </c>
      <c r="N481" t="n">
        <v>0</v>
      </c>
      <c r="O481" t="n">
        <v>0</v>
      </c>
      <c r="P481" t="n">
        <v>0</v>
      </c>
      <c r="Q481" t="n">
        <v>0</v>
      </c>
      <c r="R481" s="2" t="inlineStr"/>
    </row>
    <row r="482" ht="15" customHeight="1">
      <c r="A482" t="inlineStr">
        <is>
          <t>A 11076-2022</t>
        </is>
      </c>
      <c r="B482" s="1" t="n">
        <v>44628</v>
      </c>
      <c r="C482" s="1" t="n">
        <v>45510</v>
      </c>
      <c r="D482" t="inlineStr">
        <is>
          <t>VÄSTERBOTTENS LÄN</t>
        </is>
      </c>
      <c r="E482" t="inlineStr">
        <is>
          <t>VILHELMINA</t>
        </is>
      </c>
      <c r="G482" t="n">
        <v>7.4</v>
      </c>
      <c r="H482" t="n">
        <v>0</v>
      </c>
      <c r="I482" t="n">
        <v>0</v>
      </c>
      <c r="J482" t="n">
        <v>0</v>
      </c>
      <c r="K482" t="n">
        <v>0</v>
      </c>
      <c r="L482" t="n">
        <v>0</v>
      </c>
      <c r="M482" t="n">
        <v>0</v>
      </c>
      <c r="N482" t="n">
        <v>0</v>
      </c>
      <c r="O482" t="n">
        <v>0</v>
      </c>
      <c r="P482" t="n">
        <v>0</v>
      </c>
      <c r="Q482" t="n">
        <v>0</v>
      </c>
      <c r="R482" s="2" t="inlineStr"/>
    </row>
    <row r="483" ht="15" customHeight="1">
      <c r="A483" t="inlineStr">
        <is>
          <t>A 11114-2022</t>
        </is>
      </c>
      <c r="B483" s="1" t="n">
        <v>44628</v>
      </c>
      <c r="C483" s="1" t="n">
        <v>45510</v>
      </c>
      <c r="D483" t="inlineStr">
        <is>
          <t>VÄSTERBOTTENS LÄN</t>
        </is>
      </c>
      <c r="E483" t="inlineStr">
        <is>
          <t>VILHELMINA</t>
        </is>
      </c>
      <c r="G483" t="n">
        <v>8.6</v>
      </c>
      <c r="H483" t="n">
        <v>0</v>
      </c>
      <c r="I483" t="n">
        <v>0</v>
      </c>
      <c r="J483" t="n">
        <v>0</v>
      </c>
      <c r="K483" t="n">
        <v>0</v>
      </c>
      <c r="L483" t="n">
        <v>0</v>
      </c>
      <c r="M483" t="n">
        <v>0</v>
      </c>
      <c r="N483" t="n">
        <v>0</v>
      </c>
      <c r="O483" t="n">
        <v>0</v>
      </c>
      <c r="P483" t="n">
        <v>0</v>
      </c>
      <c r="Q483" t="n">
        <v>0</v>
      </c>
      <c r="R483" s="2" t="inlineStr"/>
    </row>
    <row r="484" ht="15" customHeight="1">
      <c r="A484" t="inlineStr">
        <is>
          <t>A 11116-2022</t>
        </is>
      </c>
      <c r="B484" s="1" t="n">
        <v>44628</v>
      </c>
      <c r="C484" s="1" t="n">
        <v>45510</v>
      </c>
      <c r="D484" t="inlineStr">
        <is>
          <t>VÄSTERBOTTENS LÄN</t>
        </is>
      </c>
      <c r="E484" t="inlineStr">
        <is>
          <t>VILHELMINA</t>
        </is>
      </c>
      <c r="G484" t="n">
        <v>4.2</v>
      </c>
      <c r="H484" t="n">
        <v>0</v>
      </c>
      <c r="I484" t="n">
        <v>0</v>
      </c>
      <c r="J484" t="n">
        <v>0</v>
      </c>
      <c r="K484" t="n">
        <v>0</v>
      </c>
      <c r="L484" t="n">
        <v>0</v>
      </c>
      <c r="M484" t="n">
        <v>0</v>
      </c>
      <c r="N484" t="n">
        <v>0</v>
      </c>
      <c r="O484" t="n">
        <v>0</v>
      </c>
      <c r="P484" t="n">
        <v>0</v>
      </c>
      <c r="Q484" t="n">
        <v>0</v>
      </c>
      <c r="R484" s="2" t="inlineStr"/>
    </row>
    <row r="485" ht="15" customHeight="1">
      <c r="A485" t="inlineStr">
        <is>
          <t>A 11139-2022</t>
        </is>
      </c>
      <c r="B485" s="1" t="n">
        <v>44628</v>
      </c>
      <c r="C485" s="1" t="n">
        <v>45510</v>
      </c>
      <c r="D485" t="inlineStr">
        <is>
          <t>VÄSTERBOTTENS LÄN</t>
        </is>
      </c>
      <c r="E485" t="inlineStr">
        <is>
          <t>VILHELMINA</t>
        </is>
      </c>
      <c r="G485" t="n">
        <v>13.6</v>
      </c>
      <c r="H485" t="n">
        <v>0</v>
      </c>
      <c r="I485" t="n">
        <v>0</v>
      </c>
      <c r="J485" t="n">
        <v>0</v>
      </c>
      <c r="K485" t="n">
        <v>0</v>
      </c>
      <c r="L485" t="n">
        <v>0</v>
      </c>
      <c r="M485" t="n">
        <v>0</v>
      </c>
      <c r="N485" t="n">
        <v>0</v>
      </c>
      <c r="O485" t="n">
        <v>0</v>
      </c>
      <c r="P485" t="n">
        <v>0</v>
      </c>
      <c r="Q485" t="n">
        <v>0</v>
      </c>
      <c r="R485" s="2" t="inlineStr"/>
    </row>
    <row r="486" ht="15" customHeight="1">
      <c r="A486" t="inlineStr">
        <is>
          <t>A 12065-2022</t>
        </is>
      </c>
      <c r="B486" s="1" t="n">
        <v>44637</v>
      </c>
      <c r="C486" s="1" t="n">
        <v>45510</v>
      </c>
      <c r="D486" t="inlineStr">
        <is>
          <t>VÄSTERBOTTENS LÄN</t>
        </is>
      </c>
      <c r="E486" t="inlineStr">
        <is>
          <t>VILHELMINA</t>
        </is>
      </c>
      <c r="G486" t="n">
        <v>27.7</v>
      </c>
      <c r="H486" t="n">
        <v>0</v>
      </c>
      <c r="I486" t="n">
        <v>0</v>
      </c>
      <c r="J486" t="n">
        <v>0</v>
      </c>
      <c r="K486" t="n">
        <v>0</v>
      </c>
      <c r="L486" t="n">
        <v>0</v>
      </c>
      <c r="M486" t="n">
        <v>0</v>
      </c>
      <c r="N486" t="n">
        <v>0</v>
      </c>
      <c r="O486" t="n">
        <v>0</v>
      </c>
      <c r="P486" t="n">
        <v>0</v>
      </c>
      <c r="Q486" t="n">
        <v>0</v>
      </c>
      <c r="R486" s="2" t="inlineStr"/>
    </row>
    <row r="487" ht="15" customHeight="1">
      <c r="A487" t="inlineStr">
        <is>
          <t>A 12593-2022</t>
        </is>
      </c>
      <c r="B487" s="1" t="n">
        <v>44640</v>
      </c>
      <c r="C487" s="1" t="n">
        <v>45510</v>
      </c>
      <c r="D487" t="inlineStr">
        <is>
          <t>VÄSTERBOTTENS LÄN</t>
        </is>
      </c>
      <c r="E487" t="inlineStr">
        <is>
          <t>VILHELMINA</t>
        </is>
      </c>
      <c r="G487" t="n">
        <v>10.4</v>
      </c>
      <c r="H487" t="n">
        <v>0</v>
      </c>
      <c r="I487" t="n">
        <v>0</v>
      </c>
      <c r="J487" t="n">
        <v>0</v>
      </c>
      <c r="K487" t="n">
        <v>0</v>
      </c>
      <c r="L487" t="n">
        <v>0</v>
      </c>
      <c r="M487" t="n">
        <v>0</v>
      </c>
      <c r="N487" t="n">
        <v>0</v>
      </c>
      <c r="O487" t="n">
        <v>0</v>
      </c>
      <c r="P487" t="n">
        <v>0</v>
      </c>
      <c r="Q487" t="n">
        <v>0</v>
      </c>
      <c r="R487" s="2" t="inlineStr"/>
    </row>
    <row r="488" ht="15" customHeight="1">
      <c r="A488" t="inlineStr">
        <is>
          <t>A 12778-2022</t>
        </is>
      </c>
      <c r="B488" s="1" t="n">
        <v>44642</v>
      </c>
      <c r="C488" s="1" t="n">
        <v>45510</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14959-2022</t>
        </is>
      </c>
      <c r="B489" s="1" t="n">
        <v>44657</v>
      </c>
      <c r="C489" s="1" t="n">
        <v>45510</v>
      </c>
      <c r="D489" t="inlineStr">
        <is>
          <t>VÄSTERBOTTENS LÄN</t>
        </is>
      </c>
      <c r="E489" t="inlineStr">
        <is>
          <t>VILHELMINA</t>
        </is>
      </c>
      <c r="G489" t="n">
        <v>71.8</v>
      </c>
      <c r="H489" t="n">
        <v>0</v>
      </c>
      <c r="I489" t="n">
        <v>0</v>
      </c>
      <c r="J489" t="n">
        <v>0</v>
      </c>
      <c r="K489" t="n">
        <v>0</v>
      </c>
      <c r="L489" t="n">
        <v>0</v>
      </c>
      <c r="M489" t="n">
        <v>0</v>
      </c>
      <c r="N489" t="n">
        <v>0</v>
      </c>
      <c r="O489" t="n">
        <v>0</v>
      </c>
      <c r="P489" t="n">
        <v>0</v>
      </c>
      <c r="Q489" t="n">
        <v>0</v>
      </c>
      <c r="R489" s="2" t="inlineStr"/>
    </row>
    <row r="490" ht="15" customHeight="1">
      <c r="A490" t="inlineStr">
        <is>
          <t>A 14961-2022</t>
        </is>
      </c>
      <c r="B490" s="1" t="n">
        <v>44657</v>
      </c>
      <c r="C490" s="1" t="n">
        <v>45510</v>
      </c>
      <c r="D490" t="inlineStr">
        <is>
          <t>VÄSTERBOTTENS LÄN</t>
        </is>
      </c>
      <c r="E490" t="inlineStr">
        <is>
          <t>VILHELMINA</t>
        </is>
      </c>
      <c r="G490" t="n">
        <v>19.9</v>
      </c>
      <c r="H490" t="n">
        <v>0</v>
      </c>
      <c r="I490" t="n">
        <v>0</v>
      </c>
      <c r="J490" t="n">
        <v>0</v>
      </c>
      <c r="K490" t="n">
        <v>0</v>
      </c>
      <c r="L490" t="n">
        <v>0</v>
      </c>
      <c r="M490" t="n">
        <v>0</v>
      </c>
      <c r="N490" t="n">
        <v>0</v>
      </c>
      <c r="O490" t="n">
        <v>0</v>
      </c>
      <c r="P490" t="n">
        <v>0</v>
      </c>
      <c r="Q490" t="n">
        <v>0</v>
      </c>
      <c r="R490" s="2" t="inlineStr"/>
    </row>
    <row r="491" ht="15" customHeight="1">
      <c r="A491" t="inlineStr">
        <is>
          <t>A 14963-2022</t>
        </is>
      </c>
      <c r="B491" s="1" t="n">
        <v>44657</v>
      </c>
      <c r="C491" s="1" t="n">
        <v>45510</v>
      </c>
      <c r="D491" t="inlineStr">
        <is>
          <t>VÄSTERBOTTENS LÄN</t>
        </is>
      </c>
      <c r="E491" t="inlineStr">
        <is>
          <t>VILHELMINA</t>
        </is>
      </c>
      <c r="G491" t="n">
        <v>11.5</v>
      </c>
      <c r="H491" t="n">
        <v>0</v>
      </c>
      <c r="I491" t="n">
        <v>0</v>
      </c>
      <c r="J491" t="n">
        <v>0</v>
      </c>
      <c r="K491" t="n">
        <v>0</v>
      </c>
      <c r="L491" t="n">
        <v>0</v>
      </c>
      <c r="M491" t="n">
        <v>0</v>
      </c>
      <c r="N491" t="n">
        <v>0</v>
      </c>
      <c r="O491" t="n">
        <v>0</v>
      </c>
      <c r="P491" t="n">
        <v>0</v>
      </c>
      <c r="Q491" t="n">
        <v>0</v>
      </c>
      <c r="R491" s="2" t="inlineStr"/>
    </row>
    <row r="492" ht="15" customHeight="1">
      <c r="A492" t="inlineStr">
        <is>
          <t>A 15176-2022</t>
        </is>
      </c>
      <c r="B492" s="1" t="n">
        <v>44658</v>
      </c>
      <c r="C492" s="1" t="n">
        <v>45510</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17591-2022</t>
        </is>
      </c>
      <c r="B493" s="1" t="n">
        <v>44679</v>
      </c>
      <c r="C493" s="1" t="n">
        <v>45510</v>
      </c>
      <c r="D493" t="inlineStr">
        <is>
          <t>VÄSTERBOTTENS LÄN</t>
        </is>
      </c>
      <c r="E493" t="inlineStr">
        <is>
          <t>VILHELMINA</t>
        </is>
      </c>
      <c r="F493" t="inlineStr">
        <is>
          <t>SCA</t>
        </is>
      </c>
      <c r="G493" t="n">
        <v>10</v>
      </c>
      <c r="H493" t="n">
        <v>0</v>
      </c>
      <c r="I493" t="n">
        <v>0</v>
      </c>
      <c r="J493" t="n">
        <v>0</v>
      </c>
      <c r="K493" t="n">
        <v>0</v>
      </c>
      <c r="L493" t="n">
        <v>0</v>
      </c>
      <c r="M493" t="n">
        <v>0</v>
      </c>
      <c r="N493" t="n">
        <v>0</v>
      </c>
      <c r="O493" t="n">
        <v>0</v>
      </c>
      <c r="P493" t="n">
        <v>0</v>
      </c>
      <c r="Q493" t="n">
        <v>0</v>
      </c>
      <c r="R493" s="2" t="inlineStr"/>
    </row>
    <row r="494" ht="15" customHeight="1">
      <c r="A494" t="inlineStr">
        <is>
          <t>A 17590-2022</t>
        </is>
      </c>
      <c r="B494" s="1" t="n">
        <v>44679</v>
      </c>
      <c r="C494" s="1" t="n">
        <v>45510</v>
      </c>
      <c r="D494" t="inlineStr">
        <is>
          <t>VÄSTERBOTTENS LÄN</t>
        </is>
      </c>
      <c r="E494" t="inlineStr">
        <is>
          <t>VILHELMINA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18497-2022</t>
        </is>
      </c>
      <c r="B495" s="1" t="n">
        <v>44686</v>
      </c>
      <c r="C495" s="1" t="n">
        <v>45510</v>
      </c>
      <c r="D495" t="inlineStr">
        <is>
          <t>VÄSTERBOTTENS LÄN</t>
        </is>
      </c>
      <c r="E495" t="inlineStr">
        <is>
          <t>VILHELMINA</t>
        </is>
      </c>
      <c r="F495" t="inlineStr">
        <is>
          <t>Övriga statliga verk och myndigheter</t>
        </is>
      </c>
      <c r="G495" t="n">
        <v>64.7</v>
      </c>
      <c r="H495" t="n">
        <v>0</v>
      </c>
      <c r="I495" t="n">
        <v>0</v>
      </c>
      <c r="J495" t="n">
        <v>0</v>
      </c>
      <c r="K495" t="n">
        <v>0</v>
      </c>
      <c r="L495" t="n">
        <v>0</v>
      </c>
      <c r="M495" t="n">
        <v>0</v>
      </c>
      <c r="N495" t="n">
        <v>0</v>
      </c>
      <c r="O495" t="n">
        <v>0</v>
      </c>
      <c r="P495" t="n">
        <v>0</v>
      </c>
      <c r="Q495" t="n">
        <v>0</v>
      </c>
      <c r="R495" s="2" t="inlineStr"/>
    </row>
    <row r="496" ht="15" customHeight="1">
      <c r="A496" t="inlineStr">
        <is>
          <t>A 18564-2022</t>
        </is>
      </c>
      <c r="B496" s="1" t="n">
        <v>44686</v>
      </c>
      <c r="C496" s="1" t="n">
        <v>45510</v>
      </c>
      <c r="D496" t="inlineStr">
        <is>
          <t>VÄSTERBOTTENS LÄN</t>
        </is>
      </c>
      <c r="E496" t="inlineStr">
        <is>
          <t>VILHELMINA</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18995-2022</t>
        </is>
      </c>
      <c r="B497" s="1" t="n">
        <v>44690</v>
      </c>
      <c r="C497" s="1" t="n">
        <v>45510</v>
      </c>
      <c r="D497" t="inlineStr">
        <is>
          <t>VÄSTERBOTTENS LÄN</t>
        </is>
      </c>
      <c r="E497" t="inlineStr">
        <is>
          <t>VILHELMINA</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18996-2022</t>
        </is>
      </c>
      <c r="B498" s="1" t="n">
        <v>44690</v>
      </c>
      <c r="C498" s="1" t="n">
        <v>45510</v>
      </c>
      <c r="D498" t="inlineStr">
        <is>
          <t>VÄSTERBOTTENS LÄN</t>
        </is>
      </c>
      <c r="E498" t="inlineStr">
        <is>
          <t>VILHELMINA</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19394-2022</t>
        </is>
      </c>
      <c r="B499" s="1" t="n">
        <v>44692</v>
      </c>
      <c r="C499" s="1" t="n">
        <v>45510</v>
      </c>
      <c r="D499" t="inlineStr">
        <is>
          <t>VÄSTERBOTTENS LÄN</t>
        </is>
      </c>
      <c r="E499" t="inlineStr">
        <is>
          <t>VILHELMINA</t>
        </is>
      </c>
      <c r="F499" t="inlineStr">
        <is>
          <t>SCA</t>
        </is>
      </c>
      <c r="G499" t="n">
        <v>9.9</v>
      </c>
      <c r="H499" t="n">
        <v>0</v>
      </c>
      <c r="I499" t="n">
        <v>0</v>
      </c>
      <c r="J499" t="n">
        <v>0</v>
      </c>
      <c r="K499" t="n">
        <v>0</v>
      </c>
      <c r="L499" t="n">
        <v>0</v>
      </c>
      <c r="M499" t="n">
        <v>0</v>
      </c>
      <c r="N499" t="n">
        <v>0</v>
      </c>
      <c r="O499" t="n">
        <v>0</v>
      </c>
      <c r="P499" t="n">
        <v>0</v>
      </c>
      <c r="Q499" t="n">
        <v>0</v>
      </c>
      <c r="R499" s="2" t="inlineStr"/>
    </row>
    <row r="500" ht="15" customHeight="1">
      <c r="A500" t="inlineStr">
        <is>
          <t>A 19471-2022</t>
        </is>
      </c>
      <c r="B500" s="1" t="n">
        <v>44693</v>
      </c>
      <c r="C500" s="1" t="n">
        <v>45510</v>
      </c>
      <c r="D500" t="inlineStr">
        <is>
          <t>VÄSTERBOTTENS LÄN</t>
        </is>
      </c>
      <c r="E500" t="inlineStr">
        <is>
          <t>VILHELMINA</t>
        </is>
      </c>
      <c r="G500" t="n">
        <v>1.6</v>
      </c>
      <c r="H500" t="n">
        <v>0</v>
      </c>
      <c r="I500" t="n">
        <v>0</v>
      </c>
      <c r="J500" t="n">
        <v>0</v>
      </c>
      <c r="K500" t="n">
        <v>0</v>
      </c>
      <c r="L500" t="n">
        <v>0</v>
      </c>
      <c r="M500" t="n">
        <v>0</v>
      </c>
      <c r="N500" t="n">
        <v>0</v>
      </c>
      <c r="O500" t="n">
        <v>0</v>
      </c>
      <c r="P500" t="n">
        <v>0</v>
      </c>
      <c r="Q500" t="n">
        <v>0</v>
      </c>
      <c r="R500" s="2" t="inlineStr"/>
    </row>
    <row r="501" ht="15" customHeight="1">
      <c r="A501" t="inlineStr">
        <is>
          <t>A 19423-2022</t>
        </is>
      </c>
      <c r="B501" s="1" t="n">
        <v>44693</v>
      </c>
      <c r="C501" s="1" t="n">
        <v>45510</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20298-2022</t>
        </is>
      </c>
      <c r="B502" s="1" t="n">
        <v>44698</v>
      </c>
      <c r="C502" s="1" t="n">
        <v>45510</v>
      </c>
      <c r="D502" t="inlineStr">
        <is>
          <t>VÄSTERBOTTENS LÄN</t>
        </is>
      </c>
      <c r="E502" t="inlineStr">
        <is>
          <t>VILHELMINA</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20322-2022</t>
        </is>
      </c>
      <c r="B503" s="1" t="n">
        <v>44698</v>
      </c>
      <c r="C503" s="1" t="n">
        <v>45510</v>
      </c>
      <c r="D503" t="inlineStr">
        <is>
          <t>VÄSTERBOTTENS LÄN</t>
        </is>
      </c>
      <c r="E503" t="inlineStr">
        <is>
          <t>VILHELMINA</t>
        </is>
      </c>
      <c r="G503" t="n">
        <v>10.5</v>
      </c>
      <c r="H503" t="n">
        <v>0</v>
      </c>
      <c r="I503" t="n">
        <v>0</v>
      </c>
      <c r="J503" t="n">
        <v>0</v>
      </c>
      <c r="K503" t="n">
        <v>0</v>
      </c>
      <c r="L503" t="n">
        <v>0</v>
      </c>
      <c r="M503" t="n">
        <v>0</v>
      </c>
      <c r="N503" t="n">
        <v>0</v>
      </c>
      <c r="O503" t="n">
        <v>0</v>
      </c>
      <c r="P503" t="n">
        <v>0</v>
      </c>
      <c r="Q503" t="n">
        <v>0</v>
      </c>
      <c r="R503" s="2" t="inlineStr"/>
    </row>
    <row r="504" ht="15" customHeight="1">
      <c r="A504" t="inlineStr">
        <is>
          <t>A 20720-2022</t>
        </is>
      </c>
      <c r="B504" s="1" t="n">
        <v>44700</v>
      </c>
      <c r="C504" s="1" t="n">
        <v>45510</v>
      </c>
      <c r="D504" t="inlineStr">
        <is>
          <t>VÄSTERBOTTENS LÄN</t>
        </is>
      </c>
      <c r="E504" t="inlineStr">
        <is>
          <t>VILHELMINA</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20719-2022</t>
        </is>
      </c>
      <c r="B505" s="1" t="n">
        <v>44701</v>
      </c>
      <c r="C505" s="1" t="n">
        <v>45510</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21806-2022</t>
        </is>
      </c>
      <c r="B506" s="1" t="n">
        <v>44708</v>
      </c>
      <c r="C506" s="1" t="n">
        <v>45510</v>
      </c>
      <c r="D506" t="inlineStr">
        <is>
          <t>VÄSTERBOTTENS LÄN</t>
        </is>
      </c>
      <c r="E506" t="inlineStr">
        <is>
          <t>VILHELMINA</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21808-2022</t>
        </is>
      </c>
      <c r="B507" s="1" t="n">
        <v>44708</v>
      </c>
      <c r="C507" s="1" t="n">
        <v>45510</v>
      </c>
      <c r="D507" t="inlineStr">
        <is>
          <t>VÄSTERBOTTENS LÄN</t>
        </is>
      </c>
      <c r="E507" t="inlineStr">
        <is>
          <t>VILHELMINA</t>
        </is>
      </c>
      <c r="F507" t="inlineStr">
        <is>
          <t>SCA</t>
        </is>
      </c>
      <c r="G507" t="n">
        <v>16.1</v>
      </c>
      <c r="H507" t="n">
        <v>0</v>
      </c>
      <c r="I507" t="n">
        <v>0</v>
      </c>
      <c r="J507" t="n">
        <v>0</v>
      </c>
      <c r="K507" t="n">
        <v>0</v>
      </c>
      <c r="L507" t="n">
        <v>0</v>
      </c>
      <c r="M507" t="n">
        <v>0</v>
      </c>
      <c r="N507" t="n">
        <v>0</v>
      </c>
      <c r="O507" t="n">
        <v>0</v>
      </c>
      <c r="P507" t="n">
        <v>0</v>
      </c>
      <c r="Q507" t="n">
        <v>0</v>
      </c>
      <c r="R507" s="2" t="inlineStr"/>
    </row>
    <row r="508" ht="15" customHeight="1">
      <c r="A508" t="inlineStr">
        <is>
          <t>A 21814-2022</t>
        </is>
      </c>
      <c r="B508" s="1" t="n">
        <v>44708</v>
      </c>
      <c r="C508" s="1" t="n">
        <v>45510</v>
      </c>
      <c r="D508" t="inlineStr">
        <is>
          <t>VÄSTERBOTTENS LÄN</t>
        </is>
      </c>
      <c r="E508" t="inlineStr">
        <is>
          <t>VILHELMINA</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22325-2022</t>
        </is>
      </c>
      <c r="B509" s="1" t="n">
        <v>44712</v>
      </c>
      <c r="C509" s="1" t="n">
        <v>45510</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22405-2022</t>
        </is>
      </c>
      <c r="B510" s="1" t="n">
        <v>44713</v>
      </c>
      <c r="C510" s="1" t="n">
        <v>45510</v>
      </c>
      <c r="D510" t="inlineStr">
        <is>
          <t>VÄSTERBOTTENS LÄN</t>
        </is>
      </c>
      <c r="E510" t="inlineStr">
        <is>
          <t>VILHELMINA</t>
        </is>
      </c>
      <c r="G510" t="n">
        <v>13.2</v>
      </c>
      <c r="H510" t="n">
        <v>0</v>
      </c>
      <c r="I510" t="n">
        <v>0</v>
      </c>
      <c r="J510" t="n">
        <v>0</v>
      </c>
      <c r="K510" t="n">
        <v>0</v>
      </c>
      <c r="L510" t="n">
        <v>0</v>
      </c>
      <c r="M510" t="n">
        <v>0</v>
      </c>
      <c r="N510" t="n">
        <v>0</v>
      </c>
      <c r="O510" t="n">
        <v>0</v>
      </c>
      <c r="P510" t="n">
        <v>0</v>
      </c>
      <c r="Q510" t="n">
        <v>0</v>
      </c>
      <c r="R510" s="2" t="inlineStr"/>
    </row>
    <row r="511" ht="15" customHeight="1">
      <c r="A511" t="inlineStr">
        <is>
          <t>A 23210-2022</t>
        </is>
      </c>
      <c r="B511" s="1" t="n">
        <v>44719</v>
      </c>
      <c r="C511" s="1" t="n">
        <v>45510</v>
      </c>
      <c r="D511" t="inlineStr">
        <is>
          <t>VÄSTERBOTTENS LÄN</t>
        </is>
      </c>
      <c r="E511" t="inlineStr">
        <is>
          <t>VILHELMINA</t>
        </is>
      </c>
      <c r="F511" t="inlineStr">
        <is>
          <t>SCA</t>
        </is>
      </c>
      <c r="G511" t="n">
        <v>7.4</v>
      </c>
      <c r="H511" t="n">
        <v>0</v>
      </c>
      <c r="I511" t="n">
        <v>0</v>
      </c>
      <c r="J511" t="n">
        <v>0</v>
      </c>
      <c r="K511" t="n">
        <v>0</v>
      </c>
      <c r="L511" t="n">
        <v>0</v>
      </c>
      <c r="M511" t="n">
        <v>0</v>
      </c>
      <c r="N511" t="n">
        <v>0</v>
      </c>
      <c r="O511" t="n">
        <v>0</v>
      </c>
      <c r="P511" t="n">
        <v>0</v>
      </c>
      <c r="Q511" t="n">
        <v>0</v>
      </c>
      <c r="R511" s="2" t="inlineStr"/>
    </row>
    <row r="512" ht="15" customHeight="1">
      <c r="A512" t="inlineStr">
        <is>
          <t>A 24296-2022</t>
        </is>
      </c>
      <c r="B512" s="1" t="n">
        <v>44726</v>
      </c>
      <c r="C512" s="1" t="n">
        <v>45510</v>
      </c>
      <c r="D512" t="inlineStr">
        <is>
          <t>VÄSTERBOTTENS LÄN</t>
        </is>
      </c>
      <c r="E512" t="inlineStr">
        <is>
          <t>VILHELMINA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24297-2022</t>
        </is>
      </c>
      <c r="B513" s="1" t="n">
        <v>44725</v>
      </c>
      <c r="C513" s="1" t="n">
        <v>45510</v>
      </c>
      <c r="D513" t="inlineStr">
        <is>
          <t>VÄSTERBOTTENS LÄN</t>
        </is>
      </c>
      <c r="E513" t="inlineStr">
        <is>
          <t>VILHELMINA</t>
        </is>
      </c>
      <c r="G513" t="n">
        <v>2.7</v>
      </c>
      <c r="H513" t="n">
        <v>0</v>
      </c>
      <c r="I513" t="n">
        <v>0</v>
      </c>
      <c r="J513" t="n">
        <v>0</v>
      </c>
      <c r="K513" t="n">
        <v>0</v>
      </c>
      <c r="L513" t="n">
        <v>0</v>
      </c>
      <c r="M513" t="n">
        <v>0</v>
      </c>
      <c r="N513" t="n">
        <v>0</v>
      </c>
      <c r="O513" t="n">
        <v>0</v>
      </c>
      <c r="P513" t="n">
        <v>0</v>
      </c>
      <c r="Q513" t="n">
        <v>0</v>
      </c>
      <c r="R513" s="2" t="inlineStr"/>
    </row>
    <row r="514" ht="15" customHeight="1">
      <c r="A514" t="inlineStr">
        <is>
          <t>A 25923-2022</t>
        </is>
      </c>
      <c r="B514" s="1" t="n">
        <v>44733</v>
      </c>
      <c r="C514" s="1" t="n">
        <v>45510</v>
      </c>
      <c r="D514" t="inlineStr">
        <is>
          <t>VÄSTERBOTTENS LÄN</t>
        </is>
      </c>
      <c r="E514" t="inlineStr">
        <is>
          <t>VILHELMINA</t>
        </is>
      </c>
      <c r="G514" t="n">
        <v>0.8</v>
      </c>
      <c r="H514" t="n">
        <v>0</v>
      </c>
      <c r="I514" t="n">
        <v>0</v>
      </c>
      <c r="J514" t="n">
        <v>0</v>
      </c>
      <c r="K514" t="n">
        <v>0</v>
      </c>
      <c r="L514" t="n">
        <v>0</v>
      </c>
      <c r="M514" t="n">
        <v>0</v>
      </c>
      <c r="N514" t="n">
        <v>0</v>
      </c>
      <c r="O514" t="n">
        <v>0</v>
      </c>
      <c r="P514" t="n">
        <v>0</v>
      </c>
      <c r="Q514" t="n">
        <v>0</v>
      </c>
      <c r="R514" s="2" t="inlineStr"/>
    </row>
    <row r="515" ht="15" customHeight="1">
      <c r="A515" t="inlineStr">
        <is>
          <t>A 26191-2022</t>
        </is>
      </c>
      <c r="B515" s="1" t="n">
        <v>44735</v>
      </c>
      <c r="C515" s="1" t="n">
        <v>45510</v>
      </c>
      <c r="D515" t="inlineStr">
        <is>
          <t>VÄSTERBOTTENS LÄN</t>
        </is>
      </c>
      <c r="E515" t="inlineStr">
        <is>
          <t>VILHELMINA</t>
        </is>
      </c>
      <c r="G515" t="n">
        <v>42.1</v>
      </c>
      <c r="H515" t="n">
        <v>0</v>
      </c>
      <c r="I515" t="n">
        <v>0</v>
      </c>
      <c r="J515" t="n">
        <v>0</v>
      </c>
      <c r="K515" t="n">
        <v>0</v>
      </c>
      <c r="L515" t="n">
        <v>0</v>
      </c>
      <c r="M515" t="n">
        <v>0</v>
      </c>
      <c r="N515" t="n">
        <v>0</v>
      </c>
      <c r="O515" t="n">
        <v>0</v>
      </c>
      <c r="P515" t="n">
        <v>0</v>
      </c>
      <c r="Q515" t="n">
        <v>0</v>
      </c>
      <c r="R515" s="2" t="inlineStr"/>
    </row>
    <row r="516" ht="15" customHeight="1">
      <c r="A516" t="inlineStr">
        <is>
          <t>A 26401-2022</t>
        </is>
      </c>
      <c r="B516" s="1" t="n">
        <v>44735</v>
      </c>
      <c r="C516" s="1" t="n">
        <v>45510</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26409-2022</t>
        </is>
      </c>
      <c r="B517" s="1" t="n">
        <v>44735</v>
      </c>
      <c r="C517" s="1" t="n">
        <v>45510</v>
      </c>
      <c r="D517" t="inlineStr">
        <is>
          <t>VÄSTERBOTTENS LÄN</t>
        </is>
      </c>
      <c r="E517" t="inlineStr">
        <is>
          <t>VILHELMINA</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26410-2022</t>
        </is>
      </c>
      <c r="B518" s="1" t="n">
        <v>44735</v>
      </c>
      <c r="C518" s="1" t="n">
        <v>45510</v>
      </c>
      <c r="D518" t="inlineStr">
        <is>
          <t>VÄSTERBOTTENS LÄN</t>
        </is>
      </c>
      <c r="E518" t="inlineStr">
        <is>
          <t>VILHELMINA</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27127-2022</t>
        </is>
      </c>
      <c r="B519" s="1" t="n">
        <v>44741</v>
      </c>
      <c r="C519" s="1" t="n">
        <v>45510</v>
      </c>
      <c r="D519" t="inlineStr">
        <is>
          <t>VÄSTERBOTTENS LÄN</t>
        </is>
      </c>
      <c r="E519" t="inlineStr">
        <is>
          <t>VILHELMINA</t>
        </is>
      </c>
      <c r="F519" t="inlineStr">
        <is>
          <t>Sveaskog</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27865-2022</t>
        </is>
      </c>
      <c r="B520" s="1" t="n">
        <v>44743</v>
      </c>
      <c r="C520" s="1" t="n">
        <v>45510</v>
      </c>
      <c r="D520" t="inlineStr">
        <is>
          <t>VÄSTERBOTTENS LÄN</t>
        </is>
      </c>
      <c r="E520" t="inlineStr">
        <is>
          <t>VILHELMINA</t>
        </is>
      </c>
      <c r="F520" t="inlineStr">
        <is>
          <t>Sveaskog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27881-2022</t>
        </is>
      </c>
      <c r="B521" s="1" t="n">
        <v>44743</v>
      </c>
      <c r="C521" s="1" t="n">
        <v>45510</v>
      </c>
      <c r="D521" t="inlineStr">
        <is>
          <t>VÄSTERBOTTENS LÄN</t>
        </is>
      </c>
      <c r="E521" t="inlineStr">
        <is>
          <t>VILHELMINA</t>
        </is>
      </c>
      <c r="F521" t="inlineStr">
        <is>
          <t>Sveaskog</t>
        </is>
      </c>
      <c r="G521" t="n">
        <v>14.3</v>
      </c>
      <c r="H521" t="n">
        <v>0</v>
      </c>
      <c r="I521" t="n">
        <v>0</v>
      </c>
      <c r="J521" t="n">
        <v>0</v>
      </c>
      <c r="K521" t="n">
        <v>0</v>
      </c>
      <c r="L521" t="n">
        <v>0</v>
      </c>
      <c r="M521" t="n">
        <v>0</v>
      </c>
      <c r="N521" t="n">
        <v>0</v>
      </c>
      <c r="O521" t="n">
        <v>0</v>
      </c>
      <c r="P521" t="n">
        <v>0</v>
      </c>
      <c r="Q521" t="n">
        <v>0</v>
      </c>
      <c r="R521" s="2" t="inlineStr"/>
    </row>
    <row r="522" ht="15" customHeight="1">
      <c r="A522" t="inlineStr">
        <is>
          <t>A 27714-2022</t>
        </is>
      </c>
      <c r="B522" s="1" t="n">
        <v>44743</v>
      </c>
      <c r="C522" s="1" t="n">
        <v>45510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27848-2022</t>
        </is>
      </c>
      <c r="B523" s="1" t="n">
        <v>44743</v>
      </c>
      <c r="C523" s="1" t="n">
        <v>45510</v>
      </c>
      <c r="D523" t="inlineStr">
        <is>
          <t>VÄSTERBOTTENS LÄN</t>
        </is>
      </c>
      <c r="E523" t="inlineStr">
        <is>
          <t>VILHELMINA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27880-2022</t>
        </is>
      </c>
      <c r="B524" s="1" t="n">
        <v>44743</v>
      </c>
      <c r="C524" s="1" t="n">
        <v>45510</v>
      </c>
      <c r="D524" t="inlineStr">
        <is>
          <t>VÄSTERBOTTENS LÄN</t>
        </is>
      </c>
      <c r="E524" t="inlineStr">
        <is>
          <t>VILHELMINA</t>
        </is>
      </c>
      <c r="F524" t="inlineStr">
        <is>
          <t>Sveaskog</t>
        </is>
      </c>
      <c r="G524" t="n">
        <v>3.8</v>
      </c>
      <c r="H524" t="n">
        <v>0</v>
      </c>
      <c r="I524" t="n">
        <v>0</v>
      </c>
      <c r="J524" t="n">
        <v>0</v>
      </c>
      <c r="K524" t="n">
        <v>0</v>
      </c>
      <c r="L524" t="n">
        <v>0</v>
      </c>
      <c r="M524" t="n">
        <v>0</v>
      </c>
      <c r="N524" t="n">
        <v>0</v>
      </c>
      <c r="O524" t="n">
        <v>0</v>
      </c>
      <c r="P524" t="n">
        <v>0</v>
      </c>
      <c r="Q524" t="n">
        <v>0</v>
      </c>
      <c r="R524" s="2" t="inlineStr"/>
    </row>
    <row r="525" ht="15" customHeight="1">
      <c r="A525" t="inlineStr">
        <is>
          <t>A 27889-2022</t>
        </is>
      </c>
      <c r="B525" s="1" t="n">
        <v>44743</v>
      </c>
      <c r="C525" s="1" t="n">
        <v>45510</v>
      </c>
      <c r="D525" t="inlineStr">
        <is>
          <t>VÄSTERBOTTENS LÄN</t>
        </is>
      </c>
      <c r="E525" t="inlineStr">
        <is>
          <t>VILHELMINA</t>
        </is>
      </c>
      <c r="F525" t="inlineStr">
        <is>
          <t>Sveaskog</t>
        </is>
      </c>
      <c r="G525" t="n">
        <v>4.8</v>
      </c>
      <c r="H525" t="n">
        <v>0</v>
      </c>
      <c r="I525" t="n">
        <v>0</v>
      </c>
      <c r="J525" t="n">
        <v>0</v>
      </c>
      <c r="K525" t="n">
        <v>0</v>
      </c>
      <c r="L525" t="n">
        <v>0</v>
      </c>
      <c r="M525" t="n">
        <v>0</v>
      </c>
      <c r="N525" t="n">
        <v>0</v>
      </c>
      <c r="O525" t="n">
        <v>0</v>
      </c>
      <c r="P525" t="n">
        <v>0</v>
      </c>
      <c r="Q525" t="n">
        <v>0</v>
      </c>
      <c r="R525" s="2" t="inlineStr"/>
    </row>
    <row r="526" ht="15" customHeight="1">
      <c r="A526" t="inlineStr">
        <is>
          <t>A 27874-2022</t>
        </is>
      </c>
      <c r="B526" s="1" t="n">
        <v>44743</v>
      </c>
      <c r="C526" s="1" t="n">
        <v>45510</v>
      </c>
      <c r="D526" t="inlineStr">
        <is>
          <t>VÄSTERBOTTENS LÄN</t>
        </is>
      </c>
      <c r="E526" t="inlineStr">
        <is>
          <t>VILHELMINA</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27920-2022</t>
        </is>
      </c>
      <c r="B527" s="1" t="n">
        <v>44743</v>
      </c>
      <c r="C527" s="1" t="n">
        <v>45510</v>
      </c>
      <c r="D527" t="inlineStr">
        <is>
          <t>VÄSTERBOTTENS LÄN</t>
        </is>
      </c>
      <c r="E527" t="inlineStr">
        <is>
          <t>VILHELMINA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27844-2022</t>
        </is>
      </c>
      <c r="B528" s="1" t="n">
        <v>44743</v>
      </c>
      <c r="C528" s="1" t="n">
        <v>45510</v>
      </c>
      <c r="D528" t="inlineStr">
        <is>
          <t>VÄSTERBOTTENS LÄN</t>
        </is>
      </c>
      <c r="E528" t="inlineStr">
        <is>
          <t>VILHELMINA</t>
        </is>
      </c>
      <c r="F528" t="inlineStr">
        <is>
          <t>Sveaskog</t>
        </is>
      </c>
      <c r="G528" t="n">
        <v>4.3</v>
      </c>
      <c r="H528" t="n">
        <v>0</v>
      </c>
      <c r="I528" t="n">
        <v>0</v>
      </c>
      <c r="J528" t="n">
        <v>0</v>
      </c>
      <c r="K528" t="n">
        <v>0</v>
      </c>
      <c r="L528" t="n">
        <v>0</v>
      </c>
      <c r="M528" t="n">
        <v>0</v>
      </c>
      <c r="N528" t="n">
        <v>0</v>
      </c>
      <c r="O528" t="n">
        <v>0</v>
      </c>
      <c r="P528" t="n">
        <v>0</v>
      </c>
      <c r="Q528" t="n">
        <v>0</v>
      </c>
      <c r="R528" s="2" t="inlineStr"/>
    </row>
    <row r="529" ht="15" customHeight="1">
      <c r="A529" t="inlineStr">
        <is>
          <t>A 27879-2022</t>
        </is>
      </c>
      <c r="B529" s="1" t="n">
        <v>44743</v>
      </c>
      <c r="C529" s="1" t="n">
        <v>45510</v>
      </c>
      <c r="D529" t="inlineStr">
        <is>
          <t>VÄSTERBOTTENS LÄN</t>
        </is>
      </c>
      <c r="E529" t="inlineStr">
        <is>
          <t>VILHELMINA</t>
        </is>
      </c>
      <c r="F529" t="inlineStr">
        <is>
          <t>Sveaskog</t>
        </is>
      </c>
      <c r="G529" t="n">
        <v>4.9</v>
      </c>
      <c r="H529" t="n">
        <v>0</v>
      </c>
      <c r="I529" t="n">
        <v>0</v>
      </c>
      <c r="J529" t="n">
        <v>0</v>
      </c>
      <c r="K529" t="n">
        <v>0</v>
      </c>
      <c r="L529" t="n">
        <v>0</v>
      </c>
      <c r="M529" t="n">
        <v>0</v>
      </c>
      <c r="N529" t="n">
        <v>0</v>
      </c>
      <c r="O529" t="n">
        <v>0</v>
      </c>
      <c r="P529" t="n">
        <v>0</v>
      </c>
      <c r="Q529" t="n">
        <v>0</v>
      </c>
      <c r="R529" s="2" t="inlineStr"/>
    </row>
    <row r="530" ht="15" customHeight="1">
      <c r="A530" t="inlineStr">
        <is>
          <t>A 27918-2022</t>
        </is>
      </c>
      <c r="B530" s="1" t="n">
        <v>44744</v>
      </c>
      <c r="C530" s="1" t="n">
        <v>45510</v>
      </c>
      <c r="D530" t="inlineStr">
        <is>
          <t>VÄSTERBOTTENS LÄN</t>
        </is>
      </c>
      <c r="E530" t="inlineStr">
        <is>
          <t>VILHELMINA</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27938-2022</t>
        </is>
      </c>
      <c r="B531" s="1" t="n">
        <v>44744</v>
      </c>
      <c r="C531" s="1" t="n">
        <v>45510</v>
      </c>
      <c r="D531" t="inlineStr">
        <is>
          <t>VÄSTERBOTTENS LÄN</t>
        </is>
      </c>
      <c r="E531" t="inlineStr">
        <is>
          <t>VILHELMINA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27922-2022</t>
        </is>
      </c>
      <c r="B532" s="1" t="n">
        <v>44744</v>
      </c>
      <c r="C532" s="1" t="n">
        <v>45510</v>
      </c>
      <c r="D532" t="inlineStr">
        <is>
          <t>VÄSTERBOTTENS LÄN</t>
        </is>
      </c>
      <c r="E532" t="inlineStr">
        <is>
          <t>VILHELMINA</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27937-2022</t>
        </is>
      </c>
      <c r="B533" s="1" t="n">
        <v>44744</v>
      </c>
      <c r="C533" s="1" t="n">
        <v>45510</v>
      </c>
      <c r="D533" t="inlineStr">
        <is>
          <t>VÄSTERBOTTENS LÄN</t>
        </is>
      </c>
      <c r="E533" t="inlineStr">
        <is>
          <t>VILHELMINA</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27935-2022</t>
        </is>
      </c>
      <c r="B534" s="1" t="n">
        <v>44744</v>
      </c>
      <c r="C534" s="1" t="n">
        <v>45510</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27919-2022</t>
        </is>
      </c>
      <c r="B535" s="1" t="n">
        <v>44744</v>
      </c>
      <c r="C535" s="1" t="n">
        <v>45510</v>
      </c>
      <c r="D535" t="inlineStr">
        <is>
          <t>VÄSTERBOTTENS LÄN</t>
        </is>
      </c>
      <c r="E535" t="inlineStr">
        <is>
          <t>VILHELMINA</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28378-2022</t>
        </is>
      </c>
      <c r="B536" s="1" t="n">
        <v>44747</v>
      </c>
      <c r="C536" s="1" t="n">
        <v>45510</v>
      </c>
      <c r="D536" t="inlineStr">
        <is>
          <t>VÄSTERBOTTENS LÄN</t>
        </is>
      </c>
      <c r="E536" t="inlineStr">
        <is>
          <t>VILHELMINA</t>
        </is>
      </c>
      <c r="F536" t="inlineStr">
        <is>
          <t>Sveaskog</t>
        </is>
      </c>
      <c r="G536" t="n">
        <v>10.3</v>
      </c>
      <c r="H536" t="n">
        <v>0</v>
      </c>
      <c r="I536" t="n">
        <v>0</v>
      </c>
      <c r="J536" t="n">
        <v>0</v>
      </c>
      <c r="K536" t="n">
        <v>0</v>
      </c>
      <c r="L536" t="n">
        <v>0</v>
      </c>
      <c r="M536" t="n">
        <v>0</v>
      </c>
      <c r="N536" t="n">
        <v>0</v>
      </c>
      <c r="O536" t="n">
        <v>0</v>
      </c>
      <c r="P536" t="n">
        <v>0</v>
      </c>
      <c r="Q536" t="n">
        <v>0</v>
      </c>
      <c r="R536" s="2" t="inlineStr"/>
    </row>
    <row r="537" ht="15" customHeight="1">
      <c r="A537" t="inlineStr">
        <is>
          <t>A 28486-2022</t>
        </is>
      </c>
      <c r="B537" s="1" t="n">
        <v>44747</v>
      </c>
      <c r="C537" s="1" t="n">
        <v>45510</v>
      </c>
      <c r="D537" t="inlineStr">
        <is>
          <t>VÄSTERBOTTENS LÄN</t>
        </is>
      </c>
      <c r="E537" t="inlineStr">
        <is>
          <t>VILHELMINA</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28485-2022</t>
        </is>
      </c>
      <c r="B538" s="1" t="n">
        <v>44748</v>
      </c>
      <c r="C538" s="1" t="n">
        <v>45510</v>
      </c>
      <c r="D538" t="inlineStr">
        <is>
          <t>VÄSTERBOTTENS LÄN</t>
        </is>
      </c>
      <c r="E538" t="inlineStr">
        <is>
          <t>VILHELMINA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28722-2022</t>
        </is>
      </c>
      <c r="B539" s="1" t="n">
        <v>44748</v>
      </c>
      <c r="C539" s="1" t="n">
        <v>45510</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29555-2022</t>
        </is>
      </c>
      <c r="B540" s="1" t="n">
        <v>44754</v>
      </c>
      <c r="C540" s="1" t="n">
        <v>45510</v>
      </c>
      <c r="D540" t="inlineStr">
        <is>
          <t>VÄSTERBOTTENS LÄN</t>
        </is>
      </c>
      <c r="E540" t="inlineStr">
        <is>
          <t>VILHELMINA</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29773-2022</t>
        </is>
      </c>
      <c r="B541" s="1" t="n">
        <v>44755</v>
      </c>
      <c r="C541" s="1" t="n">
        <v>45510</v>
      </c>
      <c r="D541" t="inlineStr">
        <is>
          <t>VÄSTERBOTTENS LÄN</t>
        </is>
      </c>
      <c r="E541" t="inlineStr">
        <is>
          <t>VILHELMINA</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29855-2022</t>
        </is>
      </c>
      <c r="B542" s="1" t="n">
        <v>44756</v>
      </c>
      <c r="C542" s="1" t="n">
        <v>45510</v>
      </c>
      <c r="D542" t="inlineStr">
        <is>
          <t>VÄSTERBOTTENS LÄN</t>
        </is>
      </c>
      <c r="E542" t="inlineStr">
        <is>
          <t>VILHELMINA</t>
        </is>
      </c>
      <c r="G542" t="n">
        <v>3.4</v>
      </c>
      <c r="H542" t="n">
        <v>0</v>
      </c>
      <c r="I542" t="n">
        <v>0</v>
      </c>
      <c r="J542" t="n">
        <v>0</v>
      </c>
      <c r="K542" t="n">
        <v>0</v>
      </c>
      <c r="L542" t="n">
        <v>0</v>
      </c>
      <c r="M542" t="n">
        <v>0</v>
      </c>
      <c r="N542" t="n">
        <v>0</v>
      </c>
      <c r="O542" t="n">
        <v>0</v>
      </c>
      <c r="P542" t="n">
        <v>0</v>
      </c>
      <c r="Q542" t="n">
        <v>0</v>
      </c>
      <c r="R542" s="2" t="inlineStr"/>
    </row>
    <row r="543" ht="15" customHeight="1">
      <c r="A543" t="inlineStr">
        <is>
          <t>A 30018-2022</t>
        </is>
      </c>
      <c r="B543" s="1" t="n">
        <v>44756</v>
      </c>
      <c r="C543" s="1" t="n">
        <v>45510</v>
      </c>
      <c r="D543" t="inlineStr">
        <is>
          <t>VÄSTERBOTTENS LÄN</t>
        </is>
      </c>
      <c r="E543" t="inlineStr">
        <is>
          <t>VILHELMINA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30025-2022</t>
        </is>
      </c>
      <c r="B544" s="1" t="n">
        <v>44757</v>
      </c>
      <c r="C544" s="1" t="n">
        <v>45510</v>
      </c>
      <c r="D544" t="inlineStr">
        <is>
          <t>VÄSTERBOTTENS LÄN</t>
        </is>
      </c>
      <c r="E544" t="inlineStr">
        <is>
          <t>VILHELMINA</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30020-2022</t>
        </is>
      </c>
      <c r="B545" s="1" t="n">
        <v>44757</v>
      </c>
      <c r="C545" s="1" t="n">
        <v>45510</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30019-2022</t>
        </is>
      </c>
      <c r="B546" s="1" t="n">
        <v>44757</v>
      </c>
      <c r="C546" s="1" t="n">
        <v>45510</v>
      </c>
      <c r="D546" t="inlineStr">
        <is>
          <t>VÄSTERBOTTENS LÄN</t>
        </is>
      </c>
      <c r="E546" t="inlineStr">
        <is>
          <t>VILHELMINA</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30130-2022</t>
        </is>
      </c>
      <c r="B547" s="1" t="n">
        <v>44757</v>
      </c>
      <c r="C547" s="1" t="n">
        <v>45510</v>
      </c>
      <c r="D547" t="inlineStr">
        <is>
          <t>VÄSTERBOTTENS LÄN</t>
        </is>
      </c>
      <c r="E547" t="inlineStr">
        <is>
          <t>VILHELMINA</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31320-2022</t>
        </is>
      </c>
      <c r="B548" s="1" t="n">
        <v>44773</v>
      </c>
      <c r="C548" s="1" t="n">
        <v>45510</v>
      </c>
      <c r="D548" t="inlineStr">
        <is>
          <t>VÄSTERBOTTENS LÄN</t>
        </is>
      </c>
      <c r="E548" t="inlineStr">
        <is>
          <t>VILHELMINA</t>
        </is>
      </c>
      <c r="G548" t="n">
        <v>15.5</v>
      </c>
      <c r="H548" t="n">
        <v>0</v>
      </c>
      <c r="I548" t="n">
        <v>0</v>
      </c>
      <c r="J548" t="n">
        <v>0</v>
      </c>
      <c r="K548" t="n">
        <v>0</v>
      </c>
      <c r="L548" t="n">
        <v>0</v>
      </c>
      <c r="M548" t="n">
        <v>0</v>
      </c>
      <c r="N548" t="n">
        <v>0</v>
      </c>
      <c r="O548" t="n">
        <v>0</v>
      </c>
      <c r="P548" t="n">
        <v>0</v>
      </c>
      <c r="Q548" t="n">
        <v>0</v>
      </c>
      <c r="R548" s="2" t="inlineStr"/>
    </row>
    <row r="549" ht="15" customHeight="1">
      <c r="A549" t="inlineStr">
        <is>
          <t>A 32960-2022</t>
        </is>
      </c>
      <c r="B549" s="1" t="n">
        <v>44784</v>
      </c>
      <c r="C549" s="1" t="n">
        <v>45510</v>
      </c>
      <c r="D549" t="inlineStr">
        <is>
          <t>VÄSTERBOTTENS LÄN</t>
        </is>
      </c>
      <c r="E549" t="inlineStr">
        <is>
          <t>VILHELMINA</t>
        </is>
      </c>
      <c r="G549" t="n">
        <v>4.1</v>
      </c>
      <c r="H549" t="n">
        <v>0</v>
      </c>
      <c r="I549" t="n">
        <v>0</v>
      </c>
      <c r="J549" t="n">
        <v>0</v>
      </c>
      <c r="K549" t="n">
        <v>0</v>
      </c>
      <c r="L549" t="n">
        <v>0</v>
      </c>
      <c r="M549" t="n">
        <v>0</v>
      </c>
      <c r="N549" t="n">
        <v>0</v>
      </c>
      <c r="O549" t="n">
        <v>0</v>
      </c>
      <c r="P549" t="n">
        <v>0</v>
      </c>
      <c r="Q549" t="n">
        <v>0</v>
      </c>
      <c r="R549" s="2" t="inlineStr"/>
    </row>
    <row r="550" ht="15" customHeight="1">
      <c r="A550" t="inlineStr">
        <is>
          <t>A 33001-2022</t>
        </is>
      </c>
      <c r="B550" s="1" t="n">
        <v>44784</v>
      </c>
      <c r="C550" s="1" t="n">
        <v>45510</v>
      </c>
      <c r="D550" t="inlineStr">
        <is>
          <t>VÄSTERBOTTENS LÄN</t>
        </is>
      </c>
      <c r="E550" t="inlineStr">
        <is>
          <t>VILHELMINA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33512-2022</t>
        </is>
      </c>
      <c r="B551" s="1" t="n">
        <v>44788</v>
      </c>
      <c r="C551" s="1" t="n">
        <v>45510</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33495-2022</t>
        </is>
      </c>
      <c r="B552" s="1" t="n">
        <v>44788</v>
      </c>
      <c r="C552" s="1" t="n">
        <v>45510</v>
      </c>
      <c r="D552" t="inlineStr">
        <is>
          <t>VÄSTERBOTTENS LÄN</t>
        </is>
      </c>
      <c r="E552" t="inlineStr">
        <is>
          <t>VILHELMINA</t>
        </is>
      </c>
      <c r="G552" t="n">
        <v>1</v>
      </c>
      <c r="H552" t="n">
        <v>0</v>
      </c>
      <c r="I552" t="n">
        <v>0</v>
      </c>
      <c r="J552" t="n">
        <v>0</v>
      </c>
      <c r="K552" t="n">
        <v>0</v>
      </c>
      <c r="L552" t="n">
        <v>0</v>
      </c>
      <c r="M552" t="n">
        <v>0</v>
      </c>
      <c r="N552" t="n">
        <v>0</v>
      </c>
      <c r="O552" t="n">
        <v>0</v>
      </c>
      <c r="P552" t="n">
        <v>0</v>
      </c>
      <c r="Q552" t="n">
        <v>0</v>
      </c>
      <c r="R552" s="2" t="inlineStr"/>
    </row>
    <row r="553" ht="15" customHeight="1">
      <c r="A553" t="inlineStr">
        <is>
          <t>A 33510-2022</t>
        </is>
      </c>
      <c r="B553" s="1" t="n">
        <v>44788</v>
      </c>
      <c r="C553" s="1" t="n">
        <v>45510</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33603-2022</t>
        </is>
      </c>
      <c r="B554" s="1" t="n">
        <v>44789</v>
      </c>
      <c r="C554" s="1" t="n">
        <v>45510</v>
      </c>
      <c r="D554" t="inlineStr">
        <is>
          <t>VÄSTERBOTTENS LÄN</t>
        </is>
      </c>
      <c r="E554" t="inlineStr">
        <is>
          <t>VILHELMINA</t>
        </is>
      </c>
      <c r="F554" t="inlineStr">
        <is>
          <t>Sveaskog</t>
        </is>
      </c>
      <c r="G554" t="n">
        <v>15.1</v>
      </c>
      <c r="H554" t="n">
        <v>0</v>
      </c>
      <c r="I554" t="n">
        <v>0</v>
      </c>
      <c r="J554" t="n">
        <v>0</v>
      </c>
      <c r="K554" t="n">
        <v>0</v>
      </c>
      <c r="L554" t="n">
        <v>0</v>
      </c>
      <c r="M554" t="n">
        <v>0</v>
      </c>
      <c r="N554" t="n">
        <v>0</v>
      </c>
      <c r="O554" t="n">
        <v>0</v>
      </c>
      <c r="P554" t="n">
        <v>0</v>
      </c>
      <c r="Q554" t="n">
        <v>0</v>
      </c>
      <c r="R554" s="2" t="inlineStr"/>
    </row>
    <row r="555" ht="15" customHeight="1">
      <c r="A555" t="inlineStr">
        <is>
          <t>A 33989-2022</t>
        </is>
      </c>
      <c r="B555" s="1" t="n">
        <v>44790</v>
      </c>
      <c r="C555" s="1" t="n">
        <v>45510</v>
      </c>
      <c r="D555" t="inlineStr">
        <is>
          <t>VÄSTERBOTTENS LÄN</t>
        </is>
      </c>
      <c r="E555" t="inlineStr">
        <is>
          <t>VILHELMINA</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35003-2022</t>
        </is>
      </c>
      <c r="B556" s="1" t="n">
        <v>44797</v>
      </c>
      <c r="C556" s="1" t="n">
        <v>45510</v>
      </c>
      <c r="D556" t="inlineStr">
        <is>
          <t>VÄSTERBOTTENS LÄN</t>
        </is>
      </c>
      <c r="E556" t="inlineStr">
        <is>
          <t>VILHELMINA</t>
        </is>
      </c>
      <c r="G556" t="n">
        <v>3.7</v>
      </c>
      <c r="H556" t="n">
        <v>0</v>
      </c>
      <c r="I556" t="n">
        <v>0</v>
      </c>
      <c r="J556" t="n">
        <v>0</v>
      </c>
      <c r="K556" t="n">
        <v>0</v>
      </c>
      <c r="L556" t="n">
        <v>0</v>
      </c>
      <c r="M556" t="n">
        <v>0</v>
      </c>
      <c r="N556" t="n">
        <v>0</v>
      </c>
      <c r="O556" t="n">
        <v>0</v>
      </c>
      <c r="P556" t="n">
        <v>0</v>
      </c>
      <c r="Q556" t="n">
        <v>0</v>
      </c>
      <c r="R556" s="2" t="inlineStr"/>
    </row>
    <row r="557" ht="15" customHeight="1">
      <c r="A557" t="inlineStr">
        <is>
          <t>A 35178-2022</t>
        </is>
      </c>
      <c r="B557" s="1" t="n">
        <v>44797</v>
      </c>
      <c r="C557" s="1" t="n">
        <v>45510</v>
      </c>
      <c r="D557" t="inlineStr">
        <is>
          <t>VÄSTERBOTTENS LÄN</t>
        </is>
      </c>
      <c r="E557" t="inlineStr">
        <is>
          <t>VILHELMINA</t>
        </is>
      </c>
      <c r="F557" t="inlineStr">
        <is>
          <t>Övriga statliga verk och myndigheter</t>
        </is>
      </c>
      <c r="G557" t="n">
        <v>32.5</v>
      </c>
      <c r="H557" t="n">
        <v>0</v>
      </c>
      <c r="I557" t="n">
        <v>0</v>
      </c>
      <c r="J557" t="n">
        <v>0</v>
      </c>
      <c r="K557" t="n">
        <v>0</v>
      </c>
      <c r="L557" t="n">
        <v>0</v>
      </c>
      <c r="M557" t="n">
        <v>0</v>
      </c>
      <c r="N557" t="n">
        <v>0</v>
      </c>
      <c r="O557" t="n">
        <v>0</v>
      </c>
      <c r="P557" t="n">
        <v>0</v>
      </c>
      <c r="Q557" t="n">
        <v>0</v>
      </c>
      <c r="R557" s="2" t="inlineStr"/>
    </row>
    <row r="558" ht="15" customHeight="1">
      <c r="A558" t="inlineStr">
        <is>
          <t>A 35514-2022</t>
        </is>
      </c>
      <c r="B558" s="1" t="n">
        <v>44799</v>
      </c>
      <c r="C558" s="1" t="n">
        <v>45510</v>
      </c>
      <c r="D558" t="inlineStr">
        <is>
          <t>VÄSTERBOTTENS LÄN</t>
        </is>
      </c>
      <c r="E558" t="inlineStr">
        <is>
          <t>VILHELMINA</t>
        </is>
      </c>
      <c r="F558" t="inlineStr">
        <is>
          <t>SCA</t>
        </is>
      </c>
      <c r="G558" t="n">
        <v>10.9</v>
      </c>
      <c r="H558" t="n">
        <v>0</v>
      </c>
      <c r="I558" t="n">
        <v>0</v>
      </c>
      <c r="J558" t="n">
        <v>0</v>
      </c>
      <c r="K558" t="n">
        <v>0</v>
      </c>
      <c r="L558" t="n">
        <v>0</v>
      </c>
      <c r="M558" t="n">
        <v>0</v>
      </c>
      <c r="N558" t="n">
        <v>0</v>
      </c>
      <c r="O558" t="n">
        <v>0</v>
      </c>
      <c r="P558" t="n">
        <v>0</v>
      </c>
      <c r="Q558" t="n">
        <v>0</v>
      </c>
      <c r="R558" s="2" t="inlineStr"/>
    </row>
    <row r="559" ht="15" customHeight="1">
      <c r="A559" t="inlineStr">
        <is>
          <t>A 35506-2022</t>
        </is>
      </c>
      <c r="B559" s="1" t="n">
        <v>44798</v>
      </c>
      <c r="C559" s="1" t="n">
        <v>45510</v>
      </c>
      <c r="D559" t="inlineStr">
        <is>
          <t>VÄSTERBOTTENS LÄN</t>
        </is>
      </c>
      <c r="E559" t="inlineStr">
        <is>
          <t>VILHELMINA</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35515-2022</t>
        </is>
      </c>
      <c r="B560" s="1" t="n">
        <v>44799</v>
      </c>
      <c r="C560" s="1" t="n">
        <v>45510</v>
      </c>
      <c r="D560" t="inlineStr">
        <is>
          <t>VÄSTERBOTTENS LÄN</t>
        </is>
      </c>
      <c r="E560" t="inlineStr">
        <is>
          <t>VILHELMINA</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35513-2022</t>
        </is>
      </c>
      <c r="B561" s="1" t="n">
        <v>44799</v>
      </c>
      <c r="C561" s="1" t="n">
        <v>45510</v>
      </c>
      <c r="D561" t="inlineStr">
        <is>
          <t>VÄSTERBOTTENS LÄN</t>
        </is>
      </c>
      <c r="E561" t="inlineStr">
        <is>
          <t>VILHELMINA</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35686-2022</t>
        </is>
      </c>
      <c r="B562" s="1" t="n">
        <v>44799</v>
      </c>
      <c r="C562" s="1" t="n">
        <v>45510</v>
      </c>
      <c r="D562" t="inlineStr">
        <is>
          <t>VÄSTERBOTTENS LÄN</t>
        </is>
      </c>
      <c r="E562" t="inlineStr">
        <is>
          <t>VILHELMINA</t>
        </is>
      </c>
      <c r="F562" t="inlineStr">
        <is>
          <t>Övriga statliga verk och myndigheter</t>
        </is>
      </c>
      <c r="G562" t="n">
        <v>2.6</v>
      </c>
      <c r="H562" t="n">
        <v>0</v>
      </c>
      <c r="I562" t="n">
        <v>0</v>
      </c>
      <c r="J562" t="n">
        <v>0</v>
      </c>
      <c r="K562" t="n">
        <v>0</v>
      </c>
      <c r="L562" t="n">
        <v>0</v>
      </c>
      <c r="M562" t="n">
        <v>0</v>
      </c>
      <c r="N562" t="n">
        <v>0</v>
      </c>
      <c r="O562" t="n">
        <v>0</v>
      </c>
      <c r="P562" t="n">
        <v>0</v>
      </c>
      <c r="Q562" t="n">
        <v>0</v>
      </c>
      <c r="R562" s="2" t="inlineStr"/>
    </row>
    <row r="563" ht="15" customHeight="1">
      <c r="A563" t="inlineStr">
        <is>
          <t>A 36083-2022</t>
        </is>
      </c>
      <c r="B563" s="1" t="n">
        <v>44803</v>
      </c>
      <c r="C563" s="1" t="n">
        <v>45510</v>
      </c>
      <c r="D563" t="inlineStr">
        <is>
          <t>VÄSTERBOTTENS LÄN</t>
        </is>
      </c>
      <c r="E563" t="inlineStr">
        <is>
          <t>VILHELMINA</t>
        </is>
      </c>
      <c r="F563" t="inlineStr">
        <is>
          <t>SCA</t>
        </is>
      </c>
      <c r="G563" t="n">
        <v>24.1</v>
      </c>
      <c r="H563" t="n">
        <v>0</v>
      </c>
      <c r="I563" t="n">
        <v>0</v>
      </c>
      <c r="J563" t="n">
        <v>0</v>
      </c>
      <c r="K563" t="n">
        <v>0</v>
      </c>
      <c r="L563" t="n">
        <v>0</v>
      </c>
      <c r="M563" t="n">
        <v>0</v>
      </c>
      <c r="N563" t="n">
        <v>0</v>
      </c>
      <c r="O563" t="n">
        <v>0</v>
      </c>
      <c r="P563" t="n">
        <v>0</v>
      </c>
      <c r="Q563" t="n">
        <v>0</v>
      </c>
      <c r="R563" s="2" t="inlineStr"/>
    </row>
    <row r="564" ht="15" customHeight="1">
      <c r="A564" t="inlineStr">
        <is>
          <t>A 36081-2022</t>
        </is>
      </c>
      <c r="B564" s="1" t="n">
        <v>44802</v>
      </c>
      <c r="C564" s="1" t="n">
        <v>45510</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36082-2022</t>
        </is>
      </c>
      <c r="B565" s="1" t="n">
        <v>44802</v>
      </c>
      <c r="C565" s="1" t="n">
        <v>45510</v>
      </c>
      <c r="D565" t="inlineStr">
        <is>
          <t>VÄSTERBOTTENS LÄN</t>
        </is>
      </c>
      <c r="E565" t="inlineStr">
        <is>
          <t>VILHELMINA</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36329-2022</t>
        </is>
      </c>
      <c r="B566" s="1" t="n">
        <v>44803</v>
      </c>
      <c r="C566" s="1" t="n">
        <v>45510</v>
      </c>
      <c r="D566" t="inlineStr">
        <is>
          <t>VÄSTERBOTTENS LÄN</t>
        </is>
      </c>
      <c r="E566" t="inlineStr">
        <is>
          <t>VILHELMINA</t>
        </is>
      </c>
      <c r="F566" t="inlineStr">
        <is>
          <t>Övriga statliga verk och myndigheter</t>
        </is>
      </c>
      <c r="G566" t="n">
        <v>30</v>
      </c>
      <c r="H566" t="n">
        <v>0</v>
      </c>
      <c r="I566" t="n">
        <v>0</v>
      </c>
      <c r="J566" t="n">
        <v>0</v>
      </c>
      <c r="K566" t="n">
        <v>0</v>
      </c>
      <c r="L566" t="n">
        <v>0</v>
      </c>
      <c r="M566" t="n">
        <v>0</v>
      </c>
      <c r="N566" t="n">
        <v>0</v>
      </c>
      <c r="O566" t="n">
        <v>0</v>
      </c>
      <c r="P566" t="n">
        <v>0</v>
      </c>
      <c r="Q566" t="n">
        <v>0</v>
      </c>
      <c r="R566" s="2" t="inlineStr"/>
    </row>
    <row r="567" ht="15" customHeight="1">
      <c r="A567" t="inlineStr">
        <is>
          <t>A 36929-2022</t>
        </is>
      </c>
      <c r="B567" s="1" t="n">
        <v>44806</v>
      </c>
      <c r="C567" s="1" t="n">
        <v>45510</v>
      </c>
      <c r="D567" t="inlineStr">
        <is>
          <t>VÄSTERBOTTENS LÄN</t>
        </is>
      </c>
      <c r="E567" t="inlineStr">
        <is>
          <t>VILHELMINA</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36931-2022</t>
        </is>
      </c>
      <c r="B568" s="1" t="n">
        <v>44805</v>
      </c>
      <c r="C568" s="1" t="n">
        <v>45510</v>
      </c>
      <c r="D568" t="inlineStr">
        <is>
          <t>VÄSTERBOTTENS LÄN</t>
        </is>
      </c>
      <c r="E568" t="inlineStr">
        <is>
          <t>VILHELMINA</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36930-2022</t>
        </is>
      </c>
      <c r="B569" s="1" t="n">
        <v>44805</v>
      </c>
      <c r="C569" s="1" t="n">
        <v>45510</v>
      </c>
      <c r="D569" t="inlineStr">
        <is>
          <t>VÄSTERBOTTENS LÄN</t>
        </is>
      </c>
      <c r="E569" t="inlineStr">
        <is>
          <t>VILHELMINA</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37322-2022</t>
        </is>
      </c>
      <c r="B570" s="1" t="n">
        <v>44806</v>
      </c>
      <c r="C570" s="1" t="n">
        <v>45510</v>
      </c>
      <c r="D570" t="inlineStr">
        <is>
          <t>VÄSTERBOTTENS LÄN</t>
        </is>
      </c>
      <c r="E570" t="inlineStr">
        <is>
          <t>VILHELMINA</t>
        </is>
      </c>
      <c r="F570" t="inlineStr">
        <is>
          <t>Övriga statliga verk och myndigheter</t>
        </is>
      </c>
      <c r="G570" t="n">
        <v>15.4</v>
      </c>
      <c r="H570" t="n">
        <v>0</v>
      </c>
      <c r="I570" t="n">
        <v>0</v>
      </c>
      <c r="J570" t="n">
        <v>0</v>
      </c>
      <c r="K570" t="n">
        <v>0</v>
      </c>
      <c r="L570" t="n">
        <v>0</v>
      </c>
      <c r="M570" t="n">
        <v>0</v>
      </c>
      <c r="N570" t="n">
        <v>0</v>
      </c>
      <c r="O570" t="n">
        <v>0</v>
      </c>
      <c r="P570" t="n">
        <v>0</v>
      </c>
      <c r="Q570" t="n">
        <v>0</v>
      </c>
      <c r="R570" s="2" t="inlineStr"/>
    </row>
    <row r="571" ht="15" customHeight="1">
      <c r="A571" t="inlineStr">
        <is>
          <t>A 37325-2022</t>
        </is>
      </c>
      <c r="B571" s="1" t="n">
        <v>44806</v>
      </c>
      <c r="C571" s="1" t="n">
        <v>45510</v>
      </c>
      <c r="D571" t="inlineStr">
        <is>
          <t>VÄSTERBOTTENS LÄN</t>
        </is>
      </c>
      <c r="E571" t="inlineStr">
        <is>
          <t>VILHELMINA</t>
        </is>
      </c>
      <c r="F571" t="inlineStr">
        <is>
          <t>Övriga statliga verk och myndigheter</t>
        </is>
      </c>
      <c r="G571" t="n">
        <v>11</v>
      </c>
      <c r="H571" t="n">
        <v>0</v>
      </c>
      <c r="I571" t="n">
        <v>0</v>
      </c>
      <c r="J571" t="n">
        <v>0</v>
      </c>
      <c r="K571" t="n">
        <v>0</v>
      </c>
      <c r="L571" t="n">
        <v>0</v>
      </c>
      <c r="M571" t="n">
        <v>0</v>
      </c>
      <c r="N571" t="n">
        <v>0</v>
      </c>
      <c r="O571" t="n">
        <v>0</v>
      </c>
      <c r="P571" t="n">
        <v>0</v>
      </c>
      <c r="Q571" t="n">
        <v>0</v>
      </c>
      <c r="R571" s="2" t="inlineStr"/>
    </row>
    <row r="572" ht="15" customHeight="1">
      <c r="A572" t="inlineStr">
        <is>
          <t>A 37655-2022</t>
        </is>
      </c>
      <c r="B572" s="1" t="n">
        <v>44810</v>
      </c>
      <c r="C572" s="1" t="n">
        <v>45510</v>
      </c>
      <c r="D572" t="inlineStr">
        <is>
          <t>VÄSTERBOTTENS LÄN</t>
        </is>
      </c>
      <c r="E572" t="inlineStr">
        <is>
          <t>VILHELMINA</t>
        </is>
      </c>
      <c r="G572" t="n">
        <v>6.3</v>
      </c>
      <c r="H572" t="n">
        <v>0</v>
      </c>
      <c r="I572" t="n">
        <v>0</v>
      </c>
      <c r="J572" t="n">
        <v>0</v>
      </c>
      <c r="K572" t="n">
        <v>0</v>
      </c>
      <c r="L572" t="n">
        <v>0</v>
      </c>
      <c r="M572" t="n">
        <v>0</v>
      </c>
      <c r="N572" t="n">
        <v>0</v>
      </c>
      <c r="O572" t="n">
        <v>0</v>
      </c>
      <c r="P572" t="n">
        <v>0</v>
      </c>
      <c r="Q572" t="n">
        <v>0</v>
      </c>
      <c r="R572" s="2" t="inlineStr"/>
    </row>
    <row r="573" ht="15" customHeight="1">
      <c r="A573" t="inlineStr">
        <is>
          <t>A 37661-2022</t>
        </is>
      </c>
      <c r="B573" s="1" t="n">
        <v>44810</v>
      </c>
      <c r="C573" s="1" t="n">
        <v>45510</v>
      </c>
      <c r="D573" t="inlineStr">
        <is>
          <t>VÄSTERBOTTENS LÄN</t>
        </is>
      </c>
      <c r="E573" t="inlineStr">
        <is>
          <t>VILHELMINA</t>
        </is>
      </c>
      <c r="G573" t="n">
        <v>5.8</v>
      </c>
      <c r="H573" t="n">
        <v>0</v>
      </c>
      <c r="I573" t="n">
        <v>0</v>
      </c>
      <c r="J573" t="n">
        <v>0</v>
      </c>
      <c r="K573" t="n">
        <v>0</v>
      </c>
      <c r="L573" t="n">
        <v>0</v>
      </c>
      <c r="M573" t="n">
        <v>0</v>
      </c>
      <c r="N573" t="n">
        <v>0</v>
      </c>
      <c r="O573" t="n">
        <v>0</v>
      </c>
      <c r="P573" t="n">
        <v>0</v>
      </c>
      <c r="Q573" t="n">
        <v>0</v>
      </c>
      <c r="R573" s="2" t="inlineStr"/>
    </row>
    <row r="574" ht="15" customHeight="1">
      <c r="A574" t="inlineStr">
        <is>
          <t>A 38417-2022</t>
        </is>
      </c>
      <c r="B574" s="1" t="n">
        <v>44813</v>
      </c>
      <c r="C574" s="1" t="n">
        <v>45510</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38422-2022</t>
        </is>
      </c>
      <c r="B575" s="1" t="n">
        <v>44812</v>
      </c>
      <c r="C575" s="1" t="n">
        <v>45510</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38416-2022</t>
        </is>
      </c>
      <c r="B576" s="1" t="n">
        <v>44812</v>
      </c>
      <c r="C576" s="1" t="n">
        <v>45510</v>
      </c>
      <c r="D576" t="inlineStr">
        <is>
          <t>VÄSTERBOTTENS LÄN</t>
        </is>
      </c>
      <c r="E576" t="inlineStr">
        <is>
          <t>VILHELMINA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38419-2022</t>
        </is>
      </c>
      <c r="B577" s="1" t="n">
        <v>44813</v>
      </c>
      <c r="C577" s="1" t="n">
        <v>45510</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38558-2022</t>
        </is>
      </c>
      <c r="B578" s="1" t="n">
        <v>44813</v>
      </c>
      <c r="C578" s="1" t="n">
        <v>45510</v>
      </c>
      <c r="D578" t="inlineStr">
        <is>
          <t>VÄSTERBOTTENS LÄN</t>
        </is>
      </c>
      <c r="E578" t="inlineStr">
        <is>
          <t>VILHELMINA</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39389-2022</t>
        </is>
      </c>
      <c r="B579" s="1" t="n">
        <v>44817</v>
      </c>
      <c r="C579" s="1" t="n">
        <v>45510</v>
      </c>
      <c r="D579" t="inlineStr">
        <is>
          <t>VÄSTERBOTTENS LÄN</t>
        </is>
      </c>
      <c r="E579" t="inlineStr">
        <is>
          <t>VILHELMINA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41343-2022</t>
        </is>
      </c>
      <c r="B580" s="1" t="n">
        <v>44824</v>
      </c>
      <c r="C580" s="1" t="n">
        <v>45510</v>
      </c>
      <c r="D580" t="inlineStr">
        <is>
          <t>VÄSTERBOTTENS LÄN</t>
        </is>
      </c>
      <c r="E580" t="inlineStr">
        <is>
          <t>VILHELMINA</t>
        </is>
      </c>
      <c r="G580" t="n">
        <v>6</v>
      </c>
      <c r="H580" t="n">
        <v>0</v>
      </c>
      <c r="I580" t="n">
        <v>0</v>
      </c>
      <c r="J580" t="n">
        <v>0</v>
      </c>
      <c r="K580" t="n">
        <v>0</v>
      </c>
      <c r="L580" t="n">
        <v>0</v>
      </c>
      <c r="M580" t="n">
        <v>0</v>
      </c>
      <c r="N580" t="n">
        <v>0</v>
      </c>
      <c r="O580" t="n">
        <v>0</v>
      </c>
      <c r="P580" t="n">
        <v>0</v>
      </c>
      <c r="Q580" t="n">
        <v>0</v>
      </c>
      <c r="R580" s="2" t="inlineStr"/>
    </row>
    <row r="581" ht="15" customHeight="1">
      <c r="A581" t="inlineStr">
        <is>
          <t>A 41350-2022</t>
        </is>
      </c>
      <c r="B581" s="1" t="n">
        <v>44824</v>
      </c>
      <c r="C581" s="1" t="n">
        <v>45510</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41330-2022</t>
        </is>
      </c>
      <c r="B582" s="1" t="n">
        <v>44826</v>
      </c>
      <c r="C582" s="1" t="n">
        <v>45510</v>
      </c>
      <c r="D582" t="inlineStr">
        <is>
          <t>VÄSTERBOTTENS LÄN</t>
        </is>
      </c>
      <c r="E582" t="inlineStr">
        <is>
          <t>VILHELMINA</t>
        </is>
      </c>
      <c r="G582" t="n">
        <v>3.4</v>
      </c>
      <c r="H582" t="n">
        <v>0</v>
      </c>
      <c r="I582" t="n">
        <v>0</v>
      </c>
      <c r="J582" t="n">
        <v>0</v>
      </c>
      <c r="K582" t="n">
        <v>0</v>
      </c>
      <c r="L582" t="n">
        <v>0</v>
      </c>
      <c r="M582" t="n">
        <v>0</v>
      </c>
      <c r="N582" t="n">
        <v>0</v>
      </c>
      <c r="O582" t="n">
        <v>0</v>
      </c>
      <c r="P582" t="n">
        <v>0</v>
      </c>
      <c r="Q582" t="n">
        <v>0</v>
      </c>
      <c r="R582" s="2" t="inlineStr"/>
    </row>
    <row r="583" ht="15" customHeight="1">
      <c r="A583" t="inlineStr">
        <is>
          <t>A 41482-2022</t>
        </is>
      </c>
      <c r="B583" s="1" t="n">
        <v>44827</v>
      </c>
      <c r="C583" s="1" t="n">
        <v>45510</v>
      </c>
      <c r="D583" t="inlineStr">
        <is>
          <t>VÄSTERBOTTENS LÄN</t>
        </is>
      </c>
      <c r="E583" t="inlineStr">
        <is>
          <t>VILHELMINA</t>
        </is>
      </c>
      <c r="F583" t="inlineStr">
        <is>
          <t>SCA</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41485-2022</t>
        </is>
      </c>
      <c r="B584" s="1" t="n">
        <v>44827</v>
      </c>
      <c r="C584" s="1" t="n">
        <v>45510</v>
      </c>
      <c r="D584" t="inlineStr">
        <is>
          <t>VÄSTERBOTTENS LÄN</t>
        </is>
      </c>
      <c r="E584" t="inlineStr">
        <is>
          <t>VILHELMINA</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41484-2022</t>
        </is>
      </c>
      <c r="B585" s="1" t="n">
        <v>44826</v>
      </c>
      <c r="C585" s="1" t="n">
        <v>45510</v>
      </c>
      <c r="D585" t="inlineStr">
        <is>
          <t>VÄSTERBOTTENS LÄN</t>
        </is>
      </c>
      <c r="E585" t="inlineStr">
        <is>
          <t>VILHELMINA</t>
        </is>
      </c>
      <c r="F585" t="inlineStr">
        <is>
          <t>SCA</t>
        </is>
      </c>
      <c r="G585" t="n">
        <v>18.1</v>
      </c>
      <c r="H585" t="n">
        <v>0</v>
      </c>
      <c r="I585" t="n">
        <v>0</v>
      </c>
      <c r="J585" t="n">
        <v>0</v>
      </c>
      <c r="K585" t="n">
        <v>0</v>
      </c>
      <c r="L585" t="n">
        <v>0</v>
      </c>
      <c r="M585" t="n">
        <v>0</v>
      </c>
      <c r="N585" t="n">
        <v>0</v>
      </c>
      <c r="O585" t="n">
        <v>0</v>
      </c>
      <c r="P585" t="n">
        <v>0</v>
      </c>
      <c r="Q585" t="n">
        <v>0</v>
      </c>
      <c r="R585" s="2" t="inlineStr"/>
    </row>
    <row r="586" ht="15" customHeight="1">
      <c r="A586" t="inlineStr">
        <is>
          <t>A 42648-2022</t>
        </is>
      </c>
      <c r="B586" s="1" t="n">
        <v>44832</v>
      </c>
      <c r="C586" s="1" t="n">
        <v>45510</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42650-2022</t>
        </is>
      </c>
      <c r="B587" s="1" t="n">
        <v>44831</v>
      </c>
      <c r="C587" s="1" t="n">
        <v>45510</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43120-2022</t>
        </is>
      </c>
      <c r="B588" s="1" t="n">
        <v>44834</v>
      </c>
      <c r="C588" s="1" t="n">
        <v>45510</v>
      </c>
      <c r="D588" t="inlineStr">
        <is>
          <t>VÄSTERBOTTENS LÄN</t>
        </is>
      </c>
      <c r="E588" t="inlineStr">
        <is>
          <t>VILHELMINA</t>
        </is>
      </c>
      <c r="G588" t="n">
        <v>13.7</v>
      </c>
      <c r="H588" t="n">
        <v>0</v>
      </c>
      <c r="I588" t="n">
        <v>0</v>
      </c>
      <c r="J588" t="n">
        <v>0</v>
      </c>
      <c r="K588" t="n">
        <v>0</v>
      </c>
      <c r="L588" t="n">
        <v>0</v>
      </c>
      <c r="M588" t="n">
        <v>0</v>
      </c>
      <c r="N588" t="n">
        <v>0</v>
      </c>
      <c r="O588" t="n">
        <v>0</v>
      </c>
      <c r="P588" t="n">
        <v>0</v>
      </c>
      <c r="Q588" t="n">
        <v>0</v>
      </c>
      <c r="R588" s="2" t="inlineStr"/>
    </row>
    <row r="589" ht="15" customHeight="1">
      <c r="A589" t="inlineStr">
        <is>
          <t>A 43144-2022</t>
        </is>
      </c>
      <c r="B589" s="1" t="n">
        <v>44834</v>
      </c>
      <c r="C589" s="1" t="n">
        <v>45510</v>
      </c>
      <c r="D589" t="inlineStr">
        <is>
          <t>VÄSTERBOTTENS LÄN</t>
        </is>
      </c>
      <c r="E589" t="inlineStr">
        <is>
          <t>VILHELMINA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43714-2022</t>
        </is>
      </c>
      <c r="B590" s="1" t="n">
        <v>44837</v>
      </c>
      <c r="C590" s="1" t="n">
        <v>45510</v>
      </c>
      <c r="D590" t="inlineStr">
        <is>
          <t>VÄSTERBOTTENS LÄN</t>
        </is>
      </c>
      <c r="E590" t="inlineStr">
        <is>
          <t>VILHELMINA</t>
        </is>
      </c>
      <c r="G590" t="n">
        <v>8.9</v>
      </c>
      <c r="H590" t="n">
        <v>0</v>
      </c>
      <c r="I590" t="n">
        <v>0</v>
      </c>
      <c r="J590" t="n">
        <v>0</v>
      </c>
      <c r="K590" t="n">
        <v>0</v>
      </c>
      <c r="L590" t="n">
        <v>0</v>
      </c>
      <c r="M590" t="n">
        <v>0</v>
      </c>
      <c r="N590" t="n">
        <v>0</v>
      </c>
      <c r="O590" t="n">
        <v>0</v>
      </c>
      <c r="P590" t="n">
        <v>0</v>
      </c>
      <c r="Q590" t="n">
        <v>0</v>
      </c>
      <c r="R590" s="2" t="inlineStr"/>
    </row>
    <row r="591" ht="15" customHeight="1">
      <c r="A591" t="inlineStr">
        <is>
          <t>A 43741-2022</t>
        </is>
      </c>
      <c r="B591" s="1" t="n">
        <v>44837</v>
      </c>
      <c r="C591" s="1" t="n">
        <v>45510</v>
      </c>
      <c r="D591" t="inlineStr">
        <is>
          <t>VÄSTERBOTTENS LÄN</t>
        </is>
      </c>
      <c r="E591" t="inlineStr">
        <is>
          <t>VILHELMINA</t>
        </is>
      </c>
      <c r="G591" t="n">
        <v>54.2</v>
      </c>
      <c r="H591" t="n">
        <v>0</v>
      </c>
      <c r="I591" t="n">
        <v>0</v>
      </c>
      <c r="J591" t="n">
        <v>0</v>
      </c>
      <c r="K591" t="n">
        <v>0</v>
      </c>
      <c r="L591" t="n">
        <v>0</v>
      </c>
      <c r="M591" t="n">
        <v>0</v>
      </c>
      <c r="N591" t="n">
        <v>0</v>
      </c>
      <c r="O591" t="n">
        <v>0</v>
      </c>
      <c r="P591" t="n">
        <v>0</v>
      </c>
      <c r="Q591" t="n">
        <v>0</v>
      </c>
      <c r="R591" s="2" t="inlineStr"/>
    </row>
    <row r="592" ht="15" customHeight="1">
      <c r="A592" t="inlineStr">
        <is>
          <t>A 45425-2022</t>
        </is>
      </c>
      <c r="B592" s="1" t="n">
        <v>44844</v>
      </c>
      <c r="C592" s="1" t="n">
        <v>45510</v>
      </c>
      <c r="D592" t="inlineStr">
        <is>
          <t>VÄSTERBOTTENS LÄN</t>
        </is>
      </c>
      <c r="E592" t="inlineStr">
        <is>
          <t>VILHELMINA</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46121-2022</t>
        </is>
      </c>
      <c r="B593" s="1" t="n">
        <v>44847</v>
      </c>
      <c r="C593" s="1" t="n">
        <v>45510</v>
      </c>
      <c r="D593" t="inlineStr">
        <is>
          <t>VÄSTERBOTTENS LÄN</t>
        </is>
      </c>
      <c r="E593" t="inlineStr">
        <is>
          <t>VILHELMINA</t>
        </is>
      </c>
      <c r="G593" t="n">
        <v>2.6</v>
      </c>
      <c r="H593" t="n">
        <v>0</v>
      </c>
      <c r="I593" t="n">
        <v>0</v>
      </c>
      <c r="J593" t="n">
        <v>0</v>
      </c>
      <c r="K593" t="n">
        <v>0</v>
      </c>
      <c r="L593" t="n">
        <v>0</v>
      </c>
      <c r="M593" t="n">
        <v>0</v>
      </c>
      <c r="N593" t="n">
        <v>0</v>
      </c>
      <c r="O593" t="n">
        <v>0</v>
      </c>
      <c r="P593" t="n">
        <v>0</v>
      </c>
      <c r="Q593" t="n">
        <v>0</v>
      </c>
      <c r="R593" s="2" t="inlineStr"/>
    </row>
    <row r="594" ht="15" customHeight="1">
      <c r="A594" t="inlineStr">
        <is>
          <t>A 46071-2022</t>
        </is>
      </c>
      <c r="B594" s="1" t="n">
        <v>44847</v>
      </c>
      <c r="C594" s="1" t="n">
        <v>45510</v>
      </c>
      <c r="D594" t="inlineStr">
        <is>
          <t>VÄSTERBOTTENS LÄN</t>
        </is>
      </c>
      <c r="E594" t="inlineStr">
        <is>
          <t>VILHELMINA</t>
        </is>
      </c>
      <c r="G594" t="n">
        <v>10.6</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45510</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46119-2022</t>
        </is>
      </c>
      <c r="B596" s="1" t="n">
        <v>44847</v>
      </c>
      <c r="C596" s="1" t="n">
        <v>45510</v>
      </c>
      <c r="D596" t="inlineStr">
        <is>
          <t>VÄSTERBOTTENS LÄN</t>
        </is>
      </c>
      <c r="E596" t="inlineStr">
        <is>
          <t>VILHELMINA</t>
        </is>
      </c>
      <c r="G596" t="n">
        <v>12.1</v>
      </c>
      <c r="H596" t="n">
        <v>0</v>
      </c>
      <c r="I596" t="n">
        <v>0</v>
      </c>
      <c r="J596" t="n">
        <v>0</v>
      </c>
      <c r="K596" t="n">
        <v>0</v>
      </c>
      <c r="L596" t="n">
        <v>0</v>
      </c>
      <c r="M596" t="n">
        <v>0</v>
      </c>
      <c r="N596" t="n">
        <v>0</v>
      </c>
      <c r="O596" t="n">
        <v>0</v>
      </c>
      <c r="P596" t="n">
        <v>0</v>
      </c>
      <c r="Q596" t="n">
        <v>0</v>
      </c>
      <c r="R596" s="2" t="inlineStr"/>
    </row>
    <row r="597" ht="15" customHeight="1">
      <c r="A597" t="inlineStr">
        <is>
          <t>A 46318-2022</t>
        </is>
      </c>
      <c r="B597" s="1" t="n">
        <v>44847</v>
      </c>
      <c r="C597" s="1" t="n">
        <v>45510</v>
      </c>
      <c r="D597" t="inlineStr">
        <is>
          <t>VÄSTERBOTTENS LÄN</t>
        </is>
      </c>
      <c r="E597" t="inlineStr">
        <is>
          <t>VILHELMINA</t>
        </is>
      </c>
      <c r="G597" t="n">
        <v>11.7</v>
      </c>
      <c r="H597" t="n">
        <v>0</v>
      </c>
      <c r="I597" t="n">
        <v>0</v>
      </c>
      <c r="J597" t="n">
        <v>0</v>
      </c>
      <c r="K597" t="n">
        <v>0</v>
      </c>
      <c r="L597" t="n">
        <v>0</v>
      </c>
      <c r="M597" t="n">
        <v>0</v>
      </c>
      <c r="N597" t="n">
        <v>0</v>
      </c>
      <c r="O597" t="n">
        <v>0</v>
      </c>
      <c r="P597" t="n">
        <v>0</v>
      </c>
      <c r="Q597" t="n">
        <v>0</v>
      </c>
      <c r="R597" s="2" t="inlineStr"/>
    </row>
    <row r="598" ht="15" customHeight="1">
      <c r="A598" t="inlineStr">
        <is>
          <t>A 47253-2022</t>
        </is>
      </c>
      <c r="B598" s="1" t="n">
        <v>44852</v>
      </c>
      <c r="C598" s="1" t="n">
        <v>45510</v>
      </c>
      <c r="D598" t="inlineStr">
        <is>
          <t>VÄSTERBOTTENS LÄN</t>
        </is>
      </c>
      <c r="E598" t="inlineStr">
        <is>
          <t>VILHELMINA</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47252-2022</t>
        </is>
      </c>
      <c r="B599" s="1" t="n">
        <v>44852</v>
      </c>
      <c r="C599" s="1" t="n">
        <v>45510</v>
      </c>
      <c r="D599" t="inlineStr">
        <is>
          <t>VÄSTERBOTTENS LÄN</t>
        </is>
      </c>
      <c r="E599" t="inlineStr">
        <is>
          <t>VILHELMINA</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47254-2022</t>
        </is>
      </c>
      <c r="B600" s="1" t="n">
        <v>44853</v>
      </c>
      <c r="C600" s="1" t="n">
        <v>45510</v>
      </c>
      <c r="D600" t="inlineStr">
        <is>
          <t>VÄSTERBOTTENS LÄN</t>
        </is>
      </c>
      <c r="E600" t="inlineStr">
        <is>
          <t>VILHELMINA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47288-2022</t>
        </is>
      </c>
      <c r="B601" s="1" t="n">
        <v>44852</v>
      </c>
      <c r="C601" s="1" t="n">
        <v>45510</v>
      </c>
      <c r="D601" t="inlineStr">
        <is>
          <t>VÄSTERBOTTENS LÄN</t>
        </is>
      </c>
      <c r="E601" t="inlineStr">
        <is>
          <t>VILHELMINA</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47287-2022</t>
        </is>
      </c>
      <c r="B602" s="1" t="n">
        <v>44853</v>
      </c>
      <c r="C602" s="1" t="n">
        <v>45510</v>
      </c>
      <c r="D602" t="inlineStr">
        <is>
          <t>VÄSTERBOTTENS LÄN</t>
        </is>
      </c>
      <c r="E602" t="inlineStr">
        <is>
          <t>VILHELMINA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47285-2022</t>
        </is>
      </c>
      <c r="B603" s="1" t="n">
        <v>44853</v>
      </c>
      <c r="C603" s="1" t="n">
        <v>45510</v>
      </c>
      <c r="D603" t="inlineStr">
        <is>
          <t>VÄSTERBOTTENS LÄN</t>
        </is>
      </c>
      <c r="E603" t="inlineStr">
        <is>
          <t>VILHELMINA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47286-2022</t>
        </is>
      </c>
      <c r="B604" s="1" t="n">
        <v>44852</v>
      </c>
      <c r="C604" s="1" t="n">
        <v>45510</v>
      </c>
      <c r="D604" t="inlineStr">
        <is>
          <t>VÄSTERBOTTENS LÄN</t>
        </is>
      </c>
      <c r="E604" t="inlineStr">
        <is>
          <t>VILHELMINA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47575-2022</t>
        </is>
      </c>
      <c r="B605" s="1" t="n">
        <v>44853</v>
      </c>
      <c r="C605" s="1" t="n">
        <v>45510</v>
      </c>
      <c r="D605" t="inlineStr">
        <is>
          <t>VÄSTERBOTTENS LÄN</t>
        </is>
      </c>
      <c r="E605" t="inlineStr">
        <is>
          <t>VILHELMINA</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47571-2022</t>
        </is>
      </c>
      <c r="B606" s="1" t="n">
        <v>44853</v>
      </c>
      <c r="C606" s="1" t="n">
        <v>45510</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48068-2022</t>
        </is>
      </c>
      <c r="B607" s="1" t="n">
        <v>44855</v>
      </c>
      <c r="C607" s="1" t="n">
        <v>45510</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48117-2022</t>
        </is>
      </c>
      <c r="B608" s="1" t="n">
        <v>44857</v>
      </c>
      <c r="C608" s="1" t="n">
        <v>45510</v>
      </c>
      <c r="D608" t="inlineStr">
        <is>
          <t>VÄSTERBOTTENS LÄN</t>
        </is>
      </c>
      <c r="E608" t="inlineStr">
        <is>
          <t>VILHELMINA</t>
        </is>
      </c>
      <c r="G608" t="n">
        <v>5.8</v>
      </c>
      <c r="H608" t="n">
        <v>0</v>
      </c>
      <c r="I608" t="n">
        <v>0</v>
      </c>
      <c r="J608" t="n">
        <v>0</v>
      </c>
      <c r="K608" t="n">
        <v>0</v>
      </c>
      <c r="L608" t="n">
        <v>0</v>
      </c>
      <c r="M608" t="n">
        <v>0</v>
      </c>
      <c r="N608" t="n">
        <v>0</v>
      </c>
      <c r="O608" t="n">
        <v>0</v>
      </c>
      <c r="P608" t="n">
        <v>0</v>
      </c>
      <c r="Q608" t="n">
        <v>0</v>
      </c>
      <c r="R608" s="2" t="inlineStr"/>
    </row>
    <row r="609" ht="15" customHeight="1">
      <c r="A609" t="inlineStr">
        <is>
          <t>A 48524-2022</t>
        </is>
      </c>
      <c r="B609" s="1" t="n">
        <v>44859</v>
      </c>
      <c r="C609" s="1" t="n">
        <v>45510</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48507-2022</t>
        </is>
      </c>
      <c r="B610" s="1" t="n">
        <v>44859</v>
      </c>
      <c r="C610" s="1" t="n">
        <v>45510</v>
      </c>
      <c r="D610" t="inlineStr">
        <is>
          <t>VÄSTERBOTTENS LÄN</t>
        </is>
      </c>
      <c r="E610" t="inlineStr">
        <is>
          <t>VILHELMINA</t>
        </is>
      </c>
      <c r="F610" t="inlineStr">
        <is>
          <t>SCA</t>
        </is>
      </c>
      <c r="G610" t="n">
        <v>10.5</v>
      </c>
      <c r="H610" t="n">
        <v>0</v>
      </c>
      <c r="I610" t="n">
        <v>0</v>
      </c>
      <c r="J610" t="n">
        <v>0</v>
      </c>
      <c r="K610" t="n">
        <v>0</v>
      </c>
      <c r="L610" t="n">
        <v>0</v>
      </c>
      <c r="M610" t="n">
        <v>0</v>
      </c>
      <c r="N610" t="n">
        <v>0</v>
      </c>
      <c r="O610" t="n">
        <v>0</v>
      </c>
      <c r="P610" t="n">
        <v>0</v>
      </c>
      <c r="Q610" t="n">
        <v>0</v>
      </c>
      <c r="R610" s="2" t="inlineStr"/>
    </row>
    <row r="611" ht="15" customHeight="1">
      <c r="A611" t="inlineStr">
        <is>
          <t>A 48526-2022</t>
        </is>
      </c>
      <c r="B611" s="1" t="n">
        <v>44858</v>
      </c>
      <c r="C611" s="1" t="n">
        <v>45510</v>
      </c>
      <c r="D611" t="inlineStr">
        <is>
          <t>VÄSTERBOTTENS LÄN</t>
        </is>
      </c>
      <c r="E611" t="inlineStr">
        <is>
          <t>VILHELMINA</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48515-2022</t>
        </is>
      </c>
      <c r="B612" s="1" t="n">
        <v>44859</v>
      </c>
      <c r="C612" s="1" t="n">
        <v>45510</v>
      </c>
      <c r="D612" t="inlineStr">
        <is>
          <t>VÄSTERBOTTENS LÄN</t>
        </is>
      </c>
      <c r="E612" t="inlineStr">
        <is>
          <t>VILHELMINA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48551-2022</t>
        </is>
      </c>
      <c r="B613" s="1" t="n">
        <v>44859</v>
      </c>
      <c r="C613" s="1" t="n">
        <v>45510</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48508-2022</t>
        </is>
      </c>
      <c r="B614" s="1" t="n">
        <v>44858</v>
      </c>
      <c r="C614" s="1" t="n">
        <v>45510</v>
      </c>
      <c r="D614" t="inlineStr">
        <is>
          <t>VÄSTERBOTTENS LÄN</t>
        </is>
      </c>
      <c r="E614" t="inlineStr">
        <is>
          <t>VILHELMINA</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48527-2022</t>
        </is>
      </c>
      <c r="B615" s="1" t="n">
        <v>44859</v>
      </c>
      <c r="C615" s="1" t="n">
        <v>45510</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48775-2022</t>
        </is>
      </c>
      <c r="B616" s="1" t="n">
        <v>44859</v>
      </c>
      <c r="C616" s="1" t="n">
        <v>45510</v>
      </c>
      <c r="D616" t="inlineStr">
        <is>
          <t>VÄSTERBOTTENS LÄN</t>
        </is>
      </c>
      <c r="E616" t="inlineStr">
        <is>
          <t>VILHELMINA</t>
        </is>
      </c>
      <c r="F616" t="inlineStr">
        <is>
          <t>Sveaskog</t>
        </is>
      </c>
      <c r="G616" t="n">
        <v>10.7</v>
      </c>
      <c r="H616" t="n">
        <v>0</v>
      </c>
      <c r="I616" t="n">
        <v>0</v>
      </c>
      <c r="J616" t="n">
        <v>0</v>
      </c>
      <c r="K616" t="n">
        <v>0</v>
      </c>
      <c r="L616" t="n">
        <v>0</v>
      </c>
      <c r="M616" t="n">
        <v>0</v>
      </c>
      <c r="N616" t="n">
        <v>0</v>
      </c>
      <c r="O616" t="n">
        <v>0</v>
      </c>
      <c r="P616" t="n">
        <v>0</v>
      </c>
      <c r="Q616" t="n">
        <v>0</v>
      </c>
      <c r="R616" s="2" t="inlineStr"/>
    </row>
    <row r="617" ht="15" customHeight="1">
      <c r="A617" t="inlineStr">
        <is>
          <t>A 48768-2022</t>
        </is>
      </c>
      <c r="B617" s="1" t="n">
        <v>44859</v>
      </c>
      <c r="C617" s="1" t="n">
        <v>45510</v>
      </c>
      <c r="D617" t="inlineStr">
        <is>
          <t>VÄSTERBOTTENS LÄN</t>
        </is>
      </c>
      <c r="E617" t="inlineStr">
        <is>
          <t>VILHELMINA</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49599-2022</t>
        </is>
      </c>
      <c r="B618" s="1" t="n">
        <v>44859</v>
      </c>
      <c r="C618" s="1" t="n">
        <v>45510</v>
      </c>
      <c r="D618" t="inlineStr">
        <is>
          <t>VÄSTERBOTTENS LÄN</t>
        </is>
      </c>
      <c r="E618" t="inlineStr">
        <is>
          <t>VILHELMINA</t>
        </is>
      </c>
      <c r="G618" t="n">
        <v>3.6</v>
      </c>
      <c r="H618" t="n">
        <v>0</v>
      </c>
      <c r="I618" t="n">
        <v>0</v>
      </c>
      <c r="J618" t="n">
        <v>0</v>
      </c>
      <c r="K618" t="n">
        <v>0</v>
      </c>
      <c r="L618" t="n">
        <v>0</v>
      </c>
      <c r="M618" t="n">
        <v>0</v>
      </c>
      <c r="N618" t="n">
        <v>0</v>
      </c>
      <c r="O618" t="n">
        <v>0</v>
      </c>
      <c r="P618" t="n">
        <v>0</v>
      </c>
      <c r="Q618" t="n">
        <v>0</v>
      </c>
      <c r="R618" s="2" t="inlineStr"/>
    </row>
    <row r="619" ht="15" customHeight="1">
      <c r="A619" t="inlineStr">
        <is>
          <t>A 49526-2022</t>
        </is>
      </c>
      <c r="B619" s="1" t="n">
        <v>44862</v>
      </c>
      <c r="C619" s="1" t="n">
        <v>45510</v>
      </c>
      <c r="D619" t="inlineStr">
        <is>
          <t>VÄSTERBOTTENS LÄN</t>
        </is>
      </c>
      <c r="E619" t="inlineStr">
        <is>
          <t>VILHELMINA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49640-2022</t>
        </is>
      </c>
      <c r="B620" s="1" t="n">
        <v>44862</v>
      </c>
      <c r="C620" s="1" t="n">
        <v>45510</v>
      </c>
      <c r="D620" t="inlineStr">
        <is>
          <t>VÄSTERBOTTENS LÄN</t>
        </is>
      </c>
      <c r="E620" t="inlineStr">
        <is>
          <t>VILHELMINA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50883-2022</t>
        </is>
      </c>
      <c r="B621" s="1" t="n">
        <v>44867</v>
      </c>
      <c r="C621" s="1" t="n">
        <v>45510</v>
      </c>
      <c r="D621" t="inlineStr">
        <is>
          <t>VÄSTERBOTTENS LÄN</t>
        </is>
      </c>
      <c r="E621" t="inlineStr">
        <is>
          <t>VILHELMINA</t>
        </is>
      </c>
      <c r="F621" t="inlineStr">
        <is>
          <t>Sveaskog</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51017-2022</t>
        </is>
      </c>
      <c r="B622" s="1" t="n">
        <v>44867</v>
      </c>
      <c r="C622" s="1" t="n">
        <v>45510</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52008-2022</t>
        </is>
      </c>
      <c r="B623" s="1" t="n">
        <v>44872</v>
      </c>
      <c r="C623" s="1" t="n">
        <v>45510</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52711-2022</t>
        </is>
      </c>
      <c r="B624" s="1" t="n">
        <v>44874</v>
      </c>
      <c r="C624" s="1" t="n">
        <v>45510</v>
      </c>
      <c r="D624" t="inlineStr">
        <is>
          <t>VÄSTERBOTTENS LÄN</t>
        </is>
      </c>
      <c r="E624" t="inlineStr">
        <is>
          <t>VILHELMINA</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52704-2022</t>
        </is>
      </c>
      <c r="B625" s="1" t="n">
        <v>44874</v>
      </c>
      <c r="C625" s="1" t="n">
        <v>45510</v>
      </c>
      <c r="D625" t="inlineStr">
        <is>
          <t>VÄSTERBOTTENS LÄN</t>
        </is>
      </c>
      <c r="E625" t="inlineStr">
        <is>
          <t>VILHELMINA</t>
        </is>
      </c>
      <c r="G625" t="n">
        <v>17.4</v>
      </c>
      <c r="H625" t="n">
        <v>0</v>
      </c>
      <c r="I625" t="n">
        <v>0</v>
      </c>
      <c r="J625" t="n">
        <v>0</v>
      </c>
      <c r="K625" t="n">
        <v>0</v>
      </c>
      <c r="L625" t="n">
        <v>0</v>
      </c>
      <c r="M625" t="n">
        <v>0</v>
      </c>
      <c r="N625" t="n">
        <v>0</v>
      </c>
      <c r="O625" t="n">
        <v>0</v>
      </c>
      <c r="P625" t="n">
        <v>0</v>
      </c>
      <c r="Q625" t="n">
        <v>0</v>
      </c>
      <c r="R625" s="2" t="inlineStr"/>
    </row>
    <row r="626" ht="15" customHeight="1">
      <c r="A626" t="inlineStr">
        <is>
          <t>A 52995-2022</t>
        </is>
      </c>
      <c r="B626" s="1" t="n">
        <v>44875</v>
      </c>
      <c r="C626" s="1" t="n">
        <v>45510</v>
      </c>
      <c r="D626" t="inlineStr">
        <is>
          <t>VÄSTERBOTTENS LÄN</t>
        </is>
      </c>
      <c r="E626" t="inlineStr">
        <is>
          <t>VILHELMINA</t>
        </is>
      </c>
      <c r="G626" t="n">
        <v>1.4</v>
      </c>
      <c r="H626" t="n">
        <v>0</v>
      </c>
      <c r="I626" t="n">
        <v>0</v>
      </c>
      <c r="J626" t="n">
        <v>0</v>
      </c>
      <c r="K626" t="n">
        <v>0</v>
      </c>
      <c r="L626" t="n">
        <v>0</v>
      </c>
      <c r="M626" t="n">
        <v>0</v>
      </c>
      <c r="N626" t="n">
        <v>0</v>
      </c>
      <c r="O626" t="n">
        <v>0</v>
      </c>
      <c r="P626" t="n">
        <v>0</v>
      </c>
      <c r="Q626" t="n">
        <v>0</v>
      </c>
      <c r="R626" s="2" t="inlineStr"/>
    </row>
    <row r="627" ht="15" customHeight="1">
      <c r="A627" t="inlineStr">
        <is>
          <t>A 53652-2022</t>
        </is>
      </c>
      <c r="B627" s="1" t="n">
        <v>44879</v>
      </c>
      <c r="C627" s="1" t="n">
        <v>45510</v>
      </c>
      <c r="D627" t="inlineStr">
        <is>
          <t>VÄSTERBOTTENS LÄN</t>
        </is>
      </c>
      <c r="E627" t="inlineStr">
        <is>
          <t>VILHELMINA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53654-2022</t>
        </is>
      </c>
      <c r="B628" s="1" t="n">
        <v>44879</v>
      </c>
      <c r="C628" s="1" t="n">
        <v>45510</v>
      </c>
      <c r="D628" t="inlineStr">
        <is>
          <t>VÄSTERBOTTENS LÄN</t>
        </is>
      </c>
      <c r="E628" t="inlineStr">
        <is>
          <t>VILHELMINA</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53658-2022</t>
        </is>
      </c>
      <c r="B629" s="1" t="n">
        <v>44879</v>
      </c>
      <c r="C629" s="1" t="n">
        <v>45510</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54729-2022</t>
        </is>
      </c>
      <c r="B630" s="1" t="n">
        <v>44881</v>
      </c>
      <c r="C630" s="1" t="n">
        <v>45510</v>
      </c>
      <c r="D630" t="inlineStr">
        <is>
          <t>VÄSTERBOTTENS LÄN</t>
        </is>
      </c>
      <c r="E630" t="inlineStr">
        <is>
          <t>VILHELMINA</t>
        </is>
      </c>
      <c r="G630" t="n">
        <v>19.2</v>
      </c>
      <c r="H630" t="n">
        <v>0</v>
      </c>
      <c r="I630" t="n">
        <v>0</v>
      </c>
      <c r="J630" t="n">
        <v>0</v>
      </c>
      <c r="K630" t="n">
        <v>0</v>
      </c>
      <c r="L630" t="n">
        <v>0</v>
      </c>
      <c r="M630" t="n">
        <v>0</v>
      </c>
      <c r="N630" t="n">
        <v>0</v>
      </c>
      <c r="O630" t="n">
        <v>0</v>
      </c>
      <c r="P630" t="n">
        <v>0</v>
      </c>
      <c r="Q630" t="n">
        <v>0</v>
      </c>
      <c r="R630" s="2" t="inlineStr"/>
    </row>
    <row r="631" ht="15" customHeight="1">
      <c r="A631" t="inlineStr">
        <is>
          <t>A 54727-2022</t>
        </is>
      </c>
      <c r="B631" s="1" t="n">
        <v>44881</v>
      </c>
      <c r="C631" s="1" t="n">
        <v>45510</v>
      </c>
      <c r="D631" t="inlineStr">
        <is>
          <t>VÄSTERBOTTENS LÄN</t>
        </is>
      </c>
      <c r="E631" t="inlineStr">
        <is>
          <t>VILHELMINA</t>
        </is>
      </c>
      <c r="G631" t="n">
        <v>4.3</v>
      </c>
      <c r="H631" t="n">
        <v>0</v>
      </c>
      <c r="I631" t="n">
        <v>0</v>
      </c>
      <c r="J631" t="n">
        <v>0</v>
      </c>
      <c r="K631" t="n">
        <v>0</v>
      </c>
      <c r="L631" t="n">
        <v>0</v>
      </c>
      <c r="M631" t="n">
        <v>0</v>
      </c>
      <c r="N631" t="n">
        <v>0</v>
      </c>
      <c r="O631" t="n">
        <v>0</v>
      </c>
      <c r="P631" t="n">
        <v>0</v>
      </c>
      <c r="Q631" t="n">
        <v>0</v>
      </c>
      <c r="R631" s="2" t="inlineStr"/>
    </row>
    <row r="632" ht="15" customHeight="1">
      <c r="A632" t="inlineStr">
        <is>
          <t>A 55870-2022</t>
        </is>
      </c>
      <c r="B632" s="1" t="n">
        <v>44888</v>
      </c>
      <c r="C632" s="1" t="n">
        <v>45510</v>
      </c>
      <c r="D632" t="inlineStr">
        <is>
          <t>VÄSTERBOTTENS LÄN</t>
        </is>
      </c>
      <c r="E632" t="inlineStr">
        <is>
          <t>VILHELMINA</t>
        </is>
      </c>
      <c r="G632" t="n">
        <v>13.6</v>
      </c>
      <c r="H632" t="n">
        <v>0</v>
      </c>
      <c r="I632" t="n">
        <v>0</v>
      </c>
      <c r="J632" t="n">
        <v>0</v>
      </c>
      <c r="K632" t="n">
        <v>0</v>
      </c>
      <c r="L632" t="n">
        <v>0</v>
      </c>
      <c r="M632" t="n">
        <v>0</v>
      </c>
      <c r="N632" t="n">
        <v>0</v>
      </c>
      <c r="O632" t="n">
        <v>0</v>
      </c>
      <c r="P632" t="n">
        <v>0</v>
      </c>
      <c r="Q632" t="n">
        <v>0</v>
      </c>
      <c r="R632" s="2" t="inlineStr"/>
    </row>
    <row r="633" ht="15" customHeight="1">
      <c r="A633" t="inlineStr">
        <is>
          <t>A 56154-2022</t>
        </is>
      </c>
      <c r="B633" s="1" t="n">
        <v>44889</v>
      </c>
      <c r="C633" s="1" t="n">
        <v>45510</v>
      </c>
      <c r="D633" t="inlineStr">
        <is>
          <t>VÄSTERBOTTENS LÄN</t>
        </is>
      </c>
      <c r="E633" t="inlineStr">
        <is>
          <t>VILHELMINA</t>
        </is>
      </c>
      <c r="G633" t="n">
        <v>30</v>
      </c>
      <c r="H633" t="n">
        <v>0</v>
      </c>
      <c r="I633" t="n">
        <v>0</v>
      </c>
      <c r="J633" t="n">
        <v>0</v>
      </c>
      <c r="K633" t="n">
        <v>0</v>
      </c>
      <c r="L633" t="n">
        <v>0</v>
      </c>
      <c r="M633" t="n">
        <v>0</v>
      </c>
      <c r="N633" t="n">
        <v>0</v>
      </c>
      <c r="O633" t="n">
        <v>0</v>
      </c>
      <c r="P633" t="n">
        <v>0</v>
      </c>
      <c r="Q633" t="n">
        <v>0</v>
      </c>
      <c r="R633" s="2" t="inlineStr"/>
    </row>
    <row r="634" ht="15" customHeight="1">
      <c r="A634" t="inlineStr">
        <is>
          <t>A 56153-2022</t>
        </is>
      </c>
      <c r="B634" s="1" t="n">
        <v>44889</v>
      </c>
      <c r="C634" s="1" t="n">
        <v>45510</v>
      </c>
      <c r="D634" t="inlineStr">
        <is>
          <t>VÄSTERBOTTENS LÄN</t>
        </is>
      </c>
      <c r="E634" t="inlineStr">
        <is>
          <t>VILHELMINA</t>
        </is>
      </c>
      <c r="G634" t="n">
        <v>31.6</v>
      </c>
      <c r="H634" t="n">
        <v>0</v>
      </c>
      <c r="I634" t="n">
        <v>0</v>
      </c>
      <c r="J634" t="n">
        <v>0</v>
      </c>
      <c r="K634" t="n">
        <v>0</v>
      </c>
      <c r="L634" t="n">
        <v>0</v>
      </c>
      <c r="M634" t="n">
        <v>0</v>
      </c>
      <c r="N634" t="n">
        <v>0</v>
      </c>
      <c r="O634" t="n">
        <v>0</v>
      </c>
      <c r="P634" t="n">
        <v>0</v>
      </c>
      <c r="Q634" t="n">
        <v>0</v>
      </c>
      <c r="R634" s="2" t="inlineStr"/>
    </row>
    <row r="635" ht="15" customHeight="1">
      <c r="A635" t="inlineStr">
        <is>
          <t>A 56173-2022</t>
        </is>
      </c>
      <c r="B635" s="1" t="n">
        <v>44889</v>
      </c>
      <c r="C635" s="1" t="n">
        <v>45510</v>
      </c>
      <c r="D635" t="inlineStr">
        <is>
          <t>VÄSTERBOTTENS LÄN</t>
        </is>
      </c>
      <c r="E635" t="inlineStr">
        <is>
          <t>VILHELMINA</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56174-2022</t>
        </is>
      </c>
      <c r="B636" s="1" t="n">
        <v>44889</v>
      </c>
      <c r="C636" s="1" t="n">
        <v>45510</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56179-2022</t>
        </is>
      </c>
      <c r="B637" s="1" t="n">
        <v>44889</v>
      </c>
      <c r="C637" s="1" t="n">
        <v>45510</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57332-2022</t>
        </is>
      </c>
      <c r="B638" s="1" t="n">
        <v>44889</v>
      </c>
      <c r="C638" s="1" t="n">
        <v>45510</v>
      </c>
      <c r="D638" t="inlineStr">
        <is>
          <t>VÄSTERBOTTENS LÄN</t>
        </is>
      </c>
      <c r="E638" t="inlineStr">
        <is>
          <t>VILHELMINA</t>
        </is>
      </c>
      <c r="G638" t="n">
        <v>5.1</v>
      </c>
      <c r="H638" t="n">
        <v>0</v>
      </c>
      <c r="I638" t="n">
        <v>0</v>
      </c>
      <c r="J638" t="n">
        <v>0</v>
      </c>
      <c r="K638" t="n">
        <v>0</v>
      </c>
      <c r="L638" t="n">
        <v>0</v>
      </c>
      <c r="M638" t="n">
        <v>0</v>
      </c>
      <c r="N638" t="n">
        <v>0</v>
      </c>
      <c r="O638" t="n">
        <v>0</v>
      </c>
      <c r="P638" t="n">
        <v>0</v>
      </c>
      <c r="Q638" t="n">
        <v>0</v>
      </c>
      <c r="R638" s="2" t="inlineStr"/>
    </row>
    <row r="639" ht="15" customHeight="1">
      <c r="A639" t="inlineStr">
        <is>
          <t>A 57324-2022</t>
        </is>
      </c>
      <c r="B639" s="1" t="n">
        <v>44889</v>
      </c>
      <c r="C639" s="1" t="n">
        <v>45510</v>
      </c>
      <c r="D639" t="inlineStr">
        <is>
          <t>VÄSTERBOTTENS LÄN</t>
        </is>
      </c>
      <c r="E639" t="inlineStr">
        <is>
          <t>VILHELMINA</t>
        </is>
      </c>
      <c r="G639" t="n">
        <v>1.7</v>
      </c>
      <c r="H639" t="n">
        <v>0</v>
      </c>
      <c r="I639" t="n">
        <v>0</v>
      </c>
      <c r="J639" t="n">
        <v>0</v>
      </c>
      <c r="K639" t="n">
        <v>0</v>
      </c>
      <c r="L639" t="n">
        <v>0</v>
      </c>
      <c r="M639" t="n">
        <v>0</v>
      </c>
      <c r="N639" t="n">
        <v>0</v>
      </c>
      <c r="O639" t="n">
        <v>0</v>
      </c>
      <c r="P639" t="n">
        <v>0</v>
      </c>
      <c r="Q639" t="n">
        <v>0</v>
      </c>
      <c r="R639" s="2" t="inlineStr"/>
    </row>
    <row r="640" ht="15" customHeight="1">
      <c r="A640" t="inlineStr">
        <is>
          <t>A 57328-2022</t>
        </is>
      </c>
      <c r="B640" s="1" t="n">
        <v>44889</v>
      </c>
      <c r="C640" s="1" t="n">
        <v>45510</v>
      </c>
      <c r="D640" t="inlineStr">
        <is>
          <t>VÄSTERBOTTENS LÄN</t>
        </is>
      </c>
      <c r="E640" t="inlineStr">
        <is>
          <t>VILHELMINA</t>
        </is>
      </c>
      <c r="G640" t="n">
        <v>9.5</v>
      </c>
      <c r="H640" t="n">
        <v>0</v>
      </c>
      <c r="I640" t="n">
        <v>0</v>
      </c>
      <c r="J640" t="n">
        <v>0</v>
      </c>
      <c r="K640" t="n">
        <v>0</v>
      </c>
      <c r="L640" t="n">
        <v>0</v>
      </c>
      <c r="M640" t="n">
        <v>0</v>
      </c>
      <c r="N640" t="n">
        <v>0</v>
      </c>
      <c r="O640" t="n">
        <v>0</v>
      </c>
      <c r="P640" t="n">
        <v>0</v>
      </c>
      <c r="Q640" t="n">
        <v>0</v>
      </c>
      <c r="R640" s="2" t="inlineStr"/>
    </row>
    <row r="641" ht="15" customHeight="1">
      <c r="A641" t="inlineStr">
        <is>
          <t>A 57339-2022</t>
        </is>
      </c>
      <c r="B641" s="1" t="n">
        <v>44889</v>
      </c>
      <c r="C641" s="1" t="n">
        <v>45510</v>
      </c>
      <c r="D641" t="inlineStr">
        <is>
          <t>VÄSTERBOTTENS LÄN</t>
        </is>
      </c>
      <c r="E641" t="inlineStr">
        <is>
          <t>VILHELMINA</t>
        </is>
      </c>
      <c r="G641" t="n">
        <v>33.1</v>
      </c>
      <c r="H641" t="n">
        <v>0</v>
      </c>
      <c r="I641" t="n">
        <v>0</v>
      </c>
      <c r="J641" t="n">
        <v>0</v>
      </c>
      <c r="K641" t="n">
        <v>0</v>
      </c>
      <c r="L641" t="n">
        <v>0</v>
      </c>
      <c r="M641" t="n">
        <v>0</v>
      </c>
      <c r="N641" t="n">
        <v>0</v>
      </c>
      <c r="O641" t="n">
        <v>0</v>
      </c>
      <c r="P641" t="n">
        <v>0</v>
      </c>
      <c r="Q641" t="n">
        <v>0</v>
      </c>
      <c r="R641" s="2" t="inlineStr"/>
    </row>
    <row r="642" ht="15" customHeight="1">
      <c r="A642" t="inlineStr">
        <is>
          <t>A 56408-2022</t>
        </is>
      </c>
      <c r="B642" s="1" t="n">
        <v>44890</v>
      </c>
      <c r="C642" s="1" t="n">
        <v>45510</v>
      </c>
      <c r="D642" t="inlineStr">
        <is>
          <t>VÄSTERBOTTENS LÄN</t>
        </is>
      </c>
      <c r="E642" t="inlineStr">
        <is>
          <t>VILHELMINA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56396-2022</t>
        </is>
      </c>
      <c r="B643" s="1" t="n">
        <v>44890</v>
      </c>
      <c r="C643" s="1" t="n">
        <v>45510</v>
      </c>
      <c r="D643" t="inlineStr">
        <is>
          <t>VÄSTERBOTTENS LÄN</t>
        </is>
      </c>
      <c r="E643" t="inlineStr">
        <is>
          <t>VILHELMINA</t>
        </is>
      </c>
      <c r="G643" t="n">
        <v>1.6</v>
      </c>
      <c r="H643" t="n">
        <v>0</v>
      </c>
      <c r="I643" t="n">
        <v>0</v>
      </c>
      <c r="J643" t="n">
        <v>0</v>
      </c>
      <c r="K643" t="n">
        <v>0</v>
      </c>
      <c r="L643" t="n">
        <v>0</v>
      </c>
      <c r="M643" t="n">
        <v>0</v>
      </c>
      <c r="N643" t="n">
        <v>0</v>
      </c>
      <c r="O643" t="n">
        <v>0</v>
      </c>
      <c r="P643" t="n">
        <v>0</v>
      </c>
      <c r="Q643" t="n">
        <v>0</v>
      </c>
      <c r="R643" s="2" t="inlineStr"/>
    </row>
    <row r="644" ht="15" customHeight="1">
      <c r="A644" t="inlineStr">
        <is>
          <t>A 56405-2022</t>
        </is>
      </c>
      <c r="B644" s="1" t="n">
        <v>44890</v>
      </c>
      <c r="C644" s="1" t="n">
        <v>45510</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56409-2022</t>
        </is>
      </c>
      <c r="B645" s="1" t="n">
        <v>44890</v>
      </c>
      <c r="C645" s="1" t="n">
        <v>45510</v>
      </c>
      <c r="D645" t="inlineStr">
        <is>
          <t>VÄSTERBOTTENS LÄN</t>
        </is>
      </c>
      <c r="E645" t="inlineStr">
        <is>
          <t>VILHELMINA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56407-2022</t>
        </is>
      </c>
      <c r="B646" s="1" t="n">
        <v>44890</v>
      </c>
      <c r="C646" s="1" t="n">
        <v>45510</v>
      </c>
      <c r="D646" t="inlineStr">
        <is>
          <t>VÄSTERBOTTENS LÄN</t>
        </is>
      </c>
      <c r="E646" t="inlineStr">
        <is>
          <t>VILHELMINA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56406-2022</t>
        </is>
      </c>
      <c r="B647" s="1" t="n">
        <v>44890</v>
      </c>
      <c r="C647" s="1" t="n">
        <v>45510</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56733-2022</t>
        </is>
      </c>
      <c r="B648" s="1" t="n">
        <v>44893</v>
      </c>
      <c r="C648" s="1" t="n">
        <v>45510</v>
      </c>
      <c r="D648" t="inlineStr">
        <is>
          <t>VÄSTERBOTTENS LÄN</t>
        </is>
      </c>
      <c r="E648" t="inlineStr">
        <is>
          <t>VILHELMINA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57586-2022</t>
        </is>
      </c>
      <c r="B649" s="1" t="n">
        <v>44896</v>
      </c>
      <c r="C649" s="1" t="n">
        <v>45510</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58938-2022</t>
        </is>
      </c>
      <c r="B650" s="1" t="n">
        <v>44896</v>
      </c>
      <c r="C650" s="1" t="n">
        <v>45510</v>
      </c>
      <c r="D650" t="inlineStr">
        <is>
          <t>VÄSTERBOTTENS LÄN</t>
        </is>
      </c>
      <c r="E650" t="inlineStr">
        <is>
          <t>VILHELMINA</t>
        </is>
      </c>
      <c r="G650" t="n">
        <v>4.1</v>
      </c>
      <c r="H650" t="n">
        <v>0</v>
      </c>
      <c r="I650" t="n">
        <v>0</v>
      </c>
      <c r="J650" t="n">
        <v>0</v>
      </c>
      <c r="K650" t="n">
        <v>0</v>
      </c>
      <c r="L650" t="n">
        <v>0</v>
      </c>
      <c r="M650" t="n">
        <v>0</v>
      </c>
      <c r="N650" t="n">
        <v>0</v>
      </c>
      <c r="O650" t="n">
        <v>0</v>
      </c>
      <c r="P650" t="n">
        <v>0</v>
      </c>
      <c r="Q650" t="n">
        <v>0</v>
      </c>
      <c r="R650" s="2" t="inlineStr"/>
    </row>
    <row r="651" ht="15" customHeight="1">
      <c r="A651" t="inlineStr">
        <is>
          <t>A 58207-2022</t>
        </is>
      </c>
      <c r="B651" s="1" t="n">
        <v>44901</v>
      </c>
      <c r="C651" s="1" t="n">
        <v>45510</v>
      </c>
      <c r="D651" t="inlineStr">
        <is>
          <t>VÄSTERBOTTENS LÄN</t>
        </is>
      </c>
      <c r="E651" t="inlineStr">
        <is>
          <t>VILHELMINA</t>
        </is>
      </c>
      <c r="G651" t="n">
        <v>143.2</v>
      </c>
      <c r="H651" t="n">
        <v>0</v>
      </c>
      <c r="I651" t="n">
        <v>0</v>
      </c>
      <c r="J651" t="n">
        <v>0</v>
      </c>
      <c r="K651" t="n">
        <v>0</v>
      </c>
      <c r="L651" t="n">
        <v>0</v>
      </c>
      <c r="M651" t="n">
        <v>0</v>
      </c>
      <c r="N651" t="n">
        <v>0</v>
      </c>
      <c r="O651" t="n">
        <v>0</v>
      </c>
      <c r="P651" t="n">
        <v>0</v>
      </c>
      <c r="Q651" t="n">
        <v>0</v>
      </c>
      <c r="R651" s="2" t="inlineStr"/>
    </row>
    <row r="652" ht="15" customHeight="1">
      <c r="A652" t="inlineStr">
        <is>
          <t>A 58720-2022</t>
        </is>
      </c>
      <c r="B652" s="1" t="n">
        <v>44902</v>
      </c>
      <c r="C652" s="1" t="n">
        <v>45510</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58739-2022</t>
        </is>
      </c>
      <c r="B653" s="1" t="n">
        <v>44902</v>
      </c>
      <c r="C653" s="1" t="n">
        <v>45510</v>
      </c>
      <c r="D653" t="inlineStr">
        <is>
          <t>VÄSTERBOTTENS LÄN</t>
        </is>
      </c>
      <c r="E653" t="inlineStr">
        <is>
          <t>VILHELMINA</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59030-2022</t>
        </is>
      </c>
      <c r="B654" s="1" t="n">
        <v>44903</v>
      </c>
      <c r="C654" s="1" t="n">
        <v>45510</v>
      </c>
      <c r="D654" t="inlineStr">
        <is>
          <t>VÄSTERBOTTENS LÄN</t>
        </is>
      </c>
      <c r="E654" t="inlineStr">
        <is>
          <t>VILHELMINA</t>
        </is>
      </c>
      <c r="G654" t="n">
        <v>17.8</v>
      </c>
      <c r="H654" t="n">
        <v>0</v>
      </c>
      <c r="I654" t="n">
        <v>0</v>
      </c>
      <c r="J654" t="n">
        <v>0</v>
      </c>
      <c r="K654" t="n">
        <v>0</v>
      </c>
      <c r="L654" t="n">
        <v>0</v>
      </c>
      <c r="M654" t="n">
        <v>0</v>
      </c>
      <c r="N654" t="n">
        <v>0</v>
      </c>
      <c r="O654" t="n">
        <v>0</v>
      </c>
      <c r="P654" t="n">
        <v>0</v>
      </c>
      <c r="Q654" t="n">
        <v>0</v>
      </c>
      <c r="R654" s="2" t="inlineStr"/>
    </row>
    <row r="655" ht="15" customHeight="1">
      <c r="A655" t="inlineStr">
        <is>
          <t>A 60227-2022</t>
        </is>
      </c>
      <c r="B655" s="1" t="n">
        <v>44903</v>
      </c>
      <c r="C655" s="1" t="n">
        <v>45510</v>
      </c>
      <c r="D655" t="inlineStr">
        <is>
          <t>VÄSTERBOTTENS LÄN</t>
        </is>
      </c>
      <c r="E655" t="inlineStr">
        <is>
          <t>VILHELMINA</t>
        </is>
      </c>
      <c r="G655" t="n">
        <v>11</v>
      </c>
      <c r="H655" t="n">
        <v>0</v>
      </c>
      <c r="I655" t="n">
        <v>0</v>
      </c>
      <c r="J655" t="n">
        <v>0</v>
      </c>
      <c r="K655" t="n">
        <v>0</v>
      </c>
      <c r="L655" t="n">
        <v>0</v>
      </c>
      <c r="M655" t="n">
        <v>0</v>
      </c>
      <c r="N655" t="n">
        <v>0</v>
      </c>
      <c r="O655" t="n">
        <v>0</v>
      </c>
      <c r="P655" t="n">
        <v>0</v>
      </c>
      <c r="Q655" t="n">
        <v>0</v>
      </c>
      <c r="R655" s="2" t="inlineStr"/>
    </row>
    <row r="656" ht="15" customHeight="1">
      <c r="A656" t="inlineStr">
        <is>
          <t>A 60137-2022</t>
        </is>
      </c>
      <c r="B656" s="1" t="n">
        <v>44909</v>
      </c>
      <c r="C656" s="1" t="n">
        <v>45510</v>
      </c>
      <c r="D656" t="inlineStr">
        <is>
          <t>VÄSTERBOTTENS LÄN</t>
        </is>
      </c>
      <c r="E656" t="inlineStr">
        <is>
          <t>VILHELMINA</t>
        </is>
      </c>
      <c r="G656" t="n">
        <v>3.2</v>
      </c>
      <c r="H656" t="n">
        <v>0</v>
      </c>
      <c r="I656" t="n">
        <v>0</v>
      </c>
      <c r="J656" t="n">
        <v>0</v>
      </c>
      <c r="K656" t="n">
        <v>0</v>
      </c>
      <c r="L656" t="n">
        <v>0</v>
      </c>
      <c r="M656" t="n">
        <v>0</v>
      </c>
      <c r="N656" t="n">
        <v>0</v>
      </c>
      <c r="O656" t="n">
        <v>0</v>
      </c>
      <c r="P656" t="n">
        <v>0</v>
      </c>
      <c r="Q656" t="n">
        <v>0</v>
      </c>
      <c r="R656" s="2" t="inlineStr"/>
    </row>
    <row r="657" ht="15" customHeight="1">
      <c r="A657" t="inlineStr">
        <is>
          <t>A 61270-2022</t>
        </is>
      </c>
      <c r="B657" s="1" t="n">
        <v>44909</v>
      </c>
      <c r="C657" s="1" t="n">
        <v>45510</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60682-2022</t>
        </is>
      </c>
      <c r="B658" s="1" t="n">
        <v>44911</v>
      </c>
      <c r="C658" s="1" t="n">
        <v>45510</v>
      </c>
      <c r="D658" t="inlineStr">
        <is>
          <t>VÄSTERBOTTENS LÄN</t>
        </is>
      </c>
      <c r="E658" t="inlineStr">
        <is>
          <t>VILHELMINA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60549-2022</t>
        </is>
      </c>
      <c r="B659" s="1" t="n">
        <v>44911</v>
      </c>
      <c r="C659" s="1" t="n">
        <v>45510</v>
      </c>
      <c r="D659" t="inlineStr">
        <is>
          <t>VÄSTERBOTTENS LÄN</t>
        </is>
      </c>
      <c r="E659" t="inlineStr">
        <is>
          <t>VILHELMINA</t>
        </is>
      </c>
      <c r="G659" t="n">
        <v>3.8</v>
      </c>
      <c r="H659" t="n">
        <v>0</v>
      </c>
      <c r="I659" t="n">
        <v>0</v>
      </c>
      <c r="J659" t="n">
        <v>0</v>
      </c>
      <c r="K659" t="n">
        <v>0</v>
      </c>
      <c r="L659" t="n">
        <v>0</v>
      </c>
      <c r="M659" t="n">
        <v>0</v>
      </c>
      <c r="N659" t="n">
        <v>0</v>
      </c>
      <c r="O659" t="n">
        <v>0</v>
      </c>
      <c r="P659" t="n">
        <v>0</v>
      </c>
      <c r="Q659" t="n">
        <v>0</v>
      </c>
      <c r="R659" s="2" t="inlineStr"/>
    </row>
    <row r="660" ht="15" customHeight="1">
      <c r="A660" t="inlineStr">
        <is>
          <t>A 61048-2022</t>
        </is>
      </c>
      <c r="B660" s="1" t="n">
        <v>44914</v>
      </c>
      <c r="C660" s="1" t="n">
        <v>45510</v>
      </c>
      <c r="D660" t="inlineStr">
        <is>
          <t>VÄSTERBOTTENS LÄN</t>
        </is>
      </c>
      <c r="E660" t="inlineStr">
        <is>
          <t>VILHELMINA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61668-2022</t>
        </is>
      </c>
      <c r="B661" s="1" t="n">
        <v>44917</v>
      </c>
      <c r="C661" s="1" t="n">
        <v>45510</v>
      </c>
      <c r="D661" t="inlineStr">
        <is>
          <t>VÄSTERBOTTENS LÄN</t>
        </is>
      </c>
      <c r="E661" t="inlineStr">
        <is>
          <t>VILHELMINA</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61695-2022</t>
        </is>
      </c>
      <c r="B662" s="1" t="n">
        <v>44917</v>
      </c>
      <c r="C662" s="1" t="n">
        <v>45510</v>
      </c>
      <c r="D662" t="inlineStr">
        <is>
          <t>VÄSTERBOTTENS LÄN</t>
        </is>
      </c>
      <c r="E662" t="inlineStr">
        <is>
          <t>VILHELMINA</t>
        </is>
      </c>
      <c r="F662" t="inlineStr">
        <is>
          <t>Sveaskog</t>
        </is>
      </c>
      <c r="G662" t="n">
        <v>7.9</v>
      </c>
      <c r="H662" t="n">
        <v>0</v>
      </c>
      <c r="I662" t="n">
        <v>0</v>
      </c>
      <c r="J662" t="n">
        <v>0</v>
      </c>
      <c r="K662" t="n">
        <v>0</v>
      </c>
      <c r="L662" t="n">
        <v>0</v>
      </c>
      <c r="M662" t="n">
        <v>0</v>
      </c>
      <c r="N662" t="n">
        <v>0</v>
      </c>
      <c r="O662" t="n">
        <v>0</v>
      </c>
      <c r="P662" t="n">
        <v>0</v>
      </c>
      <c r="Q662" t="n">
        <v>0</v>
      </c>
      <c r="R662" s="2" t="inlineStr"/>
    </row>
    <row r="663" ht="15" customHeight="1">
      <c r="A663" t="inlineStr">
        <is>
          <t>A 62630-2022</t>
        </is>
      </c>
      <c r="B663" s="1" t="n">
        <v>44917</v>
      </c>
      <c r="C663" s="1" t="n">
        <v>45510</v>
      </c>
      <c r="D663" t="inlineStr">
        <is>
          <t>VÄSTERBOTTENS LÄN</t>
        </is>
      </c>
      <c r="E663" t="inlineStr">
        <is>
          <t>VILHELMINA</t>
        </is>
      </c>
      <c r="G663" t="n">
        <v>0.9</v>
      </c>
      <c r="H663" t="n">
        <v>0</v>
      </c>
      <c r="I663" t="n">
        <v>0</v>
      </c>
      <c r="J663" t="n">
        <v>0</v>
      </c>
      <c r="K663" t="n">
        <v>0</v>
      </c>
      <c r="L663" t="n">
        <v>0</v>
      </c>
      <c r="M663" t="n">
        <v>0</v>
      </c>
      <c r="N663" t="n">
        <v>0</v>
      </c>
      <c r="O663" t="n">
        <v>0</v>
      </c>
      <c r="P663" t="n">
        <v>0</v>
      </c>
      <c r="Q663" t="n">
        <v>0</v>
      </c>
      <c r="R663" s="2" t="inlineStr"/>
    </row>
    <row r="664" ht="15" customHeight="1">
      <c r="A664" t="inlineStr">
        <is>
          <t>A 62543-2022</t>
        </is>
      </c>
      <c r="B664" s="1" t="n">
        <v>44917</v>
      </c>
      <c r="C664" s="1" t="n">
        <v>45510</v>
      </c>
      <c r="D664" t="inlineStr">
        <is>
          <t>VÄSTERBOTTENS LÄN</t>
        </is>
      </c>
      <c r="E664" t="inlineStr">
        <is>
          <t>VILHELMINA</t>
        </is>
      </c>
      <c r="G664" t="n">
        <v>8.1</v>
      </c>
      <c r="H664" t="n">
        <v>0</v>
      </c>
      <c r="I664" t="n">
        <v>0</v>
      </c>
      <c r="J664" t="n">
        <v>0</v>
      </c>
      <c r="K664" t="n">
        <v>0</v>
      </c>
      <c r="L664" t="n">
        <v>0</v>
      </c>
      <c r="M664" t="n">
        <v>0</v>
      </c>
      <c r="N664" t="n">
        <v>0</v>
      </c>
      <c r="O664" t="n">
        <v>0</v>
      </c>
      <c r="P664" t="n">
        <v>0</v>
      </c>
      <c r="Q664" t="n">
        <v>0</v>
      </c>
      <c r="R664" s="2" t="inlineStr"/>
    </row>
    <row r="665" ht="15" customHeight="1">
      <c r="A665" t="inlineStr">
        <is>
          <t>A 62110-2022</t>
        </is>
      </c>
      <c r="B665" s="1" t="n">
        <v>44920</v>
      </c>
      <c r="C665" s="1" t="n">
        <v>45510</v>
      </c>
      <c r="D665" t="inlineStr">
        <is>
          <t>VÄSTERBOTTENS LÄN</t>
        </is>
      </c>
      <c r="E665" t="inlineStr">
        <is>
          <t>VILHELMINA</t>
        </is>
      </c>
      <c r="G665" t="n">
        <v>4.5</v>
      </c>
      <c r="H665" t="n">
        <v>0</v>
      </c>
      <c r="I665" t="n">
        <v>0</v>
      </c>
      <c r="J665" t="n">
        <v>0</v>
      </c>
      <c r="K665" t="n">
        <v>0</v>
      </c>
      <c r="L665" t="n">
        <v>0</v>
      </c>
      <c r="M665" t="n">
        <v>0</v>
      </c>
      <c r="N665" t="n">
        <v>0</v>
      </c>
      <c r="O665" t="n">
        <v>0</v>
      </c>
      <c r="P665" t="n">
        <v>0</v>
      </c>
      <c r="Q665" t="n">
        <v>0</v>
      </c>
      <c r="R665" s="2" t="inlineStr"/>
    </row>
    <row r="666" ht="15" customHeight="1">
      <c r="A666" t="inlineStr">
        <is>
          <t>A 62404-2022</t>
        </is>
      </c>
      <c r="B666" s="1" t="n">
        <v>44923</v>
      </c>
      <c r="C666" s="1" t="n">
        <v>45510</v>
      </c>
      <c r="D666" t="inlineStr">
        <is>
          <t>VÄSTERBOTTENS LÄN</t>
        </is>
      </c>
      <c r="E666" t="inlineStr">
        <is>
          <t>VILHELMINA</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62405-2022</t>
        </is>
      </c>
      <c r="B667" s="1" t="n">
        <v>44923</v>
      </c>
      <c r="C667" s="1" t="n">
        <v>45510</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402-2023</t>
        </is>
      </c>
      <c r="B668" s="1" t="n">
        <v>44923</v>
      </c>
      <c r="C668" s="1" t="n">
        <v>45510</v>
      </c>
      <c r="D668" t="inlineStr">
        <is>
          <t>VÄSTERBOTTENS LÄN</t>
        </is>
      </c>
      <c r="E668" t="inlineStr">
        <is>
          <t>VILHELMINA</t>
        </is>
      </c>
      <c r="G668" t="n">
        <v>14.7</v>
      </c>
      <c r="H668" t="n">
        <v>0</v>
      </c>
      <c r="I668" t="n">
        <v>0</v>
      </c>
      <c r="J668" t="n">
        <v>0</v>
      </c>
      <c r="K668" t="n">
        <v>0</v>
      </c>
      <c r="L668" t="n">
        <v>0</v>
      </c>
      <c r="M668" t="n">
        <v>0</v>
      </c>
      <c r="N668" t="n">
        <v>0</v>
      </c>
      <c r="O668" t="n">
        <v>0</v>
      </c>
      <c r="P668" t="n">
        <v>0</v>
      </c>
      <c r="Q668" t="n">
        <v>0</v>
      </c>
      <c r="R668" s="2" t="inlineStr"/>
    </row>
    <row r="669" ht="15" customHeight="1">
      <c r="A669" t="inlineStr">
        <is>
          <t>A 288-2023</t>
        </is>
      </c>
      <c r="B669" s="1" t="n">
        <v>44928</v>
      </c>
      <c r="C669" s="1" t="n">
        <v>45510</v>
      </c>
      <c r="D669" t="inlineStr">
        <is>
          <t>VÄSTERBOTTENS LÄN</t>
        </is>
      </c>
      <c r="E669" t="inlineStr">
        <is>
          <t>VILHELMINA</t>
        </is>
      </c>
      <c r="F669" t="inlineStr">
        <is>
          <t>SCA</t>
        </is>
      </c>
      <c r="G669" t="n">
        <v>4.9</v>
      </c>
      <c r="H669" t="n">
        <v>0</v>
      </c>
      <c r="I669" t="n">
        <v>0</v>
      </c>
      <c r="J669" t="n">
        <v>0</v>
      </c>
      <c r="K669" t="n">
        <v>0</v>
      </c>
      <c r="L669" t="n">
        <v>0</v>
      </c>
      <c r="M669" t="n">
        <v>0</v>
      </c>
      <c r="N669" t="n">
        <v>0</v>
      </c>
      <c r="O669" t="n">
        <v>0</v>
      </c>
      <c r="P669" t="n">
        <v>0</v>
      </c>
      <c r="Q669" t="n">
        <v>0</v>
      </c>
      <c r="R669" s="2" t="inlineStr"/>
    </row>
    <row r="670" ht="15" customHeight="1">
      <c r="A670" t="inlineStr">
        <is>
          <t>A 701-2023</t>
        </is>
      </c>
      <c r="B670" s="1" t="n">
        <v>44930</v>
      </c>
      <c r="C670" s="1" t="n">
        <v>45510</v>
      </c>
      <c r="D670" t="inlineStr">
        <is>
          <t>VÄSTERBOTTENS LÄN</t>
        </is>
      </c>
      <c r="E670" t="inlineStr">
        <is>
          <t>VILHELMINA</t>
        </is>
      </c>
      <c r="G670" t="n">
        <v>11.5</v>
      </c>
      <c r="H670" t="n">
        <v>0</v>
      </c>
      <c r="I670" t="n">
        <v>0</v>
      </c>
      <c r="J670" t="n">
        <v>0</v>
      </c>
      <c r="K670" t="n">
        <v>0</v>
      </c>
      <c r="L670" t="n">
        <v>0</v>
      </c>
      <c r="M670" t="n">
        <v>0</v>
      </c>
      <c r="N670" t="n">
        <v>0</v>
      </c>
      <c r="O670" t="n">
        <v>0</v>
      </c>
      <c r="P670" t="n">
        <v>0</v>
      </c>
      <c r="Q670" t="n">
        <v>0</v>
      </c>
      <c r="R670" s="2" t="inlineStr"/>
    </row>
    <row r="671" ht="15" customHeight="1">
      <c r="A671" t="inlineStr">
        <is>
          <t>A 1035-2023</t>
        </is>
      </c>
      <c r="B671" s="1" t="n">
        <v>44935</v>
      </c>
      <c r="C671" s="1" t="n">
        <v>45510</v>
      </c>
      <c r="D671" t="inlineStr">
        <is>
          <t>VÄSTERBOTTENS LÄN</t>
        </is>
      </c>
      <c r="E671" t="inlineStr">
        <is>
          <t>VILHELMINA</t>
        </is>
      </c>
      <c r="G671" t="n">
        <v>10.4</v>
      </c>
      <c r="H671" t="n">
        <v>0</v>
      </c>
      <c r="I671" t="n">
        <v>0</v>
      </c>
      <c r="J671" t="n">
        <v>0</v>
      </c>
      <c r="K671" t="n">
        <v>0</v>
      </c>
      <c r="L671" t="n">
        <v>0</v>
      </c>
      <c r="M671" t="n">
        <v>0</v>
      </c>
      <c r="N671" t="n">
        <v>0</v>
      </c>
      <c r="O671" t="n">
        <v>0</v>
      </c>
      <c r="P671" t="n">
        <v>0</v>
      </c>
      <c r="Q671" t="n">
        <v>0</v>
      </c>
      <c r="R671" s="2" t="inlineStr"/>
    </row>
    <row r="672" ht="15" customHeight="1">
      <c r="A672" t="inlineStr">
        <is>
          <t>A 1776-2023</t>
        </is>
      </c>
      <c r="B672" s="1" t="n">
        <v>44936</v>
      </c>
      <c r="C672" s="1" t="n">
        <v>45510</v>
      </c>
      <c r="D672" t="inlineStr">
        <is>
          <t>VÄSTERBOTTENS LÄN</t>
        </is>
      </c>
      <c r="E672" t="inlineStr">
        <is>
          <t>VILHELMINA</t>
        </is>
      </c>
      <c r="F672" t="inlineStr">
        <is>
          <t>Övriga Aktiebolag</t>
        </is>
      </c>
      <c r="G672" t="n">
        <v>18.4</v>
      </c>
      <c r="H672" t="n">
        <v>0</v>
      </c>
      <c r="I672" t="n">
        <v>0</v>
      </c>
      <c r="J672" t="n">
        <v>0</v>
      </c>
      <c r="K672" t="n">
        <v>0</v>
      </c>
      <c r="L672" t="n">
        <v>0</v>
      </c>
      <c r="M672" t="n">
        <v>0</v>
      </c>
      <c r="N672" t="n">
        <v>0</v>
      </c>
      <c r="O672" t="n">
        <v>0</v>
      </c>
      <c r="P672" t="n">
        <v>0</v>
      </c>
      <c r="Q672" t="n">
        <v>0</v>
      </c>
      <c r="R672" s="2" t="inlineStr"/>
    </row>
    <row r="673" ht="15" customHeight="1">
      <c r="A673" t="inlineStr">
        <is>
          <t>A 1763-2023</t>
        </is>
      </c>
      <c r="B673" s="1" t="n">
        <v>44938</v>
      </c>
      <c r="C673" s="1" t="n">
        <v>45510</v>
      </c>
      <c r="D673" t="inlineStr">
        <is>
          <t>VÄSTERBOTTENS LÄN</t>
        </is>
      </c>
      <c r="E673" t="inlineStr">
        <is>
          <t>VILHELMINA</t>
        </is>
      </c>
      <c r="G673" t="n">
        <v>69.3</v>
      </c>
      <c r="H673" t="n">
        <v>0</v>
      </c>
      <c r="I673" t="n">
        <v>0</v>
      </c>
      <c r="J673" t="n">
        <v>0</v>
      </c>
      <c r="K673" t="n">
        <v>0</v>
      </c>
      <c r="L673" t="n">
        <v>0</v>
      </c>
      <c r="M673" t="n">
        <v>0</v>
      </c>
      <c r="N673" t="n">
        <v>0</v>
      </c>
      <c r="O673" t="n">
        <v>0</v>
      </c>
      <c r="P673" t="n">
        <v>0</v>
      </c>
      <c r="Q673" t="n">
        <v>0</v>
      </c>
      <c r="R673" s="2" t="inlineStr"/>
    </row>
    <row r="674" ht="15" customHeight="1">
      <c r="A674" t="inlineStr">
        <is>
          <t>A 1766-2023</t>
        </is>
      </c>
      <c r="B674" s="1" t="n">
        <v>44938</v>
      </c>
      <c r="C674" s="1" t="n">
        <v>45510</v>
      </c>
      <c r="D674" t="inlineStr">
        <is>
          <t>VÄSTERBOTTENS LÄN</t>
        </is>
      </c>
      <c r="E674" t="inlineStr">
        <is>
          <t>VILHELMINA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2031-2023</t>
        </is>
      </c>
      <c r="B675" s="1" t="n">
        <v>44939</v>
      </c>
      <c r="C675" s="1" t="n">
        <v>45510</v>
      </c>
      <c r="D675" t="inlineStr">
        <is>
          <t>VÄSTERBOTTENS LÄN</t>
        </is>
      </c>
      <c r="E675" t="inlineStr">
        <is>
          <t>VILHELMINA</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2074-2023</t>
        </is>
      </c>
      <c r="B676" s="1" t="n">
        <v>44939</v>
      </c>
      <c r="C676" s="1" t="n">
        <v>45510</v>
      </c>
      <c r="D676" t="inlineStr">
        <is>
          <t>VÄSTERBOTTENS LÄN</t>
        </is>
      </c>
      <c r="E676" t="inlineStr">
        <is>
          <t>VILHELMINA</t>
        </is>
      </c>
      <c r="G676" t="n">
        <v>6.2</v>
      </c>
      <c r="H676" t="n">
        <v>0</v>
      </c>
      <c r="I676" t="n">
        <v>0</v>
      </c>
      <c r="J676" t="n">
        <v>0</v>
      </c>
      <c r="K676" t="n">
        <v>0</v>
      </c>
      <c r="L676" t="n">
        <v>0</v>
      </c>
      <c r="M676" t="n">
        <v>0</v>
      </c>
      <c r="N676" t="n">
        <v>0</v>
      </c>
      <c r="O676" t="n">
        <v>0</v>
      </c>
      <c r="P676" t="n">
        <v>0</v>
      </c>
      <c r="Q676" t="n">
        <v>0</v>
      </c>
      <c r="R676" s="2" t="inlineStr"/>
    </row>
    <row r="677" ht="15" customHeight="1">
      <c r="A677" t="inlineStr">
        <is>
          <t>A 2054-2023</t>
        </is>
      </c>
      <c r="B677" s="1" t="n">
        <v>44939</v>
      </c>
      <c r="C677" s="1" t="n">
        <v>45510</v>
      </c>
      <c r="D677" t="inlineStr">
        <is>
          <t>VÄSTERBOTTENS LÄN</t>
        </is>
      </c>
      <c r="E677" t="inlineStr">
        <is>
          <t>VILHELMINA</t>
        </is>
      </c>
      <c r="F677" t="inlineStr">
        <is>
          <t>Sveaskog</t>
        </is>
      </c>
      <c r="G677" t="n">
        <v>19.2</v>
      </c>
      <c r="H677" t="n">
        <v>0</v>
      </c>
      <c r="I677" t="n">
        <v>0</v>
      </c>
      <c r="J677" t="n">
        <v>0</v>
      </c>
      <c r="K677" t="n">
        <v>0</v>
      </c>
      <c r="L677" t="n">
        <v>0</v>
      </c>
      <c r="M677" t="n">
        <v>0</v>
      </c>
      <c r="N677" t="n">
        <v>0</v>
      </c>
      <c r="O677" t="n">
        <v>0</v>
      </c>
      <c r="P677" t="n">
        <v>0</v>
      </c>
      <c r="Q677" t="n">
        <v>0</v>
      </c>
      <c r="R677" s="2" t="inlineStr"/>
    </row>
    <row r="678" ht="15" customHeight="1">
      <c r="A678" t="inlineStr">
        <is>
          <t>A 2034-2023</t>
        </is>
      </c>
      <c r="B678" s="1" t="n">
        <v>44939</v>
      </c>
      <c r="C678" s="1" t="n">
        <v>45510</v>
      </c>
      <c r="D678" t="inlineStr">
        <is>
          <t>VÄSTERBOTTENS LÄN</t>
        </is>
      </c>
      <c r="E678" t="inlineStr">
        <is>
          <t>VILHELMINA</t>
        </is>
      </c>
      <c r="F678" t="inlineStr">
        <is>
          <t>Sveaskog</t>
        </is>
      </c>
      <c r="G678" t="n">
        <v>6.8</v>
      </c>
      <c r="H678" t="n">
        <v>0</v>
      </c>
      <c r="I678" t="n">
        <v>0</v>
      </c>
      <c r="J678" t="n">
        <v>0</v>
      </c>
      <c r="K678" t="n">
        <v>0</v>
      </c>
      <c r="L678" t="n">
        <v>0</v>
      </c>
      <c r="M678" t="n">
        <v>0</v>
      </c>
      <c r="N678" t="n">
        <v>0</v>
      </c>
      <c r="O678" t="n">
        <v>0</v>
      </c>
      <c r="P678" t="n">
        <v>0</v>
      </c>
      <c r="Q678" t="n">
        <v>0</v>
      </c>
      <c r="R678" s="2" t="inlineStr"/>
    </row>
    <row r="679" ht="15" customHeight="1">
      <c r="A679" t="inlineStr">
        <is>
          <t>A 2125-2023</t>
        </is>
      </c>
      <c r="B679" s="1" t="n">
        <v>44939</v>
      </c>
      <c r="C679" s="1" t="n">
        <v>45510</v>
      </c>
      <c r="D679" t="inlineStr">
        <is>
          <t>VÄSTERBOTTENS LÄN</t>
        </is>
      </c>
      <c r="E679" t="inlineStr">
        <is>
          <t>VILHELMINA</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2043-2023</t>
        </is>
      </c>
      <c r="B680" s="1" t="n">
        <v>44939</v>
      </c>
      <c r="C680" s="1" t="n">
        <v>45510</v>
      </c>
      <c r="D680" t="inlineStr">
        <is>
          <t>VÄSTERBOTTENS LÄN</t>
        </is>
      </c>
      <c r="E680" t="inlineStr">
        <is>
          <t>VILHELMINA</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2123-2023</t>
        </is>
      </c>
      <c r="B681" s="1" t="n">
        <v>44939</v>
      </c>
      <c r="C681" s="1" t="n">
        <v>45510</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2075-2023</t>
        </is>
      </c>
      <c r="B682" s="1" t="n">
        <v>44939</v>
      </c>
      <c r="C682" s="1" t="n">
        <v>45510</v>
      </c>
      <c r="D682" t="inlineStr">
        <is>
          <t>VÄSTERBOTTENS LÄN</t>
        </is>
      </c>
      <c r="E682" t="inlineStr">
        <is>
          <t>VILHELMINA</t>
        </is>
      </c>
      <c r="G682" t="n">
        <v>8</v>
      </c>
      <c r="H682" t="n">
        <v>0</v>
      </c>
      <c r="I682" t="n">
        <v>0</v>
      </c>
      <c r="J682" t="n">
        <v>0</v>
      </c>
      <c r="K682" t="n">
        <v>0</v>
      </c>
      <c r="L682" t="n">
        <v>0</v>
      </c>
      <c r="M682" t="n">
        <v>0</v>
      </c>
      <c r="N682" t="n">
        <v>0</v>
      </c>
      <c r="O682" t="n">
        <v>0</v>
      </c>
      <c r="P682" t="n">
        <v>0</v>
      </c>
      <c r="Q682" t="n">
        <v>0</v>
      </c>
      <c r="R682" s="2" t="inlineStr"/>
    </row>
    <row r="683" ht="15" customHeight="1">
      <c r="A683" t="inlineStr">
        <is>
          <t>A 2082-2023</t>
        </is>
      </c>
      <c r="B683" s="1" t="n">
        <v>44939</v>
      </c>
      <c r="C683" s="1" t="n">
        <v>45510</v>
      </c>
      <c r="D683" t="inlineStr">
        <is>
          <t>VÄSTERBOTTENS LÄN</t>
        </is>
      </c>
      <c r="E683" t="inlineStr">
        <is>
          <t>VILHELMINA</t>
        </is>
      </c>
      <c r="G683" t="n">
        <v>5.5</v>
      </c>
      <c r="H683" t="n">
        <v>0</v>
      </c>
      <c r="I683" t="n">
        <v>0</v>
      </c>
      <c r="J683" t="n">
        <v>0</v>
      </c>
      <c r="K683" t="n">
        <v>0</v>
      </c>
      <c r="L683" t="n">
        <v>0</v>
      </c>
      <c r="M683" t="n">
        <v>0</v>
      </c>
      <c r="N683" t="n">
        <v>0</v>
      </c>
      <c r="O683" t="n">
        <v>0</v>
      </c>
      <c r="P683" t="n">
        <v>0</v>
      </c>
      <c r="Q683" t="n">
        <v>0</v>
      </c>
      <c r="R683" s="2" t="inlineStr"/>
    </row>
    <row r="684" ht="15" customHeight="1">
      <c r="A684" t="inlineStr">
        <is>
          <t>A 2124-2023</t>
        </is>
      </c>
      <c r="B684" s="1" t="n">
        <v>44939</v>
      </c>
      <c r="C684" s="1" t="n">
        <v>45510</v>
      </c>
      <c r="D684" t="inlineStr">
        <is>
          <t>VÄSTERBOTTENS LÄN</t>
        </is>
      </c>
      <c r="E684" t="inlineStr">
        <is>
          <t>VILHELMINA</t>
        </is>
      </c>
      <c r="F684" t="inlineStr">
        <is>
          <t>SCA</t>
        </is>
      </c>
      <c r="G684" t="n">
        <v>28.8</v>
      </c>
      <c r="H684" t="n">
        <v>0</v>
      </c>
      <c r="I684" t="n">
        <v>0</v>
      </c>
      <c r="J684" t="n">
        <v>0</v>
      </c>
      <c r="K684" t="n">
        <v>0</v>
      </c>
      <c r="L684" t="n">
        <v>0</v>
      </c>
      <c r="M684" t="n">
        <v>0</v>
      </c>
      <c r="N684" t="n">
        <v>0</v>
      </c>
      <c r="O684" t="n">
        <v>0</v>
      </c>
      <c r="P684" t="n">
        <v>0</v>
      </c>
      <c r="Q684" t="n">
        <v>0</v>
      </c>
      <c r="R684" s="2" t="inlineStr"/>
    </row>
    <row r="685" ht="15" customHeight="1">
      <c r="A685" t="inlineStr">
        <is>
          <t>A 2122-2023</t>
        </is>
      </c>
      <c r="B685" s="1" t="n">
        <v>44939</v>
      </c>
      <c r="C685" s="1" t="n">
        <v>45510</v>
      </c>
      <c r="D685" t="inlineStr">
        <is>
          <t>VÄSTERBOTTENS LÄN</t>
        </is>
      </c>
      <c r="E685" t="inlineStr">
        <is>
          <t>VILHELMINA</t>
        </is>
      </c>
      <c r="F685" t="inlineStr">
        <is>
          <t>SCA</t>
        </is>
      </c>
      <c r="G685" t="n">
        <v>14.6</v>
      </c>
      <c r="H685" t="n">
        <v>0</v>
      </c>
      <c r="I685" t="n">
        <v>0</v>
      </c>
      <c r="J685" t="n">
        <v>0</v>
      </c>
      <c r="K685" t="n">
        <v>0</v>
      </c>
      <c r="L685" t="n">
        <v>0</v>
      </c>
      <c r="M685" t="n">
        <v>0</v>
      </c>
      <c r="N685" t="n">
        <v>0</v>
      </c>
      <c r="O685" t="n">
        <v>0</v>
      </c>
      <c r="P685" t="n">
        <v>0</v>
      </c>
      <c r="Q685" t="n">
        <v>0</v>
      </c>
      <c r="R685" s="2" t="inlineStr"/>
    </row>
    <row r="686" ht="15" customHeight="1">
      <c r="A686" t="inlineStr">
        <is>
          <t>A 2126-2023</t>
        </is>
      </c>
      <c r="B686" s="1" t="n">
        <v>44939</v>
      </c>
      <c r="C686" s="1" t="n">
        <v>45510</v>
      </c>
      <c r="D686" t="inlineStr">
        <is>
          <t>VÄSTERBOTTENS LÄN</t>
        </is>
      </c>
      <c r="E686" t="inlineStr">
        <is>
          <t>VILHELMINA</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45510</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2360-2023</t>
        </is>
      </c>
      <c r="B688" s="1" t="n">
        <v>44942</v>
      </c>
      <c r="C688" s="1" t="n">
        <v>45510</v>
      </c>
      <c r="D688" t="inlineStr">
        <is>
          <t>VÄSTERBOTTENS LÄN</t>
        </is>
      </c>
      <c r="E688" t="inlineStr">
        <is>
          <t>VILHELMINA</t>
        </is>
      </c>
      <c r="G688" t="n">
        <v>2.7</v>
      </c>
      <c r="H688" t="n">
        <v>0</v>
      </c>
      <c r="I688" t="n">
        <v>0</v>
      </c>
      <c r="J688" t="n">
        <v>0</v>
      </c>
      <c r="K688" t="n">
        <v>0</v>
      </c>
      <c r="L688" t="n">
        <v>0</v>
      </c>
      <c r="M688" t="n">
        <v>0</v>
      </c>
      <c r="N688" t="n">
        <v>0</v>
      </c>
      <c r="O688" t="n">
        <v>0</v>
      </c>
      <c r="P688" t="n">
        <v>0</v>
      </c>
      <c r="Q688" t="n">
        <v>0</v>
      </c>
      <c r="R688" s="2" t="inlineStr"/>
    </row>
    <row r="689" ht="15" customHeight="1">
      <c r="A689" t="inlineStr">
        <is>
          <t>A 2403-2023</t>
        </is>
      </c>
      <c r="B689" s="1" t="n">
        <v>44942</v>
      </c>
      <c r="C689" s="1" t="n">
        <v>45510</v>
      </c>
      <c r="D689" t="inlineStr">
        <is>
          <t>VÄSTERBOTTENS LÄN</t>
        </is>
      </c>
      <c r="E689" t="inlineStr">
        <is>
          <t>VILHELMINA</t>
        </is>
      </c>
      <c r="G689" t="n">
        <v>14.5</v>
      </c>
      <c r="H689" t="n">
        <v>0</v>
      </c>
      <c r="I689" t="n">
        <v>0</v>
      </c>
      <c r="J689" t="n">
        <v>0</v>
      </c>
      <c r="K689" t="n">
        <v>0</v>
      </c>
      <c r="L689" t="n">
        <v>0</v>
      </c>
      <c r="M689" t="n">
        <v>0</v>
      </c>
      <c r="N689" t="n">
        <v>0</v>
      </c>
      <c r="O689" t="n">
        <v>0</v>
      </c>
      <c r="P689" t="n">
        <v>0</v>
      </c>
      <c r="Q689" t="n">
        <v>0</v>
      </c>
      <c r="R689" s="2" t="inlineStr"/>
    </row>
    <row r="690" ht="15" customHeight="1">
      <c r="A690" t="inlineStr">
        <is>
          <t>A 2488-2023</t>
        </is>
      </c>
      <c r="B690" s="1" t="n">
        <v>44943</v>
      </c>
      <c r="C690" s="1" t="n">
        <v>45510</v>
      </c>
      <c r="D690" t="inlineStr">
        <is>
          <t>VÄSTERBOTTENS LÄN</t>
        </is>
      </c>
      <c r="E690" t="inlineStr">
        <is>
          <t>VILHELMINA</t>
        </is>
      </c>
      <c r="G690" t="n">
        <v>69.3</v>
      </c>
      <c r="H690" t="n">
        <v>0</v>
      </c>
      <c r="I690" t="n">
        <v>0</v>
      </c>
      <c r="J690" t="n">
        <v>0</v>
      </c>
      <c r="K690" t="n">
        <v>0</v>
      </c>
      <c r="L690" t="n">
        <v>0</v>
      </c>
      <c r="M690" t="n">
        <v>0</v>
      </c>
      <c r="N690" t="n">
        <v>0</v>
      </c>
      <c r="O690" t="n">
        <v>0</v>
      </c>
      <c r="P690" t="n">
        <v>0</v>
      </c>
      <c r="Q690" t="n">
        <v>0</v>
      </c>
      <c r="R690" s="2" t="inlineStr"/>
    </row>
    <row r="691" ht="15" customHeight="1">
      <c r="A691" t="inlineStr">
        <is>
          <t>A 2742-2023</t>
        </is>
      </c>
      <c r="B691" s="1" t="n">
        <v>44943</v>
      </c>
      <c r="C691" s="1" t="n">
        <v>45510</v>
      </c>
      <c r="D691" t="inlineStr">
        <is>
          <t>VÄSTERBOTTENS LÄN</t>
        </is>
      </c>
      <c r="E691" t="inlineStr">
        <is>
          <t>VILHELMINA</t>
        </is>
      </c>
      <c r="G691" t="n">
        <v>34.8</v>
      </c>
      <c r="H691" t="n">
        <v>0</v>
      </c>
      <c r="I691" t="n">
        <v>0</v>
      </c>
      <c r="J691" t="n">
        <v>0</v>
      </c>
      <c r="K691" t="n">
        <v>0</v>
      </c>
      <c r="L691" t="n">
        <v>0</v>
      </c>
      <c r="M691" t="n">
        <v>0</v>
      </c>
      <c r="N691" t="n">
        <v>0</v>
      </c>
      <c r="O691" t="n">
        <v>0</v>
      </c>
      <c r="P691" t="n">
        <v>0</v>
      </c>
      <c r="Q691" t="n">
        <v>0</v>
      </c>
      <c r="R691" s="2" t="inlineStr"/>
    </row>
    <row r="692" ht="15" customHeight="1">
      <c r="A692" t="inlineStr">
        <is>
          <t>A 2604-2023</t>
        </is>
      </c>
      <c r="B692" s="1" t="n">
        <v>44944</v>
      </c>
      <c r="C692" s="1" t="n">
        <v>45510</v>
      </c>
      <c r="D692" t="inlineStr">
        <is>
          <t>VÄSTERBOTTENS LÄN</t>
        </is>
      </c>
      <c r="E692" t="inlineStr">
        <is>
          <t>VILHELMINA</t>
        </is>
      </c>
      <c r="G692" t="n">
        <v>15.4</v>
      </c>
      <c r="H692" t="n">
        <v>0</v>
      </c>
      <c r="I692" t="n">
        <v>0</v>
      </c>
      <c r="J692" t="n">
        <v>0</v>
      </c>
      <c r="K692" t="n">
        <v>0</v>
      </c>
      <c r="L692" t="n">
        <v>0</v>
      </c>
      <c r="M692" t="n">
        <v>0</v>
      </c>
      <c r="N692" t="n">
        <v>0</v>
      </c>
      <c r="O692" t="n">
        <v>0</v>
      </c>
      <c r="P692" t="n">
        <v>0</v>
      </c>
      <c r="Q692" t="n">
        <v>0</v>
      </c>
      <c r="R692" s="2" t="inlineStr"/>
    </row>
    <row r="693" ht="15" customHeight="1">
      <c r="A693" t="inlineStr">
        <is>
          <t>A 2605-2023</t>
        </is>
      </c>
      <c r="B693" s="1" t="n">
        <v>44944</v>
      </c>
      <c r="C693" s="1" t="n">
        <v>45510</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2820-2023</t>
        </is>
      </c>
      <c r="B694" s="1" t="n">
        <v>44944</v>
      </c>
      <c r="C694" s="1" t="n">
        <v>45510</v>
      </c>
      <c r="D694" t="inlineStr">
        <is>
          <t>VÄSTERBOTTENS LÄN</t>
        </is>
      </c>
      <c r="E694" t="inlineStr">
        <is>
          <t>VILHELMINA</t>
        </is>
      </c>
      <c r="F694" t="inlineStr">
        <is>
          <t>SCA</t>
        </is>
      </c>
      <c r="G694" t="n">
        <v>11.9</v>
      </c>
      <c r="H694" t="n">
        <v>0</v>
      </c>
      <c r="I694" t="n">
        <v>0</v>
      </c>
      <c r="J694" t="n">
        <v>0</v>
      </c>
      <c r="K694" t="n">
        <v>0</v>
      </c>
      <c r="L694" t="n">
        <v>0</v>
      </c>
      <c r="M694" t="n">
        <v>0</v>
      </c>
      <c r="N694" t="n">
        <v>0</v>
      </c>
      <c r="O694" t="n">
        <v>0</v>
      </c>
      <c r="P694" t="n">
        <v>0</v>
      </c>
      <c r="Q694" t="n">
        <v>0</v>
      </c>
      <c r="R694" s="2" t="inlineStr"/>
    </row>
    <row r="695" ht="15" customHeight="1">
      <c r="A695" t="inlineStr">
        <is>
          <t>A 3393-2023</t>
        </is>
      </c>
      <c r="B695" s="1" t="n">
        <v>44945</v>
      </c>
      <c r="C695" s="1" t="n">
        <v>45510</v>
      </c>
      <c r="D695" t="inlineStr">
        <is>
          <t>VÄSTERBOTTENS LÄN</t>
        </is>
      </c>
      <c r="E695" t="inlineStr">
        <is>
          <t>VILHELMINA</t>
        </is>
      </c>
      <c r="G695" t="n">
        <v>3.4</v>
      </c>
      <c r="H695" t="n">
        <v>0</v>
      </c>
      <c r="I695" t="n">
        <v>0</v>
      </c>
      <c r="J695" t="n">
        <v>0</v>
      </c>
      <c r="K695" t="n">
        <v>0</v>
      </c>
      <c r="L695" t="n">
        <v>0</v>
      </c>
      <c r="M695" t="n">
        <v>0</v>
      </c>
      <c r="N695" t="n">
        <v>0</v>
      </c>
      <c r="O695" t="n">
        <v>0</v>
      </c>
      <c r="P695" t="n">
        <v>0</v>
      </c>
      <c r="Q695" t="n">
        <v>0</v>
      </c>
      <c r="R695" s="2" t="inlineStr"/>
    </row>
    <row r="696" ht="15" customHeight="1">
      <c r="A696" t="inlineStr">
        <is>
          <t>A 3745-2023</t>
        </is>
      </c>
      <c r="B696" s="1" t="n">
        <v>44949</v>
      </c>
      <c r="C696" s="1" t="n">
        <v>45510</v>
      </c>
      <c r="D696" t="inlineStr">
        <is>
          <t>VÄSTERBOTTENS LÄN</t>
        </is>
      </c>
      <c r="E696" t="inlineStr">
        <is>
          <t>VILHELMINA</t>
        </is>
      </c>
      <c r="G696" t="n">
        <v>36.6</v>
      </c>
      <c r="H696" t="n">
        <v>0</v>
      </c>
      <c r="I696" t="n">
        <v>0</v>
      </c>
      <c r="J696" t="n">
        <v>0</v>
      </c>
      <c r="K696" t="n">
        <v>0</v>
      </c>
      <c r="L696" t="n">
        <v>0</v>
      </c>
      <c r="M696" t="n">
        <v>0</v>
      </c>
      <c r="N696" t="n">
        <v>0</v>
      </c>
      <c r="O696" t="n">
        <v>0</v>
      </c>
      <c r="P696" t="n">
        <v>0</v>
      </c>
      <c r="Q696" t="n">
        <v>0</v>
      </c>
      <c r="R696" s="2" t="inlineStr"/>
    </row>
    <row r="697" ht="15" customHeight="1">
      <c r="A697" t="inlineStr">
        <is>
          <t>A 4344-2023</t>
        </is>
      </c>
      <c r="B697" s="1" t="n">
        <v>44954</v>
      </c>
      <c r="C697" s="1" t="n">
        <v>45510</v>
      </c>
      <c r="D697" t="inlineStr">
        <is>
          <t>VÄSTERBOTTENS LÄN</t>
        </is>
      </c>
      <c r="E697" t="inlineStr">
        <is>
          <t>VILHELMINA</t>
        </is>
      </c>
      <c r="F697" t="inlineStr">
        <is>
          <t>SCA</t>
        </is>
      </c>
      <c r="G697" t="n">
        <v>20.9</v>
      </c>
      <c r="H697" t="n">
        <v>0</v>
      </c>
      <c r="I697" t="n">
        <v>0</v>
      </c>
      <c r="J697" t="n">
        <v>0</v>
      </c>
      <c r="K697" t="n">
        <v>0</v>
      </c>
      <c r="L697" t="n">
        <v>0</v>
      </c>
      <c r="M697" t="n">
        <v>0</v>
      </c>
      <c r="N697" t="n">
        <v>0</v>
      </c>
      <c r="O697" t="n">
        <v>0</v>
      </c>
      <c r="P697" t="n">
        <v>0</v>
      </c>
      <c r="Q697" t="n">
        <v>0</v>
      </c>
      <c r="R697" s="2" t="inlineStr"/>
    </row>
    <row r="698" ht="15" customHeight="1">
      <c r="A698" t="inlineStr">
        <is>
          <t>A 4373-2023</t>
        </is>
      </c>
      <c r="B698" s="1" t="n">
        <v>44955</v>
      </c>
      <c r="C698" s="1" t="n">
        <v>45510</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4919-2023</t>
        </is>
      </c>
      <c r="B699" s="1" t="n">
        <v>44956</v>
      </c>
      <c r="C699" s="1" t="n">
        <v>45510</v>
      </c>
      <c r="D699" t="inlineStr">
        <is>
          <t>VÄSTERBOTTENS LÄN</t>
        </is>
      </c>
      <c r="E699" t="inlineStr">
        <is>
          <t>VILHELMINA</t>
        </is>
      </c>
      <c r="G699" t="n">
        <v>35</v>
      </c>
      <c r="H699" t="n">
        <v>0</v>
      </c>
      <c r="I699" t="n">
        <v>0</v>
      </c>
      <c r="J699" t="n">
        <v>0</v>
      </c>
      <c r="K699" t="n">
        <v>0</v>
      </c>
      <c r="L699" t="n">
        <v>0</v>
      </c>
      <c r="M699" t="n">
        <v>0</v>
      </c>
      <c r="N699" t="n">
        <v>0</v>
      </c>
      <c r="O699" t="n">
        <v>0</v>
      </c>
      <c r="P699" t="n">
        <v>0</v>
      </c>
      <c r="Q699" t="n">
        <v>0</v>
      </c>
      <c r="R699" s="2" t="inlineStr"/>
    </row>
    <row r="700" ht="15" customHeight="1">
      <c r="A700" t="inlineStr">
        <is>
          <t>A 5301-2023</t>
        </is>
      </c>
      <c r="B700" s="1" t="n">
        <v>44956</v>
      </c>
      <c r="C700" s="1" t="n">
        <v>45510</v>
      </c>
      <c r="D700" t="inlineStr">
        <is>
          <t>VÄSTERBOTTENS LÄN</t>
        </is>
      </c>
      <c r="E700" t="inlineStr">
        <is>
          <t>VILHELMINA</t>
        </is>
      </c>
      <c r="G700" t="n">
        <v>16</v>
      </c>
      <c r="H700" t="n">
        <v>0</v>
      </c>
      <c r="I700" t="n">
        <v>0</v>
      </c>
      <c r="J700" t="n">
        <v>0</v>
      </c>
      <c r="K700" t="n">
        <v>0</v>
      </c>
      <c r="L700" t="n">
        <v>0</v>
      </c>
      <c r="M700" t="n">
        <v>0</v>
      </c>
      <c r="N700" t="n">
        <v>0</v>
      </c>
      <c r="O700" t="n">
        <v>0</v>
      </c>
      <c r="P700" t="n">
        <v>0</v>
      </c>
      <c r="Q700" t="n">
        <v>0</v>
      </c>
      <c r="R700" s="2" t="inlineStr"/>
    </row>
    <row r="701" ht="15" customHeight="1">
      <c r="A701" t="inlineStr">
        <is>
          <t>A 5297-2023</t>
        </is>
      </c>
      <c r="B701" s="1" t="n">
        <v>44956</v>
      </c>
      <c r="C701" s="1" t="n">
        <v>45510</v>
      </c>
      <c r="D701" t="inlineStr">
        <is>
          <t>VÄSTERBOTTENS LÄN</t>
        </is>
      </c>
      <c r="E701" t="inlineStr">
        <is>
          <t>VILHELMINA</t>
        </is>
      </c>
      <c r="G701" t="n">
        <v>10.7</v>
      </c>
      <c r="H701" t="n">
        <v>0</v>
      </c>
      <c r="I701" t="n">
        <v>0</v>
      </c>
      <c r="J701" t="n">
        <v>0</v>
      </c>
      <c r="K701" t="n">
        <v>0</v>
      </c>
      <c r="L701" t="n">
        <v>0</v>
      </c>
      <c r="M701" t="n">
        <v>0</v>
      </c>
      <c r="N701" t="n">
        <v>0</v>
      </c>
      <c r="O701" t="n">
        <v>0</v>
      </c>
      <c r="P701" t="n">
        <v>0</v>
      </c>
      <c r="Q701" t="n">
        <v>0</v>
      </c>
      <c r="R701" s="2" t="inlineStr"/>
    </row>
    <row r="702" ht="15" customHeight="1">
      <c r="A702" t="inlineStr">
        <is>
          <t>A 4869-2023</t>
        </is>
      </c>
      <c r="B702" s="1" t="n">
        <v>44957</v>
      </c>
      <c r="C702" s="1" t="n">
        <v>45510</v>
      </c>
      <c r="D702" t="inlineStr">
        <is>
          <t>VÄSTERBOTTENS LÄN</t>
        </is>
      </c>
      <c r="E702" t="inlineStr">
        <is>
          <t>VILHELMINA</t>
        </is>
      </c>
      <c r="G702" t="n">
        <v>5.7</v>
      </c>
      <c r="H702" t="n">
        <v>0</v>
      </c>
      <c r="I702" t="n">
        <v>0</v>
      </c>
      <c r="J702" t="n">
        <v>0</v>
      </c>
      <c r="K702" t="n">
        <v>0</v>
      </c>
      <c r="L702" t="n">
        <v>0</v>
      </c>
      <c r="M702" t="n">
        <v>0</v>
      </c>
      <c r="N702" t="n">
        <v>0</v>
      </c>
      <c r="O702" t="n">
        <v>0</v>
      </c>
      <c r="P702" t="n">
        <v>0</v>
      </c>
      <c r="Q702" t="n">
        <v>0</v>
      </c>
      <c r="R702" s="2" t="inlineStr"/>
    </row>
    <row r="703" ht="15" customHeight="1">
      <c r="A703" t="inlineStr">
        <is>
          <t>A 5713-2023</t>
        </is>
      </c>
      <c r="B703" s="1" t="n">
        <v>44960</v>
      </c>
      <c r="C703" s="1" t="n">
        <v>45510</v>
      </c>
      <c r="D703" t="inlineStr">
        <is>
          <t>VÄSTERBOTTENS LÄN</t>
        </is>
      </c>
      <c r="E703" t="inlineStr">
        <is>
          <t>VILHELMINA</t>
        </is>
      </c>
      <c r="F703" t="inlineStr">
        <is>
          <t>SCA</t>
        </is>
      </c>
      <c r="G703" t="n">
        <v>33.2</v>
      </c>
      <c r="H703" t="n">
        <v>0</v>
      </c>
      <c r="I703" t="n">
        <v>0</v>
      </c>
      <c r="J703" t="n">
        <v>0</v>
      </c>
      <c r="K703" t="n">
        <v>0</v>
      </c>
      <c r="L703" t="n">
        <v>0</v>
      </c>
      <c r="M703" t="n">
        <v>0</v>
      </c>
      <c r="N703" t="n">
        <v>0</v>
      </c>
      <c r="O703" t="n">
        <v>0</v>
      </c>
      <c r="P703" t="n">
        <v>0</v>
      </c>
      <c r="Q703" t="n">
        <v>0</v>
      </c>
      <c r="R703" s="2" t="inlineStr"/>
    </row>
    <row r="704" ht="15" customHeight="1">
      <c r="A704" t="inlineStr">
        <is>
          <t>A 5697-2023</t>
        </is>
      </c>
      <c r="B704" s="1" t="n">
        <v>44960</v>
      </c>
      <c r="C704" s="1" t="n">
        <v>45510</v>
      </c>
      <c r="D704" t="inlineStr">
        <is>
          <t>VÄSTERBOTTENS LÄN</t>
        </is>
      </c>
      <c r="E704" t="inlineStr">
        <is>
          <t>VILHELMINA</t>
        </is>
      </c>
      <c r="F704" t="inlineStr">
        <is>
          <t>SCA</t>
        </is>
      </c>
      <c r="G704" t="n">
        <v>15.9</v>
      </c>
      <c r="H704" t="n">
        <v>0</v>
      </c>
      <c r="I704" t="n">
        <v>0</v>
      </c>
      <c r="J704" t="n">
        <v>0</v>
      </c>
      <c r="K704" t="n">
        <v>0</v>
      </c>
      <c r="L704" t="n">
        <v>0</v>
      </c>
      <c r="M704" t="n">
        <v>0</v>
      </c>
      <c r="N704" t="n">
        <v>0</v>
      </c>
      <c r="O704" t="n">
        <v>0</v>
      </c>
      <c r="P704" t="n">
        <v>0</v>
      </c>
      <c r="Q704" t="n">
        <v>0</v>
      </c>
      <c r="R704" s="2" t="inlineStr"/>
    </row>
    <row r="705" ht="15" customHeight="1">
      <c r="A705" t="inlineStr">
        <is>
          <t>A 5699-2023</t>
        </is>
      </c>
      <c r="B705" s="1" t="n">
        <v>44960</v>
      </c>
      <c r="C705" s="1" t="n">
        <v>45510</v>
      </c>
      <c r="D705" t="inlineStr">
        <is>
          <t>VÄSTERBOTTENS LÄN</t>
        </is>
      </c>
      <c r="E705" t="inlineStr">
        <is>
          <t>VILHELMINA</t>
        </is>
      </c>
      <c r="F705" t="inlineStr">
        <is>
          <t>SCA</t>
        </is>
      </c>
      <c r="G705" t="n">
        <v>104.8</v>
      </c>
      <c r="H705" t="n">
        <v>0</v>
      </c>
      <c r="I705" t="n">
        <v>0</v>
      </c>
      <c r="J705" t="n">
        <v>0</v>
      </c>
      <c r="K705" t="n">
        <v>0</v>
      </c>
      <c r="L705" t="n">
        <v>0</v>
      </c>
      <c r="M705" t="n">
        <v>0</v>
      </c>
      <c r="N705" t="n">
        <v>0</v>
      </c>
      <c r="O705" t="n">
        <v>0</v>
      </c>
      <c r="P705" t="n">
        <v>0</v>
      </c>
      <c r="Q705" t="n">
        <v>0</v>
      </c>
      <c r="R705" s="2" t="inlineStr"/>
    </row>
    <row r="706" ht="15" customHeight="1">
      <c r="A706" t="inlineStr">
        <is>
          <t>A 5712-2023</t>
        </is>
      </c>
      <c r="B706" s="1" t="n">
        <v>44960</v>
      </c>
      <c r="C706" s="1" t="n">
        <v>45510</v>
      </c>
      <c r="D706" t="inlineStr">
        <is>
          <t>VÄSTERBOTTENS LÄN</t>
        </is>
      </c>
      <c r="E706" t="inlineStr">
        <is>
          <t>VILHELMINA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6616-2023</t>
        </is>
      </c>
      <c r="B707" s="1" t="n">
        <v>44960</v>
      </c>
      <c r="C707" s="1" t="n">
        <v>45510</v>
      </c>
      <c r="D707" t="inlineStr">
        <is>
          <t>VÄSTERBOTTENS LÄN</t>
        </is>
      </c>
      <c r="E707" t="inlineStr">
        <is>
          <t>VILHELMINA</t>
        </is>
      </c>
      <c r="G707" t="n">
        <v>1.5</v>
      </c>
      <c r="H707" t="n">
        <v>0</v>
      </c>
      <c r="I707" t="n">
        <v>0</v>
      </c>
      <c r="J707" t="n">
        <v>0</v>
      </c>
      <c r="K707" t="n">
        <v>0</v>
      </c>
      <c r="L707" t="n">
        <v>0</v>
      </c>
      <c r="M707" t="n">
        <v>0</v>
      </c>
      <c r="N707" t="n">
        <v>0</v>
      </c>
      <c r="O707" t="n">
        <v>0</v>
      </c>
      <c r="P707" t="n">
        <v>0</v>
      </c>
      <c r="Q707" t="n">
        <v>0</v>
      </c>
      <c r="R707" s="2" t="inlineStr"/>
    </row>
    <row r="708" ht="15" customHeight="1">
      <c r="A708" t="inlineStr">
        <is>
          <t>A 6610-2023</t>
        </is>
      </c>
      <c r="B708" s="1" t="n">
        <v>44960</v>
      </c>
      <c r="C708" s="1" t="n">
        <v>45510</v>
      </c>
      <c r="D708" t="inlineStr">
        <is>
          <t>VÄSTERBOTTENS LÄN</t>
        </is>
      </c>
      <c r="E708" t="inlineStr">
        <is>
          <t>VILHELMINA</t>
        </is>
      </c>
      <c r="G708" t="n">
        <v>3.4</v>
      </c>
      <c r="H708" t="n">
        <v>0</v>
      </c>
      <c r="I708" t="n">
        <v>0</v>
      </c>
      <c r="J708" t="n">
        <v>0</v>
      </c>
      <c r="K708" t="n">
        <v>0</v>
      </c>
      <c r="L708" t="n">
        <v>0</v>
      </c>
      <c r="M708" t="n">
        <v>0</v>
      </c>
      <c r="N708" t="n">
        <v>0</v>
      </c>
      <c r="O708" t="n">
        <v>0</v>
      </c>
      <c r="P708" t="n">
        <v>0</v>
      </c>
      <c r="Q708" t="n">
        <v>0</v>
      </c>
      <c r="R708" s="2" t="inlineStr"/>
    </row>
    <row r="709" ht="15" customHeight="1">
      <c r="A709" t="inlineStr">
        <is>
          <t>A 5955-2023</t>
        </is>
      </c>
      <c r="B709" s="1" t="n">
        <v>44963</v>
      </c>
      <c r="C709" s="1" t="n">
        <v>45510</v>
      </c>
      <c r="D709" t="inlineStr">
        <is>
          <t>VÄSTERBOTTENS LÄN</t>
        </is>
      </c>
      <c r="E709" t="inlineStr">
        <is>
          <t>VILHELMINA</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5947-2023</t>
        </is>
      </c>
      <c r="B710" s="1" t="n">
        <v>44963</v>
      </c>
      <c r="C710" s="1" t="n">
        <v>45510</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8215-2023</t>
        </is>
      </c>
      <c r="B711" s="1" t="n">
        <v>44971</v>
      </c>
      <c r="C711" s="1" t="n">
        <v>45510</v>
      </c>
      <c r="D711" t="inlineStr">
        <is>
          <t>VÄSTERBOTTENS LÄN</t>
        </is>
      </c>
      <c r="E711" t="inlineStr">
        <is>
          <t>VILHELMINA</t>
        </is>
      </c>
      <c r="G711" t="n">
        <v>0.8</v>
      </c>
      <c r="H711" t="n">
        <v>0</v>
      </c>
      <c r="I711" t="n">
        <v>0</v>
      </c>
      <c r="J711" t="n">
        <v>0</v>
      </c>
      <c r="K711" t="n">
        <v>0</v>
      </c>
      <c r="L711" t="n">
        <v>0</v>
      </c>
      <c r="M711" t="n">
        <v>0</v>
      </c>
      <c r="N711" t="n">
        <v>0</v>
      </c>
      <c r="O711" t="n">
        <v>0</v>
      </c>
      <c r="P711" t="n">
        <v>0</v>
      </c>
      <c r="Q711" t="n">
        <v>0</v>
      </c>
      <c r="R711" s="2" t="inlineStr"/>
    </row>
    <row r="712" ht="15" customHeight="1">
      <c r="A712" t="inlineStr">
        <is>
          <t>A 8555-2023</t>
        </is>
      </c>
      <c r="B712" s="1" t="n">
        <v>44972</v>
      </c>
      <c r="C712" s="1" t="n">
        <v>45510</v>
      </c>
      <c r="D712" t="inlineStr">
        <is>
          <t>VÄSTERBOTTENS LÄN</t>
        </is>
      </c>
      <c r="E712" t="inlineStr">
        <is>
          <t>VILHELMINA</t>
        </is>
      </c>
      <c r="F712" t="inlineStr">
        <is>
          <t>Allmännings- och besparingsskogar</t>
        </is>
      </c>
      <c r="G712" t="n">
        <v>37.9</v>
      </c>
      <c r="H712" t="n">
        <v>0</v>
      </c>
      <c r="I712" t="n">
        <v>0</v>
      </c>
      <c r="J712" t="n">
        <v>0</v>
      </c>
      <c r="K712" t="n">
        <v>0</v>
      </c>
      <c r="L712" t="n">
        <v>0</v>
      </c>
      <c r="M712" t="n">
        <v>0</v>
      </c>
      <c r="N712" t="n">
        <v>0</v>
      </c>
      <c r="O712" t="n">
        <v>0</v>
      </c>
      <c r="P712" t="n">
        <v>0</v>
      </c>
      <c r="Q712" t="n">
        <v>0</v>
      </c>
      <c r="R712" s="2" t="inlineStr"/>
    </row>
    <row r="713" ht="15" customHeight="1">
      <c r="A713" t="inlineStr">
        <is>
          <t>A 8745-2023</t>
        </is>
      </c>
      <c r="B713" s="1" t="n">
        <v>44972</v>
      </c>
      <c r="C713" s="1" t="n">
        <v>45510</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8759-2023</t>
        </is>
      </c>
      <c r="B714" s="1" t="n">
        <v>44972</v>
      </c>
      <c r="C714" s="1" t="n">
        <v>45510</v>
      </c>
      <c r="D714" t="inlineStr">
        <is>
          <t>VÄSTERBOTTENS LÄN</t>
        </is>
      </c>
      <c r="E714" t="inlineStr">
        <is>
          <t>VILHELMINA</t>
        </is>
      </c>
      <c r="F714" t="inlineStr">
        <is>
          <t>Allmännings- och besparingsskogar</t>
        </is>
      </c>
      <c r="G714" t="n">
        <v>23.4</v>
      </c>
      <c r="H714" t="n">
        <v>0</v>
      </c>
      <c r="I714" t="n">
        <v>0</v>
      </c>
      <c r="J714" t="n">
        <v>0</v>
      </c>
      <c r="K714" t="n">
        <v>0</v>
      </c>
      <c r="L714" t="n">
        <v>0</v>
      </c>
      <c r="M714" t="n">
        <v>0</v>
      </c>
      <c r="N714" t="n">
        <v>0</v>
      </c>
      <c r="O714" t="n">
        <v>0</v>
      </c>
      <c r="P714" t="n">
        <v>0</v>
      </c>
      <c r="Q714" t="n">
        <v>0</v>
      </c>
      <c r="R714" s="2" t="inlineStr"/>
    </row>
    <row r="715" ht="15" customHeight="1">
      <c r="A715" t="inlineStr">
        <is>
          <t>A 8733-2023</t>
        </is>
      </c>
      <c r="B715" s="1" t="n">
        <v>44972</v>
      </c>
      <c r="C715" s="1" t="n">
        <v>45510</v>
      </c>
      <c r="D715" t="inlineStr">
        <is>
          <t>VÄSTERBOTTENS LÄN</t>
        </is>
      </c>
      <c r="E715" t="inlineStr">
        <is>
          <t>VILHELMINA</t>
        </is>
      </c>
      <c r="F715" t="inlineStr">
        <is>
          <t>Allmännings- och besparingsskogar</t>
        </is>
      </c>
      <c r="G715" t="n">
        <v>19</v>
      </c>
      <c r="H715" t="n">
        <v>0</v>
      </c>
      <c r="I715" t="n">
        <v>0</v>
      </c>
      <c r="J715" t="n">
        <v>0</v>
      </c>
      <c r="K715" t="n">
        <v>0</v>
      </c>
      <c r="L715" t="n">
        <v>0</v>
      </c>
      <c r="M715" t="n">
        <v>0</v>
      </c>
      <c r="N715" t="n">
        <v>0</v>
      </c>
      <c r="O715" t="n">
        <v>0</v>
      </c>
      <c r="P715" t="n">
        <v>0</v>
      </c>
      <c r="Q715" t="n">
        <v>0</v>
      </c>
      <c r="R715" s="2" t="inlineStr"/>
    </row>
    <row r="716" ht="15" customHeight="1">
      <c r="A716" t="inlineStr">
        <is>
          <t>A 8726-2023</t>
        </is>
      </c>
      <c r="B716" s="1" t="n">
        <v>44972</v>
      </c>
      <c r="C716" s="1" t="n">
        <v>45510</v>
      </c>
      <c r="D716" t="inlineStr">
        <is>
          <t>VÄSTERBOTTENS LÄN</t>
        </is>
      </c>
      <c r="E716" t="inlineStr">
        <is>
          <t>VILHELMINA</t>
        </is>
      </c>
      <c r="F716" t="inlineStr">
        <is>
          <t>Allmännings- och besparingsskogar</t>
        </is>
      </c>
      <c r="G716" t="n">
        <v>48.5</v>
      </c>
      <c r="H716" t="n">
        <v>0</v>
      </c>
      <c r="I716" t="n">
        <v>0</v>
      </c>
      <c r="J716" t="n">
        <v>0</v>
      </c>
      <c r="K716" t="n">
        <v>0</v>
      </c>
      <c r="L716" t="n">
        <v>0</v>
      </c>
      <c r="M716" t="n">
        <v>0</v>
      </c>
      <c r="N716" t="n">
        <v>0</v>
      </c>
      <c r="O716" t="n">
        <v>0</v>
      </c>
      <c r="P716" t="n">
        <v>0</v>
      </c>
      <c r="Q716" t="n">
        <v>0</v>
      </c>
      <c r="R716" s="2" t="inlineStr"/>
    </row>
    <row r="717" ht="15" customHeight="1">
      <c r="A717" t="inlineStr">
        <is>
          <t>A 8908-2023</t>
        </is>
      </c>
      <c r="B717" s="1" t="n">
        <v>44972</v>
      </c>
      <c r="C717" s="1" t="n">
        <v>45510</v>
      </c>
      <c r="D717" t="inlineStr">
        <is>
          <t>VÄSTERBOTTENS LÄN</t>
        </is>
      </c>
      <c r="E717" t="inlineStr">
        <is>
          <t>VILHELMINA</t>
        </is>
      </c>
      <c r="F717" t="inlineStr">
        <is>
          <t>Allmännings- och besparingsskogar</t>
        </is>
      </c>
      <c r="G717" t="n">
        <v>22.3</v>
      </c>
      <c r="H717" t="n">
        <v>0</v>
      </c>
      <c r="I717" t="n">
        <v>0</v>
      </c>
      <c r="J717" t="n">
        <v>0</v>
      </c>
      <c r="K717" t="n">
        <v>0</v>
      </c>
      <c r="L717" t="n">
        <v>0</v>
      </c>
      <c r="M717" t="n">
        <v>0</v>
      </c>
      <c r="N717" t="n">
        <v>0</v>
      </c>
      <c r="O717" t="n">
        <v>0</v>
      </c>
      <c r="P717" t="n">
        <v>0</v>
      </c>
      <c r="Q717" t="n">
        <v>0</v>
      </c>
      <c r="R717" s="2" t="inlineStr"/>
    </row>
    <row r="718" ht="15" customHeight="1">
      <c r="A718" t="inlineStr">
        <is>
          <t>A 9181-2023</t>
        </is>
      </c>
      <c r="B718" s="1" t="n">
        <v>44972</v>
      </c>
      <c r="C718" s="1" t="n">
        <v>45510</v>
      </c>
      <c r="D718" t="inlineStr">
        <is>
          <t>VÄSTERBOTTENS LÄN</t>
        </is>
      </c>
      <c r="E718" t="inlineStr">
        <is>
          <t>VILHELMINA</t>
        </is>
      </c>
      <c r="F718" t="inlineStr">
        <is>
          <t>Allmännings- och besparingsskogar</t>
        </is>
      </c>
      <c r="G718" t="n">
        <v>213.9</v>
      </c>
      <c r="H718" t="n">
        <v>0</v>
      </c>
      <c r="I718" t="n">
        <v>0</v>
      </c>
      <c r="J718" t="n">
        <v>0</v>
      </c>
      <c r="K718" t="n">
        <v>0</v>
      </c>
      <c r="L718" t="n">
        <v>0</v>
      </c>
      <c r="M718" t="n">
        <v>0</v>
      </c>
      <c r="N718" t="n">
        <v>0</v>
      </c>
      <c r="O718" t="n">
        <v>0</v>
      </c>
      <c r="P718" t="n">
        <v>0</v>
      </c>
      <c r="Q718" t="n">
        <v>0</v>
      </c>
      <c r="R718" s="2" t="inlineStr"/>
    </row>
    <row r="719" ht="15" customHeight="1">
      <c r="A719" t="inlineStr">
        <is>
          <t>A 9170-2023</t>
        </is>
      </c>
      <c r="B719" s="1" t="n">
        <v>44972</v>
      </c>
      <c r="C719" s="1" t="n">
        <v>45510</v>
      </c>
      <c r="D719" t="inlineStr">
        <is>
          <t>VÄSTERBOTTENS LÄN</t>
        </is>
      </c>
      <c r="E719" t="inlineStr">
        <is>
          <t>VILHELMINA</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8916-2023</t>
        </is>
      </c>
      <c r="B720" s="1" t="n">
        <v>44972</v>
      </c>
      <c r="C720" s="1" t="n">
        <v>45510</v>
      </c>
      <c r="D720" t="inlineStr">
        <is>
          <t>VÄSTERBOTTENS LÄN</t>
        </is>
      </c>
      <c r="E720" t="inlineStr">
        <is>
          <t>VILHELMINA</t>
        </is>
      </c>
      <c r="F720" t="inlineStr">
        <is>
          <t>Allmännings- och besparingsskogar</t>
        </is>
      </c>
      <c r="G720" t="n">
        <v>20.9</v>
      </c>
      <c r="H720" t="n">
        <v>0</v>
      </c>
      <c r="I720" t="n">
        <v>0</v>
      </c>
      <c r="J720" t="n">
        <v>0</v>
      </c>
      <c r="K720" t="n">
        <v>0</v>
      </c>
      <c r="L720" t="n">
        <v>0</v>
      </c>
      <c r="M720" t="n">
        <v>0</v>
      </c>
      <c r="N720" t="n">
        <v>0</v>
      </c>
      <c r="O720" t="n">
        <v>0</v>
      </c>
      <c r="P720" t="n">
        <v>0</v>
      </c>
      <c r="Q720" t="n">
        <v>0</v>
      </c>
      <c r="R720" s="2" t="inlineStr"/>
    </row>
    <row r="721" ht="15" customHeight="1">
      <c r="A721" t="inlineStr">
        <is>
          <t>A 9185-2023</t>
        </is>
      </c>
      <c r="B721" s="1" t="n">
        <v>44972</v>
      </c>
      <c r="C721" s="1" t="n">
        <v>45510</v>
      </c>
      <c r="D721" t="inlineStr">
        <is>
          <t>VÄSTERBOTTENS LÄN</t>
        </is>
      </c>
      <c r="E721" t="inlineStr">
        <is>
          <t>VILHELMINA</t>
        </is>
      </c>
      <c r="F721" t="inlineStr">
        <is>
          <t>Allmännings- och besparingsskogar</t>
        </is>
      </c>
      <c r="G721" t="n">
        <v>4.1</v>
      </c>
      <c r="H721" t="n">
        <v>0</v>
      </c>
      <c r="I721" t="n">
        <v>0</v>
      </c>
      <c r="J721" t="n">
        <v>0</v>
      </c>
      <c r="K721" t="n">
        <v>0</v>
      </c>
      <c r="L721" t="n">
        <v>0</v>
      </c>
      <c r="M721" t="n">
        <v>0</v>
      </c>
      <c r="N721" t="n">
        <v>0</v>
      </c>
      <c r="O721" t="n">
        <v>0</v>
      </c>
      <c r="P721" t="n">
        <v>0</v>
      </c>
      <c r="Q721" t="n">
        <v>0</v>
      </c>
      <c r="R721" s="2" t="inlineStr"/>
    </row>
    <row r="722" ht="15" customHeight="1">
      <c r="A722" t="inlineStr">
        <is>
          <t>A 8027-2023</t>
        </is>
      </c>
      <c r="B722" s="1" t="n">
        <v>44973</v>
      </c>
      <c r="C722" s="1" t="n">
        <v>45510</v>
      </c>
      <c r="D722" t="inlineStr">
        <is>
          <t>VÄSTERBOTTENS LÄN</t>
        </is>
      </c>
      <c r="E722" t="inlineStr">
        <is>
          <t>VILHELMINA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8652-2023</t>
        </is>
      </c>
      <c r="B723" s="1" t="n">
        <v>44978</v>
      </c>
      <c r="C723" s="1" t="n">
        <v>45510</v>
      </c>
      <c r="D723" t="inlineStr">
        <is>
          <t>VÄSTERBOTTENS LÄN</t>
        </is>
      </c>
      <c r="E723" t="inlineStr">
        <is>
          <t>VILHELMINA</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8653-2023</t>
        </is>
      </c>
      <c r="B724" s="1" t="n">
        <v>44977</v>
      </c>
      <c r="C724" s="1" t="n">
        <v>45510</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8650-2023</t>
        </is>
      </c>
      <c r="B725" s="1" t="n">
        <v>44977</v>
      </c>
      <c r="C725" s="1" t="n">
        <v>45510</v>
      </c>
      <c r="D725" t="inlineStr">
        <is>
          <t>VÄSTERBOTTENS LÄN</t>
        </is>
      </c>
      <c r="E725" t="inlineStr">
        <is>
          <t>VILHELMINA</t>
        </is>
      </c>
      <c r="F725" t="inlineStr">
        <is>
          <t>SCA</t>
        </is>
      </c>
      <c r="G725" t="n">
        <v>48.9</v>
      </c>
      <c r="H725" t="n">
        <v>0</v>
      </c>
      <c r="I725" t="n">
        <v>0</v>
      </c>
      <c r="J725" t="n">
        <v>0</v>
      </c>
      <c r="K725" t="n">
        <v>0</v>
      </c>
      <c r="L725" t="n">
        <v>0</v>
      </c>
      <c r="M725" t="n">
        <v>0</v>
      </c>
      <c r="N725" t="n">
        <v>0</v>
      </c>
      <c r="O725" t="n">
        <v>0</v>
      </c>
      <c r="P725" t="n">
        <v>0</v>
      </c>
      <c r="Q725" t="n">
        <v>0</v>
      </c>
      <c r="R725" s="2" t="inlineStr"/>
    </row>
    <row r="726" ht="15" customHeight="1">
      <c r="A726" t="inlineStr">
        <is>
          <t>A 9197-2023</t>
        </is>
      </c>
      <c r="B726" s="1" t="n">
        <v>44977</v>
      </c>
      <c r="C726" s="1" t="n">
        <v>45510</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8859-2023</t>
        </is>
      </c>
      <c r="B727" s="1" t="n">
        <v>44978</v>
      </c>
      <c r="C727" s="1" t="n">
        <v>45510</v>
      </c>
      <c r="D727" t="inlineStr">
        <is>
          <t>VÄSTERBOTTENS LÄN</t>
        </is>
      </c>
      <c r="E727" t="inlineStr">
        <is>
          <t>VILHELMINA</t>
        </is>
      </c>
      <c r="G727" t="n">
        <v>6.3</v>
      </c>
      <c r="H727" t="n">
        <v>0</v>
      </c>
      <c r="I727" t="n">
        <v>0</v>
      </c>
      <c r="J727" t="n">
        <v>0</v>
      </c>
      <c r="K727" t="n">
        <v>0</v>
      </c>
      <c r="L727" t="n">
        <v>0</v>
      </c>
      <c r="M727" t="n">
        <v>0</v>
      </c>
      <c r="N727" t="n">
        <v>0</v>
      </c>
      <c r="O727" t="n">
        <v>0</v>
      </c>
      <c r="P727" t="n">
        <v>0</v>
      </c>
      <c r="Q727" t="n">
        <v>0</v>
      </c>
      <c r="R727" s="2" t="inlineStr"/>
    </row>
    <row r="728" ht="15" customHeight="1">
      <c r="A728" t="inlineStr">
        <is>
          <t>A 9534-2023</t>
        </is>
      </c>
      <c r="B728" s="1" t="n">
        <v>44981</v>
      </c>
      <c r="C728" s="1" t="n">
        <v>45510</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9844-2023</t>
        </is>
      </c>
      <c r="B729" s="1" t="n">
        <v>44984</v>
      </c>
      <c r="C729" s="1" t="n">
        <v>45510</v>
      </c>
      <c r="D729" t="inlineStr">
        <is>
          <t>VÄSTERBOTTENS LÄN</t>
        </is>
      </c>
      <c r="E729" t="inlineStr">
        <is>
          <t>VILHELMINA</t>
        </is>
      </c>
      <c r="G729" t="n">
        <v>21.8</v>
      </c>
      <c r="H729" t="n">
        <v>0</v>
      </c>
      <c r="I729" t="n">
        <v>0</v>
      </c>
      <c r="J729" t="n">
        <v>0</v>
      </c>
      <c r="K729" t="n">
        <v>0</v>
      </c>
      <c r="L729" t="n">
        <v>0</v>
      </c>
      <c r="M729" t="n">
        <v>0</v>
      </c>
      <c r="N729" t="n">
        <v>0</v>
      </c>
      <c r="O729" t="n">
        <v>0</v>
      </c>
      <c r="P729" t="n">
        <v>0</v>
      </c>
      <c r="Q729" t="n">
        <v>0</v>
      </c>
      <c r="R729" s="2" t="inlineStr"/>
    </row>
    <row r="730" ht="15" customHeight="1">
      <c r="A730" t="inlineStr">
        <is>
          <t>A 10941-2023</t>
        </is>
      </c>
      <c r="B730" s="1" t="n">
        <v>44985</v>
      </c>
      <c r="C730" s="1" t="n">
        <v>45510</v>
      </c>
      <c r="D730" t="inlineStr">
        <is>
          <t>VÄSTERBOTTENS LÄN</t>
        </is>
      </c>
      <c r="E730" t="inlineStr">
        <is>
          <t>VILHELMINA</t>
        </is>
      </c>
      <c r="G730" t="n">
        <v>16.7</v>
      </c>
      <c r="H730" t="n">
        <v>0</v>
      </c>
      <c r="I730" t="n">
        <v>0</v>
      </c>
      <c r="J730" t="n">
        <v>0</v>
      </c>
      <c r="K730" t="n">
        <v>0</v>
      </c>
      <c r="L730" t="n">
        <v>0</v>
      </c>
      <c r="M730" t="n">
        <v>0</v>
      </c>
      <c r="N730" t="n">
        <v>0</v>
      </c>
      <c r="O730" t="n">
        <v>0</v>
      </c>
      <c r="P730" t="n">
        <v>0</v>
      </c>
      <c r="Q730" t="n">
        <v>0</v>
      </c>
      <c r="R730" s="2" t="inlineStr"/>
    </row>
    <row r="731" ht="15" customHeight="1">
      <c r="A731" t="inlineStr">
        <is>
          <t>A 10952-2023</t>
        </is>
      </c>
      <c r="B731" s="1" t="n">
        <v>44985</v>
      </c>
      <c r="C731" s="1" t="n">
        <v>45510</v>
      </c>
      <c r="D731" t="inlineStr">
        <is>
          <t>VÄSTERBOTTENS LÄN</t>
        </is>
      </c>
      <c r="E731" t="inlineStr">
        <is>
          <t>VILHELMINA</t>
        </is>
      </c>
      <c r="G731" t="n">
        <v>10.6</v>
      </c>
      <c r="H731" t="n">
        <v>0</v>
      </c>
      <c r="I731" t="n">
        <v>0</v>
      </c>
      <c r="J731" t="n">
        <v>0</v>
      </c>
      <c r="K731" t="n">
        <v>0</v>
      </c>
      <c r="L731" t="n">
        <v>0</v>
      </c>
      <c r="M731" t="n">
        <v>0</v>
      </c>
      <c r="N731" t="n">
        <v>0</v>
      </c>
      <c r="O731" t="n">
        <v>0</v>
      </c>
      <c r="P731" t="n">
        <v>0</v>
      </c>
      <c r="Q731" t="n">
        <v>0</v>
      </c>
      <c r="R731" s="2" t="inlineStr"/>
    </row>
    <row r="732" ht="15" customHeight="1">
      <c r="A732" t="inlineStr">
        <is>
          <t>A 10937-2023</t>
        </is>
      </c>
      <c r="B732" s="1" t="n">
        <v>44985</v>
      </c>
      <c r="C732" s="1" t="n">
        <v>45510</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10947-2023</t>
        </is>
      </c>
      <c r="B733" s="1" t="n">
        <v>44985</v>
      </c>
      <c r="C733" s="1" t="n">
        <v>45510</v>
      </c>
      <c r="D733" t="inlineStr">
        <is>
          <t>VÄSTERBOTTENS LÄN</t>
        </is>
      </c>
      <c r="E733" t="inlineStr">
        <is>
          <t>VILHELMINA</t>
        </is>
      </c>
      <c r="G733" t="n">
        <v>2.1</v>
      </c>
      <c r="H733" t="n">
        <v>0</v>
      </c>
      <c r="I733" t="n">
        <v>0</v>
      </c>
      <c r="J733" t="n">
        <v>0</v>
      </c>
      <c r="K733" t="n">
        <v>0</v>
      </c>
      <c r="L733" t="n">
        <v>0</v>
      </c>
      <c r="M733" t="n">
        <v>0</v>
      </c>
      <c r="N733" t="n">
        <v>0</v>
      </c>
      <c r="O733" t="n">
        <v>0</v>
      </c>
      <c r="P733" t="n">
        <v>0</v>
      </c>
      <c r="Q733" t="n">
        <v>0</v>
      </c>
      <c r="R733" s="2" t="inlineStr"/>
    </row>
    <row r="734" ht="15" customHeight="1">
      <c r="A734" t="inlineStr">
        <is>
          <t>A 10956-2023</t>
        </is>
      </c>
      <c r="B734" s="1" t="n">
        <v>44985</v>
      </c>
      <c r="C734" s="1" t="n">
        <v>45510</v>
      </c>
      <c r="D734" t="inlineStr">
        <is>
          <t>VÄSTERBOTTENS LÄN</t>
        </is>
      </c>
      <c r="E734" t="inlineStr">
        <is>
          <t>VILHELMINA</t>
        </is>
      </c>
      <c r="G734" t="n">
        <v>3.3</v>
      </c>
      <c r="H734" t="n">
        <v>0</v>
      </c>
      <c r="I734" t="n">
        <v>0</v>
      </c>
      <c r="J734" t="n">
        <v>0</v>
      </c>
      <c r="K734" t="n">
        <v>0</v>
      </c>
      <c r="L734" t="n">
        <v>0</v>
      </c>
      <c r="M734" t="n">
        <v>0</v>
      </c>
      <c r="N734" t="n">
        <v>0</v>
      </c>
      <c r="O734" t="n">
        <v>0</v>
      </c>
      <c r="P734" t="n">
        <v>0</v>
      </c>
      <c r="Q734" t="n">
        <v>0</v>
      </c>
      <c r="R734" s="2" t="inlineStr"/>
    </row>
    <row r="735" ht="15" customHeight="1">
      <c r="A735" t="inlineStr">
        <is>
          <t>A 10933-2023</t>
        </is>
      </c>
      <c r="B735" s="1" t="n">
        <v>44985</v>
      </c>
      <c r="C735" s="1" t="n">
        <v>45510</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10418-2023</t>
        </is>
      </c>
      <c r="B736" s="1" t="n">
        <v>44987</v>
      </c>
      <c r="C736" s="1" t="n">
        <v>45510</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11323-2023</t>
        </is>
      </c>
      <c r="B737" s="1" t="n">
        <v>44993</v>
      </c>
      <c r="C737" s="1" t="n">
        <v>45510</v>
      </c>
      <c r="D737" t="inlineStr">
        <is>
          <t>VÄSTERBOTTENS LÄN</t>
        </is>
      </c>
      <c r="E737" t="inlineStr">
        <is>
          <t>VILHELMINA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11544-2023</t>
        </is>
      </c>
      <c r="B738" s="1" t="n">
        <v>44993</v>
      </c>
      <c r="C738" s="1" t="n">
        <v>45510</v>
      </c>
      <c r="D738" t="inlineStr">
        <is>
          <t>VÄSTERBOTTENS LÄN</t>
        </is>
      </c>
      <c r="E738" t="inlineStr">
        <is>
          <t>VILHELMINA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11311-2023</t>
        </is>
      </c>
      <c r="B739" s="1" t="n">
        <v>44993</v>
      </c>
      <c r="C739" s="1" t="n">
        <v>45510</v>
      </c>
      <c r="D739" t="inlineStr">
        <is>
          <t>VÄSTERBOTTENS LÄN</t>
        </is>
      </c>
      <c r="E739" t="inlineStr">
        <is>
          <t>VILHELMINA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11825-2023</t>
        </is>
      </c>
      <c r="B740" s="1" t="n">
        <v>44994</v>
      </c>
      <c r="C740" s="1" t="n">
        <v>45510</v>
      </c>
      <c r="D740" t="inlineStr">
        <is>
          <t>VÄSTERBOTTENS LÄN</t>
        </is>
      </c>
      <c r="E740" t="inlineStr">
        <is>
          <t>VILHELMINA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11833-2023</t>
        </is>
      </c>
      <c r="B741" s="1" t="n">
        <v>44994</v>
      </c>
      <c r="C741" s="1" t="n">
        <v>45510</v>
      </c>
      <c r="D741" t="inlineStr">
        <is>
          <t>VÄSTERBOTTENS LÄN</t>
        </is>
      </c>
      <c r="E741" t="inlineStr">
        <is>
          <t>VILHELMINA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12043-2023</t>
        </is>
      </c>
      <c r="B742" s="1" t="n">
        <v>44995</v>
      </c>
      <c r="C742" s="1" t="n">
        <v>45510</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12784-2023</t>
        </is>
      </c>
      <c r="B743" s="1" t="n">
        <v>45000</v>
      </c>
      <c r="C743" s="1" t="n">
        <v>45510</v>
      </c>
      <c r="D743" t="inlineStr">
        <is>
          <t>VÄSTERBOTTENS LÄN</t>
        </is>
      </c>
      <c r="E743" t="inlineStr">
        <is>
          <t>VILHELMINA</t>
        </is>
      </c>
      <c r="G743" t="n">
        <v>18.6</v>
      </c>
      <c r="H743" t="n">
        <v>0</v>
      </c>
      <c r="I743" t="n">
        <v>0</v>
      </c>
      <c r="J743" t="n">
        <v>0</v>
      </c>
      <c r="K743" t="n">
        <v>0</v>
      </c>
      <c r="L743" t="n">
        <v>0</v>
      </c>
      <c r="M743" t="n">
        <v>0</v>
      </c>
      <c r="N743" t="n">
        <v>0</v>
      </c>
      <c r="O743" t="n">
        <v>0</v>
      </c>
      <c r="P743" t="n">
        <v>0</v>
      </c>
      <c r="Q743" t="n">
        <v>0</v>
      </c>
      <c r="R743" s="2" t="inlineStr"/>
    </row>
    <row r="744" ht="15" customHeight="1">
      <c r="A744" t="inlineStr">
        <is>
          <t>A 12866-2023</t>
        </is>
      </c>
      <c r="B744" s="1" t="n">
        <v>45000</v>
      </c>
      <c r="C744" s="1" t="n">
        <v>45510</v>
      </c>
      <c r="D744" t="inlineStr">
        <is>
          <t>VÄSTERBOTTENS LÄN</t>
        </is>
      </c>
      <c r="E744" t="inlineStr">
        <is>
          <t>VILHELMINA</t>
        </is>
      </c>
      <c r="G744" t="n">
        <v>2.6</v>
      </c>
      <c r="H744" t="n">
        <v>0</v>
      </c>
      <c r="I744" t="n">
        <v>0</v>
      </c>
      <c r="J744" t="n">
        <v>0</v>
      </c>
      <c r="K744" t="n">
        <v>0</v>
      </c>
      <c r="L744" t="n">
        <v>0</v>
      </c>
      <c r="M744" t="n">
        <v>0</v>
      </c>
      <c r="N744" t="n">
        <v>0</v>
      </c>
      <c r="O744" t="n">
        <v>0</v>
      </c>
      <c r="P744" t="n">
        <v>0</v>
      </c>
      <c r="Q744" t="n">
        <v>0</v>
      </c>
      <c r="R744" s="2" t="inlineStr"/>
    </row>
    <row r="745" ht="15" customHeight="1">
      <c r="A745" t="inlineStr">
        <is>
          <t>A 12825-2023</t>
        </is>
      </c>
      <c r="B745" s="1" t="n">
        <v>45000</v>
      </c>
      <c r="C745" s="1" t="n">
        <v>45510</v>
      </c>
      <c r="D745" t="inlineStr">
        <is>
          <t>VÄSTERBOTTENS LÄN</t>
        </is>
      </c>
      <c r="E745" t="inlineStr">
        <is>
          <t>VILHELMINA</t>
        </is>
      </c>
      <c r="G745" t="n">
        <v>22.4</v>
      </c>
      <c r="H745" t="n">
        <v>0</v>
      </c>
      <c r="I745" t="n">
        <v>0</v>
      </c>
      <c r="J745" t="n">
        <v>0</v>
      </c>
      <c r="K745" t="n">
        <v>0</v>
      </c>
      <c r="L745" t="n">
        <v>0</v>
      </c>
      <c r="M745" t="n">
        <v>0</v>
      </c>
      <c r="N745" t="n">
        <v>0</v>
      </c>
      <c r="O745" t="n">
        <v>0</v>
      </c>
      <c r="P745" t="n">
        <v>0</v>
      </c>
      <c r="Q745" t="n">
        <v>0</v>
      </c>
      <c r="R745" s="2" t="inlineStr"/>
    </row>
    <row r="746" ht="15" customHeight="1">
      <c r="A746" t="inlineStr">
        <is>
          <t>A 15814-2023</t>
        </is>
      </c>
      <c r="B746" s="1" t="n">
        <v>45021</v>
      </c>
      <c r="C746" s="1" t="n">
        <v>45510</v>
      </c>
      <c r="D746" t="inlineStr">
        <is>
          <t>VÄSTERBOTTENS LÄN</t>
        </is>
      </c>
      <c r="E746" t="inlineStr">
        <is>
          <t>VILHELMINA</t>
        </is>
      </c>
      <c r="F746" t="inlineStr">
        <is>
          <t>SCA</t>
        </is>
      </c>
      <c r="G746" t="n">
        <v>69.7</v>
      </c>
      <c r="H746" t="n">
        <v>0</v>
      </c>
      <c r="I746" t="n">
        <v>0</v>
      </c>
      <c r="J746" t="n">
        <v>0</v>
      </c>
      <c r="K746" t="n">
        <v>0</v>
      </c>
      <c r="L746" t="n">
        <v>0</v>
      </c>
      <c r="M746" t="n">
        <v>0</v>
      </c>
      <c r="N746" t="n">
        <v>0</v>
      </c>
      <c r="O746" t="n">
        <v>0</v>
      </c>
      <c r="P746" t="n">
        <v>0</v>
      </c>
      <c r="Q746" t="n">
        <v>0</v>
      </c>
      <c r="R746" s="2" t="inlineStr"/>
    </row>
    <row r="747" ht="15" customHeight="1">
      <c r="A747" t="inlineStr">
        <is>
          <t>A 18554-2023</t>
        </is>
      </c>
      <c r="B747" s="1" t="n">
        <v>45043</v>
      </c>
      <c r="C747" s="1" t="n">
        <v>45510</v>
      </c>
      <c r="D747" t="inlineStr">
        <is>
          <t>VÄSTERBOTTENS LÄN</t>
        </is>
      </c>
      <c r="E747" t="inlineStr">
        <is>
          <t>VILHELMINA</t>
        </is>
      </c>
      <c r="F747" t="inlineStr">
        <is>
          <t>SCA</t>
        </is>
      </c>
      <c r="G747" t="n">
        <v>18.1</v>
      </c>
      <c r="H747" t="n">
        <v>0</v>
      </c>
      <c r="I747" t="n">
        <v>0</v>
      </c>
      <c r="J747" t="n">
        <v>0</v>
      </c>
      <c r="K747" t="n">
        <v>0</v>
      </c>
      <c r="L747" t="n">
        <v>0</v>
      </c>
      <c r="M747" t="n">
        <v>0</v>
      </c>
      <c r="N747" t="n">
        <v>0</v>
      </c>
      <c r="O747" t="n">
        <v>0</v>
      </c>
      <c r="P747" t="n">
        <v>0</v>
      </c>
      <c r="Q747" t="n">
        <v>0</v>
      </c>
      <c r="R747" s="2" t="inlineStr"/>
    </row>
    <row r="748" ht="15" customHeight="1">
      <c r="A748" t="inlineStr">
        <is>
          <t>A 18692-2023</t>
        </is>
      </c>
      <c r="B748" s="1" t="n">
        <v>45042</v>
      </c>
      <c r="C748" s="1" t="n">
        <v>45510</v>
      </c>
      <c r="D748" t="inlineStr">
        <is>
          <t>VÄSTERBOTTENS LÄN</t>
        </is>
      </c>
      <c r="E748" t="inlineStr">
        <is>
          <t>VILHELMINA</t>
        </is>
      </c>
      <c r="F748" t="inlineStr">
        <is>
          <t>Allmännings- och besparingsskogar</t>
        </is>
      </c>
      <c r="G748" t="n">
        <v>0.6</v>
      </c>
      <c r="H748" t="n">
        <v>0</v>
      </c>
      <c r="I748" t="n">
        <v>0</v>
      </c>
      <c r="J748" t="n">
        <v>0</v>
      </c>
      <c r="K748" t="n">
        <v>0</v>
      </c>
      <c r="L748" t="n">
        <v>0</v>
      </c>
      <c r="M748" t="n">
        <v>0</v>
      </c>
      <c r="N748" t="n">
        <v>0</v>
      </c>
      <c r="O748" t="n">
        <v>0</v>
      </c>
      <c r="P748" t="n">
        <v>0</v>
      </c>
      <c r="Q748" t="n">
        <v>0</v>
      </c>
      <c r="R748" s="2" t="inlineStr"/>
    </row>
    <row r="749" ht="15" customHeight="1">
      <c r="A749" t="inlineStr">
        <is>
          <t>A 19060-2023</t>
        </is>
      </c>
      <c r="B749" s="1" t="n">
        <v>45043</v>
      </c>
      <c r="C749" s="1" t="n">
        <v>45510</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19232-2023</t>
        </is>
      </c>
      <c r="B750" s="1" t="n">
        <v>45048</v>
      </c>
      <c r="C750" s="1" t="n">
        <v>45510</v>
      </c>
      <c r="D750" t="inlineStr">
        <is>
          <t>VÄSTERBOTTENS LÄN</t>
        </is>
      </c>
      <c r="E750" t="inlineStr">
        <is>
          <t>VILHELMINA</t>
        </is>
      </c>
      <c r="G750" t="n">
        <v>4.8</v>
      </c>
      <c r="H750" t="n">
        <v>0</v>
      </c>
      <c r="I750" t="n">
        <v>0</v>
      </c>
      <c r="J750" t="n">
        <v>0</v>
      </c>
      <c r="K750" t="n">
        <v>0</v>
      </c>
      <c r="L750" t="n">
        <v>0</v>
      </c>
      <c r="M750" t="n">
        <v>0</v>
      </c>
      <c r="N750" t="n">
        <v>0</v>
      </c>
      <c r="O750" t="n">
        <v>0</v>
      </c>
      <c r="P750" t="n">
        <v>0</v>
      </c>
      <c r="Q750" t="n">
        <v>0</v>
      </c>
      <c r="R750" s="2" t="inlineStr"/>
    </row>
    <row r="751" ht="15" customHeight="1">
      <c r="A751" t="inlineStr">
        <is>
          <t>A 19401-2023</t>
        </is>
      </c>
      <c r="B751" s="1" t="n">
        <v>45048</v>
      </c>
      <c r="C751" s="1" t="n">
        <v>45510</v>
      </c>
      <c r="D751" t="inlineStr">
        <is>
          <t>VÄSTERBOTTENS LÄN</t>
        </is>
      </c>
      <c r="E751" t="inlineStr">
        <is>
          <t>VILHELMINA</t>
        </is>
      </c>
      <c r="G751" t="n">
        <v>5.4</v>
      </c>
      <c r="H751" t="n">
        <v>0</v>
      </c>
      <c r="I751" t="n">
        <v>0</v>
      </c>
      <c r="J751" t="n">
        <v>0</v>
      </c>
      <c r="K751" t="n">
        <v>0</v>
      </c>
      <c r="L751" t="n">
        <v>0</v>
      </c>
      <c r="M751" t="n">
        <v>0</v>
      </c>
      <c r="N751" t="n">
        <v>0</v>
      </c>
      <c r="O751" t="n">
        <v>0</v>
      </c>
      <c r="P751" t="n">
        <v>0</v>
      </c>
      <c r="Q751" t="n">
        <v>0</v>
      </c>
      <c r="R751" s="2" t="inlineStr"/>
    </row>
    <row r="752" ht="15" customHeight="1">
      <c r="A752" t="inlineStr">
        <is>
          <t>A 19397-2023</t>
        </is>
      </c>
      <c r="B752" s="1" t="n">
        <v>45048</v>
      </c>
      <c r="C752" s="1" t="n">
        <v>45510</v>
      </c>
      <c r="D752" t="inlineStr">
        <is>
          <t>VÄSTERBOTTENS LÄN</t>
        </is>
      </c>
      <c r="E752" t="inlineStr">
        <is>
          <t>VILHELMINA</t>
        </is>
      </c>
      <c r="G752" t="n">
        <v>12.8</v>
      </c>
      <c r="H752" t="n">
        <v>0</v>
      </c>
      <c r="I752" t="n">
        <v>0</v>
      </c>
      <c r="J752" t="n">
        <v>0</v>
      </c>
      <c r="K752" t="n">
        <v>0</v>
      </c>
      <c r="L752" t="n">
        <v>0</v>
      </c>
      <c r="M752" t="n">
        <v>0</v>
      </c>
      <c r="N752" t="n">
        <v>0</v>
      </c>
      <c r="O752" t="n">
        <v>0</v>
      </c>
      <c r="P752" t="n">
        <v>0</v>
      </c>
      <c r="Q752" t="n">
        <v>0</v>
      </c>
      <c r="R752" s="2" t="inlineStr"/>
    </row>
    <row r="753" ht="15" customHeight="1">
      <c r="A753" t="inlineStr">
        <is>
          <t>A 19934-2023</t>
        </is>
      </c>
      <c r="B753" s="1" t="n">
        <v>45051</v>
      </c>
      <c r="C753" s="1" t="n">
        <v>45510</v>
      </c>
      <c r="D753" t="inlineStr">
        <is>
          <t>VÄSTERBOTTENS LÄN</t>
        </is>
      </c>
      <c r="E753" t="inlineStr">
        <is>
          <t>VILHELMINA</t>
        </is>
      </c>
      <c r="F753" t="inlineStr">
        <is>
          <t>Övriga statliga verk och myndigheter</t>
        </is>
      </c>
      <c r="G753" t="n">
        <v>28.1</v>
      </c>
      <c r="H753" t="n">
        <v>0</v>
      </c>
      <c r="I753" t="n">
        <v>0</v>
      </c>
      <c r="J753" t="n">
        <v>0</v>
      </c>
      <c r="K753" t="n">
        <v>0</v>
      </c>
      <c r="L753" t="n">
        <v>0</v>
      </c>
      <c r="M753" t="n">
        <v>0</v>
      </c>
      <c r="N753" t="n">
        <v>0</v>
      </c>
      <c r="O753" t="n">
        <v>0</v>
      </c>
      <c r="P753" t="n">
        <v>0</v>
      </c>
      <c r="Q753" t="n">
        <v>0</v>
      </c>
      <c r="R753" s="2" t="inlineStr"/>
    </row>
    <row r="754" ht="15" customHeight="1">
      <c r="A754" t="inlineStr">
        <is>
          <t>A 20090-2023</t>
        </is>
      </c>
      <c r="B754" s="1" t="n">
        <v>45054</v>
      </c>
      <c r="C754" s="1" t="n">
        <v>45510</v>
      </c>
      <c r="D754" t="inlineStr">
        <is>
          <t>VÄSTERBOTTENS LÄN</t>
        </is>
      </c>
      <c r="E754" t="inlineStr">
        <is>
          <t>VILHELMINA</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20454-2023</t>
        </is>
      </c>
      <c r="B755" s="1" t="n">
        <v>45056</v>
      </c>
      <c r="C755" s="1" t="n">
        <v>45510</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20455-2023</t>
        </is>
      </c>
      <c r="B756" s="1" t="n">
        <v>45056</v>
      </c>
      <c r="C756" s="1" t="n">
        <v>45510</v>
      </c>
      <c r="D756" t="inlineStr">
        <is>
          <t>VÄSTERBOTTENS LÄN</t>
        </is>
      </c>
      <c r="E756" t="inlineStr">
        <is>
          <t>VILHELMINA</t>
        </is>
      </c>
      <c r="G756" t="n">
        <v>3.1</v>
      </c>
      <c r="H756" t="n">
        <v>0</v>
      </c>
      <c r="I756" t="n">
        <v>0</v>
      </c>
      <c r="J756" t="n">
        <v>0</v>
      </c>
      <c r="K756" t="n">
        <v>0</v>
      </c>
      <c r="L756" t="n">
        <v>0</v>
      </c>
      <c r="M756" t="n">
        <v>0</v>
      </c>
      <c r="N756" t="n">
        <v>0</v>
      </c>
      <c r="O756" t="n">
        <v>0</v>
      </c>
      <c r="P756" t="n">
        <v>0</v>
      </c>
      <c r="Q756" t="n">
        <v>0</v>
      </c>
      <c r="R756" s="2" t="inlineStr"/>
    </row>
    <row r="757" ht="15" customHeight="1">
      <c r="A757" t="inlineStr">
        <is>
          <t>A 20595-2023</t>
        </is>
      </c>
      <c r="B757" s="1" t="n">
        <v>45057</v>
      </c>
      <c r="C757" s="1" t="n">
        <v>45510</v>
      </c>
      <c r="D757" t="inlineStr">
        <is>
          <t>VÄSTERBOTTENS LÄN</t>
        </is>
      </c>
      <c r="E757" t="inlineStr">
        <is>
          <t>VILHELMINA</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21334-2023</t>
        </is>
      </c>
      <c r="B758" s="1" t="n">
        <v>45062</v>
      </c>
      <c r="C758" s="1" t="n">
        <v>45510</v>
      </c>
      <c r="D758" t="inlineStr">
        <is>
          <t>VÄSTERBOTTENS LÄN</t>
        </is>
      </c>
      <c r="E758" t="inlineStr">
        <is>
          <t>VILHELMINA</t>
        </is>
      </c>
      <c r="G758" t="n">
        <v>20</v>
      </c>
      <c r="H758" t="n">
        <v>0</v>
      </c>
      <c r="I758" t="n">
        <v>0</v>
      </c>
      <c r="J758" t="n">
        <v>0</v>
      </c>
      <c r="K758" t="n">
        <v>0</v>
      </c>
      <c r="L758" t="n">
        <v>0</v>
      </c>
      <c r="M758" t="n">
        <v>0</v>
      </c>
      <c r="N758" t="n">
        <v>0</v>
      </c>
      <c r="O758" t="n">
        <v>0</v>
      </c>
      <c r="P758" t="n">
        <v>0</v>
      </c>
      <c r="Q758" t="n">
        <v>0</v>
      </c>
      <c r="R758" s="2" t="inlineStr"/>
    </row>
    <row r="759" ht="15" customHeight="1">
      <c r="A759" t="inlineStr">
        <is>
          <t>A 24373-2023</t>
        </is>
      </c>
      <c r="B759" s="1" t="n">
        <v>45076</v>
      </c>
      <c r="C759" s="1" t="n">
        <v>45510</v>
      </c>
      <c r="D759" t="inlineStr">
        <is>
          <t>VÄSTERBOTTENS LÄN</t>
        </is>
      </c>
      <c r="E759" t="inlineStr">
        <is>
          <t>VILHELMINA</t>
        </is>
      </c>
      <c r="G759" t="n">
        <v>6.3</v>
      </c>
      <c r="H759" t="n">
        <v>0</v>
      </c>
      <c r="I759" t="n">
        <v>0</v>
      </c>
      <c r="J759" t="n">
        <v>0</v>
      </c>
      <c r="K759" t="n">
        <v>0</v>
      </c>
      <c r="L759" t="n">
        <v>0</v>
      </c>
      <c r="M759" t="n">
        <v>0</v>
      </c>
      <c r="N759" t="n">
        <v>0</v>
      </c>
      <c r="O759" t="n">
        <v>0</v>
      </c>
      <c r="P759" t="n">
        <v>0</v>
      </c>
      <c r="Q759" t="n">
        <v>0</v>
      </c>
      <c r="R759" s="2" t="inlineStr"/>
    </row>
    <row r="760" ht="15" customHeight="1">
      <c r="A760" t="inlineStr">
        <is>
          <t>A 24598-2023</t>
        </is>
      </c>
      <c r="B760" s="1" t="n">
        <v>45084</v>
      </c>
      <c r="C760" s="1" t="n">
        <v>45510</v>
      </c>
      <c r="D760" t="inlineStr">
        <is>
          <t>VÄSTERBOTTENS LÄN</t>
        </is>
      </c>
      <c r="E760" t="inlineStr">
        <is>
          <t>VILHELMINA</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24828-2023</t>
        </is>
      </c>
      <c r="B761" s="1" t="n">
        <v>45084</v>
      </c>
      <c r="C761" s="1" t="n">
        <v>45510</v>
      </c>
      <c r="D761" t="inlineStr">
        <is>
          <t>VÄSTERBOTTENS LÄN</t>
        </is>
      </c>
      <c r="E761" t="inlineStr">
        <is>
          <t>VILHELMINA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25313-2023</t>
        </is>
      </c>
      <c r="B762" s="1" t="n">
        <v>45087</v>
      </c>
      <c r="C762" s="1" t="n">
        <v>45510</v>
      </c>
      <c r="D762" t="inlineStr">
        <is>
          <t>VÄSTERBOTTENS LÄN</t>
        </is>
      </c>
      <c r="E762" t="inlineStr">
        <is>
          <t>VILHELMINA</t>
        </is>
      </c>
      <c r="F762" t="inlineStr">
        <is>
          <t>SCA</t>
        </is>
      </c>
      <c r="G762" t="n">
        <v>9.5</v>
      </c>
      <c r="H762" t="n">
        <v>0</v>
      </c>
      <c r="I762" t="n">
        <v>0</v>
      </c>
      <c r="J762" t="n">
        <v>0</v>
      </c>
      <c r="K762" t="n">
        <v>0</v>
      </c>
      <c r="L762" t="n">
        <v>0</v>
      </c>
      <c r="M762" t="n">
        <v>0</v>
      </c>
      <c r="N762" t="n">
        <v>0</v>
      </c>
      <c r="O762" t="n">
        <v>0</v>
      </c>
      <c r="P762" t="n">
        <v>0</v>
      </c>
      <c r="Q762" t="n">
        <v>0</v>
      </c>
      <c r="R762" s="2" t="inlineStr"/>
    </row>
    <row r="763" ht="15" customHeight="1">
      <c r="A763" t="inlineStr">
        <is>
          <t>A 26553-2023</t>
        </is>
      </c>
      <c r="B763" s="1" t="n">
        <v>45089</v>
      </c>
      <c r="C763" s="1" t="n">
        <v>45510</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26564-2023</t>
        </is>
      </c>
      <c r="B764" s="1" t="n">
        <v>45089</v>
      </c>
      <c r="C764" s="1" t="n">
        <v>45510</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45510</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26000-2023</t>
        </is>
      </c>
      <c r="B766" s="1" t="n">
        <v>45090</v>
      </c>
      <c r="C766" s="1" t="n">
        <v>45510</v>
      </c>
      <c r="D766" t="inlineStr">
        <is>
          <t>VÄSTERBOTTENS LÄN</t>
        </is>
      </c>
      <c r="E766" t="inlineStr">
        <is>
          <t>VILHELMINA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25997-2023</t>
        </is>
      </c>
      <c r="B767" s="1" t="n">
        <v>45090</v>
      </c>
      <c r="C767" s="1" t="n">
        <v>45510</v>
      </c>
      <c r="D767" t="inlineStr">
        <is>
          <t>VÄSTERBOTTENS LÄN</t>
        </is>
      </c>
      <c r="E767" t="inlineStr">
        <is>
          <t>VILHELMINA</t>
        </is>
      </c>
      <c r="G767" t="n">
        <v>7.8</v>
      </c>
      <c r="H767" t="n">
        <v>0</v>
      </c>
      <c r="I767" t="n">
        <v>0</v>
      </c>
      <c r="J767" t="n">
        <v>0</v>
      </c>
      <c r="K767" t="n">
        <v>0</v>
      </c>
      <c r="L767" t="n">
        <v>0</v>
      </c>
      <c r="M767" t="n">
        <v>0</v>
      </c>
      <c r="N767" t="n">
        <v>0</v>
      </c>
      <c r="O767" t="n">
        <v>0</v>
      </c>
      <c r="P767" t="n">
        <v>0</v>
      </c>
      <c r="Q767" t="n">
        <v>0</v>
      </c>
      <c r="R767" s="2" t="inlineStr"/>
    </row>
    <row r="768" ht="15" customHeight="1">
      <c r="A768" t="inlineStr">
        <is>
          <t>A 26657-2023</t>
        </is>
      </c>
      <c r="B768" s="1" t="n">
        <v>45092</v>
      </c>
      <c r="C768" s="1" t="n">
        <v>45510</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26663-2023</t>
        </is>
      </c>
      <c r="B769" s="1" t="n">
        <v>45093</v>
      </c>
      <c r="C769" s="1" t="n">
        <v>45510</v>
      </c>
      <c r="D769" t="inlineStr">
        <is>
          <t>VÄSTERBOTTENS LÄN</t>
        </is>
      </c>
      <c r="E769" t="inlineStr">
        <is>
          <t>VILHELMINA</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26656-2023</t>
        </is>
      </c>
      <c r="B770" s="1" t="n">
        <v>45092</v>
      </c>
      <c r="C770" s="1" t="n">
        <v>45510</v>
      </c>
      <c r="D770" t="inlineStr">
        <is>
          <t>VÄSTERBOTTENS LÄN</t>
        </is>
      </c>
      <c r="E770" t="inlineStr">
        <is>
          <t>VILHELMINA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27601-2023</t>
        </is>
      </c>
      <c r="B771" s="1" t="n">
        <v>45092</v>
      </c>
      <c r="C771" s="1" t="n">
        <v>45510</v>
      </c>
      <c r="D771" t="inlineStr">
        <is>
          <t>VÄSTERBOTTENS LÄN</t>
        </is>
      </c>
      <c r="E771" t="inlineStr">
        <is>
          <t>VILHELMINA</t>
        </is>
      </c>
      <c r="G771" t="n">
        <v>2</v>
      </c>
      <c r="H771" t="n">
        <v>0</v>
      </c>
      <c r="I771" t="n">
        <v>0</v>
      </c>
      <c r="J771" t="n">
        <v>0</v>
      </c>
      <c r="K771" t="n">
        <v>0</v>
      </c>
      <c r="L771" t="n">
        <v>0</v>
      </c>
      <c r="M771" t="n">
        <v>0</v>
      </c>
      <c r="N771" t="n">
        <v>0</v>
      </c>
      <c r="O771" t="n">
        <v>0</v>
      </c>
      <c r="P771" t="n">
        <v>0</v>
      </c>
      <c r="Q771" t="n">
        <v>0</v>
      </c>
      <c r="R771" s="2" t="inlineStr"/>
    </row>
    <row r="772" ht="15" customHeight="1">
      <c r="A772" t="inlineStr">
        <is>
          <t>A 26997-2023</t>
        </is>
      </c>
      <c r="B772" s="1" t="n">
        <v>45093</v>
      </c>
      <c r="C772" s="1" t="n">
        <v>45510</v>
      </c>
      <c r="D772" t="inlineStr">
        <is>
          <t>VÄSTERBOTTENS LÄN</t>
        </is>
      </c>
      <c r="E772" t="inlineStr">
        <is>
          <t>VILHELMINA</t>
        </is>
      </c>
      <c r="F772" t="inlineStr">
        <is>
          <t>SCA</t>
        </is>
      </c>
      <c r="G772" t="n">
        <v>9</v>
      </c>
      <c r="H772" t="n">
        <v>0</v>
      </c>
      <c r="I772" t="n">
        <v>0</v>
      </c>
      <c r="J772" t="n">
        <v>0</v>
      </c>
      <c r="K772" t="n">
        <v>0</v>
      </c>
      <c r="L772" t="n">
        <v>0</v>
      </c>
      <c r="M772" t="n">
        <v>0</v>
      </c>
      <c r="N772" t="n">
        <v>0</v>
      </c>
      <c r="O772" t="n">
        <v>0</v>
      </c>
      <c r="P772" t="n">
        <v>0</v>
      </c>
      <c r="Q772" t="n">
        <v>0</v>
      </c>
      <c r="R772" s="2" t="inlineStr"/>
    </row>
    <row r="773" ht="15" customHeight="1">
      <c r="A773" t="inlineStr">
        <is>
          <t>A 27763-2023</t>
        </is>
      </c>
      <c r="B773" s="1" t="n">
        <v>45093</v>
      </c>
      <c r="C773" s="1" t="n">
        <v>45510</v>
      </c>
      <c r="D773" t="inlineStr">
        <is>
          <t>VÄSTERBOTTENS LÄN</t>
        </is>
      </c>
      <c r="E773" t="inlineStr">
        <is>
          <t>VILHELMINA</t>
        </is>
      </c>
      <c r="G773" t="n">
        <v>21.5</v>
      </c>
      <c r="H773" t="n">
        <v>0</v>
      </c>
      <c r="I773" t="n">
        <v>0</v>
      </c>
      <c r="J773" t="n">
        <v>0</v>
      </c>
      <c r="K773" t="n">
        <v>0</v>
      </c>
      <c r="L773" t="n">
        <v>0</v>
      </c>
      <c r="M773" t="n">
        <v>0</v>
      </c>
      <c r="N773" t="n">
        <v>0</v>
      </c>
      <c r="O773" t="n">
        <v>0</v>
      </c>
      <c r="P773" t="n">
        <v>0</v>
      </c>
      <c r="Q773" t="n">
        <v>0</v>
      </c>
      <c r="R773" s="2" t="inlineStr"/>
    </row>
    <row r="774" ht="15" customHeight="1">
      <c r="A774" t="inlineStr">
        <is>
          <t>A 27357-2023</t>
        </is>
      </c>
      <c r="B774" s="1" t="n">
        <v>45096</v>
      </c>
      <c r="C774" s="1" t="n">
        <v>45510</v>
      </c>
      <c r="D774" t="inlineStr">
        <is>
          <t>VÄSTERBOTTENS LÄN</t>
        </is>
      </c>
      <c r="E774" t="inlineStr">
        <is>
          <t>VILHELMINA</t>
        </is>
      </c>
      <c r="G774" t="n">
        <v>3.1</v>
      </c>
      <c r="H774" t="n">
        <v>0</v>
      </c>
      <c r="I774" t="n">
        <v>0</v>
      </c>
      <c r="J774" t="n">
        <v>0</v>
      </c>
      <c r="K774" t="n">
        <v>0</v>
      </c>
      <c r="L774" t="n">
        <v>0</v>
      </c>
      <c r="M774" t="n">
        <v>0</v>
      </c>
      <c r="N774" t="n">
        <v>0</v>
      </c>
      <c r="O774" t="n">
        <v>0</v>
      </c>
      <c r="P774" t="n">
        <v>0</v>
      </c>
      <c r="Q774" t="n">
        <v>0</v>
      </c>
      <c r="R774" s="2" t="inlineStr"/>
    </row>
    <row r="775" ht="15" customHeight="1">
      <c r="A775" t="inlineStr">
        <is>
          <t>A 27355-2023</t>
        </is>
      </c>
      <c r="B775" s="1" t="n">
        <v>45096</v>
      </c>
      <c r="C775" s="1" t="n">
        <v>45510</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28011-2023</t>
        </is>
      </c>
      <c r="B776" s="1" t="n">
        <v>45098</v>
      </c>
      <c r="C776" s="1" t="n">
        <v>45510</v>
      </c>
      <c r="D776" t="inlineStr">
        <is>
          <t>VÄSTERBOTTENS LÄN</t>
        </is>
      </c>
      <c r="E776" t="inlineStr">
        <is>
          <t>VILHELMINA</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28380-2023</t>
        </is>
      </c>
      <c r="B777" s="1" t="n">
        <v>45099</v>
      </c>
      <c r="C777" s="1" t="n">
        <v>45510</v>
      </c>
      <c r="D777" t="inlineStr">
        <is>
          <t>VÄSTERBOTTENS LÄN</t>
        </is>
      </c>
      <c r="E777" t="inlineStr">
        <is>
          <t>VILHELMINA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28718-2023</t>
        </is>
      </c>
      <c r="B778" s="1" t="n">
        <v>45103</v>
      </c>
      <c r="C778" s="1" t="n">
        <v>45510</v>
      </c>
      <c r="D778" t="inlineStr">
        <is>
          <t>VÄSTERBOTTENS LÄN</t>
        </is>
      </c>
      <c r="E778" t="inlineStr">
        <is>
          <t>VILHELMINA</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28982-2023</t>
        </is>
      </c>
      <c r="B779" s="1" t="n">
        <v>45104</v>
      </c>
      <c r="C779" s="1" t="n">
        <v>45510</v>
      </c>
      <c r="D779" t="inlineStr">
        <is>
          <t>VÄSTERBOTTENS LÄN</t>
        </is>
      </c>
      <c r="E779" t="inlineStr">
        <is>
          <t>VILHELMINA</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28986-2023</t>
        </is>
      </c>
      <c r="B780" s="1" t="n">
        <v>45104</v>
      </c>
      <c r="C780" s="1" t="n">
        <v>45510</v>
      </c>
      <c r="D780" t="inlineStr">
        <is>
          <t>VÄSTERBOTTENS LÄN</t>
        </is>
      </c>
      <c r="E780" t="inlineStr">
        <is>
          <t>VILHELMINA</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28991-2023</t>
        </is>
      </c>
      <c r="B781" s="1" t="n">
        <v>45104</v>
      </c>
      <c r="C781" s="1" t="n">
        <v>45510</v>
      </c>
      <c r="D781" t="inlineStr">
        <is>
          <t>VÄSTERBOTTENS LÄN</t>
        </is>
      </c>
      <c r="E781" t="inlineStr">
        <is>
          <t>VILHELMINA</t>
        </is>
      </c>
      <c r="F781" t="inlineStr">
        <is>
          <t>Sveaskog</t>
        </is>
      </c>
      <c r="G781" t="n">
        <v>5.1</v>
      </c>
      <c r="H781" t="n">
        <v>0</v>
      </c>
      <c r="I781" t="n">
        <v>0</v>
      </c>
      <c r="J781" t="n">
        <v>0</v>
      </c>
      <c r="K781" t="n">
        <v>0</v>
      </c>
      <c r="L781" t="n">
        <v>0</v>
      </c>
      <c r="M781" t="n">
        <v>0</v>
      </c>
      <c r="N781" t="n">
        <v>0</v>
      </c>
      <c r="O781" t="n">
        <v>0</v>
      </c>
      <c r="P781" t="n">
        <v>0</v>
      </c>
      <c r="Q781" t="n">
        <v>0</v>
      </c>
      <c r="R781" s="2" t="inlineStr"/>
    </row>
    <row r="782" ht="15" customHeight="1">
      <c r="A782" t="inlineStr">
        <is>
          <t>A 28984-2023</t>
        </is>
      </c>
      <c r="B782" s="1" t="n">
        <v>45104</v>
      </c>
      <c r="C782" s="1" t="n">
        <v>45510</v>
      </c>
      <c r="D782" t="inlineStr">
        <is>
          <t>VÄSTERBOTTENS LÄN</t>
        </is>
      </c>
      <c r="E782" t="inlineStr">
        <is>
          <t>VILHELMINA</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29250-2023</t>
        </is>
      </c>
      <c r="B783" s="1" t="n">
        <v>45105</v>
      </c>
      <c r="C783" s="1" t="n">
        <v>45510</v>
      </c>
      <c r="D783" t="inlineStr">
        <is>
          <t>VÄSTERBOTTENS LÄN</t>
        </is>
      </c>
      <c r="E783" t="inlineStr">
        <is>
          <t>VILHELMINA</t>
        </is>
      </c>
      <c r="F783" t="inlineStr">
        <is>
          <t>Sveaskog</t>
        </is>
      </c>
      <c r="G783" t="n">
        <v>11.3</v>
      </c>
      <c r="H783" t="n">
        <v>0</v>
      </c>
      <c r="I783" t="n">
        <v>0</v>
      </c>
      <c r="J783" t="n">
        <v>0</v>
      </c>
      <c r="K783" t="n">
        <v>0</v>
      </c>
      <c r="L783" t="n">
        <v>0</v>
      </c>
      <c r="M783" t="n">
        <v>0</v>
      </c>
      <c r="N783" t="n">
        <v>0</v>
      </c>
      <c r="O783" t="n">
        <v>0</v>
      </c>
      <c r="P783" t="n">
        <v>0</v>
      </c>
      <c r="Q783" t="n">
        <v>0</v>
      </c>
      <c r="R783" s="2" t="inlineStr"/>
    </row>
    <row r="784" ht="15" customHeight="1">
      <c r="A784" t="inlineStr">
        <is>
          <t>A 29608-2023</t>
        </is>
      </c>
      <c r="B784" s="1" t="n">
        <v>45106</v>
      </c>
      <c r="C784" s="1" t="n">
        <v>45510</v>
      </c>
      <c r="D784" t="inlineStr">
        <is>
          <t>VÄSTERBOTTENS LÄN</t>
        </is>
      </c>
      <c r="E784" t="inlineStr">
        <is>
          <t>VILHELMINA</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29954-2023</t>
        </is>
      </c>
      <c r="B785" s="1" t="n">
        <v>45107</v>
      </c>
      <c r="C785" s="1" t="n">
        <v>45510</v>
      </c>
      <c r="D785" t="inlineStr">
        <is>
          <t>VÄSTERBOTTENS LÄN</t>
        </is>
      </c>
      <c r="E785" t="inlineStr">
        <is>
          <t>VILHELMINA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30846-2023</t>
        </is>
      </c>
      <c r="B786" s="1" t="n">
        <v>45112</v>
      </c>
      <c r="C786" s="1" t="n">
        <v>45510</v>
      </c>
      <c r="D786" t="inlineStr">
        <is>
          <t>VÄSTERBOTTENS LÄN</t>
        </is>
      </c>
      <c r="E786" t="inlineStr">
        <is>
          <t>VILHELMINA</t>
        </is>
      </c>
      <c r="F786" t="inlineStr">
        <is>
          <t>SCA</t>
        </is>
      </c>
      <c r="G786" t="n">
        <v>9.5</v>
      </c>
      <c r="H786" t="n">
        <v>0</v>
      </c>
      <c r="I786" t="n">
        <v>0</v>
      </c>
      <c r="J786" t="n">
        <v>0</v>
      </c>
      <c r="K786" t="n">
        <v>0</v>
      </c>
      <c r="L786" t="n">
        <v>0</v>
      </c>
      <c r="M786" t="n">
        <v>0</v>
      </c>
      <c r="N786" t="n">
        <v>0</v>
      </c>
      <c r="O786" t="n">
        <v>0</v>
      </c>
      <c r="P786" t="n">
        <v>0</v>
      </c>
      <c r="Q786" t="n">
        <v>0</v>
      </c>
      <c r="R786" s="2" t="inlineStr"/>
    </row>
    <row r="787" ht="15" customHeight="1">
      <c r="A787" t="inlineStr">
        <is>
          <t>A 30847-2023</t>
        </is>
      </c>
      <c r="B787" s="1" t="n">
        <v>45112</v>
      </c>
      <c r="C787" s="1" t="n">
        <v>45510</v>
      </c>
      <c r="D787" t="inlineStr">
        <is>
          <t>VÄSTERBOTTENS LÄN</t>
        </is>
      </c>
      <c r="E787" t="inlineStr">
        <is>
          <t>VILHELMINA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30940-2023</t>
        </is>
      </c>
      <c r="B788" s="1" t="n">
        <v>45113</v>
      </c>
      <c r="C788" s="1" t="n">
        <v>45510</v>
      </c>
      <c r="D788" t="inlineStr">
        <is>
          <t>VÄSTERBOTTENS LÄN</t>
        </is>
      </c>
      <c r="E788" t="inlineStr">
        <is>
          <t>VILHELMINA</t>
        </is>
      </c>
      <c r="F788" t="inlineStr">
        <is>
          <t>Sveaskog</t>
        </is>
      </c>
      <c r="G788" t="n">
        <v>4.3</v>
      </c>
      <c r="H788" t="n">
        <v>0</v>
      </c>
      <c r="I788" t="n">
        <v>0</v>
      </c>
      <c r="J788" t="n">
        <v>0</v>
      </c>
      <c r="K788" t="n">
        <v>0</v>
      </c>
      <c r="L788" t="n">
        <v>0</v>
      </c>
      <c r="M788" t="n">
        <v>0</v>
      </c>
      <c r="N788" t="n">
        <v>0</v>
      </c>
      <c r="O788" t="n">
        <v>0</v>
      </c>
      <c r="P788" t="n">
        <v>0</v>
      </c>
      <c r="Q788" t="n">
        <v>0</v>
      </c>
      <c r="R788" s="2" t="inlineStr"/>
    </row>
    <row r="789" ht="15" customHeight="1">
      <c r="A789" t="inlineStr">
        <is>
          <t>A 30934-2023</t>
        </is>
      </c>
      <c r="B789" s="1" t="n">
        <v>45113</v>
      </c>
      <c r="C789" s="1" t="n">
        <v>45510</v>
      </c>
      <c r="D789" t="inlineStr">
        <is>
          <t>VÄSTERBOTTENS LÄN</t>
        </is>
      </c>
      <c r="E789" t="inlineStr">
        <is>
          <t>VILHELMINA</t>
        </is>
      </c>
      <c r="F789" t="inlineStr">
        <is>
          <t>Sveaskog</t>
        </is>
      </c>
      <c r="G789" t="n">
        <v>11.3</v>
      </c>
      <c r="H789" t="n">
        <v>0</v>
      </c>
      <c r="I789" t="n">
        <v>0</v>
      </c>
      <c r="J789" t="n">
        <v>0</v>
      </c>
      <c r="K789" t="n">
        <v>0</v>
      </c>
      <c r="L789" t="n">
        <v>0</v>
      </c>
      <c r="M789" t="n">
        <v>0</v>
      </c>
      <c r="N789" t="n">
        <v>0</v>
      </c>
      <c r="O789" t="n">
        <v>0</v>
      </c>
      <c r="P789" t="n">
        <v>0</v>
      </c>
      <c r="Q789" t="n">
        <v>0</v>
      </c>
      <c r="R789" s="2" t="inlineStr"/>
    </row>
    <row r="790" ht="15" customHeight="1">
      <c r="A790" t="inlineStr">
        <is>
          <t>A 31495-2023</t>
        </is>
      </c>
      <c r="B790" s="1" t="n">
        <v>45115</v>
      </c>
      <c r="C790" s="1" t="n">
        <v>45510</v>
      </c>
      <c r="D790" t="inlineStr">
        <is>
          <t>VÄSTERBOTTENS LÄN</t>
        </is>
      </c>
      <c r="E790" t="inlineStr">
        <is>
          <t>VILHELMINA</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31496-2023</t>
        </is>
      </c>
      <c r="B791" s="1" t="n">
        <v>45115</v>
      </c>
      <c r="C791" s="1" t="n">
        <v>45510</v>
      </c>
      <c r="D791" t="inlineStr">
        <is>
          <t>VÄSTERBOTTENS LÄN</t>
        </is>
      </c>
      <c r="E791" t="inlineStr">
        <is>
          <t>VILHELMINA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33349-2023</t>
        </is>
      </c>
      <c r="B792" s="1" t="n">
        <v>45117</v>
      </c>
      <c r="C792" s="1" t="n">
        <v>45510</v>
      </c>
      <c r="D792" t="inlineStr">
        <is>
          <t>VÄSTERBOTTENS LÄN</t>
        </is>
      </c>
      <c r="E792" t="inlineStr">
        <is>
          <t>VILHELMINA</t>
        </is>
      </c>
      <c r="G792" t="n">
        <v>1.3</v>
      </c>
      <c r="H792" t="n">
        <v>0</v>
      </c>
      <c r="I792" t="n">
        <v>0</v>
      </c>
      <c r="J792" t="n">
        <v>0</v>
      </c>
      <c r="K792" t="n">
        <v>0</v>
      </c>
      <c r="L792" t="n">
        <v>0</v>
      </c>
      <c r="M792" t="n">
        <v>0</v>
      </c>
      <c r="N792" t="n">
        <v>0</v>
      </c>
      <c r="O792" t="n">
        <v>0</v>
      </c>
      <c r="P792" t="n">
        <v>0</v>
      </c>
      <c r="Q792" t="n">
        <v>0</v>
      </c>
      <c r="R792" s="2" t="inlineStr"/>
    </row>
    <row r="793" ht="15" customHeight="1">
      <c r="A793" t="inlineStr">
        <is>
          <t>A 33412-2023</t>
        </is>
      </c>
      <c r="B793" s="1" t="n">
        <v>45117</v>
      </c>
      <c r="C793" s="1" t="n">
        <v>45510</v>
      </c>
      <c r="D793" t="inlineStr">
        <is>
          <t>VÄSTERBOTTENS LÄN</t>
        </is>
      </c>
      <c r="E793" t="inlineStr">
        <is>
          <t>VILHELMINA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33675-2023</t>
        </is>
      </c>
      <c r="B794" s="1" t="n">
        <v>45119</v>
      </c>
      <c r="C794" s="1" t="n">
        <v>45510</v>
      </c>
      <c r="D794" t="inlineStr">
        <is>
          <t>VÄSTERBOTTENS LÄN</t>
        </is>
      </c>
      <c r="E794" t="inlineStr">
        <is>
          <t>VILHELMINA</t>
        </is>
      </c>
      <c r="F794" t="inlineStr">
        <is>
          <t>Allmännings- och besparingsskogar</t>
        </is>
      </c>
      <c r="G794" t="n">
        <v>27.9</v>
      </c>
      <c r="H794" t="n">
        <v>0</v>
      </c>
      <c r="I794" t="n">
        <v>0</v>
      </c>
      <c r="J794" t="n">
        <v>0</v>
      </c>
      <c r="K794" t="n">
        <v>0</v>
      </c>
      <c r="L794" t="n">
        <v>0</v>
      </c>
      <c r="M794" t="n">
        <v>0</v>
      </c>
      <c r="N794" t="n">
        <v>0</v>
      </c>
      <c r="O794" t="n">
        <v>0</v>
      </c>
      <c r="P794" t="n">
        <v>0</v>
      </c>
      <c r="Q794" t="n">
        <v>0</v>
      </c>
      <c r="R794" s="2" t="inlineStr"/>
    </row>
    <row r="795" ht="15" customHeight="1">
      <c r="A795" t="inlineStr">
        <is>
          <t>A 33661-2023</t>
        </is>
      </c>
      <c r="B795" s="1" t="n">
        <v>45119</v>
      </c>
      <c r="C795" s="1" t="n">
        <v>45510</v>
      </c>
      <c r="D795" t="inlineStr">
        <is>
          <t>VÄSTERBOTTENS LÄN</t>
        </is>
      </c>
      <c r="E795" t="inlineStr">
        <is>
          <t>VILHELMINA</t>
        </is>
      </c>
      <c r="G795" t="n">
        <v>1.8</v>
      </c>
      <c r="H795" t="n">
        <v>0</v>
      </c>
      <c r="I795" t="n">
        <v>0</v>
      </c>
      <c r="J795" t="n">
        <v>0</v>
      </c>
      <c r="K795" t="n">
        <v>0</v>
      </c>
      <c r="L795" t="n">
        <v>0</v>
      </c>
      <c r="M795" t="n">
        <v>0</v>
      </c>
      <c r="N795" t="n">
        <v>0</v>
      </c>
      <c r="O795" t="n">
        <v>0</v>
      </c>
      <c r="P795" t="n">
        <v>0</v>
      </c>
      <c r="Q795" t="n">
        <v>0</v>
      </c>
      <c r="R795" s="2" t="inlineStr"/>
    </row>
    <row r="796" ht="15" customHeight="1">
      <c r="A796" t="inlineStr">
        <is>
          <t>A 33679-2023</t>
        </is>
      </c>
      <c r="B796" s="1" t="n">
        <v>45119</v>
      </c>
      <c r="C796" s="1" t="n">
        <v>45510</v>
      </c>
      <c r="D796" t="inlineStr">
        <is>
          <t>VÄSTERBOTTENS LÄN</t>
        </is>
      </c>
      <c r="E796" t="inlineStr">
        <is>
          <t>VILHELMINA</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34074-2023</t>
        </is>
      </c>
      <c r="B797" s="1" t="n">
        <v>45125</v>
      </c>
      <c r="C797" s="1" t="n">
        <v>45510</v>
      </c>
      <c r="D797" t="inlineStr">
        <is>
          <t>VÄSTERBOTTENS LÄN</t>
        </is>
      </c>
      <c r="E797" t="inlineStr">
        <is>
          <t>VILHELMINA</t>
        </is>
      </c>
      <c r="G797" t="n">
        <v>4.6</v>
      </c>
      <c r="H797" t="n">
        <v>0</v>
      </c>
      <c r="I797" t="n">
        <v>0</v>
      </c>
      <c r="J797" t="n">
        <v>0</v>
      </c>
      <c r="K797" t="n">
        <v>0</v>
      </c>
      <c r="L797" t="n">
        <v>0</v>
      </c>
      <c r="M797" t="n">
        <v>0</v>
      </c>
      <c r="N797" t="n">
        <v>0</v>
      </c>
      <c r="O797" t="n">
        <v>0</v>
      </c>
      <c r="P797" t="n">
        <v>0</v>
      </c>
      <c r="Q797" t="n">
        <v>0</v>
      </c>
      <c r="R797" s="2" t="inlineStr"/>
    </row>
    <row r="798" ht="15" customHeight="1">
      <c r="A798" t="inlineStr">
        <is>
          <t>A 34087-2023</t>
        </is>
      </c>
      <c r="B798" s="1" t="n">
        <v>45125</v>
      </c>
      <c r="C798" s="1" t="n">
        <v>45510</v>
      </c>
      <c r="D798" t="inlineStr">
        <is>
          <t>VÄSTERBOTTENS LÄN</t>
        </is>
      </c>
      <c r="E798" t="inlineStr">
        <is>
          <t>VILHELMINA</t>
        </is>
      </c>
      <c r="G798" t="n">
        <v>13.2</v>
      </c>
      <c r="H798" t="n">
        <v>0</v>
      </c>
      <c r="I798" t="n">
        <v>0</v>
      </c>
      <c r="J798" t="n">
        <v>0</v>
      </c>
      <c r="K798" t="n">
        <v>0</v>
      </c>
      <c r="L798" t="n">
        <v>0</v>
      </c>
      <c r="M798" t="n">
        <v>0</v>
      </c>
      <c r="N798" t="n">
        <v>0</v>
      </c>
      <c r="O798" t="n">
        <v>0</v>
      </c>
      <c r="P798" t="n">
        <v>0</v>
      </c>
      <c r="Q798" t="n">
        <v>0</v>
      </c>
      <c r="R798" s="2" t="inlineStr"/>
    </row>
    <row r="799" ht="15" customHeight="1">
      <c r="A799" t="inlineStr">
        <is>
          <t>A 34799-2023</t>
        </is>
      </c>
      <c r="B799" s="1" t="n">
        <v>45140</v>
      </c>
      <c r="C799" s="1" t="n">
        <v>45510</v>
      </c>
      <c r="D799" t="inlineStr">
        <is>
          <t>VÄSTERBOTTENS LÄN</t>
        </is>
      </c>
      <c r="E799" t="inlineStr">
        <is>
          <t>VILHELMINA</t>
        </is>
      </c>
      <c r="G799" t="n">
        <v>17.4</v>
      </c>
      <c r="H799" t="n">
        <v>0</v>
      </c>
      <c r="I799" t="n">
        <v>0</v>
      </c>
      <c r="J799" t="n">
        <v>0</v>
      </c>
      <c r="K799" t="n">
        <v>0</v>
      </c>
      <c r="L799" t="n">
        <v>0</v>
      </c>
      <c r="M799" t="n">
        <v>0</v>
      </c>
      <c r="N799" t="n">
        <v>0</v>
      </c>
      <c r="O799" t="n">
        <v>0</v>
      </c>
      <c r="P799" t="n">
        <v>0</v>
      </c>
      <c r="Q799" t="n">
        <v>0</v>
      </c>
      <c r="R799" s="2" t="inlineStr"/>
    </row>
    <row r="800" ht="15" customHeight="1">
      <c r="A800" t="inlineStr">
        <is>
          <t>A 34807-2023</t>
        </is>
      </c>
      <c r="B800" s="1" t="n">
        <v>45140</v>
      </c>
      <c r="C800" s="1" t="n">
        <v>45510</v>
      </c>
      <c r="D800" t="inlineStr">
        <is>
          <t>VÄSTERBOTTENS LÄN</t>
        </is>
      </c>
      <c r="E800" t="inlineStr">
        <is>
          <t>VILHELMINA</t>
        </is>
      </c>
      <c r="G800" t="n">
        <v>8.1</v>
      </c>
      <c r="H800" t="n">
        <v>0</v>
      </c>
      <c r="I800" t="n">
        <v>0</v>
      </c>
      <c r="J800" t="n">
        <v>0</v>
      </c>
      <c r="K800" t="n">
        <v>0</v>
      </c>
      <c r="L800" t="n">
        <v>0</v>
      </c>
      <c r="M800" t="n">
        <v>0</v>
      </c>
      <c r="N800" t="n">
        <v>0</v>
      </c>
      <c r="O800" t="n">
        <v>0</v>
      </c>
      <c r="P800" t="n">
        <v>0</v>
      </c>
      <c r="Q800" t="n">
        <v>0</v>
      </c>
      <c r="R800" s="2" t="inlineStr"/>
    </row>
    <row r="801" ht="15" customHeight="1">
      <c r="A801" t="inlineStr">
        <is>
          <t>A 34809-2023</t>
        </is>
      </c>
      <c r="B801" s="1" t="n">
        <v>45140</v>
      </c>
      <c r="C801" s="1" t="n">
        <v>45510</v>
      </c>
      <c r="D801" t="inlineStr">
        <is>
          <t>VÄSTERBOTTENS LÄN</t>
        </is>
      </c>
      <c r="E801" t="inlineStr">
        <is>
          <t>VILHELMINA</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34805-2023</t>
        </is>
      </c>
      <c r="B802" s="1" t="n">
        <v>45140</v>
      </c>
      <c r="C802" s="1" t="n">
        <v>45510</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35006-2023</t>
        </is>
      </c>
      <c r="B803" s="1" t="n">
        <v>45143</v>
      </c>
      <c r="C803" s="1" t="n">
        <v>45510</v>
      </c>
      <c r="D803" t="inlineStr">
        <is>
          <t>VÄSTERBOTTENS LÄN</t>
        </is>
      </c>
      <c r="E803" t="inlineStr">
        <is>
          <t>VILHELMINA</t>
        </is>
      </c>
      <c r="F803" t="inlineStr">
        <is>
          <t>SCA</t>
        </is>
      </c>
      <c r="G803" t="n">
        <v>11.6</v>
      </c>
      <c r="H803" t="n">
        <v>0</v>
      </c>
      <c r="I803" t="n">
        <v>0</v>
      </c>
      <c r="J803" t="n">
        <v>0</v>
      </c>
      <c r="K803" t="n">
        <v>0</v>
      </c>
      <c r="L803" t="n">
        <v>0</v>
      </c>
      <c r="M803" t="n">
        <v>0</v>
      </c>
      <c r="N803" t="n">
        <v>0</v>
      </c>
      <c r="O803" t="n">
        <v>0</v>
      </c>
      <c r="P803" t="n">
        <v>0</v>
      </c>
      <c r="Q803" t="n">
        <v>0</v>
      </c>
      <c r="R803" s="2" t="inlineStr"/>
    </row>
    <row r="804" ht="15" customHeight="1">
      <c r="A804" t="inlineStr">
        <is>
          <t>A 35018-2023</t>
        </is>
      </c>
      <c r="B804" s="1" t="n">
        <v>45142</v>
      </c>
      <c r="C804" s="1" t="n">
        <v>45510</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35289-2023</t>
        </is>
      </c>
      <c r="B805" s="1" t="n">
        <v>45145</v>
      </c>
      <c r="C805" s="1" t="n">
        <v>45510</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35758-2023</t>
        </is>
      </c>
      <c r="B806" s="1" t="n">
        <v>45148</v>
      </c>
      <c r="C806" s="1" t="n">
        <v>45510</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35755-2023</t>
        </is>
      </c>
      <c r="B807" s="1" t="n">
        <v>45148</v>
      </c>
      <c r="C807" s="1" t="n">
        <v>45510</v>
      </c>
      <c r="D807" t="inlineStr">
        <is>
          <t>VÄSTERBOTTENS LÄN</t>
        </is>
      </c>
      <c r="E807" t="inlineStr">
        <is>
          <t>VILHELMINA</t>
        </is>
      </c>
      <c r="F807" t="inlineStr">
        <is>
          <t>SCA</t>
        </is>
      </c>
      <c r="G807" t="n">
        <v>5.9</v>
      </c>
      <c r="H807" t="n">
        <v>0</v>
      </c>
      <c r="I807" t="n">
        <v>0</v>
      </c>
      <c r="J807" t="n">
        <v>0</v>
      </c>
      <c r="K807" t="n">
        <v>0</v>
      </c>
      <c r="L807" t="n">
        <v>0</v>
      </c>
      <c r="M807" t="n">
        <v>0</v>
      </c>
      <c r="N807" t="n">
        <v>0</v>
      </c>
      <c r="O807" t="n">
        <v>0</v>
      </c>
      <c r="P807" t="n">
        <v>0</v>
      </c>
      <c r="Q807" t="n">
        <v>0</v>
      </c>
      <c r="R807" s="2" t="inlineStr"/>
    </row>
    <row r="808" ht="15" customHeight="1">
      <c r="A808" t="inlineStr">
        <is>
          <t>A 35759-2023</t>
        </is>
      </c>
      <c r="B808" s="1" t="n">
        <v>45147</v>
      </c>
      <c r="C808" s="1" t="n">
        <v>45510</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35752-2023</t>
        </is>
      </c>
      <c r="B809" s="1" t="n">
        <v>45147</v>
      </c>
      <c r="C809" s="1" t="n">
        <v>45510</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35756-2023</t>
        </is>
      </c>
      <c r="B810" s="1" t="n">
        <v>45148</v>
      </c>
      <c r="C810" s="1" t="n">
        <v>45510</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35760-2023</t>
        </is>
      </c>
      <c r="B811" s="1" t="n">
        <v>45147</v>
      </c>
      <c r="C811" s="1" t="n">
        <v>45510</v>
      </c>
      <c r="D811" t="inlineStr">
        <is>
          <t>VÄSTERBOTTENS LÄN</t>
        </is>
      </c>
      <c r="E811" t="inlineStr">
        <is>
          <t>VILHELMINA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35753-2023</t>
        </is>
      </c>
      <c r="B812" s="1" t="n">
        <v>45148</v>
      </c>
      <c r="C812" s="1" t="n">
        <v>45510</v>
      </c>
      <c r="D812" t="inlineStr">
        <is>
          <t>VÄSTERBOTTENS LÄN</t>
        </is>
      </c>
      <c r="E812" t="inlineStr">
        <is>
          <t>VILHELMINA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35757-2023</t>
        </is>
      </c>
      <c r="B813" s="1" t="n">
        <v>45148</v>
      </c>
      <c r="C813" s="1" t="n">
        <v>45510</v>
      </c>
      <c r="D813" t="inlineStr">
        <is>
          <t>VÄSTERBOTTENS LÄN</t>
        </is>
      </c>
      <c r="E813" t="inlineStr">
        <is>
          <t>VILHELMINA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35968-2023</t>
        </is>
      </c>
      <c r="B814" s="1" t="n">
        <v>45149</v>
      </c>
      <c r="C814" s="1" t="n">
        <v>45510</v>
      </c>
      <c r="D814" t="inlineStr">
        <is>
          <t>VÄSTERBOTTENS LÄN</t>
        </is>
      </c>
      <c r="E814" t="inlineStr">
        <is>
          <t>VILHELMINA</t>
        </is>
      </c>
      <c r="G814" t="n">
        <v>0.8</v>
      </c>
      <c r="H814" t="n">
        <v>0</v>
      </c>
      <c r="I814" t="n">
        <v>0</v>
      </c>
      <c r="J814" t="n">
        <v>0</v>
      </c>
      <c r="K814" t="n">
        <v>0</v>
      </c>
      <c r="L814" t="n">
        <v>0</v>
      </c>
      <c r="M814" t="n">
        <v>0</v>
      </c>
      <c r="N814" t="n">
        <v>0</v>
      </c>
      <c r="O814" t="n">
        <v>0</v>
      </c>
      <c r="P814" t="n">
        <v>0</v>
      </c>
      <c r="Q814" t="n">
        <v>0</v>
      </c>
      <c r="R814" s="2" t="inlineStr"/>
    </row>
    <row r="815" ht="15" customHeight="1">
      <c r="A815" t="inlineStr">
        <is>
          <t>A 35984-2023</t>
        </is>
      </c>
      <c r="B815" s="1" t="n">
        <v>45149</v>
      </c>
      <c r="C815" s="1" t="n">
        <v>45510</v>
      </c>
      <c r="D815" t="inlineStr">
        <is>
          <t>VÄSTERBOTTENS LÄN</t>
        </is>
      </c>
      <c r="E815" t="inlineStr">
        <is>
          <t>VILHELMINA</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35983-2023</t>
        </is>
      </c>
      <c r="B816" s="1" t="n">
        <v>45149</v>
      </c>
      <c r="C816" s="1" t="n">
        <v>45510</v>
      </c>
      <c r="D816" t="inlineStr">
        <is>
          <t>VÄSTERBOTTENS LÄN</t>
        </is>
      </c>
      <c r="E816" t="inlineStr">
        <is>
          <t>VILHELMINA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35985-2023</t>
        </is>
      </c>
      <c r="B817" s="1" t="n">
        <v>45148</v>
      </c>
      <c r="C817" s="1" t="n">
        <v>45510</v>
      </c>
      <c r="D817" t="inlineStr">
        <is>
          <t>VÄSTERBOTTENS LÄN</t>
        </is>
      </c>
      <c r="E817" t="inlineStr">
        <is>
          <t>VILHELMINA</t>
        </is>
      </c>
      <c r="F817" t="inlineStr">
        <is>
          <t>SCA</t>
        </is>
      </c>
      <c r="G817" t="n">
        <v>43.8</v>
      </c>
      <c r="H817" t="n">
        <v>0</v>
      </c>
      <c r="I817" t="n">
        <v>0</v>
      </c>
      <c r="J817" t="n">
        <v>0</v>
      </c>
      <c r="K817" t="n">
        <v>0</v>
      </c>
      <c r="L817" t="n">
        <v>0</v>
      </c>
      <c r="M817" t="n">
        <v>0</v>
      </c>
      <c r="N817" t="n">
        <v>0</v>
      </c>
      <c r="O817" t="n">
        <v>0</v>
      </c>
      <c r="P817" t="n">
        <v>0</v>
      </c>
      <c r="Q817" t="n">
        <v>0</v>
      </c>
      <c r="R817" s="2" t="inlineStr"/>
    </row>
    <row r="818" ht="15" customHeight="1">
      <c r="A818" t="inlineStr">
        <is>
          <t>A 36214-2023</t>
        </is>
      </c>
      <c r="B818" s="1" t="n">
        <v>45150</v>
      </c>
      <c r="C818" s="1" t="n">
        <v>45510</v>
      </c>
      <c r="D818" t="inlineStr">
        <is>
          <t>VÄSTERBOTTENS LÄN</t>
        </is>
      </c>
      <c r="E818" t="inlineStr">
        <is>
          <t>VILHELMINA</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36219-2023</t>
        </is>
      </c>
      <c r="B819" s="1" t="n">
        <v>45150</v>
      </c>
      <c r="C819" s="1" t="n">
        <v>45510</v>
      </c>
      <c r="D819" t="inlineStr">
        <is>
          <t>VÄSTERBOTTENS LÄN</t>
        </is>
      </c>
      <c r="E819" t="inlineStr">
        <is>
          <t>VILHELMINA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36215-2023</t>
        </is>
      </c>
      <c r="B820" s="1" t="n">
        <v>45150</v>
      </c>
      <c r="C820" s="1" t="n">
        <v>45510</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36216-2023</t>
        </is>
      </c>
      <c r="B821" s="1" t="n">
        <v>45150</v>
      </c>
      <c r="C821" s="1" t="n">
        <v>45510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36221-2023</t>
        </is>
      </c>
      <c r="B822" s="1" t="n">
        <v>45150</v>
      </c>
      <c r="C822" s="1" t="n">
        <v>45510</v>
      </c>
      <c r="D822" t="inlineStr">
        <is>
          <t>VÄSTERBOTTENS LÄN</t>
        </is>
      </c>
      <c r="E822" t="inlineStr">
        <is>
          <t>VILHELMINA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36217-2023</t>
        </is>
      </c>
      <c r="B823" s="1" t="n">
        <v>45150</v>
      </c>
      <c r="C823" s="1" t="n">
        <v>45510</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36408-2023</t>
        </is>
      </c>
      <c r="B824" s="1" t="n">
        <v>45152</v>
      </c>
      <c r="C824" s="1" t="n">
        <v>45510</v>
      </c>
      <c r="D824" t="inlineStr">
        <is>
          <t>VÄSTERBOTTENS LÄN</t>
        </is>
      </c>
      <c r="E824" t="inlineStr">
        <is>
          <t>VILHELMINA</t>
        </is>
      </c>
      <c r="G824" t="n">
        <v>4.4</v>
      </c>
      <c r="H824" t="n">
        <v>0</v>
      </c>
      <c r="I824" t="n">
        <v>0</v>
      </c>
      <c r="J824" t="n">
        <v>0</v>
      </c>
      <c r="K824" t="n">
        <v>0</v>
      </c>
      <c r="L824" t="n">
        <v>0</v>
      </c>
      <c r="M824" t="n">
        <v>0</v>
      </c>
      <c r="N824" t="n">
        <v>0</v>
      </c>
      <c r="O824" t="n">
        <v>0</v>
      </c>
      <c r="P824" t="n">
        <v>0</v>
      </c>
      <c r="Q824" t="n">
        <v>0</v>
      </c>
      <c r="R824" s="2" t="inlineStr"/>
    </row>
    <row r="825" ht="15" customHeight="1">
      <c r="A825" t="inlineStr">
        <is>
          <t>A 36376-2023</t>
        </is>
      </c>
      <c r="B825" s="1" t="n">
        <v>45152</v>
      </c>
      <c r="C825" s="1" t="n">
        <v>45510</v>
      </c>
      <c r="D825" t="inlineStr">
        <is>
          <t>VÄSTERBOTTENS LÄN</t>
        </is>
      </c>
      <c r="E825" t="inlineStr">
        <is>
          <t>VILHELMINA</t>
        </is>
      </c>
      <c r="G825" t="n">
        <v>12.7</v>
      </c>
      <c r="H825" t="n">
        <v>0</v>
      </c>
      <c r="I825" t="n">
        <v>0</v>
      </c>
      <c r="J825" t="n">
        <v>0</v>
      </c>
      <c r="K825" t="n">
        <v>0</v>
      </c>
      <c r="L825" t="n">
        <v>0</v>
      </c>
      <c r="M825" t="n">
        <v>0</v>
      </c>
      <c r="N825" t="n">
        <v>0</v>
      </c>
      <c r="O825" t="n">
        <v>0</v>
      </c>
      <c r="P825" t="n">
        <v>0</v>
      </c>
      <c r="Q825" t="n">
        <v>0</v>
      </c>
      <c r="R825" s="2" t="inlineStr"/>
    </row>
    <row r="826" ht="15" customHeight="1">
      <c r="A826" t="inlineStr">
        <is>
          <t>A 36957-2023</t>
        </is>
      </c>
      <c r="B826" s="1" t="n">
        <v>45155</v>
      </c>
      <c r="C826" s="1" t="n">
        <v>45510</v>
      </c>
      <c r="D826" t="inlineStr">
        <is>
          <t>VÄSTERBOTTENS LÄN</t>
        </is>
      </c>
      <c r="E826" t="inlineStr">
        <is>
          <t>VILHELMINA</t>
        </is>
      </c>
      <c r="G826" t="n">
        <v>0.5</v>
      </c>
      <c r="H826" t="n">
        <v>0</v>
      </c>
      <c r="I826" t="n">
        <v>0</v>
      </c>
      <c r="J826" t="n">
        <v>0</v>
      </c>
      <c r="K826" t="n">
        <v>0</v>
      </c>
      <c r="L826" t="n">
        <v>0</v>
      </c>
      <c r="M826" t="n">
        <v>0</v>
      </c>
      <c r="N826" t="n">
        <v>0</v>
      </c>
      <c r="O826" t="n">
        <v>0</v>
      </c>
      <c r="P826" t="n">
        <v>0</v>
      </c>
      <c r="Q826" t="n">
        <v>0</v>
      </c>
      <c r="R826" s="2" t="inlineStr"/>
    </row>
    <row r="827" ht="15" customHeight="1">
      <c r="A827" t="inlineStr">
        <is>
          <t>A 36972-2023</t>
        </is>
      </c>
      <c r="B827" s="1" t="n">
        <v>45154</v>
      </c>
      <c r="C827" s="1" t="n">
        <v>45510</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36996-2023</t>
        </is>
      </c>
      <c r="B828" s="1" t="n">
        <v>45155</v>
      </c>
      <c r="C828" s="1" t="n">
        <v>45510</v>
      </c>
      <c r="D828" t="inlineStr">
        <is>
          <t>VÄSTERBOTTENS LÄN</t>
        </is>
      </c>
      <c r="E828" t="inlineStr">
        <is>
          <t>VILHELMINA</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36995-2023</t>
        </is>
      </c>
      <c r="B829" s="1" t="n">
        <v>45154</v>
      </c>
      <c r="C829" s="1" t="n">
        <v>45510</v>
      </c>
      <c r="D829" t="inlineStr">
        <is>
          <t>VÄSTERBOTTENS LÄN</t>
        </is>
      </c>
      <c r="E829" t="inlineStr">
        <is>
          <t>VILHELMINA</t>
        </is>
      </c>
      <c r="F829" t="inlineStr">
        <is>
          <t>SCA</t>
        </is>
      </c>
      <c r="G829" t="n">
        <v>31.7</v>
      </c>
      <c r="H829" t="n">
        <v>0</v>
      </c>
      <c r="I829" t="n">
        <v>0</v>
      </c>
      <c r="J829" t="n">
        <v>0</v>
      </c>
      <c r="K829" t="n">
        <v>0</v>
      </c>
      <c r="L829" t="n">
        <v>0</v>
      </c>
      <c r="M829" t="n">
        <v>0</v>
      </c>
      <c r="N829" t="n">
        <v>0</v>
      </c>
      <c r="O829" t="n">
        <v>0</v>
      </c>
      <c r="P829" t="n">
        <v>0</v>
      </c>
      <c r="Q829" t="n">
        <v>0</v>
      </c>
      <c r="R829" s="2" t="inlineStr"/>
    </row>
    <row r="830" ht="15" customHeight="1">
      <c r="A830" t="inlineStr">
        <is>
          <t>A 37413-2023</t>
        </is>
      </c>
      <c r="B830" s="1" t="n">
        <v>45155</v>
      </c>
      <c r="C830" s="1" t="n">
        <v>45510</v>
      </c>
      <c r="D830" t="inlineStr">
        <is>
          <t>VÄSTERBOTTENS LÄN</t>
        </is>
      </c>
      <c r="E830" t="inlineStr">
        <is>
          <t>VILHELMINA</t>
        </is>
      </c>
      <c r="G830" t="n">
        <v>12.3</v>
      </c>
      <c r="H830" t="n">
        <v>0</v>
      </c>
      <c r="I830" t="n">
        <v>0</v>
      </c>
      <c r="J830" t="n">
        <v>0</v>
      </c>
      <c r="K830" t="n">
        <v>0</v>
      </c>
      <c r="L830" t="n">
        <v>0</v>
      </c>
      <c r="M830" t="n">
        <v>0</v>
      </c>
      <c r="N830" t="n">
        <v>0</v>
      </c>
      <c r="O830" t="n">
        <v>0</v>
      </c>
      <c r="P830" t="n">
        <v>0</v>
      </c>
      <c r="Q830" t="n">
        <v>0</v>
      </c>
      <c r="R830" s="2" t="inlineStr"/>
    </row>
    <row r="831" ht="15" customHeight="1">
      <c r="A831" t="inlineStr">
        <is>
          <t>A 37406-2023</t>
        </is>
      </c>
      <c r="B831" s="1" t="n">
        <v>45155</v>
      </c>
      <c r="C831" s="1" t="n">
        <v>45510</v>
      </c>
      <c r="D831" t="inlineStr">
        <is>
          <t>VÄSTERBOTTENS LÄN</t>
        </is>
      </c>
      <c r="E831" t="inlineStr">
        <is>
          <t>VILHELMINA</t>
        </is>
      </c>
      <c r="G831" t="n">
        <v>13.2</v>
      </c>
      <c r="H831" t="n">
        <v>0</v>
      </c>
      <c r="I831" t="n">
        <v>0</v>
      </c>
      <c r="J831" t="n">
        <v>0</v>
      </c>
      <c r="K831" t="n">
        <v>0</v>
      </c>
      <c r="L831" t="n">
        <v>0</v>
      </c>
      <c r="M831" t="n">
        <v>0</v>
      </c>
      <c r="N831" t="n">
        <v>0</v>
      </c>
      <c r="O831" t="n">
        <v>0</v>
      </c>
      <c r="P831" t="n">
        <v>0</v>
      </c>
      <c r="Q831" t="n">
        <v>0</v>
      </c>
      <c r="R831" s="2" t="inlineStr"/>
    </row>
    <row r="832" ht="15" customHeight="1">
      <c r="A832" t="inlineStr">
        <is>
          <t>A 37773-2023</t>
        </is>
      </c>
      <c r="B832" s="1" t="n">
        <v>45156</v>
      </c>
      <c r="C832" s="1" t="n">
        <v>45510</v>
      </c>
      <c r="D832" t="inlineStr">
        <is>
          <t>VÄSTERBOTTENS LÄN</t>
        </is>
      </c>
      <c r="E832" t="inlineStr">
        <is>
          <t>VILHELMINA</t>
        </is>
      </c>
      <c r="G832" t="n">
        <v>6.5</v>
      </c>
      <c r="H832" t="n">
        <v>0</v>
      </c>
      <c r="I832" t="n">
        <v>0</v>
      </c>
      <c r="J832" t="n">
        <v>0</v>
      </c>
      <c r="K832" t="n">
        <v>0</v>
      </c>
      <c r="L832" t="n">
        <v>0</v>
      </c>
      <c r="M832" t="n">
        <v>0</v>
      </c>
      <c r="N832" t="n">
        <v>0</v>
      </c>
      <c r="O832" t="n">
        <v>0</v>
      </c>
      <c r="P832" t="n">
        <v>0</v>
      </c>
      <c r="Q832" t="n">
        <v>0</v>
      </c>
      <c r="R832" s="2" t="inlineStr"/>
    </row>
    <row r="833" ht="15" customHeight="1">
      <c r="A833" t="inlineStr">
        <is>
          <t>A 37505-2023</t>
        </is>
      </c>
      <c r="B833" s="1" t="n">
        <v>45158</v>
      </c>
      <c r="C833" s="1" t="n">
        <v>45510</v>
      </c>
      <c r="D833" t="inlineStr">
        <is>
          <t>VÄSTERBOTTENS LÄN</t>
        </is>
      </c>
      <c r="E833" t="inlineStr">
        <is>
          <t>VILHELMINA</t>
        </is>
      </c>
      <c r="G833" t="n">
        <v>10.5</v>
      </c>
      <c r="H833" t="n">
        <v>0</v>
      </c>
      <c r="I833" t="n">
        <v>0</v>
      </c>
      <c r="J833" t="n">
        <v>0</v>
      </c>
      <c r="K833" t="n">
        <v>0</v>
      </c>
      <c r="L833" t="n">
        <v>0</v>
      </c>
      <c r="M833" t="n">
        <v>0</v>
      </c>
      <c r="N833" t="n">
        <v>0</v>
      </c>
      <c r="O833" t="n">
        <v>0</v>
      </c>
      <c r="P833" t="n">
        <v>0</v>
      </c>
      <c r="Q833" t="n">
        <v>0</v>
      </c>
      <c r="R833" s="2" t="inlineStr"/>
    </row>
    <row r="834" ht="15" customHeight="1">
      <c r="A834" t="inlineStr">
        <is>
          <t>A 37937-2023</t>
        </is>
      </c>
      <c r="B834" s="1" t="n">
        <v>45159</v>
      </c>
      <c r="C834" s="1" t="n">
        <v>45510</v>
      </c>
      <c r="D834" t="inlineStr">
        <is>
          <t>VÄSTERBOTTENS LÄN</t>
        </is>
      </c>
      <c r="E834" t="inlineStr">
        <is>
          <t>VILHELMINA</t>
        </is>
      </c>
      <c r="G834" t="n">
        <v>2.2</v>
      </c>
      <c r="H834" t="n">
        <v>0</v>
      </c>
      <c r="I834" t="n">
        <v>0</v>
      </c>
      <c r="J834" t="n">
        <v>0</v>
      </c>
      <c r="K834" t="n">
        <v>0</v>
      </c>
      <c r="L834" t="n">
        <v>0</v>
      </c>
      <c r="M834" t="n">
        <v>0</v>
      </c>
      <c r="N834" t="n">
        <v>0</v>
      </c>
      <c r="O834" t="n">
        <v>0</v>
      </c>
      <c r="P834" t="n">
        <v>0</v>
      </c>
      <c r="Q834" t="n">
        <v>0</v>
      </c>
      <c r="R834" s="2" t="inlineStr"/>
    </row>
    <row r="835" ht="15" customHeight="1">
      <c r="A835" t="inlineStr">
        <is>
          <t>A 38363-2023</t>
        </is>
      </c>
      <c r="B835" s="1" t="n">
        <v>45161</v>
      </c>
      <c r="C835" s="1" t="n">
        <v>45510</v>
      </c>
      <c r="D835" t="inlineStr">
        <is>
          <t>VÄSTERBOTTENS LÄN</t>
        </is>
      </c>
      <c r="E835" t="inlineStr">
        <is>
          <t>VILHELMINA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38364-2023</t>
        </is>
      </c>
      <c r="B836" s="1" t="n">
        <v>45161</v>
      </c>
      <c r="C836" s="1" t="n">
        <v>45510</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38361-2023</t>
        </is>
      </c>
      <c r="B837" s="1" t="n">
        <v>45162</v>
      </c>
      <c r="C837" s="1" t="n">
        <v>45510</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38829-2023</t>
        </is>
      </c>
      <c r="B838" s="1" t="n">
        <v>45161</v>
      </c>
      <c r="C838" s="1" t="n">
        <v>45510</v>
      </c>
      <c r="D838" t="inlineStr">
        <is>
          <t>VÄSTERBOTTENS LÄN</t>
        </is>
      </c>
      <c r="E838" t="inlineStr">
        <is>
          <t>VILHELMINA</t>
        </is>
      </c>
      <c r="G838" t="n">
        <v>9.9</v>
      </c>
      <c r="H838" t="n">
        <v>0</v>
      </c>
      <c r="I838" t="n">
        <v>0</v>
      </c>
      <c r="J838" t="n">
        <v>0</v>
      </c>
      <c r="K838" t="n">
        <v>0</v>
      </c>
      <c r="L838" t="n">
        <v>0</v>
      </c>
      <c r="M838" t="n">
        <v>0</v>
      </c>
      <c r="N838" t="n">
        <v>0</v>
      </c>
      <c r="O838" t="n">
        <v>0</v>
      </c>
      <c r="P838" t="n">
        <v>0</v>
      </c>
      <c r="Q838" t="n">
        <v>0</v>
      </c>
      <c r="R838" s="2" t="inlineStr"/>
    </row>
    <row r="839" ht="15" customHeight="1">
      <c r="A839" t="inlineStr">
        <is>
          <t>A 38674-2023</t>
        </is>
      </c>
      <c r="B839" s="1" t="n">
        <v>45163</v>
      </c>
      <c r="C839" s="1" t="n">
        <v>45510</v>
      </c>
      <c r="D839" t="inlineStr">
        <is>
          <t>VÄSTERBOTTENS LÄN</t>
        </is>
      </c>
      <c r="E839" t="inlineStr">
        <is>
          <t>VILHELMINA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39914-2023</t>
        </is>
      </c>
      <c r="B840" s="1" t="n">
        <v>45166</v>
      </c>
      <c r="C840" s="1" t="n">
        <v>45510</v>
      </c>
      <c r="D840" t="inlineStr">
        <is>
          <t>VÄSTERBOTTENS LÄN</t>
        </is>
      </c>
      <c r="E840" t="inlineStr">
        <is>
          <t>VILHELMINA</t>
        </is>
      </c>
      <c r="G840" t="n">
        <v>27.5</v>
      </c>
      <c r="H840" t="n">
        <v>0</v>
      </c>
      <c r="I840" t="n">
        <v>0</v>
      </c>
      <c r="J840" t="n">
        <v>0</v>
      </c>
      <c r="K840" t="n">
        <v>0</v>
      </c>
      <c r="L840" t="n">
        <v>0</v>
      </c>
      <c r="M840" t="n">
        <v>0</v>
      </c>
      <c r="N840" t="n">
        <v>0</v>
      </c>
      <c r="O840" t="n">
        <v>0</v>
      </c>
      <c r="P840" t="n">
        <v>0</v>
      </c>
      <c r="Q840" t="n">
        <v>0</v>
      </c>
      <c r="R840" s="2" t="inlineStr"/>
    </row>
    <row r="841" ht="15" customHeight="1">
      <c r="A841" t="inlineStr">
        <is>
          <t>A 40431-2023</t>
        </is>
      </c>
      <c r="B841" s="1" t="n">
        <v>45170</v>
      </c>
      <c r="C841" s="1" t="n">
        <v>45510</v>
      </c>
      <c r="D841" t="inlineStr">
        <is>
          <t>VÄSTERBOTTENS LÄN</t>
        </is>
      </c>
      <c r="E841" t="inlineStr">
        <is>
          <t>VILHELMINA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40426-2023</t>
        </is>
      </c>
      <c r="B842" s="1" t="n">
        <v>45169</v>
      </c>
      <c r="C842" s="1" t="n">
        <v>45510</v>
      </c>
      <c r="D842" t="inlineStr">
        <is>
          <t>VÄSTERBOTTENS LÄN</t>
        </is>
      </c>
      <c r="E842" t="inlineStr">
        <is>
          <t>VILHELMINA</t>
        </is>
      </c>
      <c r="F842" t="inlineStr">
        <is>
          <t>SCA</t>
        </is>
      </c>
      <c r="G842" t="n">
        <v>12.6</v>
      </c>
      <c r="H842" t="n">
        <v>0</v>
      </c>
      <c r="I842" t="n">
        <v>0</v>
      </c>
      <c r="J842" t="n">
        <v>0</v>
      </c>
      <c r="K842" t="n">
        <v>0</v>
      </c>
      <c r="L842" t="n">
        <v>0</v>
      </c>
      <c r="M842" t="n">
        <v>0</v>
      </c>
      <c r="N842" t="n">
        <v>0</v>
      </c>
      <c r="O842" t="n">
        <v>0</v>
      </c>
      <c r="P842" t="n">
        <v>0</v>
      </c>
      <c r="Q842" t="n">
        <v>0</v>
      </c>
      <c r="R842" s="2" t="inlineStr"/>
    </row>
    <row r="843" ht="15" customHeight="1">
      <c r="A843" t="inlineStr">
        <is>
          <t>A 40649-2023</t>
        </is>
      </c>
      <c r="B843" s="1" t="n">
        <v>45170</v>
      </c>
      <c r="C843" s="1" t="n">
        <v>45510</v>
      </c>
      <c r="D843" t="inlineStr">
        <is>
          <t>VÄSTERBOTTENS LÄN</t>
        </is>
      </c>
      <c r="E843" t="inlineStr">
        <is>
          <t>VILHELMINA</t>
        </is>
      </c>
      <c r="G843" t="n">
        <v>18.5</v>
      </c>
      <c r="H843" t="n">
        <v>0</v>
      </c>
      <c r="I843" t="n">
        <v>0</v>
      </c>
      <c r="J843" t="n">
        <v>0</v>
      </c>
      <c r="K843" t="n">
        <v>0</v>
      </c>
      <c r="L843" t="n">
        <v>0</v>
      </c>
      <c r="M843" t="n">
        <v>0</v>
      </c>
      <c r="N843" t="n">
        <v>0</v>
      </c>
      <c r="O843" t="n">
        <v>0</v>
      </c>
      <c r="P843" t="n">
        <v>0</v>
      </c>
      <c r="Q843" t="n">
        <v>0</v>
      </c>
      <c r="R843" s="2" t="inlineStr"/>
    </row>
    <row r="844" ht="15" customHeight="1">
      <c r="A844" t="inlineStr">
        <is>
          <t>A 40785-2023</t>
        </is>
      </c>
      <c r="B844" s="1" t="n">
        <v>45171</v>
      </c>
      <c r="C844" s="1" t="n">
        <v>45510</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40781-2023</t>
        </is>
      </c>
      <c r="B845" s="1" t="n">
        <v>45171</v>
      </c>
      <c r="C845" s="1" t="n">
        <v>45510</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40782-2023</t>
        </is>
      </c>
      <c r="B846" s="1" t="n">
        <v>45171</v>
      </c>
      <c r="C846" s="1" t="n">
        <v>45510</v>
      </c>
      <c r="D846" t="inlineStr">
        <is>
          <t>VÄSTERBOTTENS LÄN</t>
        </is>
      </c>
      <c r="E846" t="inlineStr">
        <is>
          <t>VILHELMINA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40783-2023</t>
        </is>
      </c>
      <c r="B847" s="1" t="n">
        <v>45171</v>
      </c>
      <c r="C847" s="1" t="n">
        <v>45510</v>
      </c>
      <c r="D847" t="inlineStr">
        <is>
          <t>VÄSTERBOTTENS LÄN</t>
        </is>
      </c>
      <c r="E847" t="inlineStr">
        <is>
          <t>VILHELMINA</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40787-2023</t>
        </is>
      </c>
      <c r="B848" s="1" t="n">
        <v>45171</v>
      </c>
      <c r="C848" s="1" t="n">
        <v>45510</v>
      </c>
      <c r="D848" t="inlineStr">
        <is>
          <t>VÄSTERBOTTENS LÄN</t>
        </is>
      </c>
      <c r="E848" t="inlineStr">
        <is>
          <t>VILHELMINA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40784-2023</t>
        </is>
      </c>
      <c r="B849" s="1" t="n">
        <v>45171</v>
      </c>
      <c r="C849" s="1" t="n">
        <v>45510</v>
      </c>
      <c r="D849" t="inlineStr">
        <is>
          <t>VÄSTERBOTTENS LÄN</t>
        </is>
      </c>
      <c r="E849" t="inlineStr">
        <is>
          <t>VILHELMINA</t>
        </is>
      </c>
      <c r="F849" t="inlineStr">
        <is>
          <t>SCA</t>
        </is>
      </c>
      <c r="G849" t="n">
        <v>9.1</v>
      </c>
      <c r="H849" t="n">
        <v>0</v>
      </c>
      <c r="I849" t="n">
        <v>0</v>
      </c>
      <c r="J849" t="n">
        <v>0</v>
      </c>
      <c r="K849" t="n">
        <v>0</v>
      </c>
      <c r="L849" t="n">
        <v>0</v>
      </c>
      <c r="M849" t="n">
        <v>0</v>
      </c>
      <c r="N849" t="n">
        <v>0</v>
      </c>
      <c r="O849" t="n">
        <v>0</v>
      </c>
      <c r="P849" t="n">
        <v>0</v>
      </c>
      <c r="Q849" t="n">
        <v>0</v>
      </c>
      <c r="R849" s="2" t="inlineStr"/>
    </row>
    <row r="850" ht="15" customHeight="1">
      <c r="A850" t="inlineStr">
        <is>
          <t>A 40780-2023</t>
        </is>
      </c>
      <c r="B850" s="1" t="n">
        <v>45170</v>
      </c>
      <c r="C850" s="1" t="n">
        <v>45510</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40908-2023</t>
        </is>
      </c>
      <c r="B851" s="1" t="n">
        <v>45173</v>
      </c>
      <c r="C851" s="1" t="n">
        <v>45510</v>
      </c>
      <c r="D851" t="inlineStr">
        <is>
          <t>VÄSTERBOTTENS LÄN</t>
        </is>
      </c>
      <c r="E851" t="inlineStr">
        <is>
          <t>VILHELMINA</t>
        </is>
      </c>
      <c r="G851" t="n">
        <v>3.3</v>
      </c>
      <c r="H851" t="n">
        <v>0</v>
      </c>
      <c r="I851" t="n">
        <v>0</v>
      </c>
      <c r="J851" t="n">
        <v>0</v>
      </c>
      <c r="K851" t="n">
        <v>0</v>
      </c>
      <c r="L851" t="n">
        <v>0</v>
      </c>
      <c r="M851" t="n">
        <v>0</v>
      </c>
      <c r="N851" t="n">
        <v>0</v>
      </c>
      <c r="O851" t="n">
        <v>0</v>
      </c>
      <c r="P851" t="n">
        <v>0</v>
      </c>
      <c r="Q851" t="n">
        <v>0</v>
      </c>
      <c r="R851" s="2" t="inlineStr"/>
    </row>
    <row r="852" ht="15" customHeight="1">
      <c r="A852" t="inlineStr">
        <is>
          <t>A 41931-2023</t>
        </is>
      </c>
      <c r="B852" s="1" t="n">
        <v>45177</v>
      </c>
      <c r="C852" s="1" t="n">
        <v>45510</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41930-2023</t>
        </is>
      </c>
      <c r="B853" s="1" t="n">
        <v>45177</v>
      </c>
      <c r="C853" s="1" t="n">
        <v>45510</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41932-2023</t>
        </is>
      </c>
      <c r="B854" s="1" t="n">
        <v>45177</v>
      </c>
      <c r="C854" s="1" t="n">
        <v>45510</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43637-2023</t>
        </is>
      </c>
      <c r="B855" s="1" t="n">
        <v>45186</v>
      </c>
      <c r="C855" s="1" t="n">
        <v>45510</v>
      </c>
      <c r="D855" t="inlineStr">
        <is>
          <t>VÄSTERBOTTENS LÄN</t>
        </is>
      </c>
      <c r="E855" t="inlineStr">
        <is>
          <t>VILHELMINA</t>
        </is>
      </c>
      <c r="G855" t="n">
        <v>3.3</v>
      </c>
      <c r="H855" t="n">
        <v>0</v>
      </c>
      <c r="I855" t="n">
        <v>0</v>
      </c>
      <c r="J855" t="n">
        <v>0</v>
      </c>
      <c r="K855" t="n">
        <v>0</v>
      </c>
      <c r="L855" t="n">
        <v>0</v>
      </c>
      <c r="M855" t="n">
        <v>0</v>
      </c>
      <c r="N855" t="n">
        <v>0</v>
      </c>
      <c r="O855" t="n">
        <v>0</v>
      </c>
      <c r="P855" t="n">
        <v>0</v>
      </c>
      <c r="Q855" t="n">
        <v>0</v>
      </c>
      <c r="R855" s="2" t="inlineStr"/>
    </row>
    <row r="856" ht="15" customHeight="1">
      <c r="A856" t="inlineStr">
        <is>
          <t>A 43948-2023</t>
        </is>
      </c>
      <c r="B856" s="1" t="n">
        <v>45187</v>
      </c>
      <c r="C856" s="1" t="n">
        <v>45510</v>
      </c>
      <c r="D856" t="inlineStr">
        <is>
          <t>VÄSTERBOTTENS LÄN</t>
        </is>
      </c>
      <c r="E856" t="inlineStr">
        <is>
          <t>VILHELMINA</t>
        </is>
      </c>
      <c r="G856" t="n">
        <v>3.7</v>
      </c>
      <c r="H856" t="n">
        <v>0</v>
      </c>
      <c r="I856" t="n">
        <v>0</v>
      </c>
      <c r="J856" t="n">
        <v>0</v>
      </c>
      <c r="K856" t="n">
        <v>0</v>
      </c>
      <c r="L856" t="n">
        <v>0</v>
      </c>
      <c r="M856" t="n">
        <v>0</v>
      </c>
      <c r="N856" t="n">
        <v>0</v>
      </c>
      <c r="O856" t="n">
        <v>0</v>
      </c>
      <c r="P856" t="n">
        <v>0</v>
      </c>
      <c r="Q856" t="n">
        <v>0</v>
      </c>
      <c r="R856" s="2" t="inlineStr"/>
    </row>
    <row r="857" ht="15" customHeight="1">
      <c r="A857" t="inlineStr">
        <is>
          <t>A 45219-2023</t>
        </is>
      </c>
      <c r="B857" s="1" t="n">
        <v>45187</v>
      </c>
      <c r="C857" s="1" t="n">
        <v>45510</v>
      </c>
      <c r="D857" t="inlineStr">
        <is>
          <t>VÄSTERBOTTENS LÄN</t>
        </is>
      </c>
      <c r="E857" t="inlineStr">
        <is>
          <t>VILHELMINA</t>
        </is>
      </c>
      <c r="G857" t="n">
        <v>10.6</v>
      </c>
      <c r="H857" t="n">
        <v>0</v>
      </c>
      <c r="I857" t="n">
        <v>0</v>
      </c>
      <c r="J857" t="n">
        <v>0</v>
      </c>
      <c r="K857" t="n">
        <v>0</v>
      </c>
      <c r="L857" t="n">
        <v>0</v>
      </c>
      <c r="M857" t="n">
        <v>0</v>
      </c>
      <c r="N857" t="n">
        <v>0</v>
      </c>
      <c r="O857" t="n">
        <v>0</v>
      </c>
      <c r="P857" t="n">
        <v>0</v>
      </c>
      <c r="Q857" t="n">
        <v>0</v>
      </c>
      <c r="R857" s="2" t="inlineStr"/>
    </row>
    <row r="858" ht="15" customHeight="1">
      <c r="A858" t="inlineStr">
        <is>
          <t>A 43990-2023</t>
        </is>
      </c>
      <c r="B858" s="1" t="n">
        <v>45188</v>
      </c>
      <c r="C858" s="1" t="n">
        <v>45510</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45215-2023</t>
        </is>
      </c>
      <c r="B859" s="1" t="n">
        <v>45187</v>
      </c>
      <c r="C859" s="1" t="n">
        <v>45510</v>
      </c>
      <c r="D859" t="inlineStr">
        <is>
          <t>VÄSTERBOTTENS LÄN</t>
        </is>
      </c>
      <c r="E859" t="inlineStr">
        <is>
          <t>VILHELMINA</t>
        </is>
      </c>
      <c r="F859" t="inlineStr">
        <is>
          <t>Kommuner</t>
        </is>
      </c>
      <c r="G859" t="n">
        <v>8.6</v>
      </c>
      <c r="H859" t="n">
        <v>0</v>
      </c>
      <c r="I859" t="n">
        <v>0</v>
      </c>
      <c r="J859" t="n">
        <v>0</v>
      </c>
      <c r="K859" t="n">
        <v>0</v>
      </c>
      <c r="L859" t="n">
        <v>0</v>
      </c>
      <c r="M859" t="n">
        <v>0</v>
      </c>
      <c r="N859" t="n">
        <v>0</v>
      </c>
      <c r="O859" t="n">
        <v>0</v>
      </c>
      <c r="P859" t="n">
        <v>0</v>
      </c>
      <c r="Q859" t="n">
        <v>0</v>
      </c>
      <c r="R859" s="2" t="inlineStr"/>
    </row>
    <row r="860" ht="15" customHeight="1">
      <c r="A860" t="inlineStr">
        <is>
          <t>A 44371-2023</t>
        </is>
      </c>
      <c r="B860" s="1" t="n">
        <v>45188</v>
      </c>
      <c r="C860" s="1" t="n">
        <v>45510</v>
      </c>
      <c r="D860" t="inlineStr">
        <is>
          <t>VÄSTERBOTTENS LÄN</t>
        </is>
      </c>
      <c r="E860" t="inlineStr">
        <is>
          <t>VILHELMINA</t>
        </is>
      </c>
      <c r="G860" t="n">
        <v>11</v>
      </c>
      <c r="H860" t="n">
        <v>0</v>
      </c>
      <c r="I860" t="n">
        <v>0</v>
      </c>
      <c r="J860" t="n">
        <v>0</v>
      </c>
      <c r="K860" t="n">
        <v>0</v>
      </c>
      <c r="L860" t="n">
        <v>0</v>
      </c>
      <c r="M860" t="n">
        <v>0</v>
      </c>
      <c r="N860" t="n">
        <v>0</v>
      </c>
      <c r="O860" t="n">
        <v>0</v>
      </c>
      <c r="P860" t="n">
        <v>0</v>
      </c>
      <c r="Q860" t="n">
        <v>0</v>
      </c>
      <c r="R860" s="2" t="inlineStr"/>
    </row>
    <row r="861" ht="15" customHeight="1">
      <c r="A861" t="inlineStr">
        <is>
          <t>A 44601-2023</t>
        </is>
      </c>
      <c r="B861" s="1" t="n">
        <v>45189</v>
      </c>
      <c r="C861" s="1" t="n">
        <v>45510</v>
      </c>
      <c r="D861" t="inlineStr">
        <is>
          <t>VÄSTERBOTTENS LÄN</t>
        </is>
      </c>
      <c r="E861" t="inlineStr">
        <is>
          <t>VILHELMINA</t>
        </is>
      </c>
      <c r="F861" t="inlineStr">
        <is>
          <t>Kommuner</t>
        </is>
      </c>
      <c r="G861" t="n">
        <v>16.5</v>
      </c>
      <c r="H861" t="n">
        <v>0</v>
      </c>
      <c r="I861" t="n">
        <v>0</v>
      </c>
      <c r="J861" t="n">
        <v>0</v>
      </c>
      <c r="K861" t="n">
        <v>0</v>
      </c>
      <c r="L861" t="n">
        <v>0</v>
      </c>
      <c r="M861" t="n">
        <v>0</v>
      </c>
      <c r="N861" t="n">
        <v>0</v>
      </c>
      <c r="O861" t="n">
        <v>0</v>
      </c>
      <c r="P861" t="n">
        <v>0</v>
      </c>
      <c r="Q861" t="n">
        <v>0</v>
      </c>
      <c r="R861" s="2" t="inlineStr"/>
    </row>
    <row r="862" ht="15" customHeight="1">
      <c r="A862" t="inlineStr">
        <is>
          <t>A 44695-2023</t>
        </is>
      </c>
      <c r="B862" s="1" t="n">
        <v>45190</v>
      </c>
      <c r="C862" s="1" t="n">
        <v>45510</v>
      </c>
      <c r="D862" t="inlineStr">
        <is>
          <t>VÄSTERBOTTENS LÄN</t>
        </is>
      </c>
      <c r="E862" t="inlineStr">
        <is>
          <t>VILHELMINA</t>
        </is>
      </c>
      <c r="G862" t="n">
        <v>15.6</v>
      </c>
      <c r="H862" t="n">
        <v>0</v>
      </c>
      <c r="I862" t="n">
        <v>0</v>
      </c>
      <c r="J862" t="n">
        <v>0</v>
      </c>
      <c r="K862" t="n">
        <v>0</v>
      </c>
      <c r="L862" t="n">
        <v>0</v>
      </c>
      <c r="M862" t="n">
        <v>0</v>
      </c>
      <c r="N862" t="n">
        <v>0</v>
      </c>
      <c r="O862" t="n">
        <v>0</v>
      </c>
      <c r="P862" t="n">
        <v>0</v>
      </c>
      <c r="Q862" t="n">
        <v>0</v>
      </c>
      <c r="R862" s="2" t="inlineStr"/>
    </row>
    <row r="863" ht="15" customHeight="1">
      <c r="A863" t="inlineStr">
        <is>
          <t>A 45022-2023</t>
        </is>
      </c>
      <c r="B863" s="1" t="n">
        <v>45190</v>
      </c>
      <c r="C863" s="1" t="n">
        <v>45510</v>
      </c>
      <c r="D863" t="inlineStr">
        <is>
          <t>VÄSTERBOTTENS LÄN</t>
        </is>
      </c>
      <c r="E863" t="inlineStr">
        <is>
          <t>VILHELMINA</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46177-2023</t>
        </is>
      </c>
      <c r="B864" s="1" t="n">
        <v>45190</v>
      </c>
      <c r="C864" s="1" t="n">
        <v>45510</v>
      </c>
      <c r="D864" t="inlineStr">
        <is>
          <t>VÄSTERBOTTENS LÄN</t>
        </is>
      </c>
      <c r="E864" t="inlineStr">
        <is>
          <t>VILHELMINA</t>
        </is>
      </c>
      <c r="F864" t="inlineStr">
        <is>
          <t>Övriga Aktiebolag</t>
        </is>
      </c>
      <c r="G864" t="n">
        <v>7.7</v>
      </c>
      <c r="H864" t="n">
        <v>0</v>
      </c>
      <c r="I864" t="n">
        <v>0</v>
      </c>
      <c r="J864" t="n">
        <v>0</v>
      </c>
      <c r="K864" t="n">
        <v>0</v>
      </c>
      <c r="L864" t="n">
        <v>0</v>
      </c>
      <c r="M864" t="n">
        <v>0</v>
      </c>
      <c r="N864" t="n">
        <v>0</v>
      </c>
      <c r="O864" t="n">
        <v>0</v>
      </c>
      <c r="P864" t="n">
        <v>0</v>
      </c>
      <c r="Q864" t="n">
        <v>0</v>
      </c>
      <c r="R864" s="2" t="inlineStr"/>
    </row>
    <row r="865" ht="15" customHeight="1">
      <c r="A865" t="inlineStr">
        <is>
          <t>A 46164-2023</t>
        </is>
      </c>
      <c r="B865" s="1" t="n">
        <v>45190</v>
      </c>
      <c r="C865" s="1" t="n">
        <v>45510</v>
      </c>
      <c r="D865" t="inlineStr">
        <is>
          <t>VÄSTERBOTTENS LÄN</t>
        </is>
      </c>
      <c r="E865" t="inlineStr">
        <is>
          <t>VILHELMINA</t>
        </is>
      </c>
      <c r="G865" t="n">
        <v>6.3</v>
      </c>
      <c r="H865" t="n">
        <v>0</v>
      </c>
      <c r="I865" t="n">
        <v>0</v>
      </c>
      <c r="J865" t="n">
        <v>0</v>
      </c>
      <c r="K865" t="n">
        <v>0</v>
      </c>
      <c r="L865" t="n">
        <v>0</v>
      </c>
      <c r="M865" t="n">
        <v>0</v>
      </c>
      <c r="N865" t="n">
        <v>0</v>
      </c>
      <c r="O865" t="n">
        <v>0</v>
      </c>
      <c r="P865" t="n">
        <v>0</v>
      </c>
      <c r="Q865" t="n">
        <v>0</v>
      </c>
      <c r="R865" s="2" t="inlineStr"/>
    </row>
    <row r="866" ht="15" customHeight="1">
      <c r="A866" t="inlineStr">
        <is>
          <t>A 46119-2023</t>
        </is>
      </c>
      <c r="B866" s="1" t="n">
        <v>45190</v>
      </c>
      <c r="C866" s="1" t="n">
        <v>45510</v>
      </c>
      <c r="D866" t="inlineStr">
        <is>
          <t>VÄSTERBOTTENS LÄN</t>
        </is>
      </c>
      <c r="E866" t="inlineStr">
        <is>
          <t>VILHELMINA</t>
        </is>
      </c>
      <c r="G866" t="n">
        <v>17.7</v>
      </c>
      <c r="H866" t="n">
        <v>0</v>
      </c>
      <c r="I866" t="n">
        <v>0</v>
      </c>
      <c r="J866" t="n">
        <v>0</v>
      </c>
      <c r="K866" t="n">
        <v>0</v>
      </c>
      <c r="L866" t="n">
        <v>0</v>
      </c>
      <c r="M866" t="n">
        <v>0</v>
      </c>
      <c r="N866" t="n">
        <v>0</v>
      </c>
      <c r="O866" t="n">
        <v>0</v>
      </c>
      <c r="P866" t="n">
        <v>0</v>
      </c>
      <c r="Q866" t="n">
        <v>0</v>
      </c>
      <c r="R866" s="2" t="inlineStr"/>
    </row>
    <row r="867" ht="15" customHeight="1">
      <c r="A867" t="inlineStr">
        <is>
          <t>A 45672-2023</t>
        </is>
      </c>
      <c r="B867" s="1" t="n">
        <v>45194</v>
      </c>
      <c r="C867" s="1" t="n">
        <v>45510</v>
      </c>
      <c r="D867" t="inlineStr">
        <is>
          <t>VÄSTERBOTTENS LÄN</t>
        </is>
      </c>
      <c r="E867" t="inlineStr">
        <is>
          <t>VILHELMINA</t>
        </is>
      </c>
      <c r="G867" t="n">
        <v>1.5</v>
      </c>
      <c r="H867" t="n">
        <v>0</v>
      </c>
      <c r="I867" t="n">
        <v>0</v>
      </c>
      <c r="J867" t="n">
        <v>0</v>
      </c>
      <c r="K867" t="n">
        <v>0</v>
      </c>
      <c r="L867" t="n">
        <v>0</v>
      </c>
      <c r="M867" t="n">
        <v>0</v>
      </c>
      <c r="N867" t="n">
        <v>0</v>
      </c>
      <c r="O867" t="n">
        <v>0</v>
      </c>
      <c r="P867" t="n">
        <v>0</v>
      </c>
      <c r="Q867" t="n">
        <v>0</v>
      </c>
      <c r="R867" s="2" t="inlineStr"/>
    </row>
    <row r="868" ht="15" customHeight="1">
      <c r="A868" t="inlineStr">
        <is>
          <t>A 45673-2023</t>
        </is>
      </c>
      <c r="B868" s="1" t="n">
        <v>45194</v>
      </c>
      <c r="C868" s="1" t="n">
        <v>45510</v>
      </c>
      <c r="D868" t="inlineStr">
        <is>
          <t>VÄSTERBOTTENS LÄN</t>
        </is>
      </c>
      <c r="E868" t="inlineStr">
        <is>
          <t>VILHELMINA</t>
        </is>
      </c>
      <c r="G868" t="n">
        <v>13.4</v>
      </c>
      <c r="H868" t="n">
        <v>0</v>
      </c>
      <c r="I868" t="n">
        <v>0</v>
      </c>
      <c r="J868" t="n">
        <v>0</v>
      </c>
      <c r="K868" t="n">
        <v>0</v>
      </c>
      <c r="L868" t="n">
        <v>0</v>
      </c>
      <c r="M868" t="n">
        <v>0</v>
      </c>
      <c r="N868" t="n">
        <v>0</v>
      </c>
      <c r="O868" t="n">
        <v>0</v>
      </c>
      <c r="P868" t="n">
        <v>0</v>
      </c>
      <c r="Q868" t="n">
        <v>0</v>
      </c>
      <c r="R868" s="2" t="inlineStr"/>
    </row>
    <row r="869" ht="15" customHeight="1">
      <c r="A869" t="inlineStr">
        <is>
          <t>A 45970-2023</t>
        </is>
      </c>
      <c r="B869" s="1" t="n">
        <v>45195</v>
      </c>
      <c r="C869" s="1" t="n">
        <v>45510</v>
      </c>
      <c r="D869" t="inlineStr">
        <is>
          <t>VÄSTERBOTTENS LÄN</t>
        </is>
      </c>
      <c r="E869" t="inlineStr">
        <is>
          <t>VILHELMINA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45971-2023</t>
        </is>
      </c>
      <c r="B870" s="1" t="n">
        <v>45195</v>
      </c>
      <c r="C870" s="1" t="n">
        <v>45510</v>
      </c>
      <c r="D870" t="inlineStr">
        <is>
          <t>VÄSTERBOTTENS LÄN</t>
        </is>
      </c>
      <c r="E870" t="inlineStr">
        <is>
          <t>VILHELMINA</t>
        </is>
      </c>
      <c r="F870" t="inlineStr">
        <is>
          <t>SCA</t>
        </is>
      </c>
      <c r="G870" t="n">
        <v>48.3</v>
      </c>
      <c r="H870" t="n">
        <v>0</v>
      </c>
      <c r="I870" t="n">
        <v>0</v>
      </c>
      <c r="J870" t="n">
        <v>0</v>
      </c>
      <c r="K870" t="n">
        <v>0</v>
      </c>
      <c r="L870" t="n">
        <v>0</v>
      </c>
      <c r="M870" t="n">
        <v>0</v>
      </c>
      <c r="N870" t="n">
        <v>0</v>
      </c>
      <c r="O870" t="n">
        <v>0</v>
      </c>
      <c r="P870" t="n">
        <v>0</v>
      </c>
      <c r="Q870" t="n">
        <v>0</v>
      </c>
      <c r="R870" s="2" t="inlineStr"/>
    </row>
    <row r="871" ht="15" customHeight="1">
      <c r="A871" t="inlineStr">
        <is>
          <t>A 45927-2023</t>
        </is>
      </c>
      <c r="B871" s="1" t="n">
        <v>45196</v>
      </c>
      <c r="C871" s="1" t="n">
        <v>45510</v>
      </c>
      <c r="D871" t="inlineStr">
        <is>
          <t>VÄSTERBOTTENS LÄN</t>
        </is>
      </c>
      <c r="E871" t="inlineStr">
        <is>
          <t>VILHELMINA</t>
        </is>
      </c>
      <c r="G871" t="n">
        <v>4.7</v>
      </c>
      <c r="H871" t="n">
        <v>0</v>
      </c>
      <c r="I871" t="n">
        <v>0</v>
      </c>
      <c r="J871" t="n">
        <v>0</v>
      </c>
      <c r="K871" t="n">
        <v>0</v>
      </c>
      <c r="L871" t="n">
        <v>0</v>
      </c>
      <c r="M871" t="n">
        <v>0</v>
      </c>
      <c r="N871" t="n">
        <v>0</v>
      </c>
      <c r="O871" t="n">
        <v>0</v>
      </c>
      <c r="P871" t="n">
        <v>0</v>
      </c>
      <c r="Q871" t="n">
        <v>0</v>
      </c>
      <c r="R871" s="2" t="inlineStr"/>
    </row>
    <row r="872" ht="15" customHeight="1">
      <c r="A872" t="inlineStr">
        <is>
          <t>A 45965-2023</t>
        </is>
      </c>
      <c r="B872" s="1" t="n">
        <v>45196</v>
      </c>
      <c r="C872" s="1" t="n">
        <v>45510</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45926-2023</t>
        </is>
      </c>
      <c r="B873" s="1" t="n">
        <v>45196</v>
      </c>
      <c r="C873" s="1" t="n">
        <v>45510</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45964-2023</t>
        </is>
      </c>
      <c r="B874" s="1" t="n">
        <v>45195</v>
      </c>
      <c r="C874" s="1" t="n">
        <v>45510</v>
      </c>
      <c r="D874" t="inlineStr">
        <is>
          <t>VÄSTERBOTTENS LÄN</t>
        </is>
      </c>
      <c r="E874" t="inlineStr">
        <is>
          <t>VILHELMINA</t>
        </is>
      </c>
      <c r="F874" t="inlineStr">
        <is>
          <t>SCA</t>
        </is>
      </c>
      <c r="G874" t="n">
        <v>17.2</v>
      </c>
      <c r="H874" t="n">
        <v>0</v>
      </c>
      <c r="I874" t="n">
        <v>0</v>
      </c>
      <c r="J874" t="n">
        <v>0</v>
      </c>
      <c r="K874" t="n">
        <v>0</v>
      </c>
      <c r="L874" t="n">
        <v>0</v>
      </c>
      <c r="M874" t="n">
        <v>0</v>
      </c>
      <c r="N874" t="n">
        <v>0</v>
      </c>
      <c r="O874" t="n">
        <v>0</v>
      </c>
      <c r="P874" t="n">
        <v>0</v>
      </c>
      <c r="Q874" t="n">
        <v>0</v>
      </c>
      <c r="R874" s="2" t="inlineStr"/>
    </row>
    <row r="875" ht="15" customHeight="1">
      <c r="A875" t="inlineStr">
        <is>
          <t>A 45972-2023</t>
        </is>
      </c>
      <c r="B875" s="1" t="n">
        <v>45195</v>
      </c>
      <c r="C875" s="1" t="n">
        <v>45510</v>
      </c>
      <c r="D875" t="inlineStr">
        <is>
          <t>VÄSTERBOTTENS LÄN</t>
        </is>
      </c>
      <c r="E875" t="inlineStr">
        <is>
          <t>VILHELMINA</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46547-2023</t>
        </is>
      </c>
      <c r="B876" s="1" t="n">
        <v>45198</v>
      </c>
      <c r="C876" s="1" t="n">
        <v>45510</v>
      </c>
      <c r="D876" t="inlineStr">
        <is>
          <t>VÄSTERBOTTENS LÄN</t>
        </is>
      </c>
      <c r="E876" t="inlineStr">
        <is>
          <t>VILHELMINA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46824-2023</t>
        </is>
      </c>
      <c r="B877" s="1" t="n">
        <v>45199</v>
      </c>
      <c r="C877" s="1" t="n">
        <v>45510</v>
      </c>
      <c r="D877" t="inlineStr">
        <is>
          <t>VÄSTERBOTTENS LÄN</t>
        </is>
      </c>
      <c r="E877" t="inlineStr">
        <is>
          <t>VILHELMINA</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46823-2023</t>
        </is>
      </c>
      <c r="B878" s="1" t="n">
        <v>45199</v>
      </c>
      <c r="C878" s="1" t="n">
        <v>45510</v>
      </c>
      <c r="D878" t="inlineStr">
        <is>
          <t>VÄSTERBOTTENS LÄN</t>
        </is>
      </c>
      <c r="E878" t="inlineStr">
        <is>
          <t>VILHELMINA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47482-2023</t>
        </is>
      </c>
      <c r="B879" s="1" t="n">
        <v>45203</v>
      </c>
      <c r="C879" s="1" t="n">
        <v>45510</v>
      </c>
      <c r="D879" t="inlineStr">
        <is>
          <t>VÄSTERBOTTENS LÄN</t>
        </is>
      </c>
      <c r="E879" t="inlineStr">
        <is>
          <t>VILHELMINA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47481-2023</t>
        </is>
      </c>
      <c r="B880" s="1" t="n">
        <v>45203</v>
      </c>
      <c r="C880" s="1" t="n">
        <v>45510</v>
      </c>
      <c r="D880" t="inlineStr">
        <is>
          <t>VÄSTERBOTTENS LÄN</t>
        </is>
      </c>
      <c r="E880" t="inlineStr">
        <is>
          <t>VILHELMINA</t>
        </is>
      </c>
      <c r="F880" t="inlineStr">
        <is>
          <t>SCA</t>
        </is>
      </c>
      <c r="G880" t="n">
        <v>16.4</v>
      </c>
      <c r="H880" t="n">
        <v>0</v>
      </c>
      <c r="I880" t="n">
        <v>0</v>
      </c>
      <c r="J880" t="n">
        <v>0</v>
      </c>
      <c r="K880" t="n">
        <v>0</v>
      </c>
      <c r="L880" t="n">
        <v>0</v>
      </c>
      <c r="M880" t="n">
        <v>0</v>
      </c>
      <c r="N880" t="n">
        <v>0</v>
      </c>
      <c r="O880" t="n">
        <v>0</v>
      </c>
      <c r="P880" t="n">
        <v>0</v>
      </c>
      <c r="Q880" t="n">
        <v>0</v>
      </c>
      <c r="R880" s="2" t="inlineStr"/>
    </row>
    <row r="881" ht="15" customHeight="1">
      <c r="A881" t="inlineStr">
        <is>
          <t>A 47480-2023</t>
        </is>
      </c>
      <c r="B881" s="1" t="n">
        <v>45203</v>
      </c>
      <c r="C881" s="1" t="n">
        <v>45510</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47479-2023</t>
        </is>
      </c>
      <c r="B882" s="1" t="n">
        <v>45203</v>
      </c>
      <c r="C882" s="1" t="n">
        <v>45510</v>
      </c>
      <c r="D882" t="inlineStr">
        <is>
          <t>VÄSTERBOTTENS LÄN</t>
        </is>
      </c>
      <c r="E882" t="inlineStr">
        <is>
          <t>VILHELMINA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47483-2023</t>
        </is>
      </c>
      <c r="B883" s="1" t="n">
        <v>45203</v>
      </c>
      <c r="C883" s="1" t="n">
        <v>45510</v>
      </c>
      <c r="D883" t="inlineStr">
        <is>
          <t>VÄSTERBOTTENS LÄN</t>
        </is>
      </c>
      <c r="E883" t="inlineStr">
        <is>
          <t>VILHELMINA</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48368-2023</t>
        </is>
      </c>
      <c r="B884" s="1" t="n">
        <v>45205</v>
      </c>
      <c r="C884" s="1" t="n">
        <v>45510</v>
      </c>
      <c r="D884" t="inlineStr">
        <is>
          <t>VÄSTERBOTTENS LÄN</t>
        </is>
      </c>
      <c r="E884" t="inlineStr">
        <is>
          <t>VILHELMINA</t>
        </is>
      </c>
      <c r="F884" t="inlineStr">
        <is>
          <t>Sveaskog</t>
        </is>
      </c>
      <c r="G884" t="n">
        <v>16.8</v>
      </c>
      <c r="H884" t="n">
        <v>0</v>
      </c>
      <c r="I884" t="n">
        <v>0</v>
      </c>
      <c r="J884" t="n">
        <v>0</v>
      </c>
      <c r="K884" t="n">
        <v>0</v>
      </c>
      <c r="L884" t="n">
        <v>0</v>
      </c>
      <c r="M884" t="n">
        <v>0</v>
      </c>
      <c r="N884" t="n">
        <v>0</v>
      </c>
      <c r="O884" t="n">
        <v>0</v>
      </c>
      <c r="P884" t="n">
        <v>0</v>
      </c>
      <c r="Q884" t="n">
        <v>0</v>
      </c>
      <c r="R884" s="2" t="inlineStr"/>
    </row>
    <row r="885" ht="15" customHeight="1">
      <c r="A885" t="inlineStr">
        <is>
          <t>A 48424-2023</t>
        </is>
      </c>
      <c r="B885" s="1" t="n">
        <v>45205</v>
      </c>
      <c r="C885" s="1" t="n">
        <v>45510</v>
      </c>
      <c r="D885" t="inlineStr">
        <is>
          <t>VÄSTERBOTTENS LÄN</t>
        </is>
      </c>
      <c r="E885" t="inlineStr">
        <is>
          <t>VILHELMINA</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48372-2023</t>
        </is>
      </c>
      <c r="B886" s="1" t="n">
        <v>45205</v>
      </c>
      <c r="C886" s="1" t="n">
        <v>45510</v>
      </c>
      <c r="D886" t="inlineStr">
        <is>
          <t>VÄSTERBOTTENS LÄN</t>
        </is>
      </c>
      <c r="E886" t="inlineStr">
        <is>
          <t>VILHELMINA</t>
        </is>
      </c>
      <c r="F886" t="inlineStr">
        <is>
          <t>Sveaskog</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48423-2023</t>
        </is>
      </c>
      <c r="B887" s="1" t="n">
        <v>45205</v>
      </c>
      <c r="C887" s="1" t="n">
        <v>45510</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48422-2023</t>
        </is>
      </c>
      <c r="B888" s="1" t="n">
        <v>45205</v>
      </c>
      <c r="C888" s="1" t="n">
        <v>45510</v>
      </c>
      <c r="D888" t="inlineStr">
        <is>
          <t>VÄSTERBOTTENS LÄN</t>
        </is>
      </c>
      <c r="E888" t="inlineStr">
        <is>
          <t>VILHELMINA</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48370-2023</t>
        </is>
      </c>
      <c r="B889" s="1" t="n">
        <v>45205</v>
      </c>
      <c r="C889" s="1" t="n">
        <v>45510</v>
      </c>
      <c r="D889" t="inlineStr">
        <is>
          <t>VÄSTERBOTTENS LÄN</t>
        </is>
      </c>
      <c r="E889" t="inlineStr">
        <is>
          <t>VILHELMINA</t>
        </is>
      </c>
      <c r="F889" t="inlineStr">
        <is>
          <t>Sveaskog</t>
        </is>
      </c>
      <c r="G889" t="n">
        <v>7.7</v>
      </c>
      <c r="H889" t="n">
        <v>0</v>
      </c>
      <c r="I889" t="n">
        <v>0</v>
      </c>
      <c r="J889" t="n">
        <v>0</v>
      </c>
      <c r="K889" t="n">
        <v>0</v>
      </c>
      <c r="L889" t="n">
        <v>0</v>
      </c>
      <c r="M889" t="n">
        <v>0</v>
      </c>
      <c r="N889" t="n">
        <v>0</v>
      </c>
      <c r="O889" t="n">
        <v>0</v>
      </c>
      <c r="P889" t="n">
        <v>0</v>
      </c>
      <c r="Q889" t="n">
        <v>0</v>
      </c>
      <c r="R889" s="2" t="inlineStr"/>
    </row>
    <row r="890" ht="15" customHeight="1">
      <c r="A890" t="inlineStr">
        <is>
          <t>A 48471-2023</t>
        </is>
      </c>
      <c r="B890" s="1" t="n">
        <v>45207</v>
      </c>
      <c r="C890" s="1" t="n">
        <v>45510</v>
      </c>
      <c r="D890" t="inlineStr">
        <is>
          <t>VÄSTERBOTTENS LÄN</t>
        </is>
      </c>
      <c r="E890" t="inlineStr">
        <is>
          <t>VILHELMINA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48470-2023</t>
        </is>
      </c>
      <c r="B891" s="1" t="n">
        <v>45207</v>
      </c>
      <c r="C891" s="1" t="n">
        <v>45510</v>
      </c>
      <c r="D891" t="inlineStr">
        <is>
          <t>VÄSTERBOTTENS LÄN</t>
        </is>
      </c>
      <c r="E891" t="inlineStr">
        <is>
          <t>VILHELMINA</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48483-2023</t>
        </is>
      </c>
      <c r="B892" s="1" t="n">
        <v>45207</v>
      </c>
      <c r="C892" s="1" t="n">
        <v>45510</v>
      </c>
      <c r="D892" t="inlineStr">
        <is>
          <t>VÄSTERBOTTENS LÄN</t>
        </is>
      </c>
      <c r="E892" t="inlineStr">
        <is>
          <t>VILHELMINA</t>
        </is>
      </c>
      <c r="F892" t="inlineStr">
        <is>
          <t>SCA</t>
        </is>
      </c>
      <c r="G892" t="n">
        <v>7.6</v>
      </c>
      <c r="H892" t="n">
        <v>0</v>
      </c>
      <c r="I892" t="n">
        <v>0</v>
      </c>
      <c r="J892" t="n">
        <v>0</v>
      </c>
      <c r="K892" t="n">
        <v>0</v>
      </c>
      <c r="L892" t="n">
        <v>0</v>
      </c>
      <c r="M892" t="n">
        <v>0</v>
      </c>
      <c r="N892" t="n">
        <v>0</v>
      </c>
      <c r="O892" t="n">
        <v>0</v>
      </c>
      <c r="P892" t="n">
        <v>0</v>
      </c>
      <c r="Q892" t="n">
        <v>0</v>
      </c>
      <c r="R892" s="2" t="inlineStr"/>
    </row>
    <row r="893" ht="15" customHeight="1">
      <c r="A893" t="inlineStr">
        <is>
          <t>A 48472-2023</t>
        </is>
      </c>
      <c r="B893" s="1" t="n">
        <v>45207</v>
      </c>
      <c r="C893" s="1" t="n">
        <v>45510</v>
      </c>
      <c r="D893" t="inlineStr">
        <is>
          <t>VÄSTERBOTTENS LÄN</t>
        </is>
      </c>
      <c r="E893" t="inlineStr">
        <is>
          <t>VILHELMINA</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48505-2023</t>
        </is>
      </c>
      <c r="B894" s="1" t="n">
        <v>45208</v>
      </c>
      <c r="C894" s="1" t="n">
        <v>45510</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50347-2023</t>
        </is>
      </c>
      <c r="B895" s="1" t="n">
        <v>45209</v>
      </c>
      <c r="C895" s="1" t="n">
        <v>45510</v>
      </c>
      <c r="D895" t="inlineStr">
        <is>
          <t>VÄSTERBOTTENS LÄN</t>
        </is>
      </c>
      <c r="E895" t="inlineStr">
        <is>
          <t>VILHELMINA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49310-2023</t>
        </is>
      </c>
      <c r="B896" s="1" t="n">
        <v>45210</v>
      </c>
      <c r="C896" s="1" t="n">
        <v>45510</v>
      </c>
      <c r="D896" t="inlineStr">
        <is>
          <t>VÄSTERBOTTENS LÄN</t>
        </is>
      </c>
      <c r="E896" t="inlineStr">
        <is>
          <t>VILHELMINA</t>
        </is>
      </c>
      <c r="G896" t="n">
        <v>25.1</v>
      </c>
      <c r="H896" t="n">
        <v>0</v>
      </c>
      <c r="I896" t="n">
        <v>0</v>
      </c>
      <c r="J896" t="n">
        <v>0</v>
      </c>
      <c r="K896" t="n">
        <v>0</v>
      </c>
      <c r="L896" t="n">
        <v>0</v>
      </c>
      <c r="M896" t="n">
        <v>0</v>
      </c>
      <c r="N896" t="n">
        <v>0</v>
      </c>
      <c r="O896" t="n">
        <v>0</v>
      </c>
      <c r="P896" t="n">
        <v>0</v>
      </c>
      <c r="Q896" t="n">
        <v>0</v>
      </c>
      <c r="R896" s="2" t="inlineStr"/>
    </row>
    <row r="897" ht="15" customHeight="1">
      <c r="A897" t="inlineStr">
        <is>
          <t>A 49642-2023</t>
        </is>
      </c>
      <c r="B897" s="1" t="n">
        <v>45212</v>
      </c>
      <c r="C897" s="1" t="n">
        <v>45510</v>
      </c>
      <c r="D897" t="inlineStr">
        <is>
          <t>VÄSTERBOTTENS LÄN</t>
        </is>
      </c>
      <c r="E897" t="inlineStr">
        <is>
          <t>VILHELMINA</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49652-2023</t>
        </is>
      </c>
      <c r="B898" s="1" t="n">
        <v>45212</v>
      </c>
      <c r="C898" s="1" t="n">
        <v>45510</v>
      </c>
      <c r="D898" t="inlineStr">
        <is>
          <t>VÄSTERBOTTENS LÄN</t>
        </is>
      </c>
      <c r="E898" t="inlineStr">
        <is>
          <t>VILHELMINA</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49860-2023</t>
        </is>
      </c>
      <c r="B899" s="1" t="n">
        <v>45212</v>
      </c>
      <c r="C899" s="1" t="n">
        <v>45510</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50505-2023</t>
        </is>
      </c>
      <c r="B900" s="1" t="n">
        <v>45217</v>
      </c>
      <c r="C900" s="1" t="n">
        <v>45510</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50502-2023</t>
        </is>
      </c>
      <c r="B901" s="1" t="n">
        <v>45217</v>
      </c>
      <c r="C901" s="1" t="n">
        <v>45510</v>
      </c>
      <c r="D901" t="inlineStr">
        <is>
          <t>VÄSTERBOTTENS LÄN</t>
        </is>
      </c>
      <c r="E901" t="inlineStr">
        <is>
          <t>VILHELMINA</t>
        </is>
      </c>
      <c r="F901" t="inlineStr">
        <is>
          <t>SCA</t>
        </is>
      </c>
      <c r="G901" t="n">
        <v>30.6</v>
      </c>
      <c r="H901" t="n">
        <v>0</v>
      </c>
      <c r="I901" t="n">
        <v>0</v>
      </c>
      <c r="J901" t="n">
        <v>0</v>
      </c>
      <c r="K901" t="n">
        <v>0</v>
      </c>
      <c r="L901" t="n">
        <v>0</v>
      </c>
      <c r="M901" t="n">
        <v>0</v>
      </c>
      <c r="N901" t="n">
        <v>0</v>
      </c>
      <c r="O901" t="n">
        <v>0</v>
      </c>
      <c r="P901" t="n">
        <v>0</v>
      </c>
      <c r="Q901" t="n">
        <v>0</v>
      </c>
      <c r="R901" s="2" t="inlineStr"/>
    </row>
    <row r="902" ht="15" customHeight="1">
      <c r="A902" t="inlineStr">
        <is>
          <t>A 50506-2023</t>
        </is>
      </c>
      <c r="B902" s="1" t="n">
        <v>45217</v>
      </c>
      <c r="C902" s="1" t="n">
        <v>45510</v>
      </c>
      <c r="D902" t="inlineStr">
        <is>
          <t>VÄSTERBOTTENS LÄN</t>
        </is>
      </c>
      <c r="E902" t="inlineStr">
        <is>
          <t>VILHELMINA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50499-2023</t>
        </is>
      </c>
      <c r="B903" s="1" t="n">
        <v>45217</v>
      </c>
      <c r="C903" s="1" t="n">
        <v>45510</v>
      </c>
      <c r="D903" t="inlineStr">
        <is>
          <t>VÄSTERBOTTENS LÄN</t>
        </is>
      </c>
      <c r="E903" t="inlineStr">
        <is>
          <t>VILHELMINA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50500-2023</t>
        </is>
      </c>
      <c r="B904" s="1" t="n">
        <v>45217</v>
      </c>
      <c r="C904" s="1" t="n">
        <v>45510</v>
      </c>
      <c r="D904" t="inlineStr">
        <is>
          <t>VÄSTERBOTTENS LÄN</t>
        </is>
      </c>
      <c r="E904" t="inlineStr">
        <is>
          <t>VILHELMINA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50494-2023</t>
        </is>
      </c>
      <c r="B905" s="1" t="n">
        <v>45217</v>
      </c>
      <c r="C905" s="1" t="n">
        <v>45510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50490-2023</t>
        </is>
      </c>
      <c r="B906" s="1" t="n">
        <v>45217</v>
      </c>
      <c r="C906" s="1" t="n">
        <v>45510</v>
      </c>
      <c r="D906" t="inlineStr">
        <is>
          <t>VÄSTERBOTTENS LÄN</t>
        </is>
      </c>
      <c r="E906" t="inlineStr">
        <is>
          <t>VILHELMINA</t>
        </is>
      </c>
      <c r="F906" t="inlineStr">
        <is>
          <t>SCA</t>
        </is>
      </c>
      <c r="G906" t="n">
        <v>12.3</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45510</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50501-2023</t>
        </is>
      </c>
      <c r="B908" s="1" t="n">
        <v>45216</v>
      </c>
      <c r="C908" s="1" t="n">
        <v>45510</v>
      </c>
      <c r="D908" t="inlineStr">
        <is>
          <t>VÄSTERBOTTENS LÄN</t>
        </is>
      </c>
      <c r="E908" t="inlineStr">
        <is>
          <t>VILHELMINA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50489-2023</t>
        </is>
      </c>
      <c r="B909" s="1" t="n">
        <v>45217</v>
      </c>
      <c r="C909" s="1" t="n">
        <v>45510</v>
      </c>
      <c r="D909" t="inlineStr">
        <is>
          <t>VÄSTERBOTTENS LÄN</t>
        </is>
      </c>
      <c r="E909" t="inlineStr">
        <is>
          <t>VILHELMINA</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50655-2023</t>
        </is>
      </c>
      <c r="B910" s="1" t="n">
        <v>45217</v>
      </c>
      <c r="C910" s="1" t="n">
        <v>45510</v>
      </c>
      <c r="D910" t="inlineStr">
        <is>
          <t>VÄSTERBOTTENS LÄN</t>
        </is>
      </c>
      <c r="E910" t="inlineStr">
        <is>
          <t>VILHELMINA</t>
        </is>
      </c>
      <c r="F910" t="inlineStr">
        <is>
          <t>Sveaskog</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50830-2023</t>
        </is>
      </c>
      <c r="B911" s="1" t="n">
        <v>45218</v>
      </c>
      <c r="C911" s="1" t="n">
        <v>45510</v>
      </c>
      <c r="D911" t="inlineStr">
        <is>
          <t>VÄSTERBOTTENS LÄN</t>
        </is>
      </c>
      <c r="E911" t="inlineStr">
        <is>
          <t>VILHELMINA</t>
        </is>
      </c>
      <c r="F911" t="inlineStr">
        <is>
          <t>SCA</t>
        </is>
      </c>
      <c r="G911" t="n">
        <v>31.1</v>
      </c>
      <c r="H911" t="n">
        <v>0</v>
      </c>
      <c r="I911" t="n">
        <v>0</v>
      </c>
      <c r="J911" t="n">
        <v>0</v>
      </c>
      <c r="K911" t="n">
        <v>0</v>
      </c>
      <c r="L911" t="n">
        <v>0</v>
      </c>
      <c r="M911" t="n">
        <v>0</v>
      </c>
      <c r="N911" t="n">
        <v>0</v>
      </c>
      <c r="O911" t="n">
        <v>0</v>
      </c>
      <c r="P911" t="n">
        <v>0</v>
      </c>
      <c r="Q911" t="n">
        <v>0</v>
      </c>
      <c r="R911" s="2" t="inlineStr"/>
    </row>
    <row r="912" ht="15" customHeight="1">
      <c r="A912" t="inlineStr">
        <is>
          <t>A 51825-2023</t>
        </is>
      </c>
      <c r="B912" s="1" t="n">
        <v>45222</v>
      </c>
      <c r="C912" s="1" t="n">
        <v>45510</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51826-2023</t>
        </is>
      </c>
      <c r="B913" s="1" t="n">
        <v>45223</v>
      </c>
      <c r="C913" s="1" t="n">
        <v>45510</v>
      </c>
      <c r="D913" t="inlineStr">
        <is>
          <t>VÄSTERBOTTENS LÄN</t>
        </is>
      </c>
      <c r="E913" t="inlineStr">
        <is>
          <t>VILHELMINA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52123-2023</t>
        </is>
      </c>
      <c r="B914" s="1" t="n">
        <v>45224</v>
      </c>
      <c r="C914" s="1" t="n">
        <v>45510</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52740-2023</t>
        </is>
      </c>
      <c r="B915" s="1" t="n">
        <v>45225</v>
      </c>
      <c r="C915" s="1" t="n">
        <v>45510</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52744-2023</t>
        </is>
      </c>
      <c r="B916" s="1" t="n">
        <v>45226</v>
      </c>
      <c r="C916" s="1" t="n">
        <v>45510</v>
      </c>
      <c r="D916" t="inlineStr">
        <is>
          <t>VÄSTERBOTTENS LÄN</t>
        </is>
      </c>
      <c r="E916" t="inlineStr">
        <is>
          <t>VILHELMINA</t>
        </is>
      </c>
      <c r="F916" t="inlineStr">
        <is>
          <t>SCA</t>
        </is>
      </c>
      <c r="G916" t="n">
        <v>10.5</v>
      </c>
      <c r="H916" t="n">
        <v>0</v>
      </c>
      <c r="I916" t="n">
        <v>0</v>
      </c>
      <c r="J916" t="n">
        <v>0</v>
      </c>
      <c r="K916" t="n">
        <v>0</v>
      </c>
      <c r="L916" t="n">
        <v>0</v>
      </c>
      <c r="M916" t="n">
        <v>0</v>
      </c>
      <c r="N916" t="n">
        <v>0</v>
      </c>
      <c r="O916" t="n">
        <v>0</v>
      </c>
      <c r="P916" t="n">
        <v>0</v>
      </c>
      <c r="Q916" t="n">
        <v>0</v>
      </c>
      <c r="R916" s="2" t="inlineStr"/>
    </row>
    <row r="917" ht="15" customHeight="1">
      <c r="A917" t="inlineStr">
        <is>
          <t>A 52748-2023</t>
        </is>
      </c>
      <c r="B917" s="1" t="n">
        <v>45225</v>
      </c>
      <c r="C917" s="1" t="n">
        <v>45510</v>
      </c>
      <c r="D917" t="inlineStr">
        <is>
          <t>VÄSTERBOTTENS LÄN</t>
        </is>
      </c>
      <c r="E917" t="inlineStr">
        <is>
          <t>VILHELMINA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52745-2023</t>
        </is>
      </c>
      <c r="B918" s="1" t="n">
        <v>45226</v>
      </c>
      <c r="C918" s="1" t="n">
        <v>45510</v>
      </c>
      <c r="D918" t="inlineStr">
        <is>
          <t>VÄSTERBOTTENS LÄN</t>
        </is>
      </c>
      <c r="E918" t="inlineStr">
        <is>
          <t>VILHELMINA</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52749-2023</t>
        </is>
      </c>
      <c r="B919" s="1" t="n">
        <v>45226</v>
      </c>
      <c r="C919" s="1" t="n">
        <v>45510</v>
      </c>
      <c r="D919" t="inlineStr">
        <is>
          <t>VÄSTERBOTTENS LÄN</t>
        </is>
      </c>
      <c r="E919" t="inlineStr">
        <is>
          <t>VILHELMINA</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52746-2023</t>
        </is>
      </c>
      <c r="B920" s="1" t="n">
        <v>45226</v>
      </c>
      <c r="C920" s="1" t="n">
        <v>45510</v>
      </c>
      <c r="D920" t="inlineStr">
        <is>
          <t>VÄSTERBOTTENS LÄN</t>
        </is>
      </c>
      <c r="E920" t="inlineStr">
        <is>
          <t>VILHELMINA</t>
        </is>
      </c>
      <c r="F920" t="inlineStr">
        <is>
          <t>SCA</t>
        </is>
      </c>
      <c r="G920" t="n">
        <v>10.4</v>
      </c>
      <c r="H920" t="n">
        <v>0</v>
      </c>
      <c r="I920" t="n">
        <v>0</v>
      </c>
      <c r="J920" t="n">
        <v>0</v>
      </c>
      <c r="K920" t="n">
        <v>0</v>
      </c>
      <c r="L920" t="n">
        <v>0</v>
      </c>
      <c r="M920" t="n">
        <v>0</v>
      </c>
      <c r="N920" t="n">
        <v>0</v>
      </c>
      <c r="O920" t="n">
        <v>0</v>
      </c>
      <c r="P920" t="n">
        <v>0</v>
      </c>
      <c r="Q920" t="n">
        <v>0</v>
      </c>
      <c r="R920" s="2" t="inlineStr"/>
    </row>
    <row r="921" ht="15" customHeight="1">
      <c r="A921" t="inlineStr">
        <is>
          <t>A 52747-2023</t>
        </is>
      </c>
      <c r="B921" s="1" t="n">
        <v>45226</v>
      </c>
      <c r="C921" s="1" t="n">
        <v>45510</v>
      </c>
      <c r="D921" t="inlineStr">
        <is>
          <t>VÄSTERBOTTENS LÄN</t>
        </is>
      </c>
      <c r="E921" t="inlineStr">
        <is>
          <t>VILHELMINA</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53034-2023</t>
        </is>
      </c>
      <c r="B922" s="1" t="n">
        <v>45227</v>
      </c>
      <c r="C922" s="1" t="n">
        <v>45510</v>
      </c>
      <c r="D922" t="inlineStr">
        <is>
          <t>VÄSTERBOTTENS LÄN</t>
        </is>
      </c>
      <c r="E922" t="inlineStr">
        <is>
          <t>VILHELMINA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54931-2023</t>
        </is>
      </c>
      <c r="B923" s="1" t="n">
        <v>45229</v>
      </c>
      <c r="C923" s="1" t="n">
        <v>45510</v>
      </c>
      <c r="D923" t="inlineStr">
        <is>
          <t>VÄSTERBOTTENS LÄN</t>
        </is>
      </c>
      <c r="E923" t="inlineStr">
        <is>
          <t>VILHELMINA</t>
        </is>
      </c>
      <c r="G923" t="n">
        <v>14.5</v>
      </c>
      <c r="H923" t="n">
        <v>0</v>
      </c>
      <c r="I923" t="n">
        <v>0</v>
      </c>
      <c r="J923" t="n">
        <v>0</v>
      </c>
      <c r="K923" t="n">
        <v>0</v>
      </c>
      <c r="L923" t="n">
        <v>0</v>
      </c>
      <c r="M923" t="n">
        <v>0</v>
      </c>
      <c r="N923" t="n">
        <v>0</v>
      </c>
      <c r="O923" t="n">
        <v>0</v>
      </c>
      <c r="P923" t="n">
        <v>0</v>
      </c>
      <c r="Q923" t="n">
        <v>0</v>
      </c>
      <c r="R923" s="2" t="inlineStr"/>
    </row>
    <row r="924" ht="15" customHeight="1">
      <c r="A924" t="inlineStr">
        <is>
          <t>A 55051-2023</t>
        </is>
      </c>
      <c r="B924" s="1" t="n">
        <v>45229</v>
      </c>
      <c r="C924" s="1" t="n">
        <v>45510</v>
      </c>
      <c r="D924" t="inlineStr">
        <is>
          <t>VÄSTERBOTTENS LÄN</t>
        </is>
      </c>
      <c r="E924" t="inlineStr">
        <is>
          <t>VILHELMINA</t>
        </is>
      </c>
      <c r="G924" t="n">
        <v>12.1</v>
      </c>
      <c r="H924" t="n">
        <v>0</v>
      </c>
      <c r="I924" t="n">
        <v>0</v>
      </c>
      <c r="J924" t="n">
        <v>0</v>
      </c>
      <c r="K924" t="n">
        <v>0</v>
      </c>
      <c r="L924" t="n">
        <v>0</v>
      </c>
      <c r="M924" t="n">
        <v>0</v>
      </c>
      <c r="N924" t="n">
        <v>0</v>
      </c>
      <c r="O924" t="n">
        <v>0</v>
      </c>
      <c r="P924" t="n">
        <v>0</v>
      </c>
      <c r="Q924" t="n">
        <v>0</v>
      </c>
      <c r="R924" s="2" t="inlineStr"/>
    </row>
    <row r="925" ht="15" customHeight="1">
      <c r="A925" t="inlineStr">
        <is>
          <t>A 55200-2023</t>
        </is>
      </c>
      <c r="B925" s="1" t="n">
        <v>45230</v>
      </c>
      <c r="C925" s="1" t="n">
        <v>45510</v>
      </c>
      <c r="D925" t="inlineStr">
        <is>
          <t>VÄSTERBOTTENS LÄN</t>
        </is>
      </c>
      <c r="E925" t="inlineStr">
        <is>
          <t>VILHELMINA</t>
        </is>
      </c>
      <c r="G925" t="n">
        <v>20.8</v>
      </c>
      <c r="H925" t="n">
        <v>0</v>
      </c>
      <c r="I925" t="n">
        <v>0</v>
      </c>
      <c r="J925" t="n">
        <v>0</v>
      </c>
      <c r="K925" t="n">
        <v>0</v>
      </c>
      <c r="L925" t="n">
        <v>0</v>
      </c>
      <c r="M925" t="n">
        <v>0</v>
      </c>
      <c r="N925" t="n">
        <v>0</v>
      </c>
      <c r="O925" t="n">
        <v>0</v>
      </c>
      <c r="P925" t="n">
        <v>0</v>
      </c>
      <c r="Q925" t="n">
        <v>0</v>
      </c>
      <c r="R925" s="2" t="inlineStr"/>
    </row>
    <row r="926" ht="15" customHeight="1">
      <c r="A926" t="inlineStr">
        <is>
          <t>A 55159-2023</t>
        </is>
      </c>
      <c r="B926" s="1" t="n">
        <v>45230</v>
      </c>
      <c r="C926" s="1" t="n">
        <v>45510</v>
      </c>
      <c r="D926" t="inlineStr">
        <is>
          <t>VÄSTERBOTTENS LÄN</t>
        </is>
      </c>
      <c r="E926" t="inlineStr">
        <is>
          <t>VILHELMINA</t>
        </is>
      </c>
      <c r="G926" t="n">
        <v>24.4</v>
      </c>
      <c r="H926" t="n">
        <v>0</v>
      </c>
      <c r="I926" t="n">
        <v>0</v>
      </c>
      <c r="J926" t="n">
        <v>0</v>
      </c>
      <c r="K926" t="n">
        <v>0</v>
      </c>
      <c r="L926" t="n">
        <v>0</v>
      </c>
      <c r="M926" t="n">
        <v>0</v>
      </c>
      <c r="N926" t="n">
        <v>0</v>
      </c>
      <c r="O926" t="n">
        <v>0</v>
      </c>
      <c r="P926" t="n">
        <v>0</v>
      </c>
      <c r="Q926" t="n">
        <v>0</v>
      </c>
      <c r="R926" s="2" t="inlineStr"/>
    </row>
    <row r="927" ht="15" customHeight="1">
      <c r="A927" t="inlineStr">
        <is>
          <t>A 54316-2023</t>
        </is>
      </c>
      <c r="B927" s="1" t="n">
        <v>45232</v>
      </c>
      <c r="C927" s="1" t="n">
        <v>45510</v>
      </c>
      <c r="D927" t="inlineStr">
        <is>
          <t>VÄSTERBOTTENS LÄN</t>
        </is>
      </c>
      <c r="E927" t="inlineStr">
        <is>
          <t>VILHELMINA</t>
        </is>
      </c>
      <c r="G927" t="n">
        <v>4.1</v>
      </c>
      <c r="H927" t="n">
        <v>0</v>
      </c>
      <c r="I927" t="n">
        <v>0</v>
      </c>
      <c r="J927" t="n">
        <v>0</v>
      </c>
      <c r="K927" t="n">
        <v>0</v>
      </c>
      <c r="L927" t="n">
        <v>0</v>
      </c>
      <c r="M927" t="n">
        <v>0</v>
      </c>
      <c r="N927" t="n">
        <v>0</v>
      </c>
      <c r="O927" t="n">
        <v>0</v>
      </c>
      <c r="P927" t="n">
        <v>0</v>
      </c>
      <c r="Q927" t="n">
        <v>0</v>
      </c>
      <c r="R927" s="2" t="inlineStr"/>
    </row>
    <row r="928" ht="15" customHeight="1">
      <c r="A928" t="inlineStr">
        <is>
          <t>A 55714-2023</t>
        </is>
      </c>
      <c r="B928" s="1" t="n">
        <v>45232</v>
      </c>
      <c r="C928" s="1" t="n">
        <v>45510</v>
      </c>
      <c r="D928" t="inlineStr">
        <is>
          <t>VÄSTERBOTTENS LÄN</t>
        </is>
      </c>
      <c r="E928" t="inlineStr">
        <is>
          <t>VILHELMINA</t>
        </is>
      </c>
      <c r="G928" t="n">
        <v>1.8</v>
      </c>
      <c r="H928" t="n">
        <v>0</v>
      </c>
      <c r="I928" t="n">
        <v>0</v>
      </c>
      <c r="J928" t="n">
        <v>0</v>
      </c>
      <c r="K928" t="n">
        <v>0</v>
      </c>
      <c r="L928" t="n">
        <v>0</v>
      </c>
      <c r="M928" t="n">
        <v>0</v>
      </c>
      <c r="N928" t="n">
        <v>0</v>
      </c>
      <c r="O928" t="n">
        <v>0</v>
      </c>
      <c r="P928" t="n">
        <v>0</v>
      </c>
      <c r="Q928" t="n">
        <v>0</v>
      </c>
      <c r="R928" s="2" t="inlineStr"/>
    </row>
    <row r="929" ht="15" customHeight="1">
      <c r="A929" t="inlineStr">
        <is>
          <t>A 55688-2023</t>
        </is>
      </c>
      <c r="B929" s="1" t="n">
        <v>45232</v>
      </c>
      <c r="C929" s="1" t="n">
        <v>45510</v>
      </c>
      <c r="D929" t="inlineStr">
        <is>
          <t>VÄSTERBOTTENS LÄN</t>
        </is>
      </c>
      <c r="E929" t="inlineStr">
        <is>
          <t>VILHELMINA</t>
        </is>
      </c>
      <c r="G929" t="n">
        <v>6.4</v>
      </c>
      <c r="H929" t="n">
        <v>0</v>
      </c>
      <c r="I929" t="n">
        <v>0</v>
      </c>
      <c r="J929" t="n">
        <v>0</v>
      </c>
      <c r="K929" t="n">
        <v>0</v>
      </c>
      <c r="L929" t="n">
        <v>0</v>
      </c>
      <c r="M929" t="n">
        <v>0</v>
      </c>
      <c r="N929" t="n">
        <v>0</v>
      </c>
      <c r="O929" t="n">
        <v>0</v>
      </c>
      <c r="P929" t="n">
        <v>0</v>
      </c>
      <c r="Q929" t="n">
        <v>0</v>
      </c>
      <c r="R929" s="2" t="inlineStr"/>
    </row>
    <row r="930" ht="15" customHeight="1">
      <c r="A930" t="inlineStr">
        <is>
          <t>A 55722-2023</t>
        </is>
      </c>
      <c r="B930" s="1" t="n">
        <v>45232</v>
      </c>
      <c r="C930" s="1" t="n">
        <v>45510</v>
      </c>
      <c r="D930" t="inlineStr">
        <is>
          <t>VÄSTERBOTTENS LÄN</t>
        </is>
      </c>
      <c r="E930" t="inlineStr">
        <is>
          <t>VILHELMINA</t>
        </is>
      </c>
      <c r="G930" t="n">
        <v>5.8</v>
      </c>
      <c r="H930" t="n">
        <v>0</v>
      </c>
      <c r="I930" t="n">
        <v>0</v>
      </c>
      <c r="J930" t="n">
        <v>0</v>
      </c>
      <c r="K930" t="n">
        <v>0</v>
      </c>
      <c r="L930" t="n">
        <v>0</v>
      </c>
      <c r="M930" t="n">
        <v>0</v>
      </c>
      <c r="N930" t="n">
        <v>0</v>
      </c>
      <c r="O930" t="n">
        <v>0</v>
      </c>
      <c r="P930" t="n">
        <v>0</v>
      </c>
      <c r="Q930" t="n">
        <v>0</v>
      </c>
      <c r="R930" s="2" t="inlineStr"/>
    </row>
    <row r="931" ht="15" customHeight="1">
      <c r="A931" t="inlineStr">
        <is>
          <t>A 55706-2023</t>
        </is>
      </c>
      <c r="B931" s="1" t="n">
        <v>45232</v>
      </c>
      <c r="C931" s="1" t="n">
        <v>45510</v>
      </c>
      <c r="D931" t="inlineStr">
        <is>
          <t>VÄSTERBOTTENS LÄN</t>
        </is>
      </c>
      <c r="E931" t="inlineStr">
        <is>
          <t>VILHELMINA</t>
        </is>
      </c>
      <c r="G931" t="n">
        <v>17.3</v>
      </c>
      <c r="H931" t="n">
        <v>0</v>
      </c>
      <c r="I931" t="n">
        <v>0</v>
      </c>
      <c r="J931" t="n">
        <v>0</v>
      </c>
      <c r="K931" t="n">
        <v>0</v>
      </c>
      <c r="L931" t="n">
        <v>0</v>
      </c>
      <c r="M931" t="n">
        <v>0</v>
      </c>
      <c r="N931" t="n">
        <v>0</v>
      </c>
      <c r="O931" t="n">
        <v>0</v>
      </c>
      <c r="P931" t="n">
        <v>0</v>
      </c>
      <c r="Q931" t="n">
        <v>0</v>
      </c>
      <c r="R931" s="2" t="inlineStr"/>
    </row>
    <row r="932" ht="15" customHeight="1">
      <c r="A932" t="inlineStr">
        <is>
          <t>A 54601-2023</t>
        </is>
      </c>
      <c r="B932" s="1" t="n">
        <v>45233</v>
      </c>
      <c r="C932" s="1" t="n">
        <v>45510</v>
      </c>
      <c r="D932" t="inlineStr">
        <is>
          <t>VÄSTERBOTTENS LÄN</t>
        </is>
      </c>
      <c r="E932" t="inlineStr">
        <is>
          <t>VILHELMINA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54733-2023</t>
        </is>
      </c>
      <c r="B933" s="1" t="n">
        <v>45236</v>
      </c>
      <c r="C933" s="1" t="n">
        <v>45510</v>
      </c>
      <c r="D933" t="inlineStr">
        <is>
          <t>VÄSTERBOTTENS LÄN</t>
        </is>
      </c>
      <c r="E933" t="inlineStr">
        <is>
          <t>VILHELMINA</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54983-2023</t>
        </is>
      </c>
      <c r="B934" s="1" t="n">
        <v>45237</v>
      </c>
      <c r="C934" s="1" t="n">
        <v>45510</v>
      </c>
      <c r="D934" t="inlineStr">
        <is>
          <t>VÄSTERBOTTENS LÄN</t>
        </is>
      </c>
      <c r="E934" t="inlineStr">
        <is>
          <t>VILHELMINA</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54984-2023</t>
        </is>
      </c>
      <c r="B935" s="1" t="n">
        <v>45236</v>
      </c>
      <c r="C935" s="1" t="n">
        <v>45510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54981-2023</t>
        </is>
      </c>
      <c r="B936" s="1" t="n">
        <v>45237</v>
      </c>
      <c r="C936" s="1" t="n">
        <v>45510</v>
      </c>
      <c r="D936" t="inlineStr">
        <is>
          <t>VÄSTERBOTTENS LÄN</t>
        </is>
      </c>
      <c r="E936" t="inlineStr">
        <is>
          <t>VILHELMINA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54985-2023</t>
        </is>
      </c>
      <c r="B937" s="1" t="n">
        <v>45236</v>
      </c>
      <c r="C937" s="1" t="n">
        <v>45510</v>
      </c>
      <c r="D937" t="inlineStr">
        <is>
          <t>VÄSTERBOTTENS LÄN</t>
        </is>
      </c>
      <c r="E937" t="inlineStr">
        <is>
          <t>VILHELMINA</t>
        </is>
      </c>
      <c r="F937" t="inlineStr">
        <is>
          <t>SCA</t>
        </is>
      </c>
      <c r="G937" t="n">
        <v>7.5</v>
      </c>
      <c r="H937" t="n">
        <v>0</v>
      </c>
      <c r="I937" t="n">
        <v>0</v>
      </c>
      <c r="J937" t="n">
        <v>0</v>
      </c>
      <c r="K937" t="n">
        <v>0</v>
      </c>
      <c r="L937" t="n">
        <v>0</v>
      </c>
      <c r="M937" t="n">
        <v>0</v>
      </c>
      <c r="N937" t="n">
        <v>0</v>
      </c>
      <c r="O937" t="n">
        <v>0</v>
      </c>
      <c r="P937" t="n">
        <v>0</v>
      </c>
      <c r="Q937" t="n">
        <v>0</v>
      </c>
      <c r="R937" s="2" t="inlineStr"/>
    </row>
    <row r="938" ht="15" customHeight="1">
      <c r="A938" t="inlineStr">
        <is>
          <t>A 55325-2023</t>
        </is>
      </c>
      <c r="B938" s="1" t="n">
        <v>45237</v>
      </c>
      <c r="C938" s="1" t="n">
        <v>45510</v>
      </c>
      <c r="D938" t="inlineStr">
        <is>
          <t>VÄSTERBOTTENS LÄN</t>
        </is>
      </c>
      <c r="E938" t="inlineStr">
        <is>
          <t>VILHELMINA</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55326-2023</t>
        </is>
      </c>
      <c r="B939" s="1" t="n">
        <v>45238</v>
      </c>
      <c r="C939" s="1" t="n">
        <v>45510</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55327-2023</t>
        </is>
      </c>
      <c r="B940" s="1" t="n">
        <v>45238</v>
      </c>
      <c r="C940" s="1" t="n">
        <v>45510</v>
      </c>
      <c r="D940" t="inlineStr">
        <is>
          <t>VÄSTERBOTTENS LÄN</t>
        </is>
      </c>
      <c r="E940" t="inlineStr">
        <is>
          <t>VILHELMINA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55335-2023</t>
        </is>
      </c>
      <c r="B941" s="1" t="n">
        <v>45238</v>
      </c>
      <c r="C941" s="1" t="n">
        <v>45510</v>
      </c>
      <c r="D941" t="inlineStr">
        <is>
          <t>VÄSTERBOTTENS LÄN</t>
        </is>
      </c>
      <c r="E941" t="inlineStr">
        <is>
          <t>VILHELMINA</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56754-2023</t>
        </is>
      </c>
      <c r="B942" s="1" t="n">
        <v>45238</v>
      </c>
      <c r="C942" s="1" t="n">
        <v>45510</v>
      </c>
      <c r="D942" t="inlineStr">
        <is>
          <t>VÄSTERBOTTENS LÄN</t>
        </is>
      </c>
      <c r="E942" t="inlineStr">
        <is>
          <t>VILHELMINA</t>
        </is>
      </c>
      <c r="F942" t="inlineStr">
        <is>
          <t>Allmännings- och besparingsskogar</t>
        </is>
      </c>
      <c r="G942" t="n">
        <v>17.7</v>
      </c>
      <c r="H942" t="n">
        <v>0</v>
      </c>
      <c r="I942" t="n">
        <v>0</v>
      </c>
      <c r="J942" t="n">
        <v>0</v>
      </c>
      <c r="K942" t="n">
        <v>0</v>
      </c>
      <c r="L942" t="n">
        <v>0</v>
      </c>
      <c r="M942" t="n">
        <v>0</v>
      </c>
      <c r="N942" t="n">
        <v>0</v>
      </c>
      <c r="O942" t="n">
        <v>0</v>
      </c>
      <c r="P942" t="n">
        <v>0</v>
      </c>
      <c r="Q942" t="n">
        <v>0</v>
      </c>
      <c r="R942" s="2" t="inlineStr"/>
    </row>
    <row r="943" ht="15" customHeight="1">
      <c r="A943" t="inlineStr">
        <is>
          <t>A 56763-2023</t>
        </is>
      </c>
      <c r="B943" s="1" t="n">
        <v>45238</v>
      </c>
      <c r="C943" s="1" t="n">
        <v>45510</v>
      </c>
      <c r="D943" t="inlineStr">
        <is>
          <t>VÄSTERBOTTENS LÄN</t>
        </is>
      </c>
      <c r="E943" t="inlineStr">
        <is>
          <t>VILHELMINA</t>
        </is>
      </c>
      <c r="F943" t="inlineStr">
        <is>
          <t>Allmännings- och besparingsskogar</t>
        </is>
      </c>
      <c r="G943" t="n">
        <v>78</v>
      </c>
      <c r="H943" t="n">
        <v>0</v>
      </c>
      <c r="I943" t="n">
        <v>0</v>
      </c>
      <c r="J943" t="n">
        <v>0</v>
      </c>
      <c r="K943" t="n">
        <v>0</v>
      </c>
      <c r="L943" t="n">
        <v>0</v>
      </c>
      <c r="M943" t="n">
        <v>0</v>
      </c>
      <c r="N943" t="n">
        <v>0</v>
      </c>
      <c r="O943" t="n">
        <v>0</v>
      </c>
      <c r="P943" t="n">
        <v>0</v>
      </c>
      <c r="Q943" t="n">
        <v>0</v>
      </c>
      <c r="R943" s="2" t="inlineStr"/>
    </row>
    <row r="944" ht="15" customHeight="1">
      <c r="A944" t="inlineStr">
        <is>
          <t>A 56823-2023</t>
        </is>
      </c>
      <c r="B944" s="1" t="n">
        <v>45238</v>
      </c>
      <c r="C944" s="1" t="n">
        <v>45510</v>
      </c>
      <c r="D944" t="inlineStr">
        <is>
          <t>VÄSTERBOTTENS LÄN</t>
        </is>
      </c>
      <c r="E944" t="inlineStr">
        <is>
          <t>VILHELMINA</t>
        </is>
      </c>
      <c r="F944" t="inlineStr">
        <is>
          <t>Allmännings- och besparingsskogar</t>
        </is>
      </c>
      <c r="G944" t="n">
        <v>81.40000000000001</v>
      </c>
      <c r="H944" t="n">
        <v>0</v>
      </c>
      <c r="I944" t="n">
        <v>0</v>
      </c>
      <c r="J944" t="n">
        <v>0</v>
      </c>
      <c r="K944" t="n">
        <v>0</v>
      </c>
      <c r="L944" t="n">
        <v>0</v>
      </c>
      <c r="M944" t="n">
        <v>0</v>
      </c>
      <c r="N944" t="n">
        <v>0</v>
      </c>
      <c r="O944" t="n">
        <v>0</v>
      </c>
      <c r="P944" t="n">
        <v>0</v>
      </c>
      <c r="Q944" t="n">
        <v>0</v>
      </c>
      <c r="R944" s="2" t="inlineStr"/>
    </row>
    <row r="945" ht="15" customHeight="1">
      <c r="A945" t="inlineStr">
        <is>
          <t>A 56847-2023</t>
        </is>
      </c>
      <c r="B945" s="1" t="n">
        <v>45238</v>
      </c>
      <c r="C945" s="1" t="n">
        <v>45510</v>
      </c>
      <c r="D945" t="inlineStr">
        <is>
          <t>VÄSTERBOTTENS LÄN</t>
        </is>
      </c>
      <c r="E945" t="inlineStr">
        <is>
          <t>VILHELMINA</t>
        </is>
      </c>
      <c r="F945" t="inlineStr">
        <is>
          <t>Allmännings- och besparingsskogar</t>
        </is>
      </c>
      <c r="G945" t="n">
        <v>41</v>
      </c>
      <c r="H945" t="n">
        <v>0</v>
      </c>
      <c r="I945" t="n">
        <v>0</v>
      </c>
      <c r="J945" t="n">
        <v>0</v>
      </c>
      <c r="K945" t="n">
        <v>0</v>
      </c>
      <c r="L945" t="n">
        <v>0</v>
      </c>
      <c r="M945" t="n">
        <v>0</v>
      </c>
      <c r="N945" t="n">
        <v>0</v>
      </c>
      <c r="O945" t="n">
        <v>0</v>
      </c>
      <c r="P945" t="n">
        <v>0</v>
      </c>
      <c r="Q945" t="n">
        <v>0</v>
      </c>
      <c r="R945" s="2" t="inlineStr"/>
    </row>
    <row r="946" ht="15" customHeight="1">
      <c r="A946" t="inlineStr">
        <is>
          <t>A 56758-2023</t>
        </is>
      </c>
      <c r="B946" s="1" t="n">
        <v>45238</v>
      </c>
      <c r="C946" s="1" t="n">
        <v>45510</v>
      </c>
      <c r="D946" t="inlineStr">
        <is>
          <t>VÄSTERBOTTENS LÄN</t>
        </is>
      </c>
      <c r="E946" t="inlineStr">
        <is>
          <t>VILHELMINA</t>
        </is>
      </c>
      <c r="F946" t="inlineStr">
        <is>
          <t>Allmännings- och besparingsskogar</t>
        </is>
      </c>
      <c r="G946" t="n">
        <v>371.4</v>
      </c>
      <c r="H946" t="n">
        <v>0</v>
      </c>
      <c r="I946" t="n">
        <v>0</v>
      </c>
      <c r="J946" t="n">
        <v>0</v>
      </c>
      <c r="K946" t="n">
        <v>0</v>
      </c>
      <c r="L946" t="n">
        <v>0</v>
      </c>
      <c r="M946" t="n">
        <v>0</v>
      </c>
      <c r="N946" t="n">
        <v>0</v>
      </c>
      <c r="O946" t="n">
        <v>0</v>
      </c>
      <c r="P946" t="n">
        <v>0</v>
      </c>
      <c r="Q946" t="n">
        <v>0</v>
      </c>
      <c r="R946" s="2" t="inlineStr"/>
    </row>
    <row r="947" ht="15" customHeight="1">
      <c r="A947" t="inlineStr">
        <is>
          <t>A 56830-2023</t>
        </is>
      </c>
      <c r="B947" s="1" t="n">
        <v>45238</v>
      </c>
      <c r="C947" s="1" t="n">
        <v>45510</v>
      </c>
      <c r="D947" t="inlineStr">
        <is>
          <t>VÄSTERBOTTENS LÄN</t>
        </is>
      </c>
      <c r="E947" t="inlineStr">
        <is>
          <t>VILHELMINA</t>
        </is>
      </c>
      <c r="F947" t="inlineStr">
        <is>
          <t>Allmännings- och besparingsskogar</t>
        </is>
      </c>
      <c r="G947" t="n">
        <v>66.90000000000001</v>
      </c>
      <c r="H947" t="n">
        <v>0</v>
      </c>
      <c r="I947" t="n">
        <v>0</v>
      </c>
      <c r="J947" t="n">
        <v>0</v>
      </c>
      <c r="K947" t="n">
        <v>0</v>
      </c>
      <c r="L947" t="n">
        <v>0</v>
      </c>
      <c r="M947" t="n">
        <v>0</v>
      </c>
      <c r="N947" t="n">
        <v>0</v>
      </c>
      <c r="O947" t="n">
        <v>0</v>
      </c>
      <c r="P947" t="n">
        <v>0</v>
      </c>
      <c r="Q947" t="n">
        <v>0</v>
      </c>
      <c r="R947" s="2" t="inlineStr"/>
    </row>
    <row r="948" ht="15" customHeight="1">
      <c r="A948" t="inlineStr">
        <is>
          <t>A 55643-2023</t>
        </is>
      </c>
      <c r="B948" s="1" t="n">
        <v>45238</v>
      </c>
      <c r="C948" s="1" t="n">
        <v>45510</v>
      </c>
      <c r="D948" t="inlineStr">
        <is>
          <t>VÄSTERBOTTENS LÄN</t>
        </is>
      </c>
      <c r="E948" t="inlineStr">
        <is>
          <t>VILHELMINA</t>
        </is>
      </c>
      <c r="G948" t="n">
        <v>23.1</v>
      </c>
      <c r="H948" t="n">
        <v>0</v>
      </c>
      <c r="I948" t="n">
        <v>0</v>
      </c>
      <c r="J948" t="n">
        <v>0</v>
      </c>
      <c r="K948" t="n">
        <v>0</v>
      </c>
      <c r="L948" t="n">
        <v>0</v>
      </c>
      <c r="M948" t="n">
        <v>0</v>
      </c>
      <c r="N948" t="n">
        <v>0</v>
      </c>
      <c r="O948" t="n">
        <v>0</v>
      </c>
      <c r="P948" t="n">
        <v>0</v>
      </c>
      <c r="Q948" t="n">
        <v>0</v>
      </c>
      <c r="R948" s="2" t="inlineStr"/>
    </row>
    <row r="949" ht="15" customHeight="1">
      <c r="A949" t="inlineStr">
        <is>
          <t>A 56747-2023</t>
        </is>
      </c>
      <c r="B949" s="1" t="n">
        <v>45238</v>
      </c>
      <c r="C949" s="1" t="n">
        <v>45510</v>
      </c>
      <c r="D949" t="inlineStr">
        <is>
          <t>VÄSTERBOTTENS LÄN</t>
        </is>
      </c>
      <c r="E949" t="inlineStr">
        <is>
          <t>VILHELMINA</t>
        </is>
      </c>
      <c r="F949" t="inlineStr">
        <is>
          <t>Allmännings- och besparingsskogar</t>
        </is>
      </c>
      <c r="G949" t="n">
        <v>16.2</v>
      </c>
      <c r="H949" t="n">
        <v>0</v>
      </c>
      <c r="I949" t="n">
        <v>0</v>
      </c>
      <c r="J949" t="n">
        <v>0</v>
      </c>
      <c r="K949" t="n">
        <v>0</v>
      </c>
      <c r="L949" t="n">
        <v>0</v>
      </c>
      <c r="M949" t="n">
        <v>0</v>
      </c>
      <c r="N949" t="n">
        <v>0</v>
      </c>
      <c r="O949" t="n">
        <v>0</v>
      </c>
      <c r="P949" t="n">
        <v>0</v>
      </c>
      <c r="Q949" t="n">
        <v>0</v>
      </c>
      <c r="R949" s="2" t="inlineStr"/>
    </row>
    <row r="950" ht="15" customHeight="1">
      <c r="A950" t="inlineStr">
        <is>
          <t>A 57137-2023</t>
        </is>
      </c>
      <c r="B950" s="1" t="n">
        <v>45239</v>
      </c>
      <c r="C950" s="1" t="n">
        <v>45510</v>
      </c>
      <c r="D950" t="inlineStr">
        <is>
          <t>VÄSTERBOTTENS LÄN</t>
        </is>
      </c>
      <c r="E950" t="inlineStr">
        <is>
          <t>VILHELMINA</t>
        </is>
      </c>
      <c r="G950" t="n">
        <v>38.8</v>
      </c>
      <c r="H950" t="n">
        <v>0</v>
      </c>
      <c r="I950" t="n">
        <v>0</v>
      </c>
      <c r="J950" t="n">
        <v>0</v>
      </c>
      <c r="K950" t="n">
        <v>0</v>
      </c>
      <c r="L950" t="n">
        <v>0</v>
      </c>
      <c r="M950" t="n">
        <v>0</v>
      </c>
      <c r="N950" t="n">
        <v>0</v>
      </c>
      <c r="O950" t="n">
        <v>0</v>
      </c>
      <c r="P950" t="n">
        <v>0</v>
      </c>
      <c r="Q950" t="n">
        <v>0</v>
      </c>
      <c r="R950" s="2" t="inlineStr"/>
    </row>
    <row r="951" ht="15" customHeight="1">
      <c r="A951" t="inlineStr">
        <is>
          <t>A 57108-2023</t>
        </is>
      </c>
      <c r="B951" s="1" t="n">
        <v>45239</v>
      </c>
      <c r="C951" s="1" t="n">
        <v>45510</v>
      </c>
      <c r="D951" t="inlineStr">
        <is>
          <t>VÄSTERBOTTENS LÄN</t>
        </is>
      </c>
      <c r="E951" t="inlineStr">
        <is>
          <t>VILHELMINA</t>
        </is>
      </c>
      <c r="G951" t="n">
        <v>0.6</v>
      </c>
      <c r="H951" t="n">
        <v>0</v>
      </c>
      <c r="I951" t="n">
        <v>0</v>
      </c>
      <c r="J951" t="n">
        <v>0</v>
      </c>
      <c r="K951" t="n">
        <v>0</v>
      </c>
      <c r="L951" t="n">
        <v>0</v>
      </c>
      <c r="M951" t="n">
        <v>0</v>
      </c>
      <c r="N951" t="n">
        <v>0</v>
      </c>
      <c r="O951" t="n">
        <v>0</v>
      </c>
      <c r="P951" t="n">
        <v>0</v>
      </c>
      <c r="Q951" t="n">
        <v>0</v>
      </c>
      <c r="R951" s="2" t="inlineStr"/>
    </row>
    <row r="952" ht="15" customHeight="1">
      <c r="A952" t="inlineStr">
        <is>
          <t>A 56891-2023</t>
        </is>
      </c>
      <c r="B952" s="1" t="n">
        <v>45239</v>
      </c>
      <c r="C952" s="1" t="n">
        <v>45510</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57123-2023</t>
        </is>
      </c>
      <c r="B953" s="1" t="n">
        <v>45239</v>
      </c>
      <c r="C953" s="1" t="n">
        <v>45510</v>
      </c>
      <c r="D953" t="inlineStr">
        <is>
          <t>VÄSTERBOTTENS LÄN</t>
        </is>
      </c>
      <c r="E953" t="inlineStr">
        <is>
          <t>VILHELMINA</t>
        </is>
      </c>
      <c r="G953" t="n">
        <v>16.1</v>
      </c>
      <c r="H953" t="n">
        <v>0</v>
      </c>
      <c r="I953" t="n">
        <v>0</v>
      </c>
      <c r="J953" t="n">
        <v>0</v>
      </c>
      <c r="K953" t="n">
        <v>0</v>
      </c>
      <c r="L953" t="n">
        <v>0</v>
      </c>
      <c r="M953" t="n">
        <v>0</v>
      </c>
      <c r="N953" t="n">
        <v>0</v>
      </c>
      <c r="O953" t="n">
        <v>0</v>
      </c>
      <c r="P953" t="n">
        <v>0</v>
      </c>
      <c r="Q953" t="n">
        <v>0</v>
      </c>
      <c r="R953" s="2" t="inlineStr"/>
    </row>
    <row r="954" ht="15" customHeight="1">
      <c r="A954" t="inlineStr">
        <is>
          <t>A 57246-2023</t>
        </is>
      </c>
      <c r="B954" s="1" t="n">
        <v>45239</v>
      </c>
      <c r="C954" s="1" t="n">
        <v>45510</v>
      </c>
      <c r="D954" t="inlineStr">
        <is>
          <t>VÄSTERBOTTENS LÄN</t>
        </is>
      </c>
      <c r="E954" t="inlineStr">
        <is>
          <t>VILHELMINA</t>
        </is>
      </c>
      <c r="G954" t="n">
        <v>15.3</v>
      </c>
      <c r="H954" t="n">
        <v>0</v>
      </c>
      <c r="I954" t="n">
        <v>0</v>
      </c>
      <c r="J954" t="n">
        <v>0</v>
      </c>
      <c r="K954" t="n">
        <v>0</v>
      </c>
      <c r="L954" t="n">
        <v>0</v>
      </c>
      <c r="M954" t="n">
        <v>0</v>
      </c>
      <c r="N954" t="n">
        <v>0</v>
      </c>
      <c r="O954" t="n">
        <v>0</v>
      </c>
      <c r="P954" t="n">
        <v>0</v>
      </c>
      <c r="Q954" t="n">
        <v>0</v>
      </c>
      <c r="R954" s="2" t="inlineStr"/>
    </row>
    <row r="955" ht="15" customHeight="1">
      <c r="A955" t="inlineStr">
        <is>
          <t>A 56245-2023</t>
        </is>
      </c>
      <c r="B955" s="1" t="n">
        <v>45240</v>
      </c>
      <c r="C955" s="1" t="n">
        <v>45510</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56246-2023</t>
        </is>
      </c>
      <c r="B956" s="1" t="n">
        <v>45240</v>
      </c>
      <c r="C956" s="1" t="n">
        <v>45510</v>
      </c>
      <c r="D956" t="inlineStr">
        <is>
          <t>VÄSTERBOTTENS LÄN</t>
        </is>
      </c>
      <c r="E956" t="inlineStr">
        <is>
          <t>VILHELMINA</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56236-2023</t>
        </is>
      </c>
      <c r="B957" s="1" t="n">
        <v>45240</v>
      </c>
      <c r="C957" s="1" t="n">
        <v>45510</v>
      </c>
      <c r="D957" t="inlineStr">
        <is>
          <t>VÄSTERBOTTENS LÄN</t>
        </is>
      </c>
      <c r="E957" t="inlineStr">
        <is>
          <t>VILHELMINA</t>
        </is>
      </c>
      <c r="G957" t="n">
        <v>6.1</v>
      </c>
      <c r="H957" t="n">
        <v>0</v>
      </c>
      <c r="I957" t="n">
        <v>0</v>
      </c>
      <c r="J957" t="n">
        <v>0</v>
      </c>
      <c r="K957" t="n">
        <v>0</v>
      </c>
      <c r="L957" t="n">
        <v>0</v>
      </c>
      <c r="M957" t="n">
        <v>0</v>
      </c>
      <c r="N957" t="n">
        <v>0</v>
      </c>
      <c r="O957" t="n">
        <v>0</v>
      </c>
      <c r="P957" t="n">
        <v>0</v>
      </c>
      <c r="Q957" t="n">
        <v>0</v>
      </c>
      <c r="R957" s="2" t="inlineStr"/>
    </row>
    <row r="958" ht="15" customHeight="1">
      <c r="A958" t="inlineStr">
        <is>
          <t>A 56235-2023</t>
        </is>
      </c>
      <c r="B958" s="1" t="n">
        <v>45240</v>
      </c>
      <c r="C958" s="1" t="n">
        <v>45510</v>
      </c>
      <c r="D958" t="inlineStr">
        <is>
          <t>VÄSTERBOTTENS LÄN</t>
        </is>
      </c>
      <c r="E958" t="inlineStr">
        <is>
          <t>VILHELMINA</t>
        </is>
      </c>
      <c r="G958" t="n">
        <v>12.7</v>
      </c>
      <c r="H958" t="n">
        <v>0</v>
      </c>
      <c r="I958" t="n">
        <v>0</v>
      </c>
      <c r="J958" t="n">
        <v>0</v>
      </c>
      <c r="K958" t="n">
        <v>0</v>
      </c>
      <c r="L958" t="n">
        <v>0</v>
      </c>
      <c r="M958" t="n">
        <v>0</v>
      </c>
      <c r="N958" t="n">
        <v>0</v>
      </c>
      <c r="O958" t="n">
        <v>0</v>
      </c>
      <c r="P958" t="n">
        <v>0</v>
      </c>
      <c r="Q958" t="n">
        <v>0</v>
      </c>
      <c r="R958" s="2" t="inlineStr"/>
    </row>
    <row r="959" ht="15" customHeight="1">
      <c r="A959" t="inlineStr">
        <is>
          <t>A 56617-2023</t>
        </is>
      </c>
      <c r="B959" s="1" t="n">
        <v>45243</v>
      </c>
      <c r="C959" s="1" t="n">
        <v>45510</v>
      </c>
      <c r="D959" t="inlineStr">
        <is>
          <t>VÄSTERBOTTENS LÄN</t>
        </is>
      </c>
      <c r="E959" t="inlineStr">
        <is>
          <t>VILHELMINA</t>
        </is>
      </c>
      <c r="G959" t="n">
        <v>0.9</v>
      </c>
      <c r="H959" t="n">
        <v>0</v>
      </c>
      <c r="I959" t="n">
        <v>0</v>
      </c>
      <c r="J959" t="n">
        <v>0</v>
      </c>
      <c r="K959" t="n">
        <v>0</v>
      </c>
      <c r="L959" t="n">
        <v>0</v>
      </c>
      <c r="M959" t="n">
        <v>0</v>
      </c>
      <c r="N959" t="n">
        <v>0</v>
      </c>
      <c r="O959" t="n">
        <v>0</v>
      </c>
      <c r="P959" t="n">
        <v>0</v>
      </c>
      <c r="Q959" t="n">
        <v>0</v>
      </c>
      <c r="R959" s="2" t="inlineStr"/>
    </row>
    <row r="960" ht="15" customHeight="1">
      <c r="A960" t="inlineStr">
        <is>
          <t>A 56622-2023</t>
        </is>
      </c>
      <c r="B960" s="1" t="n">
        <v>45243</v>
      </c>
      <c r="C960" s="1" t="n">
        <v>45510</v>
      </c>
      <c r="D960" t="inlineStr">
        <is>
          <t>VÄSTERBOTTENS LÄN</t>
        </is>
      </c>
      <c r="E960" t="inlineStr">
        <is>
          <t>VILHELMINA</t>
        </is>
      </c>
      <c r="G960" t="n">
        <v>1.2</v>
      </c>
      <c r="H960" t="n">
        <v>0</v>
      </c>
      <c r="I960" t="n">
        <v>0</v>
      </c>
      <c r="J960" t="n">
        <v>0</v>
      </c>
      <c r="K960" t="n">
        <v>0</v>
      </c>
      <c r="L960" t="n">
        <v>0</v>
      </c>
      <c r="M960" t="n">
        <v>0</v>
      </c>
      <c r="N960" t="n">
        <v>0</v>
      </c>
      <c r="O960" t="n">
        <v>0</v>
      </c>
      <c r="P960" t="n">
        <v>0</v>
      </c>
      <c r="Q960" t="n">
        <v>0</v>
      </c>
      <c r="R960" s="2" t="inlineStr"/>
    </row>
    <row r="961" ht="15" customHeight="1">
      <c r="A961" t="inlineStr">
        <is>
          <t>A 57691-2023</t>
        </is>
      </c>
      <c r="B961" s="1" t="n">
        <v>45243</v>
      </c>
      <c r="C961" s="1" t="n">
        <v>45510</v>
      </c>
      <c r="D961" t="inlineStr">
        <is>
          <t>VÄSTERBOTTENS LÄN</t>
        </is>
      </c>
      <c r="E961" t="inlineStr">
        <is>
          <t>VILHELMINA</t>
        </is>
      </c>
      <c r="G961" t="n">
        <v>4.5</v>
      </c>
      <c r="H961" t="n">
        <v>0</v>
      </c>
      <c r="I961" t="n">
        <v>0</v>
      </c>
      <c r="J961" t="n">
        <v>0</v>
      </c>
      <c r="K961" t="n">
        <v>0</v>
      </c>
      <c r="L961" t="n">
        <v>0</v>
      </c>
      <c r="M961" t="n">
        <v>0</v>
      </c>
      <c r="N961" t="n">
        <v>0</v>
      </c>
      <c r="O961" t="n">
        <v>0</v>
      </c>
      <c r="P961" t="n">
        <v>0</v>
      </c>
      <c r="Q961" t="n">
        <v>0</v>
      </c>
      <c r="R961" s="2" t="inlineStr"/>
    </row>
    <row r="962" ht="15" customHeight="1">
      <c r="A962" t="inlineStr">
        <is>
          <t>A 57058-2023</t>
        </is>
      </c>
      <c r="B962" s="1" t="n">
        <v>45244</v>
      </c>
      <c r="C962" s="1" t="n">
        <v>45510</v>
      </c>
      <c r="D962" t="inlineStr">
        <is>
          <t>VÄSTERBOTTENS LÄN</t>
        </is>
      </c>
      <c r="E962" t="inlineStr">
        <is>
          <t>VILHELMINA</t>
        </is>
      </c>
      <c r="G962" t="n">
        <v>2.9</v>
      </c>
      <c r="H962" t="n">
        <v>0</v>
      </c>
      <c r="I962" t="n">
        <v>0</v>
      </c>
      <c r="J962" t="n">
        <v>0</v>
      </c>
      <c r="K962" t="n">
        <v>0</v>
      </c>
      <c r="L962" t="n">
        <v>0</v>
      </c>
      <c r="M962" t="n">
        <v>0</v>
      </c>
      <c r="N962" t="n">
        <v>0</v>
      </c>
      <c r="O962" t="n">
        <v>0</v>
      </c>
      <c r="P962" t="n">
        <v>0</v>
      </c>
      <c r="Q962" t="n">
        <v>0</v>
      </c>
      <c r="R962" s="2" t="inlineStr"/>
    </row>
    <row r="963" ht="15" customHeight="1">
      <c r="A963" t="inlineStr">
        <is>
          <t>A 57057-2023</t>
        </is>
      </c>
      <c r="B963" s="1" t="n">
        <v>45244</v>
      </c>
      <c r="C963" s="1" t="n">
        <v>45510</v>
      </c>
      <c r="D963" t="inlineStr">
        <is>
          <t>VÄSTERBOTTENS LÄN</t>
        </is>
      </c>
      <c r="E963" t="inlineStr">
        <is>
          <t>VILHELMINA</t>
        </is>
      </c>
      <c r="G963" t="n">
        <v>1.2</v>
      </c>
      <c r="H963" t="n">
        <v>0</v>
      </c>
      <c r="I963" t="n">
        <v>0</v>
      </c>
      <c r="J963" t="n">
        <v>0</v>
      </c>
      <c r="K963" t="n">
        <v>0</v>
      </c>
      <c r="L963" t="n">
        <v>0</v>
      </c>
      <c r="M963" t="n">
        <v>0</v>
      </c>
      <c r="N963" t="n">
        <v>0</v>
      </c>
      <c r="O963" t="n">
        <v>0</v>
      </c>
      <c r="P963" t="n">
        <v>0</v>
      </c>
      <c r="Q963" t="n">
        <v>0</v>
      </c>
      <c r="R963" s="2" t="inlineStr"/>
    </row>
    <row r="964" ht="15" customHeight="1">
      <c r="A964" t="inlineStr">
        <is>
          <t>A 58362-2023</t>
        </is>
      </c>
      <c r="B964" s="1" t="n">
        <v>45245</v>
      </c>
      <c r="C964" s="1" t="n">
        <v>45510</v>
      </c>
      <c r="D964" t="inlineStr">
        <is>
          <t>VÄSTERBOTTENS LÄN</t>
        </is>
      </c>
      <c r="E964" t="inlineStr">
        <is>
          <t>VILHELMINA</t>
        </is>
      </c>
      <c r="G964" t="n">
        <v>13.6</v>
      </c>
      <c r="H964" t="n">
        <v>0</v>
      </c>
      <c r="I964" t="n">
        <v>0</v>
      </c>
      <c r="J964" t="n">
        <v>0</v>
      </c>
      <c r="K964" t="n">
        <v>0</v>
      </c>
      <c r="L964" t="n">
        <v>0</v>
      </c>
      <c r="M964" t="n">
        <v>0</v>
      </c>
      <c r="N964" t="n">
        <v>0</v>
      </c>
      <c r="O964" t="n">
        <v>0</v>
      </c>
      <c r="P964" t="n">
        <v>0</v>
      </c>
      <c r="Q964" t="n">
        <v>0</v>
      </c>
      <c r="R964" s="2" t="inlineStr"/>
    </row>
    <row r="965" ht="15" customHeight="1">
      <c r="A965" t="inlineStr">
        <is>
          <t>A 57795-2023</t>
        </is>
      </c>
      <c r="B965" s="1" t="n">
        <v>45247</v>
      </c>
      <c r="C965" s="1" t="n">
        <v>45510</v>
      </c>
      <c r="D965" t="inlineStr">
        <is>
          <t>VÄSTERBOTTENS LÄN</t>
        </is>
      </c>
      <c r="E965" t="inlineStr">
        <is>
          <t>VILHELMINA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58833-2023</t>
        </is>
      </c>
      <c r="B966" s="1" t="n">
        <v>45248</v>
      </c>
      <c r="C966" s="1" t="n">
        <v>45510</v>
      </c>
      <c r="D966" t="inlineStr">
        <is>
          <t>VÄSTERBOTTENS LÄN</t>
        </is>
      </c>
      <c r="E966" t="inlineStr">
        <is>
          <t>VILHELMINA</t>
        </is>
      </c>
      <c r="G966" t="n">
        <v>1.5</v>
      </c>
      <c r="H966" t="n">
        <v>0</v>
      </c>
      <c r="I966" t="n">
        <v>0</v>
      </c>
      <c r="J966" t="n">
        <v>0</v>
      </c>
      <c r="K966" t="n">
        <v>0</v>
      </c>
      <c r="L966" t="n">
        <v>0</v>
      </c>
      <c r="M966" t="n">
        <v>0</v>
      </c>
      <c r="N966" t="n">
        <v>0</v>
      </c>
      <c r="O966" t="n">
        <v>0</v>
      </c>
      <c r="P966" t="n">
        <v>0</v>
      </c>
      <c r="Q966" t="n">
        <v>0</v>
      </c>
      <c r="R966" s="2" t="inlineStr"/>
    </row>
    <row r="967" ht="15" customHeight="1">
      <c r="A967" t="inlineStr">
        <is>
          <t>A 58456-2023</t>
        </is>
      </c>
      <c r="B967" s="1" t="n">
        <v>45251</v>
      </c>
      <c r="C967" s="1" t="n">
        <v>45510</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58756-2023</t>
        </is>
      </c>
      <c r="B968" s="1" t="n">
        <v>45251</v>
      </c>
      <c r="C968" s="1" t="n">
        <v>45510</v>
      </c>
      <c r="D968" t="inlineStr">
        <is>
          <t>VÄSTERBOTTENS LÄN</t>
        </is>
      </c>
      <c r="E968" t="inlineStr">
        <is>
          <t>VILHELMINA</t>
        </is>
      </c>
      <c r="G968" t="n">
        <v>1.6</v>
      </c>
      <c r="H968" t="n">
        <v>0</v>
      </c>
      <c r="I968" t="n">
        <v>0</v>
      </c>
      <c r="J968" t="n">
        <v>0</v>
      </c>
      <c r="K968" t="n">
        <v>0</v>
      </c>
      <c r="L968" t="n">
        <v>0</v>
      </c>
      <c r="M968" t="n">
        <v>0</v>
      </c>
      <c r="N968" t="n">
        <v>0</v>
      </c>
      <c r="O968" t="n">
        <v>0</v>
      </c>
      <c r="P968" t="n">
        <v>0</v>
      </c>
      <c r="Q968" t="n">
        <v>0</v>
      </c>
      <c r="R968" s="2" t="inlineStr"/>
    </row>
    <row r="969" ht="15" customHeight="1">
      <c r="A969" t="inlineStr">
        <is>
          <t>A 59117-2023</t>
        </is>
      </c>
      <c r="B969" s="1" t="n">
        <v>45251</v>
      </c>
      <c r="C969" s="1" t="n">
        <v>45510</v>
      </c>
      <c r="D969" t="inlineStr">
        <is>
          <t>VÄSTERBOTTENS LÄN</t>
        </is>
      </c>
      <c r="E969" t="inlineStr">
        <is>
          <t>VILHELMINA</t>
        </is>
      </c>
      <c r="G969" t="n">
        <v>1</v>
      </c>
      <c r="H969" t="n">
        <v>0</v>
      </c>
      <c r="I969" t="n">
        <v>0</v>
      </c>
      <c r="J969" t="n">
        <v>0</v>
      </c>
      <c r="K969" t="n">
        <v>0</v>
      </c>
      <c r="L969" t="n">
        <v>0</v>
      </c>
      <c r="M969" t="n">
        <v>0</v>
      </c>
      <c r="N969" t="n">
        <v>0</v>
      </c>
      <c r="O969" t="n">
        <v>0</v>
      </c>
      <c r="P969" t="n">
        <v>0</v>
      </c>
      <c r="Q969" t="n">
        <v>0</v>
      </c>
      <c r="R969" s="2" t="inlineStr"/>
    </row>
    <row r="970" ht="15" customHeight="1">
      <c r="A970" t="inlineStr">
        <is>
          <t>A 58749-2023</t>
        </is>
      </c>
      <c r="B970" s="1" t="n">
        <v>45251</v>
      </c>
      <c r="C970" s="1" t="n">
        <v>45510</v>
      </c>
      <c r="D970" t="inlineStr">
        <is>
          <t>VÄSTERBOTTENS LÄN</t>
        </is>
      </c>
      <c r="E970" t="inlineStr">
        <is>
          <t>VILHELMINA</t>
        </is>
      </c>
      <c r="G970" t="n">
        <v>2.8</v>
      </c>
      <c r="H970" t="n">
        <v>0</v>
      </c>
      <c r="I970" t="n">
        <v>0</v>
      </c>
      <c r="J970" t="n">
        <v>0</v>
      </c>
      <c r="K970" t="n">
        <v>0</v>
      </c>
      <c r="L970" t="n">
        <v>0</v>
      </c>
      <c r="M970" t="n">
        <v>0</v>
      </c>
      <c r="N970" t="n">
        <v>0</v>
      </c>
      <c r="O970" t="n">
        <v>0</v>
      </c>
      <c r="P970" t="n">
        <v>0</v>
      </c>
      <c r="Q970" t="n">
        <v>0</v>
      </c>
      <c r="R970" s="2" t="inlineStr"/>
    </row>
    <row r="971" ht="15" customHeight="1">
      <c r="A971" t="inlineStr">
        <is>
          <t>A 59110-2023</t>
        </is>
      </c>
      <c r="B971" s="1" t="n">
        <v>45251</v>
      </c>
      <c r="C971" s="1" t="n">
        <v>45510</v>
      </c>
      <c r="D971" t="inlineStr">
        <is>
          <t>VÄSTERBOTTENS LÄN</t>
        </is>
      </c>
      <c r="E971" t="inlineStr">
        <is>
          <t>VILHELMINA</t>
        </is>
      </c>
      <c r="G971" t="n">
        <v>10.1</v>
      </c>
      <c r="H971" t="n">
        <v>0</v>
      </c>
      <c r="I971" t="n">
        <v>0</v>
      </c>
      <c r="J971" t="n">
        <v>0</v>
      </c>
      <c r="K971" t="n">
        <v>0</v>
      </c>
      <c r="L971" t="n">
        <v>0</v>
      </c>
      <c r="M971" t="n">
        <v>0</v>
      </c>
      <c r="N971" t="n">
        <v>0</v>
      </c>
      <c r="O971" t="n">
        <v>0</v>
      </c>
      <c r="P971" t="n">
        <v>0</v>
      </c>
      <c r="Q971" t="n">
        <v>0</v>
      </c>
      <c r="R971" s="2" t="inlineStr"/>
    </row>
    <row r="972" ht="15" customHeight="1">
      <c r="A972" t="inlineStr">
        <is>
          <t>A 59083-2023</t>
        </is>
      </c>
      <c r="B972" s="1" t="n">
        <v>45252</v>
      </c>
      <c r="C972" s="1" t="n">
        <v>45510</v>
      </c>
      <c r="D972" t="inlineStr">
        <is>
          <t>VÄSTERBOTTENS LÄN</t>
        </is>
      </c>
      <c r="E972" t="inlineStr">
        <is>
          <t>VILHELMINA</t>
        </is>
      </c>
      <c r="G972" t="n">
        <v>8.5</v>
      </c>
      <c r="H972" t="n">
        <v>0</v>
      </c>
      <c r="I972" t="n">
        <v>0</v>
      </c>
      <c r="J972" t="n">
        <v>0</v>
      </c>
      <c r="K972" t="n">
        <v>0</v>
      </c>
      <c r="L972" t="n">
        <v>0</v>
      </c>
      <c r="M972" t="n">
        <v>0</v>
      </c>
      <c r="N972" t="n">
        <v>0</v>
      </c>
      <c r="O972" t="n">
        <v>0</v>
      </c>
      <c r="P972" t="n">
        <v>0</v>
      </c>
      <c r="Q972" t="n">
        <v>0</v>
      </c>
      <c r="R972" s="2" t="inlineStr"/>
    </row>
    <row r="973" ht="15" customHeight="1">
      <c r="A973" t="inlineStr">
        <is>
          <t>A 59664-2023</t>
        </is>
      </c>
      <c r="B973" s="1" t="n">
        <v>45254</v>
      </c>
      <c r="C973" s="1" t="n">
        <v>45510</v>
      </c>
      <c r="D973" t="inlineStr">
        <is>
          <t>VÄSTERBOTTENS LÄN</t>
        </is>
      </c>
      <c r="E973" t="inlineStr">
        <is>
          <t>VILHELMINA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60035-2023</t>
        </is>
      </c>
      <c r="B974" s="1" t="n">
        <v>45254</v>
      </c>
      <c r="C974" s="1" t="n">
        <v>45510</v>
      </c>
      <c r="D974" t="inlineStr">
        <is>
          <t>VÄSTERBOTTENS LÄN</t>
        </is>
      </c>
      <c r="E974" t="inlineStr">
        <is>
          <t>VILHELMINA</t>
        </is>
      </c>
      <c r="G974" t="n">
        <v>2</v>
      </c>
      <c r="H974" t="n">
        <v>0</v>
      </c>
      <c r="I974" t="n">
        <v>0</v>
      </c>
      <c r="J974" t="n">
        <v>0</v>
      </c>
      <c r="K974" t="n">
        <v>0</v>
      </c>
      <c r="L974" t="n">
        <v>0</v>
      </c>
      <c r="M974" t="n">
        <v>0</v>
      </c>
      <c r="N974" t="n">
        <v>0</v>
      </c>
      <c r="O974" t="n">
        <v>0</v>
      </c>
      <c r="P974" t="n">
        <v>0</v>
      </c>
      <c r="Q974" t="n">
        <v>0</v>
      </c>
      <c r="R974" s="2" t="inlineStr"/>
    </row>
    <row r="975" ht="15" customHeight="1">
      <c r="A975" t="inlineStr">
        <is>
          <t>A 59663-2023</t>
        </is>
      </c>
      <c r="B975" s="1" t="n">
        <v>45254</v>
      </c>
      <c r="C975" s="1" t="n">
        <v>45510</v>
      </c>
      <c r="D975" t="inlineStr">
        <is>
          <t>VÄSTERBOTTENS LÄN</t>
        </is>
      </c>
      <c r="E975" t="inlineStr">
        <is>
          <t>VILHELMINA</t>
        </is>
      </c>
      <c r="F975" t="inlineStr">
        <is>
          <t>SCA</t>
        </is>
      </c>
      <c r="G975" t="n">
        <v>12.8</v>
      </c>
      <c r="H975" t="n">
        <v>0</v>
      </c>
      <c r="I975" t="n">
        <v>0</v>
      </c>
      <c r="J975" t="n">
        <v>0</v>
      </c>
      <c r="K975" t="n">
        <v>0</v>
      </c>
      <c r="L975" t="n">
        <v>0</v>
      </c>
      <c r="M975" t="n">
        <v>0</v>
      </c>
      <c r="N975" t="n">
        <v>0</v>
      </c>
      <c r="O975" t="n">
        <v>0</v>
      </c>
      <c r="P975" t="n">
        <v>0</v>
      </c>
      <c r="Q975" t="n">
        <v>0</v>
      </c>
      <c r="R975" s="2" t="inlineStr"/>
    </row>
    <row r="976" ht="15" customHeight="1">
      <c r="A976" t="inlineStr">
        <is>
          <t>A 59671-2023</t>
        </is>
      </c>
      <c r="B976" s="1" t="n">
        <v>45255</v>
      </c>
      <c r="C976" s="1" t="n">
        <v>45510</v>
      </c>
      <c r="D976" t="inlineStr">
        <is>
          <t>VÄSTERBOTTENS LÄN</t>
        </is>
      </c>
      <c r="E976" t="inlineStr">
        <is>
          <t>VILHELMINA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60782-2023</t>
        </is>
      </c>
      <c r="B977" s="1" t="n">
        <v>45259</v>
      </c>
      <c r="C977" s="1" t="n">
        <v>45510</v>
      </c>
      <c r="D977" t="inlineStr">
        <is>
          <t>VÄSTERBOTTENS LÄN</t>
        </is>
      </c>
      <c r="E977" t="inlineStr">
        <is>
          <t>VILHELMINA</t>
        </is>
      </c>
      <c r="G977" t="n">
        <v>12.7</v>
      </c>
      <c r="H977" t="n">
        <v>0</v>
      </c>
      <c r="I977" t="n">
        <v>0</v>
      </c>
      <c r="J977" t="n">
        <v>0</v>
      </c>
      <c r="K977" t="n">
        <v>0</v>
      </c>
      <c r="L977" t="n">
        <v>0</v>
      </c>
      <c r="M977" t="n">
        <v>0</v>
      </c>
      <c r="N977" t="n">
        <v>0</v>
      </c>
      <c r="O977" t="n">
        <v>0</v>
      </c>
      <c r="P977" t="n">
        <v>0</v>
      </c>
      <c r="Q977" t="n">
        <v>0</v>
      </c>
      <c r="R977" s="2" t="inlineStr"/>
    </row>
    <row r="978" ht="15" customHeight="1">
      <c r="A978" t="inlineStr">
        <is>
          <t>A 60842-2023</t>
        </is>
      </c>
      <c r="B978" s="1" t="n">
        <v>45260</v>
      </c>
      <c r="C978" s="1" t="n">
        <v>45510</v>
      </c>
      <c r="D978" t="inlineStr">
        <is>
          <t>VÄSTERBOTTENS LÄN</t>
        </is>
      </c>
      <c r="E978" t="inlineStr">
        <is>
          <t>VILHELMINA</t>
        </is>
      </c>
      <c r="G978" t="n">
        <v>2.9</v>
      </c>
      <c r="H978" t="n">
        <v>0</v>
      </c>
      <c r="I978" t="n">
        <v>0</v>
      </c>
      <c r="J978" t="n">
        <v>0</v>
      </c>
      <c r="K978" t="n">
        <v>0</v>
      </c>
      <c r="L978" t="n">
        <v>0</v>
      </c>
      <c r="M978" t="n">
        <v>0</v>
      </c>
      <c r="N978" t="n">
        <v>0</v>
      </c>
      <c r="O978" t="n">
        <v>0</v>
      </c>
      <c r="P978" t="n">
        <v>0</v>
      </c>
      <c r="Q978" t="n">
        <v>0</v>
      </c>
      <c r="R978" s="2" t="inlineStr"/>
    </row>
    <row r="979" ht="15" customHeight="1">
      <c r="A979" t="inlineStr">
        <is>
          <t>A 60841-2023</t>
        </is>
      </c>
      <c r="B979" s="1" t="n">
        <v>45260</v>
      </c>
      <c r="C979" s="1" t="n">
        <v>45510</v>
      </c>
      <c r="D979" t="inlineStr">
        <is>
          <t>VÄSTERBOTTENS LÄN</t>
        </is>
      </c>
      <c r="E979" t="inlineStr">
        <is>
          <t>VILHELMINA</t>
        </is>
      </c>
      <c r="G979" t="n">
        <v>1.2</v>
      </c>
      <c r="H979" t="n">
        <v>0</v>
      </c>
      <c r="I979" t="n">
        <v>0</v>
      </c>
      <c r="J979" t="n">
        <v>0</v>
      </c>
      <c r="K979" t="n">
        <v>0</v>
      </c>
      <c r="L979" t="n">
        <v>0</v>
      </c>
      <c r="M979" t="n">
        <v>0</v>
      </c>
      <c r="N979" t="n">
        <v>0</v>
      </c>
      <c r="O979" t="n">
        <v>0</v>
      </c>
      <c r="P979" t="n">
        <v>0</v>
      </c>
      <c r="Q979" t="n">
        <v>0</v>
      </c>
      <c r="R979" s="2" t="inlineStr"/>
    </row>
    <row r="980" ht="15" customHeight="1">
      <c r="A980" t="inlineStr">
        <is>
          <t>A 61778-2023</t>
        </is>
      </c>
      <c r="B980" s="1" t="n">
        <v>45265</v>
      </c>
      <c r="C980" s="1" t="n">
        <v>45510</v>
      </c>
      <c r="D980" t="inlineStr">
        <is>
          <t>VÄSTERBOTTENS LÄN</t>
        </is>
      </c>
      <c r="E980" t="inlineStr">
        <is>
          <t>VILHELMINA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61777-2023</t>
        </is>
      </c>
      <c r="B981" s="1" t="n">
        <v>45265</v>
      </c>
      <c r="C981" s="1" t="n">
        <v>45510</v>
      </c>
      <c r="D981" t="inlineStr">
        <is>
          <t>VÄSTERBOTTENS LÄN</t>
        </is>
      </c>
      <c r="E981" t="inlineStr">
        <is>
          <t>VILHELMINA</t>
        </is>
      </c>
      <c r="F981" t="inlineStr">
        <is>
          <t>SCA</t>
        </is>
      </c>
      <c r="G981" t="n">
        <v>20.6</v>
      </c>
      <c r="H981" t="n">
        <v>0</v>
      </c>
      <c r="I981" t="n">
        <v>0</v>
      </c>
      <c r="J981" t="n">
        <v>0</v>
      </c>
      <c r="K981" t="n">
        <v>0</v>
      </c>
      <c r="L981" t="n">
        <v>0</v>
      </c>
      <c r="M981" t="n">
        <v>0</v>
      </c>
      <c r="N981" t="n">
        <v>0</v>
      </c>
      <c r="O981" t="n">
        <v>0</v>
      </c>
      <c r="P981" t="n">
        <v>0</v>
      </c>
      <c r="Q981" t="n">
        <v>0</v>
      </c>
      <c r="R981" s="2" t="inlineStr"/>
    </row>
    <row r="982" ht="15" customHeight="1">
      <c r="A982" t="inlineStr">
        <is>
          <t>A 61780-2023</t>
        </is>
      </c>
      <c r="B982" s="1" t="n">
        <v>45265</v>
      </c>
      <c r="C982" s="1" t="n">
        <v>45510</v>
      </c>
      <c r="D982" t="inlineStr">
        <is>
          <t>VÄSTERBOTTENS LÄN</t>
        </is>
      </c>
      <c r="E982" t="inlineStr">
        <is>
          <t>VILHELMINA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61779-2023</t>
        </is>
      </c>
      <c r="B983" s="1" t="n">
        <v>45265</v>
      </c>
      <c r="C983" s="1" t="n">
        <v>45510</v>
      </c>
      <c r="D983" t="inlineStr">
        <is>
          <t>VÄSTERBOTTENS LÄN</t>
        </is>
      </c>
      <c r="E983" t="inlineStr">
        <is>
          <t>VILHELMINA</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62015-2023</t>
        </is>
      </c>
      <c r="B984" s="1" t="n">
        <v>45265</v>
      </c>
      <c r="C984" s="1" t="n">
        <v>45510</v>
      </c>
      <c r="D984" t="inlineStr">
        <is>
          <t>VÄSTERBOTTENS LÄN</t>
        </is>
      </c>
      <c r="E984" t="inlineStr">
        <is>
          <t>VILHELMINA</t>
        </is>
      </c>
      <c r="G984" t="n">
        <v>3.1</v>
      </c>
      <c r="H984" t="n">
        <v>0</v>
      </c>
      <c r="I984" t="n">
        <v>0</v>
      </c>
      <c r="J984" t="n">
        <v>0</v>
      </c>
      <c r="K984" t="n">
        <v>0</v>
      </c>
      <c r="L984" t="n">
        <v>0</v>
      </c>
      <c r="M984" t="n">
        <v>0</v>
      </c>
      <c r="N984" t="n">
        <v>0</v>
      </c>
      <c r="O984" t="n">
        <v>0</v>
      </c>
      <c r="P984" t="n">
        <v>0</v>
      </c>
      <c r="Q984" t="n">
        <v>0</v>
      </c>
      <c r="R984" s="2" t="inlineStr"/>
    </row>
    <row r="985" ht="15" customHeight="1">
      <c r="A985" t="inlineStr">
        <is>
          <t>A 61973-2023</t>
        </is>
      </c>
      <c r="B985" s="1" t="n">
        <v>45265</v>
      </c>
      <c r="C985" s="1" t="n">
        <v>45510</v>
      </c>
      <c r="D985" t="inlineStr">
        <is>
          <t>VÄSTERBOTTENS LÄN</t>
        </is>
      </c>
      <c r="E985" t="inlineStr">
        <is>
          <t>VILHELMINA</t>
        </is>
      </c>
      <c r="G985" t="n">
        <v>24.9</v>
      </c>
      <c r="H985" t="n">
        <v>0</v>
      </c>
      <c r="I985" t="n">
        <v>0</v>
      </c>
      <c r="J985" t="n">
        <v>0</v>
      </c>
      <c r="K985" t="n">
        <v>0</v>
      </c>
      <c r="L985" t="n">
        <v>0</v>
      </c>
      <c r="M985" t="n">
        <v>0</v>
      </c>
      <c r="N985" t="n">
        <v>0</v>
      </c>
      <c r="O985" t="n">
        <v>0</v>
      </c>
      <c r="P985" t="n">
        <v>0</v>
      </c>
      <c r="Q985" t="n">
        <v>0</v>
      </c>
      <c r="R985" s="2" t="inlineStr"/>
    </row>
    <row r="986" ht="15" customHeight="1">
      <c r="A986" t="inlineStr">
        <is>
          <t>A 62021-2023</t>
        </is>
      </c>
      <c r="B986" s="1" t="n">
        <v>45265</v>
      </c>
      <c r="C986" s="1" t="n">
        <v>45510</v>
      </c>
      <c r="D986" t="inlineStr">
        <is>
          <t>VÄSTERBOTTENS LÄN</t>
        </is>
      </c>
      <c r="E986" t="inlineStr">
        <is>
          <t>VILHELMINA</t>
        </is>
      </c>
      <c r="G986" t="n">
        <v>2.4</v>
      </c>
      <c r="H986" t="n">
        <v>0</v>
      </c>
      <c r="I986" t="n">
        <v>0</v>
      </c>
      <c r="J986" t="n">
        <v>0</v>
      </c>
      <c r="K986" t="n">
        <v>0</v>
      </c>
      <c r="L986" t="n">
        <v>0</v>
      </c>
      <c r="M986" t="n">
        <v>0</v>
      </c>
      <c r="N986" t="n">
        <v>0</v>
      </c>
      <c r="O986" t="n">
        <v>0</v>
      </c>
      <c r="P986" t="n">
        <v>0</v>
      </c>
      <c r="Q986" t="n">
        <v>0</v>
      </c>
      <c r="R986" s="2" t="inlineStr"/>
    </row>
    <row r="987" ht="15" customHeight="1">
      <c r="A987" t="inlineStr">
        <is>
          <t>A 62663-2023</t>
        </is>
      </c>
      <c r="B987" s="1" t="n">
        <v>45267</v>
      </c>
      <c r="C987" s="1" t="n">
        <v>45510</v>
      </c>
      <c r="D987" t="inlineStr">
        <is>
          <t>VÄSTERBOTTENS LÄN</t>
        </is>
      </c>
      <c r="E987" t="inlineStr">
        <is>
          <t>VILHELMINA</t>
        </is>
      </c>
      <c r="F987" t="inlineStr">
        <is>
          <t>Allmännings- och besparingsskogar</t>
        </is>
      </c>
      <c r="G987" t="n">
        <v>19.3</v>
      </c>
      <c r="H987" t="n">
        <v>0</v>
      </c>
      <c r="I987" t="n">
        <v>0</v>
      </c>
      <c r="J987" t="n">
        <v>0</v>
      </c>
      <c r="K987" t="n">
        <v>0</v>
      </c>
      <c r="L987" t="n">
        <v>0</v>
      </c>
      <c r="M987" t="n">
        <v>0</v>
      </c>
      <c r="N987" t="n">
        <v>0</v>
      </c>
      <c r="O987" t="n">
        <v>0</v>
      </c>
      <c r="P987" t="n">
        <v>0</v>
      </c>
      <c r="Q987" t="n">
        <v>0</v>
      </c>
      <c r="R987" s="2" t="inlineStr"/>
    </row>
    <row r="988" ht="15" customHeight="1">
      <c r="A988" t="inlineStr">
        <is>
          <t>A 62673-2023</t>
        </is>
      </c>
      <c r="B988" s="1" t="n">
        <v>45267</v>
      </c>
      <c r="C988" s="1" t="n">
        <v>45510</v>
      </c>
      <c r="D988" t="inlineStr">
        <is>
          <t>VÄSTERBOTTENS LÄN</t>
        </is>
      </c>
      <c r="E988" t="inlineStr">
        <is>
          <t>VILHELMINA</t>
        </is>
      </c>
      <c r="F988" t="inlineStr">
        <is>
          <t>Allmännings- och besparingsskogar</t>
        </is>
      </c>
      <c r="G988" t="n">
        <v>19.8</v>
      </c>
      <c r="H988" t="n">
        <v>0</v>
      </c>
      <c r="I988" t="n">
        <v>0</v>
      </c>
      <c r="J988" t="n">
        <v>0</v>
      </c>
      <c r="K988" t="n">
        <v>0</v>
      </c>
      <c r="L988" t="n">
        <v>0</v>
      </c>
      <c r="M988" t="n">
        <v>0</v>
      </c>
      <c r="N988" t="n">
        <v>0</v>
      </c>
      <c r="O988" t="n">
        <v>0</v>
      </c>
      <c r="P988" t="n">
        <v>0</v>
      </c>
      <c r="Q988" t="n">
        <v>0</v>
      </c>
      <c r="R988" s="2" t="inlineStr"/>
    </row>
    <row r="989" ht="15" customHeight="1">
      <c r="A989" t="inlineStr">
        <is>
          <t>A 63050-2023</t>
        </is>
      </c>
      <c r="B989" s="1" t="n">
        <v>45272</v>
      </c>
      <c r="C989" s="1" t="n">
        <v>45510</v>
      </c>
      <c r="D989" t="inlineStr">
        <is>
          <t>VÄSTERBOTTENS LÄN</t>
        </is>
      </c>
      <c r="E989" t="inlineStr">
        <is>
          <t>VILHELMINA</t>
        </is>
      </c>
      <c r="G989" t="n">
        <v>2.5</v>
      </c>
      <c r="H989" t="n">
        <v>0</v>
      </c>
      <c r="I989" t="n">
        <v>0</v>
      </c>
      <c r="J989" t="n">
        <v>0</v>
      </c>
      <c r="K989" t="n">
        <v>0</v>
      </c>
      <c r="L989" t="n">
        <v>0</v>
      </c>
      <c r="M989" t="n">
        <v>0</v>
      </c>
      <c r="N989" t="n">
        <v>0</v>
      </c>
      <c r="O989" t="n">
        <v>0</v>
      </c>
      <c r="P989" t="n">
        <v>0</v>
      </c>
      <c r="Q989" t="n">
        <v>0</v>
      </c>
      <c r="R989" s="2" t="inlineStr"/>
    </row>
    <row r="990" ht="15" customHeight="1">
      <c r="A990" t="inlineStr">
        <is>
          <t>A 63049-2023</t>
        </is>
      </c>
      <c r="B990" s="1" t="n">
        <v>45272</v>
      </c>
      <c r="C990" s="1" t="n">
        <v>45510</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63053-2023</t>
        </is>
      </c>
      <c r="B991" s="1" t="n">
        <v>45272</v>
      </c>
      <c r="C991" s="1" t="n">
        <v>45510</v>
      </c>
      <c r="D991" t="inlineStr">
        <is>
          <t>VÄSTERBOTTENS LÄN</t>
        </is>
      </c>
      <c r="E991" t="inlineStr">
        <is>
          <t>VILHELMINA</t>
        </is>
      </c>
      <c r="G991" t="n">
        <v>2</v>
      </c>
      <c r="H991" t="n">
        <v>0</v>
      </c>
      <c r="I991" t="n">
        <v>0</v>
      </c>
      <c r="J991" t="n">
        <v>0</v>
      </c>
      <c r="K991" t="n">
        <v>0</v>
      </c>
      <c r="L991" t="n">
        <v>0</v>
      </c>
      <c r="M991" t="n">
        <v>0</v>
      </c>
      <c r="N991" t="n">
        <v>0</v>
      </c>
      <c r="O991" t="n">
        <v>0</v>
      </c>
      <c r="P991" t="n">
        <v>0</v>
      </c>
      <c r="Q991" t="n">
        <v>0</v>
      </c>
      <c r="R991" s="2" t="inlineStr"/>
    </row>
    <row r="992" ht="15" customHeight="1">
      <c r="A992" t="inlineStr">
        <is>
          <t>A 63563-2023</t>
        </is>
      </c>
      <c r="B992" s="1" t="n">
        <v>45274</v>
      </c>
      <c r="C992" s="1" t="n">
        <v>45510</v>
      </c>
      <c r="D992" t="inlineStr">
        <is>
          <t>VÄSTERBOTTENS LÄN</t>
        </is>
      </c>
      <c r="E992" t="inlineStr">
        <is>
          <t>VILHELMINA</t>
        </is>
      </c>
      <c r="F992" t="inlineStr">
        <is>
          <t>Övriga Aktiebolag</t>
        </is>
      </c>
      <c r="G992" t="n">
        <v>15.1</v>
      </c>
      <c r="H992" t="n">
        <v>0</v>
      </c>
      <c r="I992" t="n">
        <v>0</v>
      </c>
      <c r="J992" t="n">
        <v>0</v>
      </c>
      <c r="K992" t="n">
        <v>0</v>
      </c>
      <c r="L992" t="n">
        <v>0</v>
      </c>
      <c r="M992" t="n">
        <v>0</v>
      </c>
      <c r="N992" t="n">
        <v>0</v>
      </c>
      <c r="O992" t="n">
        <v>0</v>
      </c>
      <c r="P992" t="n">
        <v>0</v>
      </c>
      <c r="Q992" t="n">
        <v>0</v>
      </c>
      <c r="R992" s="2" t="inlineStr"/>
    </row>
    <row r="993" ht="15" customHeight="1">
      <c r="A993" t="inlineStr">
        <is>
          <t>A 63877-2023</t>
        </is>
      </c>
      <c r="B993" s="1" t="n">
        <v>45278</v>
      </c>
      <c r="C993" s="1" t="n">
        <v>45510</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64029-2023</t>
        </is>
      </c>
      <c r="B994" s="1" t="n">
        <v>45278</v>
      </c>
      <c r="C994" s="1" t="n">
        <v>45510</v>
      </c>
      <c r="D994" t="inlineStr">
        <is>
          <t>VÄSTERBOTTENS LÄN</t>
        </is>
      </c>
      <c r="E994" t="inlineStr">
        <is>
          <t>VILHELMINA</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64028-2023</t>
        </is>
      </c>
      <c r="B995" s="1" t="n">
        <v>45278</v>
      </c>
      <c r="C995" s="1" t="n">
        <v>45510</v>
      </c>
      <c r="D995" t="inlineStr">
        <is>
          <t>VÄSTERBOTTENS LÄN</t>
        </is>
      </c>
      <c r="E995" t="inlineStr">
        <is>
          <t>VILHELMINA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64027-2023</t>
        </is>
      </c>
      <c r="B996" s="1" t="n">
        <v>45278</v>
      </c>
      <c r="C996" s="1" t="n">
        <v>45510</v>
      </c>
      <c r="D996" t="inlineStr">
        <is>
          <t>VÄSTERBOTTENS LÄN</t>
        </is>
      </c>
      <c r="E996" t="inlineStr">
        <is>
          <t>VILHELMINA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64362-2023</t>
        </is>
      </c>
      <c r="B997" s="1" t="n">
        <v>45280</v>
      </c>
      <c r="C997" s="1" t="n">
        <v>45510</v>
      </c>
      <c r="D997" t="inlineStr">
        <is>
          <t>VÄSTERBOTTENS LÄN</t>
        </is>
      </c>
      <c r="E997" t="inlineStr">
        <is>
          <t>VILHELMINA</t>
        </is>
      </c>
      <c r="G997" t="n">
        <v>4.5</v>
      </c>
      <c r="H997" t="n">
        <v>0</v>
      </c>
      <c r="I997" t="n">
        <v>0</v>
      </c>
      <c r="J997" t="n">
        <v>0</v>
      </c>
      <c r="K997" t="n">
        <v>0</v>
      </c>
      <c r="L997" t="n">
        <v>0</v>
      </c>
      <c r="M997" t="n">
        <v>0</v>
      </c>
      <c r="N997" t="n">
        <v>0</v>
      </c>
      <c r="O997" t="n">
        <v>0</v>
      </c>
      <c r="P997" t="n">
        <v>0</v>
      </c>
      <c r="Q997" t="n">
        <v>0</v>
      </c>
      <c r="R997" s="2" t="inlineStr"/>
    </row>
    <row r="998" ht="15" customHeight="1">
      <c r="A998" t="inlineStr">
        <is>
          <t>A 64495-2023</t>
        </is>
      </c>
      <c r="B998" s="1" t="n">
        <v>45280</v>
      </c>
      <c r="C998" s="1" t="n">
        <v>45510</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64421-2023</t>
        </is>
      </c>
      <c r="B999" s="1" t="n">
        <v>45280</v>
      </c>
      <c r="C999" s="1" t="n">
        <v>45510</v>
      </c>
      <c r="D999" t="inlineStr">
        <is>
          <t>VÄSTERBOTTENS LÄN</t>
        </is>
      </c>
      <c r="E999" t="inlineStr">
        <is>
          <t>VILHELMINA</t>
        </is>
      </c>
      <c r="G999" t="n">
        <v>4.9</v>
      </c>
      <c r="H999" t="n">
        <v>0</v>
      </c>
      <c r="I999" t="n">
        <v>0</v>
      </c>
      <c r="J999" t="n">
        <v>0</v>
      </c>
      <c r="K999" t="n">
        <v>0</v>
      </c>
      <c r="L999" t="n">
        <v>0</v>
      </c>
      <c r="M999" t="n">
        <v>0</v>
      </c>
      <c r="N999" t="n">
        <v>0</v>
      </c>
      <c r="O999" t="n">
        <v>0</v>
      </c>
      <c r="P999" t="n">
        <v>0</v>
      </c>
      <c r="Q999" t="n">
        <v>0</v>
      </c>
      <c r="R999" s="2" t="inlineStr"/>
    </row>
    <row r="1000" ht="15" customHeight="1">
      <c r="A1000" t="inlineStr">
        <is>
          <t>A 64592-2023</t>
        </is>
      </c>
      <c r="B1000" s="1" t="n">
        <v>45281</v>
      </c>
      <c r="C1000" s="1" t="n">
        <v>45510</v>
      </c>
      <c r="D1000" t="inlineStr">
        <is>
          <t>VÄSTERBOTTENS LÄN</t>
        </is>
      </c>
      <c r="E1000" t="inlineStr">
        <is>
          <t>VILHELMINA</t>
        </is>
      </c>
      <c r="F1000" t="inlineStr">
        <is>
          <t>Kommuner</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65042-2023</t>
        </is>
      </c>
      <c r="B1001" s="1" t="n">
        <v>45282</v>
      </c>
      <c r="C1001" s="1" t="n">
        <v>45510</v>
      </c>
      <c r="D1001" t="inlineStr">
        <is>
          <t>VÄSTERBOTTENS LÄN</t>
        </is>
      </c>
      <c r="E1001" t="inlineStr">
        <is>
          <t>VILHELMINA</t>
        </is>
      </c>
      <c r="F1001" t="inlineStr">
        <is>
          <t>Övriga Aktiebolag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367-2024</t>
        </is>
      </c>
      <c r="B1002" s="1" t="n">
        <v>45295</v>
      </c>
      <c r="C1002" s="1" t="n">
        <v>45510</v>
      </c>
      <c r="D1002" t="inlineStr">
        <is>
          <t>VÄSTERBOTTENS LÄN</t>
        </is>
      </c>
      <c r="E1002" t="inlineStr">
        <is>
          <t>VILHELMINA</t>
        </is>
      </c>
      <c r="F1002" t="inlineStr">
        <is>
          <t>SCA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370-2024</t>
        </is>
      </c>
      <c r="B1003" s="1" t="n">
        <v>45296</v>
      </c>
      <c r="C1003" s="1" t="n">
        <v>45510</v>
      </c>
      <c r="D1003" t="inlineStr">
        <is>
          <t>VÄSTERBOTTENS LÄN</t>
        </is>
      </c>
      <c r="E1003" t="inlineStr">
        <is>
          <t>VILHELMINA</t>
        </is>
      </c>
      <c r="F1003" t="inlineStr">
        <is>
          <t>SCA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475-2024</t>
        </is>
      </c>
      <c r="B1004" s="1" t="n">
        <v>45297</v>
      </c>
      <c r="C1004" s="1" t="n">
        <v>45510</v>
      </c>
      <c r="D1004" t="inlineStr">
        <is>
          <t>VÄSTERBOTTENS LÄN</t>
        </is>
      </c>
      <c r="E1004" t="inlineStr">
        <is>
          <t>VILHELMINA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468-2024</t>
        </is>
      </c>
      <c r="B1005" s="1" t="n">
        <v>45297</v>
      </c>
      <c r="C1005" s="1" t="n">
        <v>45510</v>
      </c>
      <c r="D1005" t="inlineStr">
        <is>
          <t>VÄSTERBOTTENS LÄN</t>
        </is>
      </c>
      <c r="E1005" t="inlineStr">
        <is>
          <t>VILHELMINA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706-2024</t>
        </is>
      </c>
      <c r="B1006" s="1" t="n">
        <v>45300</v>
      </c>
      <c r="C1006" s="1" t="n">
        <v>45510</v>
      </c>
      <c r="D1006" t="inlineStr">
        <is>
          <t>VÄSTERBOTTENS LÄN</t>
        </is>
      </c>
      <c r="E1006" t="inlineStr">
        <is>
          <t>VILHELMINA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1780-2024</t>
        </is>
      </c>
      <c r="B1007" s="1" t="n">
        <v>45307</v>
      </c>
      <c r="C1007" s="1" t="n">
        <v>45510</v>
      </c>
      <c r="D1007" t="inlineStr">
        <is>
          <t>VÄSTERBOTTENS LÄN</t>
        </is>
      </c>
      <c r="E1007" t="inlineStr">
        <is>
          <t>VILHELMINA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1854-2024</t>
        </is>
      </c>
      <c r="B1008" s="1" t="n">
        <v>45307</v>
      </c>
      <c r="C1008" s="1" t="n">
        <v>45510</v>
      </c>
      <c r="D1008" t="inlineStr">
        <is>
          <t>VÄSTERBOTTENS LÄN</t>
        </is>
      </c>
      <c r="E1008" t="inlineStr">
        <is>
          <t>VILHELMINA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1940-2024</t>
        </is>
      </c>
      <c r="B1009" s="1" t="n">
        <v>45308</v>
      </c>
      <c r="C1009" s="1" t="n">
        <v>45510</v>
      </c>
      <c r="D1009" t="inlineStr">
        <is>
          <t>VÄSTERBOTTENS LÄN</t>
        </is>
      </c>
      <c r="E1009" t="inlineStr">
        <is>
          <t>VILHELMINA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2022-2024</t>
        </is>
      </c>
      <c r="B1010" s="1" t="n">
        <v>45308</v>
      </c>
      <c r="C1010" s="1" t="n">
        <v>45510</v>
      </c>
      <c r="D1010" t="inlineStr">
        <is>
          <t>VÄSTERBOTTENS LÄN</t>
        </is>
      </c>
      <c r="E1010" t="inlineStr">
        <is>
          <t>VILHELMINA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2023-2024</t>
        </is>
      </c>
      <c r="B1011" s="1" t="n">
        <v>45308</v>
      </c>
      <c r="C1011" s="1" t="n">
        <v>45510</v>
      </c>
      <c r="D1011" t="inlineStr">
        <is>
          <t>VÄSTERBOTTENS LÄN</t>
        </is>
      </c>
      <c r="E1011" t="inlineStr">
        <is>
          <t>VILHELMINA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3237-2024</t>
        </is>
      </c>
      <c r="B1012" s="1" t="n">
        <v>45316</v>
      </c>
      <c r="C1012" s="1" t="n">
        <v>45510</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3620-2024</t>
        </is>
      </c>
      <c r="B1013" s="1" t="n">
        <v>45320</v>
      </c>
      <c r="C1013" s="1" t="n">
        <v>45510</v>
      </c>
      <c r="D1013" t="inlineStr">
        <is>
          <t>VÄSTERBOTTENS LÄN</t>
        </is>
      </c>
      <c r="E1013" t="inlineStr">
        <is>
          <t>VILHELMINA</t>
        </is>
      </c>
      <c r="F1013" t="inlineStr">
        <is>
          <t>SCA</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4291-2024</t>
        </is>
      </c>
      <c r="B1014" s="1" t="n">
        <v>45324</v>
      </c>
      <c r="C1014" s="1" t="n">
        <v>45510</v>
      </c>
      <c r="D1014" t="inlineStr">
        <is>
          <t>VÄSTERBOTTENS LÄN</t>
        </is>
      </c>
      <c r="E1014" t="inlineStr">
        <is>
          <t>VILHELMINA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5435-2024</t>
        </is>
      </c>
      <c r="B1015" s="1" t="n">
        <v>45331</v>
      </c>
      <c r="C1015" s="1" t="n">
        <v>45510</v>
      </c>
      <c r="D1015" t="inlineStr">
        <is>
          <t>VÄSTERBOTTENS LÄN</t>
        </is>
      </c>
      <c r="E1015" t="inlineStr">
        <is>
          <t>VILHELMINA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5434-2024</t>
        </is>
      </c>
      <c r="B1016" s="1" t="n">
        <v>45331</v>
      </c>
      <c r="C1016" s="1" t="n">
        <v>45510</v>
      </c>
      <c r="D1016" t="inlineStr">
        <is>
          <t>VÄSTERBOTTENS LÄN</t>
        </is>
      </c>
      <c r="E1016" t="inlineStr">
        <is>
          <t>VILHELMINA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5432-2024</t>
        </is>
      </c>
      <c r="B1017" s="1" t="n">
        <v>45331</v>
      </c>
      <c r="C1017" s="1" t="n">
        <v>45510</v>
      </c>
      <c r="D1017" t="inlineStr">
        <is>
          <t>VÄSTERBOTTENS LÄN</t>
        </is>
      </c>
      <c r="E1017" t="inlineStr">
        <is>
          <t>VILHELMINA</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5549-2024</t>
        </is>
      </c>
      <c r="B1018" s="1" t="n">
        <v>45332</v>
      </c>
      <c r="C1018" s="1" t="n">
        <v>45510</v>
      </c>
      <c r="D1018" t="inlineStr">
        <is>
          <t>VÄSTERBOTTENS LÄN</t>
        </is>
      </c>
      <c r="E1018" t="inlineStr">
        <is>
          <t>VILHELMINA</t>
        </is>
      </c>
      <c r="G1018" t="n">
        <v>25.8</v>
      </c>
      <c r="H1018" t="n">
        <v>0</v>
      </c>
      <c r="I1018" t="n">
        <v>0</v>
      </c>
      <c r="J1018" t="n">
        <v>0</v>
      </c>
      <c r="K1018" t="n">
        <v>0</v>
      </c>
      <c r="L1018" t="n">
        <v>0</v>
      </c>
      <c r="M1018" t="n">
        <v>0</v>
      </c>
      <c r="N1018" t="n">
        <v>0</v>
      </c>
      <c r="O1018" t="n">
        <v>0</v>
      </c>
      <c r="P1018" t="n">
        <v>0</v>
      </c>
      <c r="Q1018" t="n">
        <v>0</v>
      </c>
      <c r="R1018" s="2" t="inlineStr"/>
    </row>
    <row r="1019" ht="15" customHeight="1">
      <c r="A1019" t="inlineStr">
        <is>
          <t>A 5552-2024</t>
        </is>
      </c>
      <c r="B1019" s="1" t="n">
        <v>45332</v>
      </c>
      <c r="C1019" s="1" t="n">
        <v>45510</v>
      </c>
      <c r="D1019" t="inlineStr">
        <is>
          <t>VÄSTERBOTTENS LÄN</t>
        </is>
      </c>
      <c r="E1019" t="inlineStr">
        <is>
          <t>VILHELMINA</t>
        </is>
      </c>
      <c r="G1019" t="n">
        <v>18.2</v>
      </c>
      <c r="H1019" t="n">
        <v>0</v>
      </c>
      <c r="I1019" t="n">
        <v>0</v>
      </c>
      <c r="J1019" t="n">
        <v>0</v>
      </c>
      <c r="K1019" t="n">
        <v>0</v>
      </c>
      <c r="L1019" t="n">
        <v>0</v>
      </c>
      <c r="M1019" t="n">
        <v>0</v>
      </c>
      <c r="N1019" t="n">
        <v>0</v>
      </c>
      <c r="O1019" t="n">
        <v>0</v>
      </c>
      <c r="P1019" t="n">
        <v>0</v>
      </c>
      <c r="Q1019" t="n">
        <v>0</v>
      </c>
      <c r="R1019" s="2" t="inlineStr"/>
    </row>
    <row r="1020" ht="15" customHeight="1">
      <c r="A1020" t="inlineStr">
        <is>
          <t>A 5482-2024</t>
        </is>
      </c>
      <c r="B1020" s="1" t="n">
        <v>45333</v>
      </c>
      <c r="C1020" s="1" t="n">
        <v>45510</v>
      </c>
      <c r="D1020" t="inlineStr">
        <is>
          <t>VÄSTERBOTTENS LÄN</t>
        </is>
      </c>
      <c r="E1020" t="inlineStr">
        <is>
          <t>VILHELMINA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5497-2024</t>
        </is>
      </c>
      <c r="B1021" s="1" t="n">
        <v>45334</v>
      </c>
      <c r="C1021" s="1" t="n">
        <v>45510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6281-2024</t>
        </is>
      </c>
      <c r="B1022" s="1" t="n">
        <v>45337</v>
      </c>
      <c r="C1022" s="1" t="n">
        <v>45510</v>
      </c>
      <c r="D1022" t="inlineStr">
        <is>
          <t>VÄSTERBOTTENS LÄN</t>
        </is>
      </c>
      <c r="E1022" t="inlineStr">
        <is>
          <t>VILHELMINA</t>
        </is>
      </c>
      <c r="F1022" t="inlineStr">
        <is>
          <t>SCA</t>
        </is>
      </c>
      <c r="G1022" t="n">
        <v>17.6</v>
      </c>
      <c r="H1022" t="n">
        <v>0</v>
      </c>
      <c r="I1022" t="n">
        <v>0</v>
      </c>
      <c r="J1022" t="n">
        <v>0</v>
      </c>
      <c r="K1022" t="n">
        <v>0</v>
      </c>
      <c r="L1022" t="n">
        <v>0</v>
      </c>
      <c r="M1022" t="n">
        <v>0</v>
      </c>
      <c r="N1022" t="n">
        <v>0</v>
      </c>
      <c r="O1022" t="n">
        <v>0</v>
      </c>
      <c r="P1022" t="n">
        <v>0</v>
      </c>
      <c r="Q1022" t="n">
        <v>0</v>
      </c>
      <c r="R1022" s="2" t="inlineStr"/>
    </row>
    <row r="1023" ht="15" customHeight="1">
      <c r="A1023" t="inlineStr">
        <is>
          <t>A 6280-2024</t>
        </is>
      </c>
      <c r="B1023" s="1" t="n">
        <v>45337</v>
      </c>
      <c r="C1023" s="1" t="n">
        <v>45510</v>
      </c>
      <c r="D1023" t="inlineStr">
        <is>
          <t>VÄSTERBOTTENS LÄN</t>
        </is>
      </c>
      <c r="E1023" t="inlineStr">
        <is>
          <t>VILHELMINA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6369-2024</t>
        </is>
      </c>
      <c r="B1024" s="1" t="n">
        <v>45338</v>
      </c>
      <c r="C1024" s="1" t="n">
        <v>45510</v>
      </c>
      <c r="D1024" t="inlineStr">
        <is>
          <t>VÄSTERBOTTENS LÄN</t>
        </is>
      </c>
      <c r="E1024" t="inlineStr">
        <is>
          <t>VILHELMINA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6358-2024</t>
        </is>
      </c>
      <c r="B1025" s="1" t="n">
        <v>45338</v>
      </c>
      <c r="C1025" s="1" t="n">
        <v>45510</v>
      </c>
      <c r="D1025" t="inlineStr">
        <is>
          <t>VÄSTERBOTTENS LÄN</t>
        </is>
      </c>
      <c r="E1025" t="inlineStr">
        <is>
          <t>VILHELMINA</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7102-2024</t>
        </is>
      </c>
      <c r="B1026" s="1" t="n">
        <v>45343</v>
      </c>
      <c r="C1026" s="1" t="n">
        <v>45510</v>
      </c>
      <c r="D1026" t="inlineStr">
        <is>
          <t>VÄSTERBOTTENS LÄN</t>
        </is>
      </c>
      <c r="E1026" t="inlineStr">
        <is>
          <t>VILHELMINA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7259-2024</t>
        </is>
      </c>
      <c r="B1027" s="1" t="n">
        <v>45344</v>
      </c>
      <c r="C1027" s="1" t="n">
        <v>45510</v>
      </c>
      <c r="D1027" t="inlineStr">
        <is>
          <t>VÄSTERBOTTENS LÄN</t>
        </is>
      </c>
      <c r="E1027" t="inlineStr">
        <is>
          <t>VILHELMINA</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7777-2024</t>
        </is>
      </c>
      <c r="B1028" s="1" t="n">
        <v>45349</v>
      </c>
      <c r="C1028" s="1" t="n">
        <v>45510</v>
      </c>
      <c r="D1028" t="inlineStr">
        <is>
          <t>VÄSTERBOTTENS LÄN</t>
        </is>
      </c>
      <c r="E1028" t="inlineStr">
        <is>
          <t>VILHELMINA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8544-2024</t>
        </is>
      </c>
      <c r="B1029" s="1" t="n">
        <v>45351</v>
      </c>
      <c r="C1029" s="1" t="n">
        <v>45510</v>
      </c>
      <c r="D1029" t="inlineStr">
        <is>
          <t>VÄSTERBOTTENS LÄN</t>
        </is>
      </c>
      <c r="E1029" t="inlineStr">
        <is>
          <t>VILHELMINA</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8664-2024</t>
        </is>
      </c>
      <c r="B1030" s="1" t="n">
        <v>45356</v>
      </c>
      <c r="C1030" s="1" t="n">
        <v>45510</v>
      </c>
      <c r="D1030" t="inlineStr">
        <is>
          <t>VÄSTERBOTTENS LÄN</t>
        </is>
      </c>
      <c r="E1030" t="inlineStr">
        <is>
          <t>VILHELMINA</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9815-2024</t>
        </is>
      </c>
      <c r="B1031" s="1" t="n">
        <v>45363</v>
      </c>
      <c r="C1031" s="1" t="n">
        <v>45510</v>
      </c>
      <c r="D1031" t="inlineStr">
        <is>
          <t>VÄSTERBOTTENS LÄN</t>
        </is>
      </c>
      <c r="E1031" t="inlineStr">
        <is>
          <t>VILHELMINA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10617-2024</t>
        </is>
      </c>
      <c r="B1032" s="1" t="n">
        <v>45367</v>
      </c>
      <c r="C1032" s="1" t="n">
        <v>45510</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11538-2024</t>
        </is>
      </c>
      <c r="B1033" s="1" t="n">
        <v>45372</v>
      </c>
      <c r="C1033" s="1" t="n">
        <v>45510</v>
      </c>
      <c r="D1033" t="inlineStr">
        <is>
          <t>VÄSTERBOTTENS LÄN</t>
        </is>
      </c>
      <c r="E1033" t="inlineStr">
        <is>
          <t>VILHELMINA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11806-2024</t>
        </is>
      </c>
      <c r="B1034" s="1" t="n">
        <v>45375</v>
      </c>
      <c r="C1034" s="1" t="n">
        <v>45510</v>
      </c>
      <c r="D1034" t="inlineStr">
        <is>
          <t>VÄSTERBOTTENS LÄN</t>
        </is>
      </c>
      <c r="E1034" t="inlineStr">
        <is>
          <t>VILHELMINA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12118-2024</t>
        </is>
      </c>
      <c r="B1035" s="1" t="n">
        <v>45376</v>
      </c>
      <c r="C1035" s="1" t="n">
        <v>45510</v>
      </c>
      <c r="D1035" t="inlineStr">
        <is>
          <t>VÄSTERBOTTENS LÄN</t>
        </is>
      </c>
      <c r="E1035" t="inlineStr">
        <is>
          <t>VILHELMINA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12189-2024</t>
        </is>
      </c>
      <c r="B1036" s="1" t="n">
        <v>45377</v>
      </c>
      <c r="C1036" s="1" t="n">
        <v>45510</v>
      </c>
      <c r="D1036" t="inlineStr">
        <is>
          <t>VÄSTERBOTTENS LÄN</t>
        </is>
      </c>
      <c r="E1036" t="inlineStr">
        <is>
          <t>VILHELMINA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12192-2024</t>
        </is>
      </c>
      <c r="B1037" s="1" t="n">
        <v>45377</v>
      </c>
      <c r="C1037" s="1" t="n">
        <v>45510</v>
      </c>
      <c r="D1037" t="inlineStr">
        <is>
          <t>VÄSTERBOTTENS LÄN</t>
        </is>
      </c>
      <c r="E1037" t="inlineStr">
        <is>
          <t>VILHELMINA</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12190-2024</t>
        </is>
      </c>
      <c r="B1038" s="1" t="n">
        <v>45377</v>
      </c>
      <c r="C1038" s="1" t="n">
        <v>45510</v>
      </c>
      <c r="D1038" t="inlineStr">
        <is>
          <t>VÄSTERBOTTENS LÄN</t>
        </is>
      </c>
      <c r="E1038" t="inlineStr">
        <is>
          <t>VILHELMINA</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12191-2024</t>
        </is>
      </c>
      <c r="B1039" s="1" t="n">
        <v>45377</v>
      </c>
      <c r="C1039" s="1" t="n">
        <v>45510</v>
      </c>
      <c r="D1039" t="inlineStr">
        <is>
          <t>VÄSTERBOTTENS LÄN</t>
        </is>
      </c>
      <c r="E1039" t="inlineStr">
        <is>
          <t>VILHELMINA</t>
        </is>
      </c>
      <c r="F1039" t="inlineStr">
        <is>
          <t>SCA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12373-2024</t>
        </is>
      </c>
      <c r="B1040" s="1" t="n">
        <v>45378</v>
      </c>
      <c r="C1040" s="1" t="n">
        <v>45510</v>
      </c>
      <c r="D1040" t="inlineStr">
        <is>
          <t>VÄSTERBOTTENS LÄN</t>
        </is>
      </c>
      <c r="E1040" t="inlineStr">
        <is>
          <t>VILHELMINA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12583-2024</t>
        </is>
      </c>
      <c r="B1041" s="1" t="n">
        <v>45379</v>
      </c>
      <c r="C1041" s="1" t="n">
        <v>45510</v>
      </c>
      <c r="D1041" t="inlineStr">
        <is>
          <t>VÄSTERBOTTENS LÄN</t>
        </is>
      </c>
      <c r="E1041" t="inlineStr">
        <is>
          <t>VILHELMINA</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13557-2024</t>
        </is>
      </c>
      <c r="B1042" s="1" t="n">
        <v>45388</v>
      </c>
      <c r="C1042" s="1" t="n">
        <v>45510</v>
      </c>
      <c r="D1042" t="inlineStr">
        <is>
          <t>VÄSTERBOTTENS LÄN</t>
        </is>
      </c>
      <c r="E1042" t="inlineStr">
        <is>
          <t>VILHELMINA</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13768-2024</t>
        </is>
      </c>
      <c r="B1043" s="1" t="n">
        <v>45391</v>
      </c>
      <c r="C1043" s="1" t="n">
        <v>45510</v>
      </c>
      <c r="D1043" t="inlineStr">
        <is>
          <t>VÄSTERBOTTENS LÄN</t>
        </is>
      </c>
      <c r="E1043" t="inlineStr">
        <is>
          <t>VILHELMINA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14366-2024</t>
        </is>
      </c>
      <c r="B1044" s="1" t="n">
        <v>45394</v>
      </c>
      <c r="C1044" s="1" t="n">
        <v>45510</v>
      </c>
      <c r="D1044" t="inlineStr">
        <is>
          <t>VÄSTERBOTTENS LÄN</t>
        </is>
      </c>
      <c r="E1044" t="inlineStr">
        <is>
          <t>VILHELMINA</t>
        </is>
      </c>
      <c r="F1044" t="inlineStr">
        <is>
          <t>SCA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14816-2024</t>
        </is>
      </c>
      <c r="B1045" s="1" t="n">
        <v>45397</v>
      </c>
      <c r="C1045" s="1" t="n">
        <v>45510</v>
      </c>
      <c r="D1045" t="inlineStr">
        <is>
          <t>VÄSTERBOTTENS LÄN</t>
        </is>
      </c>
      <c r="E1045" t="inlineStr">
        <is>
          <t>VILHELMINA</t>
        </is>
      </c>
      <c r="F1045" t="inlineStr">
        <is>
          <t>SCA</t>
        </is>
      </c>
      <c r="G1045" t="n">
        <v>13.2</v>
      </c>
      <c r="H1045" t="n">
        <v>0</v>
      </c>
      <c r="I1045" t="n">
        <v>0</v>
      </c>
      <c r="J1045" t="n">
        <v>0</v>
      </c>
      <c r="K1045" t="n">
        <v>0</v>
      </c>
      <c r="L1045" t="n">
        <v>0</v>
      </c>
      <c r="M1045" t="n">
        <v>0</v>
      </c>
      <c r="N1045" t="n">
        <v>0</v>
      </c>
      <c r="O1045" t="n">
        <v>0</v>
      </c>
      <c r="P1045" t="n">
        <v>0</v>
      </c>
      <c r="Q1045" t="n">
        <v>0</v>
      </c>
      <c r="R1045" s="2" t="inlineStr"/>
    </row>
    <row r="1046" ht="15" customHeight="1">
      <c r="A1046" t="inlineStr">
        <is>
          <t>A 14817-2024</t>
        </is>
      </c>
      <c r="B1046" s="1" t="n">
        <v>45398</v>
      </c>
      <c r="C1046" s="1" t="n">
        <v>45510</v>
      </c>
      <c r="D1046" t="inlineStr">
        <is>
          <t>VÄSTERBOTTENS LÄN</t>
        </is>
      </c>
      <c r="E1046" t="inlineStr">
        <is>
          <t>VILHELMINA</t>
        </is>
      </c>
      <c r="F1046" t="inlineStr">
        <is>
          <t>SCA</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15059-2024</t>
        </is>
      </c>
      <c r="B1047" s="1" t="n">
        <v>45399</v>
      </c>
      <c r="C1047" s="1" t="n">
        <v>45510</v>
      </c>
      <c r="D1047" t="inlineStr">
        <is>
          <t>VÄSTERBOTTENS LÄN</t>
        </is>
      </c>
      <c r="E1047" t="inlineStr">
        <is>
          <t>VILHELMINA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15050-2024</t>
        </is>
      </c>
      <c r="B1048" s="1" t="n">
        <v>45399</v>
      </c>
      <c r="C1048" s="1" t="n">
        <v>45510</v>
      </c>
      <c r="D1048" t="inlineStr">
        <is>
          <t>VÄSTERBOTTENS LÄN</t>
        </is>
      </c>
      <c r="E1048" t="inlineStr">
        <is>
          <t>VILHELMINA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15062-2024</t>
        </is>
      </c>
      <c r="B1049" s="1" t="n">
        <v>45399</v>
      </c>
      <c r="C1049" s="1" t="n">
        <v>45510</v>
      </c>
      <c r="D1049" t="inlineStr">
        <is>
          <t>VÄSTERBOTTENS LÄN</t>
        </is>
      </c>
      <c r="E1049" t="inlineStr">
        <is>
          <t>VILHELMINA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15066-2024</t>
        </is>
      </c>
      <c r="B1050" s="1" t="n">
        <v>45399</v>
      </c>
      <c r="C1050" s="1" t="n">
        <v>45510</v>
      </c>
      <c r="D1050" t="inlineStr">
        <is>
          <t>VÄSTERBOTTENS LÄN</t>
        </is>
      </c>
      <c r="E1050" t="inlineStr">
        <is>
          <t>VILHELMINA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15326-2024</t>
        </is>
      </c>
      <c r="B1051" s="1" t="n">
        <v>45400</v>
      </c>
      <c r="C1051" s="1" t="n">
        <v>45510</v>
      </c>
      <c r="D1051" t="inlineStr">
        <is>
          <t>VÄSTERBOTTENS LÄN</t>
        </is>
      </c>
      <c r="E1051" t="inlineStr">
        <is>
          <t>VILHELMINA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15615-2024</t>
        </is>
      </c>
      <c r="B1052" s="1" t="n">
        <v>45402</v>
      </c>
      <c r="C1052" s="1" t="n">
        <v>45510</v>
      </c>
      <c r="D1052" t="inlineStr">
        <is>
          <t>VÄSTERBOTTENS LÄN</t>
        </is>
      </c>
      <c r="E1052" t="inlineStr">
        <is>
          <t>VILHELMINA</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15617-2024</t>
        </is>
      </c>
      <c r="B1053" s="1" t="n">
        <v>45402</v>
      </c>
      <c r="C1053" s="1" t="n">
        <v>45510</v>
      </c>
      <c r="D1053" t="inlineStr">
        <is>
          <t>VÄSTERBOTTENS LÄN</t>
        </is>
      </c>
      <c r="E1053" t="inlineStr">
        <is>
          <t>VILHELMINA</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15639-2024</t>
        </is>
      </c>
      <c r="B1054" s="1" t="n">
        <v>45403</v>
      </c>
      <c r="C1054" s="1" t="n">
        <v>45510</v>
      </c>
      <c r="D1054" t="inlineStr">
        <is>
          <t>VÄSTERBOTTENS LÄN</t>
        </is>
      </c>
      <c r="E1054" t="inlineStr">
        <is>
          <t>VILHELMINA</t>
        </is>
      </c>
      <c r="G1054" t="n">
        <v>81.90000000000001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15969-2024</t>
        </is>
      </c>
      <c r="B1055" s="1" t="n">
        <v>45405</v>
      </c>
      <c r="C1055" s="1" t="n">
        <v>45510</v>
      </c>
      <c r="D1055" t="inlineStr">
        <is>
          <t>VÄSTERBOTTENS LÄN</t>
        </is>
      </c>
      <c r="E1055" t="inlineStr">
        <is>
          <t>VILHELMINA</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16608-2024</t>
        </is>
      </c>
      <c r="B1056" s="1" t="n">
        <v>45408</v>
      </c>
      <c r="C1056" s="1" t="n">
        <v>45510</v>
      </c>
      <c r="D1056" t="inlineStr">
        <is>
          <t>VÄSTERBOTTENS LÄN</t>
        </is>
      </c>
      <c r="E1056" t="inlineStr">
        <is>
          <t>VILHELMINA</t>
        </is>
      </c>
      <c r="G1056" t="n">
        <v>17.5</v>
      </c>
      <c r="H1056" t="n">
        <v>0</v>
      </c>
      <c r="I1056" t="n">
        <v>0</v>
      </c>
      <c r="J1056" t="n">
        <v>0</v>
      </c>
      <c r="K1056" t="n">
        <v>0</v>
      </c>
      <c r="L1056" t="n">
        <v>0</v>
      </c>
      <c r="M1056" t="n">
        <v>0</v>
      </c>
      <c r="N1056" t="n">
        <v>0</v>
      </c>
      <c r="O1056" t="n">
        <v>0</v>
      </c>
      <c r="P1056" t="n">
        <v>0</v>
      </c>
      <c r="Q1056" t="n">
        <v>0</v>
      </c>
      <c r="R1056" s="2" t="inlineStr"/>
    </row>
    <row r="1057" ht="15" customHeight="1">
      <c r="A1057" t="inlineStr">
        <is>
          <t>A 16626-2024</t>
        </is>
      </c>
      <c r="B1057" s="1" t="n">
        <v>45408</v>
      </c>
      <c r="C1057" s="1" t="n">
        <v>45510</v>
      </c>
      <c r="D1057" t="inlineStr">
        <is>
          <t>VÄSTERBOTTENS LÄN</t>
        </is>
      </c>
      <c r="E1057" t="inlineStr">
        <is>
          <t>VILHELMINA</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16712-2024</t>
        </is>
      </c>
      <c r="B1058" s="1" t="n">
        <v>45409</v>
      </c>
      <c r="C1058" s="1" t="n">
        <v>45510</v>
      </c>
      <c r="D1058" t="inlineStr">
        <is>
          <t>VÄSTERBOTTENS LÄN</t>
        </is>
      </c>
      <c r="E1058" t="inlineStr">
        <is>
          <t>VILHELMINA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16713-2024</t>
        </is>
      </c>
      <c r="B1059" s="1" t="n">
        <v>45409</v>
      </c>
      <c r="C1059" s="1" t="n">
        <v>45510</v>
      </c>
      <c r="D1059" t="inlineStr">
        <is>
          <t>VÄSTERBOTTENS LÄN</t>
        </is>
      </c>
      <c r="E1059" t="inlineStr">
        <is>
          <t>VILHELMINA</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17002-2024</t>
        </is>
      </c>
      <c r="B1060" s="1" t="n">
        <v>45411</v>
      </c>
      <c r="C1060" s="1" t="n">
        <v>45510</v>
      </c>
      <c r="D1060" t="inlineStr">
        <is>
          <t>VÄSTERBOTTENS LÄN</t>
        </is>
      </c>
      <c r="E1060" t="inlineStr">
        <is>
          <t>VILHELMINA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16979-2024</t>
        </is>
      </c>
      <c r="B1061" s="1" t="n">
        <v>45412</v>
      </c>
      <c r="C1061" s="1" t="n">
        <v>45510</v>
      </c>
      <c r="D1061" t="inlineStr">
        <is>
          <t>VÄSTERBOTTENS LÄN</t>
        </is>
      </c>
      <c r="E1061" t="inlineStr">
        <is>
          <t>VILHELMINA</t>
        </is>
      </c>
      <c r="F1061" t="inlineStr">
        <is>
          <t>SCA</t>
        </is>
      </c>
      <c r="G1061" t="n">
        <v>34.1</v>
      </c>
      <c r="H1061" t="n">
        <v>0</v>
      </c>
      <c r="I1061" t="n">
        <v>0</v>
      </c>
      <c r="J1061" t="n">
        <v>0</v>
      </c>
      <c r="K1061" t="n">
        <v>0</v>
      </c>
      <c r="L1061" t="n">
        <v>0</v>
      </c>
      <c r="M1061" t="n">
        <v>0</v>
      </c>
      <c r="N1061" t="n">
        <v>0</v>
      </c>
      <c r="O1061" t="n">
        <v>0</v>
      </c>
      <c r="P1061" t="n">
        <v>0</v>
      </c>
      <c r="Q1061" t="n">
        <v>0</v>
      </c>
      <c r="R1061" s="2" t="inlineStr"/>
    </row>
    <row r="1062" ht="15" customHeight="1">
      <c r="A1062" t="inlineStr">
        <is>
          <t>A 17586-2024</t>
        </is>
      </c>
      <c r="B1062" s="1" t="n">
        <v>45415</v>
      </c>
      <c r="C1062" s="1" t="n">
        <v>45510</v>
      </c>
      <c r="D1062" t="inlineStr">
        <is>
          <t>VÄSTERBOTTENS LÄN</t>
        </is>
      </c>
      <c r="E1062" t="inlineStr">
        <is>
          <t>VILHELMINA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17587-2024</t>
        </is>
      </c>
      <c r="B1063" s="1" t="n">
        <v>45416</v>
      </c>
      <c r="C1063" s="1" t="n">
        <v>45510</v>
      </c>
      <c r="D1063" t="inlineStr">
        <is>
          <t>VÄSTERBOTTENS LÄN</t>
        </is>
      </c>
      <c r="E1063" t="inlineStr">
        <is>
          <t>VILHELMINA</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17723-2024</t>
        </is>
      </c>
      <c r="B1064" s="1" t="n">
        <v>45415</v>
      </c>
      <c r="C1064" s="1" t="n">
        <v>45510</v>
      </c>
      <c r="D1064" t="inlineStr">
        <is>
          <t>VÄSTERBOTTENS LÄN</t>
        </is>
      </c>
      <c r="E1064" t="inlineStr">
        <is>
          <t>VILHELMINA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17732-2024</t>
        </is>
      </c>
      <c r="B1065" s="1" t="n">
        <v>45415</v>
      </c>
      <c r="C1065" s="1" t="n">
        <v>45510</v>
      </c>
      <c r="D1065" t="inlineStr">
        <is>
          <t>VÄSTERBOTTENS LÄN</t>
        </is>
      </c>
      <c r="E1065" t="inlineStr">
        <is>
          <t>VILHELMINA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17722-2024</t>
        </is>
      </c>
      <c r="B1066" s="1" t="n">
        <v>45415</v>
      </c>
      <c r="C1066" s="1" t="n">
        <v>45510</v>
      </c>
      <c r="D1066" t="inlineStr">
        <is>
          <t>VÄSTERBOTTENS LÄN</t>
        </is>
      </c>
      <c r="E1066" t="inlineStr">
        <is>
          <t>VILHELMINA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17823-2024</t>
        </is>
      </c>
      <c r="B1067" s="1" t="n">
        <v>45419</v>
      </c>
      <c r="C1067" s="1" t="n">
        <v>45510</v>
      </c>
      <c r="D1067" t="inlineStr">
        <is>
          <t>VÄSTERBOTTENS LÄN</t>
        </is>
      </c>
      <c r="E1067" t="inlineStr">
        <is>
          <t>VILHELMINA</t>
        </is>
      </c>
      <c r="F1067" t="inlineStr">
        <is>
          <t>SCA</t>
        </is>
      </c>
      <c r="G1067" t="n">
        <v>18.7</v>
      </c>
      <c r="H1067" t="n">
        <v>0</v>
      </c>
      <c r="I1067" t="n">
        <v>0</v>
      </c>
      <c r="J1067" t="n">
        <v>0</v>
      </c>
      <c r="K1067" t="n">
        <v>0</v>
      </c>
      <c r="L1067" t="n">
        <v>0</v>
      </c>
      <c r="M1067" t="n">
        <v>0</v>
      </c>
      <c r="N1067" t="n">
        <v>0</v>
      </c>
      <c r="O1067" t="n">
        <v>0</v>
      </c>
      <c r="P1067" t="n">
        <v>0</v>
      </c>
      <c r="Q1067" t="n">
        <v>0</v>
      </c>
      <c r="R1067" s="2" t="inlineStr"/>
    </row>
    <row r="1068" ht="15" customHeight="1">
      <c r="A1068" t="inlineStr">
        <is>
          <t>A 17996-2024</t>
        </is>
      </c>
      <c r="B1068" s="1" t="n">
        <v>45419</v>
      </c>
      <c r="C1068" s="1" t="n">
        <v>45510</v>
      </c>
      <c r="D1068" t="inlineStr">
        <is>
          <t>VÄSTERBOTTENS LÄN</t>
        </is>
      </c>
      <c r="E1068" t="inlineStr">
        <is>
          <t>VILHELMINA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19088-2024</t>
        </is>
      </c>
      <c r="B1069" s="1" t="n">
        <v>45428</v>
      </c>
      <c r="C1069" s="1" t="n">
        <v>45510</v>
      </c>
      <c r="D1069" t="inlineStr">
        <is>
          <t>VÄSTERBOTTENS LÄN</t>
        </is>
      </c>
      <c r="E1069" t="inlineStr">
        <is>
          <t>VILHELMINA</t>
        </is>
      </c>
      <c r="F1069" t="inlineStr">
        <is>
          <t>SCA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19083-2024</t>
        </is>
      </c>
      <c r="B1070" s="1" t="n">
        <v>45428</v>
      </c>
      <c r="C1070" s="1" t="n">
        <v>45510</v>
      </c>
      <c r="D1070" t="inlineStr">
        <is>
          <t>VÄSTERBOTTENS LÄN</t>
        </is>
      </c>
      <c r="E1070" t="inlineStr">
        <is>
          <t>VILHELMINA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19349-2024</t>
        </is>
      </c>
      <c r="B1071" s="1" t="n">
        <v>45429</v>
      </c>
      <c r="C1071" s="1" t="n">
        <v>45510</v>
      </c>
      <c r="D1071" t="inlineStr">
        <is>
          <t>VÄSTERBOTTENS LÄN</t>
        </is>
      </c>
      <c r="E1071" t="inlineStr">
        <is>
          <t>VILHELMINA</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19585-2024</t>
        </is>
      </c>
      <c r="B1072" s="1" t="n">
        <v>45429</v>
      </c>
      <c r="C1072" s="1" t="n">
        <v>45510</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19873-2024</t>
        </is>
      </c>
      <c r="B1073" s="1" t="n">
        <v>45433</v>
      </c>
      <c r="C1073" s="1" t="n">
        <v>45510</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20259-2024</t>
        </is>
      </c>
      <c r="B1074" s="1" t="n">
        <v>45435</v>
      </c>
      <c r="C1074" s="1" t="n">
        <v>45510</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20521-2024</t>
        </is>
      </c>
      <c r="B1075" s="1" t="n">
        <v>45436</v>
      </c>
      <c r="C1075" s="1" t="n">
        <v>45510</v>
      </c>
      <c r="D1075" t="inlineStr">
        <is>
          <t>VÄSTERBOTTENS LÄN</t>
        </is>
      </c>
      <c r="E1075" t="inlineStr">
        <is>
          <t>VILHELMINA</t>
        </is>
      </c>
      <c r="F1075" t="inlineStr">
        <is>
          <t>SCA</t>
        </is>
      </c>
      <c r="G1075" t="n">
        <v>21.4</v>
      </c>
      <c r="H1075" t="n">
        <v>0</v>
      </c>
      <c r="I1075" t="n">
        <v>0</v>
      </c>
      <c r="J1075" t="n">
        <v>0</v>
      </c>
      <c r="K1075" t="n">
        <v>0</v>
      </c>
      <c r="L1075" t="n">
        <v>0</v>
      </c>
      <c r="M1075" t="n">
        <v>0</v>
      </c>
      <c r="N1075" t="n">
        <v>0</v>
      </c>
      <c r="O1075" t="n">
        <v>0</v>
      </c>
      <c r="P1075" t="n">
        <v>0</v>
      </c>
      <c r="Q1075" t="n">
        <v>0</v>
      </c>
      <c r="R1075" s="2" t="inlineStr"/>
    </row>
    <row r="1076" ht="15" customHeight="1">
      <c r="A1076" t="inlineStr">
        <is>
          <t>A 20511-2024</t>
        </is>
      </c>
      <c r="B1076" s="1" t="n">
        <v>45435</v>
      </c>
      <c r="C1076" s="1" t="n">
        <v>45510</v>
      </c>
      <c r="D1076" t="inlineStr">
        <is>
          <t>VÄSTERBOTTENS LÄN</t>
        </is>
      </c>
      <c r="E1076" t="inlineStr">
        <is>
          <t>VILHELMINA</t>
        </is>
      </c>
      <c r="F1076" t="inlineStr">
        <is>
          <t>SCA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20523-2024</t>
        </is>
      </c>
      <c r="B1077" s="1" t="n">
        <v>45436</v>
      </c>
      <c r="C1077" s="1" t="n">
        <v>45510</v>
      </c>
      <c r="D1077" t="inlineStr">
        <is>
          <t>VÄSTERBOTTENS LÄN</t>
        </is>
      </c>
      <c r="E1077" t="inlineStr">
        <is>
          <t>VILHELMINA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20510-2024</t>
        </is>
      </c>
      <c r="B1078" s="1" t="n">
        <v>45436</v>
      </c>
      <c r="C1078" s="1" t="n">
        <v>45510</v>
      </c>
      <c r="D1078" t="inlineStr">
        <is>
          <t>VÄSTERBOTTENS LÄN</t>
        </is>
      </c>
      <c r="E1078" t="inlineStr">
        <is>
          <t>VILHELMINA</t>
        </is>
      </c>
      <c r="F1078" t="inlineStr">
        <is>
          <t>SCA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20522-2024</t>
        </is>
      </c>
      <c r="B1079" s="1" t="n">
        <v>45435</v>
      </c>
      <c r="C1079" s="1" t="n">
        <v>45510</v>
      </c>
      <c r="D1079" t="inlineStr">
        <is>
          <t>VÄSTERBOTTENS LÄN</t>
        </is>
      </c>
      <c r="E1079" t="inlineStr">
        <is>
          <t>VILHELMINA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20524-2024</t>
        </is>
      </c>
      <c r="B1080" s="1" t="n">
        <v>45436</v>
      </c>
      <c r="C1080" s="1" t="n">
        <v>45510</v>
      </c>
      <c r="D1080" t="inlineStr">
        <is>
          <t>VÄSTERBOTTENS LÄN</t>
        </is>
      </c>
      <c r="E1080" t="inlineStr">
        <is>
          <t>VILHELMINA</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20769-2024</t>
        </is>
      </c>
      <c r="B1081" s="1" t="n">
        <v>45437</v>
      </c>
      <c r="C1081" s="1" t="n">
        <v>45510</v>
      </c>
      <c r="D1081" t="inlineStr">
        <is>
          <t>VÄSTERBOTTENS LÄN</t>
        </is>
      </c>
      <c r="E1081" t="inlineStr">
        <is>
          <t>VILHELMINA</t>
        </is>
      </c>
      <c r="F1081" t="inlineStr">
        <is>
          <t>SCA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20796-2024</t>
        </is>
      </c>
      <c r="B1082" s="1" t="n">
        <v>45439</v>
      </c>
      <c r="C1082" s="1" t="n">
        <v>45510</v>
      </c>
      <c r="D1082" t="inlineStr">
        <is>
          <t>VÄSTERBOTTENS LÄN</t>
        </is>
      </c>
      <c r="E1082" t="inlineStr">
        <is>
          <t>VILHELMINA</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20797-2024</t>
        </is>
      </c>
      <c r="B1083" s="1" t="n">
        <v>45438</v>
      </c>
      <c r="C1083" s="1" t="n">
        <v>45510</v>
      </c>
      <c r="D1083" t="inlineStr">
        <is>
          <t>VÄSTERBOTTENS LÄN</t>
        </is>
      </c>
      <c r="E1083" t="inlineStr">
        <is>
          <t>VILHELMINA</t>
        </is>
      </c>
      <c r="F1083" t="inlineStr">
        <is>
          <t>SCA</t>
        </is>
      </c>
      <c r="G1083" t="n">
        <v>26.9</v>
      </c>
      <c r="H1083" t="n">
        <v>0</v>
      </c>
      <c r="I1083" t="n">
        <v>0</v>
      </c>
      <c r="J1083" t="n">
        <v>0</v>
      </c>
      <c r="K1083" t="n">
        <v>0</v>
      </c>
      <c r="L1083" t="n">
        <v>0</v>
      </c>
      <c r="M1083" t="n">
        <v>0</v>
      </c>
      <c r="N1083" t="n">
        <v>0</v>
      </c>
      <c r="O1083" t="n">
        <v>0</v>
      </c>
      <c r="P1083" t="n">
        <v>0</v>
      </c>
      <c r="Q1083" t="n">
        <v>0</v>
      </c>
      <c r="R1083" s="2" t="inlineStr"/>
    </row>
    <row r="1084" ht="15" customHeight="1">
      <c r="A1084" t="inlineStr">
        <is>
          <t>A 21370-2024</t>
        </is>
      </c>
      <c r="B1084" s="1" t="n">
        <v>45441</v>
      </c>
      <c r="C1084" s="1" t="n">
        <v>45510</v>
      </c>
      <c r="D1084" t="inlineStr">
        <is>
          <t>VÄSTERBOTTENS LÄN</t>
        </is>
      </c>
      <c r="E1084" t="inlineStr">
        <is>
          <t>VILHELMINA</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21348-2024</t>
        </is>
      </c>
      <c r="B1085" s="1" t="n">
        <v>45440</v>
      </c>
      <c r="C1085" s="1" t="n">
        <v>45510</v>
      </c>
      <c r="D1085" t="inlineStr">
        <is>
          <t>VÄSTERBOTTENS LÄN</t>
        </is>
      </c>
      <c r="E1085" t="inlineStr">
        <is>
          <t>VILHELMINA</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21368-2024</t>
        </is>
      </c>
      <c r="B1086" s="1" t="n">
        <v>45441</v>
      </c>
      <c r="C1086" s="1" t="n">
        <v>45510</v>
      </c>
      <c r="D1086" t="inlineStr">
        <is>
          <t>VÄSTERBOTTENS LÄN</t>
        </is>
      </c>
      <c r="E1086" t="inlineStr">
        <is>
          <t>VILHELMINA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21345-2024</t>
        </is>
      </c>
      <c r="B1087" s="1" t="n">
        <v>45441</v>
      </c>
      <c r="C1087" s="1" t="n">
        <v>45510</v>
      </c>
      <c r="D1087" t="inlineStr">
        <is>
          <t>VÄSTERBOTTENS LÄN</t>
        </is>
      </c>
      <c r="E1087" t="inlineStr">
        <is>
          <t>VILHELMINA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21349-2024</t>
        </is>
      </c>
      <c r="B1088" s="1" t="n">
        <v>45440</v>
      </c>
      <c r="C1088" s="1" t="n">
        <v>45510</v>
      </c>
      <c r="D1088" t="inlineStr">
        <is>
          <t>VÄSTERBOTTENS LÄN</t>
        </is>
      </c>
      <c r="E1088" t="inlineStr">
        <is>
          <t>VILHELMINA</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21369-2024</t>
        </is>
      </c>
      <c r="B1089" s="1" t="n">
        <v>45441</v>
      </c>
      <c r="C1089" s="1" t="n">
        <v>45510</v>
      </c>
      <c r="D1089" t="inlineStr">
        <is>
          <t>VÄSTERBOTTENS LÄN</t>
        </is>
      </c>
      <c r="E1089" t="inlineStr">
        <is>
          <t>VILHELMINA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21367-2024</t>
        </is>
      </c>
      <c r="B1090" s="1" t="n">
        <v>45441</v>
      </c>
      <c r="C1090" s="1" t="n">
        <v>45510</v>
      </c>
      <c r="D1090" t="inlineStr">
        <is>
          <t>VÄSTERBOTTENS LÄN</t>
        </is>
      </c>
      <c r="E1090" t="inlineStr">
        <is>
          <t>VILHELMINA</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21371-2024</t>
        </is>
      </c>
      <c r="B1091" s="1" t="n">
        <v>45441</v>
      </c>
      <c r="C1091" s="1" t="n">
        <v>45510</v>
      </c>
      <c r="D1091" t="inlineStr">
        <is>
          <t>VÄSTERBOTTENS LÄN</t>
        </is>
      </c>
      <c r="E1091" t="inlineStr">
        <is>
          <t>VILHELMINA</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21841-2024</t>
        </is>
      </c>
      <c r="B1092" s="1" t="n">
        <v>45443</v>
      </c>
      <c r="C1092" s="1" t="n">
        <v>45510</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21844-2024</t>
        </is>
      </c>
      <c r="B1093" s="1" t="n">
        <v>45442</v>
      </c>
      <c r="C1093" s="1" t="n">
        <v>45510</v>
      </c>
      <c r="D1093" t="inlineStr">
        <is>
          <t>VÄSTERBOTTENS LÄN</t>
        </is>
      </c>
      <c r="E1093" t="inlineStr">
        <is>
          <t>VILHELMINA</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21842-2024</t>
        </is>
      </c>
      <c r="B1094" s="1" t="n">
        <v>45443</v>
      </c>
      <c r="C1094" s="1" t="n">
        <v>45510</v>
      </c>
      <c r="D1094" t="inlineStr">
        <is>
          <t>VÄSTERBOTTENS LÄN</t>
        </is>
      </c>
      <c r="E1094" t="inlineStr">
        <is>
          <t>VILHELMINA</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21843-2024</t>
        </is>
      </c>
      <c r="B1095" s="1" t="n">
        <v>45443</v>
      </c>
      <c r="C1095" s="1" t="n">
        <v>45510</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22104-2024</t>
        </is>
      </c>
      <c r="B1096" s="1" t="n">
        <v>45443</v>
      </c>
      <c r="C1096" s="1" t="n">
        <v>45510</v>
      </c>
      <c r="D1096" t="inlineStr">
        <is>
          <t>VÄSTERBOTTENS LÄN</t>
        </is>
      </c>
      <c r="E1096" t="inlineStr">
        <is>
          <t>VILHELMINA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22108-2024</t>
        </is>
      </c>
      <c r="B1097" s="1" t="n">
        <v>45443</v>
      </c>
      <c r="C1097" s="1" t="n">
        <v>45510</v>
      </c>
      <c r="D1097" t="inlineStr">
        <is>
          <t>VÄSTERBOTTENS LÄN</t>
        </is>
      </c>
      <c r="E1097" t="inlineStr">
        <is>
          <t>VILHELMINA</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22105-2024</t>
        </is>
      </c>
      <c r="B1098" s="1" t="n">
        <v>45443</v>
      </c>
      <c r="C1098" s="1" t="n">
        <v>45510</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22109-2024</t>
        </is>
      </c>
      <c r="B1099" s="1" t="n">
        <v>45443</v>
      </c>
      <c r="C1099" s="1" t="n">
        <v>45510</v>
      </c>
      <c r="D1099" t="inlineStr">
        <is>
          <t>VÄSTERBOTTENS LÄN</t>
        </is>
      </c>
      <c r="E1099" t="inlineStr">
        <is>
          <t>VILHELMINA</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22107-2024</t>
        </is>
      </c>
      <c r="B1100" s="1" t="n">
        <v>45443</v>
      </c>
      <c r="C1100" s="1" t="n">
        <v>45510</v>
      </c>
      <c r="D1100" t="inlineStr">
        <is>
          <t>VÄSTERBOTTENS LÄN</t>
        </is>
      </c>
      <c r="E1100" t="inlineStr">
        <is>
          <t>VILHELMINA</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22106-2024</t>
        </is>
      </c>
      <c r="B1101" s="1" t="n">
        <v>45444</v>
      </c>
      <c r="C1101" s="1" t="n">
        <v>45510</v>
      </c>
      <c r="D1101" t="inlineStr">
        <is>
          <t>VÄSTERBOTTENS LÄN</t>
        </is>
      </c>
      <c r="E1101" t="inlineStr">
        <is>
          <t>VILHELMINA</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22751-2024</t>
        </is>
      </c>
      <c r="B1102" s="1" t="n">
        <v>45448</v>
      </c>
      <c r="C1102" s="1" t="n">
        <v>45510</v>
      </c>
      <c r="D1102" t="inlineStr">
        <is>
          <t>VÄSTERBOTTENS LÄN</t>
        </is>
      </c>
      <c r="E1102" t="inlineStr">
        <is>
          <t>VILHELMINA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23176-2024</t>
        </is>
      </c>
      <c r="B1103" s="1" t="n">
        <v>45451</v>
      </c>
      <c r="C1103" s="1" t="n">
        <v>45510</v>
      </c>
      <c r="D1103" t="inlineStr">
        <is>
          <t>VÄSTERBOTTENS LÄN</t>
        </is>
      </c>
      <c r="E1103" t="inlineStr">
        <is>
          <t>VILHELMINA</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23180-2024</t>
        </is>
      </c>
      <c r="B1104" s="1" t="n">
        <v>45451</v>
      </c>
      <c r="C1104" s="1" t="n">
        <v>45510</v>
      </c>
      <c r="D1104" t="inlineStr">
        <is>
          <t>VÄSTERBOTTENS LÄN</t>
        </is>
      </c>
      <c r="E1104" t="inlineStr">
        <is>
          <t>VILHELMINA</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23550-2024</t>
        </is>
      </c>
      <c r="B1105" s="1" t="n">
        <v>45454</v>
      </c>
      <c r="C1105" s="1" t="n">
        <v>45510</v>
      </c>
      <c r="D1105" t="inlineStr">
        <is>
          <t>VÄSTERBOTTENS LÄN</t>
        </is>
      </c>
      <c r="E1105" t="inlineStr">
        <is>
          <t>VILHELMINA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23538-2024</t>
        </is>
      </c>
      <c r="B1106" s="1" t="n">
        <v>45453</v>
      </c>
      <c r="C1106" s="1" t="n">
        <v>45510</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23548-2024</t>
        </is>
      </c>
      <c r="B1107" s="1" t="n">
        <v>45454</v>
      </c>
      <c r="C1107" s="1" t="n">
        <v>45510</v>
      </c>
      <c r="D1107" t="inlineStr">
        <is>
          <t>VÄSTERBOTTENS LÄN</t>
        </is>
      </c>
      <c r="E1107" t="inlineStr">
        <is>
          <t>VILHELMINA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23544-2024</t>
        </is>
      </c>
      <c r="B1108" s="1" t="n">
        <v>45454</v>
      </c>
      <c r="C1108" s="1" t="n">
        <v>45510</v>
      </c>
      <c r="D1108" t="inlineStr">
        <is>
          <t>VÄSTERBOTTENS LÄN</t>
        </is>
      </c>
      <c r="E1108" t="inlineStr">
        <is>
          <t>VILHELMINA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23536-2024</t>
        </is>
      </c>
      <c r="B1109" s="1" t="n">
        <v>45454</v>
      </c>
      <c r="C1109" s="1" t="n">
        <v>45510</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23543-2024</t>
        </is>
      </c>
      <c r="B1110" s="1" t="n">
        <v>45453</v>
      </c>
      <c r="C1110" s="1" t="n">
        <v>45510</v>
      </c>
      <c r="D1110" t="inlineStr">
        <is>
          <t>VÄSTERBOTTENS LÄN</t>
        </is>
      </c>
      <c r="E1110" t="inlineStr">
        <is>
          <t>VILHELMINA</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23545-2024</t>
        </is>
      </c>
      <c r="B1111" s="1" t="n">
        <v>45454</v>
      </c>
      <c r="C1111" s="1" t="n">
        <v>45510</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23549-2024</t>
        </is>
      </c>
      <c r="B1112" s="1" t="n">
        <v>45454</v>
      </c>
      <c r="C1112" s="1" t="n">
        <v>45510</v>
      </c>
      <c r="D1112" t="inlineStr">
        <is>
          <t>VÄSTERBOTTENS LÄN</t>
        </is>
      </c>
      <c r="E1112" t="inlineStr">
        <is>
          <t>VILHELMINA</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23657-2024</t>
        </is>
      </c>
      <c r="B1113" s="1" t="n">
        <v>45454</v>
      </c>
      <c r="C1113" s="1" t="n">
        <v>45510</v>
      </c>
      <c r="D1113" t="inlineStr">
        <is>
          <t>VÄSTERBOTTENS LÄN</t>
        </is>
      </c>
      <c r="E1113" t="inlineStr">
        <is>
          <t>VILHELMINA</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24428-2024</t>
        </is>
      </c>
      <c r="B1114" s="1" t="n">
        <v>45458</v>
      </c>
      <c r="C1114" s="1" t="n">
        <v>45510</v>
      </c>
      <c r="D1114" t="inlineStr">
        <is>
          <t>VÄSTERBOTTENS LÄN</t>
        </is>
      </c>
      <c r="E1114" t="inlineStr">
        <is>
          <t>VILHELMINA</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24454-2024</t>
        </is>
      </c>
      <c r="B1115" s="1" t="n">
        <v>45458</v>
      </c>
      <c r="C1115" s="1" t="n">
        <v>45510</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24427-2024</t>
        </is>
      </c>
      <c r="B1116" s="1" t="n">
        <v>45457</v>
      </c>
      <c r="C1116" s="1" t="n">
        <v>45510</v>
      </c>
      <c r="D1116" t="inlineStr">
        <is>
          <t>VÄSTERBOTTENS LÄN</t>
        </is>
      </c>
      <c r="E1116" t="inlineStr">
        <is>
          <t>VILHELMINA</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24457-2024</t>
        </is>
      </c>
      <c r="B1117" s="1" t="n">
        <v>45458</v>
      </c>
      <c r="C1117" s="1" t="n">
        <v>45510</v>
      </c>
      <c r="D1117" t="inlineStr">
        <is>
          <t>VÄSTERBOTTENS LÄN</t>
        </is>
      </c>
      <c r="E1117" t="inlineStr">
        <is>
          <t>VILHELMINA</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24426-2024</t>
        </is>
      </c>
      <c r="B1118" s="1" t="n">
        <v>45457</v>
      </c>
      <c r="C1118" s="1" t="n">
        <v>45510</v>
      </c>
      <c r="D1118" t="inlineStr">
        <is>
          <t>VÄSTERBOTTENS LÄN</t>
        </is>
      </c>
      <c r="E1118" t="inlineStr">
        <is>
          <t>VILHELMINA</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24455-2024</t>
        </is>
      </c>
      <c r="B1119" s="1" t="n">
        <v>45458</v>
      </c>
      <c r="C1119" s="1" t="n">
        <v>45510</v>
      </c>
      <c r="D1119" t="inlineStr">
        <is>
          <t>VÄSTERBOTTENS LÄN</t>
        </is>
      </c>
      <c r="E1119" t="inlineStr">
        <is>
          <t>VILHELMINA</t>
        </is>
      </c>
      <c r="F1119" t="inlineStr">
        <is>
          <t>SCA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25036-2024</t>
        </is>
      </c>
      <c r="B1120" s="1" t="n">
        <v>45461</v>
      </c>
      <c r="C1120" s="1" t="n">
        <v>45510</v>
      </c>
      <c r="D1120" t="inlineStr">
        <is>
          <t>VÄSTERBOTTENS LÄN</t>
        </is>
      </c>
      <c r="E1120" t="inlineStr">
        <is>
          <t>VILHELMINA</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25037-2024</t>
        </is>
      </c>
      <c r="B1121" s="1" t="n">
        <v>45461</v>
      </c>
      <c r="C1121" s="1" t="n">
        <v>45510</v>
      </c>
      <c r="D1121" t="inlineStr">
        <is>
          <t>VÄSTERBOTTENS LÄN</t>
        </is>
      </c>
      <c r="E1121" t="inlineStr">
        <is>
          <t>VILHELMINA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25374-2024</t>
        </is>
      </c>
      <c r="B1122" s="1" t="n">
        <v>45463</v>
      </c>
      <c r="C1122" s="1" t="n">
        <v>45510</v>
      </c>
      <c r="D1122" t="inlineStr">
        <is>
          <t>VÄSTERBOTTENS LÄN</t>
        </is>
      </c>
      <c r="E1122" t="inlineStr">
        <is>
          <t>VILHELMINA</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25078-2024</t>
        </is>
      </c>
      <c r="B1123" s="1" t="n">
        <v>45462</v>
      </c>
      <c r="C1123" s="1" t="n">
        <v>45510</v>
      </c>
      <c r="D1123" t="inlineStr">
        <is>
          <t>VÄSTERBOTTENS LÄN</t>
        </is>
      </c>
      <c r="E1123" t="inlineStr">
        <is>
          <t>VILHELMINA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25551-2024</t>
        </is>
      </c>
      <c r="B1124" s="1" t="n">
        <v>45463</v>
      </c>
      <c r="C1124" s="1" t="n">
        <v>45510</v>
      </c>
      <c r="D1124" t="inlineStr">
        <is>
          <t>VÄSTERBOTTENS LÄN</t>
        </is>
      </c>
      <c r="E1124" t="inlineStr">
        <is>
          <t>VILHELMINA</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25701-2024</t>
        </is>
      </c>
      <c r="B1125" s="1" t="n">
        <v>45464</v>
      </c>
      <c r="C1125" s="1" t="n">
        <v>45510</v>
      </c>
      <c r="D1125" t="inlineStr">
        <is>
          <t>VÄSTERBOTTENS LÄN</t>
        </is>
      </c>
      <c r="E1125" t="inlineStr">
        <is>
          <t>VILHELMINA</t>
        </is>
      </c>
      <c r="F1125" t="inlineStr">
        <is>
          <t>SCA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45510</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25810-2024</t>
        </is>
      </c>
      <c r="B1127" s="1" t="n">
        <v>45467</v>
      </c>
      <c r="C1127" s="1" t="n">
        <v>45510</v>
      </c>
      <c r="D1127" t="inlineStr">
        <is>
          <t>VÄSTERBOTTENS LÄN</t>
        </is>
      </c>
      <c r="E1127" t="inlineStr">
        <is>
          <t>VILHELMINA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25814-2024</t>
        </is>
      </c>
      <c r="B1128" s="1" t="n">
        <v>45467</v>
      </c>
      <c r="C1128" s="1" t="n">
        <v>45510</v>
      </c>
      <c r="D1128" t="inlineStr">
        <is>
          <t>VÄSTERBOTTENS LÄN</t>
        </is>
      </c>
      <c r="E1128" t="inlineStr">
        <is>
          <t>VILHELMINA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26287-2024</t>
        </is>
      </c>
      <c r="B1129" s="1" t="n">
        <v>45468</v>
      </c>
      <c r="C1129" s="1" t="n">
        <v>45510</v>
      </c>
      <c r="D1129" t="inlineStr">
        <is>
          <t>VÄSTERBOTTENS LÄN</t>
        </is>
      </c>
      <c r="E1129" t="inlineStr">
        <is>
          <t>VILHELMINA</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26137-2024</t>
        </is>
      </c>
      <c r="B1130" s="1" t="n">
        <v>45468</v>
      </c>
      <c r="C1130" s="1" t="n">
        <v>45510</v>
      </c>
      <c r="D1130" t="inlineStr">
        <is>
          <t>VÄSTERBOTTENS LÄN</t>
        </is>
      </c>
      <c r="E1130" t="inlineStr">
        <is>
          <t>VILHELMINA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26381-2024</t>
        </is>
      </c>
      <c r="B1131" s="1" t="n">
        <v>45469</v>
      </c>
      <c r="C1131" s="1" t="n">
        <v>45510</v>
      </c>
      <c r="D1131" t="inlineStr">
        <is>
          <t>VÄSTERBOTTENS LÄN</t>
        </is>
      </c>
      <c r="E1131" t="inlineStr">
        <is>
          <t>VILHELMINA</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26499-2024</t>
        </is>
      </c>
      <c r="B1132" s="1" t="n">
        <v>45469</v>
      </c>
      <c r="C1132" s="1" t="n">
        <v>45510</v>
      </c>
      <c r="D1132" t="inlineStr">
        <is>
          <t>VÄSTERBOTTENS LÄN</t>
        </is>
      </c>
      <c r="E1132" t="inlineStr">
        <is>
          <t>VILHELMINA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26660-2024</t>
        </is>
      </c>
      <c r="B1133" s="1" t="n">
        <v>45470</v>
      </c>
      <c r="C1133" s="1" t="n">
        <v>45510</v>
      </c>
      <c r="D1133" t="inlineStr">
        <is>
          <t>VÄSTERBOTTENS LÄN</t>
        </is>
      </c>
      <c r="E1133" t="inlineStr">
        <is>
          <t>VILHELMINA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45510</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26748-2024</t>
        </is>
      </c>
      <c r="B1135" s="1" t="n">
        <v>45470</v>
      </c>
      <c r="C1135" s="1" t="n">
        <v>45510</v>
      </c>
      <c r="D1135" t="inlineStr">
        <is>
          <t>VÄSTERBOTTENS LÄN</t>
        </is>
      </c>
      <c r="E1135" t="inlineStr">
        <is>
          <t>VILHELMINA</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27194-2024</t>
        </is>
      </c>
      <c r="B1136" s="1" t="n">
        <v>45471</v>
      </c>
      <c r="C1136" s="1" t="n">
        <v>45510</v>
      </c>
      <c r="D1136" t="inlineStr">
        <is>
          <t>VÄSTERBOTTENS LÄN</t>
        </is>
      </c>
      <c r="E1136" t="inlineStr">
        <is>
          <t>VILHELMINA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27271-2024</t>
        </is>
      </c>
      <c r="B1137" s="1" t="n">
        <v>45471</v>
      </c>
      <c r="C1137" s="1" t="n">
        <v>45510</v>
      </c>
      <c r="D1137" t="inlineStr">
        <is>
          <t>VÄSTERBOTTENS LÄN</t>
        </is>
      </c>
      <c r="E1137" t="inlineStr">
        <is>
          <t>VILHELMINA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27917-2024</t>
        </is>
      </c>
      <c r="B1138" s="1" t="n">
        <v>45476</v>
      </c>
      <c r="C1138" s="1" t="n">
        <v>45510</v>
      </c>
      <c r="D1138" t="inlineStr">
        <is>
          <t>VÄSTERBOTTENS LÄN</t>
        </is>
      </c>
      <c r="E1138" t="inlineStr">
        <is>
          <t>VILHELMINA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28687-2024</t>
        </is>
      </c>
      <c r="B1139" s="1" t="n">
        <v>45478</v>
      </c>
      <c r="C1139" s="1" t="n">
        <v>45510</v>
      </c>
      <c r="D1139" t="inlineStr">
        <is>
          <t>VÄSTERBOTTENS LÄN</t>
        </is>
      </c>
      <c r="E1139" t="inlineStr">
        <is>
          <t>VILHELMINA</t>
        </is>
      </c>
      <c r="F1139" t="inlineStr">
        <is>
          <t>Allmännings- och besparingsskogar</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28695-2024</t>
        </is>
      </c>
      <c r="B1140" s="1" t="n">
        <v>45478</v>
      </c>
      <c r="C1140" s="1" t="n">
        <v>45510</v>
      </c>
      <c r="D1140" t="inlineStr">
        <is>
          <t>VÄSTERBOTTENS LÄN</t>
        </is>
      </c>
      <c r="E1140" t="inlineStr">
        <is>
          <t>VILHELMINA</t>
        </is>
      </c>
      <c r="F1140" t="inlineStr">
        <is>
          <t>Allmännings- och besparingsskogar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28796-2024</t>
        </is>
      </c>
      <c r="B1141" s="1" t="n">
        <v>45478</v>
      </c>
      <c r="C1141" s="1" t="n">
        <v>45510</v>
      </c>
      <c r="D1141" t="inlineStr">
        <is>
          <t>VÄSTERBOTTENS LÄN</t>
        </is>
      </c>
      <c r="E1141" t="inlineStr">
        <is>
          <t>VILHELMINA</t>
        </is>
      </c>
      <c r="G1141" t="n">
        <v>20.1</v>
      </c>
      <c r="H1141" t="n">
        <v>0</v>
      </c>
      <c r="I1141" t="n">
        <v>0</v>
      </c>
      <c r="J1141" t="n">
        <v>0</v>
      </c>
      <c r="K1141" t="n">
        <v>0</v>
      </c>
      <c r="L1141" t="n">
        <v>0</v>
      </c>
      <c r="M1141" t="n">
        <v>0</v>
      </c>
      <c r="N1141" t="n">
        <v>0</v>
      </c>
      <c r="O1141" t="n">
        <v>0</v>
      </c>
      <c r="P1141" t="n">
        <v>0</v>
      </c>
      <c r="Q1141" t="n">
        <v>0</v>
      </c>
      <c r="R1141" s="2" t="inlineStr"/>
    </row>
    <row r="1142" ht="15" customHeight="1">
      <c r="A1142" t="inlineStr">
        <is>
          <t>A 28869-2024</t>
        </is>
      </c>
      <c r="B1142" s="1" t="n">
        <v>45479</v>
      </c>
      <c r="C1142" s="1" t="n">
        <v>45510</v>
      </c>
      <c r="D1142" t="inlineStr">
        <is>
          <t>VÄSTERBOTTENS LÄN</t>
        </is>
      </c>
      <c r="E1142" t="inlineStr">
        <is>
          <t>VILHELMINA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28705-2024</t>
        </is>
      </c>
      <c r="B1143" s="1" t="n">
        <v>45478</v>
      </c>
      <c r="C1143" s="1" t="n">
        <v>45510</v>
      </c>
      <c r="D1143" t="inlineStr">
        <is>
          <t>VÄSTERBOTTENS LÄN</t>
        </is>
      </c>
      <c r="E1143" t="inlineStr">
        <is>
          <t>VILHELMINA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28729-2024</t>
        </is>
      </c>
      <c r="B1144" s="1" t="n">
        <v>45478</v>
      </c>
      <c r="C1144" s="1" t="n">
        <v>45510</v>
      </c>
      <c r="D1144" t="inlineStr">
        <is>
          <t>VÄSTERBOTTENS LÄN</t>
        </is>
      </c>
      <c r="E1144" t="inlineStr">
        <is>
          <t>VILHELMINA</t>
        </is>
      </c>
      <c r="F1144" t="inlineStr">
        <is>
          <t>Allmännings- och besparingsskogar</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28870-2024</t>
        </is>
      </c>
      <c r="B1145" s="1" t="n">
        <v>45479</v>
      </c>
      <c r="C1145" s="1" t="n">
        <v>45510</v>
      </c>
      <c r="D1145" t="inlineStr">
        <is>
          <t>VÄSTERBOTTENS LÄN</t>
        </is>
      </c>
      <c r="E1145" t="inlineStr">
        <is>
          <t>VILHELMINA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28656-2024</t>
        </is>
      </c>
      <c r="B1146" s="1" t="n">
        <v>45478</v>
      </c>
      <c r="C1146" s="1" t="n">
        <v>45510</v>
      </c>
      <c r="D1146" t="inlineStr">
        <is>
          <t>VÄSTERBOTTENS LÄN</t>
        </is>
      </c>
      <c r="E1146" t="inlineStr">
        <is>
          <t>VILHELMINA</t>
        </is>
      </c>
      <c r="F1146" t="inlineStr">
        <is>
          <t>Allmännings- och besparingsskogar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28669-2024</t>
        </is>
      </c>
      <c r="B1147" s="1" t="n">
        <v>45478</v>
      </c>
      <c r="C1147" s="1" t="n">
        <v>45510</v>
      </c>
      <c r="D1147" t="inlineStr">
        <is>
          <t>VÄSTERBOTTENS LÄN</t>
        </is>
      </c>
      <c r="E1147" t="inlineStr">
        <is>
          <t>VILHELMINA</t>
        </is>
      </c>
      <c r="F1147" t="inlineStr">
        <is>
          <t>Allmännings- och besparingsskogar</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28726-2024</t>
        </is>
      </c>
      <c r="B1148" s="1" t="n">
        <v>45478</v>
      </c>
      <c r="C1148" s="1" t="n">
        <v>45510</v>
      </c>
      <c r="D1148" t="inlineStr">
        <is>
          <t>VÄSTERBOTTENS LÄN</t>
        </is>
      </c>
      <c r="E1148" t="inlineStr">
        <is>
          <t>VILHELMINA</t>
        </is>
      </c>
      <c r="F1148" t="inlineStr">
        <is>
          <t>Allmännings- och besparingsskogar</t>
        </is>
      </c>
      <c r="G1148" t="n">
        <v>15.7</v>
      </c>
      <c r="H1148" t="n">
        <v>0</v>
      </c>
      <c r="I1148" t="n">
        <v>0</v>
      </c>
      <c r="J1148" t="n">
        <v>0</v>
      </c>
      <c r="K1148" t="n">
        <v>0</v>
      </c>
      <c r="L1148" t="n">
        <v>0</v>
      </c>
      <c r="M1148" t="n">
        <v>0</v>
      </c>
      <c r="N1148" t="n">
        <v>0</v>
      </c>
      <c r="O1148" t="n">
        <v>0</v>
      </c>
      <c r="P1148" t="n">
        <v>0</v>
      </c>
      <c r="Q1148" t="n">
        <v>0</v>
      </c>
      <c r="R1148" s="2" t="inlineStr"/>
    </row>
    <row r="1149" ht="15" customHeight="1">
      <c r="A1149" t="inlineStr">
        <is>
          <t>A 28734-2024</t>
        </is>
      </c>
      <c r="B1149" s="1" t="n">
        <v>45478</v>
      </c>
      <c r="C1149" s="1" t="n">
        <v>45510</v>
      </c>
      <c r="D1149" t="inlineStr">
        <is>
          <t>VÄSTERBOTTENS LÄN</t>
        </is>
      </c>
      <c r="E1149" t="inlineStr">
        <is>
          <t>VILHELMINA</t>
        </is>
      </c>
      <c r="F1149" t="inlineStr">
        <is>
          <t>Allmännings- och besparingsskogar</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28863-2024</t>
        </is>
      </c>
      <c r="B1150" s="1" t="n">
        <v>45479</v>
      </c>
      <c r="C1150" s="1" t="n">
        <v>45510</v>
      </c>
      <c r="D1150" t="inlineStr">
        <is>
          <t>VÄSTERBOTTENS LÄN</t>
        </is>
      </c>
      <c r="E1150" t="inlineStr">
        <is>
          <t>VILHELMINA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28867-2024</t>
        </is>
      </c>
      <c r="B1151" s="1" t="n">
        <v>45479</v>
      </c>
      <c r="C1151" s="1" t="n">
        <v>45510</v>
      </c>
      <c r="D1151" t="inlineStr">
        <is>
          <t>VÄSTERBOTTENS LÄN</t>
        </is>
      </c>
      <c r="E1151" t="inlineStr">
        <is>
          <t>VILHELMINA</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28871-2024</t>
        </is>
      </c>
      <c r="B1152" s="1" t="n">
        <v>45479</v>
      </c>
      <c r="C1152" s="1" t="n">
        <v>45510</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28662-2024</t>
        </is>
      </c>
      <c r="B1153" s="1" t="n">
        <v>45478</v>
      </c>
      <c r="C1153" s="1" t="n">
        <v>45510</v>
      </c>
      <c r="D1153" t="inlineStr">
        <is>
          <t>VÄSTERBOTTENS LÄN</t>
        </is>
      </c>
      <c r="E1153" t="inlineStr">
        <is>
          <t>VILHELMINA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28799-2024</t>
        </is>
      </c>
      <c r="B1154" s="1" t="n">
        <v>45478</v>
      </c>
      <c r="C1154" s="1" t="n">
        <v>45510</v>
      </c>
      <c r="D1154" t="inlineStr">
        <is>
          <t>VÄSTERBOTTENS LÄN</t>
        </is>
      </c>
      <c r="E1154" t="inlineStr">
        <is>
          <t>VILHELMINA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28868-2024</t>
        </is>
      </c>
      <c r="B1155" s="1" t="n">
        <v>45479</v>
      </c>
      <c r="C1155" s="1" t="n">
        <v>45510</v>
      </c>
      <c r="D1155" t="inlineStr">
        <is>
          <t>VÄSTERBOTTENS LÄN</t>
        </is>
      </c>
      <c r="E1155" t="inlineStr">
        <is>
          <t>VILHELMINA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28949-2024</t>
        </is>
      </c>
      <c r="B1156" s="1" t="n">
        <v>45481</v>
      </c>
      <c r="C1156" s="1" t="n">
        <v>45510</v>
      </c>
      <c r="D1156" t="inlineStr">
        <is>
          <t>VÄSTERBOTTENS LÄN</t>
        </is>
      </c>
      <c r="E1156" t="inlineStr">
        <is>
          <t>VILHELMINA</t>
        </is>
      </c>
      <c r="F1156" t="inlineStr">
        <is>
          <t>Sveaskog</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29104-2024</t>
        </is>
      </c>
      <c r="B1157" s="1" t="n">
        <v>45482</v>
      </c>
      <c r="C1157" s="1" t="n">
        <v>45510</v>
      </c>
      <c r="D1157" t="inlineStr">
        <is>
          <t>VÄSTERBOTTENS LÄN</t>
        </is>
      </c>
      <c r="E1157" t="inlineStr">
        <is>
          <t>VILHELMINA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29105-2024</t>
        </is>
      </c>
      <c r="B1158" s="1" t="n">
        <v>45482</v>
      </c>
      <c r="C1158" s="1" t="n">
        <v>45510</v>
      </c>
      <c r="D1158" t="inlineStr">
        <is>
          <t>VÄSTERBOTTENS LÄN</t>
        </is>
      </c>
      <c r="E1158" t="inlineStr">
        <is>
          <t>VILHELMINA</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45510</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29472-2024</t>
        </is>
      </c>
      <c r="B1160" s="1" t="n">
        <v>45484</v>
      </c>
      <c r="C1160" s="1" t="n">
        <v>45510</v>
      </c>
      <c r="D1160" t="inlineStr">
        <is>
          <t>VÄSTERBOTTENS LÄN</t>
        </is>
      </c>
      <c r="E1160" t="inlineStr">
        <is>
          <t>VILHELMINA</t>
        </is>
      </c>
      <c r="F1160" t="inlineStr">
        <is>
          <t>SCA</t>
        </is>
      </c>
      <c r="G1160" t="n">
        <v>23.6</v>
      </c>
      <c r="H1160" t="n">
        <v>0</v>
      </c>
      <c r="I1160" t="n">
        <v>0</v>
      </c>
      <c r="J1160" t="n">
        <v>0</v>
      </c>
      <c r="K1160" t="n">
        <v>0</v>
      </c>
      <c r="L1160" t="n">
        <v>0</v>
      </c>
      <c r="M1160" t="n">
        <v>0</v>
      </c>
      <c r="N1160" t="n">
        <v>0</v>
      </c>
      <c r="O1160" t="n">
        <v>0</v>
      </c>
      <c r="P1160" t="n">
        <v>0</v>
      </c>
      <c r="Q1160" t="n">
        <v>0</v>
      </c>
      <c r="R1160" s="2" t="inlineStr"/>
    </row>
    <row r="1161" ht="15" customHeight="1">
      <c r="A1161" t="inlineStr">
        <is>
          <t>A 29503-2024</t>
        </is>
      </c>
      <c r="B1161" s="1" t="n">
        <v>45484</v>
      </c>
      <c r="C1161" s="1" t="n">
        <v>45510</v>
      </c>
      <c r="D1161" t="inlineStr">
        <is>
          <t>VÄSTERBOTTENS LÄN</t>
        </is>
      </c>
      <c r="E1161" t="inlineStr">
        <is>
          <t>VILHELMINA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45510</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29732-2024</t>
        </is>
      </c>
      <c r="B1163" s="1" t="n">
        <v>45485</v>
      </c>
      <c r="C1163" s="1" t="n">
        <v>45510</v>
      </c>
      <c r="D1163" t="inlineStr">
        <is>
          <t>VÄSTERBOTTENS LÄN</t>
        </is>
      </c>
      <c r="E1163" t="inlineStr">
        <is>
          <t>VILHELMINA</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29922-2024</t>
        </is>
      </c>
      <c r="B1164" s="1" t="n">
        <v>45488</v>
      </c>
      <c r="C1164" s="1" t="n">
        <v>45510</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30331-2024</t>
        </is>
      </c>
      <c r="B1165" s="1" t="n">
        <v>45491</v>
      </c>
      <c r="C1165" s="1" t="n">
        <v>45510</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30341-2024</t>
        </is>
      </c>
      <c r="B1166" s="1" t="n">
        <v>45491</v>
      </c>
      <c r="C1166" s="1" t="n">
        <v>45510</v>
      </c>
      <c r="D1166" t="inlineStr">
        <is>
          <t>VÄSTERBOTTENS LÄN</t>
        </is>
      </c>
      <c r="E1166" t="inlineStr">
        <is>
          <t>VILHELMINA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30340-2024</t>
        </is>
      </c>
      <c r="B1167" s="1" t="n">
        <v>45491</v>
      </c>
      <c r="C1167" s="1" t="n">
        <v>45510</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30574-2024</t>
        </is>
      </c>
      <c r="B1168" s="1" t="n">
        <v>45493</v>
      </c>
      <c r="C1168" s="1" t="n">
        <v>45510</v>
      </c>
      <c r="D1168" t="inlineStr">
        <is>
          <t>VÄSTERBOTTENS LÄN</t>
        </is>
      </c>
      <c r="E1168" t="inlineStr">
        <is>
          <t>VILHELMINA</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30575-2024</t>
        </is>
      </c>
      <c r="B1169" s="1" t="n">
        <v>45493</v>
      </c>
      <c r="C1169" s="1" t="n">
        <v>45510</v>
      </c>
      <c r="D1169" t="inlineStr">
        <is>
          <t>VÄSTERBOTTENS LÄN</t>
        </is>
      </c>
      <c r="E1169" t="inlineStr">
        <is>
          <t>VILHELMINA</t>
        </is>
      </c>
      <c r="F1169" t="inlineStr">
        <is>
          <t>SCA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30583-2024</t>
        </is>
      </c>
      <c r="B1170" s="1" t="n">
        <v>45493</v>
      </c>
      <c r="C1170" s="1" t="n">
        <v>45510</v>
      </c>
      <c r="D1170" t="inlineStr">
        <is>
          <t>VÄSTERBOTTENS LÄN</t>
        </is>
      </c>
      <c r="E1170" t="inlineStr">
        <is>
          <t>VILHELMINA</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30577-2024</t>
        </is>
      </c>
      <c r="B1171" s="1" t="n">
        <v>45493</v>
      </c>
      <c r="C1171" s="1" t="n">
        <v>45510</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30582-2024</t>
        </is>
      </c>
      <c r="B1172" s="1" t="n">
        <v>45493</v>
      </c>
      <c r="C1172" s="1" t="n">
        <v>45510</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30578-2024</t>
        </is>
      </c>
      <c r="B1173" s="1" t="n">
        <v>45493</v>
      </c>
      <c r="C1173" s="1" t="n">
        <v>45510</v>
      </c>
      <c r="D1173" t="inlineStr">
        <is>
          <t>VÄSTERBOTTENS LÄN</t>
        </is>
      </c>
      <c r="E1173" t="inlineStr">
        <is>
          <t>VILHELMINA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30572-2024</t>
        </is>
      </c>
      <c r="B1174" s="1" t="n">
        <v>45493</v>
      </c>
      <c r="C1174" s="1" t="n">
        <v>45510</v>
      </c>
      <c r="D1174" t="inlineStr">
        <is>
          <t>VÄSTERBOTTENS LÄN</t>
        </is>
      </c>
      <c r="E1174" t="inlineStr">
        <is>
          <t>VILHELMINA</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30576-2024</t>
        </is>
      </c>
      <c r="B1175" s="1" t="n">
        <v>45493</v>
      </c>
      <c r="C1175" s="1" t="n">
        <v>45510</v>
      </c>
      <c r="D1175" t="inlineStr">
        <is>
          <t>VÄSTERBOTTENS LÄN</t>
        </is>
      </c>
      <c r="E1175" t="inlineStr">
        <is>
          <t>VILHELMINA</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30580-2024</t>
        </is>
      </c>
      <c r="B1176" s="1" t="n">
        <v>45493</v>
      </c>
      <c r="C1176" s="1" t="n">
        <v>45510</v>
      </c>
      <c r="D1176" t="inlineStr">
        <is>
          <t>VÄSTERBOTTENS LÄN</t>
        </is>
      </c>
      <c r="E1176" t="inlineStr">
        <is>
          <t>VILHELMINA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30681-2024</t>
        </is>
      </c>
      <c r="B1177" s="1" t="n">
        <v>45496</v>
      </c>
      <c r="C1177" s="1" t="n">
        <v>45510</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30810-2024</t>
        </is>
      </c>
      <c r="B1178" s="1" t="n">
        <v>45497</v>
      </c>
      <c r="C1178" s="1" t="n">
        <v>45510</v>
      </c>
      <c r="D1178" t="inlineStr">
        <is>
          <t>VÄSTERBOTTENS LÄN</t>
        </is>
      </c>
      <c r="E1178" t="inlineStr">
        <is>
          <t>VILHELMINA</t>
        </is>
      </c>
      <c r="G1178" t="n">
        <v>24.7</v>
      </c>
      <c r="H1178" t="n">
        <v>0</v>
      </c>
      <c r="I1178" t="n">
        <v>0</v>
      </c>
      <c r="J1178" t="n">
        <v>0</v>
      </c>
      <c r="K1178" t="n">
        <v>0</v>
      </c>
      <c r="L1178" t="n">
        <v>0</v>
      </c>
      <c r="M1178" t="n">
        <v>0</v>
      </c>
      <c r="N1178" t="n">
        <v>0</v>
      </c>
      <c r="O1178" t="n">
        <v>0</v>
      </c>
      <c r="P1178" t="n">
        <v>0</v>
      </c>
      <c r="Q1178" t="n">
        <v>0</v>
      </c>
      <c r="R1178" s="2" t="inlineStr"/>
    </row>
    <row r="1179" ht="15" customHeight="1">
      <c r="A1179" t="inlineStr">
        <is>
          <t>A 30817-2024</t>
        </is>
      </c>
      <c r="B1179" s="1" t="n">
        <v>45497</v>
      </c>
      <c r="C1179" s="1" t="n">
        <v>45510</v>
      </c>
      <c r="D1179" t="inlineStr">
        <is>
          <t>VÄSTERBOTTENS LÄN</t>
        </is>
      </c>
      <c r="E1179" t="inlineStr">
        <is>
          <t>VILHELMINA</t>
        </is>
      </c>
      <c r="G1179" t="n">
        <v>12.9</v>
      </c>
      <c r="H1179" t="n">
        <v>0</v>
      </c>
      <c r="I1179" t="n">
        <v>0</v>
      </c>
      <c r="J1179" t="n">
        <v>0</v>
      </c>
      <c r="K1179" t="n">
        <v>0</v>
      </c>
      <c r="L1179" t="n">
        <v>0</v>
      </c>
      <c r="M1179" t="n">
        <v>0</v>
      </c>
      <c r="N1179" t="n">
        <v>0</v>
      </c>
      <c r="O1179" t="n">
        <v>0</v>
      </c>
      <c r="P1179" t="n">
        <v>0</v>
      </c>
      <c r="Q1179" t="n">
        <v>0</v>
      </c>
      <c r="R1179" s="2" t="inlineStr"/>
    </row>
    <row r="1180" ht="15" customHeight="1">
      <c r="A1180" t="inlineStr">
        <is>
          <t>A 31095-2024</t>
        </is>
      </c>
      <c r="B1180" s="1" t="n">
        <v>45502</v>
      </c>
      <c r="C1180" s="1" t="n">
        <v>45510</v>
      </c>
      <c r="D1180" t="inlineStr">
        <is>
          <t>VÄSTERBOTTENS LÄN</t>
        </is>
      </c>
      <c r="E1180" t="inlineStr">
        <is>
          <t>VILHELMINA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31461-2024</t>
        </is>
      </c>
      <c r="B1181" s="1" t="n">
        <v>45506</v>
      </c>
      <c r="C1181" s="1" t="n">
        <v>45510</v>
      </c>
      <c r="D1181" t="inlineStr">
        <is>
          <t>VÄSTERBOTTENS LÄN</t>
        </is>
      </c>
      <c r="E1181" t="inlineStr">
        <is>
          <t>VILHELMINA</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31455-2024</t>
        </is>
      </c>
      <c r="B1182" s="1" t="n">
        <v>45506</v>
      </c>
      <c r="C1182" s="1" t="n">
        <v>45510</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31449-2024</t>
        </is>
      </c>
      <c r="B1183" s="1" t="n">
        <v>45506</v>
      </c>
      <c r="C1183" s="1" t="n">
        <v>45510</v>
      </c>
      <c r="D1183" t="inlineStr">
        <is>
          <t>VÄSTERBOTTENS LÄN</t>
        </is>
      </c>
      <c r="E1183" t="inlineStr">
        <is>
          <t>VILHELMINA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31458-2024</t>
        </is>
      </c>
      <c r="B1184" s="1" t="n">
        <v>45506</v>
      </c>
      <c r="C1184" s="1" t="n">
        <v>45510</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31696-2024</t>
        </is>
      </c>
      <c r="B1185" s="1" t="n">
        <v>45508</v>
      </c>
      <c r="C1185" s="1" t="n">
        <v>45510</v>
      </c>
      <c r="D1185" t="inlineStr">
        <is>
          <t>VÄSTERBOTTENS LÄN</t>
        </is>
      </c>
      <c r="E1185" t="inlineStr">
        <is>
          <t>VILHELMINA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31851-2024</t>
        </is>
      </c>
      <c r="B1186" s="1" t="n">
        <v>45509</v>
      </c>
      <c r="C1186" s="1" t="n">
        <v>45510</v>
      </c>
      <c r="D1186" t="inlineStr">
        <is>
          <t>VÄSTERBOTTENS LÄN</t>
        </is>
      </c>
      <c r="E1186" t="inlineStr">
        <is>
          <t>VILHELMINA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31896-2024</t>
        </is>
      </c>
      <c r="B1187" s="1" t="n">
        <v>45510</v>
      </c>
      <c r="C1187" s="1" t="n">
        <v>45510</v>
      </c>
      <c r="D1187" t="inlineStr">
        <is>
          <t>VÄSTERBOTTENS LÄN</t>
        </is>
      </c>
      <c r="E1187" t="inlineStr">
        <is>
          <t>VILHELMINA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31868-2024</t>
        </is>
      </c>
      <c r="B1188" s="1" t="n">
        <v>45509</v>
      </c>
      <c r="C1188" s="1" t="n">
        <v>45510</v>
      </c>
      <c r="D1188" t="inlineStr">
        <is>
          <t>VÄSTERBOTTENS LÄN</t>
        </is>
      </c>
      <c r="E1188" t="inlineStr">
        <is>
          <t>VILHELMINA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31897-2024</t>
        </is>
      </c>
      <c r="B1189" s="1" t="n">
        <v>45510</v>
      </c>
      <c r="C1189" s="1" t="n">
        <v>45510</v>
      </c>
      <c r="D1189" t="inlineStr">
        <is>
          <t>VÄSTERBOTTENS LÄN</t>
        </is>
      </c>
      <c r="E1189" t="inlineStr">
        <is>
          <t>VILHELMINA</t>
        </is>
      </c>
      <c r="F1189" t="inlineStr">
        <is>
          <t>SCA</t>
        </is>
      </c>
      <c r="G1189" t="n">
        <v>5.4</v>
      </c>
      <c r="H1189" t="n">
        <v>0</v>
      </c>
      <c r="I1189" t="n">
        <v>0</v>
      </c>
      <c r="J1189" t="n">
        <v>0</v>
      </c>
      <c r="K1189" t="n">
        <v>0</v>
      </c>
      <c r="L1189" t="n">
        <v>0</v>
      </c>
      <c r="M1189" t="n">
        <v>0</v>
      </c>
      <c r="N1189" t="n">
        <v>0</v>
      </c>
      <c r="O1189" t="n">
        <v>0</v>
      </c>
      <c r="P1189" t="n">
        <v>0</v>
      </c>
      <c r="Q1189" t="n">
        <v>0</v>
      </c>
      <c r="R1189" s="2" t="inlineStr"/>
    </row>
    <row r="1190">
      <c r="A1190" t="inlineStr">
        <is>
          <t>A 31895-2024</t>
        </is>
      </c>
      <c r="B1190" s="1" t="n">
        <v>45510</v>
      </c>
      <c r="C1190" s="1" t="n">
        <v>45510</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2024-08-06T11:00:46Z</dcterms:created>
  <dcterms:modified xmlns:dcterms="http://purl.org/dc/terms/" xmlns:xsi="http://www.w3.org/2001/XMLSchema-instance" xsi:type="dcterms:W3CDTF">2024-08-06T11:00:47Z</dcterms:modified>
</cp:coreProperties>
</file>