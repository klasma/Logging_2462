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45879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45879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45879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45879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45879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45879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45879</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45879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45879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45879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45879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45879</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45879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45879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45879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45879</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45879</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45879</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45879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45879</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45879</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45879</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45879</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45879</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45879</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45879</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45879</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48248-2023</t>
        </is>
      </c>
      <c r="B30" s="1" t="n">
        <v>45201</v>
      </c>
      <c r="C30" s="1" t="n">
        <v>45879</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23758-2025</t>
        </is>
      </c>
      <c r="B31" s="1" t="n">
        <v>45793</v>
      </c>
      <c r="C31" s="1" t="n">
        <v>45879</v>
      </c>
      <c r="D31" t="inlineStr">
        <is>
          <t>VÄSTERBOTTENS LÄN</t>
        </is>
      </c>
      <c r="E31" t="inlineStr">
        <is>
          <t>VILHELMINA</t>
        </is>
      </c>
      <c r="G31" t="n">
        <v>14.9</v>
      </c>
      <c r="H31" t="n">
        <v>6</v>
      </c>
      <c r="I31" t="n">
        <v>8</v>
      </c>
      <c r="J31" t="n">
        <v>8</v>
      </c>
      <c r="K31" t="n">
        <v>1</v>
      </c>
      <c r="L31" t="n">
        <v>0</v>
      </c>
      <c r="M31" t="n">
        <v>0</v>
      </c>
      <c r="N31" t="n">
        <v>0</v>
      </c>
      <c r="O31" t="n">
        <v>9</v>
      </c>
      <c r="P31" t="n">
        <v>1</v>
      </c>
      <c r="Q31" t="n">
        <v>18</v>
      </c>
      <c r="R31" s="2" t="inlineStr">
        <is>
          <t>Grantickeporing
Garnlav
Granticka
Lappmes
Lunglav
Skrovellav
Tretåig hackspett
Ullticka
Violettgrå tagellav
Bårdlav
Korallrot
Luddlav
Plattlummer
Skinnlav
Spindelblomster
Stuplav
Trådticka
Lavskrika</t>
        </is>
      </c>
      <c r="S31">
        <f>HYPERLINK("https://klasma.github.io/Logging_2462/artfynd/A 23758-2025 artfynd.xlsx", "A 23758-2025")</f>
        <v/>
      </c>
      <c r="T31">
        <f>HYPERLINK("https://klasma.github.io/Logging_2462/kartor/A 23758-2025 karta.png", "A 23758-2025")</f>
        <v/>
      </c>
      <c r="V31">
        <f>HYPERLINK("https://klasma.github.io/Logging_2462/klagomål/A 23758-2025 FSC-klagomål.docx", "A 23758-2025")</f>
        <v/>
      </c>
      <c r="W31">
        <f>HYPERLINK("https://klasma.github.io/Logging_2462/klagomålsmail/A 23758-2025 FSC-klagomål mail.docx", "A 23758-2025")</f>
        <v/>
      </c>
      <c r="X31">
        <f>HYPERLINK("https://klasma.github.io/Logging_2462/tillsyn/A 23758-2025 tillsynsbegäran.docx", "A 23758-2025")</f>
        <v/>
      </c>
      <c r="Y31">
        <f>HYPERLINK("https://klasma.github.io/Logging_2462/tillsynsmail/A 23758-2025 tillsynsbegäran mail.docx", "A 23758-2025")</f>
        <v/>
      </c>
      <c r="Z31">
        <f>HYPERLINK("https://klasma.github.io/Logging_2462/fåglar/A 23758-2025 prioriterade fågelarter.docx", "A 23758-2025")</f>
        <v/>
      </c>
    </row>
    <row r="32" ht="15" customHeight="1">
      <c r="A32" t="inlineStr">
        <is>
          <t>A 9048-2023</t>
        </is>
      </c>
      <c r="B32" s="1" t="n">
        <v>44972</v>
      </c>
      <c r="C32" s="1" t="n">
        <v>45879</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45879</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45879</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45879</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45879</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45879</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45879</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45879</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45879</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45879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45879</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45879</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45879</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45879</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45879</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45879</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6658-2021</t>
        </is>
      </c>
      <c r="B48" s="1" t="n">
        <v>44235</v>
      </c>
      <c r="C48" s="1" t="n">
        <v>45879</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7762-2024</t>
        </is>
      </c>
      <c r="B49" s="1" t="n">
        <v>45349</v>
      </c>
      <c r="C49" s="1" t="n">
        <v>45879</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45879</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49141-2023</t>
        </is>
      </c>
      <c r="B51" s="1" t="n">
        <v>45205</v>
      </c>
      <c r="C51" s="1" t="n">
        <v>45879</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6969-2023</t>
        </is>
      </c>
      <c r="B52" s="1" t="n">
        <v>44964</v>
      </c>
      <c r="C52" s="1" t="n">
        <v>45879</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45879</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56840-2023</t>
        </is>
      </c>
      <c r="B54" s="1" t="n">
        <v>45238</v>
      </c>
      <c r="C54" s="1" t="n">
        <v>45879</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6963-2023</t>
        </is>
      </c>
      <c r="B55" s="1" t="n">
        <v>44964</v>
      </c>
      <c r="C55" s="1" t="n">
        <v>45879</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45879</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45879</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45879</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45879</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45879</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45879</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45879</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45879</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45879</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45879</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45879</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45879</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45879</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45879</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45879</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45879</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15852-2022</t>
        </is>
      </c>
      <c r="B72" s="1" t="n">
        <v>44664</v>
      </c>
      <c r="C72" s="1" t="n">
        <v>45879</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45879</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45879</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57099-2024</t>
        </is>
      </c>
      <c r="B75" s="1" t="n">
        <v>45629</v>
      </c>
      <c r="C75" s="1" t="n">
        <v>45879</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45879</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44874-2024</t>
        </is>
      </c>
      <c r="B77" s="1" t="n">
        <v>45575</v>
      </c>
      <c r="C77" s="1" t="n">
        <v>45879</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45879</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45879</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45879</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45879</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45879</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45879</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31198-2023</t>
        </is>
      </c>
      <c r="B84" s="1" t="n">
        <v>45113</v>
      </c>
      <c r="C84" s="1" t="n">
        <v>45879</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44382-2023</t>
        </is>
      </c>
      <c r="B85" s="1" t="n">
        <v>45188.94413194444</v>
      </c>
      <c r="C85" s="1" t="n">
        <v>45879</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45879</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45879</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45879</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45879</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13604-2022</t>
        </is>
      </c>
      <c r="B90" s="1" t="n">
        <v>44648</v>
      </c>
      <c r="C90" s="1" t="n">
        <v>45879</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45879</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45879</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45879</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45879</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54780-2024</t>
        </is>
      </c>
      <c r="B95" s="1" t="n">
        <v>45618</v>
      </c>
      <c r="C95" s="1" t="n">
        <v>45879</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1224-2025</t>
        </is>
      </c>
      <c r="B96" s="1" t="n">
        <v>45667</v>
      </c>
      <c r="C96" s="1" t="n">
        <v>45879</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32779-2025</t>
        </is>
      </c>
      <c r="B97" s="1" t="n">
        <v>45839.46946759259</v>
      </c>
      <c r="C97" s="1" t="n">
        <v>45879</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16463-2025</t>
        </is>
      </c>
      <c r="B98" s="1" t="n">
        <v>45751</v>
      </c>
      <c r="C98" s="1" t="n">
        <v>45879</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56618-2024</t>
        </is>
      </c>
      <c r="B99" s="1" t="n">
        <v>45625</v>
      </c>
      <c r="C99" s="1" t="n">
        <v>45879</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38534-2024</t>
        </is>
      </c>
      <c r="B100" s="1" t="n">
        <v>45546</v>
      </c>
      <c r="C100" s="1" t="n">
        <v>45879</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38123-2024</t>
        </is>
      </c>
      <c r="B101" s="1" t="n">
        <v>45545</v>
      </c>
      <c r="C101" s="1" t="n">
        <v>45879</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41646-2024</t>
        </is>
      </c>
      <c r="B102" s="1" t="n">
        <v>45560</v>
      </c>
      <c r="C102" s="1" t="n">
        <v>45879</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57861-2020</t>
        </is>
      </c>
      <c r="B103" s="1" t="n">
        <v>44141</v>
      </c>
      <c r="C103" s="1" t="n">
        <v>45879</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45879</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60379-2024</t>
        </is>
      </c>
      <c r="B105" s="1" t="n">
        <v>45643</v>
      </c>
      <c r="C105" s="1" t="n">
        <v>45879</v>
      </c>
      <c r="D105" t="inlineStr">
        <is>
          <t>VÄSTERBOTTENS LÄN</t>
        </is>
      </c>
      <c r="E105" t="inlineStr">
        <is>
          <t>VILHELMINA</t>
        </is>
      </c>
      <c r="F105" t="inlineStr">
        <is>
          <t>SCA</t>
        </is>
      </c>
      <c r="G105" t="n">
        <v>12.4</v>
      </c>
      <c r="H105" t="n">
        <v>0</v>
      </c>
      <c r="I105" t="n">
        <v>0</v>
      </c>
      <c r="J105" t="n">
        <v>2</v>
      </c>
      <c r="K105" t="n">
        <v>0</v>
      </c>
      <c r="L105" t="n">
        <v>0</v>
      </c>
      <c r="M105" t="n">
        <v>0</v>
      </c>
      <c r="N105" t="n">
        <v>0</v>
      </c>
      <c r="O105" t="n">
        <v>2</v>
      </c>
      <c r="P105" t="n">
        <v>0</v>
      </c>
      <c r="Q105" t="n">
        <v>2</v>
      </c>
      <c r="R105" s="2" t="inlineStr">
        <is>
          <t>Skrovellav
Ullticka</t>
        </is>
      </c>
      <c r="S105">
        <f>HYPERLINK("https://klasma.github.io/Logging_2462/artfynd/A 60379-2024 artfynd.xlsx", "A 60379-2024")</f>
        <v/>
      </c>
      <c r="T105">
        <f>HYPERLINK("https://klasma.github.io/Logging_2462/kartor/A 60379-2024 karta.png", "A 60379-2024")</f>
        <v/>
      </c>
      <c r="V105">
        <f>HYPERLINK("https://klasma.github.io/Logging_2462/klagomål/A 60379-2024 FSC-klagomål.docx", "A 60379-2024")</f>
        <v/>
      </c>
      <c r="W105">
        <f>HYPERLINK("https://klasma.github.io/Logging_2462/klagomålsmail/A 60379-2024 FSC-klagomål mail.docx", "A 60379-2024")</f>
        <v/>
      </c>
      <c r="X105">
        <f>HYPERLINK("https://klasma.github.io/Logging_2462/tillsyn/A 60379-2024 tillsynsbegäran.docx", "A 60379-2024")</f>
        <v/>
      </c>
      <c r="Y105">
        <f>HYPERLINK("https://klasma.github.io/Logging_2462/tillsynsmail/A 60379-2024 tillsynsbegäran mail.docx", "A 60379-2024")</f>
        <v/>
      </c>
    </row>
    <row r="106" ht="15" customHeight="1">
      <c r="A106" t="inlineStr">
        <is>
          <t>A 19234-2021</t>
        </is>
      </c>
      <c r="B106" s="1" t="n">
        <v>44309</v>
      </c>
      <c r="C106" s="1" t="n">
        <v>45879</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64030-2023</t>
        </is>
      </c>
      <c r="B107" s="1" t="n">
        <v>45278</v>
      </c>
      <c r="C107" s="1" t="n">
        <v>45879</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64030-2023 artfynd.xlsx", "A 64030-2023")</f>
        <v/>
      </c>
      <c r="T107">
        <f>HYPERLINK("https://klasma.github.io/Logging_2462/kartor/A 64030-2023 karta.png", "A 64030-2023")</f>
        <v/>
      </c>
      <c r="V107">
        <f>HYPERLINK("https://klasma.github.io/Logging_2462/klagomål/A 64030-2023 FSC-klagomål.docx", "A 64030-2023")</f>
        <v/>
      </c>
      <c r="W107">
        <f>HYPERLINK("https://klasma.github.io/Logging_2462/klagomålsmail/A 64030-2023 FSC-klagomål mail.docx", "A 64030-2023")</f>
        <v/>
      </c>
      <c r="X107">
        <f>HYPERLINK("https://klasma.github.io/Logging_2462/tillsyn/A 64030-2023 tillsynsbegäran.docx", "A 64030-2023")</f>
        <v/>
      </c>
      <c r="Y107">
        <f>HYPERLINK("https://klasma.github.io/Logging_2462/tillsynsmail/A 64030-2023 tillsynsbegäran mail.docx", "A 64030-2023")</f>
        <v/>
      </c>
      <c r="Z107">
        <f>HYPERLINK("https://klasma.github.io/Logging_2462/fåglar/A 64030-2023 prioriterade fågelarter.docx", "A 64030-2023")</f>
        <v/>
      </c>
    </row>
    <row r="108" ht="15" customHeight="1">
      <c r="A108" t="inlineStr">
        <is>
          <t>A 69023-2021</t>
        </is>
      </c>
      <c r="B108" s="1" t="n">
        <v>44529</v>
      </c>
      <c r="C108" s="1" t="n">
        <v>45879</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20983-2025</t>
        </is>
      </c>
      <c r="B109" s="1" t="n">
        <v>45777.46910879629</v>
      </c>
      <c r="C109" s="1" t="n">
        <v>45879</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54779-2024</t>
        </is>
      </c>
      <c r="B110" s="1" t="n">
        <v>45618</v>
      </c>
      <c r="C110" s="1" t="n">
        <v>45879</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45879</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28012-2023</t>
        </is>
      </c>
      <c r="B112" s="1" t="n">
        <v>45098</v>
      </c>
      <c r="C112" s="1" t="n">
        <v>45879</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45879</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30717-2023</t>
        </is>
      </c>
      <c r="B114" s="1" t="n">
        <v>45112</v>
      </c>
      <c r="C114" s="1" t="n">
        <v>45879</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25037-2024</t>
        </is>
      </c>
      <c r="B115" s="1" t="n">
        <v>45461</v>
      </c>
      <c r="C115" s="1" t="n">
        <v>45879</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69626-2020</t>
        </is>
      </c>
      <c r="B116" s="1" t="n">
        <v>44195</v>
      </c>
      <c r="C116" s="1" t="n">
        <v>45879</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37785-2021</t>
        </is>
      </c>
      <c r="B117" s="1" t="n">
        <v>44401</v>
      </c>
      <c r="C117" s="1" t="n">
        <v>45879</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65586-2021</t>
        </is>
      </c>
      <c r="B118" s="1" t="n">
        <v>44518</v>
      </c>
      <c r="C118" s="1" t="n">
        <v>45879</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29140-2025</t>
        </is>
      </c>
      <c r="B119" s="1" t="n">
        <v>45821</v>
      </c>
      <c r="C119" s="1" t="n">
        <v>45879</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41645-2024</t>
        </is>
      </c>
      <c r="B120" s="1" t="n">
        <v>45560</v>
      </c>
      <c r="C120" s="1" t="n">
        <v>45879</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31735-2025</t>
        </is>
      </c>
      <c r="B121" s="1" t="n">
        <v>45834.47067129629</v>
      </c>
      <c r="C121" s="1" t="n">
        <v>45879</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36998-2025</t>
        </is>
      </c>
      <c r="B122" s="1" t="n">
        <v>45874</v>
      </c>
      <c r="C122" s="1" t="n">
        <v>45879</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6704-2021</t>
        </is>
      </c>
      <c r="B123" s="1" t="n">
        <v>44235</v>
      </c>
      <c r="C123" s="1" t="n">
        <v>45879</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69915-2021</t>
        </is>
      </c>
      <c r="B124" s="1" t="n">
        <v>44532</v>
      </c>
      <c r="C124" s="1" t="n">
        <v>45879</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33913-2024</t>
        </is>
      </c>
      <c r="B125" s="1" t="n">
        <v>45523.38783564815</v>
      </c>
      <c r="C125" s="1" t="n">
        <v>45879</v>
      </c>
      <c r="D125" t="inlineStr">
        <is>
          <t>VÄSTERBOTTENS LÄN</t>
        </is>
      </c>
      <c r="E125" t="inlineStr">
        <is>
          <t>VILHELMINA</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HYPERLINK("https://klasma.github.io/Logging_2462/artfynd/A 33913-2024 artfynd.xlsx", "A 33913-2024")</f>
        <v/>
      </c>
      <c r="T125">
        <f>HYPERLINK("https://klasma.github.io/Logging_2462/kartor/A 33913-2024 karta.png", "A 33913-2024")</f>
        <v/>
      </c>
      <c r="V125">
        <f>HYPERLINK("https://klasma.github.io/Logging_2462/klagomål/A 33913-2024 FSC-klagomål.docx", "A 33913-2024")</f>
        <v/>
      </c>
      <c r="W125">
        <f>HYPERLINK("https://klasma.github.io/Logging_2462/klagomålsmail/A 33913-2024 FSC-klagomål mail.docx", "A 33913-2024")</f>
        <v/>
      </c>
      <c r="X125">
        <f>HYPERLINK("https://klasma.github.io/Logging_2462/tillsyn/A 33913-2024 tillsynsbegäran.docx", "A 33913-2024")</f>
        <v/>
      </c>
      <c r="Y125">
        <f>HYPERLINK("https://klasma.github.io/Logging_2462/tillsynsmail/A 33913-2024 tillsynsbegäran mail.docx", "A 33913-2024")</f>
        <v/>
      </c>
    </row>
    <row r="126" ht="15" customHeight="1">
      <c r="A126" t="inlineStr">
        <is>
          <t>A 56247-2023</t>
        </is>
      </c>
      <c r="B126" s="1" t="n">
        <v>45240</v>
      </c>
      <c r="C126" s="1" t="n">
        <v>45879</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17253-2025</t>
        </is>
      </c>
      <c r="B127" s="1" t="n">
        <v>45756</v>
      </c>
      <c r="C127" s="1" t="n">
        <v>45879</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42489-2024</t>
        </is>
      </c>
      <c r="B128" s="1" t="n">
        <v>45565</v>
      </c>
      <c r="C128" s="1" t="n">
        <v>45879</v>
      </c>
      <c r="D128" t="inlineStr">
        <is>
          <t>VÄSTERBOTTENS LÄN</t>
        </is>
      </c>
      <c r="E128" t="inlineStr">
        <is>
          <t>VILHELMINA</t>
        </is>
      </c>
      <c r="F128" t="inlineStr">
        <is>
          <t>SCA</t>
        </is>
      </c>
      <c r="G128" t="n">
        <v>1.9</v>
      </c>
      <c r="H128" t="n">
        <v>0</v>
      </c>
      <c r="I128" t="n">
        <v>0</v>
      </c>
      <c r="J128" t="n">
        <v>1</v>
      </c>
      <c r="K128" t="n">
        <v>0</v>
      </c>
      <c r="L128" t="n">
        <v>0</v>
      </c>
      <c r="M128" t="n">
        <v>0</v>
      </c>
      <c r="N128" t="n">
        <v>0</v>
      </c>
      <c r="O128" t="n">
        <v>1</v>
      </c>
      <c r="P128" t="n">
        <v>0</v>
      </c>
      <c r="Q128" t="n">
        <v>1</v>
      </c>
      <c r="R128" s="2" t="inlineStr">
        <is>
          <t>Granticka</t>
        </is>
      </c>
      <c r="S128">
        <f>HYPERLINK("https://klasma.github.io/Logging_2462/artfynd/A 42489-2024 artfynd.xlsx", "A 42489-2024")</f>
        <v/>
      </c>
      <c r="T128">
        <f>HYPERLINK("https://klasma.github.io/Logging_2462/kartor/A 42489-2024 karta.png", "A 42489-2024")</f>
        <v/>
      </c>
      <c r="V128">
        <f>HYPERLINK("https://klasma.github.io/Logging_2462/klagomål/A 42489-2024 FSC-klagomål.docx", "A 42489-2024")</f>
        <v/>
      </c>
      <c r="W128">
        <f>HYPERLINK("https://klasma.github.io/Logging_2462/klagomålsmail/A 42489-2024 FSC-klagomål mail.docx", "A 42489-2024")</f>
        <v/>
      </c>
      <c r="X128">
        <f>HYPERLINK("https://klasma.github.io/Logging_2462/tillsyn/A 42489-2024 tillsynsbegäran.docx", "A 42489-2024")</f>
        <v/>
      </c>
      <c r="Y128">
        <f>HYPERLINK("https://klasma.github.io/Logging_2462/tillsynsmail/A 42489-2024 tillsynsbegäran mail.docx", "A 42489-2024")</f>
        <v/>
      </c>
    </row>
    <row r="129" ht="15" customHeight="1">
      <c r="A129" t="inlineStr">
        <is>
          <t>A 47248-2024</t>
        </is>
      </c>
      <c r="B129" s="1" t="n">
        <v>45586</v>
      </c>
      <c r="C129" s="1" t="n">
        <v>45879</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25368-2024</t>
        </is>
      </c>
      <c r="B130" s="1" t="n">
        <v>45462</v>
      </c>
      <c r="C130" s="1" t="n">
        <v>45879</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45879</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38282-2024</t>
        </is>
      </c>
      <c r="B132" s="1" t="n">
        <v>45545</v>
      </c>
      <c r="C132" s="1" t="n">
        <v>45879</v>
      </c>
      <c r="D132" t="inlineStr">
        <is>
          <t>VÄSTERBOTTENS LÄN</t>
        </is>
      </c>
      <c r="E132" t="inlineStr">
        <is>
          <t>VILHELMINA</t>
        </is>
      </c>
      <c r="F132" t="inlineStr">
        <is>
          <t>SCA</t>
        </is>
      </c>
      <c r="G132" t="n">
        <v>3.4</v>
      </c>
      <c r="H132" t="n">
        <v>0</v>
      </c>
      <c r="I132" t="n">
        <v>0</v>
      </c>
      <c r="J132" t="n">
        <v>1</v>
      </c>
      <c r="K132" t="n">
        <v>0</v>
      </c>
      <c r="L132" t="n">
        <v>0</v>
      </c>
      <c r="M132" t="n">
        <v>0</v>
      </c>
      <c r="N132" t="n">
        <v>0</v>
      </c>
      <c r="O132" t="n">
        <v>1</v>
      </c>
      <c r="P132" t="n">
        <v>0</v>
      </c>
      <c r="Q132" t="n">
        <v>1</v>
      </c>
      <c r="R132" s="2" t="inlineStr">
        <is>
          <t>Gränsticka</t>
        </is>
      </c>
      <c r="S132">
        <f>HYPERLINK("https://klasma.github.io/Logging_2462/artfynd/A 38282-2024 artfynd.xlsx", "A 38282-2024")</f>
        <v/>
      </c>
      <c r="T132">
        <f>HYPERLINK("https://klasma.github.io/Logging_2462/kartor/A 38282-2024 karta.png", "A 38282-2024")</f>
        <v/>
      </c>
      <c r="V132">
        <f>HYPERLINK("https://klasma.github.io/Logging_2462/klagomål/A 38282-2024 FSC-klagomål.docx", "A 38282-2024")</f>
        <v/>
      </c>
      <c r="W132">
        <f>HYPERLINK("https://klasma.github.io/Logging_2462/klagomålsmail/A 38282-2024 FSC-klagomål mail.docx", "A 38282-2024")</f>
        <v/>
      </c>
      <c r="X132">
        <f>HYPERLINK("https://klasma.github.io/Logging_2462/tillsyn/A 38282-2024 tillsynsbegäran.docx", "A 38282-2024")</f>
        <v/>
      </c>
      <c r="Y132">
        <f>HYPERLINK("https://klasma.github.io/Logging_2462/tillsynsmail/A 38282-2024 tillsynsbegäran mail.docx", "A 38282-2024")</f>
        <v/>
      </c>
    </row>
    <row r="133" ht="15" customHeight="1">
      <c r="A133" t="inlineStr">
        <is>
          <t>A 11832-2023</t>
        </is>
      </c>
      <c r="B133" s="1" t="n">
        <v>44994</v>
      </c>
      <c r="C133" s="1" t="n">
        <v>45879</v>
      </c>
      <c r="D133" t="inlineStr">
        <is>
          <t>VÄSTERBOTTENS LÄN</t>
        </is>
      </c>
      <c r="E133" t="inlineStr">
        <is>
          <t>VILHELMINA</t>
        </is>
      </c>
      <c r="F133" t="inlineStr">
        <is>
          <t>SCA</t>
        </is>
      </c>
      <c r="G133" t="n">
        <v>6.7</v>
      </c>
      <c r="H133" t="n">
        <v>0</v>
      </c>
      <c r="I133" t="n">
        <v>0</v>
      </c>
      <c r="J133" t="n">
        <v>1</v>
      </c>
      <c r="K133" t="n">
        <v>0</v>
      </c>
      <c r="L133" t="n">
        <v>0</v>
      </c>
      <c r="M133" t="n">
        <v>0</v>
      </c>
      <c r="N133" t="n">
        <v>0</v>
      </c>
      <c r="O133" t="n">
        <v>1</v>
      </c>
      <c r="P133" t="n">
        <v>0</v>
      </c>
      <c r="Q133" t="n">
        <v>1</v>
      </c>
      <c r="R133" s="2" t="inlineStr">
        <is>
          <t>Granticka</t>
        </is>
      </c>
      <c r="S133">
        <f>HYPERLINK("https://klasma.github.io/Logging_2462/artfynd/A 11832-2023 artfynd.xlsx", "A 11832-2023")</f>
        <v/>
      </c>
      <c r="T133">
        <f>HYPERLINK("https://klasma.github.io/Logging_2462/kartor/A 11832-2023 karta.png", "A 11832-2023")</f>
        <v/>
      </c>
      <c r="V133">
        <f>HYPERLINK("https://klasma.github.io/Logging_2462/klagomål/A 11832-2023 FSC-klagomål.docx", "A 11832-2023")</f>
        <v/>
      </c>
      <c r="W133">
        <f>HYPERLINK("https://klasma.github.io/Logging_2462/klagomålsmail/A 11832-2023 FSC-klagomål mail.docx", "A 11832-2023")</f>
        <v/>
      </c>
      <c r="X133">
        <f>HYPERLINK("https://klasma.github.io/Logging_2462/tillsyn/A 11832-2023 tillsynsbegäran.docx", "A 11832-2023")</f>
        <v/>
      </c>
      <c r="Y133">
        <f>HYPERLINK("https://klasma.github.io/Logging_2462/tillsynsmail/A 11832-2023 tillsynsbegäran mail.docx", "A 11832-2023")</f>
        <v/>
      </c>
    </row>
    <row r="134" ht="15" customHeight="1">
      <c r="A134" t="inlineStr">
        <is>
          <t>A 59664-2023</t>
        </is>
      </c>
      <c r="B134" s="1" t="n">
        <v>45254</v>
      </c>
      <c r="C134" s="1" t="n">
        <v>45879</v>
      </c>
      <c r="D134" t="inlineStr">
        <is>
          <t>VÄSTERBOTTENS LÄN</t>
        </is>
      </c>
      <c r="E134" t="inlineStr">
        <is>
          <t>VILHELMINA</t>
        </is>
      </c>
      <c r="F134" t="inlineStr">
        <is>
          <t>SCA</t>
        </is>
      </c>
      <c r="G134" t="n">
        <v>3.3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59664-2023 artfynd.xlsx", "A 59664-2023")</f>
        <v/>
      </c>
      <c r="T134">
        <f>HYPERLINK("https://klasma.github.io/Logging_2462/kartor/A 59664-2023 karta.png", "A 59664-2023")</f>
        <v/>
      </c>
      <c r="V134">
        <f>HYPERLINK("https://klasma.github.io/Logging_2462/klagomål/A 59664-2023 FSC-klagomål.docx", "A 59664-2023")</f>
        <v/>
      </c>
      <c r="W134">
        <f>HYPERLINK("https://klasma.github.io/Logging_2462/klagomålsmail/A 59664-2023 FSC-klagomål mail.docx", "A 59664-2023")</f>
        <v/>
      </c>
      <c r="X134">
        <f>HYPERLINK("https://klasma.github.io/Logging_2462/tillsyn/A 59664-2023 tillsynsbegäran.docx", "A 59664-2023")</f>
        <v/>
      </c>
      <c r="Y134">
        <f>HYPERLINK("https://klasma.github.io/Logging_2462/tillsynsmail/A 59664-2023 tillsynsbegäran mail.docx", "A 59664-2023")</f>
        <v/>
      </c>
      <c r="Z134">
        <f>HYPERLINK("https://klasma.github.io/Logging_2462/fåglar/A 59664-2023 prioriterade fågelarter.docx", "A 59664-2023")</f>
        <v/>
      </c>
    </row>
    <row r="135" ht="15" customHeight="1">
      <c r="A135" t="inlineStr">
        <is>
          <t>A 74395-2021</t>
        </is>
      </c>
      <c r="B135" s="1" t="n">
        <v>44560</v>
      </c>
      <c r="C135" s="1" t="n">
        <v>45879</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25977-2025</t>
        </is>
      </c>
      <c r="B136" s="1" t="n">
        <v>45804</v>
      </c>
      <c r="C136" s="1" t="n">
        <v>45879</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34769-2024</t>
        </is>
      </c>
      <c r="B137" s="1" t="n">
        <v>45526.62043981482</v>
      </c>
      <c r="C137" s="1" t="n">
        <v>45879</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45879</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34730-2024</t>
        </is>
      </c>
      <c r="B139" s="1" t="n">
        <v>45526</v>
      </c>
      <c r="C139" s="1" t="n">
        <v>45879</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45879</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29317-2023</t>
        </is>
      </c>
      <c r="B141" s="1" t="n">
        <v>45105</v>
      </c>
      <c r="C141" s="1" t="n">
        <v>45879</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44286-2024</t>
        </is>
      </c>
      <c r="B142" s="1" t="n">
        <v>45573</v>
      </c>
      <c r="C142" s="1" t="n">
        <v>45879</v>
      </c>
      <c r="D142" t="inlineStr">
        <is>
          <t>VÄSTERBOTTENS LÄN</t>
        </is>
      </c>
      <c r="E142" t="inlineStr">
        <is>
          <t>VILHELMINA</t>
        </is>
      </c>
      <c r="G142" t="n">
        <v>29.2</v>
      </c>
      <c r="H142" t="n">
        <v>1</v>
      </c>
      <c r="I142" t="n">
        <v>0</v>
      </c>
      <c r="J142" t="n">
        <v>1</v>
      </c>
      <c r="K142" t="n">
        <v>0</v>
      </c>
      <c r="L142" t="n">
        <v>0</v>
      </c>
      <c r="M142" t="n">
        <v>0</v>
      </c>
      <c r="N142" t="n">
        <v>0</v>
      </c>
      <c r="O142" t="n">
        <v>1</v>
      </c>
      <c r="P142" t="n">
        <v>0</v>
      </c>
      <c r="Q142" t="n">
        <v>1</v>
      </c>
      <c r="R142" s="2" t="inlineStr">
        <is>
          <t>Videsparv</t>
        </is>
      </c>
      <c r="S142">
        <f>HYPERLINK("https://klasma.github.io/Logging_2462/artfynd/A 44286-2024 artfynd.xlsx", "A 44286-2024")</f>
        <v/>
      </c>
      <c r="T142">
        <f>HYPERLINK("https://klasma.github.io/Logging_2462/kartor/A 44286-2024 karta.png", "A 44286-2024")</f>
        <v/>
      </c>
      <c r="V142">
        <f>HYPERLINK("https://klasma.github.io/Logging_2462/klagomål/A 44286-2024 FSC-klagomål.docx", "A 44286-2024")</f>
        <v/>
      </c>
      <c r="W142">
        <f>HYPERLINK("https://klasma.github.io/Logging_2462/klagomålsmail/A 44286-2024 FSC-klagomål mail.docx", "A 44286-2024")</f>
        <v/>
      </c>
      <c r="X142">
        <f>HYPERLINK("https://klasma.github.io/Logging_2462/tillsyn/A 44286-2024 tillsynsbegäran.docx", "A 44286-2024")</f>
        <v/>
      </c>
      <c r="Y142">
        <f>HYPERLINK("https://klasma.github.io/Logging_2462/tillsynsmail/A 44286-2024 tillsynsbegäran mail.docx", "A 44286-2024")</f>
        <v/>
      </c>
      <c r="Z142">
        <f>HYPERLINK("https://klasma.github.io/Logging_2462/fåglar/A 44286-2024 prioriterade fågelarter.docx", "A 44286-2024")</f>
        <v/>
      </c>
    </row>
    <row r="143" ht="15" customHeight="1">
      <c r="A143" t="inlineStr">
        <is>
          <t>A 29121-2025</t>
        </is>
      </c>
      <c r="B143" s="1" t="n">
        <v>45821</v>
      </c>
      <c r="C143" s="1" t="n">
        <v>45879</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29434-2025</t>
        </is>
      </c>
      <c r="B144" s="1" t="n">
        <v>45824</v>
      </c>
      <c r="C144" s="1" t="n">
        <v>45879</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66924-2021</t>
        </is>
      </c>
      <c r="B145" s="1" t="n">
        <v>44522</v>
      </c>
      <c r="C145" s="1" t="n">
        <v>45879</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45879</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13523-2025</t>
        </is>
      </c>
      <c r="B147" s="1" t="n">
        <v>45736</v>
      </c>
      <c r="C147" s="1" t="n">
        <v>45879</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32677-2021</t>
        </is>
      </c>
      <c r="B148" s="1" t="n">
        <v>44371</v>
      </c>
      <c r="C148" s="1" t="n">
        <v>45879</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60369-2021</t>
        </is>
      </c>
      <c r="B149" s="1" t="n">
        <v>44494</v>
      </c>
      <c r="C149" s="1" t="n">
        <v>45879</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38416-2022</t>
        </is>
      </c>
      <c r="B150" s="1" t="n">
        <v>44812</v>
      </c>
      <c r="C150" s="1" t="n">
        <v>45879</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45879</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45879</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45879</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45879</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45879</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45879</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45879</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45879</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45879</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45879</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45879</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45879</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45879</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40100-2020</t>
        </is>
      </c>
      <c r="B164" s="1" t="n">
        <v>44064</v>
      </c>
      <c r="C164" s="1" t="n">
        <v>45879</v>
      </c>
      <c r="D164" t="inlineStr">
        <is>
          <t>VÄSTERBOTTENS LÄN</t>
        </is>
      </c>
      <c r="E164" t="inlineStr">
        <is>
          <t>VILHELMINA</t>
        </is>
      </c>
      <c r="G164" t="n">
        <v>22.5</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45879</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45879</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45879</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45879</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45879</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45879</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45879</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45879</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45879</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45879</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45879</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45879</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45879</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45879</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45879</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45879</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45879</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45879</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45879</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45879</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45879</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45879</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45879</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45879</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45879</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45879</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45879</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45879</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45879</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45879</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45879</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45879</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45879</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45879</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48574-2021</t>
        </is>
      </c>
      <c r="B199" s="1" t="n">
        <v>44452</v>
      </c>
      <c r="C199" s="1" t="n">
        <v>45879</v>
      </c>
      <c r="D199" t="inlineStr">
        <is>
          <t>VÄSTERBOTTENS LÄN</t>
        </is>
      </c>
      <c r="E199" t="inlineStr">
        <is>
          <t>VILHELMINA</t>
        </is>
      </c>
      <c r="F199" t="inlineStr">
        <is>
          <t>Allmännings- och besparingsskogar</t>
        </is>
      </c>
      <c r="G199" t="n">
        <v>85.09999999999999</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45879</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45879</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45879</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45879</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72487-2021</t>
        </is>
      </c>
      <c r="B204" s="1" t="n">
        <v>44545.92033564814</v>
      </c>
      <c r="C204" s="1" t="n">
        <v>45879</v>
      </c>
      <c r="D204" t="inlineStr">
        <is>
          <t>VÄSTERBOTTENS LÄN</t>
        </is>
      </c>
      <c r="E204" t="inlineStr">
        <is>
          <t>VILHELMINA</t>
        </is>
      </c>
      <c r="G204" t="n">
        <v>1.2</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45879</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45879</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45879</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45879</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45879</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45879</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45879</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45879</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45879</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45879</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45879</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45879</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45879</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36875-2020</t>
        </is>
      </c>
      <c r="B218" s="1" t="n">
        <v>44053</v>
      </c>
      <c r="C218" s="1" t="n">
        <v>45879</v>
      </c>
      <c r="D218" t="inlineStr">
        <is>
          <t>VÄSTERBOTTENS LÄN</t>
        </is>
      </c>
      <c r="E218" t="inlineStr">
        <is>
          <t>VILHELMINA</t>
        </is>
      </c>
      <c r="G218" t="n">
        <v>2.9</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45879</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45879</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45879</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45879</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24983-2021</t>
        </is>
      </c>
      <c r="B223" s="1" t="n">
        <v>44341</v>
      </c>
      <c r="C223" s="1" t="n">
        <v>45879</v>
      </c>
      <c r="D223" t="inlineStr">
        <is>
          <t>VÄSTERBOTTENS LÄN</t>
        </is>
      </c>
      <c r="E223" t="inlineStr">
        <is>
          <t>VILHELMINA</t>
        </is>
      </c>
      <c r="G223" t="n">
        <v>12.9</v>
      </c>
      <c r="H223" t="n">
        <v>0</v>
      </c>
      <c r="I223" t="n">
        <v>0</v>
      </c>
      <c r="J223" t="n">
        <v>0</v>
      </c>
      <c r="K223" t="n">
        <v>0</v>
      </c>
      <c r="L223" t="n">
        <v>0</v>
      </c>
      <c r="M223" t="n">
        <v>0</v>
      </c>
      <c r="N223" t="n">
        <v>0</v>
      </c>
      <c r="O223" t="n">
        <v>0</v>
      </c>
      <c r="P223" t="n">
        <v>0</v>
      </c>
      <c r="Q223" t="n">
        <v>0</v>
      </c>
      <c r="R223" s="2" t="inlineStr"/>
    </row>
    <row r="224" ht="15" customHeight="1">
      <c r="A224" t="inlineStr">
        <is>
          <t>A 64759-2020</t>
        </is>
      </c>
      <c r="B224" s="1" t="n">
        <v>44169</v>
      </c>
      <c r="C224" s="1" t="n">
        <v>45879</v>
      </c>
      <c r="D224" t="inlineStr">
        <is>
          <t>VÄSTERBOTTENS LÄN</t>
        </is>
      </c>
      <c r="E224" t="inlineStr">
        <is>
          <t>VILHELMINA</t>
        </is>
      </c>
      <c r="G224" t="n">
        <v>24.6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45879</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45879</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45879</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45879</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44755.62866898148</v>
      </c>
      <c r="C229" s="1" t="n">
        <v>45879</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40842-2020</t>
        </is>
      </c>
      <c r="B230" s="1" t="n">
        <v>44069</v>
      </c>
      <c r="C230" s="1" t="n">
        <v>45879</v>
      </c>
      <c r="D230" t="inlineStr">
        <is>
          <t>VÄSTERBOTTENS LÄN</t>
        </is>
      </c>
      <c r="E230" t="inlineStr">
        <is>
          <t>VILHELMINA</t>
        </is>
      </c>
      <c r="G230" t="n">
        <v>20.4</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45879</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45879</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33603-2022</t>
        </is>
      </c>
      <c r="B233" s="1" t="n">
        <v>44789.49009259259</v>
      </c>
      <c r="C233" s="1" t="n">
        <v>45879</v>
      </c>
      <c r="D233" t="inlineStr">
        <is>
          <t>VÄSTERBOTTENS LÄN</t>
        </is>
      </c>
      <c r="E233" t="inlineStr">
        <is>
          <t>VILHELMINA</t>
        </is>
      </c>
      <c r="F233" t="inlineStr">
        <is>
          <t>Sveaskog</t>
        </is>
      </c>
      <c r="G233" t="n">
        <v>15.1</v>
      </c>
      <c r="H233" t="n">
        <v>0</v>
      </c>
      <c r="I233" t="n">
        <v>0</v>
      </c>
      <c r="J233" t="n">
        <v>0</v>
      </c>
      <c r="K233" t="n">
        <v>0</v>
      </c>
      <c r="L233" t="n">
        <v>0</v>
      </c>
      <c r="M233" t="n">
        <v>0</v>
      </c>
      <c r="N233" t="n">
        <v>0</v>
      </c>
      <c r="O233" t="n">
        <v>0</v>
      </c>
      <c r="P233" t="n">
        <v>0</v>
      </c>
      <c r="Q233" t="n">
        <v>0</v>
      </c>
      <c r="R233" s="2" t="inlineStr"/>
    </row>
    <row r="234" ht="15" customHeight="1">
      <c r="A234" t="inlineStr">
        <is>
          <t>A 27920-2022</t>
        </is>
      </c>
      <c r="B234" s="1" t="n">
        <v>44743</v>
      </c>
      <c r="C234" s="1" t="n">
        <v>45879</v>
      </c>
      <c r="D234" t="inlineStr">
        <is>
          <t>VÄSTERBOTTENS LÄN</t>
        </is>
      </c>
      <c r="E234" t="inlineStr">
        <is>
          <t>VILHELMINA</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45879</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45879</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45879</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45879</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45879</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59693-2024</t>
        </is>
      </c>
      <c r="B240" s="1" t="n">
        <v>45639</v>
      </c>
      <c r="C240" s="1" t="n">
        <v>45879</v>
      </c>
      <c r="D240" t="inlineStr">
        <is>
          <t>VÄSTERBOTTENS LÄN</t>
        </is>
      </c>
      <c r="E240" t="inlineStr">
        <is>
          <t>VILHELMINA</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20534-2025</t>
        </is>
      </c>
      <c r="B241" s="1" t="n">
        <v>45775.61550925926</v>
      </c>
      <c r="C241" s="1" t="n">
        <v>45879</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36972-2023</t>
        </is>
      </c>
      <c r="B242" s="1" t="n">
        <v>45154</v>
      </c>
      <c r="C242" s="1" t="n">
        <v>45879</v>
      </c>
      <c r="D242" t="inlineStr">
        <is>
          <t>VÄSTERBOTTENS LÄN</t>
        </is>
      </c>
      <c r="E242" t="inlineStr">
        <is>
          <t>VILHELMINA</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56823-2023</t>
        </is>
      </c>
      <c r="B243" s="1" t="n">
        <v>45238</v>
      </c>
      <c r="C243" s="1" t="n">
        <v>45879</v>
      </c>
      <c r="D243" t="inlineStr">
        <is>
          <t>VÄSTERBOTTENS LÄN</t>
        </is>
      </c>
      <c r="E243" t="inlineStr">
        <is>
          <t>VILHELMINA</t>
        </is>
      </c>
      <c r="F243" t="inlineStr">
        <is>
          <t>Allmännings- och besparingsskogar</t>
        </is>
      </c>
      <c r="G243" t="n">
        <v>82</v>
      </c>
      <c r="H243" t="n">
        <v>0</v>
      </c>
      <c r="I243" t="n">
        <v>0</v>
      </c>
      <c r="J243" t="n">
        <v>0</v>
      </c>
      <c r="K243" t="n">
        <v>0</v>
      </c>
      <c r="L243" t="n">
        <v>0</v>
      </c>
      <c r="M243" t="n">
        <v>0</v>
      </c>
      <c r="N243" t="n">
        <v>0</v>
      </c>
      <c r="O243" t="n">
        <v>0</v>
      </c>
      <c r="P243" t="n">
        <v>0</v>
      </c>
      <c r="Q243" t="n">
        <v>0</v>
      </c>
      <c r="R243" s="2" t="inlineStr"/>
    </row>
    <row r="244" ht="15" customHeight="1">
      <c r="A244" t="inlineStr">
        <is>
          <t>A 56891-2023</t>
        </is>
      </c>
      <c r="B244" s="1" t="n">
        <v>45239</v>
      </c>
      <c r="C244" s="1" t="n">
        <v>45879</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45879</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45879</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45879</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65146-2021</t>
        </is>
      </c>
      <c r="B248" s="1" t="n">
        <v>44515</v>
      </c>
      <c r="C248" s="1" t="n">
        <v>45879</v>
      </c>
      <c r="D248" t="inlineStr">
        <is>
          <t>VÄSTERBOTTENS LÄN</t>
        </is>
      </c>
      <c r="E248" t="inlineStr">
        <is>
          <t>VILHELMINA</t>
        </is>
      </c>
      <c r="G248" t="n">
        <v>7.4</v>
      </c>
      <c r="H248" t="n">
        <v>0</v>
      </c>
      <c r="I248" t="n">
        <v>0</v>
      </c>
      <c r="J248" t="n">
        <v>0</v>
      </c>
      <c r="K248" t="n">
        <v>0</v>
      </c>
      <c r="L248" t="n">
        <v>0</v>
      </c>
      <c r="M248" t="n">
        <v>0</v>
      </c>
      <c r="N248" t="n">
        <v>0</v>
      </c>
      <c r="O248" t="n">
        <v>0</v>
      </c>
      <c r="P248" t="n">
        <v>0</v>
      </c>
      <c r="Q248" t="n">
        <v>0</v>
      </c>
      <c r="R248" s="2" t="inlineStr"/>
    </row>
    <row r="249" ht="15" customHeight="1">
      <c r="A249" t="inlineStr">
        <is>
          <t>A 33661-2023</t>
        </is>
      </c>
      <c r="B249" s="1" t="n">
        <v>45119</v>
      </c>
      <c r="C249" s="1" t="n">
        <v>45879</v>
      </c>
      <c r="D249" t="inlineStr">
        <is>
          <t>VÄSTERBOTTENS LÄN</t>
        </is>
      </c>
      <c r="E249" t="inlineStr">
        <is>
          <t>VILHELMINA</t>
        </is>
      </c>
      <c r="G249" t="n">
        <v>1.8</v>
      </c>
      <c r="H249" t="n">
        <v>0</v>
      </c>
      <c r="I249" t="n">
        <v>0</v>
      </c>
      <c r="J249" t="n">
        <v>0</v>
      </c>
      <c r="K249" t="n">
        <v>0</v>
      </c>
      <c r="L249" t="n">
        <v>0</v>
      </c>
      <c r="M249" t="n">
        <v>0</v>
      </c>
      <c r="N249" t="n">
        <v>0</v>
      </c>
      <c r="O249" t="n">
        <v>0</v>
      </c>
      <c r="P249" t="n">
        <v>0</v>
      </c>
      <c r="Q249" t="n">
        <v>0</v>
      </c>
      <c r="R249" s="2" t="inlineStr"/>
    </row>
    <row r="250" ht="15" customHeight="1">
      <c r="A250" t="inlineStr">
        <is>
          <t>A 60842-2023</t>
        </is>
      </c>
      <c r="B250" s="1" t="n">
        <v>45260.9258912037</v>
      </c>
      <c r="C250" s="1" t="n">
        <v>45879</v>
      </c>
      <c r="D250" t="inlineStr">
        <is>
          <t>VÄSTERBOTTENS LÄN</t>
        </is>
      </c>
      <c r="E250" t="inlineStr">
        <is>
          <t>VILHELMINA</t>
        </is>
      </c>
      <c r="G250" t="n">
        <v>2.9</v>
      </c>
      <c r="H250" t="n">
        <v>0</v>
      </c>
      <c r="I250" t="n">
        <v>0</v>
      </c>
      <c r="J250" t="n">
        <v>0</v>
      </c>
      <c r="K250" t="n">
        <v>0</v>
      </c>
      <c r="L250" t="n">
        <v>0</v>
      </c>
      <c r="M250" t="n">
        <v>0</v>
      </c>
      <c r="N250" t="n">
        <v>0</v>
      </c>
      <c r="O250" t="n">
        <v>0</v>
      </c>
      <c r="P250" t="n">
        <v>0</v>
      </c>
      <c r="Q250" t="n">
        <v>0</v>
      </c>
      <c r="R250" s="2" t="inlineStr"/>
    </row>
    <row r="251" ht="15" customHeight="1">
      <c r="A251" t="inlineStr">
        <is>
          <t>A 44371-2023</t>
        </is>
      </c>
      <c r="B251" s="1" t="n">
        <v>45188</v>
      </c>
      <c r="C251" s="1" t="n">
        <v>45879</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41267-2020</t>
        </is>
      </c>
      <c r="B252" s="1" t="n">
        <v>44071</v>
      </c>
      <c r="C252" s="1" t="n">
        <v>45879</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13200-2025</t>
        </is>
      </c>
      <c r="B253" s="1" t="n">
        <v>45735</v>
      </c>
      <c r="C253" s="1" t="n">
        <v>45879</v>
      </c>
      <c r="D253" t="inlineStr">
        <is>
          <t>VÄSTERBOTTENS LÄN</t>
        </is>
      </c>
      <c r="E253" t="inlineStr">
        <is>
          <t>VILHELMINA</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33349-2023</t>
        </is>
      </c>
      <c r="B254" s="1" t="n">
        <v>45117</v>
      </c>
      <c r="C254" s="1" t="n">
        <v>45879</v>
      </c>
      <c r="D254" t="inlineStr">
        <is>
          <t>VÄSTERBOTTENS LÄN</t>
        </is>
      </c>
      <c r="E254" t="inlineStr">
        <is>
          <t>VILHELMINA</t>
        </is>
      </c>
      <c r="G254" t="n">
        <v>1.3</v>
      </c>
      <c r="H254" t="n">
        <v>0</v>
      </c>
      <c r="I254" t="n">
        <v>0</v>
      </c>
      <c r="J254" t="n">
        <v>0</v>
      </c>
      <c r="K254" t="n">
        <v>0</v>
      </c>
      <c r="L254" t="n">
        <v>0</v>
      </c>
      <c r="M254" t="n">
        <v>0</v>
      </c>
      <c r="N254" t="n">
        <v>0</v>
      </c>
      <c r="O254" t="n">
        <v>0</v>
      </c>
      <c r="P254" t="n">
        <v>0</v>
      </c>
      <c r="Q254" t="n">
        <v>0</v>
      </c>
      <c r="R254" s="2" t="inlineStr"/>
    </row>
    <row r="255" ht="15" customHeight="1">
      <c r="A255" t="inlineStr">
        <is>
          <t>A 47287-2022</t>
        </is>
      </c>
      <c r="B255" s="1" t="n">
        <v>44852.95145833334</v>
      </c>
      <c r="C255" s="1" t="n">
        <v>45879</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47288-2022</t>
        </is>
      </c>
      <c r="B256" s="1" t="n">
        <v>44852</v>
      </c>
      <c r="C256" s="1" t="n">
        <v>45879</v>
      </c>
      <c r="D256" t="inlineStr">
        <is>
          <t>VÄSTERBOTTENS LÄN</t>
        </is>
      </c>
      <c r="E256" t="inlineStr">
        <is>
          <t>VILHELMINA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41330-2022</t>
        </is>
      </c>
      <c r="B257" s="1" t="n">
        <v>44826</v>
      </c>
      <c r="C257" s="1" t="n">
        <v>45879</v>
      </c>
      <c r="D257" t="inlineStr">
        <is>
          <t>VÄSTERBOTTENS LÄN</t>
        </is>
      </c>
      <c r="E257" t="inlineStr">
        <is>
          <t>VILHELMINA</t>
        </is>
      </c>
      <c r="G257" t="n">
        <v>3.4</v>
      </c>
      <c r="H257" t="n">
        <v>0</v>
      </c>
      <c r="I257" t="n">
        <v>0</v>
      </c>
      <c r="J257" t="n">
        <v>0</v>
      </c>
      <c r="K257" t="n">
        <v>0</v>
      </c>
      <c r="L257" t="n">
        <v>0</v>
      </c>
      <c r="M257" t="n">
        <v>0</v>
      </c>
      <c r="N257" t="n">
        <v>0</v>
      </c>
      <c r="O257" t="n">
        <v>0</v>
      </c>
      <c r="P257" t="n">
        <v>0</v>
      </c>
      <c r="Q257" t="n">
        <v>0</v>
      </c>
      <c r="R257" s="2" t="inlineStr"/>
    </row>
    <row r="258" ht="15" customHeight="1">
      <c r="A258" t="inlineStr">
        <is>
          <t>A 12374-2025</t>
        </is>
      </c>
      <c r="B258" s="1" t="n">
        <v>45730</v>
      </c>
      <c r="C258" s="1" t="n">
        <v>45879</v>
      </c>
      <c r="D258" t="inlineStr">
        <is>
          <t>VÄSTERBOTTENS LÄN</t>
        </is>
      </c>
      <c r="E258" t="inlineStr">
        <is>
          <t>VILHELMINA</t>
        </is>
      </c>
      <c r="F258" t="inlineStr">
        <is>
          <t>Övriga statliga verk och myndigheter</t>
        </is>
      </c>
      <c r="G258" t="n">
        <v>18.7</v>
      </c>
      <c r="H258" t="n">
        <v>0</v>
      </c>
      <c r="I258" t="n">
        <v>0</v>
      </c>
      <c r="J258" t="n">
        <v>0</v>
      </c>
      <c r="K258" t="n">
        <v>0</v>
      </c>
      <c r="L258" t="n">
        <v>0</v>
      </c>
      <c r="M258" t="n">
        <v>0</v>
      </c>
      <c r="N258" t="n">
        <v>0</v>
      </c>
      <c r="O258" t="n">
        <v>0</v>
      </c>
      <c r="P258" t="n">
        <v>0</v>
      </c>
      <c r="Q258" t="n">
        <v>0</v>
      </c>
      <c r="R258" s="2" t="inlineStr"/>
    </row>
    <row r="259" ht="15" customHeight="1">
      <c r="A259" t="inlineStr">
        <is>
          <t>A 12375-2025</t>
        </is>
      </c>
      <c r="B259" s="1" t="n">
        <v>45730</v>
      </c>
      <c r="C259" s="1" t="n">
        <v>45879</v>
      </c>
      <c r="D259" t="inlineStr">
        <is>
          <t>VÄSTERBOTTENS LÄN</t>
        </is>
      </c>
      <c r="E259" t="inlineStr">
        <is>
          <t>VILHELMINA</t>
        </is>
      </c>
      <c r="F259" t="inlineStr">
        <is>
          <t>Övriga statliga verk och myndigheter</t>
        </is>
      </c>
      <c r="G259" t="n">
        <v>22.3</v>
      </c>
      <c r="H259" t="n">
        <v>0</v>
      </c>
      <c r="I259" t="n">
        <v>0</v>
      </c>
      <c r="J259" t="n">
        <v>0</v>
      </c>
      <c r="K259" t="n">
        <v>0</v>
      </c>
      <c r="L259" t="n">
        <v>0</v>
      </c>
      <c r="M259" t="n">
        <v>0</v>
      </c>
      <c r="N259" t="n">
        <v>0</v>
      </c>
      <c r="O259" t="n">
        <v>0</v>
      </c>
      <c r="P259" t="n">
        <v>0</v>
      </c>
      <c r="Q259" t="n">
        <v>0</v>
      </c>
      <c r="R259" s="2" t="inlineStr"/>
    </row>
    <row r="260" ht="15" customHeight="1">
      <c r="A260" t="inlineStr">
        <is>
          <t>A 9497-2025</t>
        </is>
      </c>
      <c r="B260" s="1" t="n">
        <v>45715.51086805556</v>
      </c>
      <c r="C260" s="1" t="n">
        <v>45879</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58450-2024</t>
        </is>
      </c>
      <c r="B261" s="1" t="n">
        <v>45635.34425925926</v>
      </c>
      <c r="C261" s="1" t="n">
        <v>45879</v>
      </c>
      <c r="D261" t="inlineStr">
        <is>
          <t>VÄSTERBOTTENS LÄN</t>
        </is>
      </c>
      <c r="E261" t="inlineStr">
        <is>
          <t>VILHELMINA</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48471-2023</t>
        </is>
      </c>
      <c r="B262" s="1" t="n">
        <v>45206.9575462963</v>
      </c>
      <c r="C262" s="1" t="n">
        <v>45879</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45879</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19909-2025</t>
        </is>
      </c>
      <c r="B264" s="1" t="n">
        <v>45771.60482638889</v>
      </c>
      <c r="C264" s="1" t="n">
        <v>45879</v>
      </c>
      <c r="D264" t="inlineStr">
        <is>
          <t>VÄSTERBOTTENS LÄN</t>
        </is>
      </c>
      <c r="E264" t="inlineStr">
        <is>
          <t>VILHELMINA</t>
        </is>
      </c>
      <c r="G264" t="n">
        <v>12.4</v>
      </c>
      <c r="H264" t="n">
        <v>0</v>
      </c>
      <c r="I264" t="n">
        <v>0</v>
      </c>
      <c r="J264" t="n">
        <v>0</v>
      </c>
      <c r="K264" t="n">
        <v>0</v>
      </c>
      <c r="L264" t="n">
        <v>0</v>
      </c>
      <c r="M264" t="n">
        <v>0</v>
      </c>
      <c r="N264" t="n">
        <v>0</v>
      </c>
      <c r="O264" t="n">
        <v>0</v>
      </c>
      <c r="P264" t="n">
        <v>0</v>
      </c>
      <c r="Q264" t="n">
        <v>0</v>
      </c>
      <c r="R264" s="2" t="inlineStr"/>
    </row>
    <row r="265" ht="15" customHeight="1">
      <c r="A265" t="inlineStr">
        <is>
          <t>A 34763-2024</t>
        </is>
      </c>
      <c r="B265" s="1" t="n">
        <v>45526.61646990741</v>
      </c>
      <c r="C265" s="1" t="n">
        <v>45879</v>
      </c>
      <c r="D265" t="inlineStr">
        <is>
          <t>VÄSTERBOTTENS LÄN</t>
        </is>
      </c>
      <c r="E265" t="inlineStr">
        <is>
          <t>VILHELMINA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34764-2024</t>
        </is>
      </c>
      <c r="B266" s="1" t="n">
        <v>45526.61664351852</v>
      </c>
      <c r="C266" s="1" t="n">
        <v>45879</v>
      </c>
      <c r="D266" t="inlineStr">
        <is>
          <t>VÄSTERBOTTENS LÄN</t>
        </is>
      </c>
      <c r="E266" t="inlineStr">
        <is>
          <t>VILHELMINA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45965-2023</t>
        </is>
      </c>
      <c r="B267" s="1" t="n">
        <v>45195.94755787037</v>
      </c>
      <c r="C267" s="1" t="n">
        <v>45879</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8003-2021</t>
        </is>
      </c>
      <c r="B268" s="1" t="n">
        <v>44243</v>
      </c>
      <c r="C268" s="1" t="n">
        <v>45879</v>
      </c>
      <c r="D268" t="inlineStr">
        <is>
          <t>VÄSTERBOTTENS LÄN</t>
        </is>
      </c>
      <c r="E268" t="inlineStr">
        <is>
          <t>VILHELMINA</t>
        </is>
      </c>
      <c r="G268" t="n">
        <v>5.1</v>
      </c>
      <c r="H268" t="n">
        <v>0</v>
      </c>
      <c r="I268" t="n">
        <v>0</v>
      </c>
      <c r="J268" t="n">
        <v>0</v>
      </c>
      <c r="K268" t="n">
        <v>0</v>
      </c>
      <c r="L268" t="n">
        <v>0</v>
      </c>
      <c r="M268" t="n">
        <v>0</v>
      </c>
      <c r="N268" t="n">
        <v>0</v>
      </c>
      <c r="O268" t="n">
        <v>0</v>
      </c>
      <c r="P268" t="n">
        <v>0</v>
      </c>
      <c r="Q268" t="n">
        <v>0</v>
      </c>
      <c r="R268" s="2" t="inlineStr"/>
    </row>
    <row r="269" ht="15" customHeight="1">
      <c r="A269" t="inlineStr">
        <is>
          <t>A 55688-2023</t>
        </is>
      </c>
      <c r="B269" s="1" t="n">
        <v>45232</v>
      </c>
      <c r="C269" s="1" t="n">
        <v>45879</v>
      </c>
      <c r="D269" t="inlineStr">
        <is>
          <t>VÄSTERBOTTENS LÄN</t>
        </is>
      </c>
      <c r="E269" t="inlineStr">
        <is>
          <t>VILHELMINA</t>
        </is>
      </c>
      <c r="G269" t="n">
        <v>6.4</v>
      </c>
      <c r="H269" t="n">
        <v>0</v>
      </c>
      <c r="I269" t="n">
        <v>0</v>
      </c>
      <c r="J269" t="n">
        <v>0</v>
      </c>
      <c r="K269" t="n">
        <v>0</v>
      </c>
      <c r="L269" t="n">
        <v>0</v>
      </c>
      <c r="M269" t="n">
        <v>0</v>
      </c>
      <c r="N269" t="n">
        <v>0</v>
      </c>
      <c r="O269" t="n">
        <v>0</v>
      </c>
      <c r="P269" t="n">
        <v>0</v>
      </c>
      <c r="Q269" t="n">
        <v>0</v>
      </c>
      <c r="R269" s="2" t="inlineStr"/>
    </row>
    <row r="270" ht="15" customHeight="1">
      <c r="A270" t="inlineStr">
        <is>
          <t>A 10418-2023</t>
        </is>
      </c>
      <c r="B270" s="1" t="n">
        <v>44987</v>
      </c>
      <c r="C270" s="1" t="n">
        <v>45879</v>
      </c>
      <c r="D270" t="inlineStr">
        <is>
          <t>VÄSTERBOTTENS LÄN</t>
        </is>
      </c>
      <c r="E270" t="inlineStr">
        <is>
          <t>VILHELMINA</t>
        </is>
      </c>
      <c r="G270" t="n">
        <v>3.2</v>
      </c>
      <c r="H270" t="n">
        <v>0</v>
      </c>
      <c r="I270" t="n">
        <v>0</v>
      </c>
      <c r="J270" t="n">
        <v>0</v>
      </c>
      <c r="K270" t="n">
        <v>0</v>
      </c>
      <c r="L270" t="n">
        <v>0</v>
      </c>
      <c r="M270" t="n">
        <v>0</v>
      </c>
      <c r="N270" t="n">
        <v>0</v>
      </c>
      <c r="O270" t="n">
        <v>0</v>
      </c>
      <c r="P270" t="n">
        <v>0</v>
      </c>
      <c r="Q270" t="n">
        <v>0</v>
      </c>
      <c r="R270" s="2" t="inlineStr"/>
    </row>
    <row r="271" ht="15" customHeight="1">
      <c r="A271" t="inlineStr">
        <is>
          <t>A 31896-2024</t>
        </is>
      </c>
      <c r="B271" s="1" t="n">
        <v>45509</v>
      </c>
      <c r="C271" s="1" t="n">
        <v>45879</v>
      </c>
      <c r="D271" t="inlineStr">
        <is>
          <t>VÄSTERBOTTENS LÄN</t>
        </is>
      </c>
      <c r="E271" t="inlineStr">
        <is>
          <t>VILHELMINA</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34087-2023</t>
        </is>
      </c>
      <c r="B272" s="1" t="n">
        <v>45125</v>
      </c>
      <c r="C272" s="1" t="n">
        <v>45879</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39914-2023</t>
        </is>
      </c>
      <c r="B273" s="1" t="n">
        <v>45166</v>
      </c>
      <c r="C273" s="1" t="n">
        <v>45879</v>
      </c>
      <c r="D273" t="inlineStr">
        <is>
          <t>VÄSTERBOTTENS LÄN</t>
        </is>
      </c>
      <c r="E273" t="inlineStr">
        <is>
          <t>VILHELMINA</t>
        </is>
      </c>
      <c r="G273" t="n">
        <v>27.5</v>
      </c>
      <c r="H273" t="n">
        <v>0</v>
      </c>
      <c r="I273" t="n">
        <v>0</v>
      </c>
      <c r="J273" t="n">
        <v>0</v>
      </c>
      <c r="K273" t="n">
        <v>0</v>
      </c>
      <c r="L273" t="n">
        <v>0</v>
      </c>
      <c r="M273" t="n">
        <v>0</v>
      </c>
      <c r="N273" t="n">
        <v>0</v>
      </c>
      <c r="O273" t="n">
        <v>0</v>
      </c>
      <c r="P273" t="n">
        <v>0</v>
      </c>
      <c r="Q273" t="n">
        <v>0</v>
      </c>
      <c r="R273" s="2" t="inlineStr"/>
    </row>
    <row r="274" ht="15" customHeight="1">
      <c r="A274" t="inlineStr">
        <is>
          <t>A 10268-2025</t>
        </is>
      </c>
      <c r="B274" s="1" t="n">
        <v>45720</v>
      </c>
      <c r="C274" s="1" t="n">
        <v>45879</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61270-2022</t>
        </is>
      </c>
      <c r="B275" s="1" t="n">
        <v>44909</v>
      </c>
      <c r="C275" s="1" t="n">
        <v>45879</v>
      </c>
      <c r="D275" t="inlineStr">
        <is>
          <t>VÄSTERBOTTENS LÄN</t>
        </is>
      </c>
      <c r="E275" t="inlineStr">
        <is>
          <t>VILHELMINA</t>
        </is>
      </c>
      <c r="G275" t="n">
        <v>8.9</v>
      </c>
      <c r="H275" t="n">
        <v>0</v>
      </c>
      <c r="I275" t="n">
        <v>0</v>
      </c>
      <c r="J275" t="n">
        <v>0</v>
      </c>
      <c r="K275" t="n">
        <v>0</v>
      </c>
      <c r="L275" t="n">
        <v>0</v>
      </c>
      <c r="M275" t="n">
        <v>0</v>
      </c>
      <c r="N275" t="n">
        <v>0</v>
      </c>
      <c r="O275" t="n">
        <v>0</v>
      </c>
      <c r="P275" t="n">
        <v>0</v>
      </c>
      <c r="Q275" t="n">
        <v>0</v>
      </c>
      <c r="R275" s="2" t="inlineStr"/>
    </row>
    <row r="276" ht="15" customHeight="1">
      <c r="A276" t="inlineStr">
        <is>
          <t>A 19464-2025</t>
        </is>
      </c>
      <c r="B276" s="1" t="n">
        <v>45770</v>
      </c>
      <c r="C276" s="1" t="n">
        <v>45879</v>
      </c>
      <c r="D276" t="inlineStr">
        <is>
          <t>VÄSTERBOTTENS LÄN</t>
        </is>
      </c>
      <c r="E276" t="inlineStr">
        <is>
          <t>VILHELMINA</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49236-2024</t>
        </is>
      </c>
      <c r="B277" s="1" t="n">
        <v>45595</v>
      </c>
      <c r="C277" s="1" t="n">
        <v>45879</v>
      </c>
      <c r="D277" t="inlineStr">
        <is>
          <t>VÄSTERBOTTENS LÄN</t>
        </is>
      </c>
      <c r="E277" t="inlineStr">
        <is>
          <t>VILHELMINA</t>
        </is>
      </c>
      <c r="G277" t="n">
        <v>4.1</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45879</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60227-2022</t>
        </is>
      </c>
      <c r="B279" s="1" t="n">
        <v>44903</v>
      </c>
      <c r="C279" s="1" t="n">
        <v>45879</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10956-2023</t>
        </is>
      </c>
      <c r="B280" s="1" t="n">
        <v>44985</v>
      </c>
      <c r="C280" s="1" t="n">
        <v>45879</v>
      </c>
      <c r="D280" t="inlineStr">
        <is>
          <t>VÄSTERBOTTENS LÄN</t>
        </is>
      </c>
      <c r="E280" t="inlineStr">
        <is>
          <t>VILHELMINA</t>
        </is>
      </c>
      <c r="G280" t="n">
        <v>3.3</v>
      </c>
      <c r="H280" t="n">
        <v>0</v>
      </c>
      <c r="I280" t="n">
        <v>0</v>
      </c>
      <c r="J280" t="n">
        <v>0</v>
      </c>
      <c r="K280" t="n">
        <v>0</v>
      </c>
      <c r="L280" t="n">
        <v>0</v>
      </c>
      <c r="M280" t="n">
        <v>0</v>
      </c>
      <c r="N280" t="n">
        <v>0</v>
      </c>
      <c r="O280" t="n">
        <v>0</v>
      </c>
      <c r="P280" t="n">
        <v>0</v>
      </c>
      <c r="Q280" t="n">
        <v>0</v>
      </c>
      <c r="R280" s="2" t="inlineStr"/>
    </row>
    <row r="281" ht="15" customHeight="1">
      <c r="A281" t="inlineStr">
        <is>
          <t>A 19223-2025</t>
        </is>
      </c>
      <c r="B281" s="1" t="n">
        <v>45769</v>
      </c>
      <c r="C281" s="1" t="n">
        <v>45879</v>
      </c>
      <c r="D281" t="inlineStr">
        <is>
          <t>VÄSTERBOTTENS LÄN</t>
        </is>
      </c>
      <c r="E281" t="inlineStr">
        <is>
          <t>VILHELMINA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54727-2022</t>
        </is>
      </c>
      <c r="B282" s="1" t="n">
        <v>44881</v>
      </c>
      <c r="C282" s="1" t="n">
        <v>45879</v>
      </c>
      <c r="D282" t="inlineStr">
        <is>
          <t>VÄSTERBOTTENS LÄN</t>
        </is>
      </c>
      <c r="E282" t="inlineStr">
        <is>
          <t>VILHELMINA</t>
        </is>
      </c>
      <c r="G282" t="n">
        <v>4.3</v>
      </c>
      <c r="H282" t="n">
        <v>0</v>
      </c>
      <c r="I282" t="n">
        <v>0</v>
      </c>
      <c r="J282" t="n">
        <v>0</v>
      </c>
      <c r="K282" t="n">
        <v>0</v>
      </c>
      <c r="L282" t="n">
        <v>0</v>
      </c>
      <c r="M282" t="n">
        <v>0</v>
      </c>
      <c r="N282" t="n">
        <v>0</v>
      </c>
      <c r="O282" t="n">
        <v>0</v>
      </c>
      <c r="P282" t="n">
        <v>0</v>
      </c>
      <c r="Q282" t="n">
        <v>0</v>
      </c>
      <c r="R282" s="2" t="inlineStr"/>
    </row>
    <row r="283" ht="15" customHeight="1">
      <c r="A283" t="inlineStr">
        <is>
          <t>A 475-2024</t>
        </is>
      </c>
      <c r="B283" s="1" t="n">
        <v>45297.83246527778</v>
      </c>
      <c r="C283" s="1" t="n">
        <v>45879</v>
      </c>
      <c r="D283" t="inlineStr">
        <is>
          <t>VÄSTERBOTTENS LÄN</t>
        </is>
      </c>
      <c r="E283" t="inlineStr">
        <is>
          <t>VILHELMINA</t>
        </is>
      </c>
      <c r="G283" t="n">
        <v>6.1</v>
      </c>
      <c r="H283" t="n">
        <v>0</v>
      </c>
      <c r="I283" t="n">
        <v>0</v>
      </c>
      <c r="J283" t="n">
        <v>0</v>
      </c>
      <c r="K283" t="n">
        <v>0</v>
      </c>
      <c r="L283" t="n">
        <v>0</v>
      </c>
      <c r="M283" t="n">
        <v>0</v>
      </c>
      <c r="N283" t="n">
        <v>0</v>
      </c>
      <c r="O283" t="n">
        <v>0</v>
      </c>
      <c r="P283" t="n">
        <v>0</v>
      </c>
      <c r="Q283" t="n">
        <v>0</v>
      </c>
      <c r="R283" s="2" t="inlineStr"/>
    </row>
    <row r="284" ht="15" customHeight="1">
      <c r="A284" t="inlineStr">
        <is>
          <t>A 61801-2024</t>
        </is>
      </c>
      <c r="B284" s="1" t="n">
        <v>45649.56392361111</v>
      </c>
      <c r="C284" s="1" t="n">
        <v>45879</v>
      </c>
      <c r="D284" t="inlineStr">
        <is>
          <t>VÄSTERBOTTENS LÄN</t>
        </is>
      </c>
      <c r="E284" t="inlineStr">
        <is>
          <t>VILHELMINA</t>
        </is>
      </c>
      <c r="G284" t="n">
        <v>2.5</v>
      </c>
      <c r="H284" t="n">
        <v>0</v>
      </c>
      <c r="I284" t="n">
        <v>0</v>
      </c>
      <c r="J284" t="n">
        <v>0</v>
      </c>
      <c r="K284" t="n">
        <v>0</v>
      </c>
      <c r="L284" t="n">
        <v>0</v>
      </c>
      <c r="M284" t="n">
        <v>0</v>
      </c>
      <c r="N284" t="n">
        <v>0</v>
      </c>
      <c r="O284" t="n">
        <v>0</v>
      </c>
      <c r="P284" t="n">
        <v>0</v>
      </c>
      <c r="Q284" t="n">
        <v>0</v>
      </c>
      <c r="R284" s="2" t="inlineStr"/>
    </row>
    <row r="285" ht="15" customHeight="1">
      <c r="A285" t="inlineStr">
        <is>
          <t>A 61780-2023</t>
        </is>
      </c>
      <c r="B285" s="1" t="n">
        <v>45265.95685185185</v>
      </c>
      <c r="C285" s="1" t="n">
        <v>45879</v>
      </c>
      <c r="D285" t="inlineStr">
        <is>
          <t>VÄSTERBOTTENS LÄN</t>
        </is>
      </c>
      <c r="E285" t="inlineStr">
        <is>
          <t>VILHELMINA</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12190-2024</t>
        </is>
      </c>
      <c r="B286" s="1" t="n">
        <v>45377.94954861111</v>
      </c>
      <c r="C286" s="1" t="n">
        <v>45879</v>
      </c>
      <c r="D286" t="inlineStr">
        <is>
          <t>VÄSTERBOTTENS LÄN</t>
        </is>
      </c>
      <c r="E286" t="inlineStr">
        <is>
          <t>VILHELMINA</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22440-2025</t>
        </is>
      </c>
      <c r="B287" s="1" t="n">
        <v>45786</v>
      </c>
      <c r="C287" s="1" t="n">
        <v>45879</v>
      </c>
      <c r="D287" t="inlineStr">
        <is>
          <t>VÄSTERBOTTENS LÄN</t>
        </is>
      </c>
      <c r="E287" t="inlineStr">
        <is>
          <t>VILHELMINA</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11139-2022</t>
        </is>
      </c>
      <c r="B288" s="1" t="n">
        <v>44628</v>
      </c>
      <c r="C288" s="1" t="n">
        <v>45879</v>
      </c>
      <c r="D288" t="inlineStr">
        <is>
          <t>VÄSTERBOTTENS LÄN</t>
        </is>
      </c>
      <c r="E288" t="inlineStr">
        <is>
          <t>VILHELMINA</t>
        </is>
      </c>
      <c r="G288" t="n">
        <v>13.6</v>
      </c>
      <c r="H288" t="n">
        <v>0</v>
      </c>
      <c r="I288" t="n">
        <v>0</v>
      </c>
      <c r="J288" t="n">
        <v>0</v>
      </c>
      <c r="K288" t="n">
        <v>0</v>
      </c>
      <c r="L288" t="n">
        <v>0</v>
      </c>
      <c r="M288" t="n">
        <v>0</v>
      </c>
      <c r="N288" t="n">
        <v>0</v>
      </c>
      <c r="O288" t="n">
        <v>0</v>
      </c>
      <c r="P288" t="n">
        <v>0</v>
      </c>
      <c r="Q288" t="n">
        <v>0</v>
      </c>
      <c r="R288" s="2" t="inlineStr"/>
    </row>
    <row r="289" ht="15" customHeight="1">
      <c r="A289" t="inlineStr">
        <is>
          <t>A 15617-2024</t>
        </is>
      </c>
      <c r="B289" s="1" t="n">
        <v>45401.94358796296</v>
      </c>
      <c r="C289" s="1" t="n">
        <v>45879</v>
      </c>
      <c r="D289" t="inlineStr">
        <is>
          <t>VÄSTERBOTTENS LÄN</t>
        </is>
      </c>
      <c r="E289" t="inlineStr">
        <is>
          <t>VILHELMINA</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17432-2025</t>
        </is>
      </c>
      <c r="B290" s="1" t="n">
        <v>45757</v>
      </c>
      <c r="C290" s="1" t="n">
        <v>45879</v>
      </c>
      <c r="D290" t="inlineStr">
        <is>
          <t>VÄSTERBOTTENS LÄN</t>
        </is>
      </c>
      <c r="E290" t="inlineStr">
        <is>
          <t>VILHELMINA</t>
        </is>
      </c>
      <c r="G290" t="n">
        <v>4.6</v>
      </c>
      <c r="H290" t="n">
        <v>0</v>
      </c>
      <c r="I290" t="n">
        <v>0</v>
      </c>
      <c r="J290" t="n">
        <v>0</v>
      </c>
      <c r="K290" t="n">
        <v>0</v>
      </c>
      <c r="L290" t="n">
        <v>0</v>
      </c>
      <c r="M290" t="n">
        <v>0</v>
      </c>
      <c r="N290" t="n">
        <v>0</v>
      </c>
      <c r="O290" t="n">
        <v>0</v>
      </c>
      <c r="P290" t="n">
        <v>0</v>
      </c>
      <c r="Q290" t="n">
        <v>0</v>
      </c>
      <c r="R290" s="2" t="inlineStr"/>
    </row>
    <row r="291" ht="15" customHeight="1">
      <c r="A291" t="inlineStr">
        <is>
          <t>A 40468-2021</t>
        </is>
      </c>
      <c r="B291" s="1" t="n">
        <v>44419.94174768519</v>
      </c>
      <c r="C291" s="1" t="n">
        <v>45879</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58179-2024</t>
        </is>
      </c>
      <c r="B292" s="1" t="n">
        <v>45632.4690162037</v>
      </c>
      <c r="C292" s="1" t="n">
        <v>45879</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367-2024</t>
        </is>
      </c>
      <c r="B293" s="1" t="n">
        <v>45295</v>
      </c>
      <c r="C293" s="1" t="n">
        <v>45879</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16720-2025</t>
        </is>
      </c>
      <c r="B294" s="1" t="n">
        <v>45754.49039351852</v>
      </c>
      <c r="C294" s="1" t="n">
        <v>45879</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12765-2025</t>
        </is>
      </c>
      <c r="B295" s="1" t="n">
        <v>45733</v>
      </c>
      <c r="C295" s="1" t="n">
        <v>45879</v>
      </c>
      <c r="D295" t="inlineStr">
        <is>
          <t>VÄSTERBOTTENS LÄN</t>
        </is>
      </c>
      <c r="E295" t="inlineStr">
        <is>
          <t>VILHELMINA</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45879</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45879</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45879</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20769-2024</t>
        </is>
      </c>
      <c r="B299" s="1" t="n">
        <v>45436.94604166667</v>
      </c>
      <c r="C299" s="1" t="n">
        <v>45879</v>
      </c>
      <c r="D299" t="inlineStr">
        <is>
          <t>VÄSTERBOTTENS LÄN</t>
        </is>
      </c>
      <c r="E299" t="inlineStr">
        <is>
          <t>VILHELMINA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49599-2022</t>
        </is>
      </c>
      <c r="B300" s="1" t="n">
        <v>44859</v>
      </c>
      <c r="C300" s="1" t="n">
        <v>45879</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45879</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33828-2024</t>
        </is>
      </c>
      <c r="B302" s="1" t="n">
        <v>45520.61695601852</v>
      </c>
      <c r="C302" s="1" t="n">
        <v>45879</v>
      </c>
      <c r="D302" t="inlineStr">
        <is>
          <t>VÄSTERBOTTENS LÄN</t>
        </is>
      </c>
      <c r="E302" t="inlineStr">
        <is>
          <t>VILHELMINA</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402-2023</t>
        </is>
      </c>
      <c r="B303" s="1" t="n">
        <v>44923</v>
      </c>
      <c r="C303" s="1" t="n">
        <v>45879</v>
      </c>
      <c r="D303" t="inlineStr">
        <is>
          <t>VÄSTERBOTTENS LÄN</t>
        </is>
      </c>
      <c r="E303" t="inlineStr">
        <is>
          <t>VILHELMINA</t>
        </is>
      </c>
      <c r="G303" t="n">
        <v>14.7</v>
      </c>
      <c r="H303" t="n">
        <v>0</v>
      </c>
      <c r="I303" t="n">
        <v>0</v>
      </c>
      <c r="J303" t="n">
        <v>0</v>
      </c>
      <c r="K303" t="n">
        <v>0</v>
      </c>
      <c r="L303" t="n">
        <v>0</v>
      </c>
      <c r="M303" t="n">
        <v>0</v>
      </c>
      <c r="N303" t="n">
        <v>0</v>
      </c>
      <c r="O303" t="n">
        <v>0</v>
      </c>
      <c r="P303" t="n">
        <v>0</v>
      </c>
      <c r="Q303" t="n">
        <v>0</v>
      </c>
      <c r="R303" s="2" t="inlineStr"/>
    </row>
    <row r="304" ht="15" customHeight="1">
      <c r="A304" t="inlineStr">
        <is>
          <t>A 15050-2024</t>
        </is>
      </c>
      <c r="B304" s="1" t="n">
        <v>45399</v>
      </c>
      <c r="C304" s="1" t="n">
        <v>45879</v>
      </c>
      <c r="D304" t="inlineStr">
        <is>
          <t>VÄSTERBOTTENS LÄN</t>
        </is>
      </c>
      <c r="E304" t="inlineStr">
        <is>
          <t>VILHELMINA</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15059-2024</t>
        </is>
      </c>
      <c r="B305" s="1" t="n">
        <v>45399</v>
      </c>
      <c r="C305" s="1" t="n">
        <v>45879</v>
      </c>
      <c r="D305" t="inlineStr">
        <is>
          <t>VÄSTERBOTTENS LÄN</t>
        </is>
      </c>
      <c r="E305" t="inlineStr">
        <is>
          <t>VILHELMINA</t>
        </is>
      </c>
      <c r="G305" t="n">
        <v>0.8</v>
      </c>
      <c r="H305" t="n">
        <v>0</v>
      </c>
      <c r="I305" t="n">
        <v>0</v>
      </c>
      <c r="J305" t="n">
        <v>0</v>
      </c>
      <c r="K305" t="n">
        <v>0</v>
      </c>
      <c r="L305" t="n">
        <v>0</v>
      </c>
      <c r="M305" t="n">
        <v>0</v>
      </c>
      <c r="N305" t="n">
        <v>0</v>
      </c>
      <c r="O305" t="n">
        <v>0</v>
      </c>
      <c r="P305" t="n">
        <v>0</v>
      </c>
      <c r="Q305" t="n">
        <v>0</v>
      </c>
      <c r="R305" s="2" t="inlineStr"/>
    </row>
    <row r="306" ht="15" customHeight="1">
      <c r="A306" t="inlineStr">
        <is>
          <t>A 13557-2024</t>
        </is>
      </c>
      <c r="B306" s="1" t="n">
        <v>45388</v>
      </c>
      <c r="C306" s="1" t="n">
        <v>45879</v>
      </c>
      <c r="D306" t="inlineStr">
        <is>
          <t>VÄSTERBOTTENS LÄN</t>
        </is>
      </c>
      <c r="E306" t="inlineStr">
        <is>
          <t>VILHELMINA</t>
        </is>
      </c>
      <c r="G306" t="n">
        <v>11.2</v>
      </c>
      <c r="H306" t="n">
        <v>0</v>
      </c>
      <c r="I306" t="n">
        <v>0</v>
      </c>
      <c r="J306" t="n">
        <v>0</v>
      </c>
      <c r="K306" t="n">
        <v>0</v>
      </c>
      <c r="L306" t="n">
        <v>0</v>
      </c>
      <c r="M306" t="n">
        <v>0</v>
      </c>
      <c r="N306" t="n">
        <v>0</v>
      </c>
      <c r="O306" t="n">
        <v>0</v>
      </c>
      <c r="P306" t="n">
        <v>0</v>
      </c>
      <c r="Q306" t="n">
        <v>0</v>
      </c>
      <c r="R306" s="2" t="inlineStr"/>
    </row>
    <row r="307" ht="15" customHeight="1">
      <c r="A307" t="inlineStr">
        <is>
          <t>A 6638-2025</t>
        </is>
      </c>
      <c r="B307" s="1" t="n">
        <v>45700</v>
      </c>
      <c r="C307" s="1" t="n">
        <v>45879</v>
      </c>
      <c r="D307" t="inlineStr">
        <is>
          <t>VÄSTERBOTTENS LÄN</t>
        </is>
      </c>
      <c r="E307" t="inlineStr">
        <is>
          <t>VILHELMINA</t>
        </is>
      </c>
      <c r="G307" t="n">
        <v>21.5</v>
      </c>
      <c r="H307" t="n">
        <v>0</v>
      </c>
      <c r="I307" t="n">
        <v>0</v>
      </c>
      <c r="J307" t="n">
        <v>0</v>
      </c>
      <c r="K307" t="n">
        <v>0</v>
      </c>
      <c r="L307" t="n">
        <v>0</v>
      </c>
      <c r="M307" t="n">
        <v>0</v>
      </c>
      <c r="N307" t="n">
        <v>0</v>
      </c>
      <c r="O307" t="n">
        <v>0</v>
      </c>
      <c r="P307" t="n">
        <v>0</v>
      </c>
      <c r="Q307" t="n">
        <v>0</v>
      </c>
      <c r="R307" s="2" t="inlineStr"/>
    </row>
    <row r="308" ht="15" customHeight="1">
      <c r="A308" t="inlineStr">
        <is>
          <t>A 18790-2021</t>
        </is>
      </c>
      <c r="B308" s="1" t="n">
        <v>44307</v>
      </c>
      <c r="C308" s="1" t="n">
        <v>45879</v>
      </c>
      <c r="D308" t="inlineStr">
        <is>
          <t>VÄSTERBOTTENS LÄN</t>
        </is>
      </c>
      <c r="E308" t="inlineStr">
        <is>
          <t>VILHELMINA</t>
        </is>
      </c>
      <c r="G308" t="n">
        <v>1.1</v>
      </c>
      <c r="H308" t="n">
        <v>0</v>
      </c>
      <c r="I308" t="n">
        <v>0</v>
      </c>
      <c r="J308" t="n">
        <v>0</v>
      </c>
      <c r="K308" t="n">
        <v>0</v>
      </c>
      <c r="L308" t="n">
        <v>0</v>
      </c>
      <c r="M308" t="n">
        <v>0</v>
      </c>
      <c r="N308" t="n">
        <v>0</v>
      </c>
      <c r="O308" t="n">
        <v>0</v>
      </c>
      <c r="P308" t="n">
        <v>0</v>
      </c>
      <c r="Q308" t="n">
        <v>0</v>
      </c>
      <c r="R308" s="2" t="inlineStr"/>
    </row>
    <row r="309" ht="15" customHeight="1">
      <c r="A309" t="inlineStr">
        <is>
          <t>A 36082-2022</t>
        </is>
      </c>
      <c r="B309" s="1" t="n">
        <v>44802</v>
      </c>
      <c r="C309" s="1" t="n">
        <v>45879</v>
      </c>
      <c r="D309" t="inlineStr">
        <is>
          <t>VÄSTERBOTTENS LÄN</t>
        </is>
      </c>
      <c r="E309" t="inlineStr">
        <is>
          <t>VILHELMINA</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210-2022</t>
        </is>
      </c>
      <c r="B310" s="1" t="n">
        <v>44564.80189814815</v>
      </c>
      <c r="C310" s="1" t="n">
        <v>45879</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54984-2023</t>
        </is>
      </c>
      <c r="B311" s="1" t="n">
        <v>45236</v>
      </c>
      <c r="C311" s="1" t="n">
        <v>45879</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46071-2022</t>
        </is>
      </c>
      <c r="B312" s="1" t="n">
        <v>44847</v>
      </c>
      <c r="C312" s="1" t="n">
        <v>45879</v>
      </c>
      <c r="D312" t="inlineStr">
        <is>
          <t>VÄSTERBOTTENS LÄN</t>
        </is>
      </c>
      <c r="E312" t="inlineStr">
        <is>
          <t>VILHELMINA</t>
        </is>
      </c>
      <c r="G312" t="n">
        <v>10.6</v>
      </c>
      <c r="H312" t="n">
        <v>0</v>
      </c>
      <c r="I312" t="n">
        <v>0</v>
      </c>
      <c r="J312" t="n">
        <v>0</v>
      </c>
      <c r="K312" t="n">
        <v>0</v>
      </c>
      <c r="L312" t="n">
        <v>0</v>
      </c>
      <c r="M312" t="n">
        <v>0</v>
      </c>
      <c r="N312" t="n">
        <v>0</v>
      </c>
      <c r="O312" t="n">
        <v>0</v>
      </c>
      <c r="P312" t="n">
        <v>0</v>
      </c>
      <c r="Q312" t="n">
        <v>0</v>
      </c>
      <c r="R312" s="2" t="inlineStr"/>
    </row>
    <row r="313" ht="15" customHeight="1">
      <c r="A313" t="inlineStr">
        <is>
          <t>A 27917-2024</t>
        </is>
      </c>
      <c r="B313" s="1" t="n">
        <v>45475.94844907407</v>
      </c>
      <c r="C313" s="1" t="n">
        <v>45879</v>
      </c>
      <c r="D313" t="inlineStr">
        <is>
          <t>VÄSTERBOTTENS LÄN</t>
        </is>
      </c>
      <c r="E313" t="inlineStr">
        <is>
          <t>VILHELMINA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36408-2023</t>
        </is>
      </c>
      <c r="B314" s="1" t="n">
        <v>45152</v>
      </c>
      <c r="C314" s="1" t="n">
        <v>45879</v>
      </c>
      <c r="D314" t="inlineStr">
        <is>
          <t>VÄSTERBOTTENS LÄN</t>
        </is>
      </c>
      <c r="E314" t="inlineStr">
        <is>
          <t>VILHELMINA</t>
        </is>
      </c>
      <c r="G314" t="n">
        <v>4.4</v>
      </c>
      <c r="H314" t="n">
        <v>0</v>
      </c>
      <c r="I314" t="n">
        <v>0</v>
      </c>
      <c r="J314" t="n">
        <v>0</v>
      </c>
      <c r="K314" t="n">
        <v>0</v>
      </c>
      <c r="L314" t="n">
        <v>0</v>
      </c>
      <c r="M314" t="n">
        <v>0</v>
      </c>
      <c r="N314" t="n">
        <v>0</v>
      </c>
      <c r="O314" t="n">
        <v>0</v>
      </c>
      <c r="P314" t="n">
        <v>0</v>
      </c>
      <c r="Q314" t="n">
        <v>0</v>
      </c>
      <c r="R314" s="2" t="inlineStr"/>
    </row>
    <row r="315" ht="15" customHeight="1">
      <c r="A315" t="inlineStr">
        <is>
          <t>A 57108-2023</t>
        </is>
      </c>
      <c r="B315" s="1" t="n">
        <v>45239</v>
      </c>
      <c r="C315" s="1" t="n">
        <v>45879</v>
      </c>
      <c r="D315" t="inlineStr">
        <is>
          <t>VÄSTERBOTTENS LÄN</t>
        </is>
      </c>
      <c r="E315" t="inlineStr">
        <is>
          <t>VILHELMINA</t>
        </is>
      </c>
      <c r="G315" t="n">
        <v>0.6</v>
      </c>
      <c r="H315" t="n">
        <v>0</v>
      </c>
      <c r="I315" t="n">
        <v>0</v>
      </c>
      <c r="J315" t="n">
        <v>0</v>
      </c>
      <c r="K315" t="n">
        <v>0</v>
      </c>
      <c r="L315" t="n">
        <v>0</v>
      </c>
      <c r="M315" t="n">
        <v>0</v>
      </c>
      <c r="N315" t="n">
        <v>0</v>
      </c>
      <c r="O315" t="n">
        <v>0</v>
      </c>
      <c r="P315" t="n">
        <v>0</v>
      </c>
      <c r="Q315" t="n">
        <v>0</v>
      </c>
      <c r="R315" s="2" t="inlineStr"/>
    </row>
    <row r="316" ht="15" customHeight="1">
      <c r="A316" t="inlineStr">
        <is>
          <t>A 38555-2024</t>
        </is>
      </c>
      <c r="B316" s="1" t="n">
        <v>45546</v>
      </c>
      <c r="C316" s="1" t="n">
        <v>45879</v>
      </c>
      <c r="D316" t="inlineStr">
        <is>
          <t>VÄSTERBOTTENS LÄN</t>
        </is>
      </c>
      <c r="E316" t="inlineStr">
        <is>
          <t>VILHELMINA</t>
        </is>
      </c>
      <c r="G316" t="n">
        <v>7.8</v>
      </c>
      <c r="H316" t="n">
        <v>0</v>
      </c>
      <c r="I316" t="n">
        <v>0</v>
      </c>
      <c r="J316" t="n">
        <v>0</v>
      </c>
      <c r="K316" t="n">
        <v>0</v>
      </c>
      <c r="L316" t="n">
        <v>0</v>
      </c>
      <c r="M316" t="n">
        <v>0</v>
      </c>
      <c r="N316" t="n">
        <v>0</v>
      </c>
      <c r="O316" t="n">
        <v>0</v>
      </c>
      <c r="P316" t="n">
        <v>0</v>
      </c>
      <c r="Q316" t="n">
        <v>0</v>
      </c>
      <c r="R316" s="2" t="inlineStr"/>
    </row>
    <row r="317" ht="15" customHeight="1">
      <c r="A317" t="inlineStr">
        <is>
          <t>A 17996-2024</t>
        </is>
      </c>
      <c r="B317" s="1" t="n">
        <v>45419</v>
      </c>
      <c r="C317" s="1" t="n">
        <v>45879</v>
      </c>
      <c r="D317" t="inlineStr">
        <is>
          <t>VÄSTERBOTTENS LÄN</t>
        </is>
      </c>
      <c r="E317" t="inlineStr">
        <is>
          <t>VILHELMINA</t>
        </is>
      </c>
      <c r="G317" t="n">
        <v>5.3</v>
      </c>
      <c r="H317" t="n">
        <v>0</v>
      </c>
      <c r="I317" t="n">
        <v>0</v>
      </c>
      <c r="J317" t="n">
        <v>0</v>
      </c>
      <c r="K317" t="n">
        <v>0</v>
      </c>
      <c r="L317" t="n">
        <v>0</v>
      </c>
      <c r="M317" t="n">
        <v>0</v>
      </c>
      <c r="N317" t="n">
        <v>0</v>
      </c>
      <c r="O317" t="n">
        <v>0</v>
      </c>
      <c r="P317" t="n">
        <v>0</v>
      </c>
      <c r="Q317" t="n">
        <v>0</v>
      </c>
      <c r="R317" s="2" t="inlineStr"/>
    </row>
    <row r="318" ht="15" customHeight="1">
      <c r="A318" t="inlineStr">
        <is>
          <t>A 23180-2024</t>
        </is>
      </c>
      <c r="B318" s="1" t="n">
        <v>45450.9444212963</v>
      </c>
      <c r="C318" s="1" t="n">
        <v>45879</v>
      </c>
      <c r="D318" t="inlineStr">
        <is>
          <t>VÄSTERBOTTENS LÄN</t>
        </is>
      </c>
      <c r="E318" t="inlineStr">
        <is>
          <t>VILHELMINA</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61778-2023</t>
        </is>
      </c>
      <c r="B319" s="1" t="n">
        <v>45265.95667824074</v>
      </c>
      <c r="C319" s="1" t="n">
        <v>45879</v>
      </c>
      <c r="D319" t="inlineStr">
        <is>
          <t>VÄSTERBOTTENS LÄN</t>
        </is>
      </c>
      <c r="E319" t="inlineStr">
        <is>
          <t>VILHELMINA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45879</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45972-2023</t>
        </is>
      </c>
      <c r="B321" s="1" t="n">
        <v>45195</v>
      </c>
      <c r="C321" s="1" t="n">
        <v>45879</v>
      </c>
      <c r="D321" t="inlineStr">
        <is>
          <t>VÄSTERBOTTENS LÄN</t>
        </is>
      </c>
      <c r="E321" t="inlineStr">
        <is>
          <t>VILHELMINA</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29104-2024</t>
        </is>
      </c>
      <c r="B322" s="1" t="n">
        <v>45481.95178240741</v>
      </c>
      <c r="C322" s="1" t="n">
        <v>45879</v>
      </c>
      <c r="D322" t="inlineStr">
        <is>
          <t>VÄSTERBOTTENS LÄN</t>
        </is>
      </c>
      <c r="E322" t="inlineStr">
        <is>
          <t>VILHELMINA</t>
        </is>
      </c>
      <c r="F322" t="inlineStr">
        <is>
          <t>SCA</t>
        </is>
      </c>
      <c r="G322" t="n">
        <v>5.1</v>
      </c>
      <c r="H322" t="n">
        <v>0</v>
      </c>
      <c r="I322" t="n">
        <v>0</v>
      </c>
      <c r="J322" t="n">
        <v>0</v>
      </c>
      <c r="K322" t="n">
        <v>0</v>
      </c>
      <c r="L322" t="n">
        <v>0</v>
      </c>
      <c r="M322" t="n">
        <v>0</v>
      </c>
      <c r="N322" t="n">
        <v>0</v>
      </c>
      <c r="O322" t="n">
        <v>0</v>
      </c>
      <c r="P322" t="n">
        <v>0</v>
      </c>
      <c r="Q322" t="n">
        <v>0</v>
      </c>
      <c r="R322" s="2" t="inlineStr"/>
    </row>
    <row r="323" ht="15" customHeight="1">
      <c r="A323" t="inlineStr">
        <is>
          <t>A 48068-2022</t>
        </is>
      </c>
      <c r="B323" s="1" t="n">
        <v>44855</v>
      </c>
      <c r="C323" s="1" t="n">
        <v>45879</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53034-2023</t>
        </is>
      </c>
      <c r="B324" s="1" t="n">
        <v>45226.96258101852</v>
      </c>
      <c r="C324" s="1" t="n">
        <v>45879</v>
      </c>
      <c r="D324" t="inlineStr">
        <is>
          <t>VÄSTERBOTTENS LÄN</t>
        </is>
      </c>
      <c r="E324" t="inlineStr">
        <is>
          <t>VILHELMINA</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46164-2023</t>
        </is>
      </c>
      <c r="B325" s="1" t="n">
        <v>45190</v>
      </c>
      <c r="C325" s="1" t="n">
        <v>45879</v>
      </c>
      <c r="D325" t="inlineStr">
        <is>
          <t>VÄSTERBOTTENS LÄN</t>
        </is>
      </c>
      <c r="E325" t="inlineStr">
        <is>
          <t>VILHELMINA</t>
        </is>
      </c>
      <c r="G325" t="n">
        <v>6.3</v>
      </c>
      <c r="H325" t="n">
        <v>0</v>
      </c>
      <c r="I325" t="n">
        <v>0</v>
      </c>
      <c r="J325" t="n">
        <v>0</v>
      </c>
      <c r="K325" t="n">
        <v>0</v>
      </c>
      <c r="L325" t="n">
        <v>0</v>
      </c>
      <c r="M325" t="n">
        <v>0</v>
      </c>
      <c r="N325" t="n">
        <v>0</v>
      </c>
      <c r="O325" t="n">
        <v>0</v>
      </c>
      <c r="P325" t="n">
        <v>0</v>
      </c>
      <c r="Q325" t="n">
        <v>0</v>
      </c>
      <c r="R325" s="2" t="inlineStr"/>
    </row>
    <row r="326" ht="15" customHeight="1">
      <c r="A326" t="inlineStr">
        <is>
          <t>A 36288-2021</t>
        </is>
      </c>
      <c r="B326" s="1" t="n">
        <v>44389</v>
      </c>
      <c r="C326" s="1" t="n">
        <v>45879</v>
      </c>
      <c r="D326" t="inlineStr">
        <is>
          <t>VÄSTERBOTTENS LÄN</t>
        </is>
      </c>
      <c r="E326" t="inlineStr">
        <is>
          <t>VILHELMINA</t>
        </is>
      </c>
      <c r="G326" t="n">
        <v>20.5</v>
      </c>
      <c r="H326" t="n">
        <v>0</v>
      </c>
      <c r="I326" t="n">
        <v>0</v>
      </c>
      <c r="J326" t="n">
        <v>0</v>
      </c>
      <c r="K326" t="n">
        <v>0</v>
      </c>
      <c r="L326" t="n">
        <v>0</v>
      </c>
      <c r="M326" t="n">
        <v>0</v>
      </c>
      <c r="N326" t="n">
        <v>0</v>
      </c>
      <c r="O326" t="n">
        <v>0</v>
      </c>
      <c r="P326" t="n">
        <v>0</v>
      </c>
      <c r="Q326" t="n">
        <v>0</v>
      </c>
      <c r="R326" s="2" t="inlineStr"/>
    </row>
    <row r="327" ht="15" customHeight="1">
      <c r="A327" t="inlineStr">
        <is>
          <t>A 55722-2023</t>
        </is>
      </c>
      <c r="B327" s="1" t="n">
        <v>45232</v>
      </c>
      <c r="C327" s="1" t="n">
        <v>45879</v>
      </c>
      <c r="D327" t="inlineStr">
        <is>
          <t>VÄSTERBOTTENS LÄN</t>
        </is>
      </c>
      <c r="E327" t="inlineStr">
        <is>
          <t>VILHELMINA</t>
        </is>
      </c>
      <c r="G327" t="n">
        <v>5.8</v>
      </c>
      <c r="H327" t="n">
        <v>0</v>
      </c>
      <c r="I327" t="n">
        <v>0</v>
      </c>
      <c r="J327" t="n">
        <v>0</v>
      </c>
      <c r="K327" t="n">
        <v>0</v>
      </c>
      <c r="L327" t="n">
        <v>0</v>
      </c>
      <c r="M327" t="n">
        <v>0</v>
      </c>
      <c r="N327" t="n">
        <v>0</v>
      </c>
      <c r="O327" t="n">
        <v>0</v>
      </c>
      <c r="P327" t="n">
        <v>0</v>
      </c>
      <c r="Q327" t="n">
        <v>0</v>
      </c>
      <c r="R327" s="2" t="inlineStr"/>
    </row>
    <row r="328" ht="15" customHeight="1">
      <c r="A328" t="inlineStr">
        <is>
          <t>A 21844-2024</t>
        </is>
      </c>
      <c r="B328" s="1" t="n">
        <v>45442</v>
      </c>
      <c r="C328" s="1" t="n">
        <v>45879</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12189-2024</t>
        </is>
      </c>
      <c r="B329" s="1" t="n">
        <v>45377.94945601852</v>
      </c>
      <c r="C329" s="1" t="n">
        <v>45879</v>
      </c>
      <c r="D329" t="inlineStr">
        <is>
          <t>VÄSTERBOTTENS LÄN</t>
        </is>
      </c>
      <c r="E329" t="inlineStr">
        <is>
          <t>VILHELMINA</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12371-2025</t>
        </is>
      </c>
      <c r="B330" s="1" t="n">
        <v>45730</v>
      </c>
      <c r="C330" s="1" t="n">
        <v>45879</v>
      </c>
      <c r="D330" t="inlineStr">
        <is>
          <t>VÄSTERBOTTENS LÄN</t>
        </is>
      </c>
      <c r="E330" t="inlineStr">
        <is>
          <t>VILHELMINA</t>
        </is>
      </c>
      <c r="F330" t="inlineStr">
        <is>
          <t>Övriga statliga verk och myndigheter</t>
        </is>
      </c>
      <c r="G330" t="n">
        <v>37.1</v>
      </c>
      <c r="H330" t="n">
        <v>0</v>
      </c>
      <c r="I330" t="n">
        <v>0</v>
      </c>
      <c r="J330" t="n">
        <v>0</v>
      </c>
      <c r="K330" t="n">
        <v>0</v>
      </c>
      <c r="L330" t="n">
        <v>0</v>
      </c>
      <c r="M330" t="n">
        <v>0</v>
      </c>
      <c r="N330" t="n">
        <v>0</v>
      </c>
      <c r="O330" t="n">
        <v>0</v>
      </c>
      <c r="P330" t="n">
        <v>0</v>
      </c>
      <c r="Q330" t="n">
        <v>0</v>
      </c>
      <c r="R330" s="2" t="inlineStr"/>
    </row>
    <row r="331" ht="15" customHeight="1">
      <c r="A331" t="inlineStr">
        <is>
          <t>A 14993-2025</t>
        </is>
      </c>
      <c r="B331" s="1" t="n">
        <v>45743</v>
      </c>
      <c r="C331" s="1" t="n">
        <v>45879</v>
      </c>
      <c r="D331" t="inlineStr">
        <is>
          <t>VÄSTERBOTTENS LÄN</t>
        </is>
      </c>
      <c r="E331" t="inlineStr">
        <is>
          <t>VILHELMINA</t>
        </is>
      </c>
      <c r="G331" t="n">
        <v>2.1</v>
      </c>
      <c r="H331" t="n">
        <v>0</v>
      </c>
      <c r="I331" t="n">
        <v>0</v>
      </c>
      <c r="J331" t="n">
        <v>0</v>
      </c>
      <c r="K331" t="n">
        <v>0</v>
      </c>
      <c r="L331" t="n">
        <v>0</v>
      </c>
      <c r="M331" t="n">
        <v>0</v>
      </c>
      <c r="N331" t="n">
        <v>0</v>
      </c>
      <c r="O331" t="n">
        <v>0</v>
      </c>
      <c r="P331" t="n">
        <v>0</v>
      </c>
      <c r="Q331" t="n">
        <v>0</v>
      </c>
      <c r="R331" s="2" t="inlineStr"/>
    </row>
    <row r="332" ht="15" customHeight="1">
      <c r="A332" t="inlineStr">
        <is>
          <t>A 22107-2024</t>
        </is>
      </c>
      <c r="B332" s="1" t="n">
        <v>45443</v>
      </c>
      <c r="C332" s="1" t="n">
        <v>45879</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23270-2021</t>
        </is>
      </c>
      <c r="B333" s="1" t="n">
        <v>44328</v>
      </c>
      <c r="C333" s="1" t="n">
        <v>45879</v>
      </c>
      <c r="D333" t="inlineStr">
        <is>
          <t>VÄSTERBOTTENS LÄN</t>
        </is>
      </c>
      <c r="E333" t="inlineStr">
        <is>
          <t>VILHELMINA</t>
        </is>
      </c>
      <c r="F333" t="inlineStr">
        <is>
          <t>Allmännings- och besparingsskogar</t>
        </is>
      </c>
      <c r="G333" t="n">
        <v>14.7</v>
      </c>
      <c r="H333" t="n">
        <v>0</v>
      </c>
      <c r="I333" t="n">
        <v>0</v>
      </c>
      <c r="J333" t="n">
        <v>0</v>
      </c>
      <c r="K333" t="n">
        <v>0</v>
      </c>
      <c r="L333" t="n">
        <v>0</v>
      </c>
      <c r="M333" t="n">
        <v>0</v>
      </c>
      <c r="N333" t="n">
        <v>0</v>
      </c>
      <c r="O333" t="n">
        <v>0</v>
      </c>
      <c r="P333" t="n">
        <v>0</v>
      </c>
      <c r="Q333" t="n">
        <v>0</v>
      </c>
      <c r="R333" s="2" t="inlineStr"/>
    </row>
    <row r="334" ht="15" customHeight="1">
      <c r="A334" t="inlineStr">
        <is>
          <t>A 23544-2024</t>
        </is>
      </c>
      <c r="B334" s="1" t="n">
        <v>45453.95314814815</v>
      </c>
      <c r="C334" s="1" t="n">
        <v>45879</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23545-2024</t>
        </is>
      </c>
      <c r="B335" s="1" t="n">
        <v>45453.95326388889</v>
      </c>
      <c r="C335" s="1" t="n">
        <v>45879</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48423-2023</t>
        </is>
      </c>
      <c r="B336" s="1" t="n">
        <v>45205</v>
      </c>
      <c r="C336" s="1" t="n">
        <v>45879</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50505-2023</t>
        </is>
      </c>
      <c r="B337" s="1" t="n">
        <v>45216.95800925926</v>
      </c>
      <c r="C337" s="1" t="n">
        <v>45879</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6369-2024</t>
        </is>
      </c>
      <c r="B338" s="1" t="n">
        <v>45338</v>
      </c>
      <c r="C338" s="1" t="n">
        <v>45879</v>
      </c>
      <c r="D338" t="inlineStr">
        <is>
          <t>VÄSTERBOTTENS LÄN</t>
        </is>
      </c>
      <c r="E338" t="inlineStr">
        <is>
          <t>VILHELMINA</t>
        </is>
      </c>
      <c r="G338" t="n">
        <v>3.6</v>
      </c>
      <c r="H338" t="n">
        <v>0</v>
      </c>
      <c r="I338" t="n">
        <v>0</v>
      </c>
      <c r="J338" t="n">
        <v>0</v>
      </c>
      <c r="K338" t="n">
        <v>0</v>
      </c>
      <c r="L338" t="n">
        <v>0</v>
      </c>
      <c r="M338" t="n">
        <v>0</v>
      </c>
      <c r="N338" t="n">
        <v>0</v>
      </c>
      <c r="O338" t="n">
        <v>0</v>
      </c>
      <c r="P338" t="n">
        <v>0</v>
      </c>
      <c r="Q338" t="n">
        <v>0</v>
      </c>
      <c r="R338" s="2" t="inlineStr"/>
    </row>
    <row r="339" ht="15" customHeight="1">
      <c r="A339" t="inlineStr">
        <is>
          <t>A 51131-2024</t>
        </is>
      </c>
      <c r="B339" s="1" t="n">
        <v>45603</v>
      </c>
      <c r="C339" s="1" t="n">
        <v>45879</v>
      </c>
      <c r="D339" t="inlineStr">
        <is>
          <t>VÄSTERBOTTENS LÄN</t>
        </is>
      </c>
      <c r="E339" t="inlineStr">
        <is>
          <t>VILHELMINA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54931-2023</t>
        </is>
      </c>
      <c r="B340" s="1" t="n">
        <v>45229</v>
      </c>
      <c r="C340" s="1" t="n">
        <v>45879</v>
      </c>
      <c r="D340" t="inlineStr">
        <is>
          <t>VÄSTERBOTTENS LÄN</t>
        </is>
      </c>
      <c r="E340" t="inlineStr">
        <is>
          <t>VILHELMINA</t>
        </is>
      </c>
      <c r="G340" t="n">
        <v>14.5</v>
      </c>
      <c r="H340" t="n">
        <v>0</v>
      </c>
      <c r="I340" t="n">
        <v>0</v>
      </c>
      <c r="J340" t="n">
        <v>0</v>
      </c>
      <c r="K340" t="n">
        <v>0</v>
      </c>
      <c r="L340" t="n">
        <v>0</v>
      </c>
      <c r="M340" t="n">
        <v>0</v>
      </c>
      <c r="N340" t="n">
        <v>0</v>
      </c>
      <c r="O340" t="n">
        <v>0</v>
      </c>
      <c r="P340" t="n">
        <v>0</v>
      </c>
      <c r="Q340" t="n">
        <v>0</v>
      </c>
      <c r="R340" s="2" t="inlineStr"/>
    </row>
    <row r="341" ht="15" customHeight="1">
      <c r="A341" t="inlineStr">
        <is>
          <t>A 42976-2024</t>
        </is>
      </c>
      <c r="B341" s="1" t="n">
        <v>45567.37387731481</v>
      </c>
      <c r="C341" s="1" t="n">
        <v>45879</v>
      </c>
      <c r="D341" t="inlineStr">
        <is>
          <t>VÄSTERBOTTENS LÄN</t>
        </is>
      </c>
      <c r="E341" t="inlineStr">
        <is>
          <t>VILHELMINA</t>
        </is>
      </c>
      <c r="F341" t="inlineStr">
        <is>
          <t>SCA</t>
        </is>
      </c>
      <c r="G341" t="n">
        <v>20.6</v>
      </c>
      <c r="H341" t="n">
        <v>0</v>
      </c>
      <c r="I341" t="n">
        <v>0</v>
      </c>
      <c r="J341" t="n">
        <v>0</v>
      </c>
      <c r="K341" t="n">
        <v>0</v>
      </c>
      <c r="L341" t="n">
        <v>0</v>
      </c>
      <c r="M341" t="n">
        <v>0</v>
      </c>
      <c r="N341" t="n">
        <v>0</v>
      </c>
      <c r="O341" t="n">
        <v>0</v>
      </c>
      <c r="P341" t="n">
        <v>0</v>
      </c>
      <c r="Q341" t="n">
        <v>0</v>
      </c>
      <c r="R341" s="2" t="inlineStr"/>
    </row>
    <row r="342" ht="15" customHeight="1">
      <c r="A342" t="inlineStr">
        <is>
          <t>A 7982-2025</t>
        </is>
      </c>
      <c r="B342" s="1" t="n">
        <v>45707.46905092592</v>
      </c>
      <c r="C342" s="1" t="n">
        <v>45879</v>
      </c>
      <c r="D342" t="inlineStr">
        <is>
          <t>VÄSTERBOTTENS LÄN</t>
        </is>
      </c>
      <c r="E342" t="inlineStr">
        <is>
          <t>VILHELMINA</t>
        </is>
      </c>
      <c r="G342" t="n">
        <v>6</v>
      </c>
      <c r="H342" t="n">
        <v>0</v>
      </c>
      <c r="I342" t="n">
        <v>0</v>
      </c>
      <c r="J342" t="n">
        <v>0</v>
      </c>
      <c r="K342" t="n">
        <v>0</v>
      </c>
      <c r="L342" t="n">
        <v>0</v>
      </c>
      <c r="M342" t="n">
        <v>0</v>
      </c>
      <c r="N342" t="n">
        <v>0</v>
      </c>
      <c r="O342" t="n">
        <v>0</v>
      </c>
      <c r="P342" t="n">
        <v>0</v>
      </c>
      <c r="Q342" t="n">
        <v>0</v>
      </c>
      <c r="R342" s="2" t="inlineStr"/>
    </row>
    <row r="343" ht="15" customHeight="1">
      <c r="A343" t="inlineStr">
        <is>
          <t>A 32655-2021</t>
        </is>
      </c>
      <c r="B343" s="1" t="n">
        <v>44371</v>
      </c>
      <c r="C343" s="1" t="n">
        <v>45879</v>
      </c>
      <c r="D343" t="inlineStr">
        <is>
          <t>VÄSTERBOTTENS LÄN</t>
        </is>
      </c>
      <c r="E343" t="inlineStr">
        <is>
          <t>VILHELMINA</t>
        </is>
      </c>
      <c r="G343" t="n">
        <v>0.2</v>
      </c>
      <c r="H343" t="n">
        <v>0</v>
      </c>
      <c r="I343" t="n">
        <v>0</v>
      </c>
      <c r="J343" t="n">
        <v>0</v>
      </c>
      <c r="K343" t="n">
        <v>0</v>
      </c>
      <c r="L343" t="n">
        <v>0</v>
      </c>
      <c r="M343" t="n">
        <v>0</v>
      </c>
      <c r="N343" t="n">
        <v>0</v>
      </c>
      <c r="O343" t="n">
        <v>0</v>
      </c>
      <c r="P343" t="n">
        <v>0</v>
      </c>
      <c r="Q343" t="n">
        <v>0</v>
      </c>
      <c r="R343" s="2" t="inlineStr"/>
    </row>
    <row r="344" ht="15" customHeight="1">
      <c r="A344" t="inlineStr">
        <is>
          <t>A 9197-2023</t>
        </is>
      </c>
      <c r="B344" s="1" t="n">
        <v>44977</v>
      </c>
      <c r="C344" s="1" t="n">
        <v>45879</v>
      </c>
      <c r="D344" t="inlineStr">
        <is>
          <t>VÄSTERBOTTENS LÄN</t>
        </is>
      </c>
      <c r="E344" t="inlineStr">
        <is>
          <t>VILHELMINA</t>
        </is>
      </c>
      <c r="G344" t="n">
        <v>8.9</v>
      </c>
      <c r="H344" t="n">
        <v>0</v>
      </c>
      <c r="I344" t="n">
        <v>0</v>
      </c>
      <c r="J344" t="n">
        <v>0</v>
      </c>
      <c r="K344" t="n">
        <v>0</v>
      </c>
      <c r="L344" t="n">
        <v>0</v>
      </c>
      <c r="M344" t="n">
        <v>0</v>
      </c>
      <c r="N344" t="n">
        <v>0</v>
      </c>
      <c r="O344" t="n">
        <v>0</v>
      </c>
      <c r="P344" t="n">
        <v>0</v>
      </c>
      <c r="Q344" t="n">
        <v>0</v>
      </c>
      <c r="R344" s="2" t="inlineStr"/>
    </row>
    <row r="345" ht="15" customHeight="1">
      <c r="A345" t="inlineStr">
        <is>
          <t>A 26137-2024</t>
        </is>
      </c>
      <c r="B345" s="1" t="n">
        <v>45468</v>
      </c>
      <c r="C345" s="1" t="n">
        <v>45879</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15176-2022</t>
        </is>
      </c>
      <c r="B346" s="1" t="n">
        <v>44658</v>
      </c>
      <c r="C346" s="1" t="n">
        <v>45879</v>
      </c>
      <c r="D346" t="inlineStr">
        <is>
          <t>VÄSTERBOTTENS LÄN</t>
        </is>
      </c>
      <c r="E346" t="inlineStr">
        <is>
          <t>VILHELMINA</t>
        </is>
      </c>
      <c r="G346" t="n">
        <v>1.6</v>
      </c>
      <c r="H346" t="n">
        <v>0</v>
      </c>
      <c r="I346" t="n">
        <v>0</v>
      </c>
      <c r="J346" t="n">
        <v>0</v>
      </c>
      <c r="K346" t="n">
        <v>0</v>
      </c>
      <c r="L346" t="n">
        <v>0</v>
      </c>
      <c r="M346" t="n">
        <v>0</v>
      </c>
      <c r="N346" t="n">
        <v>0</v>
      </c>
      <c r="O346" t="n">
        <v>0</v>
      </c>
      <c r="P346" t="n">
        <v>0</v>
      </c>
      <c r="Q346" t="n">
        <v>0</v>
      </c>
      <c r="R346" s="2" t="inlineStr"/>
    </row>
    <row r="347" ht="15" customHeight="1">
      <c r="A347" t="inlineStr">
        <is>
          <t>A 35755-2023</t>
        </is>
      </c>
      <c r="B347" s="1" t="n">
        <v>45147.9540625</v>
      </c>
      <c r="C347" s="1" t="n">
        <v>45879</v>
      </c>
      <c r="D347" t="inlineStr">
        <is>
          <t>VÄSTERBOTTENS LÄN</t>
        </is>
      </c>
      <c r="E347" t="inlineStr">
        <is>
          <t>VILHELMINA</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45879</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36219-2023</t>
        </is>
      </c>
      <c r="B349" s="1" t="n">
        <v>45149.95310185185</v>
      </c>
      <c r="C349" s="1" t="n">
        <v>45879</v>
      </c>
      <c r="D349" t="inlineStr">
        <is>
          <t>VÄSTERBOTTENS LÄN</t>
        </is>
      </c>
      <c r="E349" t="inlineStr">
        <is>
          <t>VILHELMINA</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19506-2025</t>
        </is>
      </c>
      <c r="B350" s="1" t="n">
        <v>45770</v>
      </c>
      <c r="C350" s="1" t="n">
        <v>45879</v>
      </c>
      <c r="D350" t="inlineStr">
        <is>
          <t>VÄSTERBOTTENS LÄN</t>
        </is>
      </c>
      <c r="E350" t="inlineStr">
        <is>
          <t>VILHELMINA</t>
        </is>
      </c>
      <c r="G350" t="n">
        <v>22.4</v>
      </c>
      <c r="H350" t="n">
        <v>0</v>
      </c>
      <c r="I350" t="n">
        <v>0</v>
      </c>
      <c r="J350" t="n">
        <v>0</v>
      </c>
      <c r="K350" t="n">
        <v>0</v>
      </c>
      <c r="L350" t="n">
        <v>0</v>
      </c>
      <c r="M350" t="n">
        <v>0</v>
      </c>
      <c r="N350" t="n">
        <v>0</v>
      </c>
      <c r="O350" t="n">
        <v>0</v>
      </c>
      <c r="P350" t="n">
        <v>0</v>
      </c>
      <c r="Q350" t="n">
        <v>0</v>
      </c>
      <c r="R350" s="2" t="inlineStr"/>
    </row>
    <row r="351" ht="15" customHeight="1">
      <c r="A351" t="inlineStr">
        <is>
          <t>A 35758-2023</t>
        </is>
      </c>
      <c r="B351" s="1" t="n">
        <v>45147.95452546296</v>
      </c>
      <c r="C351" s="1" t="n">
        <v>45879</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44368-2024</t>
        </is>
      </c>
      <c r="B352" s="1" t="n">
        <v>45573</v>
      </c>
      <c r="C352" s="1" t="n">
        <v>45879</v>
      </c>
      <c r="D352" t="inlineStr">
        <is>
          <t>VÄSTERBOTTENS LÄN</t>
        </is>
      </c>
      <c r="E352" t="inlineStr">
        <is>
          <t>VILHELMINA</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32921-2024</t>
        </is>
      </c>
      <c r="B353" s="1" t="n">
        <v>45516.9525462963</v>
      </c>
      <c r="C353" s="1" t="n">
        <v>45879</v>
      </c>
      <c r="D353" t="inlineStr">
        <is>
          <t>VÄSTERBOTTENS LÄN</t>
        </is>
      </c>
      <c r="E353" t="inlineStr">
        <is>
          <t>VILHELMINA</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25701-2024</t>
        </is>
      </c>
      <c r="B354" s="1" t="n">
        <v>45463.94247685185</v>
      </c>
      <c r="C354" s="1" t="n">
        <v>45879</v>
      </c>
      <c r="D354" t="inlineStr">
        <is>
          <t>VÄSTERBOTTENS LÄN</t>
        </is>
      </c>
      <c r="E354" t="inlineStr">
        <is>
          <t>VILHELMINA</t>
        </is>
      </c>
      <c r="F354" t="inlineStr">
        <is>
          <t>SCA</t>
        </is>
      </c>
      <c r="G354" t="n">
        <v>8.6</v>
      </c>
      <c r="H354" t="n">
        <v>0</v>
      </c>
      <c r="I354" t="n">
        <v>0</v>
      </c>
      <c r="J354" t="n">
        <v>0</v>
      </c>
      <c r="K354" t="n">
        <v>0</v>
      </c>
      <c r="L354" t="n">
        <v>0</v>
      </c>
      <c r="M354" t="n">
        <v>0</v>
      </c>
      <c r="N354" t="n">
        <v>0</v>
      </c>
      <c r="O354" t="n">
        <v>0</v>
      </c>
      <c r="P354" t="n">
        <v>0</v>
      </c>
      <c r="Q354" t="n">
        <v>0</v>
      </c>
      <c r="R354" s="2" t="inlineStr"/>
    </row>
    <row r="355" ht="15" customHeight="1">
      <c r="A355" t="inlineStr">
        <is>
          <t>A 6653-2021</t>
        </is>
      </c>
      <c r="B355" s="1" t="n">
        <v>44235</v>
      </c>
      <c r="C355" s="1" t="n">
        <v>45879</v>
      </c>
      <c r="D355" t="inlineStr">
        <is>
          <t>VÄSTERBOTTENS LÄN</t>
        </is>
      </c>
      <c r="E355" t="inlineStr">
        <is>
          <t>VILHELMINA</t>
        </is>
      </c>
      <c r="G355" t="n">
        <v>18</v>
      </c>
      <c r="H355" t="n">
        <v>0</v>
      </c>
      <c r="I355" t="n">
        <v>0</v>
      </c>
      <c r="J355" t="n">
        <v>0</v>
      </c>
      <c r="K355" t="n">
        <v>0</v>
      </c>
      <c r="L355" t="n">
        <v>0</v>
      </c>
      <c r="M355" t="n">
        <v>0</v>
      </c>
      <c r="N355" t="n">
        <v>0</v>
      </c>
      <c r="O355" t="n">
        <v>0</v>
      </c>
      <c r="P355" t="n">
        <v>0</v>
      </c>
      <c r="Q355" t="n">
        <v>0</v>
      </c>
      <c r="R355" s="2" t="inlineStr"/>
    </row>
    <row r="356" ht="15" customHeight="1">
      <c r="A356" t="inlineStr">
        <is>
          <t>A 6669-2021</t>
        </is>
      </c>
      <c r="B356" s="1" t="n">
        <v>44235</v>
      </c>
      <c r="C356" s="1" t="n">
        <v>45879</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34762-2024</t>
        </is>
      </c>
      <c r="B357" s="1" t="n">
        <v>45526.61637731481</v>
      </c>
      <c r="C357" s="1" t="n">
        <v>45879</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12368-2025</t>
        </is>
      </c>
      <c r="B358" s="1" t="n">
        <v>45730.37633101852</v>
      </c>
      <c r="C358" s="1" t="n">
        <v>45879</v>
      </c>
      <c r="D358" t="inlineStr">
        <is>
          <t>VÄSTERBOTTENS LÄN</t>
        </is>
      </c>
      <c r="E358" t="inlineStr">
        <is>
          <t>VILHELMINA</t>
        </is>
      </c>
      <c r="F358" t="inlineStr">
        <is>
          <t>Övriga statliga verk och myndigheter</t>
        </is>
      </c>
      <c r="G358" t="n">
        <v>14.8</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45879</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12373-2025</t>
        </is>
      </c>
      <c r="B360" s="1" t="n">
        <v>45730</v>
      </c>
      <c r="C360" s="1" t="n">
        <v>45879</v>
      </c>
      <c r="D360" t="inlineStr">
        <is>
          <t>VÄSTERBOTTENS LÄN</t>
        </is>
      </c>
      <c r="E360" t="inlineStr">
        <is>
          <t>VILHELMINA</t>
        </is>
      </c>
      <c r="F360" t="inlineStr">
        <is>
          <t>Övriga statliga verk och myndigheter</t>
        </is>
      </c>
      <c r="G360" t="n">
        <v>25.5</v>
      </c>
      <c r="H360" t="n">
        <v>0</v>
      </c>
      <c r="I360" t="n">
        <v>0</v>
      </c>
      <c r="J360" t="n">
        <v>0</v>
      </c>
      <c r="K360" t="n">
        <v>0</v>
      </c>
      <c r="L360" t="n">
        <v>0</v>
      </c>
      <c r="M360" t="n">
        <v>0</v>
      </c>
      <c r="N360" t="n">
        <v>0</v>
      </c>
      <c r="O360" t="n">
        <v>0</v>
      </c>
      <c r="P360" t="n">
        <v>0</v>
      </c>
      <c r="Q360" t="n">
        <v>0</v>
      </c>
      <c r="R360" s="2" t="inlineStr"/>
    </row>
    <row r="361" ht="15" customHeight="1">
      <c r="A361" t="inlineStr">
        <is>
          <t>A 60782-2023</t>
        </is>
      </c>
      <c r="B361" s="1" t="n">
        <v>45259</v>
      </c>
      <c r="C361" s="1" t="n">
        <v>45879</v>
      </c>
      <c r="D361" t="inlineStr">
        <is>
          <t>VÄSTERBOTTENS LÄN</t>
        </is>
      </c>
      <c r="E361" t="inlineStr">
        <is>
          <t>VILHELMINA</t>
        </is>
      </c>
      <c r="G361" t="n">
        <v>12.7</v>
      </c>
      <c r="H361" t="n">
        <v>0</v>
      </c>
      <c r="I361" t="n">
        <v>0</v>
      </c>
      <c r="J361" t="n">
        <v>0</v>
      </c>
      <c r="K361" t="n">
        <v>0</v>
      </c>
      <c r="L361" t="n">
        <v>0</v>
      </c>
      <c r="M361" t="n">
        <v>0</v>
      </c>
      <c r="N361" t="n">
        <v>0</v>
      </c>
      <c r="O361" t="n">
        <v>0</v>
      </c>
      <c r="P361" t="n">
        <v>0</v>
      </c>
      <c r="Q361" t="n">
        <v>0</v>
      </c>
      <c r="R361" s="2" t="inlineStr"/>
    </row>
    <row r="362" ht="15" customHeight="1">
      <c r="A362" t="inlineStr">
        <is>
          <t>A 9815-2024</t>
        </is>
      </c>
      <c r="B362" s="1" t="n">
        <v>45362.96927083333</v>
      </c>
      <c r="C362" s="1" t="n">
        <v>45879</v>
      </c>
      <c r="D362" t="inlineStr">
        <is>
          <t>VÄSTERBOTTENS LÄN</t>
        </is>
      </c>
      <c r="E362" t="inlineStr">
        <is>
          <t>VILHELMINA</t>
        </is>
      </c>
      <c r="G362" t="n">
        <v>1.3</v>
      </c>
      <c r="H362" t="n">
        <v>0</v>
      </c>
      <c r="I362" t="n">
        <v>0</v>
      </c>
      <c r="J362" t="n">
        <v>0</v>
      </c>
      <c r="K362" t="n">
        <v>0</v>
      </c>
      <c r="L362" t="n">
        <v>0</v>
      </c>
      <c r="M362" t="n">
        <v>0</v>
      </c>
      <c r="N362" t="n">
        <v>0</v>
      </c>
      <c r="O362" t="n">
        <v>0</v>
      </c>
      <c r="P362" t="n">
        <v>0</v>
      </c>
      <c r="Q362" t="n">
        <v>0</v>
      </c>
      <c r="R362" s="2" t="inlineStr"/>
    </row>
    <row r="363" ht="15" customHeight="1">
      <c r="A363" t="inlineStr">
        <is>
          <t>A 60151-2024</t>
        </is>
      </c>
      <c r="B363" s="1" t="n">
        <v>45642.61490740741</v>
      </c>
      <c r="C363" s="1" t="n">
        <v>45879</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8908-2023</t>
        </is>
      </c>
      <c r="B364" s="1" t="n">
        <v>44972</v>
      </c>
      <c r="C364" s="1" t="n">
        <v>45879</v>
      </c>
      <c r="D364" t="inlineStr">
        <is>
          <t>VÄSTERBOTTENS LÄN</t>
        </is>
      </c>
      <c r="E364" t="inlineStr">
        <is>
          <t>VILHELMINA</t>
        </is>
      </c>
      <c r="F364" t="inlineStr">
        <is>
          <t>Allmännings- och besparingsskogar</t>
        </is>
      </c>
      <c r="G364" t="n">
        <v>22.3</v>
      </c>
      <c r="H364" t="n">
        <v>0</v>
      </c>
      <c r="I364" t="n">
        <v>0</v>
      </c>
      <c r="J364" t="n">
        <v>0</v>
      </c>
      <c r="K364" t="n">
        <v>0</v>
      </c>
      <c r="L364" t="n">
        <v>0</v>
      </c>
      <c r="M364" t="n">
        <v>0</v>
      </c>
      <c r="N364" t="n">
        <v>0</v>
      </c>
      <c r="O364" t="n">
        <v>0</v>
      </c>
      <c r="P364" t="n">
        <v>0</v>
      </c>
      <c r="Q364" t="n">
        <v>0</v>
      </c>
      <c r="R364" s="2" t="inlineStr"/>
    </row>
    <row r="365" ht="15" customHeight="1">
      <c r="A365" t="inlineStr">
        <is>
          <t>A 54729-2022</t>
        </is>
      </c>
      <c r="B365" s="1" t="n">
        <v>44881</v>
      </c>
      <c r="C365" s="1" t="n">
        <v>45879</v>
      </c>
      <c r="D365" t="inlineStr">
        <is>
          <t>VÄSTERBOTTENS LÄN</t>
        </is>
      </c>
      <c r="E365" t="inlineStr">
        <is>
          <t>VILHELMINA</t>
        </is>
      </c>
      <c r="G365" t="n">
        <v>19.2</v>
      </c>
      <c r="H365" t="n">
        <v>0</v>
      </c>
      <c r="I365" t="n">
        <v>0</v>
      </c>
      <c r="J365" t="n">
        <v>0</v>
      </c>
      <c r="K365" t="n">
        <v>0</v>
      </c>
      <c r="L365" t="n">
        <v>0</v>
      </c>
      <c r="M365" t="n">
        <v>0</v>
      </c>
      <c r="N365" t="n">
        <v>0</v>
      </c>
      <c r="O365" t="n">
        <v>0</v>
      </c>
      <c r="P365" t="n">
        <v>0</v>
      </c>
      <c r="Q365" t="n">
        <v>0</v>
      </c>
      <c r="R365" s="2" t="inlineStr"/>
    </row>
    <row r="366" ht="15" customHeight="1">
      <c r="A366" t="inlineStr">
        <is>
          <t>A 34807-2023</t>
        </is>
      </c>
      <c r="B366" s="1" t="n">
        <v>45140</v>
      </c>
      <c r="C366" s="1" t="n">
        <v>45879</v>
      </c>
      <c r="D366" t="inlineStr">
        <is>
          <t>VÄSTERBOTTENS LÄN</t>
        </is>
      </c>
      <c r="E366" t="inlineStr">
        <is>
          <t>VILHELMINA</t>
        </is>
      </c>
      <c r="G366" t="n">
        <v>8.1</v>
      </c>
      <c r="H366" t="n">
        <v>0</v>
      </c>
      <c r="I366" t="n">
        <v>0</v>
      </c>
      <c r="J366" t="n">
        <v>0</v>
      </c>
      <c r="K366" t="n">
        <v>0</v>
      </c>
      <c r="L366" t="n">
        <v>0</v>
      </c>
      <c r="M366" t="n">
        <v>0</v>
      </c>
      <c r="N366" t="n">
        <v>0</v>
      </c>
      <c r="O366" t="n">
        <v>0</v>
      </c>
      <c r="P366" t="n">
        <v>0</v>
      </c>
      <c r="Q366" t="n">
        <v>0</v>
      </c>
      <c r="R366" s="2" t="inlineStr"/>
    </row>
    <row r="367" ht="15" customHeight="1">
      <c r="A367" t="inlineStr">
        <is>
          <t>A 6665-2021</t>
        </is>
      </c>
      <c r="B367" s="1" t="n">
        <v>44235</v>
      </c>
      <c r="C367" s="1" t="n">
        <v>45879</v>
      </c>
      <c r="D367" t="inlineStr">
        <is>
          <t>VÄSTERBOTTENS LÄN</t>
        </is>
      </c>
      <c r="E367" t="inlineStr">
        <is>
          <t>VILHELMINA</t>
        </is>
      </c>
      <c r="G367" t="n">
        <v>20</v>
      </c>
      <c r="H367" t="n">
        <v>0</v>
      </c>
      <c r="I367" t="n">
        <v>0</v>
      </c>
      <c r="J367" t="n">
        <v>0</v>
      </c>
      <c r="K367" t="n">
        <v>0</v>
      </c>
      <c r="L367" t="n">
        <v>0</v>
      </c>
      <c r="M367" t="n">
        <v>0</v>
      </c>
      <c r="N367" t="n">
        <v>0</v>
      </c>
      <c r="O367" t="n">
        <v>0</v>
      </c>
      <c r="P367" t="n">
        <v>0</v>
      </c>
      <c r="Q367" t="n">
        <v>0</v>
      </c>
      <c r="R367" s="2" t="inlineStr"/>
    </row>
    <row r="368" ht="15" customHeight="1">
      <c r="A368" t="inlineStr">
        <is>
          <t>A 64028-2023</t>
        </is>
      </c>
      <c r="B368" s="1" t="n">
        <v>45278.94263888889</v>
      </c>
      <c r="C368" s="1" t="n">
        <v>45879</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28656-2024</t>
        </is>
      </c>
      <c r="B369" s="1" t="n">
        <v>45478</v>
      </c>
      <c r="C369" s="1" t="n">
        <v>45879</v>
      </c>
      <c r="D369" t="inlineStr">
        <is>
          <t>VÄSTERBOTTENS LÄN</t>
        </is>
      </c>
      <c r="E369" t="inlineStr">
        <is>
          <t>VILHELMINA</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48424-2023</t>
        </is>
      </c>
      <c r="B370" s="1" t="n">
        <v>45205</v>
      </c>
      <c r="C370" s="1" t="n">
        <v>45879</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44714-2021</t>
        </is>
      </c>
      <c r="B371" s="1" t="n">
        <v>44435</v>
      </c>
      <c r="C371" s="1" t="n">
        <v>45879</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19397-2023</t>
        </is>
      </c>
      <c r="B372" s="1" t="n">
        <v>45048</v>
      </c>
      <c r="C372" s="1" t="n">
        <v>45879</v>
      </c>
      <c r="D372" t="inlineStr">
        <is>
          <t>VÄSTERBOTTENS LÄN</t>
        </is>
      </c>
      <c r="E372" t="inlineStr">
        <is>
          <t>VILHELMINA</t>
        </is>
      </c>
      <c r="G372" t="n">
        <v>12.8</v>
      </c>
      <c r="H372" t="n">
        <v>0</v>
      </c>
      <c r="I372" t="n">
        <v>0</v>
      </c>
      <c r="J372" t="n">
        <v>0</v>
      </c>
      <c r="K372" t="n">
        <v>0</v>
      </c>
      <c r="L372" t="n">
        <v>0</v>
      </c>
      <c r="M372" t="n">
        <v>0</v>
      </c>
      <c r="N372" t="n">
        <v>0</v>
      </c>
      <c r="O372" t="n">
        <v>0</v>
      </c>
      <c r="P372" t="n">
        <v>0</v>
      </c>
      <c r="Q372" t="n">
        <v>0</v>
      </c>
      <c r="R372" s="2" t="inlineStr"/>
    </row>
    <row r="373" ht="15" customHeight="1">
      <c r="A373" t="inlineStr">
        <is>
          <t>A 47254-2022</t>
        </is>
      </c>
      <c r="B373" s="1" t="n">
        <v>44852.94685185186</v>
      </c>
      <c r="C373" s="1" t="n">
        <v>45879</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19221-2025</t>
        </is>
      </c>
      <c r="B374" s="1" t="n">
        <v>45769</v>
      </c>
      <c r="C374" s="1" t="n">
        <v>45879</v>
      </c>
      <c r="D374" t="inlineStr">
        <is>
          <t>VÄSTERBOTTENS LÄN</t>
        </is>
      </c>
      <c r="E374" t="inlineStr">
        <is>
          <t>VILHELMINA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8556-2025</t>
        </is>
      </c>
      <c r="B375" s="1" t="n">
        <v>45709</v>
      </c>
      <c r="C375" s="1" t="n">
        <v>45879</v>
      </c>
      <c r="D375" t="inlineStr">
        <is>
          <t>VÄSTERBOTTENS LÄN</t>
        </is>
      </c>
      <c r="E375" t="inlineStr">
        <is>
          <t>VILHELMINA</t>
        </is>
      </c>
      <c r="G375" t="n">
        <v>1</v>
      </c>
      <c r="H375" t="n">
        <v>0</v>
      </c>
      <c r="I375" t="n">
        <v>0</v>
      </c>
      <c r="J375" t="n">
        <v>0</v>
      </c>
      <c r="K375" t="n">
        <v>0</v>
      </c>
      <c r="L375" t="n">
        <v>0</v>
      </c>
      <c r="M375" t="n">
        <v>0</v>
      </c>
      <c r="N375" t="n">
        <v>0</v>
      </c>
      <c r="O375" t="n">
        <v>0</v>
      </c>
      <c r="P375" t="n">
        <v>0</v>
      </c>
      <c r="Q375" t="n">
        <v>0</v>
      </c>
      <c r="R375" s="2" t="inlineStr"/>
    </row>
    <row r="376" ht="15" customHeight="1">
      <c r="A376" t="inlineStr">
        <is>
          <t>A 22109-2024</t>
        </is>
      </c>
      <c r="B376" s="1" t="n">
        <v>45443</v>
      </c>
      <c r="C376" s="1" t="n">
        <v>45879</v>
      </c>
      <c r="D376" t="inlineStr">
        <is>
          <t>VÄSTERBOTTENS LÄN</t>
        </is>
      </c>
      <c r="E376" t="inlineStr">
        <is>
          <t>VILHELMINA</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57324-2022</t>
        </is>
      </c>
      <c r="B377" s="1" t="n">
        <v>44889</v>
      </c>
      <c r="C377" s="1" t="n">
        <v>45879</v>
      </c>
      <c r="D377" t="inlineStr">
        <is>
          <t>VÄSTERBOTTENS LÄN</t>
        </is>
      </c>
      <c r="E377" t="inlineStr">
        <is>
          <t>VILHELMINA</t>
        </is>
      </c>
      <c r="G377" t="n">
        <v>1.7</v>
      </c>
      <c r="H377" t="n">
        <v>0</v>
      </c>
      <c r="I377" t="n">
        <v>0</v>
      </c>
      <c r="J377" t="n">
        <v>0</v>
      </c>
      <c r="K377" t="n">
        <v>0</v>
      </c>
      <c r="L377" t="n">
        <v>0</v>
      </c>
      <c r="M377" t="n">
        <v>0</v>
      </c>
      <c r="N377" t="n">
        <v>0</v>
      </c>
      <c r="O377" t="n">
        <v>0</v>
      </c>
      <c r="P377" t="n">
        <v>0</v>
      </c>
      <c r="Q377" t="n">
        <v>0</v>
      </c>
      <c r="R377" s="2" t="inlineStr"/>
    </row>
    <row r="378" ht="15" customHeight="1">
      <c r="A378" t="inlineStr">
        <is>
          <t>A 14254-2025</t>
        </is>
      </c>
      <c r="B378" s="1" t="n">
        <v>45740.61644675926</v>
      </c>
      <c r="C378" s="1" t="n">
        <v>45879</v>
      </c>
      <c r="D378" t="inlineStr">
        <is>
          <t>VÄSTERBOTTENS LÄN</t>
        </is>
      </c>
      <c r="E378" t="inlineStr">
        <is>
          <t>VILHELMINA</t>
        </is>
      </c>
      <c r="G378" t="n">
        <v>2</v>
      </c>
      <c r="H378" t="n">
        <v>0</v>
      </c>
      <c r="I378" t="n">
        <v>0</v>
      </c>
      <c r="J378" t="n">
        <v>0</v>
      </c>
      <c r="K378" t="n">
        <v>0</v>
      </c>
      <c r="L378" t="n">
        <v>0</v>
      </c>
      <c r="M378" t="n">
        <v>0</v>
      </c>
      <c r="N378" t="n">
        <v>0</v>
      </c>
      <c r="O378" t="n">
        <v>0</v>
      </c>
      <c r="P378" t="n">
        <v>0</v>
      </c>
      <c r="Q378" t="n">
        <v>0</v>
      </c>
      <c r="R378" s="2" t="inlineStr"/>
    </row>
    <row r="379" ht="15" customHeight="1">
      <c r="A379" t="inlineStr">
        <is>
          <t>A 33412-2023</t>
        </is>
      </c>
      <c r="B379" s="1" t="n">
        <v>45117</v>
      </c>
      <c r="C379" s="1" t="n">
        <v>45879</v>
      </c>
      <c r="D379" t="inlineStr">
        <is>
          <t>VÄSTERBOTTENS LÄN</t>
        </is>
      </c>
      <c r="E379" t="inlineStr">
        <is>
          <t>VILHELMINA</t>
        </is>
      </c>
      <c r="F379" t="inlineStr">
        <is>
          <t>Övriga Aktiebolag</t>
        </is>
      </c>
      <c r="G379" t="n">
        <v>0.3</v>
      </c>
      <c r="H379" t="n">
        <v>0</v>
      </c>
      <c r="I379" t="n">
        <v>0</v>
      </c>
      <c r="J379" t="n">
        <v>0</v>
      </c>
      <c r="K379" t="n">
        <v>0</v>
      </c>
      <c r="L379" t="n">
        <v>0</v>
      </c>
      <c r="M379" t="n">
        <v>0</v>
      </c>
      <c r="N379" t="n">
        <v>0</v>
      </c>
      <c r="O379" t="n">
        <v>0</v>
      </c>
      <c r="P379" t="n">
        <v>0</v>
      </c>
      <c r="Q379" t="n">
        <v>0</v>
      </c>
      <c r="R379" s="2" t="inlineStr"/>
    </row>
    <row r="380" ht="15" customHeight="1">
      <c r="A380" t="inlineStr">
        <is>
          <t>A 57246-2023</t>
        </is>
      </c>
      <c r="B380" s="1" t="n">
        <v>45239</v>
      </c>
      <c r="C380" s="1" t="n">
        <v>45879</v>
      </c>
      <c r="D380" t="inlineStr">
        <is>
          <t>VÄSTERBOTTENS LÄN</t>
        </is>
      </c>
      <c r="E380" t="inlineStr">
        <is>
          <t>VILHELMINA</t>
        </is>
      </c>
      <c r="G380" t="n">
        <v>15.3</v>
      </c>
      <c r="H380" t="n">
        <v>0</v>
      </c>
      <c r="I380" t="n">
        <v>0</v>
      </c>
      <c r="J380" t="n">
        <v>0</v>
      </c>
      <c r="K380" t="n">
        <v>0</v>
      </c>
      <c r="L380" t="n">
        <v>0</v>
      </c>
      <c r="M380" t="n">
        <v>0</v>
      </c>
      <c r="N380" t="n">
        <v>0</v>
      </c>
      <c r="O380" t="n">
        <v>0</v>
      </c>
      <c r="P380" t="n">
        <v>0</v>
      </c>
      <c r="Q380" t="n">
        <v>0</v>
      </c>
      <c r="R380" s="2" t="inlineStr"/>
    </row>
    <row r="381" ht="15" customHeight="1">
      <c r="A381" t="inlineStr">
        <is>
          <t>A 56246-2023</t>
        </is>
      </c>
      <c r="B381" s="1" t="n">
        <v>45240</v>
      </c>
      <c r="C381" s="1" t="n">
        <v>45879</v>
      </c>
      <c r="D381" t="inlineStr">
        <is>
          <t>VÄSTERBOTTENS LÄN</t>
        </is>
      </c>
      <c r="E381" t="inlineStr">
        <is>
          <t>VILHELMINA</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12866-2023</t>
        </is>
      </c>
      <c r="B382" s="1" t="n">
        <v>45000</v>
      </c>
      <c r="C382" s="1" t="n">
        <v>45879</v>
      </c>
      <c r="D382" t="inlineStr">
        <is>
          <t>VÄSTERBOTTENS LÄN</t>
        </is>
      </c>
      <c r="E382" t="inlineStr">
        <is>
          <t>VILHELMINA</t>
        </is>
      </c>
      <c r="G382" t="n">
        <v>2.6</v>
      </c>
      <c r="H382" t="n">
        <v>0</v>
      </c>
      <c r="I382" t="n">
        <v>0</v>
      </c>
      <c r="J382" t="n">
        <v>0</v>
      </c>
      <c r="K382" t="n">
        <v>0</v>
      </c>
      <c r="L382" t="n">
        <v>0</v>
      </c>
      <c r="M382" t="n">
        <v>0</v>
      </c>
      <c r="N382" t="n">
        <v>0</v>
      </c>
      <c r="O382" t="n">
        <v>0</v>
      </c>
      <c r="P382" t="n">
        <v>0</v>
      </c>
      <c r="Q382" t="n">
        <v>0</v>
      </c>
      <c r="R382" s="2" t="inlineStr"/>
    </row>
    <row r="383" ht="15" customHeight="1">
      <c r="A383" t="inlineStr">
        <is>
          <t>A 38187-2024</t>
        </is>
      </c>
      <c r="B383" s="1" t="n">
        <v>45545.49028935185</v>
      </c>
      <c r="C383" s="1" t="n">
        <v>45879</v>
      </c>
      <c r="D383" t="inlineStr">
        <is>
          <t>VÄSTERBOTTENS LÄN</t>
        </is>
      </c>
      <c r="E383" t="inlineStr">
        <is>
          <t>VILHELMINA</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17307-2025</t>
        </is>
      </c>
      <c r="B384" s="1" t="n">
        <v>45756</v>
      </c>
      <c r="C384" s="1" t="n">
        <v>45879</v>
      </c>
      <c r="D384" t="inlineStr">
        <is>
          <t>VÄSTERBOTTENS LÄN</t>
        </is>
      </c>
      <c r="E384" t="inlineStr">
        <is>
          <t>VILHELMINA</t>
        </is>
      </c>
      <c r="G384" t="n">
        <v>11.2</v>
      </c>
      <c r="H384" t="n">
        <v>0</v>
      </c>
      <c r="I384" t="n">
        <v>0</v>
      </c>
      <c r="J384" t="n">
        <v>0</v>
      </c>
      <c r="K384" t="n">
        <v>0</v>
      </c>
      <c r="L384" t="n">
        <v>0</v>
      </c>
      <c r="M384" t="n">
        <v>0</v>
      </c>
      <c r="N384" t="n">
        <v>0</v>
      </c>
      <c r="O384" t="n">
        <v>0</v>
      </c>
      <c r="P384" t="n">
        <v>0</v>
      </c>
      <c r="Q384" t="n">
        <v>0</v>
      </c>
      <c r="R384" s="2" t="inlineStr"/>
    </row>
    <row r="385" ht="15" customHeight="1">
      <c r="A385" t="inlineStr">
        <is>
          <t>A 35006-2023</t>
        </is>
      </c>
      <c r="B385" s="1" t="n">
        <v>45142.95103009259</v>
      </c>
      <c r="C385" s="1" t="n">
        <v>45879</v>
      </c>
      <c r="D385" t="inlineStr">
        <is>
          <t>VÄSTERBOTTENS LÄN</t>
        </is>
      </c>
      <c r="E385" t="inlineStr">
        <is>
          <t>VILHELMINA</t>
        </is>
      </c>
      <c r="F385" t="inlineStr">
        <is>
          <t>SCA</t>
        </is>
      </c>
      <c r="G385" t="n">
        <v>11.6</v>
      </c>
      <c r="H385" t="n">
        <v>0</v>
      </c>
      <c r="I385" t="n">
        <v>0</v>
      </c>
      <c r="J385" t="n">
        <v>0</v>
      </c>
      <c r="K385" t="n">
        <v>0</v>
      </c>
      <c r="L385" t="n">
        <v>0</v>
      </c>
      <c r="M385" t="n">
        <v>0</v>
      </c>
      <c r="N385" t="n">
        <v>0</v>
      </c>
      <c r="O385" t="n">
        <v>0</v>
      </c>
      <c r="P385" t="n">
        <v>0</v>
      </c>
      <c r="Q385" t="n">
        <v>0</v>
      </c>
      <c r="R385" s="2" t="inlineStr"/>
    </row>
    <row r="386" ht="15" customHeight="1">
      <c r="A386" t="inlineStr">
        <is>
          <t>A 252-2025</t>
        </is>
      </c>
      <c r="B386" s="1" t="n">
        <v>45660.42734953704</v>
      </c>
      <c r="C386" s="1" t="n">
        <v>45879</v>
      </c>
      <c r="D386" t="inlineStr">
        <is>
          <t>VÄSTERBOTTENS LÄN</t>
        </is>
      </c>
      <c r="E386" t="inlineStr">
        <is>
          <t>VILHELMINA</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72494-2021</t>
        </is>
      </c>
      <c r="B387" s="1" t="n">
        <v>44545.92059027778</v>
      </c>
      <c r="C387" s="1" t="n">
        <v>45879</v>
      </c>
      <c r="D387" t="inlineStr">
        <is>
          <t>VÄSTERBOTTENS LÄN</t>
        </is>
      </c>
      <c r="E387" t="inlineStr">
        <is>
          <t>VILHELMINA</t>
        </is>
      </c>
      <c r="G387" t="n">
        <v>4.2</v>
      </c>
      <c r="H387" t="n">
        <v>0</v>
      </c>
      <c r="I387" t="n">
        <v>0</v>
      </c>
      <c r="J387" t="n">
        <v>0</v>
      </c>
      <c r="K387" t="n">
        <v>0</v>
      </c>
      <c r="L387" t="n">
        <v>0</v>
      </c>
      <c r="M387" t="n">
        <v>0</v>
      </c>
      <c r="N387" t="n">
        <v>0</v>
      </c>
      <c r="O387" t="n">
        <v>0</v>
      </c>
      <c r="P387" t="n">
        <v>0</v>
      </c>
      <c r="Q387" t="n">
        <v>0</v>
      </c>
      <c r="R387" s="2" t="inlineStr"/>
    </row>
    <row r="388" ht="15" customHeight="1">
      <c r="A388" t="inlineStr">
        <is>
          <t>A 58207-2022</t>
        </is>
      </c>
      <c r="B388" s="1" t="n">
        <v>44901</v>
      </c>
      <c r="C388" s="1" t="n">
        <v>45879</v>
      </c>
      <c r="D388" t="inlineStr">
        <is>
          <t>VÄSTERBOTTENS LÄN</t>
        </is>
      </c>
      <c r="E388" t="inlineStr">
        <is>
          <t>VILHELMINA</t>
        </is>
      </c>
      <c r="G388" t="n">
        <v>143.2</v>
      </c>
      <c r="H388" t="n">
        <v>0</v>
      </c>
      <c r="I388" t="n">
        <v>0</v>
      </c>
      <c r="J388" t="n">
        <v>0</v>
      </c>
      <c r="K388" t="n">
        <v>0</v>
      </c>
      <c r="L388" t="n">
        <v>0</v>
      </c>
      <c r="M388" t="n">
        <v>0</v>
      </c>
      <c r="N388" t="n">
        <v>0</v>
      </c>
      <c r="O388" t="n">
        <v>0</v>
      </c>
      <c r="P388" t="n">
        <v>0</v>
      </c>
      <c r="Q388" t="n">
        <v>0</v>
      </c>
      <c r="R388" s="2" t="inlineStr"/>
    </row>
    <row r="389" ht="15" customHeight="1">
      <c r="A389" t="inlineStr">
        <is>
          <t>A 706-2024</t>
        </is>
      </c>
      <c r="B389" s="1" t="n">
        <v>45300</v>
      </c>
      <c r="C389" s="1" t="n">
        <v>45879</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248-2025</t>
        </is>
      </c>
      <c r="B390" s="1" t="n">
        <v>45660.419375</v>
      </c>
      <c r="C390" s="1" t="n">
        <v>45879</v>
      </c>
      <c r="D390" t="inlineStr">
        <is>
          <t>VÄSTERBOTTENS LÄN</t>
        </is>
      </c>
      <c r="E390" t="inlineStr">
        <is>
          <t>VILHELMINA</t>
        </is>
      </c>
      <c r="G390" t="n">
        <v>11</v>
      </c>
      <c r="H390" t="n">
        <v>0</v>
      </c>
      <c r="I390" t="n">
        <v>0</v>
      </c>
      <c r="J390" t="n">
        <v>0</v>
      </c>
      <c r="K390" t="n">
        <v>0</v>
      </c>
      <c r="L390" t="n">
        <v>0</v>
      </c>
      <c r="M390" t="n">
        <v>0</v>
      </c>
      <c r="N390" t="n">
        <v>0</v>
      </c>
      <c r="O390" t="n">
        <v>0</v>
      </c>
      <c r="P390" t="n">
        <v>0</v>
      </c>
      <c r="Q390" t="n">
        <v>0</v>
      </c>
      <c r="R390" s="2" t="inlineStr"/>
    </row>
    <row r="391" ht="15" customHeight="1">
      <c r="A391" t="inlineStr">
        <is>
          <t>A 56754-2023</t>
        </is>
      </c>
      <c r="B391" s="1" t="n">
        <v>45238</v>
      </c>
      <c r="C391" s="1" t="n">
        <v>45879</v>
      </c>
      <c r="D391" t="inlineStr">
        <is>
          <t>VÄSTERBOTTENS LÄN</t>
        </is>
      </c>
      <c r="E391" t="inlineStr">
        <is>
          <t>VILHELMINA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2008-2025</t>
        </is>
      </c>
      <c r="B392" s="1" t="n">
        <v>45672.45302083333</v>
      </c>
      <c r="C392" s="1" t="n">
        <v>45879</v>
      </c>
      <c r="D392" t="inlineStr">
        <is>
          <t>VÄSTERBOTTENS LÄN</t>
        </is>
      </c>
      <c r="E392" t="inlineStr">
        <is>
          <t>VILHELMINA</t>
        </is>
      </c>
      <c r="G392" t="n">
        <v>0.7</v>
      </c>
      <c r="H392" t="n">
        <v>0</v>
      </c>
      <c r="I392" t="n">
        <v>0</v>
      </c>
      <c r="J392" t="n">
        <v>0</v>
      </c>
      <c r="K392" t="n">
        <v>0</v>
      </c>
      <c r="L392" t="n">
        <v>0</v>
      </c>
      <c r="M392" t="n">
        <v>0</v>
      </c>
      <c r="N392" t="n">
        <v>0</v>
      </c>
      <c r="O392" t="n">
        <v>0</v>
      </c>
      <c r="P392" t="n">
        <v>0</v>
      </c>
      <c r="Q392" t="n">
        <v>0</v>
      </c>
      <c r="R392" s="2" t="inlineStr"/>
    </row>
    <row r="393" ht="15" customHeight="1">
      <c r="A393" t="inlineStr">
        <is>
          <t>A 46316-2022</t>
        </is>
      </c>
      <c r="B393" s="1" t="n">
        <v>44847</v>
      </c>
      <c r="C393" s="1" t="n">
        <v>45879</v>
      </c>
      <c r="D393" t="inlineStr">
        <is>
          <t>VÄSTERBOTTENS LÄN</t>
        </is>
      </c>
      <c r="E393" t="inlineStr">
        <is>
          <t>VILHELMINA</t>
        </is>
      </c>
      <c r="G393" t="n">
        <v>2.1</v>
      </c>
      <c r="H393" t="n">
        <v>0</v>
      </c>
      <c r="I393" t="n">
        <v>0</v>
      </c>
      <c r="J393" t="n">
        <v>0</v>
      </c>
      <c r="K393" t="n">
        <v>0</v>
      </c>
      <c r="L393" t="n">
        <v>0</v>
      </c>
      <c r="M393" t="n">
        <v>0</v>
      </c>
      <c r="N393" t="n">
        <v>0</v>
      </c>
      <c r="O393" t="n">
        <v>0</v>
      </c>
      <c r="P393" t="n">
        <v>0</v>
      </c>
      <c r="Q393" t="n">
        <v>0</v>
      </c>
      <c r="R393" s="2" t="inlineStr"/>
    </row>
    <row r="394" ht="15" customHeight="1">
      <c r="A394" t="inlineStr">
        <is>
          <t>A 32683-2024</t>
        </is>
      </c>
      <c r="B394" s="1" t="n">
        <v>45515</v>
      </c>
      <c r="C394" s="1" t="n">
        <v>45879</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18398-2025</t>
        </is>
      </c>
      <c r="B395" s="1" t="n">
        <v>45762.59491898148</v>
      </c>
      <c r="C395" s="1" t="n">
        <v>45879</v>
      </c>
      <c r="D395" t="inlineStr">
        <is>
          <t>VÄSTERBOTTENS LÄN</t>
        </is>
      </c>
      <c r="E395" t="inlineStr">
        <is>
          <t>VILHELMINA</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55720-2023</t>
        </is>
      </c>
      <c r="B396" s="1" t="n">
        <v>45232</v>
      </c>
      <c r="C396" s="1" t="n">
        <v>45879</v>
      </c>
      <c r="D396" t="inlineStr">
        <is>
          <t>VÄSTERBOTTENS LÄN</t>
        </is>
      </c>
      <c r="E396" t="inlineStr">
        <is>
          <t>VILHELMINA</t>
        </is>
      </c>
      <c r="G396" t="n">
        <v>0.8</v>
      </c>
      <c r="H396" t="n">
        <v>0</v>
      </c>
      <c r="I396" t="n">
        <v>0</v>
      </c>
      <c r="J396" t="n">
        <v>0</v>
      </c>
      <c r="K396" t="n">
        <v>0</v>
      </c>
      <c r="L396" t="n">
        <v>0</v>
      </c>
      <c r="M396" t="n">
        <v>0</v>
      </c>
      <c r="N396" t="n">
        <v>0</v>
      </c>
      <c r="O396" t="n">
        <v>0</v>
      </c>
      <c r="P396" t="n">
        <v>0</v>
      </c>
      <c r="Q396" t="n">
        <v>0</v>
      </c>
      <c r="R396" s="2" t="inlineStr"/>
    </row>
    <row r="397" ht="15" customHeight="1">
      <c r="A397" t="inlineStr">
        <is>
          <t>A 38363-2023</t>
        </is>
      </c>
      <c r="B397" s="1" t="n">
        <v>45161</v>
      </c>
      <c r="C397" s="1" t="n">
        <v>45879</v>
      </c>
      <c r="D397" t="inlineStr">
        <is>
          <t>VÄSTERBOTTENS LÄN</t>
        </is>
      </c>
      <c r="E397" t="inlineStr">
        <is>
          <t>VILHELMINA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22108-2024</t>
        </is>
      </c>
      <c r="B398" s="1" t="n">
        <v>45443</v>
      </c>
      <c r="C398" s="1" t="n">
        <v>45879</v>
      </c>
      <c r="D398" t="inlineStr">
        <is>
          <t>VÄSTERBOTTENS LÄN</t>
        </is>
      </c>
      <c r="E398" t="inlineStr">
        <is>
          <t>VILHELMINA</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58456-2023</t>
        </is>
      </c>
      <c r="B399" s="1" t="n">
        <v>45250.96092592592</v>
      </c>
      <c r="C399" s="1" t="n">
        <v>45879</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60549-2022</t>
        </is>
      </c>
      <c r="B400" s="1" t="n">
        <v>44911.51318287037</v>
      </c>
      <c r="C400" s="1" t="n">
        <v>45879</v>
      </c>
      <c r="D400" t="inlineStr">
        <is>
          <t>VÄSTERBOTTENS LÄN</t>
        </is>
      </c>
      <c r="E400" t="inlineStr">
        <is>
          <t>VILHELMINA</t>
        </is>
      </c>
      <c r="G400" t="n">
        <v>3.8</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45879</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8726-2023</t>
        </is>
      </c>
      <c r="B402" s="1" t="n">
        <v>44972</v>
      </c>
      <c r="C402" s="1" t="n">
        <v>45879</v>
      </c>
      <c r="D402" t="inlineStr">
        <is>
          <t>VÄSTERBOTTENS LÄN</t>
        </is>
      </c>
      <c r="E402" t="inlineStr">
        <is>
          <t>VILHELMINA</t>
        </is>
      </c>
      <c r="F402" t="inlineStr">
        <is>
          <t>Allmännings- och besparingsskogar</t>
        </is>
      </c>
      <c r="G402" t="n">
        <v>50</v>
      </c>
      <c r="H402" t="n">
        <v>0</v>
      </c>
      <c r="I402" t="n">
        <v>0</v>
      </c>
      <c r="J402" t="n">
        <v>0</v>
      </c>
      <c r="K402" t="n">
        <v>0</v>
      </c>
      <c r="L402" t="n">
        <v>0</v>
      </c>
      <c r="M402" t="n">
        <v>0</v>
      </c>
      <c r="N402" t="n">
        <v>0</v>
      </c>
      <c r="O402" t="n">
        <v>0</v>
      </c>
      <c r="P402" t="n">
        <v>0</v>
      </c>
      <c r="Q402" t="n">
        <v>0</v>
      </c>
      <c r="R402" s="2" t="inlineStr"/>
    </row>
    <row r="403" ht="15" customHeight="1">
      <c r="A403" t="inlineStr">
        <is>
          <t>A 16721-2025</t>
        </is>
      </c>
      <c r="B403" s="1" t="n">
        <v>45754.49045138889</v>
      </c>
      <c r="C403" s="1" t="n">
        <v>45879</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60376-2024</t>
        </is>
      </c>
      <c r="B404" s="1" t="n">
        <v>45643</v>
      </c>
      <c r="C404" s="1" t="n">
        <v>45879</v>
      </c>
      <c r="D404" t="inlineStr">
        <is>
          <t>VÄSTERBOTTENS LÄN</t>
        </is>
      </c>
      <c r="E404" t="inlineStr">
        <is>
          <t>VILHELMINA</t>
        </is>
      </c>
      <c r="F404" t="inlineStr">
        <is>
          <t>SCA</t>
        </is>
      </c>
      <c r="G404" t="n">
        <v>11.5</v>
      </c>
      <c r="H404" t="n">
        <v>0</v>
      </c>
      <c r="I404" t="n">
        <v>0</v>
      </c>
      <c r="J404" t="n">
        <v>0</v>
      </c>
      <c r="K404" t="n">
        <v>0</v>
      </c>
      <c r="L404" t="n">
        <v>0</v>
      </c>
      <c r="M404" t="n">
        <v>0</v>
      </c>
      <c r="N404" t="n">
        <v>0</v>
      </c>
      <c r="O404" t="n">
        <v>0</v>
      </c>
      <c r="P404" t="n">
        <v>0</v>
      </c>
      <c r="Q404" t="n">
        <v>0</v>
      </c>
      <c r="R404" s="2" t="inlineStr"/>
    </row>
    <row r="405" ht="15" customHeight="1">
      <c r="A405" t="inlineStr">
        <is>
          <t>A 19465-2025</t>
        </is>
      </c>
      <c r="B405" s="1" t="n">
        <v>45770</v>
      </c>
      <c r="C405" s="1" t="n">
        <v>45879</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29463-2024</t>
        </is>
      </c>
      <c r="B406" s="1" t="n">
        <v>45483.96994212963</v>
      </c>
      <c r="C406" s="1" t="n">
        <v>45879</v>
      </c>
      <c r="D406" t="inlineStr">
        <is>
          <t>VÄSTERBOTTENS LÄN</t>
        </is>
      </c>
      <c r="E406" t="inlineStr">
        <is>
          <t>VILHELMINA</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36348-2024</t>
        </is>
      </c>
      <c r="B407" s="1" t="n">
        <v>45534.64422453703</v>
      </c>
      <c r="C407" s="1" t="n">
        <v>45879</v>
      </c>
      <c r="D407" t="inlineStr">
        <is>
          <t>VÄSTERBOTTENS LÄN</t>
        </is>
      </c>
      <c r="E407" t="inlineStr">
        <is>
          <t>VILHELMINA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36355-2024</t>
        </is>
      </c>
      <c r="B408" s="1" t="n">
        <v>45534.64508101852</v>
      </c>
      <c r="C408" s="1" t="n">
        <v>45879</v>
      </c>
      <c r="D408" t="inlineStr">
        <is>
          <t>VÄSTERBOTTENS LÄN</t>
        </is>
      </c>
      <c r="E408" t="inlineStr">
        <is>
          <t>VILHELMINA</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61048-2022</t>
        </is>
      </c>
      <c r="B409" s="1" t="n">
        <v>44914</v>
      </c>
      <c r="C409" s="1" t="n">
        <v>45879</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12229-2022</t>
        </is>
      </c>
      <c r="B410" s="1" t="n">
        <v>44637</v>
      </c>
      <c r="C410" s="1" t="n">
        <v>45879</v>
      </c>
      <c r="D410" t="inlineStr">
        <is>
          <t>VÄSTERBOTTENS LÄN</t>
        </is>
      </c>
      <c r="E410" t="inlineStr">
        <is>
          <t>VILHELMINA</t>
        </is>
      </c>
      <c r="G410" t="n">
        <v>5</v>
      </c>
      <c r="H410" t="n">
        <v>0</v>
      </c>
      <c r="I410" t="n">
        <v>0</v>
      </c>
      <c r="J410" t="n">
        <v>0</v>
      </c>
      <c r="K410" t="n">
        <v>0</v>
      </c>
      <c r="L410" t="n">
        <v>0</v>
      </c>
      <c r="M410" t="n">
        <v>0</v>
      </c>
      <c r="N410" t="n">
        <v>0</v>
      </c>
      <c r="O410" t="n">
        <v>0</v>
      </c>
      <c r="P410" t="n">
        <v>0</v>
      </c>
      <c r="Q410" t="n">
        <v>0</v>
      </c>
      <c r="R410" s="2" t="inlineStr"/>
    </row>
    <row r="411" ht="15" customHeight="1">
      <c r="A411" t="inlineStr">
        <is>
          <t>A 45007-2024</t>
        </is>
      </c>
      <c r="B411" s="1" t="n">
        <v>45575.49100694444</v>
      </c>
      <c r="C411" s="1" t="n">
        <v>45879</v>
      </c>
      <c r="D411" t="inlineStr">
        <is>
          <t>VÄSTERBOTTENS LÄN</t>
        </is>
      </c>
      <c r="E411" t="inlineStr">
        <is>
          <t>VILHELMINA</t>
        </is>
      </c>
      <c r="F411" t="inlineStr">
        <is>
          <t>SCA</t>
        </is>
      </c>
      <c r="G411" t="n">
        <v>14.8</v>
      </c>
      <c r="H411" t="n">
        <v>0</v>
      </c>
      <c r="I411" t="n">
        <v>0</v>
      </c>
      <c r="J411" t="n">
        <v>0</v>
      </c>
      <c r="K411" t="n">
        <v>0</v>
      </c>
      <c r="L411" t="n">
        <v>0</v>
      </c>
      <c r="M411" t="n">
        <v>0</v>
      </c>
      <c r="N411" t="n">
        <v>0</v>
      </c>
      <c r="O411" t="n">
        <v>0</v>
      </c>
      <c r="P411" t="n">
        <v>0</v>
      </c>
      <c r="Q411" t="n">
        <v>0</v>
      </c>
      <c r="R411" s="2" t="inlineStr"/>
    </row>
    <row r="412" ht="15" customHeight="1">
      <c r="A412" t="inlineStr">
        <is>
          <t>A 2382-2023</t>
        </is>
      </c>
      <c r="B412" s="1" t="n">
        <v>44942</v>
      </c>
      <c r="C412" s="1" t="n">
        <v>45879</v>
      </c>
      <c r="D412" t="inlineStr">
        <is>
          <t>VÄSTERBOTTENS LÄN</t>
        </is>
      </c>
      <c r="E412" t="inlineStr">
        <is>
          <t>VILHELMINA</t>
        </is>
      </c>
      <c r="G412" t="n">
        <v>29.7</v>
      </c>
      <c r="H412" t="n">
        <v>0</v>
      </c>
      <c r="I412" t="n">
        <v>0</v>
      </c>
      <c r="J412" t="n">
        <v>0</v>
      </c>
      <c r="K412" t="n">
        <v>0</v>
      </c>
      <c r="L412" t="n">
        <v>0</v>
      </c>
      <c r="M412" t="n">
        <v>0</v>
      </c>
      <c r="N412" t="n">
        <v>0</v>
      </c>
      <c r="O412" t="n">
        <v>0</v>
      </c>
      <c r="P412" t="n">
        <v>0</v>
      </c>
      <c r="Q412" t="n">
        <v>0</v>
      </c>
      <c r="R412" s="2" t="inlineStr"/>
    </row>
    <row r="413" ht="15" customHeight="1">
      <c r="A413" t="inlineStr">
        <is>
          <t>A 52749-2023</t>
        </is>
      </c>
      <c r="B413" s="1" t="n">
        <v>45225.9678587963</v>
      </c>
      <c r="C413" s="1" t="n">
        <v>45879</v>
      </c>
      <c r="D413" t="inlineStr">
        <is>
          <t>VÄSTERBOTTENS LÄN</t>
        </is>
      </c>
      <c r="E413" t="inlineStr">
        <is>
          <t>VILHELMINA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70849-2021</t>
        </is>
      </c>
      <c r="B414" s="1" t="n">
        <v>44532</v>
      </c>
      <c r="C414" s="1" t="n">
        <v>45879</v>
      </c>
      <c r="D414" t="inlineStr">
        <is>
          <t>VÄSTERBOTTENS LÄN</t>
        </is>
      </c>
      <c r="E414" t="inlineStr">
        <is>
          <t>VILHELMINA</t>
        </is>
      </c>
      <c r="G414" t="n">
        <v>21.4</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45879</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57795-2023</t>
        </is>
      </c>
      <c r="B416" s="1" t="n">
        <v>45246.96861111111</v>
      </c>
      <c r="C416" s="1" t="n">
        <v>45879</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52174-2020</t>
        </is>
      </c>
      <c r="B417" s="1" t="n">
        <v>44105</v>
      </c>
      <c r="C417" s="1" t="n">
        <v>45879</v>
      </c>
      <c r="D417" t="inlineStr">
        <is>
          <t>VÄSTERBOTTENS LÄN</t>
        </is>
      </c>
      <c r="E417" t="inlineStr">
        <is>
          <t>VILHELMINA</t>
        </is>
      </c>
      <c r="G417" t="n">
        <v>3</v>
      </c>
      <c r="H417" t="n">
        <v>0</v>
      </c>
      <c r="I417" t="n">
        <v>0</v>
      </c>
      <c r="J417" t="n">
        <v>0</v>
      </c>
      <c r="K417" t="n">
        <v>0</v>
      </c>
      <c r="L417" t="n">
        <v>0</v>
      </c>
      <c r="M417" t="n">
        <v>0</v>
      </c>
      <c r="N417" t="n">
        <v>0</v>
      </c>
      <c r="O417" t="n">
        <v>0</v>
      </c>
      <c r="P417" t="n">
        <v>0</v>
      </c>
      <c r="Q417" t="n">
        <v>0</v>
      </c>
      <c r="R417" s="2" t="inlineStr"/>
    </row>
    <row r="418" ht="15" customHeight="1">
      <c r="A418" t="inlineStr">
        <is>
          <t>A 30583-2024</t>
        </is>
      </c>
      <c r="B418" s="1" t="n">
        <v>45492.96108796296</v>
      </c>
      <c r="C418" s="1" t="n">
        <v>45879</v>
      </c>
      <c r="D418" t="inlineStr">
        <is>
          <t>VÄSTERBOTTENS LÄN</t>
        </is>
      </c>
      <c r="E418" t="inlineStr">
        <is>
          <t>VILHELMINA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28380-2023</t>
        </is>
      </c>
      <c r="B419" s="1" t="n">
        <v>45099</v>
      </c>
      <c r="C419" s="1" t="n">
        <v>45879</v>
      </c>
      <c r="D419" t="inlineStr">
        <is>
          <t>VÄSTERBOTTENS LÄN</t>
        </is>
      </c>
      <c r="E419" t="inlineStr">
        <is>
          <t>VILHELMINA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38674-2023</t>
        </is>
      </c>
      <c r="B420" s="1" t="n">
        <v>45162.94335648148</v>
      </c>
      <c r="C420" s="1" t="n">
        <v>45879</v>
      </c>
      <c r="D420" t="inlineStr">
        <is>
          <t>VÄSTERBOTTENS LÄN</t>
        </is>
      </c>
      <c r="E420" t="inlineStr">
        <is>
          <t>VILHELMINA</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63218-2021</t>
        </is>
      </c>
      <c r="B421" s="1" t="n">
        <v>44505</v>
      </c>
      <c r="C421" s="1" t="n">
        <v>45879</v>
      </c>
      <c r="D421" t="inlineStr">
        <is>
          <t>VÄSTERBOTTENS LÄN</t>
        </is>
      </c>
      <c r="E421" t="inlineStr">
        <is>
          <t>VILHELMINA</t>
        </is>
      </c>
      <c r="G421" t="n">
        <v>6.8</v>
      </c>
      <c r="H421" t="n">
        <v>0</v>
      </c>
      <c r="I421" t="n">
        <v>0</v>
      </c>
      <c r="J421" t="n">
        <v>0</v>
      </c>
      <c r="K421" t="n">
        <v>0</v>
      </c>
      <c r="L421" t="n">
        <v>0</v>
      </c>
      <c r="M421" t="n">
        <v>0</v>
      </c>
      <c r="N421" t="n">
        <v>0</v>
      </c>
      <c r="O421" t="n">
        <v>0</v>
      </c>
      <c r="P421" t="n">
        <v>0</v>
      </c>
      <c r="Q421" t="n">
        <v>0</v>
      </c>
      <c r="R421" s="2" t="inlineStr"/>
    </row>
    <row r="422" ht="15" customHeight="1">
      <c r="A422" t="inlineStr">
        <is>
          <t>A 11544-2023</t>
        </is>
      </c>
      <c r="B422" s="1" t="n">
        <v>44993.94818287037</v>
      </c>
      <c r="C422" s="1" t="n">
        <v>45879</v>
      </c>
      <c r="D422" t="inlineStr">
        <is>
          <t>VÄSTERBOTTENS LÄN</t>
        </is>
      </c>
      <c r="E422" t="inlineStr">
        <is>
          <t>VILHELMINA</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45879</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45879</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21035-2025</t>
        </is>
      </c>
      <c r="B425" s="1" t="n">
        <v>45777.53157407408</v>
      </c>
      <c r="C425" s="1" t="n">
        <v>45879</v>
      </c>
      <c r="D425" t="inlineStr">
        <is>
          <t>VÄSTERBOTTENS LÄN</t>
        </is>
      </c>
      <c r="E425" t="inlineStr">
        <is>
          <t>VILHELMINA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21069-2025</t>
        </is>
      </c>
      <c r="B426" s="1" t="n">
        <v>45777.59427083333</v>
      </c>
      <c r="C426" s="1" t="n">
        <v>45879</v>
      </c>
      <c r="D426" t="inlineStr">
        <is>
          <t>VÄSTERBOTTENS LÄN</t>
        </is>
      </c>
      <c r="E426" t="inlineStr">
        <is>
          <t>VILHELMINA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8555-2023</t>
        </is>
      </c>
      <c r="B427" s="1" t="n">
        <v>44972</v>
      </c>
      <c r="C427" s="1" t="n">
        <v>45879</v>
      </c>
      <c r="D427" t="inlineStr">
        <is>
          <t>VÄSTERBOTTENS LÄN</t>
        </is>
      </c>
      <c r="E427" t="inlineStr">
        <is>
          <t>VILHELMINA</t>
        </is>
      </c>
      <c r="F427" t="inlineStr">
        <is>
          <t>Allmännings- och besparingsskogar</t>
        </is>
      </c>
      <c r="G427" t="n">
        <v>39</v>
      </c>
      <c r="H427" t="n">
        <v>0</v>
      </c>
      <c r="I427" t="n">
        <v>0</v>
      </c>
      <c r="J427" t="n">
        <v>0</v>
      </c>
      <c r="K427" t="n">
        <v>0</v>
      </c>
      <c r="L427" t="n">
        <v>0</v>
      </c>
      <c r="M427" t="n">
        <v>0</v>
      </c>
      <c r="N427" t="n">
        <v>0</v>
      </c>
      <c r="O427" t="n">
        <v>0</v>
      </c>
      <c r="P427" t="n">
        <v>0</v>
      </c>
      <c r="Q427" t="n">
        <v>0</v>
      </c>
      <c r="R427" s="2" t="inlineStr"/>
    </row>
    <row r="428" ht="15" customHeight="1">
      <c r="A428" t="inlineStr">
        <is>
          <t>A 5435-2024</t>
        </is>
      </c>
      <c r="B428" s="1" t="n">
        <v>45331</v>
      </c>
      <c r="C428" s="1" t="n">
        <v>45879</v>
      </c>
      <c r="D428" t="inlineStr">
        <is>
          <t>VÄSTERBOTTENS LÄN</t>
        </is>
      </c>
      <c r="E428" t="inlineStr">
        <is>
          <t>VILHELMINA</t>
        </is>
      </c>
      <c r="G428" t="n">
        <v>6</v>
      </c>
      <c r="H428" t="n">
        <v>0</v>
      </c>
      <c r="I428" t="n">
        <v>0</v>
      </c>
      <c r="J428" t="n">
        <v>0</v>
      </c>
      <c r="K428" t="n">
        <v>0</v>
      </c>
      <c r="L428" t="n">
        <v>0</v>
      </c>
      <c r="M428" t="n">
        <v>0</v>
      </c>
      <c r="N428" t="n">
        <v>0</v>
      </c>
      <c r="O428" t="n">
        <v>0</v>
      </c>
      <c r="P428" t="n">
        <v>0</v>
      </c>
      <c r="Q428" t="n">
        <v>0</v>
      </c>
      <c r="R428" s="2" t="inlineStr"/>
    </row>
    <row r="429" ht="15" customHeight="1">
      <c r="A429" t="inlineStr">
        <is>
          <t>A 21410-2025</t>
        </is>
      </c>
      <c r="B429" s="1" t="n">
        <v>45782</v>
      </c>
      <c r="C429" s="1" t="n">
        <v>45879</v>
      </c>
      <c r="D429" t="inlineStr">
        <is>
          <t>VÄSTERBOTTENS LÄN</t>
        </is>
      </c>
      <c r="E429" t="inlineStr">
        <is>
          <t>VILHELMINA</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3745-2023</t>
        </is>
      </c>
      <c r="B430" s="1" t="n">
        <v>44949</v>
      </c>
      <c r="C430" s="1" t="n">
        <v>45879</v>
      </c>
      <c r="D430" t="inlineStr">
        <is>
          <t>VÄSTERBOTTENS LÄN</t>
        </is>
      </c>
      <c r="E430" t="inlineStr">
        <is>
          <t>VILHELMINA</t>
        </is>
      </c>
      <c r="G430" t="n">
        <v>36.6</v>
      </c>
      <c r="H430" t="n">
        <v>0</v>
      </c>
      <c r="I430" t="n">
        <v>0</v>
      </c>
      <c r="J430" t="n">
        <v>0</v>
      </c>
      <c r="K430" t="n">
        <v>0</v>
      </c>
      <c r="L430" t="n">
        <v>0</v>
      </c>
      <c r="M430" t="n">
        <v>0</v>
      </c>
      <c r="N430" t="n">
        <v>0</v>
      </c>
      <c r="O430" t="n">
        <v>0</v>
      </c>
      <c r="P430" t="n">
        <v>0</v>
      </c>
      <c r="Q430" t="n">
        <v>0</v>
      </c>
      <c r="R430" s="2" t="inlineStr"/>
    </row>
    <row r="431" ht="15" customHeight="1">
      <c r="A431" t="inlineStr">
        <is>
          <t>A 21205-2025</t>
        </is>
      </c>
      <c r="B431" s="1" t="n">
        <v>45779</v>
      </c>
      <c r="C431" s="1" t="n">
        <v>45879</v>
      </c>
      <c r="D431" t="inlineStr">
        <is>
          <t>VÄSTERBOTTENS LÄN</t>
        </is>
      </c>
      <c r="E431" t="inlineStr">
        <is>
          <t>VILHELMINA</t>
        </is>
      </c>
      <c r="F431" t="inlineStr">
        <is>
          <t>Allmännings- och besparingsskogar</t>
        </is>
      </c>
      <c r="G431" t="n">
        <v>6.2</v>
      </c>
      <c r="H431" t="n">
        <v>0</v>
      </c>
      <c r="I431" t="n">
        <v>0</v>
      </c>
      <c r="J431" t="n">
        <v>0</v>
      </c>
      <c r="K431" t="n">
        <v>0</v>
      </c>
      <c r="L431" t="n">
        <v>0</v>
      </c>
      <c r="M431" t="n">
        <v>0</v>
      </c>
      <c r="N431" t="n">
        <v>0</v>
      </c>
      <c r="O431" t="n">
        <v>0</v>
      </c>
      <c r="P431" t="n">
        <v>0</v>
      </c>
      <c r="Q431" t="n">
        <v>0</v>
      </c>
      <c r="R431" s="2" t="inlineStr"/>
    </row>
    <row r="432" ht="15" customHeight="1">
      <c r="A432" t="inlineStr">
        <is>
          <t>A 31696-2024</t>
        </is>
      </c>
      <c r="B432" s="1" t="n">
        <v>45508</v>
      </c>
      <c r="C432" s="1" t="n">
        <v>45879</v>
      </c>
      <c r="D432" t="inlineStr">
        <is>
          <t>VÄSTERBOTTENS LÄN</t>
        </is>
      </c>
      <c r="E432" t="inlineStr">
        <is>
          <t>VILHELMINA</t>
        </is>
      </c>
      <c r="G432" t="n">
        <v>7.7</v>
      </c>
      <c r="H432" t="n">
        <v>0</v>
      </c>
      <c r="I432" t="n">
        <v>0</v>
      </c>
      <c r="J432" t="n">
        <v>0</v>
      </c>
      <c r="K432" t="n">
        <v>0</v>
      </c>
      <c r="L432" t="n">
        <v>0</v>
      </c>
      <c r="M432" t="n">
        <v>0</v>
      </c>
      <c r="N432" t="n">
        <v>0</v>
      </c>
      <c r="O432" t="n">
        <v>0</v>
      </c>
      <c r="P432" t="n">
        <v>0</v>
      </c>
      <c r="Q432" t="n">
        <v>0</v>
      </c>
      <c r="R432" s="2" t="inlineStr"/>
    </row>
    <row r="433" ht="15" customHeight="1">
      <c r="A433" t="inlineStr">
        <is>
          <t>A 21448-2025</t>
        </is>
      </c>
      <c r="B433" s="1" t="n">
        <v>45782.55241898148</v>
      </c>
      <c r="C433" s="1" t="n">
        <v>45879</v>
      </c>
      <c r="D433" t="inlineStr">
        <is>
          <t>VÄSTERBOTTENS LÄN</t>
        </is>
      </c>
      <c r="E433" t="inlineStr">
        <is>
          <t>VILHELMINA</t>
        </is>
      </c>
      <c r="F433" t="inlineStr">
        <is>
          <t>SCA</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58377-2021</t>
        </is>
      </c>
      <c r="B434" s="1" t="n">
        <v>44488</v>
      </c>
      <c r="C434" s="1" t="n">
        <v>45879</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21204-2025</t>
        </is>
      </c>
      <c r="B435" s="1" t="n">
        <v>45779</v>
      </c>
      <c r="C435" s="1" t="n">
        <v>45879</v>
      </c>
      <c r="D435" t="inlineStr">
        <is>
          <t>VÄSTERBOTTENS LÄN</t>
        </is>
      </c>
      <c r="E435" t="inlineStr">
        <is>
          <t>VILHELMINA</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21924-2025</t>
        </is>
      </c>
      <c r="B436" s="1" t="n">
        <v>45784</v>
      </c>
      <c r="C436" s="1" t="n">
        <v>45879</v>
      </c>
      <c r="D436" t="inlineStr">
        <is>
          <t>VÄSTERBOTTENS LÄN</t>
        </is>
      </c>
      <c r="E436" t="inlineStr">
        <is>
          <t>VILHELMINA</t>
        </is>
      </c>
      <c r="G436" t="n">
        <v>10.2</v>
      </c>
      <c r="H436" t="n">
        <v>0</v>
      </c>
      <c r="I436" t="n">
        <v>0</v>
      </c>
      <c r="J436" t="n">
        <v>0</v>
      </c>
      <c r="K436" t="n">
        <v>0</v>
      </c>
      <c r="L436" t="n">
        <v>0</v>
      </c>
      <c r="M436" t="n">
        <v>0</v>
      </c>
      <c r="N436" t="n">
        <v>0</v>
      </c>
      <c r="O436" t="n">
        <v>0</v>
      </c>
      <c r="P436" t="n">
        <v>0</v>
      </c>
      <c r="Q436" t="n">
        <v>0</v>
      </c>
      <c r="R436" s="2" t="inlineStr"/>
    </row>
    <row r="437" ht="15" customHeight="1">
      <c r="A437" t="inlineStr">
        <is>
          <t>A 15326-2024</t>
        </is>
      </c>
      <c r="B437" s="1" t="n">
        <v>45400</v>
      </c>
      <c r="C437" s="1" t="n">
        <v>45879</v>
      </c>
      <c r="D437" t="inlineStr">
        <is>
          <t>VÄSTERBOTTENS LÄN</t>
        </is>
      </c>
      <c r="E437" t="inlineStr">
        <is>
          <t>VILHELMINA</t>
        </is>
      </c>
      <c r="G437" t="n">
        <v>4.7</v>
      </c>
      <c r="H437" t="n">
        <v>0</v>
      </c>
      <c r="I437" t="n">
        <v>0</v>
      </c>
      <c r="J437" t="n">
        <v>0</v>
      </c>
      <c r="K437" t="n">
        <v>0</v>
      </c>
      <c r="L437" t="n">
        <v>0</v>
      </c>
      <c r="M437" t="n">
        <v>0</v>
      </c>
      <c r="N437" t="n">
        <v>0</v>
      </c>
      <c r="O437" t="n">
        <v>0</v>
      </c>
      <c r="P437" t="n">
        <v>0</v>
      </c>
      <c r="Q437" t="n">
        <v>0</v>
      </c>
      <c r="R437" s="2" t="inlineStr"/>
    </row>
    <row r="438" ht="15" customHeight="1">
      <c r="A438" t="inlineStr">
        <is>
          <t>A 60682-2022</t>
        </is>
      </c>
      <c r="B438" s="1" t="n">
        <v>44911.94</v>
      </c>
      <c r="C438" s="1" t="n">
        <v>45879</v>
      </c>
      <c r="D438" t="inlineStr">
        <is>
          <t>VÄSTERBOTTENS LÄN</t>
        </is>
      </c>
      <c r="E438" t="inlineStr">
        <is>
          <t>VILHELMINA</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43791-2024</t>
        </is>
      </c>
      <c r="B439" s="1" t="n">
        <v>45571</v>
      </c>
      <c r="C439" s="1" t="n">
        <v>45879</v>
      </c>
      <c r="D439" t="inlineStr">
        <is>
          <t>VÄSTERBOTTENS LÄN</t>
        </is>
      </c>
      <c r="E439" t="inlineStr">
        <is>
          <t>VILHELMINA</t>
        </is>
      </c>
      <c r="G439" t="n">
        <v>30.3</v>
      </c>
      <c r="H439" t="n">
        <v>0</v>
      </c>
      <c r="I439" t="n">
        <v>0</v>
      </c>
      <c r="J439" t="n">
        <v>0</v>
      </c>
      <c r="K439" t="n">
        <v>0</v>
      </c>
      <c r="L439" t="n">
        <v>0</v>
      </c>
      <c r="M439" t="n">
        <v>0</v>
      </c>
      <c r="N439" t="n">
        <v>0</v>
      </c>
      <c r="O439" t="n">
        <v>0</v>
      </c>
      <c r="P439" t="n">
        <v>0</v>
      </c>
      <c r="Q439" t="n">
        <v>0</v>
      </c>
      <c r="R439" s="2" t="inlineStr"/>
    </row>
    <row r="440" ht="15" customHeight="1">
      <c r="A440" t="inlineStr">
        <is>
          <t>A 43792-2024</t>
        </is>
      </c>
      <c r="B440" s="1" t="n">
        <v>45571</v>
      </c>
      <c r="C440" s="1" t="n">
        <v>45879</v>
      </c>
      <c r="D440" t="inlineStr">
        <is>
          <t>VÄSTERBOTTENS LÄN</t>
        </is>
      </c>
      <c r="E440" t="inlineStr">
        <is>
          <t>VILHELMINA</t>
        </is>
      </c>
      <c r="G440" t="n">
        <v>25.3</v>
      </c>
      <c r="H440" t="n">
        <v>0</v>
      </c>
      <c r="I440" t="n">
        <v>0</v>
      </c>
      <c r="J440" t="n">
        <v>0</v>
      </c>
      <c r="K440" t="n">
        <v>0</v>
      </c>
      <c r="L440" t="n">
        <v>0</v>
      </c>
      <c r="M440" t="n">
        <v>0</v>
      </c>
      <c r="N440" t="n">
        <v>0</v>
      </c>
      <c r="O440" t="n">
        <v>0</v>
      </c>
      <c r="P440" t="n">
        <v>0</v>
      </c>
      <c r="Q440" t="n">
        <v>0</v>
      </c>
      <c r="R440" s="2" t="inlineStr"/>
    </row>
    <row r="441" ht="15" customHeight="1">
      <c r="A441" t="inlineStr">
        <is>
          <t>A 37716-2024</t>
        </is>
      </c>
      <c r="B441" s="1" t="n">
        <v>45541.63592592593</v>
      </c>
      <c r="C441" s="1" t="n">
        <v>45879</v>
      </c>
      <c r="D441" t="inlineStr">
        <is>
          <t>VÄSTERBOTTENS LÄN</t>
        </is>
      </c>
      <c r="E441" t="inlineStr">
        <is>
          <t>VILHELMINA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37717-2024</t>
        </is>
      </c>
      <c r="B442" s="1" t="n">
        <v>45541</v>
      </c>
      <c r="C442" s="1" t="n">
        <v>45879</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50482-2023</t>
        </is>
      </c>
      <c r="B443" s="1" t="n">
        <v>45216</v>
      </c>
      <c r="C443" s="1" t="n">
        <v>45879</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21999-2025</t>
        </is>
      </c>
      <c r="B444" s="1" t="n">
        <v>45784</v>
      </c>
      <c r="C444" s="1" t="n">
        <v>45879</v>
      </c>
      <c r="D444" t="inlineStr">
        <is>
          <t>VÄSTERBOTTENS LÄN</t>
        </is>
      </c>
      <c r="E444" t="inlineStr">
        <is>
          <t>VILHELMINA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21950-2025</t>
        </is>
      </c>
      <c r="B445" s="1" t="n">
        <v>45784.59418981482</v>
      </c>
      <c r="C445" s="1" t="n">
        <v>45879</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21623-2025</t>
        </is>
      </c>
      <c r="B446" s="1" t="n">
        <v>45783</v>
      </c>
      <c r="C446" s="1" t="n">
        <v>45879</v>
      </c>
      <c r="D446" t="inlineStr">
        <is>
          <t>VÄSTERBOTTENS LÄN</t>
        </is>
      </c>
      <c r="E446" t="inlineStr">
        <is>
          <t>VILHELMINA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21670-2025</t>
        </is>
      </c>
      <c r="B447" s="1" t="n">
        <v>45783.46917824074</v>
      </c>
      <c r="C447" s="1" t="n">
        <v>45879</v>
      </c>
      <c r="D447" t="inlineStr">
        <is>
          <t>VÄSTERBOTTENS LÄN</t>
        </is>
      </c>
      <c r="E447" t="inlineStr">
        <is>
          <t>VILHELMINA</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21972-2025</t>
        </is>
      </c>
      <c r="B448" s="1" t="n">
        <v>45784.63592592593</v>
      </c>
      <c r="C448" s="1" t="n">
        <v>45879</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36376-2023</t>
        </is>
      </c>
      <c r="B449" s="1" t="n">
        <v>45152</v>
      </c>
      <c r="C449" s="1" t="n">
        <v>45879</v>
      </c>
      <c r="D449" t="inlineStr">
        <is>
          <t>VÄSTERBOTTENS LÄN</t>
        </is>
      </c>
      <c r="E449" t="inlineStr">
        <is>
          <t>VILHELMINA</t>
        </is>
      </c>
      <c r="G449" t="n">
        <v>12.7</v>
      </c>
      <c r="H449" t="n">
        <v>0</v>
      </c>
      <c r="I449" t="n">
        <v>0</v>
      </c>
      <c r="J449" t="n">
        <v>0</v>
      </c>
      <c r="K449" t="n">
        <v>0</v>
      </c>
      <c r="L449" t="n">
        <v>0</v>
      </c>
      <c r="M449" t="n">
        <v>0</v>
      </c>
      <c r="N449" t="n">
        <v>0</v>
      </c>
      <c r="O449" t="n">
        <v>0</v>
      </c>
      <c r="P449" t="n">
        <v>0</v>
      </c>
      <c r="Q449" t="n">
        <v>0</v>
      </c>
      <c r="R449" s="2" t="inlineStr"/>
    </row>
    <row r="450" ht="15" customHeight="1">
      <c r="A450" t="inlineStr">
        <is>
          <t>A 30575-2024</t>
        </is>
      </c>
      <c r="B450" s="1" t="n">
        <v>45492.95818287037</v>
      </c>
      <c r="C450" s="1" t="n">
        <v>45879</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30578-2024</t>
        </is>
      </c>
      <c r="B451" s="1" t="n">
        <v>45492.95939814814</v>
      </c>
      <c r="C451" s="1" t="n">
        <v>45879</v>
      </c>
      <c r="D451" t="inlineStr">
        <is>
          <t>VÄSTERBOTTENS LÄN</t>
        </is>
      </c>
      <c r="E451" t="inlineStr">
        <is>
          <t>VILHELMINA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30580-2024</t>
        </is>
      </c>
      <c r="B452" s="1" t="n">
        <v>45492.95981481481</v>
      </c>
      <c r="C452" s="1" t="n">
        <v>45879</v>
      </c>
      <c r="D452" t="inlineStr">
        <is>
          <t>VÄSTERBOTTENS LÄN</t>
        </is>
      </c>
      <c r="E452" t="inlineStr">
        <is>
          <t>VILHELMINA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72153-2021</t>
        </is>
      </c>
      <c r="B453" s="1" t="n">
        <v>44543</v>
      </c>
      <c r="C453" s="1" t="n">
        <v>45879</v>
      </c>
      <c r="D453" t="inlineStr">
        <is>
          <t>VÄSTERBOTTENS LÄN</t>
        </is>
      </c>
      <c r="E453" t="inlineStr">
        <is>
          <t>VILHELMINA</t>
        </is>
      </c>
      <c r="G453" t="n">
        <v>6.7</v>
      </c>
      <c r="H453" t="n">
        <v>0</v>
      </c>
      <c r="I453" t="n">
        <v>0</v>
      </c>
      <c r="J453" t="n">
        <v>0</v>
      </c>
      <c r="K453" t="n">
        <v>0</v>
      </c>
      <c r="L453" t="n">
        <v>0</v>
      </c>
      <c r="M453" t="n">
        <v>0</v>
      </c>
      <c r="N453" t="n">
        <v>0</v>
      </c>
      <c r="O453" t="n">
        <v>0</v>
      </c>
      <c r="P453" t="n">
        <v>0</v>
      </c>
      <c r="Q453" t="n">
        <v>0</v>
      </c>
      <c r="R453" s="2" t="inlineStr"/>
    </row>
    <row r="454" ht="15" customHeight="1">
      <c r="A454" t="inlineStr">
        <is>
          <t>A 34809-2023</t>
        </is>
      </c>
      <c r="B454" s="1" t="n">
        <v>45140</v>
      </c>
      <c r="C454" s="1" t="n">
        <v>45879</v>
      </c>
      <c r="D454" t="inlineStr">
        <is>
          <t>VÄSTERBOTTENS LÄN</t>
        </is>
      </c>
      <c r="E454" t="inlineStr">
        <is>
          <t>VILHELMINA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35983-2023</t>
        </is>
      </c>
      <c r="B455" s="1" t="n">
        <v>45148.96185185185</v>
      </c>
      <c r="C455" s="1" t="n">
        <v>45879</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23536-2024</t>
        </is>
      </c>
      <c r="B456" s="1" t="n">
        <v>45453.95199074074</v>
      </c>
      <c r="C456" s="1" t="n">
        <v>45879</v>
      </c>
      <c r="D456" t="inlineStr">
        <is>
          <t>VÄSTERBOTTENS LÄN</t>
        </is>
      </c>
      <c r="E456" t="inlineStr">
        <is>
          <t>VILHELMINA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45258-2024</t>
        </is>
      </c>
      <c r="B457" s="1" t="n">
        <v>45576.34444444445</v>
      </c>
      <c r="C457" s="1" t="n">
        <v>45879</v>
      </c>
      <c r="D457" t="inlineStr">
        <is>
          <t>VÄSTERBOTTENS LÄN</t>
        </is>
      </c>
      <c r="E457" t="inlineStr">
        <is>
          <t>VILHELMINA</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22048-2025</t>
        </is>
      </c>
      <c r="B458" s="1" t="n">
        <v>45785.3443287037</v>
      </c>
      <c r="C458" s="1" t="n">
        <v>45879</v>
      </c>
      <c r="D458" t="inlineStr">
        <is>
          <t>VÄSTERBOTTENS LÄN</t>
        </is>
      </c>
      <c r="E458" t="inlineStr">
        <is>
          <t>VILHELMINA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10941-2023</t>
        </is>
      </c>
      <c r="B459" s="1" t="n">
        <v>44985</v>
      </c>
      <c r="C459" s="1" t="n">
        <v>45879</v>
      </c>
      <c r="D459" t="inlineStr">
        <is>
          <t>VÄSTERBOTTENS LÄN</t>
        </is>
      </c>
      <c r="E459" t="inlineStr">
        <is>
          <t>VILHELMINA</t>
        </is>
      </c>
      <c r="G459" t="n">
        <v>16.7</v>
      </c>
      <c r="H459" t="n">
        <v>0</v>
      </c>
      <c r="I459" t="n">
        <v>0</v>
      </c>
      <c r="J459" t="n">
        <v>0</v>
      </c>
      <c r="K459" t="n">
        <v>0</v>
      </c>
      <c r="L459" t="n">
        <v>0</v>
      </c>
      <c r="M459" t="n">
        <v>0</v>
      </c>
      <c r="N459" t="n">
        <v>0</v>
      </c>
      <c r="O459" t="n">
        <v>0</v>
      </c>
      <c r="P459" t="n">
        <v>0</v>
      </c>
      <c r="Q459" t="n">
        <v>0</v>
      </c>
      <c r="R459" s="2" t="inlineStr"/>
    </row>
    <row r="460" ht="15" customHeight="1">
      <c r="A460" t="inlineStr">
        <is>
          <t>A 38222-2024</t>
        </is>
      </c>
      <c r="B460" s="1" t="n">
        <v>45545.53619212963</v>
      </c>
      <c r="C460" s="1" t="n">
        <v>45879</v>
      </c>
      <c r="D460" t="inlineStr">
        <is>
          <t>VÄSTERBOTTENS LÄN</t>
        </is>
      </c>
      <c r="E460" t="inlineStr">
        <is>
          <t>VILHELMINA</t>
        </is>
      </c>
      <c r="F460" t="inlineStr">
        <is>
          <t>Sveaskog</t>
        </is>
      </c>
      <c r="G460" t="n">
        <v>6</v>
      </c>
      <c r="H460" t="n">
        <v>0</v>
      </c>
      <c r="I460" t="n">
        <v>0</v>
      </c>
      <c r="J460" t="n">
        <v>0</v>
      </c>
      <c r="K460" t="n">
        <v>0</v>
      </c>
      <c r="L460" t="n">
        <v>0</v>
      </c>
      <c r="M460" t="n">
        <v>0</v>
      </c>
      <c r="N460" t="n">
        <v>0</v>
      </c>
      <c r="O460" t="n">
        <v>0</v>
      </c>
      <c r="P460" t="n">
        <v>0</v>
      </c>
      <c r="Q460" t="n">
        <v>0</v>
      </c>
      <c r="R460" s="2" t="inlineStr"/>
    </row>
    <row r="461" ht="15" customHeight="1">
      <c r="A461" t="inlineStr">
        <is>
          <t>A 3237-2024</t>
        </is>
      </c>
      <c r="B461" s="1" t="n">
        <v>45316.9474537037</v>
      </c>
      <c r="C461" s="1" t="n">
        <v>45879</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36909-2024</t>
        </is>
      </c>
      <c r="B462" s="1" t="n">
        <v>45538.63577546296</v>
      </c>
      <c r="C462" s="1" t="n">
        <v>45879</v>
      </c>
      <c r="D462" t="inlineStr">
        <is>
          <t>VÄSTERBOTTENS LÄN</t>
        </is>
      </c>
      <c r="E462" t="inlineStr">
        <is>
          <t>VILHELMINA</t>
        </is>
      </c>
      <c r="F462" t="inlineStr">
        <is>
          <t>SCA</t>
        </is>
      </c>
      <c r="G462" t="n">
        <v>16.8</v>
      </c>
      <c r="H462" t="n">
        <v>0</v>
      </c>
      <c r="I462" t="n">
        <v>0</v>
      </c>
      <c r="J462" t="n">
        <v>0</v>
      </c>
      <c r="K462" t="n">
        <v>0</v>
      </c>
      <c r="L462" t="n">
        <v>0</v>
      </c>
      <c r="M462" t="n">
        <v>0</v>
      </c>
      <c r="N462" t="n">
        <v>0</v>
      </c>
      <c r="O462" t="n">
        <v>0</v>
      </c>
      <c r="P462" t="n">
        <v>0</v>
      </c>
      <c r="Q462" t="n">
        <v>0</v>
      </c>
      <c r="R462" s="2" t="inlineStr"/>
    </row>
    <row r="463" ht="15" customHeight="1">
      <c r="A463" t="inlineStr">
        <is>
          <t>A 2054-2023</t>
        </is>
      </c>
      <c r="B463" s="1" t="n">
        <v>44939</v>
      </c>
      <c r="C463" s="1" t="n">
        <v>45879</v>
      </c>
      <c r="D463" t="inlineStr">
        <is>
          <t>VÄSTERBOTTENS LÄN</t>
        </is>
      </c>
      <c r="E463" t="inlineStr">
        <is>
          <t>VILHELMINA</t>
        </is>
      </c>
      <c r="F463" t="inlineStr">
        <is>
          <t>Sveaskog</t>
        </is>
      </c>
      <c r="G463" t="n">
        <v>19.2</v>
      </c>
      <c r="H463" t="n">
        <v>0</v>
      </c>
      <c r="I463" t="n">
        <v>0</v>
      </c>
      <c r="J463" t="n">
        <v>0</v>
      </c>
      <c r="K463" t="n">
        <v>0</v>
      </c>
      <c r="L463" t="n">
        <v>0</v>
      </c>
      <c r="M463" t="n">
        <v>0</v>
      </c>
      <c r="N463" t="n">
        <v>0</v>
      </c>
      <c r="O463" t="n">
        <v>0</v>
      </c>
      <c r="P463" t="n">
        <v>0</v>
      </c>
      <c r="Q463" t="n">
        <v>0</v>
      </c>
      <c r="R463" s="2" t="inlineStr"/>
    </row>
    <row r="464" ht="15" customHeight="1">
      <c r="A464" t="inlineStr">
        <is>
          <t>A 41644-2024</t>
        </is>
      </c>
      <c r="B464" s="1" t="n">
        <v>45560</v>
      </c>
      <c r="C464" s="1" t="n">
        <v>45879</v>
      </c>
      <c r="D464" t="inlineStr">
        <is>
          <t>VÄSTERBOTTENS LÄN</t>
        </is>
      </c>
      <c r="E464" t="inlineStr">
        <is>
          <t>VILHELMINA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48422-2023</t>
        </is>
      </c>
      <c r="B465" s="1" t="n">
        <v>45205</v>
      </c>
      <c r="C465" s="1" t="n">
        <v>45879</v>
      </c>
      <c r="D465" t="inlineStr">
        <is>
          <t>VÄSTERBOTTENS LÄN</t>
        </is>
      </c>
      <c r="E465" t="inlineStr">
        <is>
          <t>VILHELMINA</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48483-2023</t>
        </is>
      </c>
      <c r="B466" s="1" t="n">
        <v>45206.95854166667</v>
      </c>
      <c r="C466" s="1" t="n">
        <v>45879</v>
      </c>
      <c r="D466" t="inlineStr">
        <is>
          <t>VÄSTERBOTTENS LÄN</t>
        </is>
      </c>
      <c r="E466" t="inlineStr">
        <is>
          <t>VILHELMINA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48505-2023</t>
        </is>
      </c>
      <c r="B467" s="1" t="n">
        <v>45207.93900462963</v>
      </c>
      <c r="C467" s="1" t="n">
        <v>45879</v>
      </c>
      <c r="D467" t="inlineStr">
        <is>
          <t>VÄSTERBOTTENS LÄN</t>
        </is>
      </c>
      <c r="E467" t="inlineStr">
        <is>
          <t>VILHELMINA</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50489-2023</t>
        </is>
      </c>
      <c r="B468" s="1" t="n">
        <v>45216.95556712963</v>
      </c>
      <c r="C468" s="1" t="n">
        <v>45879</v>
      </c>
      <c r="D468" t="inlineStr">
        <is>
          <t>VÄSTERBOTTENS LÄN</t>
        </is>
      </c>
      <c r="E468" t="inlineStr">
        <is>
          <t>VILHELMINA</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50506-2023</t>
        </is>
      </c>
      <c r="B469" s="1" t="n">
        <v>45216.9580787037</v>
      </c>
      <c r="C469" s="1" t="n">
        <v>45879</v>
      </c>
      <c r="D469" t="inlineStr">
        <is>
          <t>VÄSTERBOTTENS LÄN</t>
        </is>
      </c>
      <c r="E469" t="inlineStr">
        <is>
          <t>VILHELMINA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66917-2021</t>
        </is>
      </c>
      <c r="B470" s="1" t="n">
        <v>44522</v>
      </c>
      <c r="C470" s="1" t="n">
        <v>45879</v>
      </c>
      <c r="D470" t="inlineStr">
        <is>
          <t>VÄSTERBOTTENS LÄN</t>
        </is>
      </c>
      <c r="E470" t="inlineStr">
        <is>
          <t>VILHELMINA</t>
        </is>
      </c>
      <c r="F470" t="inlineStr">
        <is>
          <t>Allmännings- och besparingsskogar</t>
        </is>
      </c>
      <c r="G470" t="n">
        <v>11.7</v>
      </c>
      <c r="H470" t="n">
        <v>0</v>
      </c>
      <c r="I470" t="n">
        <v>0</v>
      </c>
      <c r="J470" t="n">
        <v>0</v>
      </c>
      <c r="K470" t="n">
        <v>0</v>
      </c>
      <c r="L470" t="n">
        <v>0</v>
      </c>
      <c r="M470" t="n">
        <v>0</v>
      </c>
      <c r="N470" t="n">
        <v>0</v>
      </c>
      <c r="O470" t="n">
        <v>0</v>
      </c>
      <c r="P470" t="n">
        <v>0</v>
      </c>
      <c r="Q470" t="n">
        <v>0</v>
      </c>
      <c r="R470" s="2" t="inlineStr"/>
    </row>
    <row r="471" ht="15" customHeight="1">
      <c r="A471" t="inlineStr">
        <is>
          <t>A 31868-2024</t>
        </is>
      </c>
      <c r="B471" s="1" t="n">
        <v>45509</v>
      </c>
      <c r="C471" s="1" t="n">
        <v>45879</v>
      </c>
      <c r="D471" t="inlineStr">
        <is>
          <t>VÄSTERBOTTENS LÄN</t>
        </is>
      </c>
      <c r="E471" t="inlineStr">
        <is>
          <t>VILHELMINA</t>
        </is>
      </c>
      <c r="G471" t="n">
        <v>4.5</v>
      </c>
      <c r="H471" t="n">
        <v>0</v>
      </c>
      <c r="I471" t="n">
        <v>0</v>
      </c>
      <c r="J471" t="n">
        <v>0</v>
      </c>
      <c r="K471" t="n">
        <v>0</v>
      </c>
      <c r="L471" t="n">
        <v>0</v>
      </c>
      <c r="M471" t="n">
        <v>0</v>
      </c>
      <c r="N471" t="n">
        <v>0</v>
      </c>
      <c r="O471" t="n">
        <v>0</v>
      </c>
      <c r="P471" t="n">
        <v>0</v>
      </c>
      <c r="Q471" t="n">
        <v>0</v>
      </c>
      <c r="R471" s="2" t="inlineStr"/>
    </row>
    <row r="472" ht="15" customHeight="1">
      <c r="A472" t="inlineStr">
        <is>
          <t>A 8652-2023</t>
        </is>
      </c>
      <c r="B472" s="1" t="n">
        <v>44977.98401620371</v>
      </c>
      <c r="C472" s="1" t="n">
        <v>45879</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8653-2023</t>
        </is>
      </c>
      <c r="B473" s="1" t="n">
        <v>44977</v>
      </c>
      <c r="C473" s="1" t="n">
        <v>45879</v>
      </c>
      <c r="D473" t="inlineStr">
        <is>
          <t>VÄSTERBOTTENS LÄN</t>
        </is>
      </c>
      <c r="E473" t="inlineStr">
        <is>
          <t>VILHELMINA</t>
        </is>
      </c>
      <c r="F473" t="inlineStr">
        <is>
          <t>SCA</t>
        </is>
      </c>
      <c r="G473" t="n">
        <v>7.9</v>
      </c>
      <c r="H473" t="n">
        <v>0</v>
      </c>
      <c r="I473" t="n">
        <v>0</v>
      </c>
      <c r="J473" t="n">
        <v>0</v>
      </c>
      <c r="K473" t="n">
        <v>0</v>
      </c>
      <c r="L473" t="n">
        <v>0</v>
      </c>
      <c r="M473" t="n">
        <v>0</v>
      </c>
      <c r="N473" t="n">
        <v>0</v>
      </c>
      <c r="O473" t="n">
        <v>0</v>
      </c>
      <c r="P473" t="n">
        <v>0</v>
      </c>
      <c r="Q473" t="n">
        <v>0</v>
      </c>
      <c r="R473" s="2" t="inlineStr"/>
    </row>
    <row r="474" ht="15" customHeight="1">
      <c r="A474" t="inlineStr">
        <is>
          <t>A 5955-2023</t>
        </is>
      </c>
      <c r="B474" s="1" t="n">
        <v>44963.93989583333</v>
      </c>
      <c r="C474" s="1" t="n">
        <v>45879</v>
      </c>
      <c r="D474" t="inlineStr">
        <is>
          <t>VÄSTERBOTTENS LÄN</t>
        </is>
      </c>
      <c r="E474" t="inlineStr">
        <is>
          <t>VILHELMINA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34135-2024</t>
        </is>
      </c>
      <c r="B475" s="1" t="n">
        <v>45524.35605324074</v>
      </c>
      <c r="C475" s="1" t="n">
        <v>45879</v>
      </c>
      <c r="D475" t="inlineStr">
        <is>
          <t>VÄSTERBOTTENS LÄN</t>
        </is>
      </c>
      <c r="E475" t="inlineStr">
        <is>
          <t>VILHELMINA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38569-2024</t>
        </is>
      </c>
      <c r="B476" s="1" t="n">
        <v>45546.63689814815</v>
      </c>
      <c r="C476" s="1" t="n">
        <v>45879</v>
      </c>
      <c r="D476" t="inlineStr">
        <is>
          <t>VÄSTERBOTTENS LÄN</t>
        </is>
      </c>
      <c r="E476" t="inlineStr">
        <is>
          <t>VILHELMINA</t>
        </is>
      </c>
      <c r="G476" t="n">
        <v>31.5</v>
      </c>
      <c r="H476" t="n">
        <v>0</v>
      </c>
      <c r="I476" t="n">
        <v>0</v>
      </c>
      <c r="J476" t="n">
        <v>0</v>
      </c>
      <c r="K476" t="n">
        <v>0</v>
      </c>
      <c r="L476" t="n">
        <v>0</v>
      </c>
      <c r="M476" t="n">
        <v>0</v>
      </c>
      <c r="N476" t="n">
        <v>0</v>
      </c>
      <c r="O476" t="n">
        <v>0</v>
      </c>
      <c r="P476" t="n">
        <v>0</v>
      </c>
      <c r="Q476" t="n">
        <v>0</v>
      </c>
      <c r="R476" s="2" t="inlineStr"/>
    </row>
    <row r="477" ht="15" customHeight="1">
      <c r="A477" t="inlineStr">
        <is>
          <t>A 42478-2024</t>
        </is>
      </c>
      <c r="B477" s="1" t="n">
        <v>45565.4912962963</v>
      </c>
      <c r="C477" s="1" t="n">
        <v>45879</v>
      </c>
      <c r="D477" t="inlineStr">
        <is>
          <t>VÄSTERBOTTENS LÄN</t>
        </is>
      </c>
      <c r="E477" t="inlineStr">
        <is>
          <t>VILHELMINA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59030-2022</t>
        </is>
      </c>
      <c r="B478" s="1" t="n">
        <v>44903</v>
      </c>
      <c r="C478" s="1" t="n">
        <v>45879</v>
      </c>
      <c r="D478" t="inlineStr">
        <is>
          <t>VÄSTERBOTTENS LÄN</t>
        </is>
      </c>
      <c r="E478" t="inlineStr">
        <is>
          <t>VILHELMINA</t>
        </is>
      </c>
      <c r="G478" t="n">
        <v>17.8</v>
      </c>
      <c r="H478" t="n">
        <v>0</v>
      </c>
      <c r="I478" t="n">
        <v>0</v>
      </c>
      <c r="J478" t="n">
        <v>0</v>
      </c>
      <c r="K478" t="n">
        <v>0</v>
      </c>
      <c r="L478" t="n">
        <v>0</v>
      </c>
      <c r="M478" t="n">
        <v>0</v>
      </c>
      <c r="N478" t="n">
        <v>0</v>
      </c>
      <c r="O478" t="n">
        <v>0</v>
      </c>
      <c r="P478" t="n">
        <v>0</v>
      </c>
      <c r="Q478" t="n">
        <v>0</v>
      </c>
      <c r="R478" s="2" t="inlineStr"/>
    </row>
    <row r="479" ht="15" customHeight="1">
      <c r="A479" t="inlineStr">
        <is>
          <t>A 58749-2023</t>
        </is>
      </c>
      <c r="B479" s="1" t="n">
        <v>45251.92947916667</v>
      </c>
      <c r="C479" s="1" t="n">
        <v>45879</v>
      </c>
      <c r="D479" t="inlineStr">
        <is>
          <t>VÄSTERBOTTENS LÄN</t>
        </is>
      </c>
      <c r="E479" t="inlineStr">
        <is>
          <t>VILHELMINA</t>
        </is>
      </c>
      <c r="G479" t="n">
        <v>2.8</v>
      </c>
      <c r="H479" t="n">
        <v>0</v>
      </c>
      <c r="I479" t="n">
        <v>0</v>
      </c>
      <c r="J479" t="n">
        <v>0</v>
      </c>
      <c r="K479" t="n">
        <v>0</v>
      </c>
      <c r="L479" t="n">
        <v>0</v>
      </c>
      <c r="M479" t="n">
        <v>0</v>
      </c>
      <c r="N479" t="n">
        <v>0</v>
      </c>
      <c r="O479" t="n">
        <v>0</v>
      </c>
      <c r="P479" t="n">
        <v>0</v>
      </c>
      <c r="Q479" t="n">
        <v>0</v>
      </c>
      <c r="R479" s="2" t="inlineStr"/>
    </row>
    <row r="480" ht="15" customHeight="1">
      <c r="A480" t="inlineStr">
        <is>
          <t>A 33318-2024</t>
        </is>
      </c>
      <c r="B480" s="1" t="n">
        <v>45518.97211805556</v>
      </c>
      <c r="C480" s="1" t="n">
        <v>45879</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33321-2024</t>
        </is>
      </c>
      <c r="B481" s="1" t="n">
        <v>45518.97256944444</v>
      </c>
      <c r="C481" s="1" t="n">
        <v>45879</v>
      </c>
      <c r="D481" t="inlineStr">
        <is>
          <t>VÄSTERBOTTENS LÄN</t>
        </is>
      </c>
      <c r="E481" t="inlineStr">
        <is>
          <t>VILHELMINA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15884-2025</t>
        </is>
      </c>
      <c r="B482" s="1" t="n">
        <v>45749</v>
      </c>
      <c r="C482" s="1" t="n">
        <v>45879</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38361-2023</t>
        </is>
      </c>
      <c r="B483" s="1" t="n">
        <v>45161.94315972222</v>
      </c>
      <c r="C483" s="1" t="n">
        <v>45879</v>
      </c>
      <c r="D483" t="inlineStr">
        <is>
          <t>VÄSTERBOTTENS LÄN</t>
        </is>
      </c>
      <c r="E483" t="inlineStr">
        <is>
          <t>VILHELMINA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62630-2022</t>
        </is>
      </c>
      <c r="B484" s="1" t="n">
        <v>44917</v>
      </c>
      <c r="C484" s="1" t="n">
        <v>45879</v>
      </c>
      <c r="D484" t="inlineStr">
        <is>
          <t>VÄSTERBOTTENS LÄN</t>
        </is>
      </c>
      <c r="E484" t="inlineStr">
        <is>
          <t>VILHELMINA</t>
        </is>
      </c>
      <c r="G484" t="n">
        <v>0.9</v>
      </c>
      <c r="H484" t="n">
        <v>0</v>
      </c>
      <c r="I484" t="n">
        <v>0</v>
      </c>
      <c r="J484" t="n">
        <v>0</v>
      </c>
      <c r="K484" t="n">
        <v>0</v>
      </c>
      <c r="L484" t="n">
        <v>0</v>
      </c>
      <c r="M484" t="n">
        <v>0</v>
      </c>
      <c r="N484" t="n">
        <v>0</v>
      </c>
      <c r="O484" t="n">
        <v>0</v>
      </c>
      <c r="P484" t="n">
        <v>0</v>
      </c>
      <c r="Q484" t="n">
        <v>0</v>
      </c>
      <c r="R484" s="2" t="inlineStr"/>
    </row>
    <row r="485" ht="15" customHeight="1">
      <c r="A485" t="inlineStr">
        <is>
          <t>A 58824-2024</t>
        </is>
      </c>
      <c r="B485" s="1" t="n">
        <v>45636.36488425926</v>
      </c>
      <c r="C485" s="1" t="n">
        <v>45879</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60377-2024</t>
        </is>
      </c>
      <c r="B486" s="1" t="n">
        <v>45643</v>
      </c>
      <c r="C486" s="1" t="n">
        <v>45879</v>
      </c>
      <c r="D486" t="inlineStr">
        <is>
          <t>VÄSTERBOTTENS LÄN</t>
        </is>
      </c>
      <c r="E486" t="inlineStr">
        <is>
          <t>VILHELMINA</t>
        </is>
      </c>
      <c r="F486" t="inlineStr">
        <is>
          <t>SCA</t>
        </is>
      </c>
      <c r="G486" t="n">
        <v>16.2</v>
      </c>
      <c r="H486" t="n">
        <v>0</v>
      </c>
      <c r="I486" t="n">
        <v>0</v>
      </c>
      <c r="J486" t="n">
        <v>0</v>
      </c>
      <c r="K486" t="n">
        <v>0</v>
      </c>
      <c r="L486" t="n">
        <v>0</v>
      </c>
      <c r="M486" t="n">
        <v>0</v>
      </c>
      <c r="N486" t="n">
        <v>0</v>
      </c>
      <c r="O486" t="n">
        <v>0</v>
      </c>
      <c r="P486" t="n">
        <v>0</v>
      </c>
      <c r="Q486" t="n">
        <v>0</v>
      </c>
      <c r="R486" s="2" t="inlineStr"/>
    </row>
    <row r="487" ht="15" customHeight="1">
      <c r="A487" t="inlineStr">
        <is>
          <t>A 61953-2024</t>
        </is>
      </c>
      <c r="B487" s="1" t="n">
        <v>45653.5150462963</v>
      </c>
      <c r="C487" s="1" t="n">
        <v>45879</v>
      </c>
      <c r="D487" t="inlineStr">
        <is>
          <t>VÄSTERBOTTENS LÄN</t>
        </is>
      </c>
      <c r="E487" t="inlineStr">
        <is>
          <t>VILHELMINA</t>
        </is>
      </c>
      <c r="F487" t="inlineStr">
        <is>
          <t>Kommuner</t>
        </is>
      </c>
      <c r="G487" t="n">
        <v>10.2</v>
      </c>
      <c r="H487" t="n">
        <v>0</v>
      </c>
      <c r="I487" t="n">
        <v>0</v>
      </c>
      <c r="J487" t="n">
        <v>0</v>
      </c>
      <c r="K487" t="n">
        <v>0</v>
      </c>
      <c r="L487" t="n">
        <v>0</v>
      </c>
      <c r="M487" t="n">
        <v>0</v>
      </c>
      <c r="N487" t="n">
        <v>0</v>
      </c>
      <c r="O487" t="n">
        <v>0</v>
      </c>
      <c r="P487" t="n">
        <v>0</v>
      </c>
      <c r="Q487" t="n">
        <v>0</v>
      </c>
      <c r="R487" s="2" t="inlineStr"/>
    </row>
    <row r="488" ht="15" customHeight="1">
      <c r="A488" t="inlineStr">
        <is>
          <t>A 16626-2024</t>
        </is>
      </c>
      <c r="B488" s="1" t="n">
        <v>45408</v>
      </c>
      <c r="C488" s="1" t="n">
        <v>45879</v>
      </c>
      <c r="D488" t="inlineStr">
        <is>
          <t>VÄSTERBOTTENS LÄN</t>
        </is>
      </c>
      <c r="E488" t="inlineStr">
        <is>
          <t>VILHELMINA</t>
        </is>
      </c>
      <c r="G488" t="n">
        <v>15.5</v>
      </c>
      <c r="H488" t="n">
        <v>0</v>
      </c>
      <c r="I488" t="n">
        <v>0</v>
      </c>
      <c r="J488" t="n">
        <v>0</v>
      </c>
      <c r="K488" t="n">
        <v>0</v>
      </c>
      <c r="L488" t="n">
        <v>0</v>
      </c>
      <c r="M488" t="n">
        <v>0</v>
      </c>
      <c r="N488" t="n">
        <v>0</v>
      </c>
      <c r="O488" t="n">
        <v>0</v>
      </c>
      <c r="P488" t="n">
        <v>0</v>
      </c>
      <c r="Q488" t="n">
        <v>0</v>
      </c>
      <c r="R488" s="2" t="inlineStr"/>
    </row>
    <row r="489" ht="15" customHeight="1">
      <c r="A489" t="inlineStr">
        <is>
          <t>A 62100-2024</t>
        </is>
      </c>
      <c r="B489" s="1" t="n">
        <v>45656</v>
      </c>
      <c r="C489" s="1" t="n">
        <v>45879</v>
      </c>
      <c r="D489" t="inlineStr">
        <is>
          <t>VÄSTERBOTTENS LÄN</t>
        </is>
      </c>
      <c r="E489" t="inlineStr">
        <is>
          <t>VILHELMINA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2043-2023</t>
        </is>
      </c>
      <c r="B490" s="1" t="n">
        <v>44939</v>
      </c>
      <c r="C490" s="1" t="n">
        <v>45879</v>
      </c>
      <c r="D490" t="inlineStr">
        <is>
          <t>VÄSTERBOTTENS LÄN</t>
        </is>
      </c>
      <c r="E490" t="inlineStr">
        <is>
          <t>VILHELMINA</t>
        </is>
      </c>
      <c r="F490" t="inlineStr">
        <is>
          <t>Sveaskog</t>
        </is>
      </c>
      <c r="G490" t="n">
        <v>10.5</v>
      </c>
      <c r="H490" t="n">
        <v>0</v>
      </c>
      <c r="I490" t="n">
        <v>0</v>
      </c>
      <c r="J490" t="n">
        <v>0</v>
      </c>
      <c r="K490" t="n">
        <v>0</v>
      </c>
      <c r="L490" t="n">
        <v>0</v>
      </c>
      <c r="M490" t="n">
        <v>0</v>
      </c>
      <c r="N490" t="n">
        <v>0</v>
      </c>
      <c r="O490" t="n">
        <v>0</v>
      </c>
      <c r="P490" t="n">
        <v>0</v>
      </c>
      <c r="Q490" t="n">
        <v>0</v>
      </c>
      <c r="R490" s="2" t="inlineStr"/>
    </row>
    <row r="491" ht="15" customHeight="1">
      <c r="A491" t="inlineStr">
        <is>
          <t>A 15062-2024</t>
        </is>
      </c>
      <c r="B491" s="1" t="n">
        <v>45399</v>
      </c>
      <c r="C491" s="1" t="n">
        <v>45879</v>
      </c>
      <c r="D491" t="inlineStr">
        <is>
          <t>VÄSTERBOTTENS LÄN</t>
        </is>
      </c>
      <c r="E491" t="inlineStr">
        <is>
          <t>VILHELMINA</t>
        </is>
      </c>
      <c r="G491" t="n">
        <v>1.7</v>
      </c>
      <c r="H491" t="n">
        <v>0</v>
      </c>
      <c r="I491" t="n">
        <v>0</v>
      </c>
      <c r="J491" t="n">
        <v>0</v>
      </c>
      <c r="K491" t="n">
        <v>0</v>
      </c>
      <c r="L491" t="n">
        <v>0</v>
      </c>
      <c r="M491" t="n">
        <v>0</v>
      </c>
      <c r="N491" t="n">
        <v>0</v>
      </c>
      <c r="O491" t="n">
        <v>0</v>
      </c>
      <c r="P491" t="n">
        <v>0</v>
      </c>
      <c r="Q491" t="n">
        <v>0</v>
      </c>
      <c r="R491" s="2" t="inlineStr"/>
    </row>
    <row r="492" ht="15" customHeight="1">
      <c r="A492" t="inlineStr">
        <is>
          <t>A 15066-2024</t>
        </is>
      </c>
      <c r="B492" s="1" t="n">
        <v>45399</v>
      </c>
      <c r="C492" s="1" t="n">
        <v>45879</v>
      </c>
      <c r="D492" t="inlineStr">
        <is>
          <t>VÄSTERBOTTENS LÄN</t>
        </is>
      </c>
      <c r="E492" t="inlineStr">
        <is>
          <t>VILHELMINA</t>
        </is>
      </c>
      <c r="G492" t="n">
        <v>4.6</v>
      </c>
      <c r="H492" t="n">
        <v>0</v>
      </c>
      <c r="I492" t="n">
        <v>0</v>
      </c>
      <c r="J492" t="n">
        <v>0</v>
      </c>
      <c r="K492" t="n">
        <v>0</v>
      </c>
      <c r="L492" t="n">
        <v>0</v>
      </c>
      <c r="M492" t="n">
        <v>0</v>
      </c>
      <c r="N492" t="n">
        <v>0</v>
      </c>
      <c r="O492" t="n">
        <v>0</v>
      </c>
      <c r="P492" t="n">
        <v>0</v>
      </c>
      <c r="Q492" t="n">
        <v>0</v>
      </c>
      <c r="R492" s="2" t="inlineStr"/>
    </row>
    <row r="493" ht="15" customHeight="1">
      <c r="A493" t="inlineStr">
        <is>
          <t>A 8229-2022</t>
        </is>
      </c>
      <c r="B493" s="1" t="n">
        <v>44609</v>
      </c>
      <c r="C493" s="1" t="n">
        <v>45879</v>
      </c>
      <c r="D493" t="inlineStr">
        <is>
          <t>VÄSTERBOTTENS LÄN</t>
        </is>
      </c>
      <c r="E493" t="inlineStr">
        <is>
          <t>VILHELMINA</t>
        </is>
      </c>
      <c r="F493" t="inlineStr">
        <is>
          <t>SCA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31496-2023</t>
        </is>
      </c>
      <c r="B494" s="1" t="n">
        <v>45114.94138888889</v>
      </c>
      <c r="C494" s="1" t="n">
        <v>45879</v>
      </c>
      <c r="D494" t="inlineStr">
        <is>
          <t>VÄSTERBOTTENS LÄN</t>
        </is>
      </c>
      <c r="E494" t="inlineStr">
        <is>
          <t>VILHELMINA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45879</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15786-2025</t>
        </is>
      </c>
      <c r="B496" s="1" t="n">
        <v>45748.62240740741</v>
      </c>
      <c r="C496" s="1" t="n">
        <v>45879</v>
      </c>
      <c r="D496" t="inlineStr">
        <is>
          <t>VÄSTERBOTTENS LÄN</t>
        </is>
      </c>
      <c r="E496" t="inlineStr">
        <is>
          <t>VILHELMINA</t>
        </is>
      </c>
      <c r="G496" t="n">
        <v>1.1</v>
      </c>
      <c r="H496" t="n">
        <v>0</v>
      </c>
      <c r="I496" t="n">
        <v>0</v>
      </c>
      <c r="J496" t="n">
        <v>0</v>
      </c>
      <c r="K496" t="n">
        <v>0</v>
      </c>
      <c r="L496" t="n">
        <v>0</v>
      </c>
      <c r="M496" t="n">
        <v>0</v>
      </c>
      <c r="N496" t="n">
        <v>0</v>
      </c>
      <c r="O496" t="n">
        <v>0</v>
      </c>
      <c r="P496" t="n">
        <v>0</v>
      </c>
      <c r="Q496" t="n">
        <v>0</v>
      </c>
      <c r="R496" s="2" t="inlineStr"/>
    </row>
    <row r="497" ht="15" customHeight="1">
      <c r="A497" t="inlineStr">
        <is>
          <t>A 45593-2024</t>
        </is>
      </c>
      <c r="B497" s="1" t="n">
        <v>45579</v>
      </c>
      <c r="C497" s="1" t="n">
        <v>45879</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22617-2025</t>
        </is>
      </c>
      <c r="B498" s="1" t="n">
        <v>45789</v>
      </c>
      <c r="C498" s="1" t="n">
        <v>45879</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49221-2024</t>
        </is>
      </c>
      <c r="B499" s="1" t="n">
        <v>45595.41166666667</v>
      </c>
      <c r="C499" s="1" t="n">
        <v>45879</v>
      </c>
      <c r="D499" t="inlineStr">
        <is>
          <t>VÄSTERBOTTENS LÄN</t>
        </is>
      </c>
      <c r="E499" t="inlineStr">
        <is>
          <t>VILHELMINA</t>
        </is>
      </c>
      <c r="G499" t="n">
        <v>11.4</v>
      </c>
      <c r="H499" t="n">
        <v>0</v>
      </c>
      <c r="I499" t="n">
        <v>0</v>
      </c>
      <c r="J499" t="n">
        <v>0</v>
      </c>
      <c r="K499" t="n">
        <v>0</v>
      </c>
      <c r="L499" t="n">
        <v>0</v>
      </c>
      <c r="M499" t="n">
        <v>0</v>
      </c>
      <c r="N499" t="n">
        <v>0</v>
      </c>
      <c r="O499" t="n">
        <v>0</v>
      </c>
      <c r="P499" t="n">
        <v>0</v>
      </c>
      <c r="Q499" t="n">
        <v>0</v>
      </c>
      <c r="R499" s="2" t="inlineStr"/>
    </row>
    <row r="500" ht="15" customHeight="1">
      <c r="A500" t="inlineStr">
        <is>
          <t>A 49246-2024</t>
        </is>
      </c>
      <c r="B500" s="1" t="n">
        <v>45595.4618287037</v>
      </c>
      <c r="C500" s="1" t="n">
        <v>45879</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45879</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664-2022</t>
        </is>
      </c>
      <c r="B502" s="1" t="n">
        <v>44568</v>
      </c>
      <c r="C502" s="1" t="n">
        <v>45879</v>
      </c>
      <c r="D502" t="inlineStr">
        <is>
          <t>VÄSTERBOTTENS LÄN</t>
        </is>
      </c>
      <c r="E502" t="inlineStr">
        <is>
          <t>VILHELMINA</t>
        </is>
      </c>
      <c r="G502" t="n">
        <v>1.8</v>
      </c>
      <c r="H502" t="n">
        <v>0</v>
      </c>
      <c r="I502" t="n">
        <v>0</v>
      </c>
      <c r="J502" t="n">
        <v>0</v>
      </c>
      <c r="K502" t="n">
        <v>0</v>
      </c>
      <c r="L502" t="n">
        <v>0</v>
      </c>
      <c r="M502" t="n">
        <v>0</v>
      </c>
      <c r="N502" t="n">
        <v>0</v>
      </c>
      <c r="O502" t="n">
        <v>0</v>
      </c>
      <c r="P502" t="n">
        <v>0</v>
      </c>
      <c r="Q502" t="n">
        <v>0</v>
      </c>
      <c r="R502" s="2" t="inlineStr"/>
    </row>
    <row r="503" ht="15" customHeight="1">
      <c r="A503" t="inlineStr">
        <is>
          <t>A 11538-2024</t>
        </is>
      </c>
      <c r="B503" s="1" t="n">
        <v>45372</v>
      </c>
      <c r="C503" s="1" t="n">
        <v>45879</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40505-2024</t>
        </is>
      </c>
      <c r="B504" s="1" t="n">
        <v>45555.57373842593</v>
      </c>
      <c r="C504" s="1" t="n">
        <v>45879</v>
      </c>
      <c r="D504" t="inlineStr">
        <is>
          <t>VÄSTERBOTTENS LÄN</t>
        </is>
      </c>
      <c r="E504" t="inlineStr">
        <is>
          <t>VILHELMINA</t>
        </is>
      </c>
      <c r="G504" t="n">
        <v>0.3</v>
      </c>
      <c r="H504" t="n">
        <v>0</v>
      </c>
      <c r="I504" t="n">
        <v>0</v>
      </c>
      <c r="J504" t="n">
        <v>0</v>
      </c>
      <c r="K504" t="n">
        <v>0</v>
      </c>
      <c r="L504" t="n">
        <v>0</v>
      </c>
      <c r="M504" t="n">
        <v>0</v>
      </c>
      <c r="N504" t="n">
        <v>0</v>
      </c>
      <c r="O504" t="n">
        <v>0</v>
      </c>
      <c r="P504" t="n">
        <v>0</v>
      </c>
      <c r="Q504" t="n">
        <v>0</v>
      </c>
      <c r="R504" s="2" t="inlineStr"/>
    </row>
    <row r="505" ht="15" customHeight="1">
      <c r="A505" t="inlineStr">
        <is>
          <t>A 58505-2024</t>
        </is>
      </c>
      <c r="B505" s="1" t="n">
        <v>45635</v>
      </c>
      <c r="C505" s="1" t="n">
        <v>45879</v>
      </c>
      <c r="D505" t="inlineStr">
        <is>
          <t>VÄSTERBOTTENS LÄN</t>
        </is>
      </c>
      <c r="E505" t="inlineStr">
        <is>
          <t>VILHELMINA</t>
        </is>
      </c>
      <c r="G505" t="n">
        <v>2.9</v>
      </c>
      <c r="H505" t="n">
        <v>0</v>
      </c>
      <c r="I505" t="n">
        <v>0</v>
      </c>
      <c r="J505" t="n">
        <v>0</v>
      </c>
      <c r="K505" t="n">
        <v>0</v>
      </c>
      <c r="L505" t="n">
        <v>0</v>
      </c>
      <c r="M505" t="n">
        <v>0</v>
      </c>
      <c r="N505" t="n">
        <v>0</v>
      </c>
      <c r="O505" t="n">
        <v>0</v>
      </c>
      <c r="P505" t="n">
        <v>0</v>
      </c>
      <c r="Q505" t="n">
        <v>0</v>
      </c>
      <c r="R505" s="2" t="inlineStr"/>
    </row>
    <row r="506" ht="15" customHeight="1">
      <c r="A506" t="inlineStr">
        <is>
          <t>A 39677-2024</t>
        </is>
      </c>
      <c r="B506" s="1" t="n">
        <v>45552</v>
      </c>
      <c r="C506" s="1" t="n">
        <v>45879</v>
      </c>
      <c r="D506" t="inlineStr">
        <is>
          <t>VÄSTERBOTTENS LÄN</t>
        </is>
      </c>
      <c r="E506" t="inlineStr">
        <is>
          <t>VILHELMINA</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35409-2024</t>
        </is>
      </c>
      <c r="B507" s="1" t="n">
        <v>45531</v>
      </c>
      <c r="C507" s="1" t="n">
        <v>45879</v>
      </c>
      <c r="D507" t="inlineStr">
        <is>
          <t>VÄSTERBOTTENS LÄN</t>
        </is>
      </c>
      <c r="E507" t="inlineStr">
        <is>
          <t>VILHELMINA</t>
        </is>
      </c>
      <c r="F507" t="inlineStr">
        <is>
          <t>SCA</t>
        </is>
      </c>
      <c r="G507" t="n">
        <v>13.1</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45879</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13030-2025</t>
        </is>
      </c>
      <c r="B509" s="1" t="n">
        <v>45734</v>
      </c>
      <c r="C509" s="1" t="n">
        <v>45879</v>
      </c>
      <c r="D509" t="inlineStr">
        <is>
          <t>VÄSTERBOTTENS LÄN</t>
        </is>
      </c>
      <c r="E509" t="inlineStr">
        <is>
          <t>VILHELMINA</t>
        </is>
      </c>
      <c r="G509" t="n">
        <v>13.9</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45879</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38125-2024</t>
        </is>
      </c>
      <c r="B511" s="1" t="n">
        <v>45545.40717592592</v>
      </c>
      <c r="C511" s="1" t="n">
        <v>45879</v>
      </c>
      <c r="D511" t="inlineStr">
        <is>
          <t>VÄSTERBOTTENS LÄN</t>
        </is>
      </c>
      <c r="E511" t="inlineStr">
        <is>
          <t>VILHELMINA</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38126-2024</t>
        </is>
      </c>
      <c r="B512" s="1" t="n">
        <v>45545</v>
      </c>
      <c r="C512" s="1" t="n">
        <v>45879</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38130-2024</t>
        </is>
      </c>
      <c r="B513" s="1" t="n">
        <v>45545</v>
      </c>
      <c r="C513" s="1" t="n">
        <v>45879</v>
      </c>
      <c r="D513" t="inlineStr">
        <is>
          <t>VÄSTERBOTTENS LÄN</t>
        </is>
      </c>
      <c r="E513" t="inlineStr">
        <is>
          <t>VILHELMINA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22945-2025</t>
        </is>
      </c>
      <c r="B514" s="1" t="n">
        <v>45790.47935185185</v>
      </c>
      <c r="C514" s="1" t="n">
        <v>45879</v>
      </c>
      <c r="D514" t="inlineStr">
        <is>
          <t>VÄSTERBOTTENS LÄN</t>
        </is>
      </c>
      <c r="E514" t="inlineStr">
        <is>
          <t>VILHELMINA</t>
        </is>
      </c>
      <c r="G514" t="n">
        <v>22.6</v>
      </c>
      <c r="H514" t="n">
        <v>0</v>
      </c>
      <c r="I514" t="n">
        <v>0</v>
      </c>
      <c r="J514" t="n">
        <v>0</v>
      </c>
      <c r="K514" t="n">
        <v>0</v>
      </c>
      <c r="L514" t="n">
        <v>0</v>
      </c>
      <c r="M514" t="n">
        <v>0</v>
      </c>
      <c r="N514" t="n">
        <v>0</v>
      </c>
      <c r="O514" t="n">
        <v>0</v>
      </c>
      <c r="P514" t="n">
        <v>0</v>
      </c>
      <c r="Q514" t="n">
        <v>0</v>
      </c>
      <c r="R514" s="2" t="inlineStr"/>
    </row>
    <row r="515" ht="15" customHeight="1">
      <c r="A515" t="inlineStr">
        <is>
          <t>A 39670-2024</t>
        </is>
      </c>
      <c r="B515" s="1" t="n">
        <v>45552.5315162037</v>
      </c>
      <c r="C515" s="1" t="n">
        <v>45879</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64254-2020</t>
        </is>
      </c>
      <c r="B516" s="1" t="n">
        <v>44168</v>
      </c>
      <c r="C516" s="1" t="n">
        <v>45879</v>
      </c>
      <c r="D516" t="inlineStr">
        <is>
          <t>VÄSTERBOTTENS LÄN</t>
        </is>
      </c>
      <c r="E516" t="inlineStr">
        <is>
          <t>VILHELMINA</t>
        </is>
      </c>
      <c r="G516" t="n">
        <v>17.6</v>
      </c>
      <c r="H516" t="n">
        <v>0</v>
      </c>
      <c r="I516" t="n">
        <v>0</v>
      </c>
      <c r="J516" t="n">
        <v>0</v>
      </c>
      <c r="K516" t="n">
        <v>0</v>
      </c>
      <c r="L516" t="n">
        <v>0</v>
      </c>
      <c r="M516" t="n">
        <v>0</v>
      </c>
      <c r="N516" t="n">
        <v>0</v>
      </c>
      <c r="O516" t="n">
        <v>0</v>
      </c>
      <c r="P516" t="n">
        <v>0</v>
      </c>
      <c r="Q516" t="n">
        <v>0</v>
      </c>
      <c r="R516" s="2" t="inlineStr"/>
    </row>
    <row r="517" ht="15" customHeight="1">
      <c r="A517" t="inlineStr">
        <is>
          <t>A 32925-2024</t>
        </is>
      </c>
      <c r="B517" s="1" t="n">
        <v>45516.95302083333</v>
      </c>
      <c r="C517" s="1" t="n">
        <v>45879</v>
      </c>
      <c r="D517" t="inlineStr">
        <is>
          <t>VÄSTERBOTTENS LÄN</t>
        </is>
      </c>
      <c r="E517" t="inlineStr">
        <is>
          <t>VILHELMINA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32926-2024</t>
        </is>
      </c>
      <c r="B518" s="1" t="n">
        <v>45516.95311342592</v>
      </c>
      <c r="C518" s="1" t="n">
        <v>45879</v>
      </c>
      <c r="D518" t="inlineStr">
        <is>
          <t>VÄSTERBOTTENS LÄN</t>
        </is>
      </c>
      <c r="E518" t="inlineStr">
        <is>
          <t>VILHELMINA</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22457-2025</t>
        </is>
      </c>
      <c r="B519" s="1" t="n">
        <v>45786</v>
      </c>
      <c r="C519" s="1" t="n">
        <v>45879</v>
      </c>
      <c r="D519" t="inlineStr">
        <is>
          <t>VÄSTERBOTTENS LÄN</t>
        </is>
      </c>
      <c r="E519" t="inlineStr">
        <is>
          <t>VILHELMINA</t>
        </is>
      </c>
      <c r="G519" t="n">
        <v>10.8</v>
      </c>
      <c r="H519" t="n">
        <v>0</v>
      </c>
      <c r="I519" t="n">
        <v>0</v>
      </c>
      <c r="J519" t="n">
        <v>0</v>
      </c>
      <c r="K519" t="n">
        <v>0</v>
      </c>
      <c r="L519" t="n">
        <v>0</v>
      </c>
      <c r="M519" t="n">
        <v>0</v>
      </c>
      <c r="N519" t="n">
        <v>0</v>
      </c>
      <c r="O519" t="n">
        <v>0</v>
      </c>
      <c r="P519" t="n">
        <v>0</v>
      </c>
      <c r="Q519" t="n">
        <v>0</v>
      </c>
      <c r="R519" s="2" t="inlineStr"/>
    </row>
    <row r="520" ht="15" customHeight="1">
      <c r="A520" t="inlineStr">
        <is>
          <t>A 44505-2024</t>
        </is>
      </c>
      <c r="B520" s="1" t="n">
        <v>45574.40974537037</v>
      </c>
      <c r="C520" s="1" t="n">
        <v>45879</v>
      </c>
      <c r="D520" t="inlineStr">
        <is>
          <t>VÄSTERBOTTENS LÄN</t>
        </is>
      </c>
      <c r="E520" t="inlineStr">
        <is>
          <t>VILHELMINA</t>
        </is>
      </c>
      <c r="G520" t="n">
        <v>15.5</v>
      </c>
      <c r="H520" t="n">
        <v>0</v>
      </c>
      <c r="I520" t="n">
        <v>0</v>
      </c>
      <c r="J520" t="n">
        <v>0</v>
      </c>
      <c r="K520" t="n">
        <v>0</v>
      </c>
      <c r="L520" t="n">
        <v>0</v>
      </c>
      <c r="M520" t="n">
        <v>0</v>
      </c>
      <c r="N520" t="n">
        <v>0</v>
      </c>
      <c r="O520" t="n">
        <v>0</v>
      </c>
      <c r="P520" t="n">
        <v>0</v>
      </c>
      <c r="Q520" t="n">
        <v>0</v>
      </c>
      <c r="R520" s="2" t="inlineStr"/>
    </row>
    <row r="521" ht="15" customHeight="1">
      <c r="A521" t="inlineStr">
        <is>
          <t>A 55714-2023</t>
        </is>
      </c>
      <c r="B521" s="1" t="n">
        <v>45232</v>
      </c>
      <c r="C521" s="1" t="n">
        <v>45879</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47440-2024</t>
        </is>
      </c>
      <c r="B522" s="1" t="n">
        <v>45587</v>
      </c>
      <c r="C522" s="1" t="n">
        <v>45879</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48088-2024</t>
        </is>
      </c>
      <c r="B523" s="1" t="n">
        <v>45589</v>
      </c>
      <c r="C523" s="1" t="n">
        <v>45879</v>
      </c>
      <c r="D523" t="inlineStr">
        <is>
          <t>VÄSTERBOTTENS LÄN</t>
        </is>
      </c>
      <c r="E523" t="inlineStr">
        <is>
          <t>VILHELMINA</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45673-2023</t>
        </is>
      </c>
      <c r="B524" s="1" t="n">
        <v>45194</v>
      </c>
      <c r="C524" s="1" t="n">
        <v>45879</v>
      </c>
      <c r="D524" t="inlineStr">
        <is>
          <t>VÄSTERBOTTENS LÄN</t>
        </is>
      </c>
      <c r="E524" t="inlineStr">
        <is>
          <t>VILHELMINA</t>
        </is>
      </c>
      <c r="G524" t="n">
        <v>13.4</v>
      </c>
      <c r="H524" t="n">
        <v>0</v>
      </c>
      <c r="I524" t="n">
        <v>0</v>
      </c>
      <c r="J524" t="n">
        <v>0</v>
      </c>
      <c r="K524" t="n">
        <v>0</v>
      </c>
      <c r="L524" t="n">
        <v>0</v>
      </c>
      <c r="M524" t="n">
        <v>0</v>
      </c>
      <c r="N524" t="n">
        <v>0</v>
      </c>
      <c r="O524" t="n">
        <v>0</v>
      </c>
      <c r="P524" t="n">
        <v>0</v>
      </c>
      <c r="Q524" t="n">
        <v>0</v>
      </c>
      <c r="R524" s="2" t="inlineStr"/>
    </row>
    <row r="525" ht="15" customHeight="1">
      <c r="A525" t="inlineStr">
        <is>
          <t>A 37514-2024</t>
        </is>
      </c>
      <c r="B525" s="1" t="n">
        <v>45541.38586805556</v>
      </c>
      <c r="C525" s="1" t="n">
        <v>45879</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39035-2024</t>
        </is>
      </c>
      <c r="B526" s="1" t="n">
        <v>45548.46918981482</v>
      </c>
      <c r="C526" s="1" t="n">
        <v>45879</v>
      </c>
      <c r="D526" t="inlineStr">
        <is>
          <t>VÄSTERBOTTENS LÄN</t>
        </is>
      </c>
      <c r="E526" t="inlineStr">
        <is>
          <t>VILHELMINA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47548-2024</t>
        </is>
      </c>
      <c r="B527" s="1" t="n">
        <v>45587</v>
      </c>
      <c r="C527" s="1" t="n">
        <v>45879</v>
      </c>
      <c r="D527" t="inlineStr">
        <is>
          <t>VÄSTERBOTTENS LÄN</t>
        </is>
      </c>
      <c r="E527" t="inlineStr">
        <is>
          <t>VILHELMINA</t>
        </is>
      </c>
      <c r="F527" t="inlineStr">
        <is>
          <t>SCA</t>
        </is>
      </c>
      <c r="G527" t="n">
        <v>7.7</v>
      </c>
      <c r="H527" t="n">
        <v>0</v>
      </c>
      <c r="I527" t="n">
        <v>0</v>
      </c>
      <c r="J527" t="n">
        <v>0</v>
      </c>
      <c r="K527" t="n">
        <v>0</v>
      </c>
      <c r="L527" t="n">
        <v>0</v>
      </c>
      <c r="M527" t="n">
        <v>0</v>
      </c>
      <c r="N527" t="n">
        <v>0</v>
      </c>
      <c r="O527" t="n">
        <v>0</v>
      </c>
      <c r="P527" t="n">
        <v>0</v>
      </c>
      <c r="Q527" t="n">
        <v>0</v>
      </c>
      <c r="R527" s="2" t="inlineStr"/>
    </row>
    <row r="528" ht="15" customHeight="1">
      <c r="A528" t="inlineStr">
        <is>
          <t>A 23459-2025</t>
        </is>
      </c>
      <c r="B528" s="1" t="n">
        <v>45792</v>
      </c>
      <c r="C528" s="1" t="n">
        <v>45879</v>
      </c>
      <c r="D528" t="inlineStr">
        <is>
          <t>VÄSTERBOTTENS LÄN</t>
        </is>
      </c>
      <c r="E528" t="inlineStr">
        <is>
          <t>VILHELMINA</t>
        </is>
      </c>
      <c r="F528" t="inlineStr">
        <is>
          <t>SCA</t>
        </is>
      </c>
      <c r="G528" t="n">
        <v>7.4</v>
      </c>
      <c r="H528" t="n">
        <v>0</v>
      </c>
      <c r="I528" t="n">
        <v>0</v>
      </c>
      <c r="J528" t="n">
        <v>0</v>
      </c>
      <c r="K528" t="n">
        <v>0</v>
      </c>
      <c r="L528" t="n">
        <v>0</v>
      </c>
      <c r="M528" t="n">
        <v>0</v>
      </c>
      <c r="N528" t="n">
        <v>0</v>
      </c>
      <c r="O528" t="n">
        <v>0</v>
      </c>
      <c r="P528" t="n">
        <v>0</v>
      </c>
      <c r="Q528" t="n">
        <v>0</v>
      </c>
      <c r="R528" s="2" t="inlineStr"/>
    </row>
    <row r="529" ht="15" customHeight="1">
      <c r="A529" t="inlineStr">
        <is>
          <t>A 23461-2025</t>
        </is>
      </c>
      <c r="B529" s="1" t="n">
        <v>45792</v>
      </c>
      <c r="C529" s="1" t="n">
        <v>45879</v>
      </c>
      <c r="D529" t="inlineStr">
        <is>
          <t>VÄSTERBOTTENS LÄN</t>
        </is>
      </c>
      <c r="E529" t="inlineStr">
        <is>
          <t>VILHELMINA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23281-2025</t>
        </is>
      </c>
      <c r="B530" s="1" t="n">
        <v>45791.57324074074</v>
      </c>
      <c r="C530" s="1" t="n">
        <v>45879</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47242-2024</t>
        </is>
      </c>
      <c r="B531" s="1" t="n">
        <v>45586</v>
      </c>
      <c r="C531" s="1" t="n">
        <v>45879</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21370-2024</t>
        </is>
      </c>
      <c r="B532" s="1" t="n">
        <v>45440.95310185185</v>
      </c>
      <c r="C532" s="1" t="n">
        <v>45879</v>
      </c>
      <c r="D532" t="inlineStr">
        <is>
          <t>VÄSTERBOTTENS LÄN</t>
        </is>
      </c>
      <c r="E532" t="inlineStr">
        <is>
          <t>VILHELMINA</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19423-2022</t>
        </is>
      </c>
      <c r="B533" s="1" t="n">
        <v>44693.32515046297</v>
      </c>
      <c r="C533" s="1" t="n">
        <v>45879</v>
      </c>
      <c r="D533" t="inlineStr">
        <is>
          <t>VÄSTERBOTTENS LÄN</t>
        </is>
      </c>
      <c r="E533" t="inlineStr">
        <is>
          <t>VILHELMINA</t>
        </is>
      </c>
      <c r="G533" t="n">
        <v>1.9</v>
      </c>
      <c r="H533" t="n">
        <v>0</v>
      </c>
      <c r="I533" t="n">
        <v>0</v>
      </c>
      <c r="J533" t="n">
        <v>0</v>
      </c>
      <c r="K533" t="n">
        <v>0</v>
      </c>
      <c r="L533" t="n">
        <v>0</v>
      </c>
      <c r="M533" t="n">
        <v>0</v>
      </c>
      <c r="N533" t="n">
        <v>0</v>
      </c>
      <c r="O533" t="n">
        <v>0</v>
      </c>
      <c r="P533" t="n">
        <v>0</v>
      </c>
      <c r="Q533" t="n">
        <v>0</v>
      </c>
      <c r="R533" s="2" t="inlineStr"/>
    </row>
    <row r="534" ht="15" customHeight="1">
      <c r="A534" t="inlineStr">
        <is>
          <t>A 23415-2025</t>
        </is>
      </c>
      <c r="B534" s="1" t="n">
        <v>45792.34643518519</v>
      </c>
      <c r="C534" s="1" t="n">
        <v>45879</v>
      </c>
      <c r="D534" t="inlineStr">
        <is>
          <t>VÄSTERBOTTENS LÄN</t>
        </is>
      </c>
      <c r="E534" t="inlineStr">
        <is>
          <t>VILHELMINA</t>
        </is>
      </c>
      <c r="F534" t="inlineStr">
        <is>
          <t>SCA</t>
        </is>
      </c>
      <c r="G534" t="n">
        <v>36.9</v>
      </c>
      <c r="H534" t="n">
        <v>0</v>
      </c>
      <c r="I534" t="n">
        <v>0</v>
      </c>
      <c r="J534" t="n">
        <v>0</v>
      </c>
      <c r="K534" t="n">
        <v>0</v>
      </c>
      <c r="L534" t="n">
        <v>0</v>
      </c>
      <c r="M534" t="n">
        <v>0</v>
      </c>
      <c r="N534" t="n">
        <v>0</v>
      </c>
      <c r="O534" t="n">
        <v>0</v>
      </c>
      <c r="P534" t="n">
        <v>0</v>
      </c>
      <c r="Q534" t="n">
        <v>0</v>
      </c>
      <c r="R534" s="2" t="inlineStr"/>
    </row>
    <row r="535" ht="15" customHeight="1">
      <c r="A535" t="inlineStr">
        <is>
          <t>A 48062-2024</t>
        </is>
      </c>
      <c r="B535" s="1" t="n">
        <v>45589</v>
      </c>
      <c r="C535" s="1" t="n">
        <v>45879</v>
      </c>
      <c r="D535" t="inlineStr">
        <is>
          <t>VÄSTERBOTTENS LÄN</t>
        </is>
      </c>
      <c r="E535" t="inlineStr">
        <is>
          <t>VILHELMINA</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8578-2025</t>
        </is>
      </c>
      <c r="B536" s="1" t="n">
        <v>45709</v>
      </c>
      <c r="C536" s="1" t="n">
        <v>45879</v>
      </c>
      <c r="D536" t="inlineStr">
        <is>
          <t>VÄSTERBOTTENS LÄN</t>
        </is>
      </c>
      <c r="E536" t="inlineStr">
        <is>
          <t>VILHELMINA</t>
        </is>
      </c>
      <c r="G536" t="n">
        <v>3.5</v>
      </c>
      <c r="H536" t="n">
        <v>0</v>
      </c>
      <c r="I536" t="n">
        <v>0</v>
      </c>
      <c r="J536" t="n">
        <v>0</v>
      </c>
      <c r="K536" t="n">
        <v>0</v>
      </c>
      <c r="L536" t="n">
        <v>0</v>
      </c>
      <c r="M536" t="n">
        <v>0</v>
      </c>
      <c r="N536" t="n">
        <v>0</v>
      </c>
      <c r="O536" t="n">
        <v>0</v>
      </c>
      <c r="P536" t="n">
        <v>0</v>
      </c>
      <c r="Q536" t="n">
        <v>0</v>
      </c>
      <c r="R536" s="2" t="inlineStr"/>
    </row>
    <row r="537" ht="15" customHeight="1">
      <c r="A537" t="inlineStr">
        <is>
          <t>A 23406-2025</t>
        </is>
      </c>
      <c r="B537" s="1" t="n">
        <v>45792.34540509259</v>
      </c>
      <c r="C537" s="1" t="n">
        <v>45879</v>
      </c>
      <c r="D537" t="inlineStr">
        <is>
          <t>VÄSTERBOTTENS LÄN</t>
        </is>
      </c>
      <c r="E537" t="inlineStr">
        <is>
          <t>VILHELMINA</t>
        </is>
      </c>
      <c r="F537" t="inlineStr">
        <is>
          <t>SCA</t>
        </is>
      </c>
      <c r="G537" t="n">
        <v>15.4</v>
      </c>
      <c r="H537" t="n">
        <v>0</v>
      </c>
      <c r="I537" t="n">
        <v>0</v>
      </c>
      <c r="J537" t="n">
        <v>0</v>
      </c>
      <c r="K537" t="n">
        <v>0</v>
      </c>
      <c r="L537" t="n">
        <v>0</v>
      </c>
      <c r="M537" t="n">
        <v>0</v>
      </c>
      <c r="N537" t="n">
        <v>0</v>
      </c>
      <c r="O537" t="n">
        <v>0</v>
      </c>
      <c r="P537" t="n">
        <v>0</v>
      </c>
      <c r="Q537" t="n">
        <v>0</v>
      </c>
      <c r="R537" s="2" t="inlineStr"/>
    </row>
    <row r="538" ht="15" customHeight="1">
      <c r="A538" t="inlineStr">
        <is>
          <t>A 17467-2025</t>
        </is>
      </c>
      <c r="B538" s="1" t="n">
        <v>45757</v>
      </c>
      <c r="C538" s="1" t="n">
        <v>45879</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146-2025</t>
        </is>
      </c>
      <c r="B539" s="1" t="n">
        <v>45659</v>
      </c>
      <c r="C539" s="1" t="n">
        <v>45879</v>
      </c>
      <c r="D539" t="inlineStr">
        <is>
          <t>VÄSTERBOTTENS LÄN</t>
        </is>
      </c>
      <c r="E539" t="inlineStr">
        <is>
          <t>VILHELMINA</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60090-2020</t>
        </is>
      </c>
      <c r="B540" s="1" t="n">
        <v>44151</v>
      </c>
      <c r="C540" s="1" t="n">
        <v>45879</v>
      </c>
      <c r="D540" t="inlineStr">
        <is>
          <t>VÄSTERBOTTENS LÄN</t>
        </is>
      </c>
      <c r="E540" t="inlineStr">
        <is>
          <t>VILHELMINA</t>
        </is>
      </c>
      <c r="G540" t="n">
        <v>9</v>
      </c>
      <c r="H540" t="n">
        <v>0</v>
      </c>
      <c r="I540" t="n">
        <v>0</v>
      </c>
      <c r="J540" t="n">
        <v>0</v>
      </c>
      <c r="K540" t="n">
        <v>0</v>
      </c>
      <c r="L540" t="n">
        <v>0</v>
      </c>
      <c r="M540" t="n">
        <v>0</v>
      </c>
      <c r="N540" t="n">
        <v>0</v>
      </c>
      <c r="O540" t="n">
        <v>0</v>
      </c>
      <c r="P540" t="n">
        <v>0</v>
      </c>
      <c r="Q540" t="n">
        <v>0</v>
      </c>
      <c r="R540" s="2" t="inlineStr"/>
    </row>
    <row r="541" ht="15" customHeight="1">
      <c r="A541" t="inlineStr">
        <is>
          <t>A 46392-2024</t>
        </is>
      </c>
      <c r="B541" s="1" t="n">
        <v>45582</v>
      </c>
      <c r="C541" s="1" t="n">
        <v>45879</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34719-2024</t>
        </is>
      </c>
      <c r="B542" s="1" t="n">
        <v>45526.56435185186</v>
      </c>
      <c r="C542" s="1" t="n">
        <v>45879</v>
      </c>
      <c r="D542" t="inlineStr">
        <is>
          <t>VÄSTERBOTTENS LÄN</t>
        </is>
      </c>
      <c r="E542" t="inlineStr">
        <is>
          <t>VILHELMINA</t>
        </is>
      </c>
      <c r="G542" t="n">
        <v>1.7</v>
      </c>
      <c r="H542" t="n">
        <v>0</v>
      </c>
      <c r="I542" t="n">
        <v>0</v>
      </c>
      <c r="J542" t="n">
        <v>0</v>
      </c>
      <c r="K542" t="n">
        <v>0</v>
      </c>
      <c r="L542" t="n">
        <v>0</v>
      </c>
      <c r="M542" t="n">
        <v>0</v>
      </c>
      <c r="N542" t="n">
        <v>0</v>
      </c>
      <c r="O542" t="n">
        <v>0</v>
      </c>
      <c r="P542" t="n">
        <v>0</v>
      </c>
      <c r="Q542" t="n">
        <v>0</v>
      </c>
      <c r="R542" s="2" t="inlineStr"/>
    </row>
    <row r="543" ht="15" customHeight="1">
      <c r="A543" t="inlineStr">
        <is>
          <t>A 19873-2024</t>
        </is>
      </c>
      <c r="B543" s="1" t="n">
        <v>45433</v>
      </c>
      <c r="C543" s="1" t="n">
        <v>45879</v>
      </c>
      <c r="D543" t="inlineStr">
        <is>
          <t>VÄSTERBOTTENS LÄN</t>
        </is>
      </c>
      <c r="E543" t="inlineStr">
        <is>
          <t>VILHELMINA</t>
        </is>
      </c>
      <c r="G543" t="n">
        <v>8.6</v>
      </c>
      <c r="H543" t="n">
        <v>0</v>
      </c>
      <c r="I543" t="n">
        <v>0</v>
      </c>
      <c r="J543" t="n">
        <v>0</v>
      </c>
      <c r="K543" t="n">
        <v>0</v>
      </c>
      <c r="L543" t="n">
        <v>0</v>
      </c>
      <c r="M543" t="n">
        <v>0</v>
      </c>
      <c r="N543" t="n">
        <v>0</v>
      </c>
      <c r="O543" t="n">
        <v>0</v>
      </c>
      <c r="P543" t="n">
        <v>0</v>
      </c>
      <c r="Q543" t="n">
        <v>0</v>
      </c>
      <c r="R543" s="2" t="inlineStr"/>
    </row>
    <row r="544" ht="15" customHeight="1">
      <c r="A544" t="inlineStr">
        <is>
          <t>A 25308-2025</t>
        </is>
      </c>
      <c r="B544" s="1" t="n">
        <v>45800</v>
      </c>
      <c r="C544" s="1" t="n">
        <v>45879</v>
      </c>
      <c r="D544" t="inlineStr">
        <is>
          <t>VÄSTERBOTTENS LÄN</t>
        </is>
      </c>
      <c r="E544" t="inlineStr">
        <is>
          <t>VILHELMINA</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23412-2025</t>
        </is>
      </c>
      <c r="B545" s="1" t="n">
        <v>45792.34596064815</v>
      </c>
      <c r="C545" s="1" t="n">
        <v>45879</v>
      </c>
      <c r="D545" t="inlineStr">
        <is>
          <t>VÄSTERBOTTENS LÄN</t>
        </is>
      </c>
      <c r="E545" t="inlineStr">
        <is>
          <t>VILHELMINA</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34630-2024</t>
        </is>
      </c>
      <c r="B546" s="1" t="n">
        <v>45526.46234953704</v>
      </c>
      <c r="C546" s="1" t="n">
        <v>45879</v>
      </c>
      <c r="D546" t="inlineStr">
        <is>
          <t>VÄSTERBOTTENS LÄN</t>
        </is>
      </c>
      <c r="E546" t="inlineStr">
        <is>
          <t>VILHELMINA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10548-2022</t>
        </is>
      </c>
      <c r="B547" s="1" t="n">
        <v>44623</v>
      </c>
      <c r="C547" s="1" t="n">
        <v>45879</v>
      </c>
      <c r="D547" t="inlineStr">
        <is>
          <t>VÄSTERBOTTENS LÄN</t>
        </is>
      </c>
      <c r="E547" t="inlineStr">
        <is>
          <t>VILHELMINA</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7102-2024</t>
        </is>
      </c>
      <c r="B548" s="1" t="n">
        <v>45343</v>
      </c>
      <c r="C548" s="1" t="n">
        <v>45879</v>
      </c>
      <c r="D548" t="inlineStr">
        <is>
          <t>VÄSTERBOTTENS LÄN</t>
        </is>
      </c>
      <c r="E548" t="inlineStr">
        <is>
          <t>VILHELMINA</t>
        </is>
      </c>
      <c r="G548" t="n">
        <v>3.2</v>
      </c>
      <c r="H548" t="n">
        <v>0</v>
      </c>
      <c r="I548" t="n">
        <v>0</v>
      </c>
      <c r="J548" t="n">
        <v>0</v>
      </c>
      <c r="K548" t="n">
        <v>0</v>
      </c>
      <c r="L548" t="n">
        <v>0</v>
      </c>
      <c r="M548" t="n">
        <v>0</v>
      </c>
      <c r="N548" t="n">
        <v>0</v>
      </c>
      <c r="O548" t="n">
        <v>0</v>
      </c>
      <c r="P548" t="n">
        <v>0</v>
      </c>
      <c r="Q548" t="n">
        <v>0</v>
      </c>
      <c r="R548" s="2" t="inlineStr"/>
    </row>
    <row r="549" ht="15" customHeight="1">
      <c r="A549" t="inlineStr">
        <is>
          <t>A 12118-2024</t>
        </is>
      </c>
      <c r="B549" s="1" t="n">
        <v>45376</v>
      </c>
      <c r="C549" s="1" t="n">
        <v>45879</v>
      </c>
      <c r="D549" t="inlineStr">
        <is>
          <t>VÄSTERBOTTENS LÄN</t>
        </is>
      </c>
      <c r="E549" t="inlineStr">
        <is>
          <t>VILHELMINA</t>
        </is>
      </c>
      <c r="G549" t="n">
        <v>3.6</v>
      </c>
      <c r="H549" t="n">
        <v>0</v>
      </c>
      <c r="I549" t="n">
        <v>0</v>
      </c>
      <c r="J549" t="n">
        <v>0</v>
      </c>
      <c r="K549" t="n">
        <v>0</v>
      </c>
      <c r="L549" t="n">
        <v>0</v>
      </c>
      <c r="M549" t="n">
        <v>0</v>
      </c>
      <c r="N549" t="n">
        <v>0</v>
      </c>
      <c r="O549" t="n">
        <v>0</v>
      </c>
      <c r="P549" t="n">
        <v>0</v>
      </c>
      <c r="Q549" t="n">
        <v>0</v>
      </c>
      <c r="R549" s="2" t="inlineStr"/>
    </row>
    <row r="550" ht="15" customHeight="1">
      <c r="A550" t="inlineStr">
        <is>
          <t>A 37937-2023</t>
        </is>
      </c>
      <c r="B550" s="1" t="n">
        <v>45159</v>
      </c>
      <c r="C550" s="1" t="n">
        <v>45879</v>
      </c>
      <c r="D550" t="inlineStr">
        <is>
          <t>VÄSTERBOTTENS LÄN</t>
        </is>
      </c>
      <c r="E550" t="inlineStr">
        <is>
          <t>VILHELMINA</t>
        </is>
      </c>
      <c r="G550" t="n">
        <v>2.2</v>
      </c>
      <c r="H550" t="n">
        <v>0</v>
      </c>
      <c r="I550" t="n">
        <v>0</v>
      </c>
      <c r="J550" t="n">
        <v>0</v>
      </c>
      <c r="K550" t="n">
        <v>0</v>
      </c>
      <c r="L550" t="n">
        <v>0</v>
      </c>
      <c r="M550" t="n">
        <v>0</v>
      </c>
      <c r="N550" t="n">
        <v>0</v>
      </c>
      <c r="O550" t="n">
        <v>0</v>
      </c>
      <c r="P550" t="n">
        <v>0</v>
      </c>
      <c r="Q550" t="n">
        <v>0</v>
      </c>
      <c r="R550" s="2" t="inlineStr"/>
    </row>
    <row r="551" ht="15" customHeight="1">
      <c r="A551" t="inlineStr">
        <is>
          <t>A 23826-2025</t>
        </is>
      </c>
      <c r="B551" s="1" t="n">
        <v>45793.59461805555</v>
      </c>
      <c r="C551" s="1" t="n">
        <v>45879</v>
      </c>
      <c r="D551" t="inlineStr">
        <is>
          <t>VÄSTERBOTTENS LÄN</t>
        </is>
      </c>
      <c r="E551" t="inlineStr">
        <is>
          <t>VILHELMINA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35760-2023</t>
        </is>
      </c>
      <c r="B552" s="1" t="n">
        <v>45147</v>
      </c>
      <c r="C552" s="1" t="n">
        <v>45879</v>
      </c>
      <c r="D552" t="inlineStr">
        <is>
          <t>VÄSTERBOTTENS LÄN</t>
        </is>
      </c>
      <c r="E552" t="inlineStr">
        <is>
          <t>VILHELMINA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2488-2023</t>
        </is>
      </c>
      <c r="B553" s="1" t="n">
        <v>44943</v>
      </c>
      <c r="C553" s="1" t="n">
        <v>45879</v>
      </c>
      <c r="D553" t="inlineStr">
        <is>
          <t>VÄSTERBOTTENS LÄN</t>
        </is>
      </c>
      <c r="E553" t="inlineStr">
        <is>
          <t>VILHELMINA</t>
        </is>
      </c>
      <c r="G553" t="n">
        <v>69.3</v>
      </c>
      <c r="H553" t="n">
        <v>0</v>
      </c>
      <c r="I553" t="n">
        <v>0</v>
      </c>
      <c r="J553" t="n">
        <v>0</v>
      </c>
      <c r="K553" t="n">
        <v>0</v>
      </c>
      <c r="L553" t="n">
        <v>0</v>
      </c>
      <c r="M553" t="n">
        <v>0</v>
      </c>
      <c r="N553" t="n">
        <v>0</v>
      </c>
      <c r="O553" t="n">
        <v>0</v>
      </c>
      <c r="P553" t="n">
        <v>0</v>
      </c>
      <c r="Q553" t="n">
        <v>0</v>
      </c>
      <c r="R553" s="2" t="inlineStr"/>
    </row>
    <row r="554" ht="15" customHeight="1">
      <c r="A554" t="inlineStr">
        <is>
          <t>A 29722-2024</t>
        </is>
      </c>
      <c r="B554" s="1" t="n">
        <v>45485</v>
      </c>
      <c r="C554" s="1" t="n">
        <v>45879</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26401-2022</t>
        </is>
      </c>
      <c r="B555" s="1" t="n">
        <v>44735</v>
      </c>
      <c r="C555" s="1" t="n">
        <v>45879</v>
      </c>
      <c r="D555" t="inlineStr">
        <is>
          <t>VÄSTERBOTTENS LÄN</t>
        </is>
      </c>
      <c r="E555" t="inlineStr">
        <is>
          <t>VILHELMINA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23764-2025</t>
        </is>
      </c>
      <c r="B556" s="1" t="n">
        <v>45793</v>
      </c>
      <c r="C556" s="1" t="n">
        <v>45879</v>
      </c>
      <c r="D556" t="inlineStr">
        <is>
          <t>VÄSTERBOTTENS LÄN</t>
        </is>
      </c>
      <c r="E556" t="inlineStr">
        <is>
          <t>VILHELMINA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33319-2024</t>
        </is>
      </c>
      <c r="B557" s="1" t="n">
        <v>45518</v>
      </c>
      <c r="C557" s="1" t="n">
        <v>45879</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9534-2023</t>
        </is>
      </c>
      <c r="B558" s="1" t="n">
        <v>44981.72646990741</v>
      </c>
      <c r="C558" s="1" t="n">
        <v>45879</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19401-2023</t>
        </is>
      </c>
      <c r="B559" s="1" t="n">
        <v>45048</v>
      </c>
      <c r="C559" s="1" t="n">
        <v>45879</v>
      </c>
      <c r="D559" t="inlineStr">
        <is>
          <t>VÄSTERBOTTENS LÄN</t>
        </is>
      </c>
      <c r="E559" t="inlineStr">
        <is>
          <t>VILHELMINA</t>
        </is>
      </c>
      <c r="G559" t="n">
        <v>5.4</v>
      </c>
      <c r="H559" t="n">
        <v>0</v>
      </c>
      <c r="I559" t="n">
        <v>0</v>
      </c>
      <c r="J559" t="n">
        <v>0</v>
      </c>
      <c r="K559" t="n">
        <v>0</v>
      </c>
      <c r="L559" t="n">
        <v>0</v>
      </c>
      <c r="M559" t="n">
        <v>0</v>
      </c>
      <c r="N559" t="n">
        <v>0</v>
      </c>
      <c r="O559" t="n">
        <v>0</v>
      </c>
      <c r="P559" t="n">
        <v>0</v>
      </c>
      <c r="Q559" t="n">
        <v>0</v>
      </c>
      <c r="R559" s="2" t="inlineStr"/>
    </row>
    <row r="560" ht="15" customHeight="1">
      <c r="A560" t="inlineStr">
        <is>
          <t>A 56747-2023</t>
        </is>
      </c>
      <c r="B560" s="1" t="n">
        <v>45238</v>
      </c>
      <c r="C560" s="1" t="n">
        <v>45879</v>
      </c>
      <c r="D560" t="inlineStr">
        <is>
          <t>VÄSTERBOTTENS LÄN</t>
        </is>
      </c>
      <c r="E560" t="inlineStr">
        <is>
          <t>VILHELMINA</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56758-2023</t>
        </is>
      </c>
      <c r="B561" s="1" t="n">
        <v>45238</v>
      </c>
      <c r="C561" s="1" t="n">
        <v>45879</v>
      </c>
      <c r="D561" t="inlineStr">
        <is>
          <t>VÄSTERBOTTENS LÄN</t>
        </is>
      </c>
      <c r="E561" t="inlineStr">
        <is>
          <t>VILHELMINA</t>
        </is>
      </c>
      <c r="F561" t="inlineStr">
        <is>
          <t>Allmännings- och besparingsskogar</t>
        </is>
      </c>
      <c r="G561" t="n">
        <v>371.4</v>
      </c>
      <c r="H561" t="n">
        <v>0</v>
      </c>
      <c r="I561" t="n">
        <v>0</v>
      </c>
      <c r="J561" t="n">
        <v>0</v>
      </c>
      <c r="K561" t="n">
        <v>0</v>
      </c>
      <c r="L561" t="n">
        <v>0</v>
      </c>
      <c r="M561" t="n">
        <v>0</v>
      </c>
      <c r="N561" t="n">
        <v>0</v>
      </c>
      <c r="O561" t="n">
        <v>0</v>
      </c>
      <c r="P561" t="n">
        <v>0</v>
      </c>
      <c r="Q561" t="n">
        <v>0</v>
      </c>
      <c r="R561" s="2" t="inlineStr"/>
    </row>
    <row r="562" ht="15" customHeight="1">
      <c r="A562" t="inlineStr">
        <is>
          <t>A 57470-2024</t>
        </is>
      </c>
      <c r="B562" s="1" t="n">
        <v>45630</v>
      </c>
      <c r="C562" s="1" t="n">
        <v>45879</v>
      </c>
      <c r="D562" t="inlineStr">
        <is>
          <t>VÄSTERBOTTENS LÄN</t>
        </is>
      </c>
      <c r="E562" t="inlineStr">
        <is>
          <t>VILHELMINA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31095-2024</t>
        </is>
      </c>
      <c r="B563" s="1" t="n">
        <v>45502</v>
      </c>
      <c r="C563" s="1" t="n">
        <v>45879</v>
      </c>
      <c r="D563" t="inlineStr">
        <is>
          <t>VÄSTERBOTTENS LÄN</t>
        </is>
      </c>
      <c r="E563" t="inlineStr">
        <is>
          <t>VILHELMINA</t>
        </is>
      </c>
      <c r="G563" t="n">
        <v>4.7</v>
      </c>
      <c r="H563" t="n">
        <v>0</v>
      </c>
      <c r="I563" t="n">
        <v>0</v>
      </c>
      <c r="J563" t="n">
        <v>0</v>
      </c>
      <c r="K563" t="n">
        <v>0</v>
      </c>
      <c r="L563" t="n">
        <v>0</v>
      </c>
      <c r="M563" t="n">
        <v>0</v>
      </c>
      <c r="N563" t="n">
        <v>0</v>
      </c>
      <c r="O563" t="n">
        <v>0</v>
      </c>
      <c r="P563" t="n">
        <v>0</v>
      </c>
      <c r="Q563" t="n">
        <v>0</v>
      </c>
      <c r="R563" s="2" t="inlineStr"/>
    </row>
    <row r="564" ht="15" customHeight="1">
      <c r="A564" t="inlineStr">
        <is>
          <t>A 9916-2021</t>
        </is>
      </c>
      <c r="B564" s="1" t="n">
        <v>44253</v>
      </c>
      <c r="C564" s="1" t="n">
        <v>45879</v>
      </c>
      <c r="D564" t="inlineStr">
        <is>
          <t>VÄSTERBOTTENS LÄN</t>
        </is>
      </c>
      <c r="E564" t="inlineStr">
        <is>
          <t>VILHELMINA</t>
        </is>
      </c>
      <c r="G564" t="n">
        <v>1</v>
      </c>
      <c r="H564" t="n">
        <v>0</v>
      </c>
      <c r="I564" t="n">
        <v>0</v>
      </c>
      <c r="J564" t="n">
        <v>0</v>
      </c>
      <c r="K564" t="n">
        <v>0</v>
      </c>
      <c r="L564" t="n">
        <v>0</v>
      </c>
      <c r="M564" t="n">
        <v>0</v>
      </c>
      <c r="N564" t="n">
        <v>0</v>
      </c>
      <c r="O564" t="n">
        <v>0</v>
      </c>
      <c r="P564" t="n">
        <v>0</v>
      </c>
      <c r="Q564" t="n">
        <v>0</v>
      </c>
      <c r="R564" s="2" t="inlineStr"/>
    </row>
    <row r="565" ht="15" customHeight="1">
      <c r="A565" t="inlineStr">
        <is>
          <t>A 3435-2021</t>
        </is>
      </c>
      <c r="B565" s="1" t="n">
        <v>44216</v>
      </c>
      <c r="C565" s="1" t="n">
        <v>45879</v>
      </c>
      <c r="D565" t="inlineStr">
        <is>
          <t>VÄSTERBOTTENS LÄN</t>
        </is>
      </c>
      <c r="E565" t="inlineStr">
        <is>
          <t>VILHELMINA</t>
        </is>
      </c>
      <c r="G565" t="n">
        <v>20.5</v>
      </c>
      <c r="H565" t="n">
        <v>0</v>
      </c>
      <c r="I565" t="n">
        <v>0</v>
      </c>
      <c r="J565" t="n">
        <v>0</v>
      </c>
      <c r="K565" t="n">
        <v>0</v>
      </c>
      <c r="L565" t="n">
        <v>0</v>
      </c>
      <c r="M565" t="n">
        <v>0</v>
      </c>
      <c r="N565" t="n">
        <v>0</v>
      </c>
      <c r="O565" t="n">
        <v>0</v>
      </c>
      <c r="P565" t="n">
        <v>0</v>
      </c>
      <c r="Q565" t="n">
        <v>0</v>
      </c>
      <c r="R565" s="2" t="inlineStr"/>
    </row>
    <row r="566" ht="15" customHeight="1">
      <c r="A566" t="inlineStr">
        <is>
          <t>A 23686-2025</t>
        </is>
      </c>
      <c r="B566" s="1" t="n">
        <v>45793</v>
      </c>
      <c r="C566" s="1" t="n">
        <v>45879</v>
      </c>
      <c r="D566" t="inlineStr">
        <is>
          <t>VÄSTERBOTTENS LÄN</t>
        </is>
      </c>
      <c r="E566" t="inlineStr">
        <is>
          <t>VILHELMINA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7777-2024</t>
        </is>
      </c>
      <c r="B567" s="1" t="n">
        <v>45349</v>
      </c>
      <c r="C567" s="1" t="n">
        <v>45879</v>
      </c>
      <c r="D567" t="inlineStr">
        <is>
          <t>VÄSTERBOTTENS LÄN</t>
        </is>
      </c>
      <c r="E567" t="inlineStr">
        <is>
          <t>VILHELMINA</t>
        </is>
      </c>
      <c r="G567" t="n">
        <v>7</v>
      </c>
      <c r="H567" t="n">
        <v>0</v>
      </c>
      <c r="I567" t="n">
        <v>0</v>
      </c>
      <c r="J567" t="n">
        <v>0</v>
      </c>
      <c r="K567" t="n">
        <v>0</v>
      </c>
      <c r="L567" t="n">
        <v>0</v>
      </c>
      <c r="M567" t="n">
        <v>0</v>
      </c>
      <c r="N567" t="n">
        <v>0</v>
      </c>
      <c r="O567" t="n">
        <v>0</v>
      </c>
      <c r="P567" t="n">
        <v>0</v>
      </c>
      <c r="Q567" t="n">
        <v>0</v>
      </c>
      <c r="R567" s="2" t="inlineStr"/>
    </row>
    <row r="568" ht="15" customHeight="1">
      <c r="A568" t="inlineStr">
        <is>
          <t>A 55327-2023</t>
        </is>
      </c>
      <c r="B568" s="1" t="n">
        <v>45237.97375</v>
      </c>
      <c r="C568" s="1" t="n">
        <v>45879</v>
      </c>
      <c r="D568" t="inlineStr">
        <is>
          <t>VÄSTERBOTTENS LÄN</t>
        </is>
      </c>
      <c r="E568" t="inlineStr">
        <is>
          <t>VILHELMINA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48470-2023</t>
        </is>
      </c>
      <c r="B569" s="1" t="n">
        <v>45206.95747685185</v>
      </c>
      <c r="C569" s="1" t="n">
        <v>45879</v>
      </c>
      <c r="D569" t="inlineStr">
        <is>
          <t>VÄSTERBOTTENS LÄN</t>
        </is>
      </c>
      <c r="E569" t="inlineStr">
        <is>
          <t>VILHELMINA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36215-2023</t>
        </is>
      </c>
      <c r="B570" s="1" t="n">
        <v>45149.95266203704</v>
      </c>
      <c r="C570" s="1" t="n">
        <v>45879</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48229-2024</t>
        </is>
      </c>
      <c r="B571" s="1" t="n">
        <v>45590.37554398148</v>
      </c>
      <c r="C571" s="1" t="n">
        <v>45879</v>
      </c>
      <c r="D571" t="inlineStr">
        <is>
          <t>VÄSTERBOTTENS LÄN</t>
        </is>
      </c>
      <c r="E571" t="inlineStr">
        <is>
          <t>VILHELMINA</t>
        </is>
      </c>
      <c r="G571" t="n">
        <v>11.6</v>
      </c>
      <c r="H571" t="n">
        <v>0</v>
      </c>
      <c r="I571" t="n">
        <v>0</v>
      </c>
      <c r="J571" t="n">
        <v>0</v>
      </c>
      <c r="K571" t="n">
        <v>0</v>
      </c>
      <c r="L571" t="n">
        <v>0</v>
      </c>
      <c r="M571" t="n">
        <v>0</v>
      </c>
      <c r="N571" t="n">
        <v>0</v>
      </c>
      <c r="O571" t="n">
        <v>0</v>
      </c>
      <c r="P571" t="n">
        <v>0</v>
      </c>
      <c r="Q571" t="n">
        <v>0</v>
      </c>
      <c r="R571" s="2" t="inlineStr"/>
    </row>
    <row r="572" ht="15" customHeight="1">
      <c r="A572" t="inlineStr">
        <is>
          <t>A 33142-2025</t>
        </is>
      </c>
      <c r="B572" s="1" t="n">
        <v>45840</v>
      </c>
      <c r="C572" s="1" t="n">
        <v>45879</v>
      </c>
      <c r="D572" t="inlineStr">
        <is>
          <t>VÄSTERBOTTENS LÄN</t>
        </is>
      </c>
      <c r="E572" t="inlineStr">
        <is>
          <t>VILHELMINA</t>
        </is>
      </c>
      <c r="G572" t="n">
        <v>15.2</v>
      </c>
      <c r="H572" t="n">
        <v>0</v>
      </c>
      <c r="I572" t="n">
        <v>0</v>
      </c>
      <c r="J572" t="n">
        <v>0</v>
      </c>
      <c r="K572" t="n">
        <v>0</v>
      </c>
      <c r="L572" t="n">
        <v>0</v>
      </c>
      <c r="M572" t="n">
        <v>0</v>
      </c>
      <c r="N572" t="n">
        <v>0</v>
      </c>
      <c r="O572" t="n">
        <v>0</v>
      </c>
      <c r="P572" t="n">
        <v>0</v>
      </c>
      <c r="Q572" t="n">
        <v>0</v>
      </c>
      <c r="R572" s="2" t="inlineStr"/>
    </row>
    <row r="573" ht="15" customHeight="1">
      <c r="A573" t="inlineStr">
        <is>
          <t>A 18848-2025</t>
        </is>
      </c>
      <c r="B573" s="1" t="n">
        <v>45764</v>
      </c>
      <c r="C573" s="1" t="n">
        <v>45879</v>
      </c>
      <c r="D573" t="inlineStr">
        <is>
          <t>VÄSTERBOTTENS LÄN</t>
        </is>
      </c>
      <c r="E573" t="inlineStr">
        <is>
          <t>VILHELMINA</t>
        </is>
      </c>
      <c r="G573" t="n">
        <v>16.4</v>
      </c>
      <c r="H573" t="n">
        <v>0</v>
      </c>
      <c r="I573" t="n">
        <v>0</v>
      </c>
      <c r="J573" t="n">
        <v>0</v>
      </c>
      <c r="K573" t="n">
        <v>0</v>
      </c>
      <c r="L573" t="n">
        <v>0</v>
      </c>
      <c r="M573" t="n">
        <v>0</v>
      </c>
      <c r="N573" t="n">
        <v>0</v>
      </c>
      <c r="O573" t="n">
        <v>0</v>
      </c>
      <c r="P573" t="n">
        <v>0</v>
      </c>
      <c r="Q573" t="n">
        <v>0</v>
      </c>
      <c r="R573" s="2" t="inlineStr"/>
    </row>
    <row r="574" ht="15" customHeight="1">
      <c r="A574" t="inlineStr">
        <is>
          <t>A 40796-2024</t>
        </is>
      </c>
      <c r="B574" s="1" t="n">
        <v>45558</v>
      </c>
      <c r="C574" s="1" t="n">
        <v>45879</v>
      </c>
      <c r="D574" t="inlineStr">
        <is>
          <t>VÄSTERBOTTENS LÄN</t>
        </is>
      </c>
      <c r="E574" t="inlineStr">
        <is>
          <t>VILHELMINA</t>
        </is>
      </c>
      <c r="F574" t="inlineStr">
        <is>
          <t>Allmännings- och besparingsskogar</t>
        </is>
      </c>
      <c r="G574" t="n">
        <v>2.8</v>
      </c>
      <c r="H574" t="n">
        <v>0</v>
      </c>
      <c r="I574" t="n">
        <v>0</v>
      </c>
      <c r="J574" t="n">
        <v>0</v>
      </c>
      <c r="K574" t="n">
        <v>0</v>
      </c>
      <c r="L574" t="n">
        <v>0</v>
      </c>
      <c r="M574" t="n">
        <v>0</v>
      </c>
      <c r="N574" t="n">
        <v>0</v>
      </c>
      <c r="O574" t="n">
        <v>0</v>
      </c>
      <c r="P574" t="n">
        <v>0</v>
      </c>
      <c r="Q574" t="n">
        <v>0</v>
      </c>
      <c r="R574" s="2" t="inlineStr"/>
    </row>
    <row r="575" ht="15" customHeight="1">
      <c r="A575" t="inlineStr">
        <is>
          <t>A 25551-2024</t>
        </is>
      </c>
      <c r="B575" s="1" t="n">
        <v>45463</v>
      </c>
      <c r="C575" s="1" t="n">
        <v>45879</v>
      </c>
      <c r="D575" t="inlineStr">
        <is>
          <t>VÄSTERBOTTENS LÄN</t>
        </is>
      </c>
      <c r="E575" t="inlineStr">
        <is>
          <t>VILHELMINA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13829-2025</t>
        </is>
      </c>
      <c r="B576" s="1" t="n">
        <v>45737</v>
      </c>
      <c r="C576" s="1" t="n">
        <v>45879</v>
      </c>
      <c r="D576" t="inlineStr">
        <is>
          <t>VÄSTERBOTTENS LÄN</t>
        </is>
      </c>
      <c r="E576" t="inlineStr">
        <is>
          <t>VILHELMINA</t>
        </is>
      </c>
      <c r="F576" t="inlineStr">
        <is>
          <t>Övriga statliga verk och myndigheter</t>
        </is>
      </c>
      <c r="G576" t="n">
        <v>39.7</v>
      </c>
      <c r="H576" t="n">
        <v>0</v>
      </c>
      <c r="I576" t="n">
        <v>0</v>
      </c>
      <c r="J576" t="n">
        <v>0</v>
      </c>
      <c r="K576" t="n">
        <v>0</v>
      </c>
      <c r="L576" t="n">
        <v>0</v>
      </c>
      <c r="M576" t="n">
        <v>0</v>
      </c>
      <c r="N576" t="n">
        <v>0</v>
      </c>
      <c r="O576" t="n">
        <v>0</v>
      </c>
      <c r="P576" t="n">
        <v>0</v>
      </c>
      <c r="Q576" t="n">
        <v>0</v>
      </c>
      <c r="R576" s="2" t="inlineStr"/>
    </row>
    <row r="577" ht="15" customHeight="1">
      <c r="A577" t="inlineStr">
        <is>
          <t>A 29954-2023</t>
        </is>
      </c>
      <c r="B577" s="1" t="n">
        <v>45107</v>
      </c>
      <c r="C577" s="1" t="n">
        <v>45879</v>
      </c>
      <c r="D577" t="inlineStr">
        <is>
          <t>VÄSTERBOTTENS LÄN</t>
        </is>
      </c>
      <c r="E577" t="inlineStr">
        <is>
          <t>VILHELMINA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5403-2025</t>
        </is>
      </c>
      <c r="B578" s="1" t="n">
        <v>45692.64475694444</v>
      </c>
      <c r="C578" s="1" t="n">
        <v>45879</v>
      </c>
      <c r="D578" t="inlineStr">
        <is>
          <t>VÄSTERBOTTENS LÄN</t>
        </is>
      </c>
      <c r="E578" t="inlineStr">
        <is>
          <t>VILHELMINA</t>
        </is>
      </c>
      <c r="F578" t="inlineStr">
        <is>
          <t>Kommuner</t>
        </is>
      </c>
      <c r="G578" t="n">
        <v>14.9</v>
      </c>
      <c r="H578" t="n">
        <v>0</v>
      </c>
      <c r="I578" t="n">
        <v>0</v>
      </c>
      <c r="J578" t="n">
        <v>0</v>
      </c>
      <c r="K578" t="n">
        <v>0</v>
      </c>
      <c r="L578" t="n">
        <v>0</v>
      </c>
      <c r="M578" t="n">
        <v>0</v>
      </c>
      <c r="N578" t="n">
        <v>0</v>
      </c>
      <c r="O578" t="n">
        <v>0</v>
      </c>
      <c r="P578" t="n">
        <v>0</v>
      </c>
      <c r="Q578" t="n">
        <v>0</v>
      </c>
      <c r="R578" s="2" t="inlineStr"/>
    </row>
    <row r="579" ht="15" customHeight="1">
      <c r="A579" t="inlineStr">
        <is>
          <t>A 37714-2024</t>
        </is>
      </c>
      <c r="B579" s="1" t="n">
        <v>45541.63569444444</v>
      </c>
      <c r="C579" s="1" t="n">
        <v>45879</v>
      </c>
      <c r="D579" t="inlineStr">
        <is>
          <t>VÄSTERBOTTENS LÄN</t>
        </is>
      </c>
      <c r="E579" t="inlineStr">
        <is>
          <t>VILHELMINA</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37715-2024</t>
        </is>
      </c>
      <c r="B580" s="1" t="n">
        <v>45541.63581018519</v>
      </c>
      <c r="C580" s="1" t="n">
        <v>45879</v>
      </c>
      <c r="D580" t="inlineStr">
        <is>
          <t>VÄSTERBOTTENS LÄN</t>
        </is>
      </c>
      <c r="E580" t="inlineStr">
        <is>
          <t>VILHELMINA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44285-2024</t>
        </is>
      </c>
      <c r="B581" s="1" t="n">
        <v>45573</v>
      </c>
      <c r="C581" s="1" t="n">
        <v>45879</v>
      </c>
      <c r="D581" t="inlineStr">
        <is>
          <t>VÄSTERBOTTENS LÄN</t>
        </is>
      </c>
      <c r="E581" t="inlineStr">
        <is>
          <t>VILHELMINA</t>
        </is>
      </c>
      <c r="G581" t="n">
        <v>30.9</v>
      </c>
      <c r="H581" t="n">
        <v>0</v>
      </c>
      <c r="I581" t="n">
        <v>0</v>
      </c>
      <c r="J581" t="n">
        <v>0</v>
      </c>
      <c r="K581" t="n">
        <v>0</v>
      </c>
      <c r="L581" t="n">
        <v>0</v>
      </c>
      <c r="M581" t="n">
        <v>0</v>
      </c>
      <c r="N581" t="n">
        <v>0</v>
      </c>
      <c r="O581" t="n">
        <v>0</v>
      </c>
      <c r="P581" t="n">
        <v>0</v>
      </c>
      <c r="Q581" t="n">
        <v>0</v>
      </c>
      <c r="R581" s="2" t="inlineStr"/>
    </row>
    <row r="582" ht="15" customHeight="1">
      <c r="A582" t="inlineStr">
        <is>
          <t>A 24224-2025</t>
        </is>
      </c>
      <c r="B582" s="1" t="n">
        <v>45797</v>
      </c>
      <c r="C582" s="1" t="n">
        <v>45879</v>
      </c>
      <c r="D582" t="inlineStr">
        <is>
          <t>VÄSTERBOTTENS LÄN</t>
        </is>
      </c>
      <c r="E582" t="inlineStr">
        <is>
          <t>VILHELMINA</t>
        </is>
      </c>
      <c r="G582" t="n">
        <v>27.2</v>
      </c>
      <c r="H582" t="n">
        <v>0</v>
      </c>
      <c r="I582" t="n">
        <v>0</v>
      </c>
      <c r="J582" t="n">
        <v>0</v>
      </c>
      <c r="K582" t="n">
        <v>0</v>
      </c>
      <c r="L582" t="n">
        <v>0</v>
      </c>
      <c r="M582" t="n">
        <v>0</v>
      </c>
      <c r="N582" t="n">
        <v>0</v>
      </c>
      <c r="O582" t="n">
        <v>0</v>
      </c>
      <c r="P582" t="n">
        <v>0</v>
      </c>
      <c r="Q582" t="n">
        <v>0</v>
      </c>
      <c r="R582" s="2" t="inlineStr"/>
    </row>
    <row r="583" ht="15" customHeight="1">
      <c r="A583" t="inlineStr">
        <is>
          <t>A 33322-2025</t>
        </is>
      </c>
      <c r="B583" s="1" t="n">
        <v>45841.3452662037</v>
      </c>
      <c r="C583" s="1" t="n">
        <v>45879</v>
      </c>
      <c r="D583" t="inlineStr">
        <is>
          <t>VÄSTERBOTTENS LÄN</t>
        </is>
      </c>
      <c r="E583" t="inlineStr">
        <is>
          <t>VILHELMINA</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24988-2025</t>
        </is>
      </c>
      <c r="B584" s="1" t="n">
        <v>45799</v>
      </c>
      <c r="C584" s="1" t="n">
        <v>45879</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54459-2024</t>
        </is>
      </c>
      <c r="B585" s="1" t="n">
        <v>45617</v>
      </c>
      <c r="C585" s="1" t="n">
        <v>45879</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64421-2023</t>
        </is>
      </c>
      <c r="B586" s="1" t="n">
        <v>45280</v>
      </c>
      <c r="C586" s="1" t="n">
        <v>45879</v>
      </c>
      <c r="D586" t="inlineStr">
        <is>
          <t>VÄSTERBOTTENS LÄN</t>
        </is>
      </c>
      <c r="E586" t="inlineStr">
        <is>
          <t>VILHELMINA</t>
        </is>
      </c>
      <c r="G586" t="n">
        <v>4.9</v>
      </c>
      <c r="H586" t="n">
        <v>0</v>
      </c>
      <c r="I586" t="n">
        <v>0</v>
      </c>
      <c r="J586" t="n">
        <v>0</v>
      </c>
      <c r="K586" t="n">
        <v>0</v>
      </c>
      <c r="L586" t="n">
        <v>0</v>
      </c>
      <c r="M586" t="n">
        <v>0</v>
      </c>
      <c r="N586" t="n">
        <v>0</v>
      </c>
      <c r="O586" t="n">
        <v>0</v>
      </c>
      <c r="P586" t="n">
        <v>0</v>
      </c>
      <c r="Q586" t="n">
        <v>0</v>
      </c>
      <c r="R586" s="2" t="inlineStr"/>
    </row>
    <row r="587" ht="15" customHeight="1">
      <c r="A587" t="inlineStr">
        <is>
          <t>A 25180-2025</t>
        </is>
      </c>
      <c r="B587" s="1" t="n">
        <v>45800.44892361111</v>
      </c>
      <c r="C587" s="1" t="n">
        <v>45879</v>
      </c>
      <c r="D587" t="inlineStr">
        <is>
          <t>VÄSTERBOTTENS LÄN</t>
        </is>
      </c>
      <c r="E587" t="inlineStr">
        <is>
          <t>VILHELMINA</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24828-2023</t>
        </is>
      </c>
      <c r="B588" s="1" t="n">
        <v>45084</v>
      </c>
      <c r="C588" s="1" t="n">
        <v>45879</v>
      </c>
      <c r="D588" t="inlineStr">
        <is>
          <t>VÄSTERBOTTENS LÄN</t>
        </is>
      </c>
      <c r="E588" t="inlineStr">
        <is>
          <t>VILHELMINA</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46177-2023</t>
        </is>
      </c>
      <c r="B589" s="1" t="n">
        <v>45190</v>
      </c>
      <c r="C589" s="1" t="n">
        <v>45879</v>
      </c>
      <c r="D589" t="inlineStr">
        <is>
          <t>VÄSTERBOTTENS LÄN</t>
        </is>
      </c>
      <c r="E589" t="inlineStr">
        <is>
          <t>VILHELMINA</t>
        </is>
      </c>
      <c r="F589" t="inlineStr">
        <is>
          <t>Övriga Aktiebolag</t>
        </is>
      </c>
      <c r="G589" t="n">
        <v>7.7</v>
      </c>
      <c r="H589" t="n">
        <v>0</v>
      </c>
      <c r="I589" t="n">
        <v>0</v>
      </c>
      <c r="J589" t="n">
        <v>0</v>
      </c>
      <c r="K589" t="n">
        <v>0</v>
      </c>
      <c r="L589" t="n">
        <v>0</v>
      </c>
      <c r="M589" t="n">
        <v>0</v>
      </c>
      <c r="N589" t="n">
        <v>0</v>
      </c>
      <c r="O589" t="n">
        <v>0</v>
      </c>
      <c r="P589" t="n">
        <v>0</v>
      </c>
      <c r="Q589" t="n">
        <v>0</v>
      </c>
      <c r="R589" s="2" t="inlineStr"/>
    </row>
    <row r="590" ht="15" customHeight="1">
      <c r="A590" t="inlineStr">
        <is>
          <t>A 20846-2025</t>
        </is>
      </c>
      <c r="B590" s="1" t="n">
        <v>45777</v>
      </c>
      <c r="C590" s="1" t="n">
        <v>45879</v>
      </c>
      <c r="D590" t="inlineStr">
        <is>
          <t>VÄSTERBOTTENS LÄN</t>
        </is>
      </c>
      <c r="E590" t="inlineStr">
        <is>
          <t>VILHELMINA</t>
        </is>
      </c>
      <c r="G590" t="n">
        <v>19.1</v>
      </c>
      <c r="H590" t="n">
        <v>0</v>
      </c>
      <c r="I590" t="n">
        <v>0</v>
      </c>
      <c r="J590" t="n">
        <v>0</v>
      </c>
      <c r="K590" t="n">
        <v>0</v>
      </c>
      <c r="L590" t="n">
        <v>0</v>
      </c>
      <c r="M590" t="n">
        <v>0</v>
      </c>
      <c r="N590" t="n">
        <v>0</v>
      </c>
      <c r="O590" t="n">
        <v>0</v>
      </c>
      <c r="P590" t="n">
        <v>0</v>
      </c>
      <c r="Q590" t="n">
        <v>0</v>
      </c>
      <c r="R590" s="2" t="inlineStr"/>
    </row>
    <row r="591" ht="15" customHeight="1">
      <c r="A591" t="inlineStr">
        <is>
          <t>A 6664-2021</t>
        </is>
      </c>
      <c r="B591" s="1" t="n">
        <v>44235</v>
      </c>
      <c r="C591" s="1" t="n">
        <v>45879</v>
      </c>
      <c r="D591" t="inlineStr">
        <is>
          <t>VÄSTERBOTTENS LÄN</t>
        </is>
      </c>
      <c r="E591" t="inlineStr">
        <is>
          <t>VILHELMINA</t>
        </is>
      </c>
      <c r="G591" t="n">
        <v>2.5</v>
      </c>
      <c r="H591" t="n">
        <v>0</v>
      </c>
      <c r="I591" t="n">
        <v>0</v>
      </c>
      <c r="J591" t="n">
        <v>0</v>
      </c>
      <c r="K591" t="n">
        <v>0</v>
      </c>
      <c r="L591" t="n">
        <v>0</v>
      </c>
      <c r="M591" t="n">
        <v>0</v>
      </c>
      <c r="N591" t="n">
        <v>0</v>
      </c>
      <c r="O591" t="n">
        <v>0</v>
      </c>
      <c r="P591" t="n">
        <v>0</v>
      </c>
      <c r="Q591" t="n">
        <v>0</v>
      </c>
      <c r="R591" s="2" t="inlineStr"/>
    </row>
    <row r="592" ht="15" customHeight="1">
      <c r="A592" t="inlineStr">
        <is>
          <t>A 6699-2021</t>
        </is>
      </c>
      <c r="B592" s="1" t="n">
        <v>44235</v>
      </c>
      <c r="C592" s="1" t="n">
        <v>45879</v>
      </c>
      <c r="D592" t="inlineStr">
        <is>
          <t>VÄSTERBOTTENS LÄN</t>
        </is>
      </c>
      <c r="E592" t="inlineStr">
        <is>
          <t>VILHELMINA</t>
        </is>
      </c>
      <c r="G592" t="n">
        <v>6.9</v>
      </c>
      <c r="H592" t="n">
        <v>0</v>
      </c>
      <c r="I592" t="n">
        <v>0</v>
      </c>
      <c r="J592" t="n">
        <v>0</v>
      </c>
      <c r="K592" t="n">
        <v>0</v>
      </c>
      <c r="L592" t="n">
        <v>0</v>
      </c>
      <c r="M592" t="n">
        <v>0</v>
      </c>
      <c r="N592" t="n">
        <v>0</v>
      </c>
      <c r="O592" t="n">
        <v>0</v>
      </c>
      <c r="P592" t="n">
        <v>0</v>
      </c>
      <c r="Q592" t="n">
        <v>0</v>
      </c>
      <c r="R592" s="2" t="inlineStr"/>
    </row>
    <row r="593" ht="15" customHeight="1">
      <c r="A593" t="inlineStr">
        <is>
          <t>A 17587-2024</t>
        </is>
      </c>
      <c r="B593" s="1" t="n">
        <v>45415.94033564815</v>
      </c>
      <c r="C593" s="1" t="n">
        <v>45879</v>
      </c>
      <c r="D593" t="inlineStr">
        <is>
          <t>VÄSTERBOTTENS LÄN</t>
        </is>
      </c>
      <c r="E593" t="inlineStr">
        <is>
          <t>VILHELMINA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61779-2023</t>
        </is>
      </c>
      <c r="B594" s="1" t="n">
        <v>45265.95677083333</v>
      </c>
      <c r="C594" s="1" t="n">
        <v>45879</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51826-2023</t>
        </is>
      </c>
      <c r="B595" s="1" t="n">
        <v>45222.9678125</v>
      </c>
      <c r="C595" s="1" t="n">
        <v>45879</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18394-2025</t>
        </is>
      </c>
      <c r="B596" s="1" t="n">
        <v>45762</v>
      </c>
      <c r="C596" s="1" t="n">
        <v>45879</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18396-2025</t>
        </is>
      </c>
      <c r="B597" s="1" t="n">
        <v>45762.59456018519</v>
      </c>
      <c r="C597" s="1" t="n">
        <v>45879</v>
      </c>
      <c r="D597" t="inlineStr">
        <is>
          <t>VÄSTERBOTTENS LÄN</t>
        </is>
      </c>
      <c r="E597" t="inlineStr">
        <is>
          <t>VILHELMINA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24870-2025</t>
        </is>
      </c>
      <c r="B598" s="1" t="n">
        <v>45799.49025462963</v>
      </c>
      <c r="C598" s="1" t="n">
        <v>45879</v>
      </c>
      <c r="D598" t="inlineStr">
        <is>
          <t>VÄSTERBOTTENS LÄN</t>
        </is>
      </c>
      <c r="E598" t="inlineStr">
        <is>
          <t>VILHELMINA</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45879</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45879</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25239-2025</t>
        </is>
      </c>
      <c r="B601" s="1" t="n">
        <v>45800</v>
      </c>
      <c r="C601" s="1" t="n">
        <v>45879</v>
      </c>
      <c r="D601" t="inlineStr">
        <is>
          <t>VÄSTERBOTTENS LÄN</t>
        </is>
      </c>
      <c r="E601" t="inlineStr">
        <is>
          <t>VILHELMINA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25309-2025</t>
        </is>
      </c>
      <c r="B602" s="1" t="n">
        <v>45800.57380787037</v>
      </c>
      <c r="C602" s="1" t="n">
        <v>45879</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45879</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56396-2022</t>
        </is>
      </c>
      <c r="B604" s="1" t="n">
        <v>44890</v>
      </c>
      <c r="C604" s="1" t="n">
        <v>45879</v>
      </c>
      <c r="D604" t="inlineStr">
        <is>
          <t>VÄSTERBOTTENS LÄN</t>
        </is>
      </c>
      <c r="E604" t="inlineStr">
        <is>
          <t>VILHELMINA</t>
        </is>
      </c>
      <c r="G604" t="n">
        <v>1.6</v>
      </c>
      <c r="H604" t="n">
        <v>0</v>
      </c>
      <c r="I604" t="n">
        <v>0</v>
      </c>
      <c r="J604" t="n">
        <v>0</v>
      </c>
      <c r="K604" t="n">
        <v>0</v>
      </c>
      <c r="L604" t="n">
        <v>0</v>
      </c>
      <c r="M604" t="n">
        <v>0</v>
      </c>
      <c r="N604" t="n">
        <v>0</v>
      </c>
      <c r="O604" t="n">
        <v>0</v>
      </c>
      <c r="P604" t="n">
        <v>0</v>
      </c>
      <c r="Q604" t="n">
        <v>0</v>
      </c>
      <c r="R604" s="2" t="inlineStr"/>
    </row>
    <row r="605" ht="15" customHeight="1">
      <c r="A605" t="inlineStr">
        <is>
          <t>A 20524-2024</t>
        </is>
      </c>
      <c r="B605" s="1" t="n">
        <v>45435.94567129629</v>
      </c>
      <c r="C605" s="1" t="n">
        <v>45879</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32947-2025</t>
        </is>
      </c>
      <c r="B606" s="1" t="n">
        <v>45839</v>
      </c>
      <c r="C606" s="1" t="n">
        <v>45879</v>
      </c>
      <c r="D606" t="inlineStr">
        <is>
          <t>VÄSTERBOTTENS LÄN</t>
        </is>
      </c>
      <c r="E606" t="inlineStr">
        <is>
          <t>VILHELMINA</t>
        </is>
      </c>
      <c r="G606" t="n">
        <v>19.1</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45879</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46318-2022</t>
        </is>
      </c>
      <c r="B608" s="1" t="n">
        <v>44847</v>
      </c>
      <c r="C608" s="1" t="n">
        <v>45879</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24871-2025</t>
        </is>
      </c>
      <c r="B609" s="1" t="n">
        <v>45799.49028935185</v>
      </c>
      <c r="C609" s="1" t="n">
        <v>45879</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33320-2025</t>
        </is>
      </c>
      <c r="B610" s="1" t="n">
        <v>45841.34461805555</v>
      </c>
      <c r="C610" s="1" t="n">
        <v>45879</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50494-2023</t>
        </is>
      </c>
      <c r="B611" s="1" t="n">
        <v>45216.95604166666</v>
      </c>
      <c r="C611" s="1" t="n">
        <v>45879</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37322-2022</t>
        </is>
      </c>
      <c r="B612" s="1" t="n">
        <v>44806</v>
      </c>
      <c r="C612" s="1" t="n">
        <v>45879</v>
      </c>
      <c r="D612" t="inlineStr">
        <is>
          <t>VÄSTERBOTTENS LÄN</t>
        </is>
      </c>
      <c r="E612" t="inlineStr">
        <is>
          <t>VILHELMINA</t>
        </is>
      </c>
      <c r="F612" t="inlineStr">
        <is>
          <t>Övriga statliga verk och myndigheter</t>
        </is>
      </c>
      <c r="G612" t="n">
        <v>15.4</v>
      </c>
      <c r="H612" t="n">
        <v>0</v>
      </c>
      <c r="I612" t="n">
        <v>0</v>
      </c>
      <c r="J612" t="n">
        <v>0</v>
      </c>
      <c r="K612" t="n">
        <v>0</v>
      </c>
      <c r="L612" t="n">
        <v>0</v>
      </c>
      <c r="M612" t="n">
        <v>0</v>
      </c>
      <c r="N612" t="n">
        <v>0</v>
      </c>
      <c r="O612" t="n">
        <v>0</v>
      </c>
      <c r="P612" t="n">
        <v>0</v>
      </c>
      <c r="Q612" t="n">
        <v>0</v>
      </c>
      <c r="R612" s="2" t="inlineStr"/>
    </row>
    <row r="613" ht="15" customHeight="1">
      <c r="A613" t="inlineStr">
        <is>
          <t>A 25062-2025</t>
        </is>
      </c>
      <c r="B613" s="1" t="n">
        <v>45799.69844907407</v>
      </c>
      <c r="C613" s="1" t="n">
        <v>45879</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25176-2025</t>
        </is>
      </c>
      <c r="B614" s="1" t="n">
        <v>45800.44840277778</v>
      </c>
      <c r="C614" s="1" t="n">
        <v>45879</v>
      </c>
      <c r="D614" t="inlineStr">
        <is>
          <t>VÄSTERBOTTENS LÄN</t>
        </is>
      </c>
      <c r="E614" t="inlineStr">
        <is>
          <t>VILHELMINA</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33641-2025</t>
        </is>
      </c>
      <c r="B615" s="1" t="n">
        <v>45841.65045138889</v>
      </c>
      <c r="C615" s="1" t="n">
        <v>45879</v>
      </c>
      <c r="D615" t="inlineStr">
        <is>
          <t>VÄSTERBOTTENS LÄN</t>
        </is>
      </c>
      <c r="E615" t="inlineStr">
        <is>
          <t>VILHELMINA</t>
        </is>
      </c>
      <c r="G615" t="n">
        <v>7.3</v>
      </c>
      <c r="H615" t="n">
        <v>0</v>
      </c>
      <c r="I615" t="n">
        <v>0</v>
      </c>
      <c r="J615" t="n">
        <v>0</v>
      </c>
      <c r="K615" t="n">
        <v>0</v>
      </c>
      <c r="L615" t="n">
        <v>0</v>
      </c>
      <c r="M615" t="n">
        <v>0</v>
      </c>
      <c r="N615" t="n">
        <v>0</v>
      </c>
      <c r="O615" t="n">
        <v>0</v>
      </c>
      <c r="P615" t="n">
        <v>0</v>
      </c>
      <c r="Q615" t="n">
        <v>0</v>
      </c>
      <c r="R615" s="2" t="inlineStr"/>
    </row>
    <row r="616" ht="15" customHeight="1">
      <c r="A616" t="inlineStr">
        <is>
          <t>A 8566-2025</t>
        </is>
      </c>
      <c r="B616" s="1" t="n">
        <v>45709</v>
      </c>
      <c r="C616" s="1" t="n">
        <v>45879</v>
      </c>
      <c r="D616" t="inlineStr">
        <is>
          <t>VÄSTERBOTTENS LÄN</t>
        </is>
      </c>
      <c r="E616" t="inlineStr">
        <is>
          <t>VILHELMINA</t>
        </is>
      </c>
      <c r="G616" t="n">
        <v>10.5</v>
      </c>
      <c r="H616" t="n">
        <v>0</v>
      </c>
      <c r="I616" t="n">
        <v>0</v>
      </c>
      <c r="J616" t="n">
        <v>0</v>
      </c>
      <c r="K616" t="n">
        <v>0</v>
      </c>
      <c r="L616" t="n">
        <v>0</v>
      </c>
      <c r="M616" t="n">
        <v>0</v>
      </c>
      <c r="N616" t="n">
        <v>0</v>
      </c>
      <c r="O616" t="n">
        <v>0</v>
      </c>
      <c r="P616" t="n">
        <v>0</v>
      </c>
      <c r="Q616" t="n">
        <v>0</v>
      </c>
      <c r="R616" s="2" t="inlineStr"/>
    </row>
    <row r="617" ht="15" customHeight="1">
      <c r="A617" t="inlineStr">
        <is>
          <t>A 8585-2025</t>
        </is>
      </c>
      <c r="B617" s="1" t="n">
        <v>45709</v>
      </c>
      <c r="C617" s="1" t="n">
        <v>45879</v>
      </c>
      <c r="D617" t="inlineStr">
        <is>
          <t>VÄSTERBOTTENS LÄN</t>
        </is>
      </c>
      <c r="E617" t="inlineStr">
        <is>
          <t>VILHELMINA</t>
        </is>
      </c>
      <c r="G617" t="n">
        <v>3.4</v>
      </c>
      <c r="H617" t="n">
        <v>0</v>
      </c>
      <c r="I617" t="n">
        <v>0</v>
      </c>
      <c r="J617" t="n">
        <v>0</v>
      </c>
      <c r="K617" t="n">
        <v>0</v>
      </c>
      <c r="L617" t="n">
        <v>0</v>
      </c>
      <c r="M617" t="n">
        <v>0</v>
      </c>
      <c r="N617" t="n">
        <v>0</v>
      </c>
      <c r="O617" t="n">
        <v>0</v>
      </c>
      <c r="P617" t="n">
        <v>0</v>
      </c>
      <c r="Q617" t="n">
        <v>0</v>
      </c>
      <c r="R617" s="2" t="inlineStr"/>
    </row>
    <row r="618" ht="15" customHeight="1">
      <c r="A618" t="inlineStr">
        <is>
          <t>A 19585-2024</t>
        </is>
      </c>
      <c r="B618" s="1" t="n">
        <v>45429</v>
      </c>
      <c r="C618" s="1" t="n">
        <v>45879</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62405-2022</t>
        </is>
      </c>
      <c r="B619" s="1" t="n">
        <v>44923</v>
      </c>
      <c r="C619" s="1" t="n">
        <v>45879</v>
      </c>
      <c r="D619" t="inlineStr">
        <is>
          <t>VÄSTERBOTTENS LÄN</t>
        </is>
      </c>
      <c r="E619" t="inlineStr">
        <is>
          <t>VILHELMINA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49886-2024</t>
        </is>
      </c>
      <c r="B620" s="1" t="n">
        <v>45597</v>
      </c>
      <c r="C620" s="1" t="n">
        <v>45879</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25524-2025</t>
        </is>
      </c>
      <c r="B621" s="1" t="n">
        <v>45803.38644675926</v>
      </c>
      <c r="C621" s="1" t="n">
        <v>45879</v>
      </c>
      <c r="D621" t="inlineStr">
        <is>
          <t>VÄSTERBOTTENS LÄN</t>
        </is>
      </c>
      <c r="E621" t="inlineStr">
        <is>
          <t>VILHELMINA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51134-2024</t>
        </is>
      </c>
      <c r="B622" s="1" t="n">
        <v>45603</v>
      </c>
      <c r="C622" s="1" t="n">
        <v>45879</v>
      </c>
      <c r="D622" t="inlineStr">
        <is>
          <t>VÄSTERBOTTENS LÄN</t>
        </is>
      </c>
      <c r="E622" t="inlineStr">
        <is>
          <t>VILHELMINA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25770-2025</t>
        </is>
      </c>
      <c r="B623" s="1" t="n">
        <v>45804.3449537037</v>
      </c>
      <c r="C623" s="1" t="n">
        <v>45879</v>
      </c>
      <c r="D623" t="inlineStr">
        <is>
          <t>VÄSTERBOTTENS LÄN</t>
        </is>
      </c>
      <c r="E623" t="inlineStr">
        <is>
          <t>VILHELMINA</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50635-2021</t>
        </is>
      </c>
      <c r="B624" s="1" t="n">
        <v>44459.71978009259</v>
      </c>
      <c r="C624" s="1" t="n">
        <v>45879</v>
      </c>
      <c r="D624" t="inlineStr">
        <is>
          <t>VÄSTERBOTTENS LÄN</t>
        </is>
      </c>
      <c r="E624" t="inlineStr">
        <is>
          <t>VILHELMINA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34253-2025</t>
        </is>
      </c>
      <c r="B625" s="1" t="n">
        <v>45845.69010416666</v>
      </c>
      <c r="C625" s="1" t="n">
        <v>45879</v>
      </c>
      <c r="D625" t="inlineStr">
        <is>
          <t>VÄSTERBOTTENS LÄN</t>
        </is>
      </c>
      <c r="E625" t="inlineStr">
        <is>
          <t>VILHELMINA</t>
        </is>
      </c>
      <c r="G625" t="n">
        <v>14.3</v>
      </c>
      <c r="H625" t="n">
        <v>0</v>
      </c>
      <c r="I625" t="n">
        <v>0</v>
      </c>
      <c r="J625" t="n">
        <v>0</v>
      </c>
      <c r="K625" t="n">
        <v>0</v>
      </c>
      <c r="L625" t="n">
        <v>0</v>
      </c>
      <c r="M625" t="n">
        <v>0</v>
      </c>
      <c r="N625" t="n">
        <v>0</v>
      </c>
      <c r="O625" t="n">
        <v>0</v>
      </c>
      <c r="P625" t="n">
        <v>0</v>
      </c>
      <c r="Q625" t="n">
        <v>0</v>
      </c>
      <c r="R625" s="2" t="inlineStr"/>
    </row>
    <row r="626" ht="15" customHeight="1">
      <c r="A626" t="inlineStr">
        <is>
          <t>A 34805-2023</t>
        </is>
      </c>
      <c r="B626" s="1" t="n">
        <v>45140</v>
      </c>
      <c r="C626" s="1" t="n">
        <v>45879</v>
      </c>
      <c r="D626" t="inlineStr">
        <is>
          <t>VÄSTERBOTTENS LÄN</t>
        </is>
      </c>
      <c r="E626" t="inlineStr">
        <is>
          <t>VILHELMINA</t>
        </is>
      </c>
      <c r="G626" t="n">
        <v>4.3</v>
      </c>
      <c r="H626" t="n">
        <v>0</v>
      </c>
      <c r="I626" t="n">
        <v>0</v>
      </c>
      <c r="J626" t="n">
        <v>0</v>
      </c>
      <c r="K626" t="n">
        <v>0</v>
      </c>
      <c r="L626" t="n">
        <v>0</v>
      </c>
      <c r="M626" t="n">
        <v>0</v>
      </c>
      <c r="N626" t="n">
        <v>0</v>
      </c>
      <c r="O626" t="n">
        <v>0</v>
      </c>
      <c r="P626" t="n">
        <v>0</v>
      </c>
      <c r="Q626" t="n">
        <v>0</v>
      </c>
      <c r="R626" s="2" t="inlineStr"/>
    </row>
    <row r="627" ht="15" customHeight="1">
      <c r="A627" t="inlineStr">
        <is>
          <t>A 26018-2025</t>
        </is>
      </c>
      <c r="B627" s="1" t="n">
        <v>45804.67799768518</v>
      </c>
      <c r="C627" s="1" t="n">
        <v>45879</v>
      </c>
      <c r="D627" t="inlineStr">
        <is>
          <t>VÄSTERBOTTENS LÄN</t>
        </is>
      </c>
      <c r="E627" t="inlineStr">
        <is>
          <t>VILHELMINA</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69621-2020</t>
        </is>
      </c>
      <c r="B628" s="1" t="n">
        <v>44195</v>
      </c>
      <c r="C628" s="1" t="n">
        <v>45879</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25942-2025</t>
        </is>
      </c>
      <c r="B629" s="1" t="n">
        <v>45804.59461805555</v>
      </c>
      <c r="C629" s="1" t="n">
        <v>45879</v>
      </c>
      <c r="D629" t="inlineStr">
        <is>
          <t>VÄSTERBOTTENS LÄN</t>
        </is>
      </c>
      <c r="E629" t="inlineStr">
        <is>
          <t>VILHELMINA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55697-2024</t>
        </is>
      </c>
      <c r="B630" s="1" t="n">
        <v>45622</v>
      </c>
      <c r="C630" s="1" t="n">
        <v>45879</v>
      </c>
      <c r="D630" t="inlineStr">
        <is>
          <t>VÄSTERBOTTENS LÄN</t>
        </is>
      </c>
      <c r="E630" t="inlineStr">
        <is>
          <t>VILHELMINA</t>
        </is>
      </c>
      <c r="G630" t="n">
        <v>3.2</v>
      </c>
      <c r="H630" t="n">
        <v>0</v>
      </c>
      <c r="I630" t="n">
        <v>0</v>
      </c>
      <c r="J630" t="n">
        <v>0</v>
      </c>
      <c r="K630" t="n">
        <v>0</v>
      </c>
      <c r="L630" t="n">
        <v>0</v>
      </c>
      <c r="M630" t="n">
        <v>0</v>
      </c>
      <c r="N630" t="n">
        <v>0</v>
      </c>
      <c r="O630" t="n">
        <v>0</v>
      </c>
      <c r="P630" t="n">
        <v>0</v>
      </c>
      <c r="Q630" t="n">
        <v>0</v>
      </c>
      <c r="R630" s="2" t="inlineStr"/>
    </row>
    <row r="631" ht="15" customHeight="1">
      <c r="A631" t="inlineStr">
        <is>
          <t>A 38297-2024</t>
        </is>
      </c>
      <c r="B631" s="1" t="n">
        <v>45545</v>
      </c>
      <c r="C631" s="1" t="n">
        <v>45879</v>
      </c>
      <c r="D631" t="inlineStr">
        <is>
          <t>VÄSTERBOTTENS LÄN</t>
        </is>
      </c>
      <c r="E631" t="inlineStr">
        <is>
          <t>VILHELMINA</t>
        </is>
      </c>
      <c r="G631" t="n">
        <v>139.8</v>
      </c>
      <c r="H631" t="n">
        <v>0</v>
      </c>
      <c r="I631" t="n">
        <v>0</v>
      </c>
      <c r="J631" t="n">
        <v>0</v>
      </c>
      <c r="K631" t="n">
        <v>0</v>
      </c>
      <c r="L631" t="n">
        <v>0</v>
      </c>
      <c r="M631" t="n">
        <v>0</v>
      </c>
      <c r="N631" t="n">
        <v>0</v>
      </c>
      <c r="O631" t="n">
        <v>0</v>
      </c>
      <c r="P631" t="n">
        <v>0</v>
      </c>
      <c r="Q631" t="n">
        <v>0</v>
      </c>
      <c r="R631" s="2" t="inlineStr"/>
    </row>
    <row r="632" ht="15" customHeight="1">
      <c r="A632" t="inlineStr">
        <is>
          <t>A 46908-2024</t>
        </is>
      </c>
      <c r="B632" s="1" t="n">
        <v>45583</v>
      </c>
      <c r="C632" s="1" t="n">
        <v>45879</v>
      </c>
      <c r="D632" t="inlineStr">
        <is>
          <t>VÄSTERBOTTENS LÄN</t>
        </is>
      </c>
      <c r="E632" t="inlineStr">
        <is>
          <t>VILHELMINA</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31449-2024</t>
        </is>
      </c>
      <c r="B633" s="1" t="n">
        <v>45505.9299537037</v>
      </c>
      <c r="C633" s="1" t="n">
        <v>45879</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45879</v>
      </c>
      <c r="D634" t="inlineStr">
        <is>
          <t>VÄSTERBOTTENS LÄN</t>
        </is>
      </c>
      <c r="E634" t="inlineStr">
        <is>
          <t>VILHELMINA</t>
        </is>
      </c>
      <c r="F634" t="inlineStr">
        <is>
          <t>Allmännings- och besparingsskogar</t>
        </is>
      </c>
      <c r="G634" t="n">
        <v>21.8</v>
      </c>
      <c r="H634" t="n">
        <v>0</v>
      </c>
      <c r="I634" t="n">
        <v>0</v>
      </c>
      <c r="J634" t="n">
        <v>0</v>
      </c>
      <c r="K634" t="n">
        <v>0</v>
      </c>
      <c r="L634" t="n">
        <v>0</v>
      </c>
      <c r="M634" t="n">
        <v>0</v>
      </c>
      <c r="N634" t="n">
        <v>0</v>
      </c>
      <c r="O634" t="n">
        <v>0</v>
      </c>
      <c r="P634" t="n">
        <v>0</v>
      </c>
      <c r="Q634" t="n">
        <v>0</v>
      </c>
      <c r="R634" s="2" t="inlineStr"/>
    </row>
    <row r="635" ht="15" customHeight="1">
      <c r="A635" t="inlineStr">
        <is>
          <t>A 59031-2024</t>
        </is>
      </c>
      <c r="B635" s="1" t="n">
        <v>45636</v>
      </c>
      <c r="C635" s="1" t="n">
        <v>45879</v>
      </c>
      <c r="D635" t="inlineStr">
        <is>
          <t>VÄSTERBOTTENS LÄN</t>
        </is>
      </c>
      <c r="E635" t="inlineStr">
        <is>
          <t>VILHELMINA</t>
        </is>
      </c>
      <c r="G635" t="n">
        <v>38.9</v>
      </c>
      <c r="H635" t="n">
        <v>0</v>
      </c>
      <c r="I635" t="n">
        <v>0</v>
      </c>
      <c r="J635" t="n">
        <v>0</v>
      </c>
      <c r="K635" t="n">
        <v>0</v>
      </c>
      <c r="L635" t="n">
        <v>0</v>
      </c>
      <c r="M635" t="n">
        <v>0</v>
      </c>
      <c r="N635" t="n">
        <v>0</v>
      </c>
      <c r="O635" t="n">
        <v>0</v>
      </c>
      <c r="P635" t="n">
        <v>0</v>
      </c>
      <c r="Q635" t="n">
        <v>0</v>
      </c>
      <c r="R635" s="2" t="inlineStr"/>
    </row>
    <row r="636" ht="15" customHeight="1">
      <c r="A636" t="inlineStr">
        <is>
          <t>A 34542-2025</t>
        </is>
      </c>
      <c r="B636" s="1" t="n">
        <v>45847.53211805555</v>
      </c>
      <c r="C636" s="1" t="n">
        <v>45879</v>
      </c>
      <c r="D636" t="inlineStr">
        <is>
          <t>VÄSTERBOTTENS LÄN</t>
        </is>
      </c>
      <c r="E636" t="inlineStr">
        <is>
          <t>VILHELMINA</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34569-2025</t>
        </is>
      </c>
      <c r="B637" s="1" t="n">
        <v>45847.58480324074</v>
      </c>
      <c r="C637" s="1" t="n">
        <v>45879</v>
      </c>
      <c r="D637" t="inlineStr">
        <is>
          <t>VÄSTERBOTTENS LÄN</t>
        </is>
      </c>
      <c r="E637" t="inlineStr">
        <is>
          <t>VILHELMINA</t>
        </is>
      </c>
      <c r="G637" t="n">
        <v>5.3</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45879</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26098-2025</t>
        </is>
      </c>
      <c r="B639" s="1" t="n">
        <v>45805</v>
      </c>
      <c r="C639" s="1" t="n">
        <v>45879</v>
      </c>
      <c r="D639" t="inlineStr">
        <is>
          <t>VÄSTERBOTTENS LÄN</t>
        </is>
      </c>
      <c r="E639" t="inlineStr">
        <is>
          <t>VILHELMINA</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34563-2025</t>
        </is>
      </c>
      <c r="B640" s="1" t="n">
        <v>45847.57950231482</v>
      </c>
      <c r="C640" s="1" t="n">
        <v>45879</v>
      </c>
      <c r="D640" t="inlineStr">
        <is>
          <t>VÄSTERBOTTENS LÄN</t>
        </is>
      </c>
      <c r="E640" t="inlineStr">
        <is>
          <t>VILHELMINA</t>
        </is>
      </c>
      <c r="G640" t="n">
        <v>20.6</v>
      </c>
      <c r="H640" t="n">
        <v>0</v>
      </c>
      <c r="I640" t="n">
        <v>0</v>
      </c>
      <c r="J640" t="n">
        <v>0</v>
      </c>
      <c r="K640" t="n">
        <v>0</v>
      </c>
      <c r="L640" t="n">
        <v>0</v>
      </c>
      <c r="M640" t="n">
        <v>0</v>
      </c>
      <c r="N640" t="n">
        <v>0</v>
      </c>
      <c r="O640" t="n">
        <v>0</v>
      </c>
      <c r="P640" t="n">
        <v>0</v>
      </c>
      <c r="Q640" t="n">
        <v>0</v>
      </c>
      <c r="R640" s="2" t="inlineStr"/>
    </row>
    <row r="641" ht="15" customHeight="1">
      <c r="A641" t="inlineStr">
        <is>
          <t>A 51825-2023</t>
        </is>
      </c>
      <c r="B641" s="1" t="n">
        <v>45222</v>
      </c>
      <c r="C641" s="1" t="n">
        <v>45879</v>
      </c>
      <c r="D641" t="inlineStr">
        <is>
          <t>VÄSTERBOTTENS LÄN</t>
        </is>
      </c>
      <c r="E641" t="inlineStr">
        <is>
          <t>VILHELMINA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55695-2024</t>
        </is>
      </c>
      <c r="B642" s="1" t="n">
        <v>45622</v>
      </c>
      <c r="C642" s="1" t="n">
        <v>45879</v>
      </c>
      <c r="D642" t="inlineStr">
        <is>
          <t>VÄSTERBOTTENS LÄN</t>
        </is>
      </c>
      <c r="E642" t="inlineStr">
        <is>
          <t>VILHELMINA</t>
        </is>
      </c>
      <c r="G642" t="n">
        <v>7.2</v>
      </c>
      <c r="H642" t="n">
        <v>0</v>
      </c>
      <c r="I642" t="n">
        <v>0</v>
      </c>
      <c r="J642" t="n">
        <v>0</v>
      </c>
      <c r="K642" t="n">
        <v>0</v>
      </c>
      <c r="L642" t="n">
        <v>0</v>
      </c>
      <c r="M642" t="n">
        <v>0</v>
      </c>
      <c r="N642" t="n">
        <v>0</v>
      </c>
      <c r="O642" t="n">
        <v>0</v>
      </c>
      <c r="P642" t="n">
        <v>0</v>
      </c>
      <c r="Q642" t="n">
        <v>0</v>
      </c>
      <c r="R642" s="2" t="inlineStr"/>
    </row>
    <row r="643" ht="15" customHeight="1">
      <c r="A643" t="inlineStr">
        <is>
          <t>A 26143-2025</t>
        </is>
      </c>
      <c r="B643" s="1" t="n">
        <v>45805.42736111111</v>
      </c>
      <c r="C643" s="1" t="n">
        <v>45879</v>
      </c>
      <c r="D643" t="inlineStr">
        <is>
          <t>VÄSTERBOTTENS LÄN</t>
        </is>
      </c>
      <c r="E643" t="inlineStr">
        <is>
          <t>VILHELMINA</t>
        </is>
      </c>
      <c r="G643" t="n">
        <v>20</v>
      </c>
      <c r="H643" t="n">
        <v>0</v>
      </c>
      <c r="I643" t="n">
        <v>0</v>
      </c>
      <c r="J643" t="n">
        <v>0</v>
      </c>
      <c r="K643" t="n">
        <v>0</v>
      </c>
      <c r="L643" t="n">
        <v>0</v>
      </c>
      <c r="M643" t="n">
        <v>0</v>
      </c>
      <c r="N643" t="n">
        <v>0</v>
      </c>
      <c r="O643" t="n">
        <v>0</v>
      </c>
      <c r="P643" t="n">
        <v>0</v>
      </c>
      <c r="Q643" t="n">
        <v>0</v>
      </c>
      <c r="R643" s="2" t="inlineStr"/>
    </row>
    <row r="644" ht="15" customHeight="1">
      <c r="A644" t="inlineStr">
        <is>
          <t>A 9162-2022</t>
        </is>
      </c>
      <c r="B644" s="1" t="n">
        <v>44615</v>
      </c>
      <c r="C644" s="1" t="n">
        <v>45879</v>
      </c>
      <c r="D644" t="inlineStr">
        <is>
          <t>VÄSTERBOTTENS LÄN</t>
        </is>
      </c>
      <c r="E644" t="inlineStr">
        <is>
          <t>VILHELMINA</t>
        </is>
      </c>
      <c r="G644" t="n">
        <v>7.2</v>
      </c>
      <c r="H644" t="n">
        <v>0</v>
      </c>
      <c r="I644" t="n">
        <v>0</v>
      </c>
      <c r="J644" t="n">
        <v>0</v>
      </c>
      <c r="K644" t="n">
        <v>0</v>
      </c>
      <c r="L644" t="n">
        <v>0</v>
      </c>
      <c r="M644" t="n">
        <v>0</v>
      </c>
      <c r="N644" t="n">
        <v>0</v>
      </c>
      <c r="O644" t="n">
        <v>0</v>
      </c>
      <c r="P644" t="n">
        <v>0</v>
      </c>
      <c r="Q644" t="n">
        <v>0</v>
      </c>
      <c r="R644" s="2" t="inlineStr"/>
    </row>
    <row r="645" ht="15" customHeight="1">
      <c r="A645" t="inlineStr">
        <is>
          <t>A 27355-2023</t>
        </is>
      </c>
      <c r="B645" s="1" t="n">
        <v>45096</v>
      </c>
      <c r="C645" s="1" t="n">
        <v>45879</v>
      </c>
      <c r="D645" t="inlineStr">
        <is>
          <t>VÄSTERBOTTENS LÄN</t>
        </is>
      </c>
      <c r="E645" t="inlineStr">
        <is>
          <t>VILHELMINA</t>
        </is>
      </c>
      <c r="G645" t="n">
        <v>2.6</v>
      </c>
      <c r="H645" t="n">
        <v>0</v>
      </c>
      <c r="I645" t="n">
        <v>0</v>
      </c>
      <c r="J645" t="n">
        <v>0</v>
      </c>
      <c r="K645" t="n">
        <v>0</v>
      </c>
      <c r="L645" t="n">
        <v>0</v>
      </c>
      <c r="M645" t="n">
        <v>0</v>
      </c>
      <c r="N645" t="n">
        <v>0</v>
      </c>
      <c r="O645" t="n">
        <v>0</v>
      </c>
      <c r="P645" t="n">
        <v>0</v>
      </c>
      <c r="Q645" t="n">
        <v>0</v>
      </c>
      <c r="R645" s="2" t="inlineStr"/>
    </row>
    <row r="646" ht="15" customHeight="1">
      <c r="A646" t="inlineStr">
        <is>
          <t>A 59018-2024</t>
        </is>
      </c>
      <c r="B646" s="1" t="n">
        <v>45636</v>
      </c>
      <c r="C646" s="1" t="n">
        <v>45879</v>
      </c>
      <c r="D646" t="inlineStr">
        <is>
          <t>VÄSTERBOTTENS LÄN</t>
        </is>
      </c>
      <c r="E646" t="inlineStr">
        <is>
          <t>VILHELMINA</t>
        </is>
      </c>
      <c r="F646" t="inlineStr">
        <is>
          <t>Allmännings- och besparingsskogar</t>
        </is>
      </c>
      <c r="G646" t="n">
        <v>13.9</v>
      </c>
      <c r="H646" t="n">
        <v>0</v>
      </c>
      <c r="I646" t="n">
        <v>0</v>
      </c>
      <c r="J646" t="n">
        <v>0</v>
      </c>
      <c r="K646" t="n">
        <v>0</v>
      </c>
      <c r="L646" t="n">
        <v>0</v>
      </c>
      <c r="M646" t="n">
        <v>0</v>
      </c>
      <c r="N646" t="n">
        <v>0</v>
      </c>
      <c r="O646" t="n">
        <v>0</v>
      </c>
      <c r="P646" t="n">
        <v>0</v>
      </c>
      <c r="Q646" t="n">
        <v>0</v>
      </c>
      <c r="R646" s="2" t="inlineStr"/>
    </row>
    <row r="647" ht="15" customHeight="1">
      <c r="A647" t="inlineStr">
        <is>
          <t>A 59022-2024</t>
        </is>
      </c>
      <c r="B647" s="1" t="n">
        <v>45636</v>
      </c>
      <c r="C647" s="1" t="n">
        <v>45879</v>
      </c>
      <c r="D647" t="inlineStr">
        <is>
          <t>VÄSTERBOTTENS LÄN</t>
        </is>
      </c>
      <c r="E647" t="inlineStr">
        <is>
          <t>VILHELMINA</t>
        </is>
      </c>
      <c r="F647" t="inlineStr">
        <is>
          <t>Allmännings- och besparingsskogar</t>
        </is>
      </c>
      <c r="G647" t="n">
        <v>35.1</v>
      </c>
      <c r="H647" t="n">
        <v>0</v>
      </c>
      <c r="I647" t="n">
        <v>0</v>
      </c>
      <c r="J647" t="n">
        <v>0</v>
      </c>
      <c r="K647" t="n">
        <v>0</v>
      </c>
      <c r="L647" t="n">
        <v>0</v>
      </c>
      <c r="M647" t="n">
        <v>0</v>
      </c>
      <c r="N647" t="n">
        <v>0</v>
      </c>
      <c r="O647" t="n">
        <v>0</v>
      </c>
      <c r="P647" t="n">
        <v>0</v>
      </c>
      <c r="Q647" t="n">
        <v>0</v>
      </c>
      <c r="R647" s="2" t="inlineStr"/>
    </row>
    <row r="648" ht="15" customHeight="1">
      <c r="A648" t="inlineStr">
        <is>
          <t>A 28870-2024</t>
        </is>
      </c>
      <c r="B648" s="1" t="n">
        <v>45478.94733796296</v>
      </c>
      <c r="C648" s="1" t="n">
        <v>45879</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20591-2025</t>
        </is>
      </c>
      <c r="B649" s="1" t="n">
        <v>45775</v>
      </c>
      <c r="C649" s="1" t="n">
        <v>45879</v>
      </c>
      <c r="D649" t="inlineStr">
        <is>
          <t>VÄSTERBOTTENS LÄN</t>
        </is>
      </c>
      <c r="E649" t="inlineStr">
        <is>
          <t>VILHELMINA</t>
        </is>
      </c>
      <c r="F649" t="inlineStr">
        <is>
          <t>SCA</t>
        </is>
      </c>
      <c r="G649" t="n">
        <v>27.4</v>
      </c>
      <c r="H649" t="n">
        <v>0</v>
      </c>
      <c r="I649" t="n">
        <v>0</v>
      </c>
      <c r="J649" t="n">
        <v>0</v>
      </c>
      <c r="K649" t="n">
        <v>0</v>
      </c>
      <c r="L649" t="n">
        <v>0</v>
      </c>
      <c r="M649" t="n">
        <v>0</v>
      </c>
      <c r="N649" t="n">
        <v>0</v>
      </c>
      <c r="O649" t="n">
        <v>0</v>
      </c>
      <c r="P649" t="n">
        <v>0</v>
      </c>
      <c r="Q649" t="n">
        <v>0</v>
      </c>
      <c r="R649" s="2" t="inlineStr"/>
    </row>
    <row r="650" ht="15" customHeight="1">
      <c r="A650" t="inlineStr">
        <is>
          <t>A 54727-2024</t>
        </is>
      </c>
      <c r="B650" s="1" t="n">
        <v>45618.43804398148</v>
      </c>
      <c r="C650" s="1" t="n">
        <v>45879</v>
      </c>
      <c r="D650" t="inlineStr">
        <is>
          <t>VÄSTERBOTTENS LÄN</t>
        </is>
      </c>
      <c r="E650" t="inlineStr">
        <is>
          <t>VILHELMINA</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54804-2024</t>
        </is>
      </c>
      <c r="B651" s="1" t="n">
        <v>45618</v>
      </c>
      <c r="C651" s="1" t="n">
        <v>45879</v>
      </c>
      <c r="D651" t="inlineStr">
        <is>
          <t>VÄSTERBOTTENS LÄN</t>
        </is>
      </c>
      <c r="E651" t="inlineStr">
        <is>
          <t>VILHELMINA</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33636-2021</t>
        </is>
      </c>
      <c r="B652" s="1" t="n">
        <v>44378</v>
      </c>
      <c r="C652" s="1" t="n">
        <v>45879</v>
      </c>
      <c r="D652" t="inlineStr">
        <is>
          <t>VÄSTERBOTTENS LÄN</t>
        </is>
      </c>
      <c r="E652" t="inlineStr">
        <is>
          <t>VILHELMINA</t>
        </is>
      </c>
      <c r="G652" t="n">
        <v>1.6</v>
      </c>
      <c r="H652" t="n">
        <v>0</v>
      </c>
      <c r="I652" t="n">
        <v>0</v>
      </c>
      <c r="J652" t="n">
        <v>0</v>
      </c>
      <c r="K652" t="n">
        <v>0</v>
      </c>
      <c r="L652" t="n">
        <v>0</v>
      </c>
      <c r="M652" t="n">
        <v>0</v>
      </c>
      <c r="N652" t="n">
        <v>0</v>
      </c>
      <c r="O652" t="n">
        <v>0</v>
      </c>
      <c r="P652" t="n">
        <v>0</v>
      </c>
      <c r="Q652" t="n">
        <v>0</v>
      </c>
      <c r="R652" s="2" t="inlineStr"/>
    </row>
    <row r="653" ht="15" customHeight="1">
      <c r="A653" t="inlineStr">
        <is>
          <t>A 35984-2023</t>
        </is>
      </c>
      <c r="B653" s="1" t="n">
        <v>45148.96195601852</v>
      </c>
      <c r="C653" s="1" t="n">
        <v>45879</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58946-2024</t>
        </is>
      </c>
      <c r="B654" s="1" t="n">
        <v>45636.55063657407</v>
      </c>
      <c r="C654" s="1" t="n">
        <v>45879</v>
      </c>
      <c r="D654" t="inlineStr">
        <is>
          <t>VÄSTERBOTTENS LÄN</t>
        </is>
      </c>
      <c r="E654" t="inlineStr">
        <is>
          <t>VILHELMINA</t>
        </is>
      </c>
      <c r="F654" t="inlineStr">
        <is>
          <t>Kommuner</t>
        </is>
      </c>
      <c r="G654" t="n">
        <v>4.9</v>
      </c>
      <c r="H654" t="n">
        <v>0</v>
      </c>
      <c r="I654" t="n">
        <v>0</v>
      </c>
      <c r="J654" t="n">
        <v>0</v>
      </c>
      <c r="K654" t="n">
        <v>0</v>
      </c>
      <c r="L654" t="n">
        <v>0</v>
      </c>
      <c r="M654" t="n">
        <v>0</v>
      </c>
      <c r="N654" t="n">
        <v>0</v>
      </c>
      <c r="O654" t="n">
        <v>0</v>
      </c>
      <c r="P654" t="n">
        <v>0</v>
      </c>
      <c r="Q654" t="n">
        <v>0</v>
      </c>
      <c r="R654" s="2" t="inlineStr"/>
    </row>
    <row r="655" ht="15" customHeight="1">
      <c r="A655" t="inlineStr">
        <is>
          <t>A 58999-2024</t>
        </is>
      </c>
      <c r="B655" s="1" t="n">
        <v>45636</v>
      </c>
      <c r="C655" s="1" t="n">
        <v>45879</v>
      </c>
      <c r="D655" t="inlineStr">
        <is>
          <t>VÄSTERBOTTENS LÄN</t>
        </is>
      </c>
      <c r="E655" t="inlineStr">
        <is>
          <t>VILHELMINA</t>
        </is>
      </c>
      <c r="F655" t="inlineStr">
        <is>
          <t>Allmännings- och besparingsskogar</t>
        </is>
      </c>
      <c r="G655" t="n">
        <v>12.3</v>
      </c>
      <c r="H655" t="n">
        <v>0</v>
      </c>
      <c r="I655" t="n">
        <v>0</v>
      </c>
      <c r="J655" t="n">
        <v>0</v>
      </c>
      <c r="K655" t="n">
        <v>0</v>
      </c>
      <c r="L655" t="n">
        <v>0</v>
      </c>
      <c r="M655" t="n">
        <v>0</v>
      </c>
      <c r="N655" t="n">
        <v>0</v>
      </c>
      <c r="O655" t="n">
        <v>0</v>
      </c>
      <c r="P655" t="n">
        <v>0</v>
      </c>
      <c r="Q655" t="n">
        <v>0</v>
      </c>
      <c r="R655" s="2" t="inlineStr"/>
    </row>
    <row r="656" ht="15" customHeight="1">
      <c r="A656" t="inlineStr">
        <is>
          <t>A 20653-2021</t>
        </is>
      </c>
      <c r="B656" s="1" t="n">
        <v>44316.41677083333</v>
      </c>
      <c r="C656" s="1" t="n">
        <v>45879</v>
      </c>
      <c r="D656" t="inlineStr">
        <is>
          <t>VÄSTERBOTTENS LÄN</t>
        </is>
      </c>
      <c r="E656" t="inlineStr">
        <is>
          <t>VILHELMINA</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56629-2024</t>
        </is>
      </c>
      <c r="B657" s="1" t="n">
        <v>45625</v>
      </c>
      <c r="C657" s="1" t="n">
        <v>45879</v>
      </c>
      <c r="D657" t="inlineStr">
        <is>
          <t>VÄSTERBOTTENS LÄN</t>
        </is>
      </c>
      <c r="E657" t="inlineStr">
        <is>
          <t>VILHELMINA</t>
        </is>
      </c>
      <c r="F657" t="inlineStr">
        <is>
          <t>Allmännings- och besparingsskogar</t>
        </is>
      </c>
      <c r="G657" t="n">
        <v>19.7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45879</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11114-2022</t>
        </is>
      </c>
      <c r="B659" s="1" t="n">
        <v>44628.925625</v>
      </c>
      <c r="C659" s="1" t="n">
        <v>45879</v>
      </c>
      <c r="D659" t="inlineStr">
        <is>
          <t>VÄSTERBOTTENS LÄN</t>
        </is>
      </c>
      <c r="E659" t="inlineStr">
        <is>
          <t>VILHELMINA</t>
        </is>
      </c>
      <c r="G659" t="n">
        <v>8.6</v>
      </c>
      <c r="H659" t="n">
        <v>0</v>
      </c>
      <c r="I659" t="n">
        <v>0</v>
      </c>
      <c r="J659" t="n">
        <v>0</v>
      </c>
      <c r="K659" t="n">
        <v>0</v>
      </c>
      <c r="L659" t="n">
        <v>0</v>
      </c>
      <c r="M659" t="n">
        <v>0</v>
      </c>
      <c r="N659" t="n">
        <v>0</v>
      </c>
      <c r="O659" t="n">
        <v>0</v>
      </c>
      <c r="P659" t="n">
        <v>0</v>
      </c>
      <c r="Q659" t="n">
        <v>0</v>
      </c>
      <c r="R659" s="2" t="inlineStr"/>
    </row>
    <row r="660" ht="15" customHeight="1">
      <c r="A660" t="inlineStr">
        <is>
          <t>A 59011-2024</t>
        </is>
      </c>
      <c r="B660" s="1" t="n">
        <v>45636</v>
      </c>
      <c r="C660" s="1" t="n">
        <v>45879</v>
      </c>
      <c r="D660" t="inlineStr">
        <is>
          <t>VÄSTERBOTTENS LÄN</t>
        </is>
      </c>
      <c r="E660" t="inlineStr">
        <is>
          <t>VILHELMINA</t>
        </is>
      </c>
      <c r="F660" t="inlineStr">
        <is>
          <t>Allmännings- och besparingsskogar</t>
        </is>
      </c>
      <c r="G660" t="n">
        <v>35.2</v>
      </c>
      <c r="H660" t="n">
        <v>0</v>
      </c>
      <c r="I660" t="n">
        <v>0</v>
      </c>
      <c r="J660" t="n">
        <v>0</v>
      </c>
      <c r="K660" t="n">
        <v>0</v>
      </c>
      <c r="L660" t="n">
        <v>0</v>
      </c>
      <c r="M660" t="n">
        <v>0</v>
      </c>
      <c r="N660" t="n">
        <v>0</v>
      </c>
      <c r="O660" t="n">
        <v>0</v>
      </c>
      <c r="P660" t="n">
        <v>0</v>
      </c>
      <c r="Q660" t="n">
        <v>0</v>
      </c>
      <c r="R660" s="2" t="inlineStr"/>
    </row>
    <row r="661" ht="15" customHeight="1">
      <c r="A661" t="inlineStr">
        <is>
          <t>A 47010-2024</t>
        </is>
      </c>
      <c r="B661" s="1" t="n">
        <v>45586</v>
      </c>
      <c r="C661" s="1" t="n">
        <v>45879</v>
      </c>
      <c r="D661" t="inlineStr">
        <is>
          <t>VÄSTERBOTTENS LÄN</t>
        </is>
      </c>
      <c r="E661" t="inlineStr">
        <is>
          <t>VILHELMINA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40732-2024</t>
        </is>
      </c>
      <c r="B662" s="1" t="n">
        <v>45558</v>
      </c>
      <c r="C662" s="1" t="n">
        <v>45879</v>
      </c>
      <c r="D662" t="inlineStr">
        <is>
          <t>VÄSTERBOTTENS LÄN</t>
        </is>
      </c>
      <c r="E662" t="inlineStr">
        <is>
          <t>VILHELMINA</t>
        </is>
      </c>
      <c r="F662" t="inlineStr">
        <is>
          <t>Allmännings- och besparingsskogar</t>
        </is>
      </c>
      <c r="G662" t="n">
        <v>89.59999999999999</v>
      </c>
      <c r="H662" t="n">
        <v>0</v>
      </c>
      <c r="I662" t="n">
        <v>0</v>
      </c>
      <c r="J662" t="n">
        <v>0</v>
      </c>
      <c r="K662" t="n">
        <v>0</v>
      </c>
      <c r="L662" t="n">
        <v>0</v>
      </c>
      <c r="M662" t="n">
        <v>0</v>
      </c>
      <c r="N662" t="n">
        <v>0</v>
      </c>
      <c r="O662" t="n">
        <v>0</v>
      </c>
      <c r="P662" t="n">
        <v>0</v>
      </c>
      <c r="Q662" t="n">
        <v>0</v>
      </c>
      <c r="R662" s="2" t="inlineStr"/>
    </row>
    <row r="663" ht="15" customHeight="1">
      <c r="A663" t="inlineStr">
        <is>
          <t>A 40726-2024</t>
        </is>
      </c>
      <c r="B663" s="1" t="n">
        <v>45558</v>
      </c>
      <c r="C663" s="1" t="n">
        <v>45879</v>
      </c>
      <c r="D663" t="inlineStr">
        <is>
          <t>VÄSTERBOTTENS LÄN</t>
        </is>
      </c>
      <c r="E663" t="inlineStr">
        <is>
          <t>VILHELMINA</t>
        </is>
      </c>
      <c r="F663" t="inlineStr">
        <is>
          <t>Allmännings- och besparingsskogar</t>
        </is>
      </c>
      <c r="G663" t="n">
        <v>73.59999999999999</v>
      </c>
      <c r="H663" t="n">
        <v>0</v>
      </c>
      <c r="I663" t="n">
        <v>0</v>
      </c>
      <c r="J663" t="n">
        <v>0</v>
      </c>
      <c r="K663" t="n">
        <v>0</v>
      </c>
      <c r="L663" t="n">
        <v>0</v>
      </c>
      <c r="M663" t="n">
        <v>0</v>
      </c>
      <c r="N663" t="n">
        <v>0</v>
      </c>
      <c r="O663" t="n">
        <v>0</v>
      </c>
      <c r="P663" t="n">
        <v>0</v>
      </c>
      <c r="Q663" t="n">
        <v>0</v>
      </c>
      <c r="R663" s="2" t="inlineStr"/>
    </row>
    <row r="664" ht="15" customHeight="1">
      <c r="A664" t="inlineStr">
        <is>
          <t>A 21345-2024</t>
        </is>
      </c>
      <c r="B664" s="1" t="n">
        <v>45440.92866898148</v>
      </c>
      <c r="C664" s="1" t="n">
        <v>45879</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56763-2023</t>
        </is>
      </c>
      <c r="B665" s="1" t="n">
        <v>45238</v>
      </c>
      <c r="C665" s="1" t="n">
        <v>45879</v>
      </c>
      <c r="D665" t="inlineStr">
        <is>
          <t>VÄSTERBOTTENS LÄN</t>
        </is>
      </c>
      <c r="E665" t="inlineStr">
        <is>
          <t>VILHELMINA</t>
        </is>
      </c>
      <c r="F665" t="inlineStr">
        <is>
          <t>Allmännings- och besparingsskogar</t>
        </is>
      </c>
      <c r="G665" t="n">
        <v>77</v>
      </c>
      <c r="H665" t="n">
        <v>0</v>
      </c>
      <c r="I665" t="n">
        <v>0</v>
      </c>
      <c r="J665" t="n">
        <v>0</v>
      </c>
      <c r="K665" t="n">
        <v>0</v>
      </c>
      <c r="L665" t="n">
        <v>0</v>
      </c>
      <c r="M665" t="n">
        <v>0</v>
      </c>
      <c r="N665" t="n">
        <v>0</v>
      </c>
      <c r="O665" t="n">
        <v>0</v>
      </c>
      <c r="P665" t="n">
        <v>0</v>
      </c>
      <c r="Q665" t="n">
        <v>0</v>
      </c>
      <c r="R665" s="2" t="inlineStr"/>
    </row>
    <row r="666" ht="15" customHeight="1">
      <c r="A666" t="inlineStr">
        <is>
          <t>A 35753-2023</t>
        </is>
      </c>
      <c r="B666" s="1" t="n">
        <v>45147.95390046296</v>
      </c>
      <c r="C666" s="1" t="n">
        <v>45879</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52746-2023</t>
        </is>
      </c>
      <c r="B667" s="1" t="n">
        <v>45225.96753472222</v>
      </c>
      <c r="C667" s="1" t="n">
        <v>45879</v>
      </c>
      <c r="D667" t="inlineStr">
        <is>
          <t>VÄSTERBOTTENS LÄN</t>
        </is>
      </c>
      <c r="E667" t="inlineStr">
        <is>
          <t>VILHELMINA</t>
        </is>
      </c>
      <c r="F667" t="inlineStr">
        <is>
          <t>SCA</t>
        </is>
      </c>
      <c r="G667" t="n">
        <v>10.4</v>
      </c>
      <c r="H667" t="n">
        <v>0</v>
      </c>
      <c r="I667" t="n">
        <v>0</v>
      </c>
      <c r="J667" t="n">
        <v>0</v>
      </c>
      <c r="K667" t="n">
        <v>0</v>
      </c>
      <c r="L667" t="n">
        <v>0</v>
      </c>
      <c r="M667" t="n">
        <v>0</v>
      </c>
      <c r="N667" t="n">
        <v>0</v>
      </c>
      <c r="O667" t="n">
        <v>0</v>
      </c>
      <c r="P667" t="n">
        <v>0</v>
      </c>
      <c r="Q667" t="n">
        <v>0</v>
      </c>
      <c r="R667" s="2" t="inlineStr"/>
    </row>
    <row r="668" ht="15" customHeight="1">
      <c r="A668" t="inlineStr">
        <is>
          <t>A 35757-2023</t>
        </is>
      </c>
      <c r="B668" s="1" t="n">
        <v>45147.95444444445</v>
      </c>
      <c r="C668" s="1" t="n">
        <v>45879</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8859-2023</t>
        </is>
      </c>
      <c r="B669" s="1" t="n">
        <v>44978</v>
      </c>
      <c r="C669" s="1" t="n">
        <v>45879</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26722-2025</t>
        </is>
      </c>
      <c r="B670" s="1" t="n">
        <v>45810</v>
      </c>
      <c r="C670" s="1" t="n">
        <v>45879</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72-2025</t>
        </is>
      </c>
      <c r="B671" s="1" t="n">
        <v>45659</v>
      </c>
      <c r="C671" s="1" t="n">
        <v>45879</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9181-2023</t>
        </is>
      </c>
      <c r="B672" s="1" t="n">
        <v>44972</v>
      </c>
      <c r="C672" s="1" t="n">
        <v>45879</v>
      </c>
      <c r="D672" t="inlineStr">
        <is>
          <t>VÄSTERBOTTENS LÄN</t>
        </is>
      </c>
      <c r="E672" t="inlineStr">
        <is>
          <t>VILHELMINA</t>
        </is>
      </c>
      <c r="F672" t="inlineStr">
        <is>
          <t>Allmännings- och besparingsskogar</t>
        </is>
      </c>
      <c r="G672" t="n">
        <v>220.1</v>
      </c>
      <c r="H672" t="n">
        <v>0</v>
      </c>
      <c r="I672" t="n">
        <v>0</v>
      </c>
      <c r="J672" t="n">
        <v>0</v>
      </c>
      <c r="K672" t="n">
        <v>0</v>
      </c>
      <c r="L672" t="n">
        <v>0</v>
      </c>
      <c r="M672" t="n">
        <v>0</v>
      </c>
      <c r="N672" t="n">
        <v>0</v>
      </c>
      <c r="O672" t="n">
        <v>0</v>
      </c>
      <c r="P672" t="n">
        <v>0</v>
      </c>
      <c r="Q672" t="n">
        <v>0</v>
      </c>
      <c r="R672" s="2" t="inlineStr"/>
    </row>
    <row r="673" ht="15" customHeight="1">
      <c r="A673" t="inlineStr">
        <is>
          <t>A 55326-2023</t>
        </is>
      </c>
      <c r="B673" s="1" t="n">
        <v>45237.97364583334</v>
      </c>
      <c r="C673" s="1" t="n">
        <v>45879</v>
      </c>
      <c r="D673" t="inlineStr">
        <is>
          <t>VÄSTERBOTTENS LÄN</t>
        </is>
      </c>
      <c r="E673" t="inlineStr">
        <is>
          <t>VILHELMINA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27918-2022</t>
        </is>
      </c>
      <c r="B674" s="1" t="n">
        <v>44743.94145833333</v>
      </c>
      <c r="C674" s="1" t="n">
        <v>45879</v>
      </c>
      <c r="D674" t="inlineStr">
        <is>
          <t>VÄSTERBOTTENS LÄN</t>
        </is>
      </c>
      <c r="E674" t="inlineStr">
        <is>
          <t>VILHELMINA</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18873-2025</t>
        </is>
      </c>
      <c r="B675" s="1" t="n">
        <v>45764</v>
      </c>
      <c r="C675" s="1" t="n">
        <v>45879</v>
      </c>
      <c r="D675" t="inlineStr">
        <is>
          <t>VÄSTERBOTTENS LÄN</t>
        </is>
      </c>
      <c r="E675" t="inlineStr">
        <is>
          <t>VILHELMINA</t>
        </is>
      </c>
      <c r="G675" t="n">
        <v>7.2</v>
      </c>
      <c r="H675" t="n">
        <v>0</v>
      </c>
      <c r="I675" t="n">
        <v>0</v>
      </c>
      <c r="J675" t="n">
        <v>0</v>
      </c>
      <c r="K675" t="n">
        <v>0</v>
      </c>
      <c r="L675" t="n">
        <v>0</v>
      </c>
      <c r="M675" t="n">
        <v>0</v>
      </c>
      <c r="N675" t="n">
        <v>0</v>
      </c>
      <c r="O675" t="n">
        <v>0</v>
      </c>
      <c r="P675" t="n">
        <v>0</v>
      </c>
      <c r="Q675" t="n">
        <v>0</v>
      </c>
      <c r="R675" s="2" t="inlineStr"/>
    </row>
    <row r="676" ht="15" customHeight="1">
      <c r="A676" t="inlineStr">
        <is>
          <t>A 54457-2024</t>
        </is>
      </c>
      <c r="B676" s="1" t="n">
        <v>45617</v>
      </c>
      <c r="C676" s="1" t="n">
        <v>45879</v>
      </c>
      <c r="D676" t="inlineStr">
        <is>
          <t>VÄSTERBOTTENS LÄN</t>
        </is>
      </c>
      <c r="E676" t="inlineStr">
        <is>
          <t>VILHELMINA</t>
        </is>
      </c>
      <c r="F676" t="inlineStr">
        <is>
          <t>SCA</t>
        </is>
      </c>
      <c r="G676" t="n">
        <v>8</v>
      </c>
      <c r="H676" t="n">
        <v>0</v>
      </c>
      <c r="I676" t="n">
        <v>0</v>
      </c>
      <c r="J676" t="n">
        <v>0</v>
      </c>
      <c r="K676" t="n">
        <v>0</v>
      </c>
      <c r="L676" t="n">
        <v>0</v>
      </c>
      <c r="M676" t="n">
        <v>0</v>
      </c>
      <c r="N676" t="n">
        <v>0</v>
      </c>
      <c r="O676" t="n">
        <v>0</v>
      </c>
      <c r="P676" t="n">
        <v>0</v>
      </c>
      <c r="Q676" t="n">
        <v>0</v>
      </c>
      <c r="R676" s="2" t="inlineStr"/>
    </row>
    <row r="677" ht="15" customHeight="1">
      <c r="A677" t="inlineStr">
        <is>
          <t>A 26744-2025</t>
        </is>
      </c>
      <c r="B677" s="1" t="n">
        <v>45810.53185185185</v>
      </c>
      <c r="C677" s="1" t="n">
        <v>45879</v>
      </c>
      <c r="D677" t="inlineStr">
        <is>
          <t>VÄSTERBOTTENS LÄN</t>
        </is>
      </c>
      <c r="E677" t="inlineStr">
        <is>
          <t>VILHELMINA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15805-2025</t>
        </is>
      </c>
      <c r="B678" s="1" t="n">
        <v>45748</v>
      </c>
      <c r="C678" s="1" t="n">
        <v>45879</v>
      </c>
      <c r="D678" t="inlineStr">
        <is>
          <t>VÄSTERBOTTENS LÄN</t>
        </is>
      </c>
      <c r="E678" t="inlineStr">
        <is>
          <t>VILHELMINA</t>
        </is>
      </c>
      <c r="G678" t="n">
        <v>1.4</v>
      </c>
      <c r="H678" t="n">
        <v>0</v>
      </c>
      <c r="I678" t="n">
        <v>0</v>
      </c>
      <c r="J678" t="n">
        <v>0</v>
      </c>
      <c r="K678" t="n">
        <v>0</v>
      </c>
      <c r="L678" t="n">
        <v>0</v>
      </c>
      <c r="M678" t="n">
        <v>0</v>
      </c>
      <c r="N678" t="n">
        <v>0</v>
      </c>
      <c r="O678" t="n">
        <v>0</v>
      </c>
      <c r="P678" t="n">
        <v>0</v>
      </c>
      <c r="Q678" t="n">
        <v>0</v>
      </c>
      <c r="R678" s="2" t="inlineStr"/>
    </row>
    <row r="679" ht="15" customHeight="1">
      <c r="A679" t="inlineStr">
        <is>
          <t>A 26790-2025</t>
        </is>
      </c>
      <c r="B679" s="1" t="n">
        <v>45810.59417824074</v>
      </c>
      <c r="C679" s="1" t="n">
        <v>45879</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58833-2023</t>
        </is>
      </c>
      <c r="B680" s="1" t="n">
        <v>45248</v>
      </c>
      <c r="C680" s="1" t="n">
        <v>45879</v>
      </c>
      <c r="D680" t="inlineStr">
        <is>
          <t>VÄSTERBOTTENS LÄN</t>
        </is>
      </c>
      <c r="E680" t="inlineStr">
        <is>
          <t>VILHELMINA</t>
        </is>
      </c>
      <c r="G680" t="n">
        <v>1.5</v>
      </c>
      <c r="H680" t="n">
        <v>0</v>
      </c>
      <c r="I680" t="n">
        <v>0</v>
      </c>
      <c r="J680" t="n">
        <v>0</v>
      </c>
      <c r="K680" t="n">
        <v>0</v>
      </c>
      <c r="L680" t="n">
        <v>0</v>
      </c>
      <c r="M680" t="n">
        <v>0</v>
      </c>
      <c r="N680" t="n">
        <v>0</v>
      </c>
      <c r="O680" t="n">
        <v>0</v>
      </c>
      <c r="P680" t="n">
        <v>0</v>
      </c>
      <c r="Q680" t="n">
        <v>0</v>
      </c>
      <c r="R680" s="2" t="inlineStr"/>
    </row>
    <row r="681" ht="15" customHeight="1">
      <c r="A681" t="inlineStr">
        <is>
          <t>A 31851-2024</t>
        </is>
      </c>
      <c r="B681" s="1" t="n">
        <v>45509</v>
      </c>
      <c r="C681" s="1" t="n">
        <v>45879</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60035-2023</t>
        </is>
      </c>
      <c r="B682" s="1" t="n">
        <v>45254</v>
      </c>
      <c r="C682" s="1" t="n">
        <v>45879</v>
      </c>
      <c r="D682" t="inlineStr">
        <is>
          <t>VÄSTERBOTTENS LÄN</t>
        </is>
      </c>
      <c r="E682" t="inlineStr">
        <is>
          <t>VILHELMINA</t>
        </is>
      </c>
      <c r="G682" t="n">
        <v>2</v>
      </c>
      <c r="H682" t="n">
        <v>0</v>
      </c>
      <c r="I682" t="n">
        <v>0</v>
      </c>
      <c r="J682" t="n">
        <v>0</v>
      </c>
      <c r="K682" t="n">
        <v>0</v>
      </c>
      <c r="L682" t="n">
        <v>0</v>
      </c>
      <c r="M682" t="n">
        <v>0</v>
      </c>
      <c r="N682" t="n">
        <v>0</v>
      </c>
      <c r="O682" t="n">
        <v>0</v>
      </c>
      <c r="P682" t="n">
        <v>0</v>
      </c>
      <c r="Q682" t="n">
        <v>0</v>
      </c>
      <c r="R682" s="2" t="inlineStr"/>
    </row>
    <row r="683" ht="15" customHeight="1">
      <c r="A683" t="inlineStr">
        <is>
          <t>A 58934-2024</t>
        </is>
      </c>
      <c r="B683" s="1" t="n">
        <v>45636</v>
      </c>
      <c r="C683" s="1" t="n">
        <v>45879</v>
      </c>
      <c r="D683" t="inlineStr">
        <is>
          <t>VÄSTERBOTTENS LÄN</t>
        </is>
      </c>
      <c r="E683" t="inlineStr">
        <is>
          <t>VILHELMINA</t>
        </is>
      </c>
      <c r="F683" t="inlineStr">
        <is>
          <t>Allmännings- och besparingsskogar</t>
        </is>
      </c>
      <c r="G683" t="n">
        <v>45.6</v>
      </c>
      <c r="H683" t="n">
        <v>0</v>
      </c>
      <c r="I683" t="n">
        <v>0</v>
      </c>
      <c r="J683" t="n">
        <v>0</v>
      </c>
      <c r="K683" t="n">
        <v>0</v>
      </c>
      <c r="L683" t="n">
        <v>0</v>
      </c>
      <c r="M683" t="n">
        <v>0</v>
      </c>
      <c r="N683" t="n">
        <v>0</v>
      </c>
      <c r="O683" t="n">
        <v>0</v>
      </c>
      <c r="P683" t="n">
        <v>0</v>
      </c>
      <c r="Q683" t="n">
        <v>0</v>
      </c>
      <c r="R683" s="2" t="inlineStr"/>
    </row>
    <row r="684" ht="15" customHeight="1">
      <c r="A684" t="inlineStr">
        <is>
          <t>A 58943-2024</t>
        </is>
      </c>
      <c r="B684" s="1" t="n">
        <v>45636.5433449074</v>
      </c>
      <c r="C684" s="1" t="n">
        <v>45879</v>
      </c>
      <c r="D684" t="inlineStr">
        <is>
          <t>VÄSTERBOTTENS LÄN</t>
        </is>
      </c>
      <c r="E684" t="inlineStr">
        <is>
          <t>VILHELMINA</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26745-2025</t>
        </is>
      </c>
      <c r="B685" s="1" t="n">
        <v>45810.53188657408</v>
      </c>
      <c r="C685" s="1" t="n">
        <v>45879</v>
      </c>
      <c r="D685" t="inlineStr">
        <is>
          <t>VÄSTERBOTTENS LÄN</t>
        </is>
      </c>
      <c r="E685" t="inlineStr">
        <is>
          <t>VILHELMINA</t>
        </is>
      </c>
      <c r="F685" t="inlineStr">
        <is>
          <t>SCA</t>
        </is>
      </c>
      <c r="G685" t="n">
        <v>0.3</v>
      </c>
      <c r="H685" t="n">
        <v>0</v>
      </c>
      <c r="I685" t="n">
        <v>0</v>
      </c>
      <c r="J685" t="n">
        <v>0</v>
      </c>
      <c r="K685" t="n">
        <v>0</v>
      </c>
      <c r="L685" t="n">
        <v>0</v>
      </c>
      <c r="M685" t="n">
        <v>0</v>
      </c>
      <c r="N685" t="n">
        <v>0</v>
      </c>
      <c r="O685" t="n">
        <v>0</v>
      </c>
      <c r="P685" t="n">
        <v>0</v>
      </c>
      <c r="Q685" t="n">
        <v>0</v>
      </c>
      <c r="R685" s="2" t="inlineStr"/>
    </row>
    <row r="686" ht="15" customHeight="1">
      <c r="A686" t="inlineStr">
        <is>
          <t>A 74-2025</t>
        </is>
      </c>
      <c r="B686" s="1" t="n">
        <v>45659</v>
      </c>
      <c r="C686" s="1" t="n">
        <v>45879</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78-2025</t>
        </is>
      </c>
      <c r="B687" s="1" t="n">
        <v>45659</v>
      </c>
      <c r="C687" s="1" t="n">
        <v>45879</v>
      </c>
      <c r="D687" t="inlineStr">
        <is>
          <t>VÄSTERBOTTENS LÄN</t>
        </is>
      </c>
      <c r="E687" t="inlineStr">
        <is>
          <t>VILHELMINA</t>
        </is>
      </c>
      <c r="G687" t="n">
        <v>7.3</v>
      </c>
      <c r="H687" t="n">
        <v>0</v>
      </c>
      <c r="I687" t="n">
        <v>0</v>
      </c>
      <c r="J687" t="n">
        <v>0</v>
      </c>
      <c r="K687" t="n">
        <v>0</v>
      </c>
      <c r="L687" t="n">
        <v>0</v>
      </c>
      <c r="M687" t="n">
        <v>0</v>
      </c>
      <c r="N687" t="n">
        <v>0</v>
      </c>
      <c r="O687" t="n">
        <v>0</v>
      </c>
      <c r="P687" t="n">
        <v>0</v>
      </c>
      <c r="Q687" t="n">
        <v>0</v>
      </c>
      <c r="R687" s="2" t="inlineStr"/>
    </row>
    <row r="688" ht="15" customHeight="1">
      <c r="A688" t="inlineStr">
        <is>
          <t>A 23278-2021</t>
        </is>
      </c>
      <c r="B688" s="1" t="n">
        <v>44328</v>
      </c>
      <c r="C688" s="1" t="n">
        <v>45879</v>
      </c>
      <c r="D688" t="inlineStr">
        <is>
          <t>VÄSTERBOTTENS LÄN</t>
        </is>
      </c>
      <c r="E688" t="inlineStr">
        <is>
          <t>VILHELMINA</t>
        </is>
      </c>
      <c r="F688" t="inlineStr">
        <is>
          <t>Allmännings- och besparingsskogar</t>
        </is>
      </c>
      <c r="G688" t="n">
        <v>13.6</v>
      </c>
      <c r="H688" t="n">
        <v>0</v>
      </c>
      <c r="I688" t="n">
        <v>0</v>
      </c>
      <c r="J688" t="n">
        <v>0</v>
      </c>
      <c r="K688" t="n">
        <v>0</v>
      </c>
      <c r="L688" t="n">
        <v>0</v>
      </c>
      <c r="M688" t="n">
        <v>0</v>
      </c>
      <c r="N688" t="n">
        <v>0</v>
      </c>
      <c r="O688" t="n">
        <v>0</v>
      </c>
      <c r="P688" t="n">
        <v>0</v>
      </c>
      <c r="Q688" t="n">
        <v>0</v>
      </c>
      <c r="R688" s="2" t="inlineStr"/>
    </row>
    <row r="689" ht="15" customHeight="1">
      <c r="A689" t="inlineStr">
        <is>
          <t>A 54387-2024</t>
        </is>
      </c>
      <c r="B689" s="1" t="n">
        <v>45617</v>
      </c>
      <c r="C689" s="1" t="n">
        <v>45879</v>
      </c>
      <c r="D689" t="inlineStr">
        <is>
          <t>VÄSTERBOTTENS LÄN</t>
        </is>
      </c>
      <c r="E689" t="inlineStr">
        <is>
          <t>VILHELMINA</t>
        </is>
      </c>
      <c r="F689" t="inlineStr">
        <is>
          <t>SCA</t>
        </is>
      </c>
      <c r="G689" t="n">
        <v>7.6</v>
      </c>
      <c r="H689" t="n">
        <v>0</v>
      </c>
      <c r="I689" t="n">
        <v>0</v>
      </c>
      <c r="J689" t="n">
        <v>0</v>
      </c>
      <c r="K689" t="n">
        <v>0</v>
      </c>
      <c r="L689" t="n">
        <v>0</v>
      </c>
      <c r="M689" t="n">
        <v>0</v>
      </c>
      <c r="N689" t="n">
        <v>0</v>
      </c>
      <c r="O689" t="n">
        <v>0</v>
      </c>
      <c r="P689" t="n">
        <v>0</v>
      </c>
      <c r="Q689" t="n">
        <v>0</v>
      </c>
      <c r="R689" s="2" t="inlineStr"/>
    </row>
    <row r="690" ht="15" customHeight="1">
      <c r="A690" t="inlineStr">
        <is>
          <t>A 45672-2023</t>
        </is>
      </c>
      <c r="B690" s="1" t="n">
        <v>45194</v>
      </c>
      <c r="C690" s="1" t="n">
        <v>45879</v>
      </c>
      <c r="D690" t="inlineStr">
        <is>
          <t>VÄSTERBOTTENS LÄN</t>
        </is>
      </c>
      <c r="E690" t="inlineStr">
        <is>
          <t>VILHELMINA</t>
        </is>
      </c>
      <c r="G690" t="n">
        <v>1.5</v>
      </c>
      <c r="H690" t="n">
        <v>0</v>
      </c>
      <c r="I690" t="n">
        <v>0</v>
      </c>
      <c r="J690" t="n">
        <v>0</v>
      </c>
      <c r="K690" t="n">
        <v>0</v>
      </c>
      <c r="L690" t="n">
        <v>0</v>
      </c>
      <c r="M690" t="n">
        <v>0</v>
      </c>
      <c r="N690" t="n">
        <v>0</v>
      </c>
      <c r="O690" t="n">
        <v>0</v>
      </c>
      <c r="P690" t="n">
        <v>0</v>
      </c>
      <c r="Q690" t="n">
        <v>0</v>
      </c>
      <c r="R690" s="2" t="inlineStr"/>
    </row>
    <row r="691" ht="15" customHeight="1">
      <c r="A691" t="inlineStr">
        <is>
          <t>A 28486-2022</t>
        </is>
      </c>
      <c r="B691" s="1" t="n">
        <v>44747</v>
      </c>
      <c r="C691" s="1" t="n">
        <v>45879</v>
      </c>
      <c r="D691" t="inlineStr">
        <is>
          <t>VÄSTERBOTTENS LÄN</t>
        </is>
      </c>
      <c r="E691" t="inlineStr">
        <is>
          <t>VILHELMINA</t>
        </is>
      </c>
      <c r="F691" t="inlineStr">
        <is>
          <t>SCA</t>
        </is>
      </c>
      <c r="G691" t="n">
        <v>7.9</v>
      </c>
      <c r="H691" t="n">
        <v>0</v>
      </c>
      <c r="I691" t="n">
        <v>0</v>
      </c>
      <c r="J691" t="n">
        <v>0</v>
      </c>
      <c r="K691" t="n">
        <v>0</v>
      </c>
      <c r="L691" t="n">
        <v>0</v>
      </c>
      <c r="M691" t="n">
        <v>0</v>
      </c>
      <c r="N691" t="n">
        <v>0</v>
      </c>
      <c r="O691" t="n">
        <v>0</v>
      </c>
      <c r="P691" t="n">
        <v>0</v>
      </c>
      <c r="Q691" t="n">
        <v>0</v>
      </c>
      <c r="R691" s="2" t="inlineStr"/>
    </row>
    <row r="692" ht="15" customHeight="1">
      <c r="A692" t="inlineStr">
        <is>
          <t>A 26663-2023</t>
        </is>
      </c>
      <c r="B692" s="1" t="n">
        <v>45092.94042824074</v>
      </c>
      <c r="C692" s="1" t="n">
        <v>45879</v>
      </c>
      <c r="D692" t="inlineStr">
        <is>
          <t>VÄSTERBOTTENS LÄN</t>
        </is>
      </c>
      <c r="E692" t="inlineStr">
        <is>
          <t>VILHELMINA</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7035-2025</t>
        </is>
      </c>
      <c r="B693" s="1" t="n">
        <v>45701.63577546296</v>
      </c>
      <c r="C693" s="1" t="n">
        <v>45879</v>
      </c>
      <c r="D693" t="inlineStr">
        <is>
          <t>VÄSTERBOTTENS LÄN</t>
        </is>
      </c>
      <c r="E693" t="inlineStr">
        <is>
          <t>VILHELMINA</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63877-2023</t>
        </is>
      </c>
      <c r="B694" s="1" t="n">
        <v>45278</v>
      </c>
      <c r="C694" s="1" t="n">
        <v>45879</v>
      </c>
      <c r="D694" t="inlineStr">
        <is>
          <t>VÄSTERBOTTENS LÄN</t>
        </is>
      </c>
      <c r="E694" t="inlineStr">
        <is>
          <t>VILHELMINA</t>
        </is>
      </c>
      <c r="G694" t="n">
        <v>1.2</v>
      </c>
      <c r="H694" t="n">
        <v>0</v>
      </c>
      <c r="I694" t="n">
        <v>0</v>
      </c>
      <c r="J694" t="n">
        <v>0</v>
      </c>
      <c r="K694" t="n">
        <v>0</v>
      </c>
      <c r="L694" t="n">
        <v>0</v>
      </c>
      <c r="M694" t="n">
        <v>0</v>
      </c>
      <c r="N694" t="n">
        <v>0</v>
      </c>
      <c r="O694" t="n">
        <v>0</v>
      </c>
      <c r="P694" t="n">
        <v>0</v>
      </c>
      <c r="Q694" t="n">
        <v>0</v>
      </c>
      <c r="R694" s="2" t="inlineStr"/>
    </row>
    <row r="695" ht="15" customHeight="1">
      <c r="A695" t="inlineStr">
        <is>
          <t>A 48472-2023</t>
        </is>
      </c>
      <c r="B695" s="1" t="n">
        <v>45206.95761574074</v>
      </c>
      <c r="C695" s="1" t="n">
        <v>45879</v>
      </c>
      <c r="D695" t="inlineStr">
        <is>
          <t>VÄSTERBOTTENS LÄN</t>
        </is>
      </c>
      <c r="E695" t="inlineStr">
        <is>
          <t>VILHELMINA</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45879</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43637-2023</t>
        </is>
      </c>
      <c r="B697" s="1" t="n">
        <v>45186.51590277778</v>
      </c>
      <c r="C697" s="1" t="n">
        <v>45879</v>
      </c>
      <c r="D697" t="inlineStr">
        <is>
          <t>VÄSTERBOTTENS LÄN</t>
        </is>
      </c>
      <c r="E697" t="inlineStr">
        <is>
          <t>VILHELMINA</t>
        </is>
      </c>
      <c r="G697" t="n">
        <v>3.3</v>
      </c>
      <c r="H697" t="n">
        <v>0</v>
      </c>
      <c r="I697" t="n">
        <v>0</v>
      </c>
      <c r="J697" t="n">
        <v>0</v>
      </c>
      <c r="K697" t="n">
        <v>0</v>
      </c>
      <c r="L697" t="n">
        <v>0</v>
      </c>
      <c r="M697" t="n">
        <v>0</v>
      </c>
      <c r="N697" t="n">
        <v>0</v>
      </c>
      <c r="O697" t="n">
        <v>0</v>
      </c>
      <c r="P697" t="n">
        <v>0</v>
      </c>
      <c r="Q697" t="n">
        <v>0</v>
      </c>
      <c r="R697" s="2" t="inlineStr"/>
    </row>
    <row r="698" ht="15" customHeight="1">
      <c r="A698" t="inlineStr">
        <is>
          <t>A 16608-2024</t>
        </is>
      </c>
      <c r="B698" s="1" t="n">
        <v>45408</v>
      </c>
      <c r="C698" s="1" t="n">
        <v>45879</v>
      </c>
      <c r="D698" t="inlineStr">
        <is>
          <t>VÄSTERBOTTENS LÄN</t>
        </is>
      </c>
      <c r="E698" t="inlineStr">
        <is>
          <t>VILHELMINA</t>
        </is>
      </c>
      <c r="G698" t="n">
        <v>17.5</v>
      </c>
      <c r="H698" t="n">
        <v>0</v>
      </c>
      <c r="I698" t="n">
        <v>0</v>
      </c>
      <c r="J698" t="n">
        <v>0</v>
      </c>
      <c r="K698" t="n">
        <v>0</v>
      </c>
      <c r="L698" t="n">
        <v>0</v>
      </c>
      <c r="M698" t="n">
        <v>0</v>
      </c>
      <c r="N698" t="n">
        <v>0</v>
      </c>
      <c r="O698" t="n">
        <v>0</v>
      </c>
      <c r="P698" t="n">
        <v>0</v>
      </c>
      <c r="Q698" t="n">
        <v>0</v>
      </c>
      <c r="R698" s="2" t="inlineStr"/>
    </row>
    <row r="699" ht="15" customHeight="1">
      <c r="A699" t="inlineStr">
        <is>
          <t>A 35230-2025</t>
        </is>
      </c>
      <c r="B699" s="1" t="n">
        <v>45853.59447916667</v>
      </c>
      <c r="C699" s="1" t="n">
        <v>45879</v>
      </c>
      <c r="D699" t="inlineStr">
        <is>
          <t>VÄSTERBOTTENS LÄN</t>
        </is>
      </c>
      <c r="E699" t="inlineStr">
        <is>
          <t>VILHELMINA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35231-2025</t>
        </is>
      </c>
      <c r="B700" s="1" t="n">
        <v>45853.59453703704</v>
      </c>
      <c r="C700" s="1" t="n">
        <v>45879</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45879</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35288-2025</t>
        </is>
      </c>
      <c r="B702" s="1" t="n">
        <v>45854.36543981481</v>
      </c>
      <c r="C702" s="1" t="n">
        <v>45879</v>
      </c>
      <c r="D702" t="inlineStr">
        <is>
          <t>VÄSTERBOTTENS LÄN</t>
        </is>
      </c>
      <c r="E702" t="inlineStr">
        <is>
          <t>VILHELMINA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49241-2024</t>
        </is>
      </c>
      <c r="B703" s="1" t="n">
        <v>45595</v>
      </c>
      <c r="C703" s="1" t="n">
        <v>45879</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26381-2024</t>
        </is>
      </c>
      <c r="B704" s="1" t="n">
        <v>45469</v>
      </c>
      <c r="C704" s="1" t="n">
        <v>45879</v>
      </c>
      <c r="D704" t="inlineStr">
        <is>
          <t>VÄSTERBOTTENS LÄN</t>
        </is>
      </c>
      <c r="E704" t="inlineStr">
        <is>
          <t>VILHELMINA</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47483-2023</t>
        </is>
      </c>
      <c r="B705" s="1" t="n">
        <v>45202.9413425926</v>
      </c>
      <c r="C705" s="1" t="n">
        <v>45879</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5575-2025</t>
        </is>
      </c>
      <c r="B706" s="1" t="n">
        <v>45693.53200231482</v>
      </c>
      <c r="C706" s="1" t="n">
        <v>45879</v>
      </c>
      <c r="D706" t="inlineStr">
        <is>
          <t>VÄSTERBOTTENS LÄN</t>
        </is>
      </c>
      <c r="E706" t="inlineStr">
        <is>
          <t>VILHELMINA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35287-2025</t>
        </is>
      </c>
      <c r="B707" s="1" t="n">
        <v>45854.3653587963</v>
      </c>
      <c r="C707" s="1" t="n">
        <v>45879</v>
      </c>
      <c r="D707" t="inlineStr">
        <is>
          <t>VÄSTERBOTTENS LÄN</t>
        </is>
      </c>
      <c r="E707" t="inlineStr">
        <is>
          <t>VILHELMINA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12990-2025</t>
        </is>
      </c>
      <c r="B708" s="1" t="n">
        <v>45734</v>
      </c>
      <c r="C708" s="1" t="n">
        <v>45879</v>
      </c>
      <c r="D708" t="inlineStr">
        <is>
          <t>VÄSTERBOTTENS LÄN</t>
        </is>
      </c>
      <c r="E708" t="inlineStr">
        <is>
          <t>VILHELMINA</t>
        </is>
      </c>
      <c r="G708" t="n">
        <v>11.2</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45879</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17302-2025</t>
        </is>
      </c>
      <c r="B710" s="1" t="n">
        <v>45756</v>
      </c>
      <c r="C710" s="1" t="n">
        <v>45879</v>
      </c>
      <c r="D710" t="inlineStr">
        <is>
          <t>VÄSTERBOTTENS LÄN</t>
        </is>
      </c>
      <c r="E710" t="inlineStr">
        <is>
          <t>VILHELMINA</t>
        </is>
      </c>
      <c r="G710" t="n">
        <v>6.6</v>
      </c>
      <c r="H710" t="n">
        <v>0</v>
      </c>
      <c r="I710" t="n">
        <v>0</v>
      </c>
      <c r="J710" t="n">
        <v>0</v>
      </c>
      <c r="K710" t="n">
        <v>0</v>
      </c>
      <c r="L710" t="n">
        <v>0</v>
      </c>
      <c r="M710" t="n">
        <v>0</v>
      </c>
      <c r="N710" t="n">
        <v>0</v>
      </c>
      <c r="O710" t="n">
        <v>0</v>
      </c>
      <c r="P710" t="n">
        <v>0</v>
      </c>
      <c r="Q710" t="n">
        <v>0</v>
      </c>
      <c r="R710" s="2" t="inlineStr"/>
    </row>
    <row r="711" ht="15" customHeight="1">
      <c r="A711" t="inlineStr">
        <is>
          <t>A 17314-2025</t>
        </is>
      </c>
      <c r="B711" s="1" t="n">
        <v>45756</v>
      </c>
      <c r="C711" s="1" t="n">
        <v>45879</v>
      </c>
      <c r="D711" t="inlineStr">
        <is>
          <t>VÄSTERBOTTENS LÄN</t>
        </is>
      </c>
      <c r="E711" t="inlineStr">
        <is>
          <t>VILHELMINA</t>
        </is>
      </c>
      <c r="G711" t="n">
        <v>3.4</v>
      </c>
      <c r="H711" t="n">
        <v>0</v>
      </c>
      <c r="I711" t="n">
        <v>0</v>
      </c>
      <c r="J711" t="n">
        <v>0</v>
      </c>
      <c r="K711" t="n">
        <v>0</v>
      </c>
      <c r="L711" t="n">
        <v>0</v>
      </c>
      <c r="M711" t="n">
        <v>0</v>
      </c>
      <c r="N711" t="n">
        <v>0</v>
      </c>
      <c r="O711" t="n">
        <v>0</v>
      </c>
      <c r="P711" t="n">
        <v>0</v>
      </c>
      <c r="Q711" t="n">
        <v>0</v>
      </c>
      <c r="R711" s="2" t="inlineStr"/>
    </row>
    <row r="712" ht="15" customHeight="1">
      <c r="A712" t="inlineStr">
        <is>
          <t>A 27601-2025</t>
        </is>
      </c>
      <c r="B712" s="1" t="n">
        <v>45813.52791666667</v>
      </c>
      <c r="C712" s="1" t="n">
        <v>45879</v>
      </c>
      <c r="D712" t="inlineStr">
        <is>
          <t>VÄSTERBOTTENS LÄN</t>
        </is>
      </c>
      <c r="E712" t="inlineStr">
        <is>
          <t>VILHELMINA</t>
        </is>
      </c>
      <c r="F712" t="inlineStr">
        <is>
          <t>Övriga statliga verk och myndigheter</t>
        </is>
      </c>
      <c r="G712" t="n">
        <v>36.5</v>
      </c>
      <c r="H712" t="n">
        <v>0</v>
      </c>
      <c r="I712" t="n">
        <v>0</v>
      </c>
      <c r="J712" t="n">
        <v>0</v>
      </c>
      <c r="K712" t="n">
        <v>0</v>
      </c>
      <c r="L712" t="n">
        <v>0</v>
      </c>
      <c r="M712" t="n">
        <v>0</v>
      </c>
      <c r="N712" t="n">
        <v>0</v>
      </c>
      <c r="O712" t="n">
        <v>0</v>
      </c>
      <c r="P712" t="n">
        <v>0</v>
      </c>
      <c r="Q712" t="n">
        <v>0</v>
      </c>
      <c r="R712" s="2" t="inlineStr"/>
    </row>
    <row r="713" ht="15" customHeight="1">
      <c r="A713" t="inlineStr">
        <is>
          <t>A 27945-2025</t>
        </is>
      </c>
      <c r="B713" s="1" t="n">
        <v>45817</v>
      </c>
      <c r="C713" s="1" t="n">
        <v>45879</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21965-2025</t>
        </is>
      </c>
      <c r="B714" s="1" t="n">
        <v>45784</v>
      </c>
      <c r="C714" s="1" t="n">
        <v>45879</v>
      </c>
      <c r="D714" t="inlineStr">
        <is>
          <t>VÄSTERBOTTENS LÄN</t>
        </is>
      </c>
      <c r="E714" t="inlineStr">
        <is>
          <t>VILHELMINA</t>
        </is>
      </c>
      <c r="G714" t="n">
        <v>7.4</v>
      </c>
      <c r="H714" t="n">
        <v>0</v>
      </c>
      <c r="I714" t="n">
        <v>0</v>
      </c>
      <c r="J714" t="n">
        <v>0</v>
      </c>
      <c r="K714" t="n">
        <v>0</v>
      </c>
      <c r="L714" t="n">
        <v>0</v>
      </c>
      <c r="M714" t="n">
        <v>0</v>
      </c>
      <c r="N714" t="n">
        <v>0</v>
      </c>
      <c r="O714" t="n">
        <v>0</v>
      </c>
      <c r="P714" t="n">
        <v>0</v>
      </c>
      <c r="Q714" t="n">
        <v>0</v>
      </c>
      <c r="R714" s="2" t="inlineStr"/>
    </row>
    <row r="715" ht="15" customHeight="1">
      <c r="A715" t="inlineStr">
        <is>
          <t>A 28019-2025</t>
        </is>
      </c>
      <c r="B715" s="1" t="n">
        <v>45817.61545138889</v>
      </c>
      <c r="C715" s="1" t="n">
        <v>45879</v>
      </c>
      <c r="D715" t="inlineStr">
        <is>
          <t>VÄSTERBOTTENS LÄN</t>
        </is>
      </c>
      <c r="E715" t="inlineStr">
        <is>
          <t>VILHELMINA</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27943-2025</t>
        </is>
      </c>
      <c r="B716" s="1" t="n">
        <v>45817.51078703703</v>
      </c>
      <c r="C716" s="1" t="n">
        <v>45879</v>
      </c>
      <c r="D716" t="inlineStr">
        <is>
          <t>VÄSTERBOTTENS LÄN</t>
        </is>
      </c>
      <c r="E716" t="inlineStr">
        <is>
          <t>VILHELMINA</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27952-2025</t>
        </is>
      </c>
      <c r="B717" s="1" t="n">
        <v>45817.53157407408</v>
      </c>
      <c r="C717" s="1" t="n">
        <v>45879</v>
      </c>
      <c r="D717" t="inlineStr">
        <is>
          <t>VÄSTERBOTTENS LÄN</t>
        </is>
      </c>
      <c r="E717" t="inlineStr">
        <is>
          <t>VILHELMINA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24457-2024</t>
        </is>
      </c>
      <c r="B718" s="1" t="n">
        <v>45457.96708333334</v>
      </c>
      <c r="C718" s="1" t="n">
        <v>45879</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28016-2025</t>
        </is>
      </c>
      <c r="B719" s="1" t="n">
        <v>45817.61506944444</v>
      </c>
      <c r="C719" s="1" t="n">
        <v>45879</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28050-2025</t>
        </is>
      </c>
      <c r="B720" s="1" t="n">
        <v>45817.65658564815</v>
      </c>
      <c r="C720" s="1" t="n">
        <v>45879</v>
      </c>
      <c r="D720" t="inlineStr">
        <is>
          <t>VÄSTERBOTTENS LÄN</t>
        </is>
      </c>
      <c r="E720" t="inlineStr">
        <is>
          <t>VILHELMINA</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28144-2025</t>
        </is>
      </c>
      <c r="B721" s="1" t="n">
        <v>45818</v>
      </c>
      <c r="C721" s="1" t="n">
        <v>45879</v>
      </c>
      <c r="D721" t="inlineStr">
        <is>
          <t>VÄSTERBOTTENS LÄN</t>
        </is>
      </c>
      <c r="E721" t="inlineStr">
        <is>
          <t>VILHELMINA</t>
        </is>
      </c>
      <c r="F721" t="inlineStr">
        <is>
          <t>SCA</t>
        </is>
      </c>
      <c r="G721" t="n">
        <v>10.8</v>
      </c>
      <c r="H721" t="n">
        <v>0</v>
      </c>
      <c r="I721" t="n">
        <v>0</v>
      </c>
      <c r="J721" t="n">
        <v>0</v>
      </c>
      <c r="K721" t="n">
        <v>0</v>
      </c>
      <c r="L721" t="n">
        <v>0</v>
      </c>
      <c r="M721" t="n">
        <v>0</v>
      </c>
      <c r="N721" t="n">
        <v>0</v>
      </c>
      <c r="O721" t="n">
        <v>0</v>
      </c>
      <c r="P721" t="n">
        <v>0</v>
      </c>
      <c r="Q721" t="n">
        <v>0</v>
      </c>
      <c r="R721" s="2" t="inlineStr"/>
    </row>
    <row r="722" ht="15" customHeight="1">
      <c r="A722" t="inlineStr">
        <is>
          <t>A 8215-2023</t>
        </is>
      </c>
      <c r="B722" s="1" t="n">
        <v>44971</v>
      </c>
      <c r="C722" s="1" t="n">
        <v>45879</v>
      </c>
      <c r="D722" t="inlineStr">
        <is>
          <t>VÄSTERBOTTENS LÄN</t>
        </is>
      </c>
      <c r="E722" t="inlineStr">
        <is>
          <t>VILHELMINA</t>
        </is>
      </c>
      <c r="G722" t="n">
        <v>0.8</v>
      </c>
      <c r="H722" t="n">
        <v>0</v>
      </c>
      <c r="I722" t="n">
        <v>0</v>
      </c>
      <c r="J722" t="n">
        <v>0</v>
      </c>
      <c r="K722" t="n">
        <v>0</v>
      </c>
      <c r="L722" t="n">
        <v>0</v>
      </c>
      <c r="M722" t="n">
        <v>0</v>
      </c>
      <c r="N722" t="n">
        <v>0</v>
      </c>
      <c r="O722" t="n">
        <v>0</v>
      </c>
      <c r="P722" t="n">
        <v>0</v>
      </c>
      <c r="Q722" t="n">
        <v>0</v>
      </c>
      <c r="R722" s="2" t="inlineStr"/>
    </row>
    <row r="723" ht="15" customHeight="1">
      <c r="A723" t="inlineStr">
        <is>
          <t>A 18564-2022</t>
        </is>
      </c>
      <c r="B723" s="1" t="n">
        <v>44686</v>
      </c>
      <c r="C723" s="1" t="n">
        <v>45879</v>
      </c>
      <c r="D723" t="inlineStr">
        <is>
          <t>VÄSTERBOTTENS LÄN</t>
        </is>
      </c>
      <c r="E723" t="inlineStr">
        <is>
          <t>VILHELMINA</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36214-2023</t>
        </is>
      </c>
      <c r="B724" s="1" t="n">
        <v>45149.95256944445</v>
      </c>
      <c r="C724" s="1" t="n">
        <v>45879</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48754-2021</t>
        </is>
      </c>
      <c r="B725" s="1" t="n">
        <v>44452</v>
      </c>
      <c r="C725" s="1" t="n">
        <v>45879</v>
      </c>
      <c r="D725" t="inlineStr">
        <is>
          <t>VÄSTERBOTTENS LÄN</t>
        </is>
      </c>
      <c r="E725" t="inlineStr">
        <is>
          <t>VILHELMINA</t>
        </is>
      </c>
      <c r="G725" t="n">
        <v>5.6</v>
      </c>
      <c r="H725" t="n">
        <v>0</v>
      </c>
      <c r="I725" t="n">
        <v>0</v>
      </c>
      <c r="J725" t="n">
        <v>0</v>
      </c>
      <c r="K725" t="n">
        <v>0</v>
      </c>
      <c r="L725" t="n">
        <v>0</v>
      </c>
      <c r="M725" t="n">
        <v>0</v>
      </c>
      <c r="N725" t="n">
        <v>0</v>
      </c>
      <c r="O725" t="n">
        <v>0</v>
      </c>
      <c r="P725" t="n">
        <v>0</v>
      </c>
      <c r="Q725" t="n">
        <v>0</v>
      </c>
      <c r="R725" s="2" t="inlineStr"/>
    </row>
    <row r="726" ht="15" customHeight="1">
      <c r="A726" t="inlineStr">
        <is>
          <t>A 48756-2021</t>
        </is>
      </c>
      <c r="B726" s="1" t="n">
        <v>44452</v>
      </c>
      <c r="C726" s="1" t="n">
        <v>45879</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28071-2025</t>
        </is>
      </c>
      <c r="B727" s="1" t="n">
        <v>45817.67755787037</v>
      </c>
      <c r="C727" s="1" t="n">
        <v>45879</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28897-2025</t>
        </is>
      </c>
      <c r="B728" s="1" t="n">
        <v>45820.6360300926</v>
      </c>
      <c r="C728" s="1" t="n">
        <v>45879</v>
      </c>
      <c r="D728" t="inlineStr">
        <is>
          <t>VÄSTERBOTTENS LÄN</t>
        </is>
      </c>
      <c r="E728" t="inlineStr">
        <is>
          <t>VILHELMINA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20510-2024</t>
        </is>
      </c>
      <c r="B729" s="1" t="n">
        <v>45435.94324074074</v>
      </c>
      <c r="C729" s="1" t="n">
        <v>45879</v>
      </c>
      <c r="D729" t="inlineStr">
        <is>
          <t>VÄSTERBOTTENS LÄN</t>
        </is>
      </c>
      <c r="E729" t="inlineStr">
        <is>
          <t>VILHELMINA</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18781-2021</t>
        </is>
      </c>
      <c r="B730" s="1" t="n">
        <v>44307</v>
      </c>
      <c r="C730" s="1" t="n">
        <v>45879</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20523-2024</t>
        </is>
      </c>
      <c r="B731" s="1" t="n">
        <v>45435.94553240741</v>
      </c>
      <c r="C731" s="1" t="n">
        <v>45879</v>
      </c>
      <c r="D731" t="inlineStr">
        <is>
          <t>VÄSTERBOTTENS LÄN</t>
        </is>
      </c>
      <c r="E731" t="inlineStr">
        <is>
          <t>VILHELMINA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32455-2024</t>
        </is>
      </c>
      <c r="B732" s="1" t="n">
        <v>45512.95870370371</v>
      </c>
      <c r="C732" s="1" t="n">
        <v>45879</v>
      </c>
      <c r="D732" t="inlineStr">
        <is>
          <t>VÄSTERBOTTENS LÄN</t>
        </is>
      </c>
      <c r="E732" t="inlineStr">
        <is>
          <t>VILHELMINA</t>
        </is>
      </c>
      <c r="F732" t="inlineStr">
        <is>
          <t>SCA</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35886-2025</t>
        </is>
      </c>
      <c r="B733" s="1" t="n">
        <v>45862.43494212963</v>
      </c>
      <c r="C733" s="1" t="n">
        <v>45879</v>
      </c>
      <c r="D733" t="inlineStr">
        <is>
          <t>VÄSTERBOTTENS LÄN</t>
        </is>
      </c>
      <c r="E733" t="inlineStr">
        <is>
          <t>VILHELMINA</t>
        </is>
      </c>
      <c r="G733" t="n">
        <v>7</v>
      </c>
      <c r="H733" t="n">
        <v>0</v>
      </c>
      <c r="I733" t="n">
        <v>0</v>
      </c>
      <c r="J733" t="n">
        <v>0</v>
      </c>
      <c r="K733" t="n">
        <v>0</v>
      </c>
      <c r="L733" t="n">
        <v>0</v>
      </c>
      <c r="M733" t="n">
        <v>0</v>
      </c>
      <c r="N733" t="n">
        <v>0</v>
      </c>
      <c r="O733" t="n">
        <v>0</v>
      </c>
      <c r="P733" t="n">
        <v>0</v>
      </c>
      <c r="Q733" t="n">
        <v>0</v>
      </c>
      <c r="R733" s="2" t="inlineStr"/>
    </row>
    <row r="734" ht="15" customHeight="1">
      <c r="A734" t="inlineStr">
        <is>
          <t>A 35888-2025</t>
        </is>
      </c>
      <c r="B734" s="1" t="n">
        <v>45862.44034722223</v>
      </c>
      <c r="C734" s="1" t="n">
        <v>45879</v>
      </c>
      <c r="D734" t="inlineStr">
        <is>
          <t>VÄSTERBOTTENS LÄN</t>
        </is>
      </c>
      <c r="E734" t="inlineStr">
        <is>
          <t>VILHELMINA</t>
        </is>
      </c>
      <c r="G734" t="n">
        <v>2.4</v>
      </c>
      <c r="H734" t="n">
        <v>0</v>
      </c>
      <c r="I734" t="n">
        <v>0</v>
      </c>
      <c r="J734" t="n">
        <v>0</v>
      </c>
      <c r="K734" t="n">
        <v>0</v>
      </c>
      <c r="L734" t="n">
        <v>0</v>
      </c>
      <c r="M734" t="n">
        <v>0</v>
      </c>
      <c r="N734" t="n">
        <v>0</v>
      </c>
      <c r="O734" t="n">
        <v>0</v>
      </c>
      <c r="P734" t="n">
        <v>0</v>
      </c>
      <c r="Q734" t="n">
        <v>0</v>
      </c>
      <c r="R734" s="2" t="inlineStr"/>
    </row>
    <row r="735" ht="15" customHeight="1">
      <c r="A735" t="inlineStr">
        <is>
          <t>A 29203-2025</t>
        </is>
      </c>
      <c r="B735" s="1" t="n">
        <v>45823</v>
      </c>
      <c r="C735" s="1" t="n">
        <v>45879</v>
      </c>
      <c r="D735" t="inlineStr">
        <is>
          <t>VÄSTERBOTTENS LÄN</t>
        </is>
      </c>
      <c r="E735" t="inlineStr">
        <is>
          <t>VILHELMINA</t>
        </is>
      </c>
      <c r="G735" t="n">
        <v>2.3</v>
      </c>
      <c r="H735" t="n">
        <v>0</v>
      </c>
      <c r="I735" t="n">
        <v>0</v>
      </c>
      <c r="J735" t="n">
        <v>0</v>
      </c>
      <c r="K735" t="n">
        <v>0</v>
      </c>
      <c r="L735" t="n">
        <v>0</v>
      </c>
      <c r="M735" t="n">
        <v>0</v>
      </c>
      <c r="N735" t="n">
        <v>0</v>
      </c>
      <c r="O735" t="n">
        <v>0</v>
      </c>
      <c r="P735" t="n">
        <v>0</v>
      </c>
      <c r="Q735" t="n">
        <v>0</v>
      </c>
      <c r="R735" s="2" t="inlineStr"/>
    </row>
    <row r="736" ht="15" customHeight="1">
      <c r="A736" t="inlineStr">
        <is>
          <t>A 29120-2025</t>
        </is>
      </c>
      <c r="B736" s="1" t="n">
        <v>45821</v>
      </c>
      <c r="C736" s="1" t="n">
        <v>45879</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29234-2025</t>
        </is>
      </c>
      <c r="B737" s="1" t="n">
        <v>45824.34478009259</v>
      </c>
      <c r="C737" s="1" t="n">
        <v>45879</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12593-2022</t>
        </is>
      </c>
      <c r="B738" s="1" t="n">
        <v>44640</v>
      </c>
      <c r="C738" s="1" t="n">
        <v>45879</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26553-2023</t>
        </is>
      </c>
      <c r="B739" s="1" t="n">
        <v>45089</v>
      </c>
      <c r="C739" s="1" t="n">
        <v>45879</v>
      </c>
      <c r="D739" t="inlineStr">
        <is>
          <t>VÄSTERBOTTENS LÄN</t>
        </is>
      </c>
      <c r="E739" t="inlineStr">
        <is>
          <t>VILHELMINA</t>
        </is>
      </c>
      <c r="G739" t="n">
        <v>5.5</v>
      </c>
      <c r="H739" t="n">
        <v>0</v>
      </c>
      <c r="I739" t="n">
        <v>0</v>
      </c>
      <c r="J739" t="n">
        <v>0</v>
      </c>
      <c r="K739" t="n">
        <v>0</v>
      </c>
      <c r="L739" t="n">
        <v>0</v>
      </c>
      <c r="M739" t="n">
        <v>0</v>
      </c>
      <c r="N739" t="n">
        <v>0</v>
      </c>
      <c r="O739" t="n">
        <v>0</v>
      </c>
      <c r="P739" t="n">
        <v>0</v>
      </c>
      <c r="Q739" t="n">
        <v>0</v>
      </c>
      <c r="R739" s="2" t="inlineStr"/>
    </row>
    <row r="740" ht="15" customHeight="1">
      <c r="A740" t="inlineStr">
        <is>
          <t>A 29468-2025</t>
        </is>
      </c>
      <c r="B740" s="1" t="n">
        <v>45824.69888888889</v>
      </c>
      <c r="C740" s="1" t="n">
        <v>45879</v>
      </c>
      <c r="D740" t="inlineStr">
        <is>
          <t>VÄSTERBOTTENS LÄN</t>
        </is>
      </c>
      <c r="E740" t="inlineStr">
        <is>
          <t>VILHELMINA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29466-2025</t>
        </is>
      </c>
      <c r="B741" s="1" t="n">
        <v>45824.69865740741</v>
      </c>
      <c r="C741" s="1" t="n">
        <v>45879</v>
      </c>
      <c r="D741" t="inlineStr">
        <is>
          <t>VÄSTERBOTTENS LÄN</t>
        </is>
      </c>
      <c r="E741" t="inlineStr">
        <is>
          <t>VILHELMINA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23360-2025</t>
        </is>
      </c>
      <c r="B742" s="1" t="n">
        <v>45791</v>
      </c>
      <c r="C742" s="1" t="n">
        <v>45879</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28695-2024</t>
        </is>
      </c>
      <c r="B743" s="1" t="n">
        <v>45478</v>
      </c>
      <c r="C743" s="1" t="n">
        <v>45879</v>
      </c>
      <c r="D743" t="inlineStr">
        <is>
          <t>VÄSTERBOTTENS LÄN</t>
        </is>
      </c>
      <c r="E743" t="inlineStr">
        <is>
          <t>VILHELMINA</t>
        </is>
      </c>
      <c r="F743" t="inlineStr">
        <is>
          <t>Allmännings- och besparingsskogar</t>
        </is>
      </c>
      <c r="G743" t="n">
        <v>3.1</v>
      </c>
      <c r="H743" t="n">
        <v>0</v>
      </c>
      <c r="I743" t="n">
        <v>0</v>
      </c>
      <c r="J743" t="n">
        <v>0</v>
      </c>
      <c r="K743" t="n">
        <v>0</v>
      </c>
      <c r="L743" t="n">
        <v>0</v>
      </c>
      <c r="M743" t="n">
        <v>0</v>
      </c>
      <c r="N743" t="n">
        <v>0</v>
      </c>
      <c r="O743" t="n">
        <v>0</v>
      </c>
      <c r="P743" t="n">
        <v>0</v>
      </c>
      <c r="Q743" t="n">
        <v>0</v>
      </c>
      <c r="R743" s="2" t="inlineStr"/>
    </row>
    <row r="744" ht="15" customHeight="1">
      <c r="A744" t="inlineStr">
        <is>
          <t>A 29940-2025</t>
        </is>
      </c>
      <c r="B744" s="1" t="n">
        <v>45826.45104166667</v>
      </c>
      <c r="C744" s="1" t="n">
        <v>45879</v>
      </c>
      <c r="D744" t="inlineStr">
        <is>
          <t>VÄSTERBOTTENS LÄN</t>
        </is>
      </c>
      <c r="E744" t="inlineStr">
        <is>
          <t>VILHELMINA</t>
        </is>
      </c>
      <c r="F744" t="inlineStr">
        <is>
          <t>Sveaskog</t>
        </is>
      </c>
      <c r="G744" t="n">
        <v>11.6</v>
      </c>
      <c r="H744" t="n">
        <v>0</v>
      </c>
      <c r="I744" t="n">
        <v>0</v>
      </c>
      <c r="J744" t="n">
        <v>0</v>
      </c>
      <c r="K744" t="n">
        <v>0</v>
      </c>
      <c r="L744" t="n">
        <v>0</v>
      </c>
      <c r="M744" t="n">
        <v>0</v>
      </c>
      <c r="N744" t="n">
        <v>0</v>
      </c>
      <c r="O744" t="n">
        <v>0</v>
      </c>
      <c r="P744" t="n">
        <v>0</v>
      </c>
      <c r="Q744" t="n">
        <v>0</v>
      </c>
      <c r="R744" s="2" t="inlineStr"/>
    </row>
    <row r="745" ht="15" customHeight="1">
      <c r="A745" t="inlineStr">
        <is>
          <t>A 41484-2022</t>
        </is>
      </c>
      <c r="B745" s="1" t="n">
        <v>44826</v>
      </c>
      <c r="C745" s="1" t="n">
        <v>45879</v>
      </c>
      <c r="D745" t="inlineStr">
        <is>
          <t>VÄSTERBOTTENS LÄN</t>
        </is>
      </c>
      <c r="E745" t="inlineStr">
        <is>
          <t>VILHELMINA</t>
        </is>
      </c>
      <c r="F745" t="inlineStr">
        <is>
          <t>SCA</t>
        </is>
      </c>
      <c r="G745" t="n">
        <v>18.1</v>
      </c>
      <c r="H745" t="n">
        <v>0</v>
      </c>
      <c r="I745" t="n">
        <v>0</v>
      </c>
      <c r="J745" t="n">
        <v>0</v>
      </c>
      <c r="K745" t="n">
        <v>0</v>
      </c>
      <c r="L745" t="n">
        <v>0</v>
      </c>
      <c r="M745" t="n">
        <v>0</v>
      </c>
      <c r="N745" t="n">
        <v>0</v>
      </c>
      <c r="O745" t="n">
        <v>0</v>
      </c>
      <c r="P745" t="n">
        <v>0</v>
      </c>
      <c r="Q745" t="n">
        <v>0</v>
      </c>
      <c r="R745" s="2" t="inlineStr"/>
    </row>
    <row r="746" ht="15" customHeight="1">
      <c r="A746" t="inlineStr">
        <is>
          <t>A 47253-2022</t>
        </is>
      </c>
      <c r="B746" s="1" t="n">
        <v>44852</v>
      </c>
      <c r="C746" s="1" t="n">
        <v>45879</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29942-2025</t>
        </is>
      </c>
      <c r="B747" s="1" t="n">
        <v>45826.45702546297</v>
      </c>
      <c r="C747" s="1" t="n">
        <v>45879</v>
      </c>
      <c r="D747" t="inlineStr">
        <is>
          <t>VÄSTERBOTTENS LÄN</t>
        </is>
      </c>
      <c r="E747" t="inlineStr">
        <is>
          <t>VILHELMINA</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15782-2025</t>
        </is>
      </c>
      <c r="B748" s="1" t="n">
        <v>45748</v>
      </c>
      <c r="C748" s="1" t="n">
        <v>45879</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15792-2025</t>
        </is>
      </c>
      <c r="B749" s="1" t="n">
        <v>45748.63356481482</v>
      </c>
      <c r="C749" s="1" t="n">
        <v>45879</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23543-2024</t>
        </is>
      </c>
      <c r="B750" s="1" t="n">
        <v>45453</v>
      </c>
      <c r="C750" s="1" t="n">
        <v>45879</v>
      </c>
      <c r="D750" t="inlineStr">
        <is>
          <t>VÄSTERBOTTENS LÄN</t>
        </is>
      </c>
      <c r="E750" t="inlineStr">
        <is>
          <t>VILHELMINA</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40781-2023</t>
        </is>
      </c>
      <c r="B751" s="1" t="n">
        <v>45170.95747685185</v>
      </c>
      <c r="C751" s="1" t="n">
        <v>45879</v>
      </c>
      <c r="D751" t="inlineStr">
        <is>
          <t>VÄSTERBOTTENS LÄN</t>
        </is>
      </c>
      <c r="E751" t="inlineStr">
        <is>
          <t>VILHELMINA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19600-2025</t>
        </is>
      </c>
      <c r="B752" s="1" t="n">
        <v>45770</v>
      </c>
      <c r="C752" s="1" t="n">
        <v>45879</v>
      </c>
      <c r="D752" t="inlineStr">
        <is>
          <t>VÄSTERBOTTENS LÄN</t>
        </is>
      </c>
      <c r="E752" t="inlineStr">
        <is>
          <t>VILHELMINA</t>
        </is>
      </c>
      <c r="G752" t="n">
        <v>3.7</v>
      </c>
      <c r="H752" t="n">
        <v>0</v>
      </c>
      <c r="I752" t="n">
        <v>0</v>
      </c>
      <c r="J752" t="n">
        <v>0</v>
      </c>
      <c r="K752" t="n">
        <v>0</v>
      </c>
      <c r="L752" t="n">
        <v>0</v>
      </c>
      <c r="M752" t="n">
        <v>0</v>
      </c>
      <c r="N752" t="n">
        <v>0</v>
      </c>
      <c r="O752" t="n">
        <v>0</v>
      </c>
      <c r="P752" t="n">
        <v>0</v>
      </c>
      <c r="Q752" t="n">
        <v>0</v>
      </c>
      <c r="R752" s="2" t="inlineStr"/>
    </row>
    <row r="753" ht="15" customHeight="1">
      <c r="A753" t="inlineStr">
        <is>
          <t>A 62101-2024</t>
        </is>
      </c>
      <c r="B753" s="1" t="n">
        <v>45656.51119212963</v>
      </c>
      <c r="C753" s="1" t="n">
        <v>45879</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20336-2025</t>
        </is>
      </c>
      <c r="B754" s="1" t="n">
        <v>45775.36528935185</v>
      </c>
      <c r="C754" s="1" t="n">
        <v>45879</v>
      </c>
      <c r="D754" t="inlineStr">
        <is>
          <t>VÄSTERBOTTENS LÄN</t>
        </is>
      </c>
      <c r="E754" t="inlineStr">
        <is>
          <t>VILHELMINA</t>
        </is>
      </c>
      <c r="F754" t="inlineStr">
        <is>
          <t>SCA</t>
        </is>
      </c>
      <c r="G754" t="n">
        <v>9.4</v>
      </c>
      <c r="H754" t="n">
        <v>0</v>
      </c>
      <c r="I754" t="n">
        <v>0</v>
      </c>
      <c r="J754" t="n">
        <v>0</v>
      </c>
      <c r="K754" t="n">
        <v>0</v>
      </c>
      <c r="L754" t="n">
        <v>0</v>
      </c>
      <c r="M754" t="n">
        <v>0</v>
      </c>
      <c r="N754" t="n">
        <v>0</v>
      </c>
      <c r="O754" t="n">
        <v>0</v>
      </c>
      <c r="P754" t="n">
        <v>0</v>
      </c>
      <c r="Q754" t="n">
        <v>0</v>
      </c>
      <c r="R754" s="2" t="inlineStr"/>
    </row>
    <row r="755" ht="15" customHeight="1">
      <c r="A755" t="inlineStr">
        <is>
          <t>A 237-2025</t>
        </is>
      </c>
      <c r="B755" s="1" t="n">
        <v>45660.40270833333</v>
      </c>
      <c r="C755" s="1" t="n">
        <v>45879</v>
      </c>
      <c r="D755" t="inlineStr">
        <is>
          <t>VÄSTERBOTTENS LÄN</t>
        </is>
      </c>
      <c r="E755" t="inlineStr">
        <is>
          <t>VILHELMINA</t>
        </is>
      </c>
      <c r="G755" t="n">
        <v>4.6</v>
      </c>
      <c r="H755" t="n">
        <v>0</v>
      </c>
      <c r="I755" t="n">
        <v>0</v>
      </c>
      <c r="J755" t="n">
        <v>0</v>
      </c>
      <c r="K755" t="n">
        <v>0</v>
      </c>
      <c r="L755" t="n">
        <v>0</v>
      </c>
      <c r="M755" t="n">
        <v>0</v>
      </c>
      <c r="N755" t="n">
        <v>0</v>
      </c>
      <c r="O755" t="n">
        <v>0</v>
      </c>
      <c r="P755" t="n">
        <v>0</v>
      </c>
      <c r="Q755" t="n">
        <v>0</v>
      </c>
      <c r="R755" s="2" t="inlineStr"/>
    </row>
    <row r="756" ht="15" customHeight="1">
      <c r="A756" t="inlineStr">
        <is>
          <t>A 242-2025</t>
        </is>
      </c>
      <c r="B756" s="1" t="n">
        <v>45660.41033564815</v>
      </c>
      <c r="C756" s="1" t="n">
        <v>45879</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296-2025</t>
        </is>
      </c>
      <c r="B757" s="1" t="n">
        <v>45660.53215277778</v>
      </c>
      <c r="C757" s="1" t="n">
        <v>45879</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468-2024</t>
        </is>
      </c>
      <c r="B758" s="1" t="n">
        <v>45297</v>
      </c>
      <c r="C758" s="1" t="n">
        <v>45879</v>
      </c>
      <c r="D758" t="inlineStr">
        <is>
          <t>VÄSTERBOTTENS LÄN</t>
        </is>
      </c>
      <c r="E758" t="inlineStr">
        <is>
          <t>VILHELMINA</t>
        </is>
      </c>
      <c r="G758" t="n">
        <v>6.7</v>
      </c>
      <c r="H758" t="n">
        <v>0</v>
      </c>
      <c r="I758" t="n">
        <v>0</v>
      </c>
      <c r="J758" t="n">
        <v>0</v>
      </c>
      <c r="K758" t="n">
        <v>0</v>
      </c>
      <c r="L758" t="n">
        <v>0</v>
      </c>
      <c r="M758" t="n">
        <v>0</v>
      </c>
      <c r="N758" t="n">
        <v>0</v>
      </c>
      <c r="O758" t="n">
        <v>0</v>
      </c>
      <c r="P758" t="n">
        <v>0</v>
      </c>
      <c r="Q758" t="n">
        <v>0</v>
      </c>
      <c r="R758" s="2" t="inlineStr"/>
    </row>
    <row r="759" ht="15" customHeight="1">
      <c r="A759" t="inlineStr">
        <is>
          <t>A 30553-2025</t>
        </is>
      </c>
      <c r="B759" s="1" t="n">
        <v>45831.38579861111</v>
      </c>
      <c r="C759" s="1" t="n">
        <v>45879</v>
      </c>
      <c r="D759" t="inlineStr">
        <is>
          <t>VÄSTERBOTTENS LÄN</t>
        </is>
      </c>
      <c r="E759" t="inlineStr">
        <is>
          <t>VILHELMINA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47011-2024</t>
        </is>
      </c>
      <c r="B760" s="1" t="n">
        <v>45586.38592592593</v>
      </c>
      <c r="C760" s="1" t="n">
        <v>45879</v>
      </c>
      <c r="D760" t="inlineStr">
        <is>
          <t>VÄSTERBOTTENS LÄN</t>
        </is>
      </c>
      <c r="E760" t="inlineStr">
        <is>
          <t>VILHELMINA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35412-2024</t>
        </is>
      </c>
      <c r="B761" s="1" t="n">
        <v>45531.4075</v>
      </c>
      <c r="C761" s="1" t="n">
        <v>45879</v>
      </c>
      <c r="D761" t="inlineStr">
        <is>
          <t>VÄSTERBOTTENS LÄN</t>
        </is>
      </c>
      <c r="E761" t="inlineStr">
        <is>
          <t>VILHELMINA</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14961-2022</t>
        </is>
      </c>
      <c r="B762" s="1" t="n">
        <v>44657</v>
      </c>
      <c r="C762" s="1" t="n">
        <v>45879</v>
      </c>
      <c r="D762" t="inlineStr">
        <is>
          <t>VÄSTERBOTTENS LÄN</t>
        </is>
      </c>
      <c r="E762" t="inlineStr">
        <is>
          <t>VILHELMINA</t>
        </is>
      </c>
      <c r="G762" t="n">
        <v>19.9</v>
      </c>
      <c r="H762" t="n">
        <v>0</v>
      </c>
      <c r="I762" t="n">
        <v>0</v>
      </c>
      <c r="J762" t="n">
        <v>0</v>
      </c>
      <c r="K762" t="n">
        <v>0</v>
      </c>
      <c r="L762" t="n">
        <v>0</v>
      </c>
      <c r="M762" t="n">
        <v>0</v>
      </c>
      <c r="N762" t="n">
        <v>0</v>
      </c>
      <c r="O762" t="n">
        <v>0</v>
      </c>
      <c r="P762" t="n">
        <v>0</v>
      </c>
      <c r="Q762" t="n">
        <v>0</v>
      </c>
      <c r="R762" s="2" t="inlineStr"/>
    </row>
    <row r="763" ht="15" customHeight="1">
      <c r="A763" t="inlineStr">
        <is>
          <t>A 36944-2025</t>
        </is>
      </c>
      <c r="B763" s="1" t="n">
        <v>45874.59450231482</v>
      </c>
      <c r="C763" s="1" t="n">
        <v>45879</v>
      </c>
      <c r="D763" t="inlineStr">
        <is>
          <t>VÄSTERBOTTENS LÄN</t>
        </is>
      </c>
      <c r="E763" t="inlineStr">
        <is>
          <t>VILHELMINA</t>
        </is>
      </c>
      <c r="F763" t="inlineStr">
        <is>
          <t>SCA</t>
        </is>
      </c>
      <c r="G763" t="n">
        <v>17.4</v>
      </c>
      <c r="H763" t="n">
        <v>0</v>
      </c>
      <c r="I763" t="n">
        <v>0</v>
      </c>
      <c r="J763" t="n">
        <v>0</v>
      </c>
      <c r="K763" t="n">
        <v>0</v>
      </c>
      <c r="L763" t="n">
        <v>0</v>
      </c>
      <c r="M763" t="n">
        <v>0</v>
      </c>
      <c r="N763" t="n">
        <v>0</v>
      </c>
      <c r="O763" t="n">
        <v>0</v>
      </c>
      <c r="P763" t="n">
        <v>0</v>
      </c>
      <c r="Q763" t="n">
        <v>0</v>
      </c>
      <c r="R763" s="2" t="inlineStr"/>
    </row>
    <row r="764" ht="15" customHeight="1">
      <c r="A764" t="inlineStr">
        <is>
          <t>A 44634-2024</t>
        </is>
      </c>
      <c r="B764" s="1" t="n">
        <v>45574</v>
      </c>
      <c r="C764" s="1" t="n">
        <v>45879</v>
      </c>
      <c r="D764" t="inlineStr">
        <is>
          <t>VÄSTERBOTTENS LÄN</t>
        </is>
      </c>
      <c r="E764" t="inlineStr">
        <is>
          <t>VILHELMINA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56830-2023</t>
        </is>
      </c>
      <c r="B765" s="1" t="n">
        <v>45238</v>
      </c>
      <c r="C765" s="1" t="n">
        <v>45879</v>
      </c>
      <c r="D765" t="inlineStr">
        <is>
          <t>VÄSTERBOTTENS LÄN</t>
        </is>
      </c>
      <c r="E765" t="inlineStr">
        <is>
          <t>VILHELMINA</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56847-2023</t>
        </is>
      </c>
      <c r="B766" s="1" t="n">
        <v>45238</v>
      </c>
      <c r="C766" s="1" t="n">
        <v>45879</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66952-2021</t>
        </is>
      </c>
      <c r="B767" s="1" t="n">
        <v>44522</v>
      </c>
      <c r="C767" s="1" t="n">
        <v>45879</v>
      </c>
      <c r="D767" t="inlineStr">
        <is>
          <t>VÄSTERBOTTENS LÄN</t>
        </is>
      </c>
      <c r="E767" t="inlineStr">
        <is>
          <t>VILHELMINA</t>
        </is>
      </c>
      <c r="F767" t="inlineStr">
        <is>
          <t>Allmännings- och besparingsskogar</t>
        </is>
      </c>
      <c r="G767" t="n">
        <v>70</v>
      </c>
      <c r="H767" t="n">
        <v>0</v>
      </c>
      <c r="I767" t="n">
        <v>0</v>
      </c>
      <c r="J767" t="n">
        <v>0</v>
      </c>
      <c r="K767" t="n">
        <v>0</v>
      </c>
      <c r="L767" t="n">
        <v>0</v>
      </c>
      <c r="M767" t="n">
        <v>0</v>
      </c>
      <c r="N767" t="n">
        <v>0</v>
      </c>
      <c r="O767" t="n">
        <v>0</v>
      </c>
      <c r="P767" t="n">
        <v>0</v>
      </c>
      <c r="Q767" t="n">
        <v>0</v>
      </c>
      <c r="R767" s="2" t="inlineStr"/>
    </row>
    <row r="768" ht="15" customHeight="1">
      <c r="A768" t="inlineStr">
        <is>
          <t>A 3096-2021</t>
        </is>
      </c>
      <c r="B768" s="1" t="n">
        <v>44216.93865740741</v>
      </c>
      <c r="C768" s="1" t="n">
        <v>45879</v>
      </c>
      <c r="D768" t="inlineStr">
        <is>
          <t>VÄSTERBOTTENS LÄN</t>
        </is>
      </c>
      <c r="E768" t="inlineStr">
        <is>
          <t>VILHELMINA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36569-2025</t>
        </is>
      </c>
      <c r="B769" s="1" t="n">
        <v>45870</v>
      </c>
      <c r="C769" s="1" t="n">
        <v>45879</v>
      </c>
      <c r="D769" t="inlineStr">
        <is>
          <t>VÄSTERBOTTENS LÄN</t>
        </is>
      </c>
      <c r="E769" t="inlineStr">
        <is>
          <t>VILHELMINA</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35285-2025</t>
        </is>
      </c>
      <c r="B770" s="1" t="n">
        <v>45854</v>
      </c>
      <c r="C770" s="1" t="n">
        <v>45879</v>
      </c>
      <c r="D770" t="inlineStr">
        <is>
          <t>VÄSTERBOTTENS LÄN</t>
        </is>
      </c>
      <c r="E770" t="inlineStr">
        <is>
          <t>VILHELMINA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26000-2023</t>
        </is>
      </c>
      <c r="B771" s="1" t="n">
        <v>45090</v>
      </c>
      <c r="C771" s="1" t="n">
        <v>45879</v>
      </c>
      <c r="D771" t="inlineStr">
        <is>
          <t>VÄSTERBOTTENS LÄN</t>
        </is>
      </c>
      <c r="E771" t="inlineStr">
        <is>
          <t>VILHELMINA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36973-2025</t>
        </is>
      </c>
      <c r="B772" s="1" t="n">
        <v>45874.63747685185</v>
      </c>
      <c r="C772" s="1" t="n">
        <v>45879</v>
      </c>
      <c r="D772" t="inlineStr">
        <is>
          <t>VÄSTERBOTTENS LÄN</t>
        </is>
      </c>
      <c r="E772" t="inlineStr">
        <is>
          <t>VILHELMINA</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21726-2021</t>
        </is>
      </c>
      <c r="B773" s="1" t="n">
        <v>44322</v>
      </c>
      <c r="C773" s="1" t="n">
        <v>45879</v>
      </c>
      <c r="D773" t="inlineStr">
        <is>
          <t>VÄSTERBOTTENS LÄN</t>
        </is>
      </c>
      <c r="E773" t="inlineStr">
        <is>
          <t>VILHELMINA</t>
        </is>
      </c>
      <c r="G773" t="n">
        <v>19.6</v>
      </c>
      <c r="H773" t="n">
        <v>0</v>
      </c>
      <c r="I773" t="n">
        <v>0</v>
      </c>
      <c r="J773" t="n">
        <v>0</v>
      </c>
      <c r="K773" t="n">
        <v>0</v>
      </c>
      <c r="L773" t="n">
        <v>0</v>
      </c>
      <c r="M773" t="n">
        <v>0</v>
      </c>
      <c r="N773" t="n">
        <v>0</v>
      </c>
      <c r="O773" t="n">
        <v>0</v>
      </c>
      <c r="P773" t="n">
        <v>0</v>
      </c>
      <c r="Q773" t="n">
        <v>0</v>
      </c>
      <c r="R773" s="2" t="inlineStr"/>
    </row>
    <row r="774" ht="15" customHeight="1">
      <c r="A774" t="inlineStr">
        <is>
          <t>A 33319-2025</t>
        </is>
      </c>
      <c r="B774" s="1" t="n">
        <v>45841</v>
      </c>
      <c r="C774" s="1" t="n">
        <v>45879</v>
      </c>
      <c r="D774" t="inlineStr">
        <is>
          <t>VÄSTERBOTTENS LÄN</t>
        </is>
      </c>
      <c r="E774" t="inlineStr">
        <is>
          <t>VILHELMINA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34413-2025</t>
        </is>
      </c>
      <c r="B775" s="1" t="n">
        <v>45845</v>
      </c>
      <c r="C775" s="1" t="n">
        <v>45879</v>
      </c>
      <c r="D775" t="inlineStr">
        <is>
          <t>VÄSTERBOTTENS LÄN</t>
        </is>
      </c>
      <c r="E775" t="inlineStr">
        <is>
          <t>VILHELMINA</t>
        </is>
      </c>
      <c r="G775" t="n">
        <v>6.8</v>
      </c>
      <c r="H775" t="n">
        <v>0</v>
      </c>
      <c r="I775" t="n">
        <v>0</v>
      </c>
      <c r="J775" t="n">
        <v>0</v>
      </c>
      <c r="K775" t="n">
        <v>0</v>
      </c>
      <c r="L775" t="n">
        <v>0</v>
      </c>
      <c r="M775" t="n">
        <v>0</v>
      </c>
      <c r="N775" t="n">
        <v>0</v>
      </c>
      <c r="O775" t="n">
        <v>0</v>
      </c>
      <c r="P775" t="n">
        <v>0</v>
      </c>
      <c r="Q775" t="n">
        <v>0</v>
      </c>
      <c r="R775" s="2" t="inlineStr"/>
    </row>
    <row r="776" ht="15" customHeight="1">
      <c r="A776" t="inlineStr">
        <is>
          <t>A 15639-2024</t>
        </is>
      </c>
      <c r="B776" s="1" t="n">
        <v>45403</v>
      </c>
      <c r="C776" s="1" t="n">
        <v>45879</v>
      </c>
      <c r="D776" t="inlineStr">
        <is>
          <t>VÄSTERBOTTENS LÄN</t>
        </is>
      </c>
      <c r="E776" t="inlineStr">
        <is>
          <t>VILHELMINA</t>
        </is>
      </c>
      <c r="G776" t="n">
        <v>81.90000000000001</v>
      </c>
      <c r="H776" t="n">
        <v>0</v>
      </c>
      <c r="I776" t="n">
        <v>0</v>
      </c>
      <c r="J776" t="n">
        <v>0</v>
      </c>
      <c r="K776" t="n">
        <v>0</v>
      </c>
      <c r="L776" t="n">
        <v>0</v>
      </c>
      <c r="M776" t="n">
        <v>0</v>
      </c>
      <c r="N776" t="n">
        <v>0</v>
      </c>
      <c r="O776" t="n">
        <v>0</v>
      </c>
      <c r="P776" t="n">
        <v>0</v>
      </c>
      <c r="Q776" t="n">
        <v>0</v>
      </c>
      <c r="R776" s="2" t="inlineStr"/>
    </row>
    <row r="777" ht="15" customHeight="1">
      <c r="A777" t="inlineStr">
        <is>
          <t>A 30746-2025</t>
        </is>
      </c>
      <c r="B777" s="1" t="n">
        <v>45831.58256944444</v>
      </c>
      <c r="C777" s="1" t="n">
        <v>45879</v>
      </c>
      <c r="D777" t="inlineStr">
        <is>
          <t>VÄSTERBOTTENS LÄN</t>
        </is>
      </c>
      <c r="E777" t="inlineStr">
        <is>
          <t>VILHELMINA</t>
        </is>
      </c>
      <c r="G777" t="n">
        <v>5.7</v>
      </c>
      <c r="H777" t="n">
        <v>0</v>
      </c>
      <c r="I777" t="n">
        <v>0</v>
      </c>
      <c r="J777" t="n">
        <v>0</v>
      </c>
      <c r="K777" t="n">
        <v>0</v>
      </c>
      <c r="L777" t="n">
        <v>0</v>
      </c>
      <c r="M777" t="n">
        <v>0</v>
      </c>
      <c r="N777" t="n">
        <v>0</v>
      </c>
      <c r="O777" t="n">
        <v>0</v>
      </c>
      <c r="P777" t="n">
        <v>0</v>
      </c>
      <c r="Q777" t="n">
        <v>0</v>
      </c>
      <c r="R777" s="2" t="inlineStr"/>
    </row>
    <row r="778" ht="15" customHeight="1">
      <c r="A778" t="inlineStr">
        <is>
          <t>A 72057-2021</t>
        </is>
      </c>
      <c r="B778" s="1" t="n">
        <v>44540</v>
      </c>
      <c r="C778" s="1" t="n">
        <v>45879</v>
      </c>
      <c r="D778" t="inlineStr">
        <is>
          <t>VÄSTERBOTTENS LÄN</t>
        </is>
      </c>
      <c r="E778" t="inlineStr">
        <is>
          <t>VILHELMINA</t>
        </is>
      </c>
      <c r="G778" t="n">
        <v>7</v>
      </c>
      <c r="H778" t="n">
        <v>0</v>
      </c>
      <c r="I778" t="n">
        <v>0</v>
      </c>
      <c r="J778" t="n">
        <v>0</v>
      </c>
      <c r="K778" t="n">
        <v>0</v>
      </c>
      <c r="L778" t="n">
        <v>0</v>
      </c>
      <c r="M778" t="n">
        <v>0</v>
      </c>
      <c r="N778" t="n">
        <v>0</v>
      </c>
      <c r="O778" t="n">
        <v>0</v>
      </c>
      <c r="P778" t="n">
        <v>0</v>
      </c>
      <c r="Q778" t="n">
        <v>0</v>
      </c>
      <c r="R778" s="2" t="inlineStr"/>
    </row>
    <row r="779" ht="15" customHeight="1">
      <c r="A779" t="inlineStr">
        <is>
          <t>A 36669-2025</t>
        </is>
      </c>
      <c r="B779" s="1" t="n">
        <v>45873.3868287037</v>
      </c>
      <c r="C779" s="1" t="n">
        <v>45879</v>
      </c>
      <c r="D779" t="inlineStr">
        <is>
          <t>VÄSTERBOTTENS LÄN</t>
        </is>
      </c>
      <c r="E779" t="inlineStr">
        <is>
          <t>VILHELMINA</t>
        </is>
      </c>
      <c r="G779" t="n">
        <v>12.5</v>
      </c>
      <c r="H779" t="n">
        <v>0</v>
      </c>
      <c r="I779" t="n">
        <v>0</v>
      </c>
      <c r="J779" t="n">
        <v>0</v>
      </c>
      <c r="K779" t="n">
        <v>0</v>
      </c>
      <c r="L779" t="n">
        <v>0</v>
      </c>
      <c r="M779" t="n">
        <v>0</v>
      </c>
      <c r="N779" t="n">
        <v>0</v>
      </c>
      <c r="O779" t="n">
        <v>0</v>
      </c>
      <c r="P779" t="n">
        <v>0</v>
      </c>
      <c r="Q779" t="n">
        <v>0</v>
      </c>
      <c r="R779" s="2" t="inlineStr"/>
    </row>
    <row r="780" ht="15" customHeight="1">
      <c r="A780" t="inlineStr">
        <is>
          <t>A 37015-2025</t>
        </is>
      </c>
      <c r="B780" s="1" t="n">
        <v>45874.71912037037</v>
      </c>
      <c r="C780" s="1" t="n">
        <v>45879</v>
      </c>
      <c r="D780" t="inlineStr">
        <is>
          <t>VÄSTERBOTTENS LÄN</t>
        </is>
      </c>
      <c r="E780" t="inlineStr">
        <is>
          <t>VILHELMINA</t>
        </is>
      </c>
      <c r="F780" t="inlineStr">
        <is>
          <t>SCA</t>
        </is>
      </c>
      <c r="G780" t="n">
        <v>7.9</v>
      </c>
      <c r="H780" t="n">
        <v>0</v>
      </c>
      <c r="I780" t="n">
        <v>0</v>
      </c>
      <c r="J780" t="n">
        <v>0</v>
      </c>
      <c r="K780" t="n">
        <v>0</v>
      </c>
      <c r="L780" t="n">
        <v>0</v>
      </c>
      <c r="M780" t="n">
        <v>0</v>
      </c>
      <c r="N780" t="n">
        <v>0</v>
      </c>
      <c r="O780" t="n">
        <v>0</v>
      </c>
      <c r="P780" t="n">
        <v>0</v>
      </c>
      <c r="Q780" t="n">
        <v>0</v>
      </c>
      <c r="R780" s="2" t="inlineStr"/>
    </row>
    <row r="781" ht="15" customHeight="1">
      <c r="A781" t="inlineStr">
        <is>
          <t>A 61777-2023</t>
        </is>
      </c>
      <c r="B781" s="1" t="n">
        <v>45265</v>
      </c>
      <c r="C781" s="1" t="n">
        <v>45879</v>
      </c>
      <c r="D781" t="inlineStr">
        <is>
          <t>VÄSTERBOTTENS LÄN</t>
        </is>
      </c>
      <c r="E781" t="inlineStr">
        <is>
          <t>VILHELMINA</t>
        </is>
      </c>
      <c r="F781" t="inlineStr">
        <is>
          <t>SCA</t>
        </is>
      </c>
      <c r="G781" t="n">
        <v>20.6</v>
      </c>
      <c r="H781" t="n">
        <v>0</v>
      </c>
      <c r="I781" t="n">
        <v>0</v>
      </c>
      <c r="J781" t="n">
        <v>0</v>
      </c>
      <c r="K781" t="n">
        <v>0</v>
      </c>
      <c r="L781" t="n">
        <v>0</v>
      </c>
      <c r="M781" t="n">
        <v>0</v>
      </c>
      <c r="N781" t="n">
        <v>0</v>
      </c>
      <c r="O781" t="n">
        <v>0</v>
      </c>
      <c r="P781" t="n">
        <v>0</v>
      </c>
      <c r="Q781" t="n">
        <v>0</v>
      </c>
      <c r="R781" s="2" t="inlineStr"/>
    </row>
    <row r="782" ht="15" customHeight="1">
      <c r="A782" t="inlineStr">
        <is>
          <t>A 37269-2025</t>
        </is>
      </c>
      <c r="B782" s="1" t="n">
        <v>45876</v>
      </c>
      <c r="C782" s="1" t="n">
        <v>45879</v>
      </c>
      <c r="D782" t="inlineStr">
        <is>
          <t>VÄSTERBOTTENS LÄN</t>
        </is>
      </c>
      <c r="E782" t="inlineStr">
        <is>
          <t>VILHELMINA</t>
        </is>
      </c>
      <c r="G782" t="n">
        <v>2.5</v>
      </c>
      <c r="H782" t="n">
        <v>0</v>
      </c>
      <c r="I782" t="n">
        <v>0</v>
      </c>
      <c r="J782" t="n">
        <v>0</v>
      </c>
      <c r="K782" t="n">
        <v>0</v>
      </c>
      <c r="L782" t="n">
        <v>0</v>
      </c>
      <c r="M782" t="n">
        <v>0</v>
      </c>
      <c r="N782" t="n">
        <v>0</v>
      </c>
      <c r="O782" t="n">
        <v>0</v>
      </c>
      <c r="P782" t="n">
        <v>0</v>
      </c>
      <c r="Q782" t="n">
        <v>0</v>
      </c>
      <c r="R782" s="2" t="inlineStr"/>
    </row>
    <row r="783" ht="15" customHeight="1">
      <c r="A783" t="inlineStr">
        <is>
          <t>A 60311-2024</t>
        </is>
      </c>
      <c r="B783" s="1" t="n">
        <v>45643.34430555555</v>
      </c>
      <c r="C783" s="1" t="n">
        <v>45879</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37346-2024</t>
        </is>
      </c>
      <c r="B784" s="1" t="n">
        <v>45540</v>
      </c>
      <c r="C784" s="1" t="n">
        <v>45879</v>
      </c>
      <c r="D784" t="inlineStr">
        <is>
          <t>VÄSTERBOTTENS LÄN</t>
        </is>
      </c>
      <c r="E784" t="inlineStr">
        <is>
          <t>VILHELMINA</t>
        </is>
      </c>
      <c r="G784" t="n">
        <v>100.3</v>
      </c>
      <c r="H784" t="n">
        <v>0</v>
      </c>
      <c r="I784" t="n">
        <v>0</v>
      </c>
      <c r="J784" t="n">
        <v>0</v>
      </c>
      <c r="K784" t="n">
        <v>0</v>
      </c>
      <c r="L784" t="n">
        <v>0</v>
      </c>
      <c r="M784" t="n">
        <v>0</v>
      </c>
      <c r="N784" t="n">
        <v>0</v>
      </c>
      <c r="O784" t="n">
        <v>0</v>
      </c>
      <c r="P784" t="n">
        <v>0</v>
      </c>
      <c r="Q784" t="n">
        <v>0</v>
      </c>
      <c r="R784" s="2" t="inlineStr"/>
    </row>
    <row r="785" ht="15" customHeight="1">
      <c r="A785" t="inlineStr">
        <is>
          <t>A 29922-2024</t>
        </is>
      </c>
      <c r="B785" s="1" t="n">
        <v>45487.9563425926</v>
      </c>
      <c r="C785" s="1" t="n">
        <v>45879</v>
      </c>
      <c r="D785" t="inlineStr">
        <is>
          <t>VÄSTERBOTTENS LÄN</t>
        </is>
      </c>
      <c r="E785" t="inlineStr">
        <is>
          <t>VILHELMINA</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12365-2025</t>
        </is>
      </c>
      <c r="B786" s="1" t="n">
        <v>45730.37549768519</v>
      </c>
      <c r="C786" s="1" t="n">
        <v>45879</v>
      </c>
      <c r="D786" t="inlineStr">
        <is>
          <t>VÄSTERBOTTENS LÄN</t>
        </is>
      </c>
      <c r="E786" t="inlineStr">
        <is>
          <t>VILHELMINA</t>
        </is>
      </c>
      <c r="F786" t="inlineStr">
        <is>
          <t>Övriga statliga verk och myndigheter</t>
        </is>
      </c>
      <c r="G786" t="n">
        <v>11.5</v>
      </c>
      <c r="H786" t="n">
        <v>0</v>
      </c>
      <c r="I786" t="n">
        <v>0</v>
      </c>
      <c r="J786" t="n">
        <v>0</v>
      </c>
      <c r="K786" t="n">
        <v>0</v>
      </c>
      <c r="L786" t="n">
        <v>0</v>
      </c>
      <c r="M786" t="n">
        <v>0</v>
      </c>
      <c r="N786" t="n">
        <v>0</v>
      </c>
      <c r="O786" t="n">
        <v>0</v>
      </c>
      <c r="P786" t="n">
        <v>0</v>
      </c>
      <c r="Q786" t="n">
        <v>0</v>
      </c>
      <c r="R786" s="2" t="inlineStr"/>
    </row>
    <row r="787" ht="15" customHeight="1">
      <c r="A787" t="inlineStr">
        <is>
          <t>A 12370-2025</t>
        </is>
      </c>
      <c r="B787" s="1" t="n">
        <v>45730.37681712963</v>
      </c>
      <c r="C787" s="1" t="n">
        <v>45879</v>
      </c>
      <c r="D787" t="inlineStr">
        <is>
          <t>VÄSTERBOTTENS LÄN</t>
        </is>
      </c>
      <c r="E787" t="inlineStr">
        <is>
          <t>VILHELMINA</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31724-2025</t>
        </is>
      </c>
      <c r="B788" s="1" t="n">
        <v>45834</v>
      </c>
      <c r="C788" s="1" t="n">
        <v>45879</v>
      </c>
      <c r="D788" t="inlineStr">
        <is>
          <t>VÄSTERBOTTENS LÄN</t>
        </is>
      </c>
      <c r="E788" t="inlineStr">
        <is>
          <t>VILHELMINA</t>
        </is>
      </c>
      <c r="G788" t="n">
        <v>19.7</v>
      </c>
      <c r="H788" t="n">
        <v>0</v>
      </c>
      <c r="I788" t="n">
        <v>0</v>
      </c>
      <c r="J788" t="n">
        <v>0</v>
      </c>
      <c r="K788" t="n">
        <v>0</v>
      </c>
      <c r="L788" t="n">
        <v>0</v>
      </c>
      <c r="M788" t="n">
        <v>0</v>
      </c>
      <c r="N788" t="n">
        <v>0</v>
      </c>
      <c r="O788" t="n">
        <v>0</v>
      </c>
      <c r="P788" t="n">
        <v>0</v>
      </c>
      <c r="Q788" t="n">
        <v>0</v>
      </c>
      <c r="R788" s="2" t="inlineStr"/>
    </row>
    <row r="789" ht="15" customHeight="1">
      <c r="A789" t="inlineStr">
        <is>
          <t>A 31730-2025</t>
        </is>
      </c>
      <c r="B789" s="1" t="n">
        <v>45834</v>
      </c>
      <c r="C789" s="1" t="n">
        <v>45879</v>
      </c>
      <c r="D789" t="inlineStr">
        <is>
          <t>VÄSTERBOTTENS LÄN</t>
        </is>
      </c>
      <c r="E789" t="inlineStr">
        <is>
          <t>VILHELMINA</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45879</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45879</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31307-2025</t>
        </is>
      </c>
      <c r="B792" s="1" t="n">
        <v>45833</v>
      </c>
      <c r="C792" s="1" t="n">
        <v>45879</v>
      </c>
      <c r="D792" t="inlineStr">
        <is>
          <t>VÄSTERBOTTENS LÄN</t>
        </is>
      </c>
      <c r="E792" t="inlineStr">
        <is>
          <t>VILHELMINA</t>
        </is>
      </c>
      <c r="G792" t="n">
        <v>9.9</v>
      </c>
      <c r="H792" t="n">
        <v>0</v>
      </c>
      <c r="I792" t="n">
        <v>0</v>
      </c>
      <c r="J792" t="n">
        <v>0</v>
      </c>
      <c r="K792" t="n">
        <v>0</v>
      </c>
      <c r="L792" t="n">
        <v>0</v>
      </c>
      <c r="M792" t="n">
        <v>0</v>
      </c>
      <c r="N792" t="n">
        <v>0</v>
      </c>
      <c r="O792" t="n">
        <v>0</v>
      </c>
      <c r="P792" t="n">
        <v>0</v>
      </c>
      <c r="Q792" t="n">
        <v>0</v>
      </c>
      <c r="R792" s="2" t="inlineStr"/>
    </row>
    <row r="793" ht="15" customHeight="1">
      <c r="A793" t="inlineStr">
        <is>
          <t>A 37302-2025</t>
        </is>
      </c>
      <c r="B793" s="1" t="n">
        <v>45876.59429398148</v>
      </c>
      <c r="C793" s="1" t="n">
        <v>45879</v>
      </c>
      <c r="D793" t="inlineStr">
        <is>
          <t>VÄSTERBOTTENS LÄN</t>
        </is>
      </c>
      <c r="E793" t="inlineStr">
        <is>
          <t>VILHELMINA</t>
        </is>
      </c>
      <c r="F793" t="inlineStr">
        <is>
          <t>SCA</t>
        </is>
      </c>
      <c r="G793" t="n">
        <v>7.6</v>
      </c>
      <c r="H793" t="n">
        <v>0</v>
      </c>
      <c r="I793" t="n">
        <v>0</v>
      </c>
      <c r="J793" t="n">
        <v>0</v>
      </c>
      <c r="K793" t="n">
        <v>0</v>
      </c>
      <c r="L793" t="n">
        <v>0</v>
      </c>
      <c r="M793" t="n">
        <v>0</v>
      </c>
      <c r="N793" t="n">
        <v>0</v>
      </c>
      <c r="O793" t="n">
        <v>0</v>
      </c>
      <c r="P793" t="n">
        <v>0</v>
      </c>
      <c r="Q793" t="n">
        <v>0</v>
      </c>
      <c r="R793" s="2" t="inlineStr"/>
    </row>
    <row r="794" ht="15" customHeight="1">
      <c r="A794" t="inlineStr">
        <is>
          <t>A 31485-2025</t>
        </is>
      </c>
      <c r="B794" s="1" t="n">
        <v>45833</v>
      </c>
      <c r="C794" s="1" t="n">
        <v>45879</v>
      </c>
      <c r="D794" t="inlineStr">
        <is>
          <t>VÄSTERBOTTENS LÄN</t>
        </is>
      </c>
      <c r="E794" t="inlineStr">
        <is>
          <t>VILHELMINA</t>
        </is>
      </c>
      <c r="G794" t="n">
        <v>2.8</v>
      </c>
      <c r="H794" t="n">
        <v>0</v>
      </c>
      <c r="I794" t="n">
        <v>0</v>
      </c>
      <c r="J794" t="n">
        <v>0</v>
      </c>
      <c r="K794" t="n">
        <v>0</v>
      </c>
      <c r="L794" t="n">
        <v>0</v>
      </c>
      <c r="M794" t="n">
        <v>0</v>
      </c>
      <c r="N794" t="n">
        <v>0</v>
      </c>
      <c r="O794" t="n">
        <v>0</v>
      </c>
      <c r="P794" t="n">
        <v>0</v>
      </c>
      <c r="Q794" t="n">
        <v>0</v>
      </c>
      <c r="R794" s="2" t="inlineStr"/>
    </row>
    <row r="795" ht="15" customHeight="1">
      <c r="A795" t="inlineStr">
        <is>
          <t>A 34130-2024</t>
        </is>
      </c>
      <c r="B795" s="1" t="n">
        <v>45524.34668981482</v>
      </c>
      <c r="C795" s="1" t="n">
        <v>45879</v>
      </c>
      <c r="D795" t="inlineStr">
        <is>
          <t>VÄSTERBOTTENS LÄN</t>
        </is>
      </c>
      <c r="E795" t="inlineStr">
        <is>
          <t>VILHELMINA</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31733-2025</t>
        </is>
      </c>
      <c r="B796" s="1" t="n">
        <v>45834.47035879629</v>
      </c>
      <c r="C796" s="1" t="n">
        <v>45879</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31308-2025</t>
        </is>
      </c>
      <c r="B797" s="1" t="n">
        <v>45833</v>
      </c>
      <c r="C797" s="1" t="n">
        <v>45879</v>
      </c>
      <c r="D797" t="inlineStr">
        <is>
          <t>VÄSTERBOTTENS LÄN</t>
        </is>
      </c>
      <c r="E797" t="inlineStr">
        <is>
          <t>VILHELMINA</t>
        </is>
      </c>
      <c r="G797" t="n">
        <v>3.2</v>
      </c>
      <c r="H797" t="n">
        <v>0</v>
      </c>
      <c r="I797" t="n">
        <v>0</v>
      </c>
      <c r="J797" t="n">
        <v>0</v>
      </c>
      <c r="K797" t="n">
        <v>0</v>
      </c>
      <c r="L797" t="n">
        <v>0</v>
      </c>
      <c r="M797" t="n">
        <v>0</v>
      </c>
      <c r="N797" t="n">
        <v>0</v>
      </c>
      <c r="O797" t="n">
        <v>0</v>
      </c>
      <c r="P797" t="n">
        <v>0</v>
      </c>
      <c r="Q797" t="n">
        <v>0</v>
      </c>
      <c r="R797" s="2" t="inlineStr"/>
    </row>
    <row r="798" ht="15" customHeight="1">
      <c r="A798" t="inlineStr">
        <is>
          <t>A 23176-2024</t>
        </is>
      </c>
      <c r="B798" s="1" t="n">
        <v>45450.94366898148</v>
      </c>
      <c r="C798" s="1" t="n">
        <v>45879</v>
      </c>
      <c r="D798" t="inlineStr">
        <is>
          <t>VÄSTERBOTTENS LÄN</t>
        </is>
      </c>
      <c r="E798" t="inlineStr">
        <is>
          <t>VILHELMINA</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49888-2024</t>
        </is>
      </c>
      <c r="B799" s="1" t="n">
        <v>45597.5109837963</v>
      </c>
      <c r="C799" s="1" t="n">
        <v>45879</v>
      </c>
      <c r="D799" t="inlineStr">
        <is>
          <t>VÄSTERBOTTENS LÄN</t>
        </is>
      </c>
      <c r="E799" t="inlineStr">
        <is>
          <t>VILHELMINA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44516-2024</t>
        </is>
      </c>
      <c r="B800" s="1" t="n">
        <v>45574</v>
      </c>
      <c r="C800" s="1" t="n">
        <v>45879</v>
      </c>
      <c r="D800" t="inlineStr">
        <is>
          <t>VÄSTERBOTTENS LÄN</t>
        </is>
      </c>
      <c r="E800" t="inlineStr">
        <is>
          <t>VILHELMINA</t>
        </is>
      </c>
      <c r="G800" t="n">
        <v>2.9</v>
      </c>
      <c r="H800" t="n">
        <v>0</v>
      </c>
      <c r="I800" t="n">
        <v>0</v>
      </c>
      <c r="J800" t="n">
        <v>0</v>
      </c>
      <c r="K800" t="n">
        <v>0</v>
      </c>
      <c r="L800" t="n">
        <v>0</v>
      </c>
      <c r="M800" t="n">
        <v>0</v>
      </c>
      <c r="N800" t="n">
        <v>0</v>
      </c>
      <c r="O800" t="n">
        <v>0</v>
      </c>
      <c r="P800" t="n">
        <v>0</v>
      </c>
      <c r="Q800" t="n">
        <v>0</v>
      </c>
      <c r="R800" s="2" t="inlineStr"/>
    </row>
    <row r="801" ht="15" customHeight="1">
      <c r="A801" t="inlineStr">
        <is>
          <t>A 36320-2024</t>
        </is>
      </c>
      <c r="B801" s="1" t="n">
        <v>45534.63586805556</v>
      </c>
      <c r="C801" s="1" t="n">
        <v>45879</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13768-2024</t>
        </is>
      </c>
      <c r="B802" s="1" t="n">
        <v>45390.95230324074</v>
      </c>
      <c r="C802" s="1" t="n">
        <v>45879</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69502-2020</t>
        </is>
      </c>
      <c r="B803" s="1" t="n">
        <v>44193</v>
      </c>
      <c r="C803" s="1" t="n">
        <v>45879</v>
      </c>
      <c r="D803" t="inlineStr">
        <is>
          <t>VÄSTERBOTTENS LÄN</t>
        </is>
      </c>
      <c r="E803" t="inlineStr">
        <is>
          <t>VILHELMINA</t>
        </is>
      </c>
      <c r="G803" t="n">
        <v>19</v>
      </c>
      <c r="H803" t="n">
        <v>0</v>
      </c>
      <c r="I803" t="n">
        <v>0</v>
      </c>
      <c r="J803" t="n">
        <v>0</v>
      </c>
      <c r="K803" t="n">
        <v>0</v>
      </c>
      <c r="L803" t="n">
        <v>0</v>
      </c>
      <c r="M803" t="n">
        <v>0</v>
      </c>
      <c r="N803" t="n">
        <v>0</v>
      </c>
      <c r="O803" t="n">
        <v>0</v>
      </c>
      <c r="P803" t="n">
        <v>0</v>
      </c>
      <c r="Q803" t="n">
        <v>0</v>
      </c>
      <c r="R803" s="2" t="inlineStr"/>
    </row>
    <row r="804" ht="15" customHeight="1">
      <c r="A804" t="inlineStr">
        <is>
          <t>A 53987-2021</t>
        </is>
      </c>
      <c r="B804" s="1" t="n">
        <v>44470.31884259259</v>
      </c>
      <c r="C804" s="1" t="n">
        <v>45879</v>
      </c>
      <c r="D804" t="inlineStr">
        <is>
          <t>VÄSTERBOTTENS LÄN</t>
        </is>
      </c>
      <c r="E804" t="inlineStr">
        <is>
          <t>VILHELMINA</t>
        </is>
      </c>
      <c r="F804" t="inlineStr">
        <is>
          <t>Kommuner</t>
        </is>
      </c>
      <c r="G804" t="n">
        <v>10</v>
      </c>
      <c r="H804" t="n">
        <v>0</v>
      </c>
      <c r="I804" t="n">
        <v>0</v>
      </c>
      <c r="J804" t="n">
        <v>0</v>
      </c>
      <c r="K804" t="n">
        <v>0</v>
      </c>
      <c r="L804" t="n">
        <v>0</v>
      </c>
      <c r="M804" t="n">
        <v>0</v>
      </c>
      <c r="N804" t="n">
        <v>0</v>
      </c>
      <c r="O804" t="n">
        <v>0</v>
      </c>
      <c r="P804" t="n">
        <v>0</v>
      </c>
      <c r="Q804" t="n">
        <v>0</v>
      </c>
      <c r="R804" s="2" t="inlineStr"/>
    </row>
    <row r="805" ht="15" customHeight="1">
      <c r="A805" t="inlineStr">
        <is>
          <t>A 11825-2023</t>
        </is>
      </c>
      <c r="B805" s="1" t="n">
        <v>44994</v>
      </c>
      <c r="C805" s="1" t="n">
        <v>45879</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32658-2021</t>
        </is>
      </c>
      <c r="B806" s="1" t="n">
        <v>44371</v>
      </c>
      <c r="C806" s="1" t="n">
        <v>45879</v>
      </c>
      <c r="D806" t="inlineStr">
        <is>
          <t>VÄSTERBOTTENS LÄN</t>
        </is>
      </c>
      <c r="E806" t="inlineStr">
        <is>
          <t>VILHELMINA</t>
        </is>
      </c>
      <c r="G806" t="n">
        <v>2.2</v>
      </c>
      <c r="H806" t="n">
        <v>0</v>
      </c>
      <c r="I806" t="n">
        <v>0</v>
      </c>
      <c r="J806" t="n">
        <v>0</v>
      </c>
      <c r="K806" t="n">
        <v>0</v>
      </c>
      <c r="L806" t="n">
        <v>0</v>
      </c>
      <c r="M806" t="n">
        <v>0</v>
      </c>
      <c r="N806" t="n">
        <v>0</v>
      </c>
      <c r="O806" t="n">
        <v>0</v>
      </c>
      <c r="P806" t="n">
        <v>0</v>
      </c>
      <c r="Q806" t="n">
        <v>0</v>
      </c>
      <c r="R806" s="2" t="inlineStr"/>
    </row>
    <row r="807" ht="15" customHeight="1">
      <c r="A807" t="inlineStr">
        <is>
          <t>A 46373-2020</t>
        </is>
      </c>
      <c r="B807" s="1" t="n">
        <v>44092</v>
      </c>
      <c r="C807" s="1" t="n">
        <v>45879</v>
      </c>
      <c r="D807" t="inlineStr">
        <is>
          <t>VÄSTERBOTTENS LÄN</t>
        </is>
      </c>
      <c r="E807" t="inlineStr">
        <is>
          <t>VILHELMINA</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29347-2021</t>
        </is>
      </c>
      <c r="B808" s="1" t="n">
        <v>44361</v>
      </c>
      <c r="C808" s="1" t="n">
        <v>45879</v>
      </c>
      <c r="D808" t="inlineStr">
        <is>
          <t>VÄSTERBOTTENS LÄN</t>
        </is>
      </c>
      <c r="E808" t="inlineStr">
        <is>
          <t>VILHELMINA</t>
        </is>
      </c>
      <c r="F808" t="inlineStr">
        <is>
          <t>Allmännings- och besparingsskogar</t>
        </is>
      </c>
      <c r="G808" t="n">
        <v>52</v>
      </c>
      <c r="H808" t="n">
        <v>0</v>
      </c>
      <c r="I808" t="n">
        <v>0</v>
      </c>
      <c r="J808" t="n">
        <v>0</v>
      </c>
      <c r="K808" t="n">
        <v>0</v>
      </c>
      <c r="L808" t="n">
        <v>0</v>
      </c>
      <c r="M808" t="n">
        <v>0</v>
      </c>
      <c r="N808" t="n">
        <v>0</v>
      </c>
      <c r="O808" t="n">
        <v>0</v>
      </c>
      <c r="P808" t="n">
        <v>0</v>
      </c>
      <c r="Q808" t="n">
        <v>0</v>
      </c>
      <c r="R808" s="2" t="inlineStr"/>
    </row>
    <row r="809" ht="15" customHeight="1">
      <c r="A809" t="inlineStr">
        <is>
          <t>A 30574-2024</t>
        </is>
      </c>
      <c r="B809" s="1" t="n">
        <v>45492.9580324074</v>
      </c>
      <c r="C809" s="1" t="n">
        <v>45879</v>
      </c>
      <c r="D809" t="inlineStr">
        <is>
          <t>VÄSTERBOTTENS LÄN</t>
        </is>
      </c>
      <c r="E809" t="inlineStr">
        <is>
          <t>VILHELMINA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30681-2024</t>
        </is>
      </c>
      <c r="B810" s="1" t="n">
        <v>45495.9509837963</v>
      </c>
      <c r="C810" s="1" t="n">
        <v>45879</v>
      </c>
      <c r="D810" t="inlineStr">
        <is>
          <t>VÄSTERBOTTENS LÄN</t>
        </is>
      </c>
      <c r="E810" t="inlineStr">
        <is>
          <t>VILHELMINA</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40462-2024</t>
        </is>
      </c>
      <c r="B811" s="1" t="n">
        <v>45555.51084490741</v>
      </c>
      <c r="C811" s="1" t="n">
        <v>45879</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10833-2022</t>
        </is>
      </c>
      <c r="B812" s="1" t="n">
        <v>44627</v>
      </c>
      <c r="C812" s="1" t="n">
        <v>45879</v>
      </c>
      <c r="D812" t="inlineStr">
        <is>
          <t>VÄSTERBOTTENS LÄN</t>
        </is>
      </c>
      <c r="E812" t="inlineStr">
        <is>
          <t>VILHELMINA</t>
        </is>
      </c>
      <c r="G812" t="n">
        <v>5.4</v>
      </c>
      <c r="H812" t="n">
        <v>0</v>
      </c>
      <c r="I812" t="n">
        <v>0</v>
      </c>
      <c r="J812" t="n">
        <v>0</v>
      </c>
      <c r="K812" t="n">
        <v>0</v>
      </c>
      <c r="L812" t="n">
        <v>0</v>
      </c>
      <c r="M812" t="n">
        <v>0</v>
      </c>
      <c r="N812" t="n">
        <v>0</v>
      </c>
      <c r="O812" t="n">
        <v>0</v>
      </c>
      <c r="P812" t="n">
        <v>0</v>
      </c>
      <c r="Q812" t="n">
        <v>0</v>
      </c>
      <c r="R812" s="2" t="inlineStr"/>
    </row>
    <row r="813" ht="15" customHeight="1">
      <c r="A813" t="inlineStr">
        <is>
          <t>A 46372-2021</t>
        </is>
      </c>
      <c r="B813" s="1" t="n">
        <v>44442.94226851852</v>
      </c>
      <c r="C813" s="1" t="n">
        <v>45879</v>
      </c>
      <c r="D813" t="inlineStr">
        <is>
          <t>VÄSTERBOTTENS LÄN</t>
        </is>
      </c>
      <c r="E813" t="inlineStr">
        <is>
          <t>VILHELMINA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28722-2022</t>
        </is>
      </c>
      <c r="B814" s="1" t="n">
        <v>44748</v>
      </c>
      <c r="C814" s="1" t="n">
        <v>45879</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43251-2024</t>
        </is>
      </c>
      <c r="B815" s="1" t="n">
        <v>45568.34429398148</v>
      </c>
      <c r="C815" s="1" t="n">
        <v>45879</v>
      </c>
      <c r="D815" t="inlineStr">
        <is>
          <t>VÄSTERBOTTENS LÄN</t>
        </is>
      </c>
      <c r="E815" t="inlineStr">
        <is>
          <t>VILHELMINA</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12373-2024</t>
        </is>
      </c>
      <c r="B816" s="1" t="n">
        <v>45378</v>
      </c>
      <c r="C816" s="1" t="n">
        <v>45879</v>
      </c>
      <c r="D816" t="inlineStr">
        <is>
          <t>VÄSTERBOTTENS LÄN</t>
        </is>
      </c>
      <c r="E816" t="inlineStr">
        <is>
          <t>VILHELMINA</t>
        </is>
      </c>
      <c r="G816" t="n">
        <v>0.7</v>
      </c>
      <c r="H816" t="n">
        <v>0</v>
      </c>
      <c r="I816" t="n">
        <v>0</v>
      </c>
      <c r="J816" t="n">
        <v>0</v>
      </c>
      <c r="K816" t="n">
        <v>0</v>
      </c>
      <c r="L816" t="n">
        <v>0</v>
      </c>
      <c r="M816" t="n">
        <v>0</v>
      </c>
      <c r="N816" t="n">
        <v>0</v>
      </c>
      <c r="O816" t="n">
        <v>0</v>
      </c>
      <c r="P816" t="n">
        <v>0</v>
      </c>
      <c r="Q816" t="n">
        <v>0</v>
      </c>
      <c r="R816" s="2" t="inlineStr"/>
    </row>
    <row r="817" ht="15" customHeight="1">
      <c r="A817" t="inlineStr">
        <is>
          <t>A 21843-2024</t>
        </is>
      </c>
      <c r="B817" s="1" t="n">
        <v>45442.96064814815</v>
      </c>
      <c r="C817" s="1" t="n">
        <v>45879</v>
      </c>
      <c r="D817" t="inlineStr">
        <is>
          <t>VÄSTERBOTTENS LÄN</t>
        </is>
      </c>
      <c r="E817" t="inlineStr">
        <is>
          <t>VILHELMINA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34819-2024</t>
        </is>
      </c>
      <c r="B818" s="1" t="n">
        <v>45526.71134259259</v>
      </c>
      <c r="C818" s="1" t="n">
        <v>45879</v>
      </c>
      <c r="D818" t="inlineStr">
        <is>
          <t>VÄSTERBOTTENS LÄN</t>
        </is>
      </c>
      <c r="E818" t="inlineStr">
        <is>
          <t>VILHELMINA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45879</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48117-2022</t>
        </is>
      </c>
      <c r="B820" s="1" t="n">
        <v>44857</v>
      </c>
      <c r="C820" s="1" t="n">
        <v>45879</v>
      </c>
      <c r="D820" t="inlineStr">
        <is>
          <t>VÄSTERBOTTENS LÄN</t>
        </is>
      </c>
      <c r="E820" t="inlineStr">
        <is>
          <t>VILHELMINA</t>
        </is>
      </c>
      <c r="G820" t="n">
        <v>5.6</v>
      </c>
      <c r="H820" t="n">
        <v>0</v>
      </c>
      <c r="I820" t="n">
        <v>0</v>
      </c>
      <c r="J820" t="n">
        <v>0</v>
      </c>
      <c r="K820" t="n">
        <v>0</v>
      </c>
      <c r="L820" t="n">
        <v>0</v>
      </c>
      <c r="M820" t="n">
        <v>0</v>
      </c>
      <c r="N820" t="n">
        <v>0</v>
      </c>
      <c r="O820" t="n">
        <v>0</v>
      </c>
      <c r="P820" t="n">
        <v>0</v>
      </c>
      <c r="Q820" t="n">
        <v>0</v>
      </c>
      <c r="R820" s="2" t="inlineStr"/>
    </row>
    <row r="821" ht="15" customHeight="1">
      <c r="A821" t="inlineStr">
        <is>
          <t>A 4869-2023</t>
        </is>
      </c>
      <c r="B821" s="1" t="n">
        <v>44957</v>
      </c>
      <c r="C821" s="1" t="n">
        <v>45879</v>
      </c>
      <c r="D821" t="inlineStr">
        <is>
          <t>VÄSTERBOTTENS LÄN</t>
        </is>
      </c>
      <c r="E821" t="inlineStr">
        <is>
          <t>VILHELMINA</t>
        </is>
      </c>
      <c r="G821" t="n">
        <v>5.7</v>
      </c>
      <c r="H821" t="n">
        <v>0</v>
      </c>
      <c r="I821" t="n">
        <v>0</v>
      </c>
      <c r="J821" t="n">
        <v>0</v>
      </c>
      <c r="K821" t="n">
        <v>0</v>
      </c>
      <c r="L821" t="n">
        <v>0</v>
      </c>
      <c r="M821" t="n">
        <v>0</v>
      </c>
      <c r="N821" t="n">
        <v>0</v>
      </c>
      <c r="O821" t="n">
        <v>0</v>
      </c>
      <c r="P821" t="n">
        <v>0</v>
      </c>
      <c r="Q821" t="n">
        <v>0</v>
      </c>
      <c r="R821" s="2" t="inlineStr"/>
    </row>
    <row r="822" ht="15" customHeight="1">
      <c r="A822" t="inlineStr">
        <is>
          <t>A 34799-2023</t>
        </is>
      </c>
      <c r="B822" s="1" t="n">
        <v>45140</v>
      </c>
      <c r="C822" s="1" t="n">
        <v>45879</v>
      </c>
      <c r="D822" t="inlineStr">
        <is>
          <t>VÄSTERBOTTENS LÄN</t>
        </is>
      </c>
      <c r="E822" t="inlineStr">
        <is>
          <t>VILHELMINA</t>
        </is>
      </c>
      <c r="G822" t="n">
        <v>17.4</v>
      </c>
      <c r="H822" t="n">
        <v>0</v>
      </c>
      <c r="I822" t="n">
        <v>0</v>
      </c>
      <c r="J822" t="n">
        <v>0</v>
      </c>
      <c r="K822" t="n">
        <v>0</v>
      </c>
      <c r="L822" t="n">
        <v>0</v>
      </c>
      <c r="M822" t="n">
        <v>0</v>
      </c>
      <c r="N822" t="n">
        <v>0</v>
      </c>
      <c r="O822" t="n">
        <v>0</v>
      </c>
      <c r="P822" t="n">
        <v>0</v>
      </c>
      <c r="Q822" t="n">
        <v>0</v>
      </c>
      <c r="R822" s="2" t="inlineStr"/>
    </row>
    <row r="823" ht="15" customHeight="1">
      <c r="A823" t="inlineStr">
        <is>
          <t>A 30572-2024</t>
        </is>
      </c>
      <c r="B823" s="1" t="n">
        <v>45492.95777777778</v>
      </c>
      <c r="C823" s="1" t="n">
        <v>45879</v>
      </c>
      <c r="D823" t="inlineStr">
        <is>
          <t>VÄSTERBOTTENS LÄN</t>
        </is>
      </c>
      <c r="E823" t="inlineStr">
        <is>
          <t>VILHELMINA</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30582-2024</t>
        </is>
      </c>
      <c r="B824" s="1" t="n">
        <v>45492</v>
      </c>
      <c r="C824" s="1" t="n">
        <v>45879</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55620-2024</t>
        </is>
      </c>
      <c r="B825" s="1" t="n">
        <v>45622</v>
      </c>
      <c r="C825" s="1" t="n">
        <v>45879</v>
      </c>
      <c r="D825" t="inlineStr">
        <is>
          <t>VÄSTERBOTTENS LÄN</t>
        </is>
      </c>
      <c r="E825" t="inlineStr">
        <is>
          <t>VILHELMINA</t>
        </is>
      </c>
      <c r="F825" t="inlineStr">
        <is>
          <t>SCA</t>
        </is>
      </c>
      <c r="G825" t="n">
        <v>21.4</v>
      </c>
      <c r="H825" t="n">
        <v>0</v>
      </c>
      <c r="I825" t="n">
        <v>0</v>
      </c>
      <c r="J825" t="n">
        <v>0</v>
      </c>
      <c r="K825" t="n">
        <v>0</v>
      </c>
      <c r="L825" t="n">
        <v>0</v>
      </c>
      <c r="M825" t="n">
        <v>0</v>
      </c>
      <c r="N825" t="n">
        <v>0</v>
      </c>
      <c r="O825" t="n">
        <v>0</v>
      </c>
      <c r="P825" t="n">
        <v>0</v>
      </c>
      <c r="Q825" t="n">
        <v>0</v>
      </c>
      <c r="R825" s="2" t="inlineStr"/>
    </row>
    <row r="826" ht="15" customHeight="1">
      <c r="A826" t="inlineStr">
        <is>
          <t>A 37320-2021</t>
        </is>
      </c>
      <c r="B826" s="1" t="n">
        <v>44397</v>
      </c>
      <c r="C826" s="1" t="n">
        <v>45879</v>
      </c>
      <c r="D826" t="inlineStr">
        <is>
          <t>VÄSTERBOTTENS LÄN</t>
        </is>
      </c>
      <c r="E826" t="inlineStr">
        <is>
          <t>VILHELMINA</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12362-2025</t>
        </is>
      </c>
      <c r="B827" s="1" t="n">
        <v>45730</v>
      </c>
      <c r="C827" s="1" t="n">
        <v>45879</v>
      </c>
      <c r="D827" t="inlineStr">
        <is>
          <t>VÄSTERBOTTENS LÄN</t>
        </is>
      </c>
      <c r="E827" t="inlineStr">
        <is>
          <t>VILHELMINA</t>
        </is>
      </c>
      <c r="F827" t="inlineStr">
        <is>
          <t>Övriga statliga verk och myndigheter</t>
        </is>
      </c>
      <c r="G827" t="n">
        <v>6.1</v>
      </c>
      <c r="H827" t="n">
        <v>0</v>
      </c>
      <c r="I827" t="n">
        <v>0</v>
      </c>
      <c r="J827" t="n">
        <v>0</v>
      </c>
      <c r="K827" t="n">
        <v>0</v>
      </c>
      <c r="L827" t="n">
        <v>0</v>
      </c>
      <c r="M827" t="n">
        <v>0</v>
      </c>
      <c r="N827" t="n">
        <v>0</v>
      </c>
      <c r="O827" t="n">
        <v>0</v>
      </c>
      <c r="P827" t="n">
        <v>0</v>
      </c>
      <c r="Q827" t="n">
        <v>0</v>
      </c>
      <c r="R827" s="2" t="inlineStr"/>
    </row>
    <row r="828" ht="15" customHeight="1">
      <c r="A828" t="inlineStr">
        <is>
          <t>A 52740-2023</t>
        </is>
      </c>
      <c r="B828" s="1" t="n">
        <v>45225</v>
      </c>
      <c r="C828" s="1" t="n">
        <v>45879</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12763-2025</t>
        </is>
      </c>
      <c r="B829" s="1" t="n">
        <v>45733</v>
      </c>
      <c r="C829" s="1" t="n">
        <v>45879</v>
      </c>
      <c r="D829" t="inlineStr">
        <is>
          <t>VÄSTERBOTTENS LÄN</t>
        </is>
      </c>
      <c r="E829" t="inlineStr">
        <is>
          <t>VILHELMINA</t>
        </is>
      </c>
      <c r="F829" t="inlineStr">
        <is>
          <t>SCA</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46547-2023</t>
        </is>
      </c>
      <c r="B830" s="1" t="n">
        <v>45197.94158564815</v>
      </c>
      <c r="C830" s="1" t="n">
        <v>45879</v>
      </c>
      <c r="D830" t="inlineStr">
        <is>
          <t>VÄSTERBOTTENS LÄN</t>
        </is>
      </c>
      <c r="E830" t="inlineStr">
        <is>
          <t>VILHELMINA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14959-2022</t>
        </is>
      </c>
      <c r="B831" s="1" t="n">
        <v>44657</v>
      </c>
      <c r="C831" s="1" t="n">
        <v>45879</v>
      </c>
      <c r="D831" t="inlineStr">
        <is>
          <t>VÄSTERBOTTENS LÄN</t>
        </is>
      </c>
      <c r="E831" t="inlineStr">
        <is>
          <t>VILHELMINA</t>
        </is>
      </c>
      <c r="G831" t="n">
        <v>71.8</v>
      </c>
      <c r="H831" t="n">
        <v>0</v>
      </c>
      <c r="I831" t="n">
        <v>0</v>
      </c>
      <c r="J831" t="n">
        <v>0</v>
      </c>
      <c r="K831" t="n">
        <v>0</v>
      </c>
      <c r="L831" t="n">
        <v>0</v>
      </c>
      <c r="M831" t="n">
        <v>0</v>
      </c>
      <c r="N831" t="n">
        <v>0</v>
      </c>
      <c r="O831" t="n">
        <v>0</v>
      </c>
      <c r="P831" t="n">
        <v>0</v>
      </c>
      <c r="Q831" t="n">
        <v>0</v>
      </c>
      <c r="R831" s="2" t="inlineStr"/>
    </row>
    <row r="832" ht="15" customHeight="1">
      <c r="A832" t="inlineStr">
        <is>
          <t>A 14963-2022</t>
        </is>
      </c>
      <c r="B832" s="1" t="n">
        <v>44657</v>
      </c>
      <c r="C832" s="1" t="n">
        <v>45879</v>
      </c>
      <c r="D832" t="inlineStr">
        <is>
          <t>VÄSTERBOTTENS LÄN</t>
        </is>
      </c>
      <c r="E832" t="inlineStr">
        <is>
          <t>VILHELMINA</t>
        </is>
      </c>
      <c r="G832" t="n">
        <v>11.5</v>
      </c>
      <c r="H832" t="n">
        <v>0</v>
      </c>
      <c r="I832" t="n">
        <v>0</v>
      </c>
      <c r="J832" t="n">
        <v>0</v>
      </c>
      <c r="K832" t="n">
        <v>0</v>
      </c>
      <c r="L832" t="n">
        <v>0</v>
      </c>
      <c r="M832" t="n">
        <v>0</v>
      </c>
      <c r="N832" t="n">
        <v>0</v>
      </c>
      <c r="O832" t="n">
        <v>0</v>
      </c>
      <c r="P832" t="n">
        <v>0</v>
      </c>
      <c r="Q832" t="n">
        <v>0</v>
      </c>
      <c r="R832" s="2" t="inlineStr"/>
    </row>
    <row r="833" ht="15" customHeight="1">
      <c r="A833" t="inlineStr">
        <is>
          <t>A 2187-2021</t>
        </is>
      </c>
      <c r="B833" s="1" t="n">
        <v>44211</v>
      </c>
      <c r="C833" s="1" t="n">
        <v>45879</v>
      </c>
      <c r="D833" t="inlineStr">
        <is>
          <t>VÄSTERBOTTENS LÄN</t>
        </is>
      </c>
      <c r="E833" t="inlineStr">
        <is>
          <t>VILHELMINA</t>
        </is>
      </c>
      <c r="F833" t="inlineStr">
        <is>
          <t>Allmännings- och besparingsskogar</t>
        </is>
      </c>
      <c r="G833" t="n">
        <v>21.3</v>
      </c>
      <c r="H833" t="n">
        <v>0</v>
      </c>
      <c r="I833" t="n">
        <v>0</v>
      </c>
      <c r="J833" t="n">
        <v>0</v>
      </c>
      <c r="K833" t="n">
        <v>0</v>
      </c>
      <c r="L833" t="n">
        <v>0</v>
      </c>
      <c r="M833" t="n">
        <v>0</v>
      </c>
      <c r="N833" t="n">
        <v>0</v>
      </c>
      <c r="O833" t="n">
        <v>0</v>
      </c>
      <c r="P833" t="n">
        <v>0</v>
      </c>
      <c r="Q833" t="n">
        <v>0</v>
      </c>
      <c r="R833" s="2" t="inlineStr"/>
    </row>
    <row r="834" ht="15" customHeight="1">
      <c r="A834" t="inlineStr">
        <is>
          <t>A 12825-2023</t>
        </is>
      </c>
      <c r="B834" s="1" t="n">
        <v>45000</v>
      </c>
      <c r="C834" s="1" t="n">
        <v>45879</v>
      </c>
      <c r="D834" t="inlineStr">
        <is>
          <t>VÄSTERBOTTENS LÄN</t>
        </is>
      </c>
      <c r="E834" t="inlineStr">
        <is>
          <t>VILHELMINA</t>
        </is>
      </c>
      <c r="G834" t="n">
        <v>22.4</v>
      </c>
      <c r="H834" t="n">
        <v>0</v>
      </c>
      <c r="I834" t="n">
        <v>0</v>
      </c>
      <c r="J834" t="n">
        <v>0</v>
      </c>
      <c r="K834" t="n">
        <v>0</v>
      </c>
      <c r="L834" t="n">
        <v>0</v>
      </c>
      <c r="M834" t="n">
        <v>0</v>
      </c>
      <c r="N834" t="n">
        <v>0</v>
      </c>
      <c r="O834" t="n">
        <v>0</v>
      </c>
      <c r="P834" t="n">
        <v>0</v>
      </c>
      <c r="Q834" t="n">
        <v>0</v>
      </c>
      <c r="R834" s="2" t="inlineStr"/>
    </row>
    <row r="835" ht="15" customHeight="1">
      <c r="A835" t="inlineStr">
        <is>
          <t>A 19349-2024</t>
        </is>
      </c>
      <c r="B835" s="1" t="n">
        <v>45428.97231481481</v>
      </c>
      <c r="C835" s="1" t="n">
        <v>45879</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45879</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58363-2021</t>
        </is>
      </c>
      <c r="B837" s="1" t="n">
        <v>44488</v>
      </c>
      <c r="C837" s="1" t="n">
        <v>45879</v>
      </c>
      <c r="D837" t="inlineStr">
        <is>
          <t>VÄSTERBOTTENS LÄN</t>
        </is>
      </c>
      <c r="E837" t="inlineStr">
        <is>
          <t>VILHELMINA</t>
        </is>
      </c>
      <c r="G837" t="n">
        <v>7.3</v>
      </c>
      <c r="H837" t="n">
        <v>0</v>
      </c>
      <c r="I837" t="n">
        <v>0</v>
      </c>
      <c r="J837" t="n">
        <v>0</v>
      </c>
      <c r="K837" t="n">
        <v>0</v>
      </c>
      <c r="L837" t="n">
        <v>0</v>
      </c>
      <c r="M837" t="n">
        <v>0</v>
      </c>
      <c r="N837" t="n">
        <v>0</v>
      </c>
      <c r="O837" t="n">
        <v>0</v>
      </c>
      <c r="P837" t="n">
        <v>0</v>
      </c>
      <c r="Q837" t="n">
        <v>0</v>
      </c>
      <c r="R837" s="2" t="inlineStr"/>
    </row>
    <row r="838" ht="15" customHeight="1">
      <c r="A838" t="inlineStr">
        <is>
          <t>A 8750-2021</t>
        </is>
      </c>
      <c r="B838" s="1" t="n">
        <v>44246</v>
      </c>
      <c r="C838" s="1" t="n">
        <v>45879</v>
      </c>
      <c r="D838" t="inlineStr">
        <is>
          <t>VÄSTERBOTTENS LÄN</t>
        </is>
      </c>
      <c r="E838" t="inlineStr">
        <is>
          <t>VILHELMINA</t>
        </is>
      </c>
      <c r="G838" t="n">
        <v>5.2</v>
      </c>
      <c r="H838" t="n">
        <v>0</v>
      </c>
      <c r="I838" t="n">
        <v>0</v>
      </c>
      <c r="J838" t="n">
        <v>0</v>
      </c>
      <c r="K838" t="n">
        <v>0</v>
      </c>
      <c r="L838" t="n">
        <v>0</v>
      </c>
      <c r="M838" t="n">
        <v>0</v>
      </c>
      <c r="N838" t="n">
        <v>0</v>
      </c>
      <c r="O838" t="n">
        <v>0</v>
      </c>
      <c r="P838" t="n">
        <v>0</v>
      </c>
      <c r="Q838" t="n">
        <v>0</v>
      </c>
      <c r="R838" s="2" t="inlineStr"/>
    </row>
    <row r="839" ht="15" customHeight="1">
      <c r="A839" t="inlineStr">
        <is>
          <t>A 47193-2020</t>
        </is>
      </c>
      <c r="B839" s="1" t="n">
        <v>44097</v>
      </c>
      <c r="C839" s="1" t="n">
        <v>45879</v>
      </c>
      <c r="D839" t="inlineStr">
        <is>
          <t>VÄSTERBOTTENS LÄN</t>
        </is>
      </c>
      <c r="E839" t="inlineStr">
        <is>
          <t>VILHELMINA</t>
        </is>
      </c>
      <c r="G839" t="n">
        <v>6.8</v>
      </c>
      <c r="H839" t="n">
        <v>0</v>
      </c>
      <c r="I839" t="n">
        <v>0</v>
      </c>
      <c r="J839" t="n">
        <v>0</v>
      </c>
      <c r="K839" t="n">
        <v>0</v>
      </c>
      <c r="L839" t="n">
        <v>0</v>
      </c>
      <c r="M839" t="n">
        <v>0</v>
      </c>
      <c r="N839" t="n">
        <v>0</v>
      </c>
      <c r="O839" t="n">
        <v>0</v>
      </c>
      <c r="P839" t="n">
        <v>0</v>
      </c>
      <c r="Q839" t="n">
        <v>0</v>
      </c>
      <c r="R839" s="2" t="inlineStr"/>
    </row>
    <row r="840" ht="15" customHeight="1">
      <c r="A840" t="inlineStr">
        <is>
          <t>A 6706-2021</t>
        </is>
      </c>
      <c r="B840" s="1" t="n">
        <v>44235</v>
      </c>
      <c r="C840" s="1" t="n">
        <v>45879</v>
      </c>
      <c r="D840" t="inlineStr">
        <is>
          <t>VÄSTERBOTTENS LÄN</t>
        </is>
      </c>
      <c r="E840" t="inlineStr">
        <is>
          <t>VILHELMINA</t>
        </is>
      </c>
      <c r="G840" t="n">
        <v>3.8</v>
      </c>
      <c r="H840" t="n">
        <v>0</v>
      </c>
      <c r="I840" t="n">
        <v>0</v>
      </c>
      <c r="J840" t="n">
        <v>0</v>
      </c>
      <c r="K840" t="n">
        <v>0</v>
      </c>
      <c r="L840" t="n">
        <v>0</v>
      </c>
      <c r="M840" t="n">
        <v>0</v>
      </c>
      <c r="N840" t="n">
        <v>0</v>
      </c>
      <c r="O840" t="n">
        <v>0</v>
      </c>
      <c r="P840" t="n">
        <v>0</v>
      </c>
      <c r="Q840" t="n">
        <v>0</v>
      </c>
      <c r="R840" s="2" t="inlineStr"/>
    </row>
    <row r="841" ht="15" customHeight="1">
      <c r="A841" t="inlineStr">
        <is>
          <t>A 53606-2024</t>
        </is>
      </c>
      <c r="B841" s="1" t="n">
        <v>45614</v>
      </c>
      <c r="C841" s="1" t="n">
        <v>45879</v>
      </c>
      <c r="D841" t="inlineStr">
        <is>
          <t>VÄSTERBOTTENS LÄN</t>
        </is>
      </c>
      <c r="E841" t="inlineStr">
        <is>
          <t>VILHELMINA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33786-2024</t>
        </is>
      </c>
      <c r="B842" s="1" t="n">
        <v>45520.58966435185</v>
      </c>
      <c r="C842" s="1" t="n">
        <v>45879</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28869-2024</t>
        </is>
      </c>
      <c r="B843" s="1" t="n">
        <v>45478.94722222222</v>
      </c>
      <c r="C843" s="1" t="n">
        <v>45879</v>
      </c>
      <c r="D843" t="inlineStr">
        <is>
          <t>VÄSTERBOTTENS LÄN</t>
        </is>
      </c>
      <c r="E843" t="inlineStr">
        <is>
          <t>VILHELMINA</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25102-2021</t>
        </is>
      </c>
      <c r="B844" s="1" t="n">
        <v>44341</v>
      </c>
      <c r="C844" s="1" t="n">
        <v>45879</v>
      </c>
      <c r="D844" t="inlineStr">
        <is>
          <t>VÄSTERBOTTENS LÄN</t>
        </is>
      </c>
      <c r="E844" t="inlineStr">
        <is>
          <t>VILHELMINA</t>
        </is>
      </c>
      <c r="G844" t="n">
        <v>6.7</v>
      </c>
      <c r="H844" t="n">
        <v>0</v>
      </c>
      <c r="I844" t="n">
        <v>0</v>
      </c>
      <c r="J844" t="n">
        <v>0</v>
      </c>
      <c r="K844" t="n">
        <v>0</v>
      </c>
      <c r="L844" t="n">
        <v>0</v>
      </c>
      <c r="M844" t="n">
        <v>0</v>
      </c>
      <c r="N844" t="n">
        <v>0</v>
      </c>
      <c r="O844" t="n">
        <v>0</v>
      </c>
      <c r="P844" t="n">
        <v>0</v>
      </c>
      <c r="Q844" t="n">
        <v>0</v>
      </c>
      <c r="R844" s="2" t="inlineStr"/>
    </row>
    <row r="845" ht="15" customHeight="1">
      <c r="A845" t="inlineStr">
        <is>
          <t>A 20322-2022</t>
        </is>
      </c>
      <c r="B845" s="1" t="n">
        <v>44698</v>
      </c>
      <c r="C845" s="1" t="n">
        <v>45879</v>
      </c>
      <c r="D845" t="inlineStr">
        <is>
          <t>VÄSTERBOTTENS LÄN</t>
        </is>
      </c>
      <c r="E845" t="inlineStr">
        <is>
          <t>VILHELMINA</t>
        </is>
      </c>
      <c r="G845" t="n">
        <v>10.5</v>
      </c>
      <c r="H845" t="n">
        <v>0</v>
      </c>
      <c r="I845" t="n">
        <v>0</v>
      </c>
      <c r="J845" t="n">
        <v>0</v>
      </c>
      <c r="K845" t="n">
        <v>0</v>
      </c>
      <c r="L845" t="n">
        <v>0</v>
      </c>
      <c r="M845" t="n">
        <v>0</v>
      </c>
      <c r="N845" t="n">
        <v>0</v>
      </c>
      <c r="O845" t="n">
        <v>0</v>
      </c>
      <c r="P845" t="n">
        <v>0</v>
      </c>
      <c r="Q845" t="n">
        <v>0</v>
      </c>
      <c r="R845" s="2" t="inlineStr"/>
    </row>
    <row r="846" ht="15" customHeight="1">
      <c r="A846" t="inlineStr">
        <is>
          <t>A 2742-2023</t>
        </is>
      </c>
      <c r="B846" s="1" t="n">
        <v>44943</v>
      </c>
      <c r="C846" s="1" t="n">
        <v>45879</v>
      </c>
      <c r="D846" t="inlineStr">
        <is>
          <t>VÄSTERBOTTENS LÄN</t>
        </is>
      </c>
      <c r="E846" t="inlineStr">
        <is>
          <t>VILHELMINA</t>
        </is>
      </c>
      <c r="G846" t="n">
        <v>34.8</v>
      </c>
      <c r="H846" t="n">
        <v>0</v>
      </c>
      <c r="I846" t="n">
        <v>0</v>
      </c>
      <c r="J846" t="n">
        <v>0</v>
      </c>
      <c r="K846" t="n">
        <v>0</v>
      </c>
      <c r="L846" t="n">
        <v>0</v>
      </c>
      <c r="M846" t="n">
        <v>0</v>
      </c>
      <c r="N846" t="n">
        <v>0</v>
      </c>
      <c r="O846" t="n">
        <v>0</v>
      </c>
      <c r="P846" t="n">
        <v>0</v>
      </c>
      <c r="Q846" t="n">
        <v>0</v>
      </c>
      <c r="R846" s="2" t="inlineStr"/>
    </row>
    <row r="847" ht="15" customHeight="1">
      <c r="A847" t="inlineStr">
        <is>
          <t>A 26947-2024</t>
        </is>
      </c>
      <c r="B847" s="1" t="n">
        <v>45470.9693287037</v>
      </c>
      <c r="C847" s="1" t="n">
        <v>45879</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45879</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36957-2023</t>
        </is>
      </c>
      <c r="B849" s="1" t="n">
        <v>45154.92628472222</v>
      </c>
      <c r="C849" s="1" t="n">
        <v>45879</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12784-2023</t>
        </is>
      </c>
      <c r="B850" s="1" t="n">
        <v>45000</v>
      </c>
      <c r="C850" s="1" t="n">
        <v>45879</v>
      </c>
      <c r="D850" t="inlineStr">
        <is>
          <t>VÄSTERBOTTENS LÄN</t>
        </is>
      </c>
      <c r="E850" t="inlineStr">
        <is>
          <t>VILHELMINA</t>
        </is>
      </c>
      <c r="G850" t="n">
        <v>18.6</v>
      </c>
      <c r="H850" t="n">
        <v>0</v>
      </c>
      <c r="I850" t="n">
        <v>0</v>
      </c>
      <c r="J850" t="n">
        <v>0</v>
      </c>
      <c r="K850" t="n">
        <v>0</v>
      </c>
      <c r="L850" t="n">
        <v>0</v>
      </c>
      <c r="M850" t="n">
        <v>0</v>
      </c>
      <c r="N850" t="n">
        <v>0</v>
      </c>
      <c r="O850" t="n">
        <v>0</v>
      </c>
      <c r="P850" t="n">
        <v>0</v>
      </c>
      <c r="Q850" t="n">
        <v>0</v>
      </c>
      <c r="R850" s="2" t="inlineStr"/>
    </row>
    <row r="851" ht="15" customHeight="1">
      <c r="A851" t="inlineStr">
        <is>
          <t>A 5947-2023</t>
        </is>
      </c>
      <c r="B851" s="1" t="n">
        <v>44963.92259259259</v>
      </c>
      <c r="C851" s="1" t="n">
        <v>45879</v>
      </c>
      <c r="D851" t="inlineStr">
        <is>
          <t>VÄSTERBOTTENS LÄN</t>
        </is>
      </c>
      <c r="E851" t="inlineStr">
        <is>
          <t>VILHELMINA</t>
        </is>
      </c>
      <c r="G851" t="n">
        <v>4.3</v>
      </c>
      <c r="H851" t="n">
        <v>0</v>
      </c>
      <c r="I851" t="n">
        <v>0</v>
      </c>
      <c r="J851" t="n">
        <v>0</v>
      </c>
      <c r="K851" t="n">
        <v>0</v>
      </c>
      <c r="L851" t="n">
        <v>0</v>
      </c>
      <c r="M851" t="n">
        <v>0</v>
      </c>
      <c r="N851" t="n">
        <v>0</v>
      </c>
      <c r="O851" t="n">
        <v>0</v>
      </c>
      <c r="P851" t="n">
        <v>0</v>
      </c>
      <c r="Q851" t="n">
        <v>0</v>
      </c>
      <c r="R851" s="2" t="inlineStr"/>
    </row>
    <row r="852" ht="15" customHeight="1">
      <c r="A852" t="inlineStr">
        <is>
          <t>A 65179-2021</t>
        </is>
      </c>
      <c r="B852" s="1" t="n">
        <v>44515</v>
      </c>
      <c r="C852" s="1" t="n">
        <v>45879</v>
      </c>
      <c r="D852" t="inlineStr">
        <is>
          <t>VÄSTERBOTTENS LÄN</t>
        </is>
      </c>
      <c r="E852" t="inlineStr">
        <is>
          <t>VILHELMINA</t>
        </is>
      </c>
      <c r="G852" t="n">
        <v>8</v>
      </c>
      <c r="H852" t="n">
        <v>0</v>
      </c>
      <c r="I852" t="n">
        <v>0</v>
      </c>
      <c r="J852" t="n">
        <v>0</v>
      </c>
      <c r="K852" t="n">
        <v>0</v>
      </c>
      <c r="L852" t="n">
        <v>0</v>
      </c>
      <c r="M852" t="n">
        <v>0</v>
      </c>
      <c r="N852" t="n">
        <v>0</v>
      </c>
      <c r="O852" t="n">
        <v>0</v>
      </c>
      <c r="P852" t="n">
        <v>0</v>
      </c>
      <c r="Q852" t="n">
        <v>0</v>
      </c>
      <c r="R852" s="2" t="inlineStr"/>
    </row>
    <row r="853" ht="15" customHeight="1">
      <c r="A853" t="inlineStr">
        <is>
          <t>A 26499-2024</t>
        </is>
      </c>
      <c r="B853" s="1" t="n">
        <v>45469</v>
      </c>
      <c r="C853" s="1" t="n">
        <v>45879</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8745-2023</t>
        </is>
      </c>
      <c r="B854" s="1" t="n">
        <v>44972</v>
      </c>
      <c r="C854" s="1" t="n">
        <v>45879</v>
      </c>
      <c r="D854" t="inlineStr">
        <is>
          <t>VÄSTERBOTTENS LÄN</t>
        </is>
      </c>
      <c r="E854" t="inlineStr">
        <is>
          <t>VILHELMINA</t>
        </is>
      </c>
      <c r="F854" t="inlineStr">
        <is>
          <t>Allmännings- och besparingsskogar</t>
        </is>
      </c>
      <c r="G854" t="n">
        <v>41</v>
      </c>
      <c r="H854" t="n">
        <v>0</v>
      </c>
      <c r="I854" t="n">
        <v>0</v>
      </c>
      <c r="J854" t="n">
        <v>0</v>
      </c>
      <c r="K854" t="n">
        <v>0</v>
      </c>
      <c r="L854" t="n">
        <v>0</v>
      </c>
      <c r="M854" t="n">
        <v>0</v>
      </c>
      <c r="N854" t="n">
        <v>0</v>
      </c>
      <c r="O854" t="n">
        <v>0</v>
      </c>
      <c r="P854" t="n">
        <v>0</v>
      </c>
      <c r="Q854" t="n">
        <v>0</v>
      </c>
      <c r="R854" s="2" t="inlineStr"/>
    </row>
    <row r="855" ht="15" customHeight="1">
      <c r="A855" t="inlineStr">
        <is>
          <t>A 16719-2025</t>
        </is>
      </c>
      <c r="B855" s="1" t="n">
        <v>45754.49008101852</v>
      </c>
      <c r="C855" s="1" t="n">
        <v>45879</v>
      </c>
      <c r="D855" t="inlineStr">
        <is>
          <t>VÄSTERBOTTENS LÄN</t>
        </is>
      </c>
      <c r="E855" t="inlineStr">
        <is>
          <t>VILHELMINA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37325-2022</t>
        </is>
      </c>
      <c r="B856" s="1" t="n">
        <v>44806</v>
      </c>
      <c r="C856" s="1" t="n">
        <v>45879</v>
      </c>
      <c r="D856" t="inlineStr">
        <is>
          <t>VÄSTERBOTTENS LÄN</t>
        </is>
      </c>
      <c r="E856" t="inlineStr">
        <is>
          <t>VILHELMINA</t>
        </is>
      </c>
      <c r="F856" t="inlineStr">
        <is>
          <t>Övriga statliga verk och myndigheter</t>
        </is>
      </c>
      <c r="G856" t="n">
        <v>11</v>
      </c>
      <c r="H856" t="n">
        <v>0</v>
      </c>
      <c r="I856" t="n">
        <v>0</v>
      </c>
      <c r="J856" t="n">
        <v>0</v>
      </c>
      <c r="K856" t="n">
        <v>0</v>
      </c>
      <c r="L856" t="n">
        <v>0</v>
      </c>
      <c r="M856" t="n">
        <v>0</v>
      </c>
      <c r="N856" t="n">
        <v>0</v>
      </c>
      <c r="O856" t="n">
        <v>0</v>
      </c>
      <c r="P856" t="n">
        <v>0</v>
      </c>
      <c r="Q856" t="n">
        <v>0</v>
      </c>
      <c r="R856" s="2" t="inlineStr"/>
    </row>
    <row r="857" ht="15" customHeight="1">
      <c r="A857" t="inlineStr">
        <is>
          <t>A 8733-2023</t>
        </is>
      </c>
      <c r="B857" s="1" t="n">
        <v>44972</v>
      </c>
      <c r="C857" s="1" t="n">
        <v>45879</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c r="A858" t="inlineStr">
        <is>
          <t>A 8759-2023</t>
        </is>
      </c>
      <c r="B858" s="1" t="n">
        <v>44972</v>
      </c>
      <c r="C858" s="1" t="n">
        <v>45879</v>
      </c>
      <c r="D858" t="inlineStr">
        <is>
          <t>VÄSTERBOTTENS LÄN</t>
        </is>
      </c>
      <c r="E858" t="inlineStr">
        <is>
          <t>VILHELMINA</t>
        </is>
      </c>
      <c r="F858" t="inlineStr">
        <is>
          <t>Allmännings- och besparingsskogar</t>
        </is>
      </c>
      <c r="G858" t="n">
        <v>23.4</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2025-08-10T08:29:25Z</dcterms:created>
  <dcterms:modified xmlns:dcterms="http://purl.org/dc/terms/" xmlns:xsi="http://www.w3.org/2001/XMLSchema-instance" xsi:type="dcterms:W3CDTF">2025-08-10T08:29:25Z</dcterms:modified>
</cp:coreProperties>
</file>