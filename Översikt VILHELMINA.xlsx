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45929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45929</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45929</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45929</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45929</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45929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45929</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45929</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45929</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45929</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45929</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27113-2021</t>
        </is>
      </c>
      <c r="B14" s="1" t="n">
        <v>44350</v>
      </c>
      <c r="C14" s="1" t="n">
        <v>45929</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45929</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45929</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45929</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45929</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45929</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45929</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45929</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45929</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45929</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45929</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9048-2023</t>
        </is>
      </c>
      <c r="B25" s="1" t="n">
        <v>44972</v>
      </c>
      <c r="C25" s="1" t="n">
        <v>45929</v>
      </c>
      <c r="D25" t="inlineStr">
        <is>
          <t>VÄSTERBOTTENS LÄN</t>
        </is>
      </c>
      <c r="E25" t="inlineStr">
        <is>
          <t>VILHELMINA</t>
        </is>
      </c>
      <c r="F25" t="inlineStr">
        <is>
          <t>Allmännings- och besparingsskogar</t>
        </is>
      </c>
      <c r="G25" t="n">
        <v>271</v>
      </c>
      <c r="H25" t="n">
        <v>3</v>
      </c>
      <c r="I25" t="n">
        <v>4</v>
      </c>
      <c r="J25" t="n">
        <v>13</v>
      </c>
      <c r="K25" t="n">
        <v>0</v>
      </c>
      <c r="L25" t="n">
        <v>0</v>
      </c>
      <c r="M25" t="n">
        <v>0</v>
      </c>
      <c r="N25" t="n">
        <v>0</v>
      </c>
      <c r="O25" t="n">
        <v>13</v>
      </c>
      <c r="P25" t="n">
        <v>0</v>
      </c>
      <c r="Q25" t="n">
        <v>18</v>
      </c>
      <c r="R25" s="2" t="inlineStr">
        <is>
          <t>Garnlav
Granticka
Harticka
Koralltaggsvamp
Rosenticka
Stjärntagging
Talltita
Tretåig hackspett
Ullticka
Vedflikmossa
Vedtrappmossa
Vitgrynig nållav
Vitskaftad svartspik
Bronshjon
Trådticka
Vedticka
Ögonpyrola
Lavskrika</t>
        </is>
      </c>
      <c r="S25">
        <f>HYPERLINK("https://klasma.github.io/Logging_2462/artfynd/A 9048-2023 artfynd.xlsx", "A 9048-2023")</f>
        <v/>
      </c>
      <c r="T25">
        <f>HYPERLINK("https://klasma.github.io/Logging_2462/kartor/A 9048-2023 karta.png", "A 9048-2023")</f>
        <v/>
      </c>
      <c r="V25">
        <f>HYPERLINK("https://klasma.github.io/Logging_2462/klagomål/A 9048-2023 FSC-klagomål.docx", "A 9048-2023")</f>
        <v/>
      </c>
      <c r="W25">
        <f>HYPERLINK("https://klasma.github.io/Logging_2462/klagomålsmail/A 9048-2023 FSC-klagomål mail.docx", "A 9048-2023")</f>
        <v/>
      </c>
      <c r="X25">
        <f>HYPERLINK("https://klasma.github.io/Logging_2462/tillsyn/A 9048-2023 tillsynsbegäran.docx", "A 9048-2023")</f>
        <v/>
      </c>
      <c r="Y25">
        <f>HYPERLINK("https://klasma.github.io/Logging_2462/tillsynsmail/A 9048-2023 tillsynsbegäran mail.docx", "A 9048-2023")</f>
        <v/>
      </c>
      <c r="Z25">
        <f>HYPERLINK("https://klasma.github.io/Logging_2462/fåglar/A 9048-2023 prioriterade fågelarter.docx", "A 9048-2023")</f>
        <v/>
      </c>
    </row>
    <row r="26" ht="15" customHeight="1">
      <c r="A26" t="inlineStr">
        <is>
          <t>A 42064-2024</t>
        </is>
      </c>
      <c r="B26" s="1" t="n">
        <v>45561</v>
      </c>
      <c r="C26" s="1" t="n">
        <v>45929</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46776-2024</t>
        </is>
      </c>
      <c r="B27" s="1" t="n">
        <v>45583</v>
      </c>
      <c r="C27" s="1" t="n">
        <v>45929</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9057-2023</t>
        </is>
      </c>
      <c r="B28" s="1" t="n">
        <v>44972</v>
      </c>
      <c r="C28" s="1" t="n">
        <v>45929</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48248-2023</t>
        </is>
      </c>
      <c r="B29" s="1" t="n">
        <v>45201</v>
      </c>
      <c r="C29" s="1" t="n">
        <v>45929</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45929</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45929</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28796-2024</t>
        </is>
      </c>
      <c r="B32" s="1" t="n">
        <v>45478</v>
      </c>
      <c r="C32" s="1" t="n">
        <v>45929</v>
      </c>
      <c r="D32" t="inlineStr">
        <is>
          <t>VÄSTERBOTTENS LÄN</t>
        </is>
      </c>
      <c r="E32" t="inlineStr">
        <is>
          <t>VILHELMINA</t>
        </is>
      </c>
      <c r="G32" t="n">
        <v>20</v>
      </c>
      <c r="H32" t="n">
        <v>3</v>
      </c>
      <c r="I32" t="n">
        <v>2</v>
      </c>
      <c r="J32" t="n">
        <v>10</v>
      </c>
      <c r="K32" t="n">
        <v>3</v>
      </c>
      <c r="L32" t="n">
        <v>0</v>
      </c>
      <c r="M32" t="n">
        <v>0</v>
      </c>
      <c r="N32" t="n">
        <v>0</v>
      </c>
      <c r="O32" t="n">
        <v>13</v>
      </c>
      <c r="P32" t="n">
        <v>3</v>
      </c>
      <c r="Q32" t="n">
        <v>16</v>
      </c>
      <c r="R32" s="2" t="inlineStr">
        <is>
          <t>Gräddticka
Rynkskinn
Ulltickeporing
Garnlav
Granticka
Gränsticka
Harticka
Leptoporus mollis
Lunglav
Rosenticka
Talltita
Tretåig hackspett
Ullticka
Blodticka
Trådticka
Tjäder</t>
        </is>
      </c>
      <c r="S32">
        <f>HYPERLINK("https://klasma.github.io/Logging_2462/artfynd/A 28796-2024 artfynd.xlsx", "A 28796-2024")</f>
        <v/>
      </c>
      <c r="T32">
        <f>HYPERLINK("https://klasma.github.io/Logging_2462/kartor/A 28796-2024 karta.png", "A 28796-2024")</f>
        <v/>
      </c>
      <c r="V32">
        <f>HYPERLINK("https://klasma.github.io/Logging_2462/klagomål/A 28796-2024 FSC-klagomål.docx", "A 28796-2024")</f>
        <v/>
      </c>
      <c r="W32">
        <f>HYPERLINK("https://klasma.github.io/Logging_2462/klagomålsmail/A 28796-2024 FSC-klagomål mail.docx", "A 28796-2024")</f>
        <v/>
      </c>
      <c r="X32">
        <f>HYPERLINK("https://klasma.github.io/Logging_2462/tillsyn/A 28796-2024 tillsynsbegäran.docx", "A 28796-2024")</f>
        <v/>
      </c>
      <c r="Y32">
        <f>HYPERLINK("https://klasma.github.io/Logging_2462/tillsynsmail/A 28796-2024 tillsynsbegäran mail.docx", "A 28796-2024")</f>
        <v/>
      </c>
      <c r="Z32">
        <f>HYPERLINK("https://klasma.github.io/Logging_2462/fåglar/A 28796-2024 prioriterade fågelarter.docx", "A 28796-2024")</f>
        <v/>
      </c>
    </row>
    <row r="33" ht="15" customHeight="1">
      <c r="A33" t="inlineStr">
        <is>
          <t>A 31199-2023</t>
        </is>
      </c>
      <c r="B33" s="1" t="n">
        <v>45113</v>
      </c>
      <c r="C33" s="1" t="n">
        <v>45929</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45929</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45929</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18848-2025</t>
        </is>
      </c>
      <c r="B36" s="1" t="n">
        <v>45764</v>
      </c>
      <c r="C36" s="1" t="n">
        <v>45929</v>
      </c>
      <c r="D36" t="inlineStr">
        <is>
          <t>VÄSTERBOTTENS LÄN</t>
        </is>
      </c>
      <c r="E36" t="inlineStr">
        <is>
          <t>VILHELMINA</t>
        </is>
      </c>
      <c r="G36" t="n">
        <v>16.4</v>
      </c>
      <c r="H36" t="n">
        <v>4</v>
      </c>
      <c r="I36" t="n">
        <v>3</v>
      </c>
      <c r="J36" t="n">
        <v>8</v>
      </c>
      <c r="K36" t="n">
        <v>2</v>
      </c>
      <c r="L36" t="n">
        <v>0</v>
      </c>
      <c r="M36" t="n">
        <v>0</v>
      </c>
      <c r="N36" t="n">
        <v>0</v>
      </c>
      <c r="O36" t="n">
        <v>10</v>
      </c>
      <c r="P36" t="n">
        <v>2</v>
      </c>
      <c r="Q36" t="n">
        <v>15</v>
      </c>
      <c r="R36" s="2" t="inlineStr">
        <is>
          <t>Grantickeporing
Ostticka
Doftskinn
Garnlav
Granticka
Gränsticka
Harticka
Järpe
Rosenticka
Tretåig hackspett
Blodticka
Trådticka
Vedticka
Kungsfågel
Tjäder</t>
        </is>
      </c>
      <c r="S36">
        <f>HYPERLINK("https://klasma.github.io/Logging_2462/artfynd/A 18848-2025 artfynd.xlsx", "A 18848-2025")</f>
        <v/>
      </c>
      <c r="T36">
        <f>HYPERLINK("https://klasma.github.io/Logging_2462/kartor/A 18848-2025 karta.png", "A 18848-2025")</f>
        <v/>
      </c>
      <c r="V36">
        <f>HYPERLINK("https://klasma.github.io/Logging_2462/klagomål/A 18848-2025 FSC-klagomål.docx", "A 18848-2025")</f>
        <v/>
      </c>
      <c r="W36">
        <f>HYPERLINK("https://klasma.github.io/Logging_2462/klagomålsmail/A 18848-2025 FSC-klagomål mail.docx", "A 18848-2025")</f>
        <v/>
      </c>
      <c r="X36">
        <f>HYPERLINK("https://klasma.github.io/Logging_2462/tillsyn/A 18848-2025 tillsynsbegäran.docx", "A 18848-2025")</f>
        <v/>
      </c>
      <c r="Y36">
        <f>HYPERLINK("https://klasma.github.io/Logging_2462/tillsynsmail/A 18848-2025 tillsynsbegäran mail.docx", "A 18848-2025")</f>
        <v/>
      </c>
      <c r="Z36">
        <f>HYPERLINK("https://klasma.github.io/Logging_2462/fåglar/A 18848-2025 prioriterade fågelarter.docx", "A 18848-2025")</f>
        <v/>
      </c>
    </row>
    <row r="37" ht="15" customHeight="1">
      <c r="A37" t="inlineStr">
        <is>
          <t>A 15049-2024</t>
        </is>
      </c>
      <c r="B37" s="1" t="n">
        <v>45399</v>
      </c>
      <c r="C37" s="1" t="n">
        <v>45929</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59019-2024</t>
        </is>
      </c>
      <c r="B38" s="1" t="n">
        <v>45636</v>
      </c>
      <c r="C38" s="1" t="n">
        <v>45929</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45929</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19934-2023</t>
        </is>
      </c>
      <c r="B40" s="1" t="n">
        <v>45051</v>
      </c>
      <c r="C40" s="1" t="n">
        <v>45929</v>
      </c>
      <c r="D40" t="inlineStr">
        <is>
          <t>VÄSTERBOTTENS LÄN</t>
        </is>
      </c>
      <c r="E40" t="inlineStr">
        <is>
          <t>VILHELMINA</t>
        </is>
      </c>
      <c r="F40" t="inlineStr">
        <is>
          <t>Övriga statliga verk och myndigheter</t>
        </is>
      </c>
      <c r="G40" t="n">
        <v>28.1</v>
      </c>
      <c r="H40" t="n">
        <v>4</v>
      </c>
      <c r="I40" t="n">
        <v>2</v>
      </c>
      <c r="J40" t="n">
        <v>9</v>
      </c>
      <c r="K40" t="n">
        <v>1</v>
      </c>
      <c r="L40" t="n">
        <v>0</v>
      </c>
      <c r="M40" t="n">
        <v>0</v>
      </c>
      <c r="N40" t="n">
        <v>0</v>
      </c>
      <c r="O40" t="n">
        <v>10</v>
      </c>
      <c r="P40" t="n">
        <v>1</v>
      </c>
      <c r="Q40" t="n">
        <v>13</v>
      </c>
      <c r="R40" s="2" t="inlineStr">
        <is>
          <t>Rynkskinn
Gammelgransskål
Garnlav
Granticka
Lunglav
Rosenticka
Skrovellav
Spillkråka
Talltita
Tretåig hackspett
Gulnål
Stuplav
Revlummer</t>
        </is>
      </c>
      <c r="S40">
        <f>HYPERLINK("https://klasma.github.io/Logging_2462/artfynd/A 19934-2023 artfynd.xlsx", "A 19934-2023")</f>
        <v/>
      </c>
      <c r="T40">
        <f>HYPERLINK("https://klasma.github.io/Logging_2462/kartor/A 19934-2023 karta.png", "A 19934-2023")</f>
        <v/>
      </c>
      <c r="V40">
        <f>HYPERLINK("https://klasma.github.io/Logging_2462/klagomål/A 19934-2023 FSC-klagomål.docx", "A 19934-2023")</f>
        <v/>
      </c>
      <c r="W40">
        <f>HYPERLINK("https://klasma.github.io/Logging_2462/klagomålsmail/A 19934-2023 FSC-klagomål mail.docx", "A 19934-2023")</f>
        <v/>
      </c>
      <c r="X40">
        <f>HYPERLINK("https://klasma.github.io/Logging_2462/tillsyn/A 19934-2023 tillsynsbegäran.docx", "A 19934-2023")</f>
        <v/>
      </c>
      <c r="Y40">
        <f>HYPERLINK("https://klasma.github.io/Logging_2462/tillsynsmail/A 19934-2023 tillsynsbegäran mail.docx", "A 19934-2023")</f>
        <v/>
      </c>
      <c r="Z40">
        <f>HYPERLINK("https://klasma.github.io/Logging_2462/fåglar/A 19934-2023 prioriterade fågelarter.docx", "A 19934-2023")</f>
        <v/>
      </c>
    </row>
    <row r="41" ht="15" customHeight="1">
      <c r="A41" t="inlineStr">
        <is>
          <t>A 15051-2024</t>
        </is>
      </c>
      <c r="B41" s="1" t="n">
        <v>45399</v>
      </c>
      <c r="C41" s="1" t="n">
        <v>45929</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59039-2024</t>
        </is>
      </c>
      <c r="B42" s="1" t="n">
        <v>45636</v>
      </c>
      <c r="C42" s="1" t="n">
        <v>45929</v>
      </c>
      <c r="D42" t="inlineStr">
        <is>
          <t>VÄSTERBOTTENS LÄN</t>
        </is>
      </c>
      <c r="E42" t="inlineStr">
        <is>
          <t>VILHELMINA</t>
        </is>
      </c>
      <c r="F42" t="inlineStr">
        <is>
          <t>Allmännings- och besparingsskogar</t>
        </is>
      </c>
      <c r="G42" t="n">
        <v>71.3</v>
      </c>
      <c r="H42" t="n">
        <v>2</v>
      </c>
      <c r="I42" t="n">
        <v>2</v>
      </c>
      <c r="J42" t="n">
        <v>9</v>
      </c>
      <c r="K42" t="n">
        <v>0</v>
      </c>
      <c r="L42" t="n">
        <v>0</v>
      </c>
      <c r="M42" t="n">
        <v>0</v>
      </c>
      <c r="N42" t="n">
        <v>0</v>
      </c>
      <c r="O42" t="n">
        <v>9</v>
      </c>
      <c r="P42" t="n">
        <v>0</v>
      </c>
      <c r="Q42" t="n">
        <v>12</v>
      </c>
      <c r="R42" s="2" t="inlineStr">
        <is>
          <t>Gammelgransskål
Garnlav
Granticka
Gränsticka
Harticka
Rosenticka
Ullticka
Vitgrynig nållav
Vitskaftad svartspik
Spindelblomster
Vedticka
Lavskrika</t>
        </is>
      </c>
      <c r="S42">
        <f>HYPERLINK("https://klasma.github.io/Logging_2462/artfynd/A 59039-2024 artfynd.xlsx", "A 59039-2024")</f>
        <v/>
      </c>
      <c r="T42">
        <f>HYPERLINK("https://klasma.github.io/Logging_2462/kartor/A 59039-2024 karta.png", "A 59039-2024")</f>
        <v/>
      </c>
      <c r="V42">
        <f>HYPERLINK("https://klasma.github.io/Logging_2462/klagomål/A 59039-2024 FSC-klagomål.docx", "A 59039-2024")</f>
        <v/>
      </c>
      <c r="W42">
        <f>HYPERLINK("https://klasma.github.io/Logging_2462/klagomålsmail/A 59039-2024 FSC-klagomål mail.docx", "A 59039-2024")</f>
        <v/>
      </c>
      <c r="X42">
        <f>HYPERLINK("https://klasma.github.io/Logging_2462/tillsyn/A 59039-2024 tillsynsbegäran.docx", "A 59039-2024")</f>
        <v/>
      </c>
      <c r="Y42">
        <f>HYPERLINK("https://klasma.github.io/Logging_2462/tillsynsmail/A 59039-2024 tillsynsbegäran mail.docx", "A 59039-2024")</f>
        <v/>
      </c>
      <c r="Z42">
        <f>HYPERLINK("https://klasma.github.io/Logging_2462/fåglar/A 59039-2024 prioriterade fågelarter.docx", "A 59039-2024")</f>
        <v/>
      </c>
    </row>
    <row r="43" ht="15" customHeight="1">
      <c r="A43" t="inlineStr">
        <is>
          <t>A 38930-2025</t>
        </is>
      </c>
      <c r="B43" s="1" t="n">
        <v>45887</v>
      </c>
      <c r="C43" s="1" t="n">
        <v>45929</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14963-2022</t>
        </is>
      </c>
      <c r="B44" s="1" t="n">
        <v>44657</v>
      </c>
      <c r="C44" s="1" t="n">
        <v>45929</v>
      </c>
      <c r="D44" t="inlineStr">
        <is>
          <t>VÄSTERBOTTENS LÄN</t>
        </is>
      </c>
      <c r="E44" t="inlineStr">
        <is>
          <t>VILHELMINA</t>
        </is>
      </c>
      <c r="G44" t="n">
        <v>11.5</v>
      </c>
      <c r="H44" t="n">
        <v>4</v>
      </c>
      <c r="I44" t="n">
        <v>0</v>
      </c>
      <c r="J44" t="n">
        <v>7</v>
      </c>
      <c r="K44" t="n">
        <v>2</v>
      </c>
      <c r="L44" t="n">
        <v>0</v>
      </c>
      <c r="M44" t="n">
        <v>0</v>
      </c>
      <c r="N44" t="n">
        <v>0</v>
      </c>
      <c r="O44" t="n">
        <v>9</v>
      </c>
      <c r="P44" t="n">
        <v>2</v>
      </c>
      <c r="Q44" t="n">
        <v>11</v>
      </c>
      <c r="R44" s="2" t="inlineStr">
        <is>
          <t>Ostticka
Ulltickeporing
Garnlav
Granticka
Harticka
Rosenticka
Talltita
Tretåig hackspett
Ullticka
Kungsfågel
Lavskrika</t>
        </is>
      </c>
      <c r="S44">
        <f>HYPERLINK("https://klasma.github.io/Logging_2462/artfynd/A 14963-2022 artfynd.xlsx", "A 14963-2022")</f>
        <v/>
      </c>
      <c r="T44">
        <f>HYPERLINK("https://klasma.github.io/Logging_2462/kartor/A 14963-2022 karta.png", "A 14963-2022")</f>
        <v/>
      </c>
      <c r="V44">
        <f>HYPERLINK("https://klasma.github.io/Logging_2462/klagomål/A 14963-2022 FSC-klagomål.docx", "A 14963-2022")</f>
        <v/>
      </c>
      <c r="W44">
        <f>HYPERLINK("https://klasma.github.io/Logging_2462/klagomålsmail/A 14963-2022 FSC-klagomål mail.docx", "A 14963-2022")</f>
        <v/>
      </c>
      <c r="X44">
        <f>HYPERLINK("https://klasma.github.io/Logging_2462/tillsyn/A 14963-2022 tillsynsbegäran.docx", "A 14963-2022")</f>
        <v/>
      </c>
      <c r="Y44">
        <f>HYPERLINK("https://klasma.github.io/Logging_2462/tillsynsmail/A 14963-2022 tillsynsbegäran mail.docx", "A 14963-2022")</f>
        <v/>
      </c>
      <c r="Z44">
        <f>HYPERLINK("https://klasma.github.io/Logging_2462/fåglar/A 14963-2022 prioriterade fågelarter.docx", "A 14963-2022")</f>
        <v/>
      </c>
    </row>
    <row r="45" ht="15" customHeight="1">
      <c r="A45" t="inlineStr">
        <is>
          <t>A 6658-2021</t>
        </is>
      </c>
      <c r="B45" s="1" t="n">
        <v>44235</v>
      </c>
      <c r="C45" s="1" t="n">
        <v>45929</v>
      </c>
      <c r="D45" t="inlineStr">
        <is>
          <t>VÄSTERBOTTENS LÄN</t>
        </is>
      </c>
      <c r="E45" t="inlineStr">
        <is>
          <t>VILHELMINA</t>
        </is>
      </c>
      <c r="G45" t="n">
        <v>6.7</v>
      </c>
      <c r="H45" t="n">
        <v>3</v>
      </c>
      <c r="I45" t="n">
        <v>1</v>
      </c>
      <c r="J45" t="n">
        <v>8</v>
      </c>
      <c r="K45" t="n">
        <v>1</v>
      </c>
      <c r="L45" t="n">
        <v>0</v>
      </c>
      <c r="M45" t="n">
        <v>0</v>
      </c>
      <c r="N45" t="n">
        <v>0</v>
      </c>
      <c r="O45" t="n">
        <v>9</v>
      </c>
      <c r="P45" t="n">
        <v>1</v>
      </c>
      <c r="Q45" t="n">
        <v>11</v>
      </c>
      <c r="R45" s="2" t="inlineStr">
        <is>
          <t>Rynkskinn
Barrviolspindling
Garnlav
Granticka
Harticka
Skrovellav
Stjärntagging
Talltita
Tretåig hackspett
Vedticka
Lavskrika</t>
        </is>
      </c>
      <c r="S45">
        <f>HYPERLINK("https://klasma.github.io/Logging_2462/artfynd/A 6658-2021 artfynd.xlsx", "A 6658-2021")</f>
        <v/>
      </c>
      <c r="T45">
        <f>HYPERLINK("https://klasma.github.io/Logging_2462/kartor/A 6658-2021 karta.png", "A 6658-2021")</f>
        <v/>
      </c>
      <c r="V45">
        <f>HYPERLINK("https://klasma.github.io/Logging_2462/klagomål/A 6658-2021 FSC-klagomål.docx", "A 6658-2021")</f>
        <v/>
      </c>
      <c r="W45">
        <f>HYPERLINK("https://klasma.github.io/Logging_2462/klagomålsmail/A 6658-2021 FSC-klagomål mail.docx", "A 6658-2021")</f>
        <v/>
      </c>
      <c r="X45">
        <f>HYPERLINK("https://klasma.github.io/Logging_2462/tillsyn/A 6658-2021 tillsynsbegäran.docx", "A 6658-2021")</f>
        <v/>
      </c>
      <c r="Y45">
        <f>HYPERLINK("https://klasma.github.io/Logging_2462/tillsynsmail/A 6658-2021 tillsynsbegäran mail.docx", "A 6658-2021")</f>
        <v/>
      </c>
      <c r="Z45">
        <f>HYPERLINK("https://klasma.github.io/Logging_2462/fåglar/A 6658-2021 prioriterade fågelarter.docx", "A 6658-2021")</f>
        <v/>
      </c>
    </row>
    <row r="46" ht="15" customHeight="1">
      <c r="A46" t="inlineStr">
        <is>
          <t>A 29392-2021</t>
        </is>
      </c>
      <c r="B46" s="1" t="n">
        <v>44361</v>
      </c>
      <c r="C46" s="1" t="n">
        <v>45929</v>
      </c>
      <c r="D46" t="inlineStr">
        <is>
          <t>VÄSTERBOTTENS LÄN</t>
        </is>
      </c>
      <c r="E46" t="inlineStr">
        <is>
          <t>VILHELMINA</t>
        </is>
      </c>
      <c r="F46" t="inlineStr">
        <is>
          <t>Allmännings- och besparingsskogar</t>
        </is>
      </c>
      <c r="G46" t="n">
        <v>275</v>
      </c>
      <c r="H46" t="n">
        <v>1</v>
      </c>
      <c r="I46" t="n">
        <v>5</v>
      </c>
      <c r="J46" t="n">
        <v>6</v>
      </c>
      <c r="K46" t="n">
        <v>0</v>
      </c>
      <c r="L46" t="n">
        <v>0</v>
      </c>
      <c r="M46" t="n">
        <v>0</v>
      </c>
      <c r="N46" t="n">
        <v>0</v>
      </c>
      <c r="O46" t="n">
        <v>6</v>
      </c>
      <c r="P46" t="n">
        <v>0</v>
      </c>
      <c r="Q46" t="n">
        <v>11</v>
      </c>
      <c r="R46" s="2" t="inlineStr">
        <is>
          <t>Brunpudrad nållav
Rödbrun blekspik
Skrovellav
Svartvit flugsnappare
Vitgrynig nållav
Vitskaftad svartspik
Bårdlav
Gulnål
Gytterlav
Källmossor
Mörk husmossa</t>
        </is>
      </c>
      <c r="S46">
        <f>HYPERLINK("https://klasma.github.io/Logging_2462/artfynd/A 29392-2021 artfynd.xlsx", "A 29392-2021")</f>
        <v/>
      </c>
      <c r="T46">
        <f>HYPERLINK("https://klasma.github.io/Logging_2462/kartor/A 29392-2021 karta.png", "A 29392-2021")</f>
        <v/>
      </c>
      <c r="V46">
        <f>HYPERLINK("https://klasma.github.io/Logging_2462/klagomål/A 29392-2021 FSC-klagomål.docx", "A 29392-2021")</f>
        <v/>
      </c>
      <c r="W46">
        <f>HYPERLINK("https://klasma.github.io/Logging_2462/klagomålsmail/A 29392-2021 FSC-klagomål mail.docx", "A 29392-2021")</f>
        <v/>
      </c>
      <c r="X46">
        <f>HYPERLINK("https://klasma.github.io/Logging_2462/tillsyn/A 29392-2021 tillsynsbegäran.docx", "A 29392-2021")</f>
        <v/>
      </c>
      <c r="Y46">
        <f>HYPERLINK("https://klasma.github.io/Logging_2462/tillsynsmail/A 29392-2021 tillsynsbegäran mail.docx", "A 29392-2021")</f>
        <v/>
      </c>
      <c r="Z46">
        <f>HYPERLINK("https://klasma.github.io/Logging_2462/fåglar/A 29392-2021 prioriterade fågelarter.docx", "A 29392-2021")</f>
        <v/>
      </c>
    </row>
    <row r="47" ht="15" customHeight="1">
      <c r="A47" t="inlineStr">
        <is>
          <t>A 49141-2023</t>
        </is>
      </c>
      <c r="B47" s="1" t="n">
        <v>45205</v>
      </c>
      <c r="C47" s="1" t="n">
        <v>45929</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7762-2024</t>
        </is>
      </c>
      <c r="B48" s="1" t="n">
        <v>45349</v>
      </c>
      <c r="C48" s="1" t="n">
        <v>45929</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15047-2024</t>
        </is>
      </c>
      <c r="B49" s="1" t="n">
        <v>45399</v>
      </c>
      <c r="C49" s="1" t="n">
        <v>45929</v>
      </c>
      <c r="D49" t="inlineStr">
        <is>
          <t>VÄSTERBOTTENS LÄN</t>
        </is>
      </c>
      <c r="E49" t="inlineStr">
        <is>
          <t>VILHELMINA</t>
        </is>
      </c>
      <c r="F49" t="inlineStr">
        <is>
          <t>Övriga statliga verk och myndigheter</t>
        </is>
      </c>
      <c r="G49" t="n">
        <v>1.3</v>
      </c>
      <c r="H49" t="n">
        <v>3</v>
      </c>
      <c r="I49" t="n">
        <v>2</v>
      </c>
      <c r="J49" t="n">
        <v>7</v>
      </c>
      <c r="K49" t="n">
        <v>0</v>
      </c>
      <c r="L49" t="n">
        <v>0</v>
      </c>
      <c r="M49" t="n">
        <v>0</v>
      </c>
      <c r="N49" t="n">
        <v>0</v>
      </c>
      <c r="O49" t="n">
        <v>7</v>
      </c>
      <c r="P49" t="n">
        <v>0</v>
      </c>
      <c r="Q49" t="n">
        <v>10</v>
      </c>
      <c r="R49" s="2" t="inlineStr">
        <is>
          <t>Gammelgransskål
Garnlav
Knottrig blåslav
Liten svartspik
Rödvingetrast
Tretåig hackspett
Vitgrynig nållav
Bårdlav
Luddlav
Orre</t>
        </is>
      </c>
      <c r="S49">
        <f>HYPERLINK("https://klasma.github.io/Logging_2462/artfynd/A 15047-2024 artfynd.xlsx", "A 15047-2024")</f>
        <v/>
      </c>
      <c r="T49">
        <f>HYPERLINK("https://klasma.github.io/Logging_2462/kartor/A 15047-2024 karta.png", "A 15047-2024")</f>
        <v/>
      </c>
      <c r="V49">
        <f>HYPERLINK("https://klasma.github.io/Logging_2462/klagomål/A 15047-2024 FSC-klagomål.docx", "A 15047-2024")</f>
        <v/>
      </c>
      <c r="W49">
        <f>HYPERLINK("https://klasma.github.io/Logging_2462/klagomålsmail/A 15047-2024 FSC-klagomål mail.docx", "A 15047-2024")</f>
        <v/>
      </c>
      <c r="X49">
        <f>HYPERLINK("https://klasma.github.io/Logging_2462/tillsyn/A 15047-2024 tillsynsbegäran.docx", "A 15047-2024")</f>
        <v/>
      </c>
      <c r="Y49">
        <f>HYPERLINK("https://klasma.github.io/Logging_2462/tillsynsmail/A 15047-2024 tillsynsbegäran mail.docx", "A 15047-2024")</f>
        <v/>
      </c>
      <c r="Z49">
        <f>HYPERLINK("https://klasma.github.io/Logging_2462/fåglar/A 15047-2024 prioriterade fågelarter.docx", "A 15047-2024")</f>
        <v/>
      </c>
    </row>
    <row r="50" ht="15" customHeight="1">
      <c r="A50" t="inlineStr">
        <is>
          <t>A 6963-2023</t>
        </is>
      </c>
      <c r="B50" s="1" t="n">
        <v>44964</v>
      </c>
      <c r="C50" s="1" t="n">
        <v>45929</v>
      </c>
      <c r="D50" t="inlineStr">
        <is>
          <t>VÄSTERBOTTENS LÄN</t>
        </is>
      </c>
      <c r="E50" t="inlineStr">
        <is>
          <t>VILHELMINA</t>
        </is>
      </c>
      <c r="F50" t="inlineStr">
        <is>
          <t>Allmännings- och besparingsskogar</t>
        </is>
      </c>
      <c r="G50" t="n">
        <v>8</v>
      </c>
      <c r="H50" t="n">
        <v>2</v>
      </c>
      <c r="I50" t="n">
        <v>2</v>
      </c>
      <c r="J50" t="n">
        <v>8</v>
      </c>
      <c r="K50" t="n">
        <v>0</v>
      </c>
      <c r="L50" t="n">
        <v>0</v>
      </c>
      <c r="M50" t="n">
        <v>0</v>
      </c>
      <c r="N50" t="n">
        <v>0</v>
      </c>
      <c r="O50" t="n">
        <v>8</v>
      </c>
      <c r="P50" t="n">
        <v>0</v>
      </c>
      <c r="Q50" t="n">
        <v>10</v>
      </c>
      <c r="R50" s="2" t="inlineStr">
        <is>
          <t>Gammelgransskål
Garnlav
Granticka
Knottrig blåslav
Skrovellav
Tretåig hackspett
Vitgrynig nållav
Vitskaftad svartspik
Mörk husmossa
Spindelblomster</t>
        </is>
      </c>
      <c r="S50">
        <f>HYPERLINK("https://klasma.github.io/Logging_2462/artfynd/A 6963-2023 artfynd.xlsx", "A 6963-2023")</f>
        <v/>
      </c>
      <c r="T50">
        <f>HYPERLINK("https://klasma.github.io/Logging_2462/kartor/A 6963-2023 karta.png", "A 6963-2023")</f>
        <v/>
      </c>
      <c r="V50">
        <f>HYPERLINK("https://klasma.github.io/Logging_2462/klagomål/A 6963-2023 FSC-klagomål.docx", "A 6963-2023")</f>
        <v/>
      </c>
      <c r="W50">
        <f>HYPERLINK("https://klasma.github.io/Logging_2462/klagomålsmail/A 6963-2023 FSC-klagomål mail.docx", "A 6963-2023")</f>
        <v/>
      </c>
      <c r="X50">
        <f>HYPERLINK("https://klasma.github.io/Logging_2462/tillsyn/A 6963-2023 tillsynsbegäran.docx", "A 6963-2023")</f>
        <v/>
      </c>
      <c r="Y50">
        <f>HYPERLINK("https://klasma.github.io/Logging_2462/tillsynsmail/A 6963-2023 tillsynsbegäran mail.docx", "A 6963-2023")</f>
        <v/>
      </c>
      <c r="Z50">
        <f>HYPERLINK("https://klasma.github.io/Logging_2462/fåglar/A 6963-2023 prioriterade fågelarter.docx", "A 6963-2023")</f>
        <v/>
      </c>
    </row>
    <row r="51" ht="15" customHeight="1">
      <c r="A51" t="inlineStr">
        <is>
          <t>A 25571-2024</t>
        </is>
      </c>
      <c r="B51" s="1" t="n">
        <v>45463</v>
      </c>
      <c r="C51" s="1" t="n">
        <v>45929</v>
      </c>
      <c r="D51" t="inlineStr">
        <is>
          <t>VÄSTERBOTTENS LÄN</t>
        </is>
      </c>
      <c r="E51" t="inlineStr">
        <is>
          <t>VILHELMINA</t>
        </is>
      </c>
      <c r="F51" t="inlineStr">
        <is>
          <t>Sveaskog</t>
        </is>
      </c>
      <c r="G51" t="n">
        <v>8.300000000000001</v>
      </c>
      <c r="H51" t="n">
        <v>0</v>
      </c>
      <c r="I51" t="n">
        <v>0</v>
      </c>
      <c r="J51" t="n">
        <v>8</v>
      </c>
      <c r="K51" t="n">
        <v>2</v>
      </c>
      <c r="L51" t="n">
        <v>0</v>
      </c>
      <c r="M51" t="n">
        <v>0</v>
      </c>
      <c r="N51" t="n">
        <v>0</v>
      </c>
      <c r="O51" t="n">
        <v>10</v>
      </c>
      <c r="P51" t="n">
        <v>2</v>
      </c>
      <c r="Q51" t="n">
        <v>10</v>
      </c>
      <c r="R51" s="2" t="inlineStr">
        <is>
          <t>Blackticka
Rynkskinn
Garnlav
Granticka
Kandelabersvamp
Kolflarnlav
Koralltaggsvamp
Oljetagging
Skrovellav
Stjärntagging</t>
        </is>
      </c>
      <c r="S51">
        <f>HYPERLINK("https://klasma.github.io/Logging_2462/artfynd/A 25571-2024 artfynd.xlsx", "A 25571-2024")</f>
        <v/>
      </c>
      <c r="T51">
        <f>HYPERLINK("https://klasma.github.io/Logging_2462/kartor/A 25571-2024 karta.png", "A 25571-2024")</f>
        <v/>
      </c>
      <c r="V51">
        <f>HYPERLINK("https://klasma.github.io/Logging_2462/klagomål/A 25571-2024 FSC-klagomål.docx", "A 25571-2024")</f>
        <v/>
      </c>
      <c r="W51">
        <f>HYPERLINK("https://klasma.github.io/Logging_2462/klagomålsmail/A 25571-2024 FSC-klagomål mail.docx", "A 25571-2024")</f>
        <v/>
      </c>
      <c r="X51">
        <f>HYPERLINK("https://klasma.github.io/Logging_2462/tillsyn/A 25571-2024 tillsynsbegäran.docx", "A 25571-2024")</f>
        <v/>
      </c>
      <c r="Y51">
        <f>HYPERLINK("https://klasma.github.io/Logging_2462/tillsynsmail/A 25571-2024 tillsynsbegäran mail.docx", "A 25571-2024")</f>
        <v/>
      </c>
    </row>
    <row r="52" ht="15" customHeight="1">
      <c r="A52" t="inlineStr">
        <is>
          <t>A 6969-2023</t>
        </is>
      </c>
      <c r="B52" s="1" t="n">
        <v>44964</v>
      </c>
      <c r="C52" s="1" t="n">
        <v>45929</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56840-2023</t>
        </is>
      </c>
      <c r="B53" s="1" t="n">
        <v>45238</v>
      </c>
      <c r="C53" s="1" t="n">
        <v>45929</v>
      </c>
      <c r="D53" t="inlineStr">
        <is>
          <t>VÄSTERBOTTENS LÄN</t>
        </is>
      </c>
      <c r="E53" t="inlineStr">
        <is>
          <t>VILHELMINA</t>
        </is>
      </c>
      <c r="F53" t="inlineStr">
        <is>
          <t>Allmännings- och besparingsskogar</t>
        </is>
      </c>
      <c r="G53" t="n">
        <v>55</v>
      </c>
      <c r="H53" t="n">
        <v>0</v>
      </c>
      <c r="I53" t="n">
        <v>1</v>
      </c>
      <c r="J53" t="n">
        <v>7</v>
      </c>
      <c r="K53" t="n">
        <v>2</v>
      </c>
      <c r="L53" t="n">
        <v>0</v>
      </c>
      <c r="M53" t="n">
        <v>0</v>
      </c>
      <c r="N53" t="n">
        <v>0</v>
      </c>
      <c r="O53" t="n">
        <v>9</v>
      </c>
      <c r="P53" t="n">
        <v>2</v>
      </c>
      <c r="Q53" t="n">
        <v>10</v>
      </c>
      <c r="R53" s="2" t="inlineStr">
        <is>
          <t>Kristallticka
Tajgaskinn
Doftskinn
Gammelgransskål
Granticka
Gränsticka
Harticka
Rosenticka
Skrovellav
Sotlav</t>
        </is>
      </c>
      <c r="S53">
        <f>HYPERLINK("https://klasma.github.io/Logging_2462/artfynd/A 56840-2023 artfynd.xlsx", "A 56840-2023")</f>
        <v/>
      </c>
      <c r="T53">
        <f>HYPERLINK("https://klasma.github.io/Logging_2462/kartor/A 56840-2023 karta.png", "A 56840-2023")</f>
        <v/>
      </c>
      <c r="V53">
        <f>HYPERLINK("https://klasma.github.io/Logging_2462/klagomål/A 56840-2023 FSC-klagomål.docx", "A 56840-2023")</f>
        <v/>
      </c>
      <c r="W53">
        <f>HYPERLINK("https://klasma.github.io/Logging_2462/klagomålsmail/A 56840-2023 FSC-klagomål mail.docx", "A 56840-2023")</f>
        <v/>
      </c>
      <c r="X53">
        <f>HYPERLINK("https://klasma.github.io/Logging_2462/tillsyn/A 56840-2023 tillsynsbegäran.docx", "A 56840-2023")</f>
        <v/>
      </c>
      <c r="Y53">
        <f>HYPERLINK("https://klasma.github.io/Logging_2462/tillsynsmail/A 56840-2023 tillsynsbegäran mail.docx", "A 56840-2023")</f>
        <v/>
      </c>
    </row>
    <row r="54" ht="15" customHeight="1">
      <c r="A54" t="inlineStr">
        <is>
          <t>A 59038-2024</t>
        </is>
      </c>
      <c r="B54" s="1" t="n">
        <v>45636</v>
      </c>
      <c r="C54" s="1" t="n">
        <v>45929</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172-2021</t>
        </is>
      </c>
      <c r="B55" s="1" t="n">
        <v>44199</v>
      </c>
      <c r="C55" s="1" t="n">
        <v>45929</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45929</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45929</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45929</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56632-2024</t>
        </is>
      </c>
      <c r="B59" s="1" t="n">
        <v>45625</v>
      </c>
      <c r="C59" s="1" t="n">
        <v>45929</v>
      </c>
      <c r="D59" t="inlineStr">
        <is>
          <t>VÄSTERBOTTENS LÄN</t>
        </is>
      </c>
      <c r="E59" t="inlineStr">
        <is>
          <t>VILHELMINA</t>
        </is>
      </c>
      <c r="F59" t="inlineStr">
        <is>
          <t>Allmännings- och besparingsskogar</t>
        </is>
      </c>
      <c r="G59" t="n">
        <v>36.4</v>
      </c>
      <c r="H59" t="n">
        <v>1</v>
      </c>
      <c r="I59" t="n">
        <v>3</v>
      </c>
      <c r="J59" t="n">
        <v>5</v>
      </c>
      <c r="K59" t="n">
        <v>0</v>
      </c>
      <c r="L59" t="n">
        <v>0</v>
      </c>
      <c r="M59" t="n">
        <v>0</v>
      </c>
      <c r="N59" t="n">
        <v>0</v>
      </c>
      <c r="O59" t="n">
        <v>5</v>
      </c>
      <c r="P59" t="n">
        <v>0</v>
      </c>
      <c r="Q59" t="n">
        <v>8</v>
      </c>
      <c r="R59" s="2" t="inlineStr">
        <is>
          <t>Garnlav
Granticka
Harticka
Tretåig hackspett
Vitgrynig nållav
Gulnål
Mörk husmossa
Stuplav</t>
        </is>
      </c>
      <c r="S59">
        <f>HYPERLINK("https://klasma.github.io/Logging_2462/artfynd/A 56632-2024 artfynd.xlsx", "A 56632-2024")</f>
        <v/>
      </c>
      <c r="T59">
        <f>HYPERLINK("https://klasma.github.io/Logging_2462/kartor/A 56632-2024 karta.png", "A 56632-2024")</f>
        <v/>
      </c>
      <c r="V59">
        <f>HYPERLINK("https://klasma.github.io/Logging_2462/klagomål/A 56632-2024 FSC-klagomål.docx", "A 56632-2024")</f>
        <v/>
      </c>
      <c r="W59">
        <f>HYPERLINK("https://klasma.github.io/Logging_2462/klagomålsmail/A 56632-2024 FSC-klagomål mail.docx", "A 56632-2024")</f>
        <v/>
      </c>
      <c r="X59">
        <f>HYPERLINK("https://klasma.github.io/Logging_2462/tillsyn/A 56632-2024 tillsynsbegäran.docx", "A 56632-2024")</f>
        <v/>
      </c>
      <c r="Y59">
        <f>HYPERLINK("https://klasma.github.io/Logging_2462/tillsynsmail/A 56632-2024 tillsynsbegäran mail.docx", "A 56632-2024")</f>
        <v/>
      </c>
      <c r="Z59">
        <f>HYPERLINK("https://klasma.github.io/Logging_2462/fåglar/A 56632-2024 prioriterade fågelarter.docx", "A 56632-2024")</f>
        <v/>
      </c>
    </row>
    <row r="60" ht="15" customHeight="1">
      <c r="A60" t="inlineStr">
        <is>
          <t>A 26191-2022</t>
        </is>
      </c>
      <c r="B60" s="1" t="n">
        <v>44735</v>
      </c>
      <c r="C60" s="1" t="n">
        <v>45929</v>
      </c>
      <c r="D60" t="inlineStr">
        <is>
          <t>VÄSTERBOTTENS LÄN</t>
        </is>
      </c>
      <c r="E60" t="inlineStr">
        <is>
          <t>VILHELMINA</t>
        </is>
      </c>
      <c r="G60" t="n">
        <v>42.1</v>
      </c>
      <c r="H60" t="n">
        <v>2</v>
      </c>
      <c r="I60" t="n">
        <v>0</v>
      </c>
      <c r="J60" t="n">
        <v>8</v>
      </c>
      <c r="K60" t="n">
        <v>0</v>
      </c>
      <c r="L60" t="n">
        <v>0</v>
      </c>
      <c r="M60" t="n">
        <v>0</v>
      </c>
      <c r="N60" t="n">
        <v>0</v>
      </c>
      <c r="O60" t="n">
        <v>8</v>
      </c>
      <c r="P60" t="n">
        <v>0</v>
      </c>
      <c r="Q60" t="n">
        <v>8</v>
      </c>
      <c r="R60" s="2" t="inlineStr">
        <is>
          <t>Gammelgransskål
Garnlav
Granticka
Rosenticka
Rödbrun blekspik
Talltita
Tretåig hackspett
Ullticka</t>
        </is>
      </c>
      <c r="S60">
        <f>HYPERLINK("https://klasma.github.io/Logging_2462/artfynd/A 26191-2022 artfynd.xlsx", "A 26191-2022")</f>
        <v/>
      </c>
      <c r="T60">
        <f>HYPERLINK("https://klasma.github.io/Logging_2462/kartor/A 26191-2022 karta.png", "A 26191-2022")</f>
        <v/>
      </c>
      <c r="V60">
        <f>HYPERLINK("https://klasma.github.io/Logging_2462/klagomål/A 26191-2022 FSC-klagomål.docx", "A 26191-2022")</f>
        <v/>
      </c>
      <c r="W60">
        <f>HYPERLINK("https://klasma.github.io/Logging_2462/klagomålsmail/A 26191-2022 FSC-klagomål mail.docx", "A 26191-2022")</f>
        <v/>
      </c>
      <c r="X60">
        <f>HYPERLINK("https://klasma.github.io/Logging_2462/tillsyn/A 26191-2022 tillsynsbegäran.docx", "A 26191-2022")</f>
        <v/>
      </c>
      <c r="Y60">
        <f>HYPERLINK("https://klasma.github.io/Logging_2462/tillsynsmail/A 26191-2022 tillsynsbegäran mail.docx", "A 26191-2022")</f>
        <v/>
      </c>
      <c r="Z60">
        <f>HYPERLINK("https://klasma.github.io/Logging_2462/fåglar/A 26191-2022 prioriterade fågelarter.docx", "A 26191-2022")</f>
        <v/>
      </c>
    </row>
    <row r="61" ht="15" customHeight="1">
      <c r="A61" t="inlineStr">
        <is>
          <t>A 30810-2024</t>
        </is>
      </c>
      <c r="B61" s="1" t="n">
        <v>45497</v>
      </c>
      <c r="C61" s="1" t="n">
        <v>45929</v>
      </c>
      <c r="D61" t="inlineStr">
        <is>
          <t>VÄSTERBOTTENS LÄN</t>
        </is>
      </c>
      <c r="E61" t="inlineStr">
        <is>
          <t>VILHELMINA</t>
        </is>
      </c>
      <c r="G61" t="n">
        <v>24.7</v>
      </c>
      <c r="H61" t="n">
        <v>3</v>
      </c>
      <c r="I61" t="n">
        <v>1</v>
      </c>
      <c r="J61" t="n">
        <v>6</v>
      </c>
      <c r="K61" t="n">
        <v>0</v>
      </c>
      <c r="L61" t="n">
        <v>0</v>
      </c>
      <c r="M61" t="n">
        <v>0</v>
      </c>
      <c r="N61" t="n">
        <v>0</v>
      </c>
      <c r="O61" t="n">
        <v>6</v>
      </c>
      <c r="P61" t="n">
        <v>0</v>
      </c>
      <c r="Q61" t="n">
        <v>8</v>
      </c>
      <c r="R61" s="2" t="inlineStr">
        <is>
          <t>Garnlav
Granticka
Harticka
Spillkråka
Tretåig hackspett
Ullticka
Vedticka
Lavskrika</t>
        </is>
      </c>
      <c r="S61">
        <f>HYPERLINK("https://klasma.github.io/Logging_2462/artfynd/A 30810-2024 artfynd.xlsx", "A 30810-2024")</f>
        <v/>
      </c>
      <c r="T61">
        <f>HYPERLINK("https://klasma.github.io/Logging_2462/kartor/A 30810-2024 karta.png", "A 30810-2024")</f>
        <v/>
      </c>
      <c r="V61">
        <f>HYPERLINK("https://klasma.github.io/Logging_2462/klagomål/A 30810-2024 FSC-klagomål.docx", "A 30810-2024")</f>
        <v/>
      </c>
      <c r="W61">
        <f>HYPERLINK("https://klasma.github.io/Logging_2462/klagomålsmail/A 30810-2024 FSC-klagomål mail.docx", "A 30810-2024")</f>
        <v/>
      </c>
      <c r="X61">
        <f>HYPERLINK("https://klasma.github.io/Logging_2462/tillsyn/A 30810-2024 tillsynsbegäran.docx", "A 30810-2024")</f>
        <v/>
      </c>
      <c r="Y61">
        <f>HYPERLINK("https://klasma.github.io/Logging_2462/tillsynsmail/A 30810-2024 tillsynsbegäran mail.docx", "A 30810-2024")</f>
        <v/>
      </c>
      <c r="Z61">
        <f>HYPERLINK("https://klasma.github.io/Logging_2462/fåglar/A 30810-2024 prioriterade fågelarter.docx", "A 30810-2024")</f>
        <v/>
      </c>
    </row>
    <row r="62" ht="15" customHeight="1">
      <c r="A62" t="inlineStr">
        <is>
          <t>A 36220-2023</t>
        </is>
      </c>
      <c r="B62" s="1" t="n">
        <v>45149</v>
      </c>
      <c r="C62" s="1" t="n">
        <v>45929</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28799-2024</t>
        </is>
      </c>
      <c r="B63" s="1" t="n">
        <v>45478</v>
      </c>
      <c r="C63" s="1" t="n">
        <v>45929</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30345-2024</t>
        </is>
      </c>
      <c r="B64" s="1" t="n">
        <v>45490</v>
      </c>
      <c r="C64" s="1" t="n">
        <v>45929</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45929</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49977-2023</t>
        </is>
      </c>
      <c r="B66" s="1" t="n">
        <v>45208</v>
      </c>
      <c r="C66" s="1" t="n">
        <v>45929</v>
      </c>
      <c r="D66" t="inlineStr">
        <is>
          <t>VÄSTERBOTTENS LÄN</t>
        </is>
      </c>
      <c r="E66" t="inlineStr">
        <is>
          <t>VILHELMINA</t>
        </is>
      </c>
      <c r="F66" t="inlineStr">
        <is>
          <t>Övriga statliga verk och myndigheter</t>
        </is>
      </c>
      <c r="G66" t="n">
        <v>8.1</v>
      </c>
      <c r="H66" t="n">
        <v>2</v>
      </c>
      <c r="I66" t="n">
        <v>2</v>
      </c>
      <c r="J66" t="n">
        <v>5</v>
      </c>
      <c r="K66" t="n">
        <v>0</v>
      </c>
      <c r="L66" t="n">
        <v>0</v>
      </c>
      <c r="M66" t="n">
        <v>0</v>
      </c>
      <c r="N66" t="n">
        <v>0</v>
      </c>
      <c r="O66" t="n">
        <v>5</v>
      </c>
      <c r="P66" t="n">
        <v>0</v>
      </c>
      <c r="Q66" t="n">
        <v>7</v>
      </c>
      <c r="R66" s="2" t="inlineStr">
        <is>
          <t>Leptoporus mollis
Skrovellav
Spillkråka
Tretåig hackspett
Vitgrynig nållav
Bårdlav
Fjällig taggsvamp s.str.</t>
        </is>
      </c>
      <c r="S66">
        <f>HYPERLINK("https://klasma.github.io/Logging_2462/artfynd/A 49977-2023 artfynd.xlsx", "A 49977-2023")</f>
        <v/>
      </c>
      <c r="T66">
        <f>HYPERLINK("https://klasma.github.io/Logging_2462/kartor/A 49977-2023 karta.png", "A 49977-2023")</f>
        <v/>
      </c>
      <c r="V66">
        <f>HYPERLINK("https://klasma.github.io/Logging_2462/klagomål/A 49977-2023 FSC-klagomål.docx", "A 49977-2023")</f>
        <v/>
      </c>
      <c r="W66">
        <f>HYPERLINK("https://klasma.github.io/Logging_2462/klagomålsmail/A 49977-2023 FSC-klagomål mail.docx", "A 49977-2023")</f>
        <v/>
      </c>
      <c r="X66">
        <f>HYPERLINK("https://klasma.github.io/Logging_2462/tillsyn/A 49977-2023 tillsynsbegäran.docx", "A 49977-2023")</f>
        <v/>
      </c>
      <c r="Y66">
        <f>HYPERLINK("https://klasma.github.io/Logging_2462/tillsynsmail/A 49977-2023 tillsynsbegäran mail.docx", "A 49977-2023")</f>
        <v/>
      </c>
      <c r="Z66">
        <f>HYPERLINK("https://klasma.github.io/Logging_2462/fåglar/A 49977-2023 prioriterade fågelarter.docx", "A 49977-2023")</f>
        <v/>
      </c>
    </row>
    <row r="67" ht="15" customHeight="1">
      <c r="A67" t="inlineStr">
        <is>
          <t>A 47932-2024</t>
        </is>
      </c>
      <c r="B67" s="1" t="n">
        <v>45589</v>
      </c>
      <c r="C67" s="1" t="n">
        <v>45929</v>
      </c>
      <c r="D67" t="inlineStr">
        <is>
          <t>VÄSTERBOTTENS LÄN</t>
        </is>
      </c>
      <c r="E67" t="inlineStr">
        <is>
          <t>VILHELMINA</t>
        </is>
      </c>
      <c r="F67" t="inlineStr">
        <is>
          <t>SCA</t>
        </is>
      </c>
      <c r="G67" t="n">
        <v>15.4</v>
      </c>
      <c r="H67" t="n">
        <v>3</v>
      </c>
      <c r="I67" t="n">
        <v>0</v>
      </c>
      <c r="J67" t="n">
        <v>6</v>
      </c>
      <c r="K67" t="n">
        <v>0</v>
      </c>
      <c r="L67" t="n">
        <v>0</v>
      </c>
      <c r="M67" t="n">
        <v>0</v>
      </c>
      <c r="N67" t="n">
        <v>0</v>
      </c>
      <c r="O67" t="n">
        <v>6</v>
      </c>
      <c r="P67" t="n">
        <v>0</v>
      </c>
      <c r="Q67" t="n">
        <v>7</v>
      </c>
      <c r="R67" s="2" t="inlineStr">
        <is>
          <t>Brunpudrad nållav
Garnlav
Granticka
Spillkråka
Tretåig hackspett
Vitgrynig nållav
Revlummer</t>
        </is>
      </c>
      <c r="S67">
        <f>HYPERLINK("https://klasma.github.io/Logging_2462/artfynd/A 47932-2024 artfynd.xlsx", "A 47932-2024")</f>
        <v/>
      </c>
      <c r="T67">
        <f>HYPERLINK("https://klasma.github.io/Logging_2462/kartor/A 47932-2024 karta.png", "A 47932-2024")</f>
        <v/>
      </c>
      <c r="V67">
        <f>HYPERLINK("https://klasma.github.io/Logging_2462/klagomål/A 47932-2024 FSC-klagomål.docx", "A 47932-2024")</f>
        <v/>
      </c>
      <c r="W67">
        <f>HYPERLINK("https://klasma.github.io/Logging_2462/klagomålsmail/A 47932-2024 FSC-klagomål mail.docx", "A 47932-2024")</f>
        <v/>
      </c>
      <c r="X67">
        <f>HYPERLINK("https://klasma.github.io/Logging_2462/tillsyn/A 47932-2024 tillsynsbegäran.docx", "A 47932-2024")</f>
        <v/>
      </c>
      <c r="Y67">
        <f>HYPERLINK("https://klasma.github.io/Logging_2462/tillsynsmail/A 47932-2024 tillsynsbegäran mail.docx", "A 47932-2024")</f>
        <v/>
      </c>
      <c r="Z67">
        <f>HYPERLINK("https://klasma.github.io/Logging_2462/fåglar/A 47932-2024 prioriterade fågelarter.docx", "A 47932-2024")</f>
        <v/>
      </c>
    </row>
    <row r="68" ht="15" customHeight="1">
      <c r="A68" t="inlineStr">
        <is>
          <t>A 44354-2024</t>
        </is>
      </c>
      <c r="B68" s="1" t="n">
        <v>45573</v>
      </c>
      <c r="C68" s="1" t="n">
        <v>45929</v>
      </c>
      <c r="D68" t="inlineStr">
        <is>
          <t>VÄSTERBOTTENS LÄN</t>
        </is>
      </c>
      <c r="E68" t="inlineStr">
        <is>
          <t>VILHELMINA</t>
        </is>
      </c>
      <c r="F68" t="inlineStr">
        <is>
          <t>SCA</t>
        </is>
      </c>
      <c r="G68" t="n">
        <v>4.4</v>
      </c>
      <c r="H68" t="n">
        <v>3</v>
      </c>
      <c r="I68" t="n">
        <v>0</v>
      </c>
      <c r="J68" t="n">
        <v>7</v>
      </c>
      <c r="K68" t="n">
        <v>0</v>
      </c>
      <c r="L68" t="n">
        <v>0</v>
      </c>
      <c r="M68" t="n">
        <v>0</v>
      </c>
      <c r="N68" t="n">
        <v>0</v>
      </c>
      <c r="O68" t="n">
        <v>7</v>
      </c>
      <c r="P68" t="n">
        <v>0</v>
      </c>
      <c r="Q68" t="n">
        <v>7</v>
      </c>
      <c r="R68" s="2" t="inlineStr">
        <is>
          <t>Gammelgransskål
Garnlav
Granticka
Rödvingetrast
Spillkråka
Tretåig hackspett
Vitgrynig nållav</t>
        </is>
      </c>
      <c r="S68">
        <f>HYPERLINK("https://klasma.github.io/Logging_2462/artfynd/A 44354-2024 artfynd.xlsx", "A 44354-2024")</f>
        <v/>
      </c>
      <c r="T68">
        <f>HYPERLINK("https://klasma.github.io/Logging_2462/kartor/A 44354-2024 karta.png", "A 44354-2024")</f>
        <v/>
      </c>
      <c r="V68">
        <f>HYPERLINK("https://klasma.github.io/Logging_2462/klagomål/A 44354-2024 FSC-klagomål.docx", "A 44354-2024")</f>
        <v/>
      </c>
      <c r="W68">
        <f>HYPERLINK("https://klasma.github.io/Logging_2462/klagomålsmail/A 44354-2024 FSC-klagomål mail.docx", "A 44354-2024")</f>
        <v/>
      </c>
      <c r="X68">
        <f>HYPERLINK("https://klasma.github.io/Logging_2462/tillsyn/A 44354-2024 tillsynsbegäran.docx", "A 44354-2024")</f>
        <v/>
      </c>
      <c r="Y68">
        <f>HYPERLINK("https://klasma.github.io/Logging_2462/tillsynsmail/A 44354-2024 tillsynsbegäran mail.docx", "A 44354-2024")</f>
        <v/>
      </c>
      <c r="Z68">
        <f>HYPERLINK("https://klasma.github.io/Logging_2462/fåglar/A 44354-2024 prioriterade fågelarter.docx", "A 44354-2024")</f>
        <v/>
      </c>
    </row>
    <row r="69" ht="15" customHeight="1">
      <c r="A69" t="inlineStr">
        <is>
          <t>A 25564-2024</t>
        </is>
      </c>
      <c r="B69" s="1" t="n">
        <v>45463</v>
      </c>
      <c r="C69" s="1" t="n">
        <v>45929</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35393-2024</t>
        </is>
      </c>
      <c r="B70" s="1" t="n">
        <v>45531</v>
      </c>
      <c r="C70" s="1" t="n">
        <v>45929</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32456-2024</t>
        </is>
      </c>
      <c r="B71" s="1" t="n">
        <v>45512</v>
      </c>
      <c r="C71" s="1" t="n">
        <v>45929</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18873-2025</t>
        </is>
      </c>
      <c r="B72" s="1" t="n">
        <v>45764</v>
      </c>
      <c r="C72" s="1" t="n">
        <v>45929</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15852-2022</t>
        </is>
      </c>
      <c r="B73" s="1" t="n">
        <v>44664</v>
      </c>
      <c r="C73" s="1" t="n">
        <v>45929</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57099-2024</t>
        </is>
      </c>
      <c r="B74" s="1" t="n">
        <v>45629</v>
      </c>
      <c r="C74" s="1" t="n">
        <v>45929</v>
      </c>
      <c r="D74" t="inlineStr">
        <is>
          <t>VÄSTERBOTTENS LÄN</t>
        </is>
      </c>
      <c r="E74" t="inlineStr">
        <is>
          <t>VILHELMINA</t>
        </is>
      </c>
      <c r="F74" t="inlineStr">
        <is>
          <t>SCA</t>
        </is>
      </c>
      <c r="G74" t="n">
        <v>2.1</v>
      </c>
      <c r="H74" t="n">
        <v>2</v>
      </c>
      <c r="I74" t="n">
        <v>0</v>
      </c>
      <c r="J74" t="n">
        <v>5</v>
      </c>
      <c r="K74" t="n">
        <v>0</v>
      </c>
      <c r="L74" t="n">
        <v>0</v>
      </c>
      <c r="M74" t="n">
        <v>0</v>
      </c>
      <c r="N74" t="n">
        <v>0</v>
      </c>
      <c r="O74" t="n">
        <v>5</v>
      </c>
      <c r="P74" t="n">
        <v>0</v>
      </c>
      <c r="Q74" t="n">
        <v>6</v>
      </c>
      <c r="R74" s="2" t="inlineStr">
        <is>
          <t>Gammelgransskål
Garnlav
Rosenticka
Tretåig hackspett
Ullticka
Orre</t>
        </is>
      </c>
      <c r="S74">
        <f>HYPERLINK("https://klasma.github.io/Logging_2462/artfynd/A 57099-2024 artfynd.xlsx", "A 57099-2024")</f>
        <v/>
      </c>
      <c r="T74">
        <f>HYPERLINK("https://klasma.github.io/Logging_2462/kartor/A 57099-2024 karta.png", "A 57099-2024")</f>
        <v/>
      </c>
      <c r="V74">
        <f>HYPERLINK("https://klasma.github.io/Logging_2462/klagomål/A 57099-2024 FSC-klagomål.docx", "A 57099-2024")</f>
        <v/>
      </c>
      <c r="W74">
        <f>HYPERLINK("https://klasma.github.io/Logging_2462/klagomålsmail/A 57099-2024 FSC-klagomål mail.docx", "A 57099-2024")</f>
        <v/>
      </c>
      <c r="X74">
        <f>HYPERLINK("https://klasma.github.io/Logging_2462/tillsyn/A 57099-2024 tillsynsbegäran.docx", "A 57099-2024")</f>
        <v/>
      </c>
      <c r="Y74">
        <f>HYPERLINK("https://klasma.github.io/Logging_2462/tillsynsmail/A 57099-2024 tillsynsbegäran mail.docx", "A 57099-2024")</f>
        <v/>
      </c>
      <c r="Z74">
        <f>HYPERLINK("https://klasma.github.io/Logging_2462/fåglar/A 57099-2024 prioriterade fågelarter.docx", "A 57099-2024")</f>
        <v/>
      </c>
    </row>
    <row r="75" ht="15" customHeight="1">
      <c r="A75" t="inlineStr">
        <is>
          <t>A 38540-2024</t>
        </is>
      </c>
      <c r="B75" s="1" t="n">
        <v>45546</v>
      </c>
      <c r="C75" s="1" t="n">
        <v>45929</v>
      </c>
      <c r="D75" t="inlineStr">
        <is>
          <t>VÄSTERBOTTENS LÄN</t>
        </is>
      </c>
      <c r="E75" t="inlineStr">
        <is>
          <t>VILHELMINA</t>
        </is>
      </c>
      <c r="G75" t="n">
        <v>2.7</v>
      </c>
      <c r="H75" t="n">
        <v>1</v>
      </c>
      <c r="I75" t="n">
        <v>1</v>
      </c>
      <c r="J75" t="n">
        <v>4</v>
      </c>
      <c r="K75" t="n">
        <v>1</v>
      </c>
      <c r="L75" t="n">
        <v>0</v>
      </c>
      <c r="M75" t="n">
        <v>0</v>
      </c>
      <c r="N75" t="n">
        <v>0</v>
      </c>
      <c r="O75" t="n">
        <v>5</v>
      </c>
      <c r="P75" t="n">
        <v>1</v>
      </c>
      <c r="Q75" t="n">
        <v>6</v>
      </c>
      <c r="R75" s="2" t="inlineStr">
        <is>
          <t>Rynkskinn
Doftskinn
Gammelgransskål
Granticka
Tretåig hackspett
Skogshakmossa</t>
        </is>
      </c>
      <c r="S75">
        <f>HYPERLINK("https://klasma.github.io/Logging_2462/artfynd/A 38540-2024 artfynd.xlsx", "A 38540-2024")</f>
        <v/>
      </c>
      <c r="T75">
        <f>HYPERLINK("https://klasma.github.io/Logging_2462/kartor/A 38540-2024 karta.png", "A 38540-2024")</f>
        <v/>
      </c>
      <c r="V75">
        <f>HYPERLINK("https://klasma.github.io/Logging_2462/klagomål/A 38540-2024 FSC-klagomål.docx", "A 38540-2024")</f>
        <v/>
      </c>
      <c r="W75">
        <f>HYPERLINK("https://klasma.github.io/Logging_2462/klagomålsmail/A 38540-2024 FSC-klagomål mail.docx", "A 38540-2024")</f>
        <v/>
      </c>
      <c r="X75">
        <f>HYPERLINK("https://klasma.github.io/Logging_2462/tillsyn/A 38540-2024 tillsynsbegäran.docx", "A 38540-2024")</f>
        <v/>
      </c>
      <c r="Y75">
        <f>HYPERLINK("https://klasma.github.io/Logging_2462/tillsynsmail/A 38540-2024 tillsynsbegäran mail.docx", "A 38540-2024")</f>
        <v/>
      </c>
      <c r="Z75">
        <f>HYPERLINK("https://klasma.github.io/Logging_2462/fåglar/A 38540-2024 prioriterade fågelarter.docx", "A 38540-2024")</f>
        <v/>
      </c>
    </row>
    <row r="76" ht="15" customHeight="1">
      <c r="A76" t="inlineStr">
        <is>
          <t>A 39678-2024</t>
        </is>
      </c>
      <c r="B76" s="1" t="n">
        <v>45552</v>
      </c>
      <c r="C76" s="1" t="n">
        <v>45929</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25040-2025</t>
        </is>
      </c>
      <c r="B77" s="1" t="n">
        <v>45799.65734953704</v>
      </c>
      <c r="C77" s="1" t="n">
        <v>45929</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45929</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49135-2023</t>
        </is>
      </c>
      <c r="B79" s="1" t="n">
        <v>45205</v>
      </c>
      <c r="C79" s="1" t="n">
        <v>45929</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45929</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44874-2024</t>
        </is>
      </c>
      <c r="B81" s="1" t="n">
        <v>45575</v>
      </c>
      <c r="C81" s="1" t="n">
        <v>45929</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896-2025</t>
        </is>
      </c>
      <c r="B82" s="1" t="n">
        <v>45665</v>
      </c>
      <c r="C82" s="1" t="n">
        <v>45929</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31198-2023</t>
        </is>
      </c>
      <c r="B83" s="1" t="n">
        <v>45113</v>
      </c>
      <c r="C83" s="1" t="n">
        <v>45929</v>
      </c>
      <c r="D83" t="inlineStr">
        <is>
          <t>VÄSTERBOTTENS LÄN</t>
        </is>
      </c>
      <c r="E83" t="inlineStr">
        <is>
          <t>VILHELMINA</t>
        </is>
      </c>
      <c r="F83" t="inlineStr">
        <is>
          <t>SCA</t>
        </is>
      </c>
      <c r="G83" t="n">
        <v>4.2</v>
      </c>
      <c r="H83" t="n">
        <v>1</v>
      </c>
      <c r="I83" t="n">
        <v>0</v>
      </c>
      <c r="J83" t="n">
        <v>4</v>
      </c>
      <c r="K83" t="n">
        <v>0</v>
      </c>
      <c r="L83" t="n">
        <v>0</v>
      </c>
      <c r="M83" t="n">
        <v>0</v>
      </c>
      <c r="N83" t="n">
        <v>0</v>
      </c>
      <c r="O83" t="n">
        <v>4</v>
      </c>
      <c r="P83" t="n">
        <v>0</v>
      </c>
      <c r="Q83" t="n">
        <v>4</v>
      </c>
      <c r="R83" s="2" t="inlineStr">
        <is>
          <t>Garnlav
Knottrig blåslav
Tretåig hackspett
Vitgrynig nållav</t>
        </is>
      </c>
      <c r="S83">
        <f>HYPERLINK("https://klasma.github.io/Logging_2462/artfynd/A 31198-2023 artfynd.xlsx", "A 31198-2023")</f>
        <v/>
      </c>
      <c r="T83">
        <f>HYPERLINK("https://klasma.github.io/Logging_2462/kartor/A 31198-2023 karta.png", "A 31198-2023")</f>
        <v/>
      </c>
      <c r="V83">
        <f>HYPERLINK("https://klasma.github.io/Logging_2462/klagomål/A 31198-2023 FSC-klagomål.docx", "A 31198-2023")</f>
        <v/>
      </c>
      <c r="W83">
        <f>HYPERLINK("https://klasma.github.io/Logging_2462/klagomålsmail/A 31198-2023 FSC-klagomål mail.docx", "A 31198-2023")</f>
        <v/>
      </c>
      <c r="X83">
        <f>HYPERLINK("https://klasma.github.io/Logging_2462/tillsyn/A 31198-2023 tillsynsbegäran.docx", "A 31198-2023")</f>
        <v/>
      </c>
      <c r="Y83">
        <f>HYPERLINK("https://klasma.github.io/Logging_2462/tillsynsmail/A 31198-2023 tillsynsbegäran mail.docx", "A 31198-2023")</f>
        <v/>
      </c>
      <c r="Z83">
        <f>HYPERLINK("https://klasma.github.io/Logging_2462/fåglar/A 31198-2023 prioriterade fågelarter.docx", "A 31198-2023")</f>
        <v/>
      </c>
    </row>
    <row r="84" ht="15" customHeight="1">
      <c r="A84" t="inlineStr">
        <is>
          <t>A 28867-2024</t>
        </is>
      </c>
      <c r="B84" s="1" t="n">
        <v>45478</v>
      </c>
      <c r="C84" s="1" t="n">
        <v>45929</v>
      </c>
      <c r="D84" t="inlineStr">
        <is>
          <t>VÄSTERBOTTENS LÄN</t>
        </is>
      </c>
      <c r="E84" t="inlineStr">
        <is>
          <t>VILHELMINA</t>
        </is>
      </c>
      <c r="F84" t="inlineStr">
        <is>
          <t>SCA</t>
        </is>
      </c>
      <c r="G84" t="n">
        <v>1</v>
      </c>
      <c r="H84" t="n">
        <v>1</v>
      </c>
      <c r="I84" t="n">
        <v>0</v>
      </c>
      <c r="J84" t="n">
        <v>4</v>
      </c>
      <c r="K84" t="n">
        <v>0</v>
      </c>
      <c r="L84" t="n">
        <v>0</v>
      </c>
      <c r="M84" t="n">
        <v>0</v>
      </c>
      <c r="N84" t="n">
        <v>0</v>
      </c>
      <c r="O84" t="n">
        <v>4</v>
      </c>
      <c r="P84" t="n">
        <v>0</v>
      </c>
      <c r="Q84" t="n">
        <v>4</v>
      </c>
      <c r="R84" s="2" t="inlineStr">
        <is>
          <t>Garnlav
Granticka
Liten svartspik
Tretåig hackspett</t>
        </is>
      </c>
      <c r="S84">
        <f>HYPERLINK("https://klasma.github.io/Logging_2462/artfynd/A 28867-2024 artfynd.xlsx", "A 28867-2024")</f>
        <v/>
      </c>
      <c r="T84">
        <f>HYPERLINK("https://klasma.github.io/Logging_2462/kartor/A 28867-2024 karta.png", "A 28867-2024")</f>
        <v/>
      </c>
      <c r="V84">
        <f>HYPERLINK("https://klasma.github.io/Logging_2462/klagomål/A 28867-2024 FSC-klagomål.docx", "A 28867-2024")</f>
        <v/>
      </c>
      <c r="W84">
        <f>HYPERLINK("https://klasma.github.io/Logging_2462/klagomålsmail/A 28867-2024 FSC-klagomål mail.docx", "A 28867-2024")</f>
        <v/>
      </c>
      <c r="X84">
        <f>HYPERLINK("https://klasma.github.io/Logging_2462/tillsyn/A 28867-2024 tillsynsbegäran.docx", "A 28867-2024")</f>
        <v/>
      </c>
      <c r="Y84">
        <f>HYPERLINK("https://klasma.github.io/Logging_2462/tillsynsmail/A 28867-2024 tillsynsbegäran mail.docx", "A 28867-2024")</f>
        <v/>
      </c>
      <c r="Z84">
        <f>HYPERLINK("https://klasma.github.io/Logging_2462/fåglar/A 28867-2024 prioriterade fågelarter.docx", "A 28867-2024")</f>
        <v/>
      </c>
    </row>
    <row r="85" ht="15" customHeight="1">
      <c r="A85" t="inlineStr">
        <is>
          <t>A 40736-2024</t>
        </is>
      </c>
      <c r="B85" s="1" t="n">
        <v>45558</v>
      </c>
      <c r="C85" s="1" t="n">
        <v>45929</v>
      </c>
      <c r="D85" t="inlineStr">
        <is>
          <t>VÄSTERBOTTENS LÄN</t>
        </is>
      </c>
      <c r="E85" t="inlineStr">
        <is>
          <t>VILHELMINA</t>
        </is>
      </c>
      <c r="F85" t="inlineStr">
        <is>
          <t>Allmännings- och besparingsskogar</t>
        </is>
      </c>
      <c r="G85" t="n">
        <v>285</v>
      </c>
      <c r="H85" t="n">
        <v>0</v>
      </c>
      <c r="I85" t="n">
        <v>0</v>
      </c>
      <c r="J85" t="n">
        <v>4</v>
      </c>
      <c r="K85" t="n">
        <v>0</v>
      </c>
      <c r="L85" t="n">
        <v>0</v>
      </c>
      <c r="M85" t="n">
        <v>0</v>
      </c>
      <c r="N85" t="n">
        <v>0</v>
      </c>
      <c r="O85" t="n">
        <v>4</v>
      </c>
      <c r="P85" t="n">
        <v>0</v>
      </c>
      <c r="Q85" t="n">
        <v>4</v>
      </c>
      <c r="R85" s="2" t="inlineStr">
        <is>
          <t>Gammelgransskål
Granticka
Knottrig blåslav
Rödbrun blekspik</t>
        </is>
      </c>
      <c r="S85">
        <f>HYPERLINK("https://klasma.github.io/Logging_2462/artfynd/A 40736-2024 artfynd.xlsx", "A 40736-2024")</f>
        <v/>
      </c>
      <c r="T85">
        <f>HYPERLINK("https://klasma.github.io/Logging_2462/kartor/A 40736-2024 karta.png", "A 40736-2024")</f>
        <v/>
      </c>
      <c r="V85">
        <f>HYPERLINK("https://klasma.github.io/Logging_2462/klagomål/A 40736-2024 FSC-klagomål.docx", "A 40736-2024")</f>
        <v/>
      </c>
      <c r="W85">
        <f>HYPERLINK("https://klasma.github.io/Logging_2462/klagomålsmail/A 40736-2024 FSC-klagomål mail.docx", "A 40736-2024")</f>
        <v/>
      </c>
      <c r="X85">
        <f>HYPERLINK("https://klasma.github.io/Logging_2462/tillsyn/A 40736-2024 tillsynsbegäran.docx", "A 40736-2024")</f>
        <v/>
      </c>
      <c r="Y85">
        <f>HYPERLINK("https://klasma.github.io/Logging_2462/tillsynsmail/A 40736-2024 tillsynsbegäran mail.docx", "A 40736-2024")</f>
        <v/>
      </c>
    </row>
    <row r="86" ht="15" customHeight="1">
      <c r="A86" t="inlineStr">
        <is>
          <t>A 44382-2023</t>
        </is>
      </c>
      <c r="B86" s="1" t="n">
        <v>45188.94413194444</v>
      </c>
      <c r="C86" s="1" t="n">
        <v>45929</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45929</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38124-2024</t>
        </is>
      </c>
      <c r="B88" s="1" t="n">
        <v>45545</v>
      </c>
      <c r="C88" s="1" t="n">
        <v>45929</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13604-2022</t>
        </is>
      </c>
      <c r="B89" s="1" t="n">
        <v>44648</v>
      </c>
      <c r="C89" s="1" t="n">
        <v>45929</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25503-2022</t>
        </is>
      </c>
      <c r="B90" s="1" t="n">
        <v>44732</v>
      </c>
      <c r="C90" s="1" t="n">
        <v>45929</v>
      </c>
      <c r="D90" t="inlineStr">
        <is>
          <t>VÄSTERBOTTENS LÄN</t>
        </is>
      </c>
      <c r="E90" t="inlineStr">
        <is>
          <t>VILHELMINA</t>
        </is>
      </c>
      <c r="G90" t="n">
        <v>1.9</v>
      </c>
      <c r="H90" t="n">
        <v>0</v>
      </c>
      <c r="I90" t="n">
        <v>3</v>
      </c>
      <c r="J90" t="n">
        <v>0</v>
      </c>
      <c r="K90" t="n">
        <v>0</v>
      </c>
      <c r="L90" t="n">
        <v>0</v>
      </c>
      <c r="M90" t="n">
        <v>0</v>
      </c>
      <c r="N90" t="n">
        <v>0</v>
      </c>
      <c r="O90" t="n">
        <v>0</v>
      </c>
      <c r="P90" t="n">
        <v>0</v>
      </c>
      <c r="Q90" t="n">
        <v>3</v>
      </c>
      <c r="R90" s="2" t="inlineStr">
        <is>
          <t>Gulnål
Skinnlav
Stuplav</t>
        </is>
      </c>
      <c r="S90">
        <f>HYPERLINK("https://klasma.github.io/Logging_2462/artfynd/A 25503-2022 artfynd.xlsx", "A 25503-2022")</f>
        <v/>
      </c>
      <c r="T90">
        <f>HYPERLINK("https://klasma.github.io/Logging_2462/kartor/A 25503-2022 karta.png", "A 25503-2022")</f>
        <v/>
      </c>
      <c r="V90">
        <f>HYPERLINK("https://klasma.github.io/Logging_2462/klagomål/A 25503-2022 FSC-klagomål.docx", "A 25503-2022")</f>
        <v/>
      </c>
      <c r="W90">
        <f>HYPERLINK("https://klasma.github.io/Logging_2462/klagomålsmail/A 25503-2022 FSC-klagomål mail.docx", "A 25503-2022")</f>
        <v/>
      </c>
      <c r="X90">
        <f>HYPERLINK("https://klasma.github.io/Logging_2462/tillsyn/A 25503-2022 tillsynsbegäran.docx", "A 25503-2022")</f>
        <v/>
      </c>
      <c r="Y90">
        <f>HYPERLINK("https://klasma.github.io/Logging_2462/tillsynsmail/A 25503-2022 tillsynsbegäran mail.docx", "A 25503-2022")</f>
        <v/>
      </c>
    </row>
    <row r="91" ht="15" customHeight="1">
      <c r="A91" t="inlineStr">
        <is>
          <t>A 41646-2024</t>
        </is>
      </c>
      <c r="B91" s="1" t="n">
        <v>45560</v>
      </c>
      <c r="C91" s="1" t="n">
        <v>45929</v>
      </c>
      <c r="D91" t="inlineStr">
        <is>
          <t>VÄSTERBOTTENS LÄN</t>
        </is>
      </c>
      <c r="E91" t="inlineStr">
        <is>
          <t>VILHELMINA</t>
        </is>
      </c>
      <c r="F91" t="inlineStr">
        <is>
          <t>SCA</t>
        </is>
      </c>
      <c r="G91" t="n">
        <v>4.8</v>
      </c>
      <c r="H91" t="n">
        <v>1</v>
      </c>
      <c r="I91" t="n">
        <v>0</v>
      </c>
      <c r="J91" t="n">
        <v>3</v>
      </c>
      <c r="K91" t="n">
        <v>0</v>
      </c>
      <c r="L91" t="n">
        <v>0</v>
      </c>
      <c r="M91" t="n">
        <v>0</v>
      </c>
      <c r="N91" t="n">
        <v>0</v>
      </c>
      <c r="O91" t="n">
        <v>3</v>
      </c>
      <c r="P91" t="n">
        <v>0</v>
      </c>
      <c r="Q91" t="n">
        <v>3</v>
      </c>
      <c r="R91" s="2" t="inlineStr">
        <is>
          <t>Garnlav
Tretåig hackspett
Ullticka</t>
        </is>
      </c>
      <c r="S91">
        <f>HYPERLINK("https://klasma.github.io/Logging_2462/artfynd/A 41646-2024 artfynd.xlsx", "A 41646-2024")</f>
        <v/>
      </c>
      <c r="T91">
        <f>HYPERLINK("https://klasma.github.io/Logging_2462/kartor/A 41646-2024 karta.png", "A 41646-2024")</f>
        <v/>
      </c>
      <c r="V91">
        <f>HYPERLINK("https://klasma.github.io/Logging_2462/klagomål/A 41646-2024 FSC-klagomål.docx", "A 41646-2024")</f>
        <v/>
      </c>
      <c r="W91">
        <f>HYPERLINK("https://klasma.github.io/Logging_2462/klagomålsmail/A 41646-2024 FSC-klagomål mail.docx", "A 41646-2024")</f>
        <v/>
      </c>
      <c r="X91">
        <f>HYPERLINK("https://klasma.github.io/Logging_2462/tillsyn/A 41646-2024 tillsynsbegäran.docx", "A 41646-2024")</f>
        <v/>
      </c>
      <c r="Y91">
        <f>HYPERLINK("https://klasma.github.io/Logging_2462/tillsynsmail/A 41646-2024 tillsynsbegäran mail.docx", "A 41646-2024")</f>
        <v/>
      </c>
      <c r="Z91">
        <f>HYPERLINK("https://klasma.github.io/Logging_2462/fåglar/A 41646-2024 prioriterade fågelarter.docx", "A 41646-2024")</f>
        <v/>
      </c>
    </row>
    <row r="92" ht="15" customHeight="1">
      <c r="A92" t="inlineStr">
        <is>
          <t>A 38534-2024</t>
        </is>
      </c>
      <c r="B92" s="1" t="n">
        <v>45546</v>
      </c>
      <c r="C92" s="1" t="n">
        <v>45929</v>
      </c>
      <c r="D92" t="inlineStr">
        <is>
          <t>VÄSTERBOTTENS LÄN</t>
        </is>
      </c>
      <c r="E92" t="inlineStr">
        <is>
          <t>VILHELMINA</t>
        </is>
      </c>
      <c r="G92" t="n">
        <v>10.5</v>
      </c>
      <c r="H92" t="n">
        <v>1</v>
      </c>
      <c r="I92" t="n">
        <v>1</v>
      </c>
      <c r="J92" t="n">
        <v>2</v>
      </c>
      <c r="K92" t="n">
        <v>0</v>
      </c>
      <c r="L92" t="n">
        <v>0</v>
      </c>
      <c r="M92" t="n">
        <v>0</v>
      </c>
      <c r="N92" t="n">
        <v>0</v>
      </c>
      <c r="O92" t="n">
        <v>2</v>
      </c>
      <c r="P92" t="n">
        <v>0</v>
      </c>
      <c r="Q92" t="n">
        <v>3</v>
      </c>
      <c r="R92" s="2" t="inlineStr">
        <is>
          <t>Tretåig hackspett
Ullticka
Trådticka</t>
        </is>
      </c>
      <c r="S92">
        <f>HYPERLINK("https://klasma.github.io/Logging_2462/artfynd/A 38534-2024 artfynd.xlsx", "A 38534-2024")</f>
        <v/>
      </c>
      <c r="T92">
        <f>HYPERLINK("https://klasma.github.io/Logging_2462/kartor/A 38534-2024 karta.png", "A 38534-2024")</f>
        <v/>
      </c>
      <c r="V92">
        <f>HYPERLINK("https://klasma.github.io/Logging_2462/klagomål/A 38534-2024 FSC-klagomål.docx", "A 38534-2024")</f>
        <v/>
      </c>
      <c r="W92">
        <f>HYPERLINK("https://klasma.github.io/Logging_2462/klagomålsmail/A 38534-2024 FSC-klagomål mail.docx", "A 38534-2024")</f>
        <v/>
      </c>
      <c r="X92">
        <f>HYPERLINK("https://klasma.github.io/Logging_2462/tillsyn/A 38534-2024 tillsynsbegäran.docx", "A 38534-2024")</f>
        <v/>
      </c>
      <c r="Y92">
        <f>HYPERLINK("https://klasma.github.io/Logging_2462/tillsynsmail/A 38534-2024 tillsynsbegäran mail.docx", "A 38534-2024")</f>
        <v/>
      </c>
      <c r="Z92">
        <f>HYPERLINK("https://klasma.github.io/Logging_2462/fåglar/A 38534-2024 prioriterade fågelarter.docx", "A 38534-2024")</f>
        <v/>
      </c>
    </row>
    <row r="93" ht="15" customHeight="1">
      <c r="A93" t="inlineStr">
        <is>
          <t>A 54780-2024</t>
        </is>
      </c>
      <c r="B93" s="1" t="n">
        <v>45618</v>
      </c>
      <c r="C93" s="1" t="n">
        <v>45929</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65382-2021</t>
        </is>
      </c>
      <c r="B94" s="1" t="n">
        <v>44515</v>
      </c>
      <c r="C94" s="1" t="n">
        <v>45929</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42063-2024</t>
        </is>
      </c>
      <c r="B95" s="1" t="n">
        <v>45561</v>
      </c>
      <c r="C95" s="1" t="n">
        <v>45929</v>
      </c>
      <c r="D95" t="inlineStr">
        <is>
          <t>VÄSTERBOTTENS LÄN</t>
        </is>
      </c>
      <c r="E95" t="inlineStr">
        <is>
          <t>VILHELMINA</t>
        </is>
      </c>
      <c r="G95" t="n">
        <v>7.4</v>
      </c>
      <c r="H95" t="n">
        <v>0</v>
      </c>
      <c r="I95" t="n">
        <v>1</v>
      </c>
      <c r="J95" t="n">
        <v>2</v>
      </c>
      <c r="K95" t="n">
        <v>0</v>
      </c>
      <c r="L95" t="n">
        <v>0</v>
      </c>
      <c r="M95" t="n">
        <v>0</v>
      </c>
      <c r="N95" t="n">
        <v>0</v>
      </c>
      <c r="O95" t="n">
        <v>2</v>
      </c>
      <c r="P95" t="n">
        <v>0</v>
      </c>
      <c r="Q95" t="n">
        <v>3</v>
      </c>
      <c r="R95" s="2" t="inlineStr">
        <is>
          <t>Garnlav
Skrovellav
Luddlav</t>
        </is>
      </c>
      <c r="S95">
        <f>HYPERLINK("https://klasma.github.io/Logging_2462/artfynd/A 42063-2024 artfynd.xlsx", "A 42063-2024")</f>
        <v/>
      </c>
      <c r="T95">
        <f>HYPERLINK("https://klasma.github.io/Logging_2462/kartor/A 42063-2024 karta.png", "A 42063-2024")</f>
        <v/>
      </c>
      <c r="V95">
        <f>HYPERLINK("https://klasma.github.io/Logging_2462/klagomål/A 42063-2024 FSC-klagomål.docx", "A 42063-2024")</f>
        <v/>
      </c>
      <c r="W95">
        <f>HYPERLINK("https://klasma.github.io/Logging_2462/klagomålsmail/A 42063-2024 FSC-klagomål mail.docx", "A 42063-2024")</f>
        <v/>
      </c>
      <c r="X95">
        <f>HYPERLINK("https://klasma.github.io/Logging_2462/tillsyn/A 42063-2024 tillsynsbegäran.docx", "A 42063-2024")</f>
        <v/>
      </c>
      <c r="Y95">
        <f>HYPERLINK("https://klasma.github.io/Logging_2462/tillsynsmail/A 42063-2024 tillsynsbegäran mail.docx", "A 42063-2024")</f>
        <v/>
      </c>
    </row>
    <row r="96" ht="15" customHeight="1">
      <c r="A96" t="inlineStr">
        <is>
          <t>A 56618-2024</t>
        </is>
      </c>
      <c r="B96" s="1" t="n">
        <v>45625</v>
      </c>
      <c r="C96" s="1" t="n">
        <v>45929</v>
      </c>
      <c r="D96" t="inlineStr">
        <is>
          <t>VÄSTERBOTTENS LÄN</t>
        </is>
      </c>
      <c r="E96" t="inlineStr">
        <is>
          <t>VILHELMINA</t>
        </is>
      </c>
      <c r="F96" t="inlineStr">
        <is>
          <t>Allmännings- och besparingsskogar</t>
        </is>
      </c>
      <c r="G96" t="n">
        <v>17.1</v>
      </c>
      <c r="H96" t="n">
        <v>1</v>
      </c>
      <c r="I96" t="n">
        <v>0</v>
      </c>
      <c r="J96" t="n">
        <v>3</v>
      </c>
      <c r="K96" t="n">
        <v>0</v>
      </c>
      <c r="L96" t="n">
        <v>0</v>
      </c>
      <c r="M96" t="n">
        <v>0</v>
      </c>
      <c r="N96" t="n">
        <v>0</v>
      </c>
      <c r="O96" t="n">
        <v>3</v>
      </c>
      <c r="P96" t="n">
        <v>0</v>
      </c>
      <c r="Q96" t="n">
        <v>3</v>
      </c>
      <c r="R96" s="2" t="inlineStr">
        <is>
          <t>Granticka
Tretåig hackspett
Ullticka</t>
        </is>
      </c>
      <c r="S96">
        <f>HYPERLINK("https://klasma.github.io/Logging_2462/artfynd/A 56618-2024 artfynd.xlsx", "A 56618-2024")</f>
        <v/>
      </c>
      <c r="T96">
        <f>HYPERLINK("https://klasma.github.io/Logging_2462/kartor/A 56618-2024 karta.png", "A 56618-2024")</f>
        <v/>
      </c>
      <c r="V96">
        <f>HYPERLINK("https://klasma.github.io/Logging_2462/klagomål/A 56618-2024 FSC-klagomål.docx", "A 56618-2024")</f>
        <v/>
      </c>
      <c r="W96">
        <f>HYPERLINK("https://klasma.github.io/Logging_2462/klagomålsmail/A 56618-2024 FSC-klagomål mail.docx", "A 56618-2024")</f>
        <v/>
      </c>
      <c r="X96">
        <f>HYPERLINK("https://klasma.github.io/Logging_2462/tillsyn/A 56618-2024 tillsynsbegäran.docx", "A 56618-2024")</f>
        <v/>
      </c>
      <c r="Y96">
        <f>HYPERLINK("https://klasma.github.io/Logging_2462/tillsynsmail/A 56618-2024 tillsynsbegäran mail.docx", "A 56618-2024")</f>
        <v/>
      </c>
      <c r="Z96">
        <f>HYPERLINK("https://klasma.github.io/Logging_2462/fåglar/A 56618-2024 prioriterade fågelarter.docx", "A 56618-2024")</f>
        <v/>
      </c>
    </row>
    <row r="97" ht="15" customHeight="1">
      <c r="A97" t="inlineStr">
        <is>
          <t>A 9157-2023</t>
        </is>
      </c>
      <c r="B97" s="1" t="n">
        <v>44972</v>
      </c>
      <c r="C97" s="1" t="n">
        <v>45929</v>
      </c>
      <c r="D97" t="inlineStr">
        <is>
          <t>VÄSTERBOTTENS LÄN</t>
        </is>
      </c>
      <c r="E97" t="inlineStr">
        <is>
          <t>VILHELMINA</t>
        </is>
      </c>
      <c r="F97" t="inlineStr">
        <is>
          <t>Allmännings- och besparingsskogar</t>
        </is>
      </c>
      <c r="G97" t="n">
        <v>411</v>
      </c>
      <c r="H97" t="n">
        <v>0</v>
      </c>
      <c r="I97" t="n">
        <v>0</v>
      </c>
      <c r="J97" t="n">
        <v>3</v>
      </c>
      <c r="K97" t="n">
        <v>0</v>
      </c>
      <c r="L97" t="n">
        <v>0</v>
      </c>
      <c r="M97" t="n">
        <v>0</v>
      </c>
      <c r="N97" t="n">
        <v>0</v>
      </c>
      <c r="O97" t="n">
        <v>3</v>
      </c>
      <c r="P97" t="n">
        <v>0</v>
      </c>
      <c r="Q97" t="n">
        <v>3</v>
      </c>
      <c r="R97" s="2" t="inlineStr">
        <is>
          <t>Garnlav
Granticka
Harticka</t>
        </is>
      </c>
      <c r="S97">
        <f>HYPERLINK("https://klasma.github.io/Logging_2462/artfynd/A 9157-2023 artfynd.xlsx", "A 9157-2023")</f>
        <v/>
      </c>
      <c r="T97">
        <f>HYPERLINK("https://klasma.github.io/Logging_2462/kartor/A 9157-2023 karta.png", "A 9157-2023")</f>
        <v/>
      </c>
      <c r="V97">
        <f>HYPERLINK("https://klasma.github.io/Logging_2462/klagomål/A 9157-2023 FSC-klagomål.docx", "A 9157-2023")</f>
        <v/>
      </c>
      <c r="W97">
        <f>HYPERLINK("https://klasma.github.io/Logging_2462/klagomålsmail/A 9157-2023 FSC-klagomål mail.docx", "A 9157-2023")</f>
        <v/>
      </c>
      <c r="X97">
        <f>HYPERLINK("https://klasma.github.io/Logging_2462/tillsyn/A 9157-2023 tillsynsbegäran.docx", "A 9157-2023")</f>
        <v/>
      </c>
      <c r="Y97">
        <f>HYPERLINK("https://klasma.github.io/Logging_2462/tillsynsmail/A 9157-2023 tillsynsbegäran mail.docx", "A 9157-2023")</f>
        <v/>
      </c>
    </row>
    <row r="98" ht="15" customHeight="1">
      <c r="A98" t="inlineStr">
        <is>
          <t>A 60737-2024</t>
        </is>
      </c>
      <c r="B98" s="1" t="n">
        <v>45644</v>
      </c>
      <c r="C98" s="1" t="n">
        <v>45929</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38123-2024</t>
        </is>
      </c>
      <c r="B99" s="1" t="n">
        <v>45545</v>
      </c>
      <c r="C99" s="1" t="n">
        <v>45929</v>
      </c>
      <c r="D99" t="inlineStr">
        <is>
          <t>VÄSTERBOTTENS LÄN</t>
        </is>
      </c>
      <c r="E99" t="inlineStr">
        <is>
          <t>VILHELMINA</t>
        </is>
      </c>
      <c r="F99" t="inlineStr">
        <is>
          <t>SCA</t>
        </is>
      </c>
      <c r="G99" t="n">
        <v>4.8</v>
      </c>
      <c r="H99" t="n">
        <v>2</v>
      </c>
      <c r="I99" t="n">
        <v>0</v>
      </c>
      <c r="J99" t="n">
        <v>3</v>
      </c>
      <c r="K99" t="n">
        <v>0</v>
      </c>
      <c r="L99" t="n">
        <v>0</v>
      </c>
      <c r="M99" t="n">
        <v>0</v>
      </c>
      <c r="N99" t="n">
        <v>0</v>
      </c>
      <c r="O99" t="n">
        <v>3</v>
      </c>
      <c r="P99" t="n">
        <v>0</v>
      </c>
      <c r="Q99" t="n">
        <v>3</v>
      </c>
      <c r="R99" s="2" t="inlineStr">
        <is>
          <t>Garnlav
Spillkråka
Tretåig hackspett</t>
        </is>
      </c>
      <c r="S99">
        <f>HYPERLINK("https://klasma.github.io/Logging_2462/artfynd/A 38123-2024 artfynd.xlsx", "A 38123-2024")</f>
        <v/>
      </c>
      <c r="T99">
        <f>HYPERLINK("https://klasma.github.io/Logging_2462/kartor/A 38123-2024 karta.png", "A 38123-2024")</f>
        <v/>
      </c>
      <c r="V99">
        <f>HYPERLINK("https://klasma.github.io/Logging_2462/klagomål/A 38123-2024 FSC-klagomål.docx", "A 38123-2024")</f>
        <v/>
      </c>
      <c r="W99">
        <f>HYPERLINK("https://klasma.github.io/Logging_2462/klagomålsmail/A 38123-2024 FSC-klagomål mail.docx", "A 38123-2024")</f>
        <v/>
      </c>
      <c r="X99">
        <f>HYPERLINK("https://klasma.github.io/Logging_2462/tillsyn/A 38123-2024 tillsynsbegäran.docx", "A 38123-2024")</f>
        <v/>
      </c>
      <c r="Y99">
        <f>HYPERLINK("https://klasma.github.io/Logging_2462/tillsynsmail/A 38123-2024 tillsynsbegäran mail.docx", "A 38123-2024")</f>
        <v/>
      </c>
      <c r="Z99">
        <f>HYPERLINK("https://klasma.github.io/Logging_2462/fåglar/A 38123-2024 prioriterade fågelarter.docx", "A 38123-2024")</f>
        <v/>
      </c>
    </row>
    <row r="100" ht="15" customHeight="1">
      <c r="A100" t="inlineStr">
        <is>
          <t>A 32779-2025</t>
        </is>
      </c>
      <c r="B100" s="1" t="n">
        <v>45839.46946759259</v>
      </c>
      <c r="C100" s="1" t="n">
        <v>45929</v>
      </c>
      <c r="D100" t="inlineStr">
        <is>
          <t>VÄSTERBOTTENS LÄN</t>
        </is>
      </c>
      <c r="E100" t="inlineStr">
        <is>
          <t>VILHELMINA</t>
        </is>
      </c>
      <c r="F100" t="inlineStr">
        <is>
          <t>SCA</t>
        </is>
      </c>
      <c r="G100" t="n">
        <v>13.6</v>
      </c>
      <c r="H100" t="n">
        <v>0</v>
      </c>
      <c r="I100" t="n">
        <v>1</v>
      </c>
      <c r="J100" t="n">
        <v>2</v>
      </c>
      <c r="K100" t="n">
        <v>0</v>
      </c>
      <c r="L100" t="n">
        <v>0</v>
      </c>
      <c r="M100" t="n">
        <v>0</v>
      </c>
      <c r="N100" t="n">
        <v>0</v>
      </c>
      <c r="O100" t="n">
        <v>2</v>
      </c>
      <c r="P100" t="n">
        <v>0</v>
      </c>
      <c r="Q100" t="n">
        <v>3</v>
      </c>
      <c r="R100" s="2" t="inlineStr">
        <is>
          <t>Doftskinn
Lunglav
Stuplav</t>
        </is>
      </c>
      <c r="S100">
        <f>HYPERLINK("https://klasma.github.io/Logging_2462/artfynd/A 32779-2025 artfynd.xlsx", "A 32779-2025")</f>
        <v/>
      </c>
      <c r="T100">
        <f>HYPERLINK("https://klasma.github.io/Logging_2462/kartor/A 32779-2025 karta.png", "A 32779-2025")</f>
        <v/>
      </c>
      <c r="V100">
        <f>HYPERLINK("https://klasma.github.io/Logging_2462/klagomål/A 32779-2025 FSC-klagomål.docx", "A 32779-2025")</f>
        <v/>
      </c>
      <c r="W100">
        <f>HYPERLINK("https://klasma.github.io/Logging_2462/klagomålsmail/A 32779-2025 FSC-klagomål mail.docx", "A 32779-2025")</f>
        <v/>
      </c>
      <c r="X100">
        <f>HYPERLINK("https://klasma.github.io/Logging_2462/tillsyn/A 32779-2025 tillsynsbegäran.docx", "A 32779-2025")</f>
        <v/>
      </c>
      <c r="Y100">
        <f>HYPERLINK("https://klasma.github.io/Logging_2462/tillsynsmail/A 32779-2025 tillsynsbegäran mail.docx", "A 32779-2025")</f>
        <v/>
      </c>
    </row>
    <row r="101" ht="15" customHeight="1">
      <c r="A101" t="inlineStr">
        <is>
          <t>A 16463-2025</t>
        </is>
      </c>
      <c r="B101" s="1" t="n">
        <v>45751</v>
      </c>
      <c r="C101" s="1" t="n">
        <v>45929</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11980-2021</t>
        </is>
      </c>
      <c r="B102" s="1" t="n">
        <v>44266</v>
      </c>
      <c r="C102" s="1" t="n">
        <v>45929</v>
      </c>
      <c r="D102" t="inlineStr">
        <is>
          <t>VÄSTERBOTTENS LÄN</t>
        </is>
      </c>
      <c r="E102" t="inlineStr">
        <is>
          <t>VILHELMINA</t>
        </is>
      </c>
      <c r="F102" t="inlineStr">
        <is>
          <t>Allmännings- och besparingsskogar</t>
        </is>
      </c>
      <c r="G102" t="n">
        <v>4.1</v>
      </c>
      <c r="H102" t="n">
        <v>0</v>
      </c>
      <c r="I102" t="n">
        <v>1</v>
      </c>
      <c r="J102" t="n">
        <v>1</v>
      </c>
      <c r="K102" t="n">
        <v>0</v>
      </c>
      <c r="L102" t="n">
        <v>0</v>
      </c>
      <c r="M102" t="n">
        <v>0</v>
      </c>
      <c r="N102" t="n">
        <v>0</v>
      </c>
      <c r="O102" t="n">
        <v>1</v>
      </c>
      <c r="P102" t="n">
        <v>0</v>
      </c>
      <c r="Q102" t="n">
        <v>2</v>
      </c>
      <c r="R102" s="2" t="inlineStr">
        <is>
          <t>Skrovellav
Stuplav</t>
        </is>
      </c>
      <c r="S102">
        <f>HYPERLINK("https://klasma.github.io/Logging_2462/artfynd/A 11980-2021 artfynd.xlsx", "A 11980-2021")</f>
        <v/>
      </c>
      <c r="T102">
        <f>HYPERLINK("https://klasma.github.io/Logging_2462/kartor/A 11980-2021 karta.png", "A 11980-2021")</f>
        <v/>
      </c>
      <c r="V102">
        <f>HYPERLINK("https://klasma.github.io/Logging_2462/klagomål/A 11980-2021 FSC-klagomål.docx", "A 11980-2021")</f>
        <v/>
      </c>
      <c r="W102">
        <f>HYPERLINK("https://klasma.github.io/Logging_2462/klagomålsmail/A 11980-2021 FSC-klagomål mail.docx", "A 11980-2021")</f>
        <v/>
      </c>
      <c r="X102">
        <f>HYPERLINK("https://klasma.github.io/Logging_2462/tillsyn/A 11980-2021 tillsynsbegäran.docx", "A 11980-2021")</f>
        <v/>
      </c>
      <c r="Y102">
        <f>HYPERLINK("https://klasma.github.io/Logging_2462/tillsynsmail/A 11980-2021 tillsynsbegäran mail.docx", "A 11980-2021")</f>
        <v/>
      </c>
    </row>
    <row r="103" ht="15" customHeight="1">
      <c r="A103" t="inlineStr">
        <is>
          <t>A 19234-2021</t>
        </is>
      </c>
      <c r="B103" s="1" t="n">
        <v>44309</v>
      </c>
      <c r="C103" s="1" t="n">
        <v>45929</v>
      </c>
      <c r="D103" t="inlineStr">
        <is>
          <t>VÄSTERBOTTENS LÄN</t>
        </is>
      </c>
      <c r="E103" t="inlineStr">
        <is>
          <t>VILHELMINA</t>
        </is>
      </c>
      <c r="F103" t="inlineStr">
        <is>
          <t>Övriga Aktiebolag</t>
        </is>
      </c>
      <c r="G103" t="n">
        <v>12</v>
      </c>
      <c r="H103" t="n">
        <v>0</v>
      </c>
      <c r="I103" t="n">
        <v>0</v>
      </c>
      <c r="J103" t="n">
        <v>2</v>
      </c>
      <c r="K103" t="n">
        <v>0</v>
      </c>
      <c r="L103" t="n">
        <v>0</v>
      </c>
      <c r="M103" t="n">
        <v>0</v>
      </c>
      <c r="N103" t="n">
        <v>0</v>
      </c>
      <c r="O103" t="n">
        <v>2</v>
      </c>
      <c r="P103" t="n">
        <v>0</v>
      </c>
      <c r="Q103" t="n">
        <v>2</v>
      </c>
      <c r="R103" s="2" t="inlineStr">
        <is>
          <t>Granticka
Harticka</t>
        </is>
      </c>
      <c r="S103">
        <f>HYPERLINK("https://klasma.github.io/Logging_2462/artfynd/A 19234-2021 artfynd.xlsx", "A 19234-2021")</f>
        <v/>
      </c>
      <c r="T103">
        <f>HYPERLINK("https://klasma.github.io/Logging_2462/kartor/A 19234-2021 karta.png", "A 19234-2021")</f>
        <v/>
      </c>
      <c r="V103">
        <f>HYPERLINK("https://klasma.github.io/Logging_2462/klagomål/A 19234-2021 FSC-klagomål.docx", "A 19234-2021")</f>
        <v/>
      </c>
      <c r="W103">
        <f>HYPERLINK("https://klasma.github.io/Logging_2462/klagomålsmail/A 19234-2021 FSC-klagomål mail.docx", "A 19234-2021")</f>
        <v/>
      </c>
      <c r="X103">
        <f>HYPERLINK("https://klasma.github.io/Logging_2462/tillsyn/A 19234-2021 tillsynsbegäran.docx", "A 19234-2021")</f>
        <v/>
      </c>
      <c r="Y103">
        <f>HYPERLINK("https://klasma.github.io/Logging_2462/tillsynsmail/A 19234-2021 tillsynsbegäran mail.docx", "A 19234-2021")</f>
        <v/>
      </c>
    </row>
    <row r="104" ht="15" customHeight="1">
      <c r="A104" t="inlineStr">
        <is>
          <t>A 57861-2020</t>
        </is>
      </c>
      <c r="B104" s="1" t="n">
        <v>44141</v>
      </c>
      <c r="C104" s="1" t="n">
        <v>45929</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64030-2023</t>
        </is>
      </c>
      <c r="B105" s="1" t="n">
        <v>45278</v>
      </c>
      <c r="C105" s="1" t="n">
        <v>45929</v>
      </c>
      <c r="D105" t="inlineStr">
        <is>
          <t>VÄSTERBOTTENS LÄN</t>
        </is>
      </c>
      <c r="E105" t="inlineStr">
        <is>
          <t>VILHELMINA</t>
        </is>
      </c>
      <c r="F105" t="inlineStr">
        <is>
          <t>SCA</t>
        </is>
      </c>
      <c r="G105" t="n">
        <v>1.7</v>
      </c>
      <c r="H105" t="n">
        <v>1</v>
      </c>
      <c r="I105" t="n">
        <v>0</v>
      </c>
      <c r="J105" t="n">
        <v>2</v>
      </c>
      <c r="K105" t="n">
        <v>0</v>
      </c>
      <c r="L105" t="n">
        <v>0</v>
      </c>
      <c r="M105" t="n">
        <v>0</v>
      </c>
      <c r="N105" t="n">
        <v>0</v>
      </c>
      <c r="O105" t="n">
        <v>2</v>
      </c>
      <c r="P105" t="n">
        <v>0</v>
      </c>
      <c r="Q105" t="n">
        <v>2</v>
      </c>
      <c r="R105" s="2" t="inlineStr">
        <is>
          <t>Tretåig hackspett
Ullticka</t>
        </is>
      </c>
      <c r="S105">
        <f>HYPERLINK("https://klasma.github.io/Logging_2462/artfynd/A 64030-2023 artfynd.xlsx", "A 64030-2023")</f>
        <v/>
      </c>
      <c r="T105">
        <f>HYPERLINK("https://klasma.github.io/Logging_2462/kartor/A 64030-2023 karta.png", "A 64030-2023")</f>
        <v/>
      </c>
      <c r="V105">
        <f>HYPERLINK("https://klasma.github.io/Logging_2462/klagomål/A 64030-2023 FSC-klagomål.docx", "A 64030-2023")</f>
        <v/>
      </c>
      <c r="W105">
        <f>HYPERLINK("https://klasma.github.io/Logging_2462/klagomålsmail/A 64030-2023 FSC-klagomål mail.docx", "A 64030-2023")</f>
        <v/>
      </c>
      <c r="X105">
        <f>HYPERLINK("https://klasma.github.io/Logging_2462/tillsyn/A 64030-2023 tillsynsbegäran.docx", "A 64030-2023")</f>
        <v/>
      </c>
      <c r="Y105">
        <f>HYPERLINK("https://klasma.github.io/Logging_2462/tillsynsmail/A 64030-2023 tillsynsbegäran mail.docx", "A 64030-2023")</f>
        <v/>
      </c>
      <c r="Z105">
        <f>HYPERLINK("https://klasma.github.io/Logging_2462/fåglar/A 64030-2023 prioriterade fågelarter.docx", "A 64030-2023")</f>
        <v/>
      </c>
    </row>
    <row r="106" ht="15" customHeight="1">
      <c r="A106" t="inlineStr">
        <is>
          <t>A 25037-2024</t>
        </is>
      </c>
      <c r="B106" s="1" t="n">
        <v>45461</v>
      </c>
      <c r="C106" s="1" t="n">
        <v>45929</v>
      </c>
      <c r="D106" t="inlineStr">
        <is>
          <t>VÄSTERBOTTENS LÄN</t>
        </is>
      </c>
      <c r="E106" t="inlineStr">
        <is>
          <t>VILHELMINA</t>
        </is>
      </c>
      <c r="F106" t="inlineStr">
        <is>
          <t>SCA</t>
        </is>
      </c>
      <c r="G106" t="n">
        <v>0.5</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HYPERLINK("https://klasma.github.io/Logging_2462/artfynd/A 25037-2024 artfynd.xlsx", "A 25037-2024")</f>
        <v/>
      </c>
      <c r="T106">
        <f>HYPERLINK("https://klasma.github.io/Logging_2462/kartor/A 25037-2024 karta.png", "A 25037-2024")</f>
        <v/>
      </c>
      <c r="V106">
        <f>HYPERLINK("https://klasma.github.io/Logging_2462/klagomål/A 25037-2024 FSC-klagomål.docx", "A 25037-2024")</f>
        <v/>
      </c>
      <c r="W106">
        <f>HYPERLINK("https://klasma.github.io/Logging_2462/klagomålsmail/A 25037-2024 FSC-klagomål mail.docx", "A 25037-2024")</f>
        <v/>
      </c>
      <c r="X106">
        <f>HYPERLINK("https://klasma.github.io/Logging_2462/tillsyn/A 25037-2024 tillsynsbegäran.docx", "A 25037-2024")</f>
        <v/>
      </c>
      <c r="Y106">
        <f>HYPERLINK("https://klasma.github.io/Logging_2462/tillsynsmail/A 25037-2024 tillsynsbegäran mail.docx", "A 25037-2024")</f>
        <v/>
      </c>
      <c r="Z106">
        <f>HYPERLINK("https://klasma.github.io/Logging_2462/fåglar/A 25037-2024 prioriterade fågelarter.docx", "A 25037-2024")</f>
        <v/>
      </c>
    </row>
    <row r="107" ht="15" customHeight="1">
      <c r="A107" t="inlineStr">
        <is>
          <t>A 69023-2021</t>
        </is>
      </c>
      <c r="B107" s="1" t="n">
        <v>44529</v>
      </c>
      <c r="C107" s="1" t="n">
        <v>45929</v>
      </c>
      <c r="D107" t="inlineStr">
        <is>
          <t>VÄSTERBOTTENS LÄN</t>
        </is>
      </c>
      <c r="E107" t="inlineStr">
        <is>
          <t>VILHELMINA</t>
        </is>
      </c>
      <c r="G107" t="n">
        <v>88</v>
      </c>
      <c r="H107" t="n">
        <v>0</v>
      </c>
      <c r="I107" t="n">
        <v>0</v>
      </c>
      <c r="J107" t="n">
        <v>2</v>
      </c>
      <c r="K107" t="n">
        <v>0</v>
      </c>
      <c r="L107" t="n">
        <v>0</v>
      </c>
      <c r="M107" t="n">
        <v>0</v>
      </c>
      <c r="N107" t="n">
        <v>0</v>
      </c>
      <c r="O107" t="n">
        <v>2</v>
      </c>
      <c r="P107" t="n">
        <v>0</v>
      </c>
      <c r="Q107" t="n">
        <v>2</v>
      </c>
      <c r="R107" s="2" t="inlineStr">
        <is>
          <t>Garnlav
Lunglav</t>
        </is>
      </c>
      <c r="S107">
        <f>HYPERLINK("https://klasma.github.io/Logging_2462/artfynd/A 69023-2021 artfynd.xlsx", "A 69023-2021")</f>
        <v/>
      </c>
      <c r="T107">
        <f>HYPERLINK("https://klasma.github.io/Logging_2462/kartor/A 69023-2021 karta.png", "A 69023-2021")</f>
        <v/>
      </c>
      <c r="V107">
        <f>HYPERLINK("https://klasma.github.io/Logging_2462/klagomål/A 69023-2021 FSC-klagomål.docx", "A 69023-2021")</f>
        <v/>
      </c>
      <c r="W107">
        <f>HYPERLINK("https://klasma.github.io/Logging_2462/klagomålsmail/A 69023-2021 FSC-klagomål mail.docx", "A 69023-2021")</f>
        <v/>
      </c>
      <c r="X107">
        <f>HYPERLINK("https://klasma.github.io/Logging_2462/tillsyn/A 69023-2021 tillsynsbegäran.docx", "A 69023-2021")</f>
        <v/>
      </c>
      <c r="Y107">
        <f>HYPERLINK("https://klasma.github.io/Logging_2462/tillsynsmail/A 69023-2021 tillsynsbegäran mail.docx", "A 69023-2021")</f>
        <v/>
      </c>
    </row>
    <row r="108" ht="15" customHeight="1">
      <c r="A108" t="inlineStr">
        <is>
          <t>A 42274-2025</t>
        </is>
      </c>
      <c r="B108" s="1" t="n">
        <v>45903</v>
      </c>
      <c r="C108" s="1" t="n">
        <v>45929</v>
      </c>
      <c r="D108" t="inlineStr">
        <is>
          <t>VÄSTERBOTTENS LÄN</t>
        </is>
      </c>
      <c r="E108" t="inlineStr">
        <is>
          <t>VILHELMINA</t>
        </is>
      </c>
      <c r="F108" t="inlineStr">
        <is>
          <t>Övriga statliga verk och myndigheter</t>
        </is>
      </c>
      <c r="G108" t="n">
        <v>3.1</v>
      </c>
      <c r="H108" t="n">
        <v>2</v>
      </c>
      <c r="I108" t="n">
        <v>1</v>
      </c>
      <c r="J108" t="n">
        <v>1</v>
      </c>
      <c r="K108" t="n">
        <v>0</v>
      </c>
      <c r="L108" t="n">
        <v>0</v>
      </c>
      <c r="M108" t="n">
        <v>0</v>
      </c>
      <c r="N108" t="n">
        <v>0</v>
      </c>
      <c r="O108" t="n">
        <v>1</v>
      </c>
      <c r="P108" t="n">
        <v>0</v>
      </c>
      <c r="Q108" t="n">
        <v>2</v>
      </c>
      <c r="R108" s="2" t="inlineStr">
        <is>
          <t>Björktrast
Grönkulla</t>
        </is>
      </c>
      <c r="S108">
        <f>HYPERLINK("https://klasma.github.io/Logging_2462/artfynd/A 42274-2025 artfynd.xlsx", "A 42274-2025")</f>
        <v/>
      </c>
      <c r="T108">
        <f>HYPERLINK("https://klasma.github.io/Logging_2462/kartor/A 42274-2025 karta.png", "A 42274-2025")</f>
        <v/>
      </c>
      <c r="V108">
        <f>HYPERLINK("https://klasma.github.io/Logging_2462/klagomål/A 42274-2025 FSC-klagomål.docx", "A 42274-2025")</f>
        <v/>
      </c>
      <c r="W108">
        <f>HYPERLINK("https://klasma.github.io/Logging_2462/klagomålsmail/A 42274-2025 FSC-klagomål mail.docx", "A 42274-2025")</f>
        <v/>
      </c>
      <c r="X108">
        <f>HYPERLINK("https://klasma.github.io/Logging_2462/tillsyn/A 42274-2025 tillsynsbegäran.docx", "A 42274-2025")</f>
        <v/>
      </c>
      <c r="Y108">
        <f>HYPERLINK("https://klasma.github.io/Logging_2462/tillsynsmail/A 42274-2025 tillsynsbegäran mail.docx", "A 42274-2025")</f>
        <v/>
      </c>
      <c r="Z108">
        <f>HYPERLINK("https://klasma.github.io/Logging_2462/fåglar/A 42274-2025 prioriterade fågelarter.docx", "A 42274-2025")</f>
        <v/>
      </c>
    </row>
    <row r="109" ht="15" customHeight="1">
      <c r="A109" t="inlineStr">
        <is>
          <t>A 54779-2024</t>
        </is>
      </c>
      <c r="B109" s="1" t="n">
        <v>45618</v>
      </c>
      <c r="C109" s="1" t="n">
        <v>45929</v>
      </c>
      <c r="D109" t="inlineStr">
        <is>
          <t>VÄSTERBOTTENS LÄN</t>
        </is>
      </c>
      <c r="E109" t="inlineStr">
        <is>
          <t>VILHELMINA</t>
        </is>
      </c>
      <c r="F109" t="inlineStr">
        <is>
          <t>SCA</t>
        </is>
      </c>
      <c r="G109" t="n">
        <v>10.3</v>
      </c>
      <c r="H109" t="n">
        <v>0</v>
      </c>
      <c r="I109" t="n">
        <v>0</v>
      </c>
      <c r="J109" t="n">
        <v>2</v>
      </c>
      <c r="K109" t="n">
        <v>0</v>
      </c>
      <c r="L109" t="n">
        <v>0</v>
      </c>
      <c r="M109" t="n">
        <v>0</v>
      </c>
      <c r="N109" t="n">
        <v>0</v>
      </c>
      <c r="O109" t="n">
        <v>2</v>
      </c>
      <c r="P109" t="n">
        <v>0</v>
      </c>
      <c r="Q109" t="n">
        <v>2</v>
      </c>
      <c r="R109" s="2" t="inlineStr">
        <is>
          <t>Gammelgransskål
Harticka</t>
        </is>
      </c>
      <c r="S109">
        <f>HYPERLINK("https://klasma.github.io/Logging_2462/artfynd/A 54779-2024 artfynd.xlsx", "A 54779-2024")</f>
        <v/>
      </c>
      <c r="T109">
        <f>HYPERLINK("https://klasma.github.io/Logging_2462/kartor/A 54779-2024 karta.png", "A 54779-2024")</f>
        <v/>
      </c>
      <c r="V109">
        <f>HYPERLINK("https://klasma.github.io/Logging_2462/klagomål/A 54779-2024 FSC-klagomål.docx", "A 54779-2024")</f>
        <v/>
      </c>
      <c r="W109">
        <f>HYPERLINK("https://klasma.github.io/Logging_2462/klagomålsmail/A 54779-2024 FSC-klagomål mail.docx", "A 54779-2024")</f>
        <v/>
      </c>
      <c r="X109">
        <f>HYPERLINK("https://klasma.github.io/Logging_2462/tillsyn/A 54779-2024 tillsynsbegäran.docx", "A 54779-2024")</f>
        <v/>
      </c>
      <c r="Y109">
        <f>HYPERLINK("https://klasma.github.io/Logging_2462/tillsynsmail/A 54779-2024 tillsynsbegäran mail.docx", "A 54779-2024")</f>
        <v/>
      </c>
    </row>
    <row r="110" ht="15" customHeight="1">
      <c r="A110" t="inlineStr">
        <is>
          <t>A 46391-2024</t>
        </is>
      </c>
      <c r="B110" s="1" t="n">
        <v>45582</v>
      </c>
      <c r="C110" s="1" t="n">
        <v>45929</v>
      </c>
      <c r="D110" t="inlineStr">
        <is>
          <t>VÄSTERBOTTENS LÄN</t>
        </is>
      </c>
      <c r="E110" t="inlineStr">
        <is>
          <t>VILHELMINA</t>
        </is>
      </c>
      <c r="F110" t="inlineStr">
        <is>
          <t>SCA</t>
        </is>
      </c>
      <c r="G110" t="n">
        <v>23.4</v>
      </c>
      <c r="H110" t="n">
        <v>0</v>
      </c>
      <c r="I110" t="n">
        <v>0</v>
      </c>
      <c r="J110" t="n">
        <v>2</v>
      </c>
      <c r="K110" t="n">
        <v>0</v>
      </c>
      <c r="L110" t="n">
        <v>0</v>
      </c>
      <c r="M110" t="n">
        <v>0</v>
      </c>
      <c r="N110" t="n">
        <v>0</v>
      </c>
      <c r="O110" t="n">
        <v>2</v>
      </c>
      <c r="P110" t="n">
        <v>0</v>
      </c>
      <c r="Q110" t="n">
        <v>2</v>
      </c>
      <c r="R110" s="2" t="inlineStr">
        <is>
          <t>Granticka
Gränsticka</t>
        </is>
      </c>
      <c r="S110">
        <f>HYPERLINK("https://klasma.github.io/Logging_2462/artfynd/A 46391-2024 artfynd.xlsx", "A 46391-2024")</f>
        <v/>
      </c>
      <c r="T110">
        <f>HYPERLINK("https://klasma.github.io/Logging_2462/kartor/A 46391-2024 karta.png", "A 46391-2024")</f>
        <v/>
      </c>
      <c r="V110">
        <f>HYPERLINK("https://klasma.github.io/Logging_2462/klagomål/A 46391-2024 FSC-klagomål.docx", "A 46391-2024")</f>
        <v/>
      </c>
      <c r="W110">
        <f>HYPERLINK("https://klasma.github.io/Logging_2462/klagomålsmail/A 46391-2024 FSC-klagomål mail.docx", "A 46391-2024")</f>
        <v/>
      </c>
      <c r="X110">
        <f>HYPERLINK("https://klasma.github.io/Logging_2462/tillsyn/A 46391-2024 tillsynsbegäran.docx", "A 46391-2024")</f>
        <v/>
      </c>
      <c r="Y110">
        <f>HYPERLINK("https://klasma.github.io/Logging_2462/tillsynsmail/A 46391-2024 tillsynsbegäran mail.docx", "A 46391-2024")</f>
        <v/>
      </c>
    </row>
    <row r="111" ht="15" customHeight="1">
      <c r="A111" t="inlineStr">
        <is>
          <t>A 36998-2025</t>
        </is>
      </c>
      <c r="B111" s="1" t="n">
        <v>45874</v>
      </c>
      <c r="C111" s="1" t="n">
        <v>45929</v>
      </c>
      <c r="D111" t="inlineStr">
        <is>
          <t>VÄSTERBOTTENS LÄN</t>
        </is>
      </c>
      <c r="E111" t="inlineStr">
        <is>
          <t>VILHELMINA</t>
        </is>
      </c>
      <c r="F111" t="inlineStr">
        <is>
          <t>SCA</t>
        </is>
      </c>
      <c r="G111" t="n">
        <v>16.9</v>
      </c>
      <c r="H111" t="n">
        <v>1</v>
      </c>
      <c r="I111" t="n">
        <v>1</v>
      </c>
      <c r="J111" t="n">
        <v>1</v>
      </c>
      <c r="K111" t="n">
        <v>0</v>
      </c>
      <c r="L111" t="n">
        <v>0</v>
      </c>
      <c r="M111" t="n">
        <v>0</v>
      </c>
      <c r="N111" t="n">
        <v>0</v>
      </c>
      <c r="O111" t="n">
        <v>1</v>
      </c>
      <c r="P111" t="n">
        <v>0</v>
      </c>
      <c r="Q111" t="n">
        <v>2</v>
      </c>
      <c r="R111" s="2" t="inlineStr">
        <is>
          <t>Granticka
Lappranunkel</t>
        </is>
      </c>
      <c r="S111">
        <f>HYPERLINK("https://klasma.github.io/Logging_2462/artfynd/A 36998-2025 artfynd.xlsx", "A 36998-2025")</f>
        <v/>
      </c>
      <c r="T111">
        <f>HYPERLINK("https://klasma.github.io/Logging_2462/kartor/A 36998-2025 karta.png", "A 36998-2025")</f>
        <v/>
      </c>
      <c r="V111">
        <f>HYPERLINK("https://klasma.github.io/Logging_2462/klagomål/A 36998-2025 FSC-klagomål.docx", "A 36998-2025")</f>
        <v/>
      </c>
      <c r="W111">
        <f>HYPERLINK("https://klasma.github.io/Logging_2462/klagomålsmail/A 36998-2025 FSC-klagomål mail.docx", "A 36998-2025")</f>
        <v/>
      </c>
      <c r="X111">
        <f>HYPERLINK("https://klasma.github.io/Logging_2462/tillsyn/A 36998-2025 tillsynsbegäran.docx", "A 36998-2025")</f>
        <v/>
      </c>
      <c r="Y111">
        <f>HYPERLINK("https://klasma.github.io/Logging_2462/tillsynsmail/A 36998-2025 tillsynsbegäran mail.docx", "A 36998-2025")</f>
        <v/>
      </c>
    </row>
    <row r="112" ht="15" customHeight="1">
      <c r="A112" t="inlineStr">
        <is>
          <t>A 6704-2021</t>
        </is>
      </c>
      <c r="B112" s="1" t="n">
        <v>44235</v>
      </c>
      <c r="C112" s="1" t="n">
        <v>45929</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28012-2023</t>
        </is>
      </c>
      <c r="B113" s="1" t="n">
        <v>45098</v>
      </c>
      <c r="C113" s="1" t="n">
        <v>45929</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37513-2024</t>
        </is>
      </c>
      <c r="B114" s="1" t="n">
        <v>45541.38572916666</v>
      </c>
      <c r="C114" s="1" t="n">
        <v>45929</v>
      </c>
      <c r="D114" t="inlineStr">
        <is>
          <t>VÄSTERBOTTENS LÄN</t>
        </is>
      </c>
      <c r="E114" t="inlineStr">
        <is>
          <t>VILHELMINA</t>
        </is>
      </c>
      <c r="F114" t="inlineStr">
        <is>
          <t>SCA</t>
        </is>
      </c>
      <c r="G114" t="n">
        <v>3.4</v>
      </c>
      <c r="H114" t="n">
        <v>0</v>
      </c>
      <c r="I114" t="n">
        <v>0</v>
      </c>
      <c r="J114" t="n">
        <v>2</v>
      </c>
      <c r="K114" t="n">
        <v>0</v>
      </c>
      <c r="L114" t="n">
        <v>0</v>
      </c>
      <c r="M114" t="n">
        <v>0</v>
      </c>
      <c r="N114" t="n">
        <v>0</v>
      </c>
      <c r="O114" t="n">
        <v>2</v>
      </c>
      <c r="P114" t="n">
        <v>0</v>
      </c>
      <c r="Q114" t="n">
        <v>2</v>
      </c>
      <c r="R114" s="2" t="inlineStr">
        <is>
          <t>Rosenticka
Ullticka</t>
        </is>
      </c>
      <c r="S114">
        <f>HYPERLINK("https://klasma.github.io/Logging_2462/artfynd/A 37513-2024 artfynd.xlsx", "A 37513-2024")</f>
        <v/>
      </c>
      <c r="T114">
        <f>HYPERLINK("https://klasma.github.io/Logging_2462/kartor/A 37513-2024 karta.png", "A 37513-2024")</f>
        <v/>
      </c>
      <c r="V114">
        <f>HYPERLINK("https://klasma.github.io/Logging_2462/klagomål/A 37513-2024 FSC-klagomål.docx", "A 37513-2024")</f>
        <v/>
      </c>
      <c r="W114">
        <f>HYPERLINK("https://klasma.github.io/Logging_2462/klagomålsmail/A 37513-2024 FSC-klagomål mail.docx", "A 37513-2024")</f>
        <v/>
      </c>
      <c r="X114">
        <f>HYPERLINK("https://klasma.github.io/Logging_2462/tillsyn/A 37513-2024 tillsynsbegäran.docx", "A 37513-2024")</f>
        <v/>
      </c>
      <c r="Y114">
        <f>HYPERLINK("https://klasma.github.io/Logging_2462/tillsynsmail/A 37513-2024 tillsynsbegäran mail.docx", "A 37513-2024")</f>
        <v/>
      </c>
    </row>
    <row r="115" ht="15" customHeight="1">
      <c r="A115" t="inlineStr">
        <is>
          <t>A 65586-2021</t>
        </is>
      </c>
      <c r="B115" s="1" t="n">
        <v>44518</v>
      </c>
      <c r="C115" s="1" t="n">
        <v>45929</v>
      </c>
      <c r="D115" t="inlineStr">
        <is>
          <t>VÄSTERBOTTENS LÄN</t>
        </is>
      </c>
      <c r="E115" t="inlineStr">
        <is>
          <t>VILHELMINA</t>
        </is>
      </c>
      <c r="G115" t="n">
        <v>38</v>
      </c>
      <c r="H115" t="n">
        <v>2</v>
      </c>
      <c r="I115" t="n">
        <v>0</v>
      </c>
      <c r="J115" t="n">
        <v>1</v>
      </c>
      <c r="K115" t="n">
        <v>1</v>
      </c>
      <c r="L115" t="n">
        <v>0</v>
      </c>
      <c r="M115" t="n">
        <v>0</v>
      </c>
      <c r="N115" t="n">
        <v>0</v>
      </c>
      <c r="O115" t="n">
        <v>2</v>
      </c>
      <c r="P115" t="n">
        <v>1</v>
      </c>
      <c r="Q115" t="n">
        <v>2</v>
      </c>
      <c r="R115" s="2" t="inlineStr">
        <is>
          <t>Lappuggla
Tretåig hackspett</t>
        </is>
      </c>
      <c r="S115">
        <f>HYPERLINK("https://klasma.github.io/Logging_2462/artfynd/A 65586-2021 artfynd.xlsx", "A 65586-2021")</f>
        <v/>
      </c>
      <c r="T115">
        <f>HYPERLINK("https://klasma.github.io/Logging_2462/kartor/A 65586-2021 karta.png", "A 65586-2021")</f>
        <v/>
      </c>
      <c r="V115">
        <f>HYPERLINK("https://klasma.github.io/Logging_2462/klagomål/A 65586-2021 FSC-klagomål.docx", "A 65586-2021")</f>
        <v/>
      </c>
      <c r="W115">
        <f>HYPERLINK("https://klasma.github.io/Logging_2462/klagomålsmail/A 65586-2021 FSC-klagomål mail.docx", "A 65586-2021")</f>
        <v/>
      </c>
      <c r="X115">
        <f>HYPERLINK("https://klasma.github.io/Logging_2462/tillsyn/A 65586-2021 tillsynsbegäran.docx", "A 65586-2021")</f>
        <v/>
      </c>
      <c r="Y115">
        <f>HYPERLINK("https://klasma.github.io/Logging_2462/tillsynsmail/A 65586-2021 tillsynsbegäran mail.docx", "A 65586-2021")</f>
        <v/>
      </c>
      <c r="Z115">
        <f>HYPERLINK("https://klasma.github.io/Logging_2462/fåglar/A 65586-2021 prioriterade fågelarter.docx", "A 65586-2021")</f>
        <v/>
      </c>
    </row>
    <row r="116" ht="15" customHeight="1">
      <c r="A116" t="inlineStr">
        <is>
          <t>A 60379-2024</t>
        </is>
      </c>
      <c r="B116" s="1" t="n">
        <v>45643</v>
      </c>
      <c r="C116" s="1" t="n">
        <v>45929</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20983-2025</t>
        </is>
      </c>
      <c r="B117" s="1" t="n">
        <v>45777.46910879629</v>
      </c>
      <c r="C117" s="1" t="n">
        <v>45929</v>
      </c>
      <c r="D117" t="inlineStr">
        <is>
          <t>VÄSTERBOTTENS LÄN</t>
        </is>
      </c>
      <c r="E117" t="inlineStr">
        <is>
          <t>VILHELMINA</t>
        </is>
      </c>
      <c r="F117" t="inlineStr">
        <is>
          <t>SCA</t>
        </is>
      </c>
      <c r="G117" t="n">
        <v>1.2</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HYPERLINK("https://klasma.github.io/Logging_2462/artfynd/A 20983-2025 artfynd.xlsx", "A 20983-2025")</f>
        <v/>
      </c>
      <c r="T117">
        <f>HYPERLINK("https://klasma.github.io/Logging_2462/kartor/A 20983-2025 karta.png", "A 20983-2025")</f>
        <v/>
      </c>
      <c r="V117">
        <f>HYPERLINK("https://klasma.github.io/Logging_2462/klagomål/A 20983-2025 FSC-klagomål.docx", "A 20983-2025")</f>
        <v/>
      </c>
      <c r="W117">
        <f>HYPERLINK("https://klasma.github.io/Logging_2462/klagomålsmail/A 20983-2025 FSC-klagomål mail.docx", "A 20983-2025")</f>
        <v/>
      </c>
      <c r="X117">
        <f>HYPERLINK("https://klasma.github.io/Logging_2462/tillsyn/A 20983-2025 tillsynsbegäran.docx", "A 20983-2025")</f>
        <v/>
      </c>
      <c r="Y117">
        <f>HYPERLINK("https://klasma.github.io/Logging_2462/tillsynsmail/A 20983-2025 tillsynsbegäran mail.docx", "A 20983-2025")</f>
        <v/>
      </c>
      <c r="Z117">
        <f>HYPERLINK("https://klasma.github.io/Logging_2462/fåglar/A 20983-2025 prioriterade fågelarter.docx", "A 20983-2025")</f>
        <v/>
      </c>
    </row>
    <row r="118" ht="15" customHeight="1">
      <c r="A118" t="inlineStr">
        <is>
          <t>A 29140-2025</t>
        </is>
      </c>
      <c r="B118" s="1" t="n">
        <v>45821</v>
      </c>
      <c r="C118" s="1" t="n">
        <v>45929</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31735-2025</t>
        </is>
      </c>
      <c r="B119" s="1" t="n">
        <v>45834.47067129629</v>
      </c>
      <c r="C119" s="1" t="n">
        <v>45929</v>
      </c>
      <c r="D119" t="inlineStr">
        <is>
          <t>VÄSTERBOTTENS LÄN</t>
        </is>
      </c>
      <c r="E119" t="inlineStr">
        <is>
          <t>VILHELMINA</t>
        </is>
      </c>
      <c r="F119" t="inlineStr">
        <is>
          <t>SCA</t>
        </is>
      </c>
      <c r="G119" t="n">
        <v>7.4</v>
      </c>
      <c r="H119" t="n">
        <v>0</v>
      </c>
      <c r="I119" t="n">
        <v>1</v>
      </c>
      <c r="J119" t="n">
        <v>1</v>
      </c>
      <c r="K119" t="n">
        <v>0</v>
      </c>
      <c r="L119" t="n">
        <v>0</v>
      </c>
      <c r="M119" t="n">
        <v>0</v>
      </c>
      <c r="N119" t="n">
        <v>0</v>
      </c>
      <c r="O119" t="n">
        <v>1</v>
      </c>
      <c r="P119" t="n">
        <v>0</v>
      </c>
      <c r="Q119" t="n">
        <v>2</v>
      </c>
      <c r="R119" s="2" t="inlineStr">
        <is>
          <t>Skrovellav
Stuplav</t>
        </is>
      </c>
      <c r="S119">
        <f>HYPERLINK("https://klasma.github.io/Logging_2462/artfynd/A 31735-2025 artfynd.xlsx", "A 31735-2025")</f>
        <v/>
      </c>
      <c r="T119">
        <f>HYPERLINK("https://klasma.github.io/Logging_2462/kartor/A 31735-2025 karta.png", "A 31735-2025")</f>
        <v/>
      </c>
      <c r="V119">
        <f>HYPERLINK("https://klasma.github.io/Logging_2462/klagomål/A 31735-2025 FSC-klagomål.docx", "A 31735-2025")</f>
        <v/>
      </c>
      <c r="W119">
        <f>HYPERLINK("https://klasma.github.io/Logging_2462/klagomålsmail/A 31735-2025 FSC-klagomål mail.docx", "A 31735-2025")</f>
        <v/>
      </c>
      <c r="X119">
        <f>HYPERLINK("https://klasma.github.io/Logging_2462/tillsyn/A 31735-2025 tillsynsbegäran.docx", "A 31735-2025")</f>
        <v/>
      </c>
      <c r="Y119">
        <f>HYPERLINK("https://klasma.github.io/Logging_2462/tillsynsmail/A 31735-2025 tillsynsbegäran mail.docx", "A 31735-2025")</f>
        <v/>
      </c>
    </row>
    <row r="120" ht="15" customHeight="1">
      <c r="A120" t="inlineStr">
        <is>
          <t>A 41645-2024</t>
        </is>
      </c>
      <c r="B120" s="1" t="n">
        <v>45560</v>
      </c>
      <c r="C120" s="1" t="n">
        <v>45929</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30717-2023</t>
        </is>
      </c>
      <c r="B121" s="1" t="n">
        <v>45112</v>
      </c>
      <c r="C121" s="1" t="n">
        <v>45929</v>
      </c>
      <c r="D121" t="inlineStr">
        <is>
          <t>VÄSTERBOTTENS LÄN</t>
        </is>
      </c>
      <c r="E121" t="inlineStr">
        <is>
          <t>VILHELMINA</t>
        </is>
      </c>
      <c r="G121" t="n">
        <v>22.7</v>
      </c>
      <c r="H121" t="n">
        <v>0</v>
      </c>
      <c r="I121" t="n">
        <v>0</v>
      </c>
      <c r="J121" t="n">
        <v>2</v>
      </c>
      <c r="K121" t="n">
        <v>0</v>
      </c>
      <c r="L121" t="n">
        <v>0</v>
      </c>
      <c r="M121" t="n">
        <v>0</v>
      </c>
      <c r="N121" t="n">
        <v>0</v>
      </c>
      <c r="O121" t="n">
        <v>2</v>
      </c>
      <c r="P121" t="n">
        <v>0</v>
      </c>
      <c r="Q121" t="n">
        <v>2</v>
      </c>
      <c r="R121" s="2" t="inlineStr">
        <is>
          <t>Garnlav
Ullticka</t>
        </is>
      </c>
      <c r="S121">
        <f>HYPERLINK("https://klasma.github.io/Logging_2462/artfynd/A 30717-2023 artfynd.xlsx", "A 30717-2023")</f>
        <v/>
      </c>
      <c r="T121">
        <f>HYPERLINK("https://klasma.github.io/Logging_2462/kartor/A 30717-2023 karta.png", "A 30717-2023")</f>
        <v/>
      </c>
      <c r="V121">
        <f>HYPERLINK("https://klasma.github.io/Logging_2462/klagomål/A 30717-2023 FSC-klagomål.docx", "A 30717-2023")</f>
        <v/>
      </c>
      <c r="W121">
        <f>HYPERLINK("https://klasma.github.io/Logging_2462/klagomålsmail/A 30717-2023 FSC-klagomål mail.docx", "A 30717-2023")</f>
        <v/>
      </c>
      <c r="X121">
        <f>HYPERLINK("https://klasma.github.io/Logging_2462/tillsyn/A 30717-2023 tillsynsbegäran.docx", "A 30717-2023")</f>
        <v/>
      </c>
      <c r="Y121">
        <f>HYPERLINK("https://klasma.github.io/Logging_2462/tillsynsmail/A 30717-2023 tillsynsbegäran mail.docx", "A 30717-2023")</f>
        <v/>
      </c>
    </row>
    <row r="122" ht="15" customHeight="1">
      <c r="A122" t="inlineStr">
        <is>
          <t>A 69626-2020</t>
        </is>
      </c>
      <c r="B122" s="1" t="n">
        <v>44195</v>
      </c>
      <c r="C122" s="1" t="n">
        <v>45929</v>
      </c>
      <c r="D122" t="inlineStr">
        <is>
          <t>VÄSTERBOTTENS LÄN</t>
        </is>
      </c>
      <c r="E122" t="inlineStr">
        <is>
          <t>VILHELMINA</t>
        </is>
      </c>
      <c r="G122" t="n">
        <v>10.2</v>
      </c>
      <c r="H122" t="n">
        <v>2</v>
      </c>
      <c r="I122" t="n">
        <v>0</v>
      </c>
      <c r="J122" t="n">
        <v>2</v>
      </c>
      <c r="K122" t="n">
        <v>0</v>
      </c>
      <c r="L122" t="n">
        <v>0</v>
      </c>
      <c r="M122" t="n">
        <v>0</v>
      </c>
      <c r="N122" t="n">
        <v>0</v>
      </c>
      <c r="O122" t="n">
        <v>2</v>
      </c>
      <c r="P122" t="n">
        <v>0</v>
      </c>
      <c r="Q122" t="n">
        <v>2</v>
      </c>
      <c r="R122" s="2" t="inlineStr">
        <is>
          <t>Duvhök
Tretåig hackspett</t>
        </is>
      </c>
      <c r="S122">
        <f>HYPERLINK("https://klasma.github.io/Logging_2462/artfynd/A 69626-2020 artfynd.xlsx", "A 69626-2020")</f>
        <v/>
      </c>
      <c r="T122">
        <f>HYPERLINK("https://klasma.github.io/Logging_2462/kartor/A 69626-2020 karta.png", "A 69626-2020")</f>
        <v/>
      </c>
      <c r="V122">
        <f>HYPERLINK("https://klasma.github.io/Logging_2462/klagomål/A 69626-2020 FSC-klagomål.docx", "A 69626-2020")</f>
        <v/>
      </c>
      <c r="W122">
        <f>HYPERLINK("https://klasma.github.io/Logging_2462/klagomålsmail/A 69626-2020 FSC-klagomål mail.docx", "A 69626-2020")</f>
        <v/>
      </c>
      <c r="X122">
        <f>HYPERLINK("https://klasma.github.io/Logging_2462/tillsyn/A 69626-2020 tillsynsbegäran.docx", "A 69626-2020")</f>
        <v/>
      </c>
      <c r="Y122">
        <f>HYPERLINK("https://klasma.github.io/Logging_2462/tillsynsmail/A 69626-2020 tillsynsbegäran mail.docx", "A 69626-2020")</f>
        <v/>
      </c>
      <c r="Z122">
        <f>HYPERLINK("https://klasma.github.io/Logging_2462/fåglar/A 69626-2020 prioriterade fågelarter.docx", "A 69626-2020")</f>
        <v/>
      </c>
    </row>
    <row r="123" ht="15" customHeight="1">
      <c r="A123" t="inlineStr">
        <is>
          <t>A 37785-2021</t>
        </is>
      </c>
      <c r="B123" s="1" t="n">
        <v>44401</v>
      </c>
      <c r="C123" s="1" t="n">
        <v>45929</v>
      </c>
      <c r="D123" t="inlineStr">
        <is>
          <t>VÄSTERBOTTENS LÄN</t>
        </is>
      </c>
      <c r="E123" t="inlineStr">
        <is>
          <t>VILHELMINA</t>
        </is>
      </c>
      <c r="G123" t="n">
        <v>51.5</v>
      </c>
      <c r="H123" t="n">
        <v>1</v>
      </c>
      <c r="I123" t="n">
        <v>0</v>
      </c>
      <c r="J123" t="n">
        <v>1</v>
      </c>
      <c r="K123" t="n">
        <v>0</v>
      </c>
      <c r="L123" t="n">
        <v>0</v>
      </c>
      <c r="M123" t="n">
        <v>0</v>
      </c>
      <c r="N123" t="n">
        <v>0</v>
      </c>
      <c r="O123" t="n">
        <v>1</v>
      </c>
      <c r="P123" t="n">
        <v>0</v>
      </c>
      <c r="Q123" t="n">
        <v>2</v>
      </c>
      <c r="R123" s="2" t="inlineStr">
        <is>
          <t>Ullticka
Fläcknycklar</t>
        </is>
      </c>
      <c r="S123">
        <f>HYPERLINK("https://klasma.github.io/Logging_2462/artfynd/A 37785-2021 artfynd.xlsx", "A 37785-2021")</f>
        <v/>
      </c>
      <c r="T123">
        <f>HYPERLINK("https://klasma.github.io/Logging_2462/kartor/A 37785-2021 karta.png", "A 37785-2021")</f>
        <v/>
      </c>
      <c r="V123">
        <f>HYPERLINK("https://klasma.github.io/Logging_2462/klagomål/A 37785-2021 FSC-klagomål.docx", "A 37785-2021")</f>
        <v/>
      </c>
      <c r="W123">
        <f>HYPERLINK("https://klasma.github.io/Logging_2462/klagomålsmail/A 37785-2021 FSC-klagomål mail.docx", "A 37785-2021")</f>
        <v/>
      </c>
      <c r="X123">
        <f>HYPERLINK("https://klasma.github.io/Logging_2462/tillsyn/A 37785-2021 tillsynsbegäran.docx", "A 37785-2021")</f>
        <v/>
      </c>
      <c r="Y123">
        <f>HYPERLINK("https://klasma.github.io/Logging_2462/tillsynsmail/A 37785-2021 tillsynsbegäran mail.docx", "A 37785-2021")</f>
        <v/>
      </c>
    </row>
    <row r="124" ht="15" customHeight="1">
      <c r="A124" t="inlineStr">
        <is>
          <t>A 66259-2021</t>
        </is>
      </c>
      <c r="B124" s="1" t="n">
        <v>44518</v>
      </c>
      <c r="C124" s="1" t="n">
        <v>45929</v>
      </c>
      <c r="D124" t="inlineStr">
        <is>
          <t>VÄSTERBOTTENS LÄN</t>
        </is>
      </c>
      <c r="E124" t="inlineStr">
        <is>
          <t>VILHELMINA</t>
        </is>
      </c>
      <c r="G124" t="n">
        <v>14.6</v>
      </c>
      <c r="H124" t="n">
        <v>0</v>
      </c>
      <c r="I124" t="n">
        <v>0</v>
      </c>
      <c r="J124" t="n">
        <v>1</v>
      </c>
      <c r="K124" t="n">
        <v>0</v>
      </c>
      <c r="L124" t="n">
        <v>0</v>
      </c>
      <c r="M124" t="n">
        <v>0</v>
      </c>
      <c r="N124" t="n">
        <v>0</v>
      </c>
      <c r="O124" t="n">
        <v>1</v>
      </c>
      <c r="P124" t="n">
        <v>0</v>
      </c>
      <c r="Q124" t="n">
        <v>1</v>
      </c>
      <c r="R124" s="2" t="inlineStr">
        <is>
          <t>Skogshare</t>
        </is>
      </c>
      <c r="S124">
        <f>HYPERLINK("https://klasma.github.io/Logging_2462/artfynd/A 66259-2021 artfynd.xlsx", "A 66259-2021")</f>
        <v/>
      </c>
      <c r="T124">
        <f>HYPERLINK("https://klasma.github.io/Logging_2462/kartor/A 66259-2021 karta.png", "A 66259-2021")</f>
        <v/>
      </c>
      <c r="V124">
        <f>HYPERLINK("https://klasma.github.io/Logging_2462/klagomål/A 66259-2021 FSC-klagomål.docx", "A 66259-2021")</f>
        <v/>
      </c>
      <c r="W124">
        <f>HYPERLINK("https://klasma.github.io/Logging_2462/klagomålsmail/A 66259-2021 FSC-klagomål mail.docx", "A 66259-2021")</f>
        <v/>
      </c>
      <c r="X124">
        <f>HYPERLINK("https://klasma.github.io/Logging_2462/tillsyn/A 66259-2021 tillsynsbegäran.docx", "A 66259-2021")</f>
        <v/>
      </c>
      <c r="Y124">
        <f>HYPERLINK("https://klasma.github.io/Logging_2462/tillsynsmail/A 66259-2021 tillsynsbegäran mail.docx", "A 66259-2021")</f>
        <v/>
      </c>
    </row>
    <row r="125" ht="15" customHeight="1">
      <c r="A125" t="inlineStr">
        <is>
          <t>A 69915-2021</t>
        </is>
      </c>
      <c r="B125" s="1" t="n">
        <v>44532</v>
      </c>
      <c r="C125" s="1" t="n">
        <v>45929</v>
      </c>
      <c r="D125" t="inlineStr">
        <is>
          <t>VÄSTERBOTTENS LÄN</t>
        </is>
      </c>
      <c r="E125" t="inlineStr">
        <is>
          <t>VILHELMINA</t>
        </is>
      </c>
      <c r="F125" t="inlineStr">
        <is>
          <t>SCA</t>
        </is>
      </c>
      <c r="G125" t="n">
        <v>3</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69915-2021 artfynd.xlsx", "A 69915-2021")</f>
        <v/>
      </c>
      <c r="T125">
        <f>HYPERLINK("https://klasma.github.io/Logging_2462/kartor/A 69915-2021 karta.png", "A 69915-2021")</f>
        <v/>
      </c>
      <c r="V125">
        <f>HYPERLINK("https://klasma.github.io/Logging_2462/klagomål/A 69915-2021 FSC-klagomål.docx", "A 69915-2021")</f>
        <v/>
      </c>
      <c r="W125">
        <f>HYPERLINK("https://klasma.github.io/Logging_2462/klagomålsmail/A 69915-2021 FSC-klagomål mail.docx", "A 69915-2021")</f>
        <v/>
      </c>
      <c r="X125">
        <f>HYPERLINK("https://klasma.github.io/Logging_2462/tillsyn/A 69915-2021 tillsynsbegäran.docx", "A 69915-2021")</f>
        <v/>
      </c>
      <c r="Y125">
        <f>HYPERLINK("https://klasma.github.io/Logging_2462/tillsynsmail/A 69915-2021 tillsynsbegäran mail.docx", "A 69915-2021")</f>
        <v/>
      </c>
      <c r="Z125">
        <f>HYPERLINK("https://klasma.github.io/Logging_2462/fåglar/A 69915-2021 prioriterade fågelarter.docx", "A 69915-2021")</f>
        <v/>
      </c>
    </row>
    <row r="126" ht="15" customHeight="1">
      <c r="A126" t="inlineStr">
        <is>
          <t>A 65146-2021</t>
        </is>
      </c>
      <c r="B126" s="1" t="n">
        <v>44515</v>
      </c>
      <c r="C126" s="1" t="n">
        <v>45929</v>
      </c>
      <c r="D126" t="inlineStr">
        <is>
          <t>VÄSTERBOTTENS LÄN</t>
        </is>
      </c>
      <c r="E126" t="inlineStr">
        <is>
          <t>VILHELMINA</t>
        </is>
      </c>
      <c r="G126" t="n">
        <v>7.4</v>
      </c>
      <c r="H126" t="n">
        <v>0</v>
      </c>
      <c r="I126" t="n">
        <v>0</v>
      </c>
      <c r="J126" t="n">
        <v>1</v>
      </c>
      <c r="K126" t="n">
        <v>0</v>
      </c>
      <c r="L126" t="n">
        <v>0</v>
      </c>
      <c r="M126" t="n">
        <v>0</v>
      </c>
      <c r="N126" t="n">
        <v>0</v>
      </c>
      <c r="O126" t="n">
        <v>1</v>
      </c>
      <c r="P126" t="n">
        <v>0</v>
      </c>
      <c r="Q126" t="n">
        <v>1</v>
      </c>
      <c r="R126" s="2" t="inlineStr">
        <is>
          <t>Granticka</t>
        </is>
      </c>
      <c r="S126">
        <f>HYPERLINK("https://klasma.github.io/Logging_2462/artfynd/A 65146-2021 artfynd.xlsx", "A 65146-2021")</f>
        <v/>
      </c>
      <c r="T126">
        <f>HYPERLINK("https://klasma.github.io/Logging_2462/kartor/A 65146-2021 karta.png", "A 65146-2021")</f>
        <v/>
      </c>
      <c r="V126">
        <f>HYPERLINK("https://klasma.github.io/Logging_2462/klagomål/A 65146-2021 FSC-klagomål.docx", "A 65146-2021")</f>
        <v/>
      </c>
      <c r="W126">
        <f>HYPERLINK("https://klasma.github.io/Logging_2462/klagomålsmail/A 65146-2021 FSC-klagomål mail.docx", "A 65146-2021")</f>
        <v/>
      </c>
      <c r="X126">
        <f>HYPERLINK("https://klasma.github.io/Logging_2462/tillsyn/A 65146-2021 tillsynsbegäran.docx", "A 65146-2021")</f>
        <v/>
      </c>
      <c r="Y126">
        <f>HYPERLINK("https://klasma.github.io/Logging_2462/tillsynsmail/A 65146-2021 tillsynsbegäran mail.docx", "A 65146-2021")</f>
        <v/>
      </c>
    </row>
    <row r="127" ht="15" customHeight="1">
      <c r="A127" t="inlineStr">
        <is>
          <t>A 13523-2025</t>
        </is>
      </c>
      <c r="B127" s="1" t="n">
        <v>45736</v>
      </c>
      <c r="C127" s="1" t="n">
        <v>45929</v>
      </c>
      <c r="D127" t="inlineStr">
        <is>
          <t>VÄSTERBOTTENS LÄN</t>
        </is>
      </c>
      <c r="E127" t="inlineStr">
        <is>
          <t>VILHELMINA</t>
        </is>
      </c>
      <c r="F127" t="inlineStr">
        <is>
          <t>SCA</t>
        </is>
      </c>
      <c r="G127" t="n">
        <v>2.4</v>
      </c>
      <c r="H127" t="n">
        <v>0</v>
      </c>
      <c r="I127" t="n">
        <v>0</v>
      </c>
      <c r="J127" t="n">
        <v>1</v>
      </c>
      <c r="K127" t="n">
        <v>0</v>
      </c>
      <c r="L127" t="n">
        <v>0</v>
      </c>
      <c r="M127" t="n">
        <v>0</v>
      </c>
      <c r="N127" t="n">
        <v>0</v>
      </c>
      <c r="O127" t="n">
        <v>1</v>
      </c>
      <c r="P127" t="n">
        <v>0</v>
      </c>
      <c r="Q127" t="n">
        <v>1</v>
      </c>
      <c r="R127" s="2" t="inlineStr">
        <is>
          <t>Lunglav</t>
        </is>
      </c>
      <c r="S127">
        <f>HYPERLINK("https://klasma.github.io/Logging_2462/artfynd/A 13523-2025 artfynd.xlsx", "A 13523-2025")</f>
        <v/>
      </c>
      <c r="T127">
        <f>HYPERLINK("https://klasma.github.io/Logging_2462/kartor/A 13523-2025 karta.png", "A 13523-2025")</f>
        <v/>
      </c>
      <c r="V127">
        <f>HYPERLINK("https://klasma.github.io/Logging_2462/klagomål/A 13523-2025 FSC-klagomål.docx", "A 13523-2025")</f>
        <v/>
      </c>
      <c r="W127">
        <f>HYPERLINK("https://klasma.github.io/Logging_2462/klagomålsmail/A 13523-2025 FSC-klagomål mail.docx", "A 13523-2025")</f>
        <v/>
      </c>
      <c r="X127">
        <f>HYPERLINK("https://klasma.github.io/Logging_2462/tillsyn/A 13523-2025 tillsynsbegäran.docx", "A 13523-2025")</f>
        <v/>
      </c>
      <c r="Y127">
        <f>HYPERLINK("https://klasma.github.io/Logging_2462/tillsynsmail/A 13523-2025 tillsynsbegäran mail.docx", "A 13523-2025")</f>
        <v/>
      </c>
    </row>
    <row r="128" ht="15" customHeight="1">
      <c r="A128" t="inlineStr">
        <is>
          <t>A 32677-2021</t>
        </is>
      </c>
      <c r="B128" s="1" t="n">
        <v>44371</v>
      </c>
      <c r="C128" s="1" t="n">
        <v>45929</v>
      </c>
      <c r="D128" t="inlineStr">
        <is>
          <t>VÄSTERBOTTENS LÄN</t>
        </is>
      </c>
      <c r="E128" t="inlineStr">
        <is>
          <t>VILHELMINA</t>
        </is>
      </c>
      <c r="G128" t="n">
        <v>9.699999999999999</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32677-2021 artfynd.xlsx", "A 32677-2021")</f>
        <v/>
      </c>
      <c r="T128">
        <f>HYPERLINK("https://klasma.github.io/Logging_2462/kartor/A 32677-2021 karta.png", "A 32677-2021")</f>
        <v/>
      </c>
      <c r="V128">
        <f>HYPERLINK("https://klasma.github.io/Logging_2462/klagomål/A 32677-2021 FSC-klagomål.docx", "A 32677-2021")</f>
        <v/>
      </c>
      <c r="W128">
        <f>HYPERLINK("https://klasma.github.io/Logging_2462/klagomålsmail/A 32677-2021 FSC-klagomål mail.docx", "A 32677-2021")</f>
        <v/>
      </c>
      <c r="X128">
        <f>HYPERLINK("https://klasma.github.io/Logging_2462/tillsyn/A 32677-2021 tillsynsbegäran.docx", "A 32677-2021")</f>
        <v/>
      </c>
      <c r="Y128">
        <f>HYPERLINK("https://klasma.github.io/Logging_2462/tillsynsmail/A 32677-2021 tillsynsbegäran mail.docx", "A 32677-2021")</f>
        <v/>
      </c>
      <c r="Z128">
        <f>HYPERLINK("https://klasma.github.io/Logging_2462/fåglar/A 32677-2021 prioriterade fågelarter.docx", "A 32677-2021")</f>
        <v/>
      </c>
    </row>
    <row r="129" ht="15" customHeight="1">
      <c r="A129" t="inlineStr">
        <is>
          <t>A 11832-2023</t>
        </is>
      </c>
      <c r="B129" s="1" t="n">
        <v>44994</v>
      </c>
      <c r="C129" s="1" t="n">
        <v>45929</v>
      </c>
      <c r="D129" t="inlineStr">
        <is>
          <t>VÄSTERBOTTENS LÄN</t>
        </is>
      </c>
      <c r="E129" t="inlineStr">
        <is>
          <t>VILHELMINA</t>
        </is>
      </c>
      <c r="F129" t="inlineStr">
        <is>
          <t>SCA</t>
        </is>
      </c>
      <c r="G129" t="n">
        <v>6.7</v>
      </c>
      <c r="H129" t="n">
        <v>0</v>
      </c>
      <c r="I129" t="n">
        <v>0</v>
      </c>
      <c r="J129" t="n">
        <v>1</v>
      </c>
      <c r="K129" t="n">
        <v>0</v>
      </c>
      <c r="L129" t="n">
        <v>0</v>
      </c>
      <c r="M129" t="n">
        <v>0</v>
      </c>
      <c r="N129" t="n">
        <v>0</v>
      </c>
      <c r="O129" t="n">
        <v>1</v>
      </c>
      <c r="P129" t="n">
        <v>0</v>
      </c>
      <c r="Q129" t="n">
        <v>1</v>
      </c>
      <c r="R129" s="2" t="inlineStr">
        <is>
          <t>Granticka</t>
        </is>
      </c>
      <c r="S129">
        <f>HYPERLINK("https://klasma.github.io/Logging_2462/artfynd/A 11832-2023 artfynd.xlsx", "A 11832-2023")</f>
        <v/>
      </c>
      <c r="T129">
        <f>HYPERLINK("https://klasma.github.io/Logging_2462/kartor/A 11832-2023 karta.png", "A 11832-2023")</f>
        <v/>
      </c>
      <c r="V129">
        <f>HYPERLINK("https://klasma.github.io/Logging_2462/klagomål/A 11832-2023 FSC-klagomål.docx", "A 11832-2023")</f>
        <v/>
      </c>
      <c r="W129">
        <f>HYPERLINK("https://klasma.github.io/Logging_2462/klagomålsmail/A 11832-2023 FSC-klagomål mail.docx", "A 11832-2023")</f>
        <v/>
      </c>
      <c r="X129">
        <f>HYPERLINK("https://klasma.github.io/Logging_2462/tillsyn/A 11832-2023 tillsynsbegäran.docx", "A 11832-2023")</f>
        <v/>
      </c>
      <c r="Y129">
        <f>HYPERLINK("https://klasma.github.io/Logging_2462/tillsynsmail/A 11832-2023 tillsynsbegäran mail.docx", "A 11832-2023")</f>
        <v/>
      </c>
    </row>
    <row r="130" ht="15" customHeight="1">
      <c r="A130" t="inlineStr">
        <is>
          <t>A 59664-2023</t>
        </is>
      </c>
      <c r="B130" s="1" t="n">
        <v>45254</v>
      </c>
      <c r="C130" s="1" t="n">
        <v>45929</v>
      </c>
      <c r="D130" t="inlineStr">
        <is>
          <t>VÄSTERBOTTENS LÄN</t>
        </is>
      </c>
      <c r="E130" t="inlineStr">
        <is>
          <t>VILHELMINA</t>
        </is>
      </c>
      <c r="F130" t="inlineStr">
        <is>
          <t>SCA</t>
        </is>
      </c>
      <c r="G130" t="n">
        <v>3.3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59664-2023 artfynd.xlsx", "A 59664-2023")</f>
        <v/>
      </c>
      <c r="T130">
        <f>HYPERLINK("https://klasma.github.io/Logging_2462/kartor/A 59664-2023 karta.png", "A 59664-2023")</f>
        <v/>
      </c>
      <c r="V130">
        <f>HYPERLINK("https://klasma.github.io/Logging_2462/klagomål/A 59664-2023 FSC-klagomål.docx", "A 59664-2023")</f>
        <v/>
      </c>
      <c r="W130">
        <f>HYPERLINK("https://klasma.github.io/Logging_2462/klagomålsmail/A 59664-2023 FSC-klagomål mail.docx", "A 59664-2023")</f>
        <v/>
      </c>
      <c r="X130">
        <f>HYPERLINK("https://klasma.github.io/Logging_2462/tillsyn/A 59664-2023 tillsynsbegäran.docx", "A 59664-2023")</f>
        <v/>
      </c>
      <c r="Y130">
        <f>HYPERLINK("https://klasma.github.io/Logging_2462/tillsynsmail/A 59664-2023 tillsynsbegäran mail.docx", "A 59664-2023")</f>
        <v/>
      </c>
      <c r="Z130">
        <f>HYPERLINK("https://klasma.github.io/Logging_2462/fåglar/A 59664-2023 prioriterade fågelarter.docx", "A 59664-2023")</f>
        <v/>
      </c>
    </row>
    <row r="131" ht="15" customHeight="1">
      <c r="A131" t="inlineStr">
        <is>
          <t>A 60369-2021</t>
        </is>
      </c>
      <c r="B131" s="1" t="n">
        <v>44494</v>
      </c>
      <c r="C131" s="1" t="n">
        <v>45929</v>
      </c>
      <c r="D131" t="inlineStr">
        <is>
          <t>VÄSTERBOTTENS LÄN</t>
        </is>
      </c>
      <c r="E131" t="inlineStr">
        <is>
          <t>VILHELMINA</t>
        </is>
      </c>
      <c r="G131" t="n">
        <v>0.6</v>
      </c>
      <c r="H131" t="n">
        <v>0</v>
      </c>
      <c r="I131" t="n">
        <v>1</v>
      </c>
      <c r="J131" t="n">
        <v>0</v>
      </c>
      <c r="K131" t="n">
        <v>0</v>
      </c>
      <c r="L131" t="n">
        <v>0</v>
      </c>
      <c r="M131" t="n">
        <v>0</v>
      </c>
      <c r="N131" t="n">
        <v>0</v>
      </c>
      <c r="O131" t="n">
        <v>0</v>
      </c>
      <c r="P131" t="n">
        <v>0</v>
      </c>
      <c r="Q131" t="n">
        <v>1</v>
      </c>
      <c r="R131" s="2" t="inlineStr">
        <is>
          <t>Stuplav</t>
        </is>
      </c>
      <c r="S131">
        <f>HYPERLINK("https://klasma.github.io/Logging_2462/artfynd/A 60369-2021 artfynd.xlsx", "A 60369-2021")</f>
        <v/>
      </c>
      <c r="T131">
        <f>HYPERLINK("https://klasma.github.io/Logging_2462/kartor/A 60369-2021 karta.png", "A 60369-2021")</f>
        <v/>
      </c>
      <c r="V131">
        <f>HYPERLINK("https://klasma.github.io/Logging_2462/klagomål/A 60369-2021 FSC-klagomål.docx", "A 60369-2021")</f>
        <v/>
      </c>
      <c r="W131">
        <f>HYPERLINK("https://klasma.github.io/Logging_2462/klagomålsmail/A 60369-2021 FSC-klagomål mail.docx", "A 60369-2021")</f>
        <v/>
      </c>
      <c r="X131">
        <f>HYPERLINK("https://klasma.github.io/Logging_2462/tillsyn/A 60369-2021 tillsynsbegäran.docx", "A 60369-2021")</f>
        <v/>
      </c>
      <c r="Y131">
        <f>HYPERLINK("https://klasma.github.io/Logging_2462/tillsynsmail/A 60369-2021 tillsynsbegäran mail.docx", "A 60369-2021")</f>
        <v/>
      </c>
    </row>
    <row r="132" ht="15" customHeight="1">
      <c r="A132" t="inlineStr">
        <is>
          <t>A 44286-2024</t>
        </is>
      </c>
      <c r="B132" s="1" t="n">
        <v>45573</v>
      </c>
      <c r="C132" s="1" t="n">
        <v>45929</v>
      </c>
      <c r="D132" t="inlineStr">
        <is>
          <t>VÄSTERBOTTENS LÄN</t>
        </is>
      </c>
      <c r="E132" t="inlineStr">
        <is>
          <t>VILHELMINA</t>
        </is>
      </c>
      <c r="G132" t="n">
        <v>29.2</v>
      </c>
      <c r="H132" t="n">
        <v>1</v>
      </c>
      <c r="I132" t="n">
        <v>0</v>
      </c>
      <c r="J132" t="n">
        <v>1</v>
      </c>
      <c r="K132" t="n">
        <v>0</v>
      </c>
      <c r="L132" t="n">
        <v>0</v>
      </c>
      <c r="M132" t="n">
        <v>0</v>
      </c>
      <c r="N132" t="n">
        <v>0</v>
      </c>
      <c r="O132" t="n">
        <v>1</v>
      </c>
      <c r="P132" t="n">
        <v>0</v>
      </c>
      <c r="Q132" t="n">
        <v>1</v>
      </c>
      <c r="R132" s="2" t="inlineStr">
        <is>
          <t>Videsparv</t>
        </is>
      </c>
      <c r="S132">
        <f>HYPERLINK("https://klasma.github.io/Logging_2462/artfynd/A 44286-2024 artfynd.xlsx", "A 44286-2024")</f>
        <v/>
      </c>
      <c r="T132">
        <f>HYPERLINK("https://klasma.github.io/Logging_2462/kartor/A 44286-2024 karta.png", "A 44286-2024")</f>
        <v/>
      </c>
      <c r="V132">
        <f>HYPERLINK("https://klasma.github.io/Logging_2462/klagomål/A 44286-2024 FSC-klagomål.docx", "A 44286-2024")</f>
        <v/>
      </c>
      <c r="W132">
        <f>HYPERLINK("https://klasma.github.io/Logging_2462/klagomålsmail/A 44286-2024 FSC-klagomål mail.docx", "A 44286-2024")</f>
        <v/>
      </c>
      <c r="X132">
        <f>HYPERLINK("https://klasma.github.io/Logging_2462/tillsyn/A 44286-2024 tillsynsbegäran.docx", "A 44286-2024")</f>
        <v/>
      </c>
      <c r="Y132">
        <f>HYPERLINK("https://klasma.github.io/Logging_2462/tillsynsmail/A 44286-2024 tillsynsbegäran mail.docx", "A 44286-2024")</f>
        <v/>
      </c>
      <c r="Z132">
        <f>HYPERLINK("https://klasma.github.io/Logging_2462/fåglar/A 44286-2024 prioriterade fågelarter.docx", "A 44286-2024")</f>
        <v/>
      </c>
    </row>
    <row r="133" ht="15" customHeight="1">
      <c r="A133" t="inlineStr">
        <is>
          <t>A 33913-2024</t>
        </is>
      </c>
      <c r="B133" s="1" t="n">
        <v>45523.38783564815</v>
      </c>
      <c r="C133" s="1" t="n">
        <v>45929</v>
      </c>
      <c r="D133" t="inlineStr">
        <is>
          <t>VÄSTERBOTTENS LÄN</t>
        </is>
      </c>
      <c r="E133" t="inlineStr">
        <is>
          <t>VILHELMINA</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HYPERLINK("https://klasma.github.io/Logging_2462/artfynd/A 33913-2024 artfynd.xlsx", "A 33913-2024")</f>
        <v/>
      </c>
      <c r="T133">
        <f>HYPERLINK("https://klasma.github.io/Logging_2462/kartor/A 33913-2024 karta.png", "A 33913-2024")</f>
        <v/>
      </c>
      <c r="V133">
        <f>HYPERLINK("https://klasma.github.io/Logging_2462/klagomål/A 33913-2024 FSC-klagomål.docx", "A 33913-2024")</f>
        <v/>
      </c>
      <c r="W133">
        <f>HYPERLINK("https://klasma.github.io/Logging_2462/klagomålsmail/A 33913-2024 FSC-klagomål mail.docx", "A 33913-2024")</f>
        <v/>
      </c>
      <c r="X133">
        <f>HYPERLINK("https://klasma.github.io/Logging_2462/tillsyn/A 33913-2024 tillsynsbegäran.docx", "A 33913-2024")</f>
        <v/>
      </c>
      <c r="Y133">
        <f>HYPERLINK("https://klasma.github.io/Logging_2462/tillsynsmail/A 33913-2024 tillsynsbegäran mail.docx", "A 33913-2024")</f>
        <v/>
      </c>
    </row>
    <row r="134" ht="15" customHeight="1">
      <c r="A134" t="inlineStr">
        <is>
          <t>A 66924-2021</t>
        </is>
      </c>
      <c r="B134" s="1" t="n">
        <v>44522</v>
      </c>
      <c r="C134" s="1" t="n">
        <v>45929</v>
      </c>
      <c r="D134" t="inlineStr">
        <is>
          <t>VÄSTERBOTTENS LÄN</t>
        </is>
      </c>
      <c r="E134" t="inlineStr">
        <is>
          <t>VILHELMINA</t>
        </is>
      </c>
      <c r="F134" t="inlineStr">
        <is>
          <t>Allmännings- och besparingsskogar</t>
        </is>
      </c>
      <c r="G134" t="n">
        <v>335.4</v>
      </c>
      <c r="H134" t="n">
        <v>1</v>
      </c>
      <c r="I134" t="n">
        <v>0</v>
      </c>
      <c r="J134" t="n">
        <v>1</v>
      </c>
      <c r="K134" t="n">
        <v>0</v>
      </c>
      <c r="L134" t="n">
        <v>0</v>
      </c>
      <c r="M134" t="n">
        <v>0</v>
      </c>
      <c r="N134" t="n">
        <v>0</v>
      </c>
      <c r="O134" t="n">
        <v>1</v>
      </c>
      <c r="P134" t="n">
        <v>0</v>
      </c>
      <c r="Q134" t="n">
        <v>1</v>
      </c>
      <c r="R134" s="2" t="inlineStr">
        <is>
          <t>Utter</t>
        </is>
      </c>
      <c r="S134">
        <f>HYPERLINK("https://klasma.github.io/Logging_2462/artfynd/A 66924-2021 artfynd.xlsx", "A 66924-2021")</f>
        <v/>
      </c>
      <c r="T134">
        <f>HYPERLINK("https://klasma.github.io/Logging_2462/kartor/A 66924-2021 karta.png", "A 66924-2021")</f>
        <v/>
      </c>
      <c r="V134">
        <f>HYPERLINK("https://klasma.github.io/Logging_2462/klagomål/A 66924-2021 FSC-klagomål.docx", "A 66924-2021")</f>
        <v/>
      </c>
      <c r="W134">
        <f>HYPERLINK("https://klasma.github.io/Logging_2462/klagomålsmail/A 66924-2021 FSC-klagomål mail.docx", "A 66924-2021")</f>
        <v/>
      </c>
      <c r="X134">
        <f>HYPERLINK("https://klasma.github.io/Logging_2462/tillsyn/A 66924-2021 tillsynsbegäran.docx", "A 66924-2021")</f>
        <v/>
      </c>
      <c r="Y134">
        <f>HYPERLINK("https://klasma.github.io/Logging_2462/tillsynsmail/A 66924-2021 tillsynsbegäran mail.docx", "A 66924-2021")</f>
        <v/>
      </c>
    </row>
    <row r="135" ht="15" customHeight="1">
      <c r="A135" t="inlineStr">
        <is>
          <t>A 42489-2024</t>
        </is>
      </c>
      <c r="B135" s="1" t="n">
        <v>45565</v>
      </c>
      <c r="C135" s="1" t="n">
        <v>45929</v>
      </c>
      <c r="D135" t="inlineStr">
        <is>
          <t>VÄSTERBOTTENS LÄN</t>
        </is>
      </c>
      <c r="E135" t="inlineStr">
        <is>
          <t>VILHELMINA</t>
        </is>
      </c>
      <c r="F135" t="inlineStr">
        <is>
          <t>SCA</t>
        </is>
      </c>
      <c r="G135" t="n">
        <v>1.9</v>
      </c>
      <c r="H135" t="n">
        <v>0</v>
      </c>
      <c r="I135" t="n">
        <v>0</v>
      </c>
      <c r="J135" t="n">
        <v>1</v>
      </c>
      <c r="K135" t="n">
        <v>0</v>
      </c>
      <c r="L135" t="n">
        <v>0</v>
      </c>
      <c r="M135" t="n">
        <v>0</v>
      </c>
      <c r="N135" t="n">
        <v>0</v>
      </c>
      <c r="O135" t="n">
        <v>1</v>
      </c>
      <c r="P135" t="n">
        <v>0</v>
      </c>
      <c r="Q135" t="n">
        <v>1</v>
      </c>
      <c r="R135" s="2" t="inlineStr">
        <is>
          <t>Granticka</t>
        </is>
      </c>
      <c r="S135">
        <f>HYPERLINK("https://klasma.github.io/Logging_2462/artfynd/A 42489-2024 artfynd.xlsx", "A 42489-2024")</f>
        <v/>
      </c>
      <c r="T135">
        <f>HYPERLINK("https://klasma.github.io/Logging_2462/kartor/A 42489-2024 karta.png", "A 42489-2024")</f>
        <v/>
      </c>
      <c r="V135">
        <f>HYPERLINK("https://klasma.github.io/Logging_2462/klagomål/A 42489-2024 FSC-klagomål.docx", "A 42489-2024")</f>
        <v/>
      </c>
      <c r="W135">
        <f>HYPERLINK("https://klasma.github.io/Logging_2462/klagomålsmail/A 42489-2024 FSC-klagomål mail.docx", "A 42489-2024")</f>
        <v/>
      </c>
      <c r="X135">
        <f>HYPERLINK("https://klasma.github.io/Logging_2462/tillsyn/A 42489-2024 tillsynsbegäran.docx", "A 42489-2024")</f>
        <v/>
      </c>
      <c r="Y135">
        <f>HYPERLINK("https://klasma.github.io/Logging_2462/tillsynsmail/A 42489-2024 tillsynsbegäran mail.docx", "A 42489-2024")</f>
        <v/>
      </c>
    </row>
    <row r="136" ht="15" customHeight="1">
      <c r="A136" t="inlineStr">
        <is>
          <t>A 56247-2023</t>
        </is>
      </c>
      <c r="B136" s="1" t="n">
        <v>45240</v>
      </c>
      <c r="C136" s="1" t="n">
        <v>45929</v>
      </c>
      <c r="D136" t="inlineStr">
        <is>
          <t>VÄSTERBOTTENS LÄN</t>
        </is>
      </c>
      <c r="E136" t="inlineStr">
        <is>
          <t>VILHELMINA</t>
        </is>
      </c>
      <c r="F136" t="inlineStr">
        <is>
          <t>SCA</t>
        </is>
      </c>
      <c r="G136" t="n">
        <v>1.3</v>
      </c>
      <c r="H136" t="n">
        <v>0</v>
      </c>
      <c r="I136" t="n">
        <v>0</v>
      </c>
      <c r="J136" t="n">
        <v>1</v>
      </c>
      <c r="K136" t="n">
        <v>0</v>
      </c>
      <c r="L136" t="n">
        <v>0</v>
      </c>
      <c r="M136" t="n">
        <v>0</v>
      </c>
      <c r="N136" t="n">
        <v>0</v>
      </c>
      <c r="O136" t="n">
        <v>1</v>
      </c>
      <c r="P136" t="n">
        <v>0</v>
      </c>
      <c r="Q136" t="n">
        <v>1</v>
      </c>
      <c r="R136" s="2" t="inlineStr">
        <is>
          <t>Harticka</t>
        </is>
      </c>
      <c r="S136">
        <f>HYPERLINK("https://klasma.github.io/Logging_2462/artfynd/A 56247-2023 artfynd.xlsx", "A 56247-2023")</f>
        <v/>
      </c>
      <c r="T136">
        <f>HYPERLINK("https://klasma.github.io/Logging_2462/kartor/A 56247-2023 karta.png", "A 56247-2023")</f>
        <v/>
      </c>
      <c r="V136">
        <f>HYPERLINK("https://klasma.github.io/Logging_2462/klagomål/A 56247-2023 FSC-klagomål.docx", "A 56247-2023")</f>
        <v/>
      </c>
      <c r="W136">
        <f>HYPERLINK("https://klasma.github.io/Logging_2462/klagomålsmail/A 56247-2023 FSC-klagomål mail.docx", "A 56247-2023")</f>
        <v/>
      </c>
      <c r="X136">
        <f>HYPERLINK("https://klasma.github.io/Logging_2462/tillsyn/A 56247-2023 tillsynsbegäran.docx", "A 56247-2023")</f>
        <v/>
      </c>
      <c r="Y136">
        <f>HYPERLINK("https://klasma.github.io/Logging_2462/tillsynsmail/A 56247-2023 tillsynsbegäran mail.docx", "A 56247-2023")</f>
        <v/>
      </c>
    </row>
    <row r="137" ht="15" customHeight="1">
      <c r="A137" t="inlineStr">
        <is>
          <t>A 17253-2025</t>
        </is>
      </c>
      <c r="B137" s="1" t="n">
        <v>45756</v>
      </c>
      <c r="C137" s="1" t="n">
        <v>45929</v>
      </c>
      <c r="D137" t="inlineStr">
        <is>
          <t>VÄSTERBOTTENS LÄN</t>
        </is>
      </c>
      <c r="E137" t="inlineStr">
        <is>
          <t>VILHELMINA</t>
        </is>
      </c>
      <c r="F137" t="inlineStr">
        <is>
          <t>SCA</t>
        </is>
      </c>
      <c r="G137" t="n">
        <v>6.5</v>
      </c>
      <c r="H137" t="n">
        <v>0</v>
      </c>
      <c r="I137" t="n">
        <v>0</v>
      </c>
      <c r="J137" t="n">
        <v>1</v>
      </c>
      <c r="K137" t="n">
        <v>0</v>
      </c>
      <c r="L137" t="n">
        <v>0</v>
      </c>
      <c r="M137" t="n">
        <v>0</v>
      </c>
      <c r="N137" t="n">
        <v>0</v>
      </c>
      <c r="O137" t="n">
        <v>1</v>
      </c>
      <c r="P137" t="n">
        <v>0</v>
      </c>
      <c r="Q137" t="n">
        <v>1</v>
      </c>
      <c r="R137" s="2" t="inlineStr">
        <is>
          <t>Granticka</t>
        </is>
      </c>
      <c r="S137">
        <f>HYPERLINK("https://klasma.github.io/Logging_2462/artfynd/A 17253-2025 artfynd.xlsx", "A 17253-2025")</f>
        <v/>
      </c>
      <c r="T137">
        <f>HYPERLINK("https://klasma.github.io/Logging_2462/kartor/A 17253-2025 karta.png", "A 17253-2025")</f>
        <v/>
      </c>
      <c r="V137">
        <f>HYPERLINK("https://klasma.github.io/Logging_2462/klagomål/A 17253-2025 FSC-klagomål.docx", "A 17253-2025")</f>
        <v/>
      </c>
      <c r="W137">
        <f>HYPERLINK("https://klasma.github.io/Logging_2462/klagomålsmail/A 17253-2025 FSC-klagomål mail.docx", "A 17253-2025")</f>
        <v/>
      </c>
      <c r="X137">
        <f>HYPERLINK("https://klasma.github.io/Logging_2462/tillsyn/A 17253-2025 tillsynsbegäran.docx", "A 17253-2025")</f>
        <v/>
      </c>
      <c r="Y137">
        <f>HYPERLINK("https://klasma.github.io/Logging_2462/tillsynsmail/A 17253-2025 tillsynsbegäran mail.docx", "A 17253-2025")</f>
        <v/>
      </c>
    </row>
    <row r="138" ht="15" customHeight="1">
      <c r="A138" t="inlineStr">
        <is>
          <t>A 47248-2024</t>
        </is>
      </c>
      <c r="B138" s="1" t="n">
        <v>45586</v>
      </c>
      <c r="C138" s="1" t="n">
        <v>45929</v>
      </c>
      <c r="D138" t="inlineStr">
        <is>
          <t>VÄSTERBOTTENS LÄN</t>
        </is>
      </c>
      <c r="E138" t="inlineStr">
        <is>
          <t>VILHELMINA</t>
        </is>
      </c>
      <c r="F138" t="inlineStr">
        <is>
          <t>SCA</t>
        </is>
      </c>
      <c r="G138" t="n">
        <v>4</v>
      </c>
      <c r="H138" t="n">
        <v>0</v>
      </c>
      <c r="I138" t="n">
        <v>0</v>
      </c>
      <c r="J138" t="n">
        <v>1</v>
      </c>
      <c r="K138" t="n">
        <v>0</v>
      </c>
      <c r="L138" t="n">
        <v>0</v>
      </c>
      <c r="M138" t="n">
        <v>0</v>
      </c>
      <c r="N138" t="n">
        <v>0</v>
      </c>
      <c r="O138" t="n">
        <v>1</v>
      </c>
      <c r="P138" t="n">
        <v>0</v>
      </c>
      <c r="Q138" t="n">
        <v>1</v>
      </c>
      <c r="R138" s="2" t="inlineStr">
        <is>
          <t>Granticka</t>
        </is>
      </c>
      <c r="S138">
        <f>HYPERLINK("https://klasma.github.io/Logging_2462/artfynd/A 47248-2024 artfynd.xlsx", "A 47248-2024")</f>
        <v/>
      </c>
      <c r="T138">
        <f>HYPERLINK("https://klasma.github.io/Logging_2462/kartor/A 47248-2024 karta.png", "A 47248-2024")</f>
        <v/>
      </c>
      <c r="V138">
        <f>HYPERLINK("https://klasma.github.io/Logging_2462/klagomål/A 47248-2024 FSC-klagomål.docx", "A 47248-2024")</f>
        <v/>
      </c>
      <c r="W138">
        <f>HYPERLINK("https://klasma.github.io/Logging_2462/klagomålsmail/A 47248-2024 FSC-klagomål mail.docx", "A 47248-2024")</f>
        <v/>
      </c>
      <c r="X138">
        <f>HYPERLINK("https://klasma.github.io/Logging_2462/tillsyn/A 47248-2024 tillsynsbegäran.docx", "A 47248-2024")</f>
        <v/>
      </c>
      <c r="Y138">
        <f>HYPERLINK("https://klasma.github.io/Logging_2462/tillsynsmail/A 47248-2024 tillsynsbegäran mail.docx", "A 47248-2024")</f>
        <v/>
      </c>
    </row>
    <row r="139" ht="15" customHeight="1">
      <c r="A139" t="inlineStr">
        <is>
          <t>A 74395-2021</t>
        </is>
      </c>
      <c r="B139" s="1" t="n">
        <v>44560</v>
      </c>
      <c r="C139" s="1" t="n">
        <v>45929</v>
      </c>
      <c r="D139" t="inlineStr">
        <is>
          <t>VÄSTERBOTTENS LÄN</t>
        </is>
      </c>
      <c r="E139" t="inlineStr">
        <is>
          <t>VILHELMINA</t>
        </is>
      </c>
      <c r="G139" t="n">
        <v>37.6</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74395-2021 artfynd.xlsx", "A 74395-2021")</f>
        <v/>
      </c>
      <c r="T139">
        <f>HYPERLINK("https://klasma.github.io/Logging_2462/kartor/A 74395-2021 karta.png", "A 74395-2021")</f>
        <v/>
      </c>
      <c r="V139">
        <f>HYPERLINK("https://klasma.github.io/Logging_2462/klagomål/A 74395-2021 FSC-klagomål.docx", "A 74395-2021")</f>
        <v/>
      </c>
      <c r="W139">
        <f>HYPERLINK("https://klasma.github.io/Logging_2462/klagomålsmail/A 74395-2021 FSC-klagomål mail.docx", "A 74395-2021")</f>
        <v/>
      </c>
      <c r="X139">
        <f>HYPERLINK("https://klasma.github.io/Logging_2462/tillsyn/A 74395-2021 tillsynsbegäran.docx", "A 74395-2021")</f>
        <v/>
      </c>
      <c r="Y139">
        <f>HYPERLINK("https://klasma.github.io/Logging_2462/tillsynsmail/A 74395-2021 tillsynsbegäran mail.docx", "A 74395-2021")</f>
        <v/>
      </c>
      <c r="Z139">
        <f>HYPERLINK("https://klasma.github.io/Logging_2462/fåglar/A 74395-2021 prioriterade fågelarter.docx", "A 74395-2021")</f>
        <v/>
      </c>
    </row>
    <row r="140" ht="15" customHeight="1">
      <c r="A140" t="inlineStr">
        <is>
          <t>A 25977-2025</t>
        </is>
      </c>
      <c r="B140" s="1" t="n">
        <v>45804</v>
      </c>
      <c r="C140" s="1" t="n">
        <v>45929</v>
      </c>
      <c r="D140" t="inlineStr">
        <is>
          <t>VÄSTERBOTTENS LÄN</t>
        </is>
      </c>
      <c r="E140" t="inlineStr">
        <is>
          <t>VILHELMINA</t>
        </is>
      </c>
      <c r="F140" t="inlineStr">
        <is>
          <t>SCA</t>
        </is>
      </c>
      <c r="G140" t="n">
        <v>6.2</v>
      </c>
      <c r="H140" t="n">
        <v>0</v>
      </c>
      <c r="I140" t="n">
        <v>0</v>
      </c>
      <c r="J140" t="n">
        <v>1</v>
      </c>
      <c r="K140" t="n">
        <v>0</v>
      </c>
      <c r="L140" t="n">
        <v>0</v>
      </c>
      <c r="M140" t="n">
        <v>0</v>
      </c>
      <c r="N140" t="n">
        <v>0</v>
      </c>
      <c r="O140" t="n">
        <v>1</v>
      </c>
      <c r="P140" t="n">
        <v>0</v>
      </c>
      <c r="Q140" t="n">
        <v>1</v>
      </c>
      <c r="R140" s="2" t="inlineStr">
        <is>
          <t>Rosenticka</t>
        </is>
      </c>
      <c r="S140">
        <f>HYPERLINK("https://klasma.github.io/Logging_2462/artfynd/A 25977-2025 artfynd.xlsx", "A 25977-2025")</f>
        <v/>
      </c>
      <c r="T140">
        <f>HYPERLINK("https://klasma.github.io/Logging_2462/kartor/A 25977-2025 karta.png", "A 25977-2025")</f>
        <v/>
      </c>
      <c r="V140">
        <f>HYPERLINK("https://klasma.github.io/Logging_2462/klagomål/A 25977-2025 FSC-klagomål.docx", "A 25977-2025")</f>
        <v/>
      </c>
      <c r="W140">
        <f>HYPERLINK("https://klasma.github.io/Logging_2462/klagomålsmail/A 25977-2025 FSC-klagomål mail.docx", "A 25977-2025")</f>
        <v/>
      </c>
      <c r="X140">
        <f>HYPERLINK("https://klasma.github.io/Logging_2462/tillsyn/A 25977-2025 tillsynsbegäran.docx", "A 25977-2025")</f>
        <v/>
      </c>
      <c r="Y140">
        <f>HYPERLINK("https://klasma.github.io/Logging_2462/tillsynsmail/A 25977-2025 tillsynsbegäran mail.docx", "A 25977-2025")</f>
        <v/>
      </c>
    </row>
    <row r="141" ht="15" customHeight="1">
      <c r="A141" t="inlineStr">
        <is>
          <t>A 34730-2024</t>
        </is>
      </c>
      <c r="B141" s="1" t="n">
        <v>45526</v>
      </c>
      <c r="C141" s="1" t="n">
        <v>45929</v>
      </c>
      <c r="D141" t="inlineStr">
        <is>
          <t>VÄSTERBOTTENS LÄN</t>
        </is>
      </c>
      <c r="E141" t="inlineStr">
        <is>
          <t>VILHELMINA</t>
        </is>
      </c>
      <c r="G141" t="n">
        <v>19.2</v>
      </c>
      <c r="H141" t="n">
        <v>0</v>
      </c>
      <c r="I141" t="n">
        <v>0</v>
      </c>
      <c r="J141" t="n">
        <v>1</v>
      </c>
      <c r="K141" t="n">
        <v>0</v>
      </c>
      <c r="L141" t="n">
        <v>0</v>
      </c>
      <c r="M141" t="n">
        <v>0</v>
      </c>
      <c r="N141" t="n">
        <v>0</v>
      </c>
      <c r="O141" t="n">
        <v>1</v>
      </c>
      <c r="P141" t="n">
        <v>0</v>
      </c>
      <c r="Q141" t="n">
        <v>1</v>
      </c>
      <c r="R141" s="2" t="inlineStr">
        <is>
          <t>Ullticka</t>
        </is>
      </c>
      <c r="S141">
        <f>HYPERLINK("https://klasma.github.io/Logging_2462/artfynd/A 34730-2024 artfynd.xlsx", "A 34730-2024")</f>
        <v/>
      </c>
      <c r="T141">
        <f>HYPERLINK("https://klasma.github.io/Logging_2462/kartor/A 34730-2024 karta.png", "A 34730-2024")</f>
        <v/>
      </c>
      <c r="V141">
        <f>HYPERLINK("https://klasma.github.io/Logging_2462/klagomål/A 34730-2024 FSC-klagomål.docx", "A 34730-2024")</f>
        <v/>
      </c>
      <c r="W141">
        <f>HYPERLINK("https://klasma.github.io/Logging_2462/klagomålsmail/A 34730-2024 FSC-klagomål mail.docx", "A 34730-2024")</f>
        <v/>
      </c>
      <c r="X141">
        <f>HYPERLINK("https://klasma.github.io/Logging_2462/tillsyn/A 34730-2024 tillsynsbegäran.docx", "A 34730-2024")</f>
        <v/>
      </c>
      <c r="Y141">
        <f>HYPERLINK("https://klasma.github.io/Logging_2462/tillsynsmail/A 34730-2024 tillsynsbegäran mail.docx", "A 34730-2024")</f>
        <v/>
      </c>
    </row>
    <row r="142" ht="15" customHeight="1">
      <c r="A142" t="inlineStr">
        <is>
          <t>A 59001-2024</t>
        </is>
      </c>
      <c r="B142" s="1" t="n">
        <v>45636</v>
      </c>
      <c r="C142" s="1" t="n">
        <v>45929</v>
      </c>
      <c r="D142" t="inlineStr">
        <is>
          <t>VÄSTERBOTTENS LÄN</t>
        </is>
      </c>
      <c r="E142" t="inlineStr">
        <is>
          <t>VILHELMINA</t>
        </is>
      </c>
      <c r="F142" t="inlineStr">
        <is>
          <t>Allmännings- och besparingsskogar</t>
        </is>
      </c>
      <c r="G142" t="n">
        <v>32.5</v>
      </c>
      <c r="H142" t="n">
        <v>0</v>
      </c>
      <c r="I142" t="n">
        <v>0</v>
      </c>
      <c r="J142" t="n">
        <v>1</v>
      </c>
      <c r="K142" t="n">
        <v>0</v>
      </c>
      <c r="L142" t="n">
        <v>0</v>
      </c>
      <c r="M142" t="n">
        <v>0</v>
      </c>
      <c r="N142" t="n">
        <v>0</v>
      </c>
      <c r="O142" t="n">
        <v>1</v>
      </c>
      <c r="P142" t="n">
        <v>0</v>
      </c>
      <c r="Q142" t="n">
        <v>1</v>
      </c>
      <c r="R142" s="2" t="inlineStr">
        <is>
          <t>Gammelgransskål</t>
        </is>
      </c>
      <c r="S142">
        <f>HYPERLINK("https://klasma.github.io/Logging_2462/artfynd/A 59001-2024 artfynd.xlsx", "A 59001-2024")</f>
        <v/>
      </c>
      <c r="T142">
        <f>HYPERLINK("https://klasma.github.io/Logging_2462/kartor/A 59001-2024 karta.png", "A 59001-2024")</f>
        <v/>
      </c>
      <c r="V142">
        <f>HYPERLINK("https://klasma.github.io/Logging_2462/klagomål/A 59001-2024 FSC-klagomål.docx", "A 59001-2024")</f>
        <v/>
      </c>
      <c r="W142">
        <f>HYPERLINK("https://klasma.github.io/Logging_2462/klagomålsmail/A 59001-2024 FSC-klagomål mail.docx", "A 59001-2024")</f>
        <v/>
      </c>
      <c r="X142">
        <f>HYPERLINK("https://klasma.github.io/Logging_2462/tillsyn/A 59001-2024 tillsynsbegäran.docx", "A 59001-2024")</f>
        <v/>
      </c>
      <c r="Y142">
        <f>HYPERLINK("https://klasma.github.io/Logging_2462/tillsynsmail/A 59001-2024 tillsynsbegäran mail.docx", "A 59001-2024")</f>
        <v/>
      </c>
    </row>
    <row r="143" ht="15" customHeight="1">
      <c r="A143" t="inlineStr">
        <is>
          <t>A 29121-2025</t>
        </is>
      </c>
      <c r="B143" s="1" t="n">
        <v>45821</v>
      </c>
      <c r="C143" s="1" t="n">
        <v>45929</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25368-2024</t>
        </is>
      </c>
      <c r="B144" s="1" t="n">
        <v>45462</v>
      </c>
      <c r="C144" s="1" t="n">
        <v>45929</v>
      </c>
      <c r="D144" t="inlineStr">
        <is>
          <t>VÄSTERBOTTENS LÄN</t>
        </is>
      </c>
      <c r="E144" t="inlineStr">
        <is>
          <t>VILHELMINA</t>
        </is>
      </c>
      <c r="F144" t="inlineStr">
        <is>
          <t>SCA</t>
        </is>
      </c>
      <c r="G144" t="n">
        <v>2.5</v>
      </c>
      <c r="H144" t="n">
        <v>1</v>
      </c>
      <c r="I144" t="n">
        <v>0</v>
      </c>
      <c r="J144" t="n">
        <v>1</v>
      </c>
      <c r="K144" t="n">
        <v>0</v>
      </c>
      <c r="L144" t="n">
        <v>0</v>
      </c>
      <c r="M144" t="n">
        <v>0</v>
      </c>
      <c r="N144" t="n">
        <v>0</v>
      </c>
      <c r="O144" t="n">
        <v>1</v>
      </c>
      <c r="P144" t="n">
        <v>0</v>
      </c>
      <c r="Q144" t="n">
        <v>1</v>
      </c>
      <c r="R144" s="2" t="inlineStr">
        <is>
          <t>Utter</t>
        </is>
      </c>
      <c r="S144">
        <f>HYPERLINK("https://klasma.github.io/Logging_2462/artfynd/A 25368-2024 artfynd.xlsx", "A 25368-2024")</f>
        <v/>
      </c>
      <c r="T144">
        <f>HYPERLINK("https://klasma.github.io/Logging_2462/kartor/A 25368-2024 karta.png", "A 25368-2024")</f>
        <v/>
      </c>
      <c r="V144">
        <f>HYPERLINK("https://klasma.github.io/Logging_2462/klagomål/A 25368-2024 FSC-klagomål.docx", "A 25368-2024")</f>
        <v/>
      </c>
      <c r="W144">
        <f>HYPERLINK("https://klasma.github.io/Logging_2462/klagomålsmail/A 25368-2024 FSC-klagomål mail.docx", "A 25368-2024")</f>
        <v/>
      </c>
      <c r="X144">
        <f>HYPERLINK("https://klasma.github.io/Logging_2462/tillsyn/A 25368-2024 tillsynsbegäran.docx", "A 25368-2024")</f>
        <v/>
      </c>
      <c r="Y144">
        <f>HYPERLINK("https://klasma.github.io/Logging_2462/tillsynsmail/A 25368-2024 tillsynsbegäran mail.docx", "A 25368-2024")</f>
        <v/>
      </c>
    </row>
    <row r="145" ht="15" customHeight="1">
      <c r="A145" t="inlineStr">
        <is>
          <t>A 25374-2024</t>
        </is>
      </c>
      <c r="B145" s="1" t="n">
        <v>45462.96118055555</v>
      </c>
      <c r="C145" s="1" t="n">
        <v>45929</v>
      </c>
      <c r="D145" t="inlineStr">
        <is>
          <t>VÄSTERBOTTENS LÄN</t>
        </is>
      </c>
      <c r="E145" t="inlineStr">
        <is>
          <t>VILHELMINA</t>
        </is>
      </c>
      <c r="F145" t="inlineStr">
        <is>
          <t>SCA</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25374-2024 artfynd.xlsx", "A 25374-2024")</f>
        <v/>
      </c>
      <c r="T145">
        <f>HYPERLINK("https://klasma.github.io/Logging_2462/kartor/A 25374-2024 karta.png", "A 25374-2024")</f>
        <v/>
      </c>
      <c r="V145">
        <f>HYPERLINK("https://klasma.github.io/Logging_2462/klagomål/A 25374-2024 FSC-klagomål.docx", "A 25374-2024")</f>
        <v/>
      </c>
      <c r="W145">
        <f>HYPERLINK("https://klasma.github.io/Logging_2462/klagomålsmail/A 25374-2024 FSC-klagomål mail.docx", "A 25374-2024")</f>
        <v/>
      </c>
      <c r="X145">
        <f>HYPERLINK("https://klasma.github.io/Logging_2462/tillsyn/A 25374-2024 tillsynsbegäran.docx", "A 25374-2024")</f>
        <v/>
      </c>
      <c r="Y145">
        <f>HYPERLINK("https://klasma.github.io/Logging_2462/tillsynsmail/A 25374-2024 tillsynsbegäran mail.docx", "A 25374-2024")</f>
        <v/>
      </c>
      <c r="Z145">
        <f>HYPERLINK("https://klasma.github.io/Logging_2462/fåglar/A 25374-2024 prioriterade fågelarter.docx", "A 25374-2024")</f>
        <v/>
      </c>
    </row>
    <row r="146" ht="15" customHeight="1">
      <c r="A146" t="inlineStr">
        <is>
          <t>A 38131-2024</t>
        </is>
      </c>
      <c r="B146" s="1" t="n">
        <v>45545</v>
      </c>
      <c r="C146" s="1" t="n">
        <v>45929</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29434-2025</t>
        </is>
      </c>
      <c r="B147" s="1" t="n">
        <v>45824</v>
      </c>
      <c r="C147" s="1" t="n">
        <v>45929</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38282-2024</t>
        </is>
      </c>
      <c r="B148" s="1" t="n">
        <v>45545</v>
      </c>
      <c r="C148" s="1" t="n">
        <v>45929</v>
      </c>
      <c r="D148" t="inlineStr">
        <is>
          <t>VÄSTERBOTTENS LÄN</t>
        </is>
      </c>
      <c r="E148" t="inlineStr">
        <is>
          <t>VILHELMINA</t>
        </is>
      </c>
      <c r="F148" t="inlineStr">
        <is>
          <t>SCA</t>
        </is>
      </c>
      <c r="G148" t="n">
        <v>3.4</v>
      </c>
      <c r="H148" t="n">
        <v>0</v>
      </c>
      <c r="I148" t="n">
        <v>0</v>
      </c>
      <c r="J148" t="n">
        <v>1</v>
      </c>
      <c r="K148" t="n">
        <v>0</v>
      </c>
      <c r="L148" t="n">
        <v>0</v>
      </c>
      <c r="M148" t="n">
        <v>0</v>
      </c>
      <c r="N148" t="n">
        <v>0</v>
      </c>
      <c r="O148" t="n">
        <v>1</v>
      </c>
      <c r="P148" t="n">
        <v>0</v>
      </c>
      <c r="Q148" t="n">
        <v>1</v>
      </c>
      <c r="R148" s="2" t="inlineStr">
        <is>
          <t>Gränsticka</t>
        </is>
      </c>
      <c r="S148">
        <f>HYPERLINK("https://klasma.github.io/Logging_2462/artfynd/A 38282-2024 artfynd.xlsx", "A 38282-2024")</f>
        <v/>
      </c>
      <c r="T148">
        <f>HYPERLINK("https://klasma.github.io/Logging_2462/kartor/A 38282-2024 karta.png", "A 38282-2024")</f>
        <v/>
      </c>
      <c r="V148">
        <f>HYPERLINK("https://klasma.github.io/Logging_2462/klagomål/A 38282-2024 FSC-klagomål.docx", "A 38282-2024")</f>
        <v/>
      </c>
      <c r="W148">
        <f>HYPERLINK("https://klasma.github.io/Logging_2462/klagomålsmail/A 38282-2024 FSC-klagomål mail.docx", "A 38282-2024")</f>
        <v/>
      </c>
      <c r="X148">
        <f>HYPERLINK("https://klasma.github.io/Logging_2462/tillsyn/A 38282-2024 tillsynsbegäran.docx", "A 38282-2024")</f>
        <v/>
      </c>
      <c r="Y148">
        <f>HYPERLINK("https://klasma.github.io/Logging_2462/tillsynsmail/A 38282-2024 tillsynsbegäran mail.docx", "A 38282-2024")</f>
        <v/>
      </c>
    </row>
    <row r="149" ht="15" customHeight="1">
      <c r="A149" t="inlineStr">
        <is>
          <t>A 38929-2025</t>
        </is>
      </c>
      <c r="B149" s="1" t="n">
        <v>45887</v>
      </c>
      <c r="C149" s="1" t="n">
        <v>45929</v>
      </c>
      <c r="D149" t="inlineStr">
        <is>
          <t>VÄSTERBOTTENS LÄN</t>
        </is>
      </c>
      <c r="E149" t="inlineStr">
        <is>
          <t>VILHELMINA</t>
        </is>
      </c>
      <c r="F149" t="inlineStr">
        <is>
          <t>SCA</t>
        </is>
      </c>
      <c r="G149" t="n">
        <v>3.5</v>
      </c>
      <c r="H149" t="n">
        <v>0</v>
      </c>
      <c r="I149" t="n">
        <v>1</v>
      </c>
      <c r="J149" t="n">
        <v>0</v>
      </c>
      <c r="K149" t="n">
        <v>0</v>
      </c>
      <c r="L149" t="n">
        <v>0</v>
      </c>
      <c r="M149" t="n">
        <v>0</v>
      </c>
      <c r="N149" t="n">
        <v>0</v>
      </c>
      <c r="O149" t="n">
        <v>0</v>
      </c>
      <c r="P149" t="n">
        <v>0</v>
      </c>
      <c r="Q149" t="n">
        <v>1</v>
      </c>
      <c r="R149" s="2" t="inlineStr">
        <is>
          <t>Blodticka</t>
        </is>
      </c>
      <c r="S149">
        <f>HYPERLINK("https://klasma.github.io/Logging_2462/artfynd/A 38929-2025 artfynd.xlsx", "A 38929-2025")</f>
        <v/>
      </c>
      <c r="T149">
        <f>HYPERLINK("https://klasma.github.io/Logging_2462/kartor/A 38929-2025 karta.png", "A 38929-2025")</f>
        <v/>
      </c>
      <c r="V149">
        <f>HYPERLINK("https://klasma.github.io/Logging_2462/klagomål/A 38929-2025 FSC-klagomål.docx", "A 38929-2025")</f>
        <v/>
      </c>
      <c r="W149">
        <f>HYPERLINK("https://klasma.github.io/Logging_2462/klagomålsmail/A 38929-2025 FSC-klagomål mail.docx", "A 38929-2025")</f>
        <v/>
      </c>
      <c r="X149">
        <f>HYPERLINK("https://klasma.github.io/Logging_2462/tillsyn/A 38929-2025 tillsynsbegäran.docx", "A 38929-2025")</f>
        <v/>
      </c>
      <c r="Y149">
        <f>HYPERLINK("https://klasma.github.io/Logging_2462/tillsynsmail/A 38929-2025 tillsynsbegäran mail.docx", "A 38929-2025")</f>
        <v/>
      </c>
    </row>
    <row r="150" ht="15" customHeight="1">
      <c r="A150" t="inlineStr">
        <is>
          <t>A 34769-2024</t>
        </is>
      </c>
      <c r="B150" s="1" t="n">
        <v>45526.62043981482</v>
      </c>
      <c r="C150" s="1" t="n">
        <v>45929</v>
      </c>
      <c r="D150" t="inlineStr">
        <is>
          <t>VÄSTERBOTTENS LÄN</t>
        </is>
      </c>
      <c r="E150" t="inlineStr">
        <is>
          <t>VILHELMINA</t>
        </is>
      </c>
      <c r="F150" t="inlineStr">
        <is>
          <t>SCA</t>
        </is>
      </c>
      <c r="G150" t="n">
        <v>6.7</v>
      </c>
      <c r="H150" t="n">
        <v>0</v>
      </c>
      <c r="I150" t="n">
        <v>0</v>
      </c>
      <c r="J150" t="n">
        <v>0</v>
      </c>
      <c r="K150" t="n">
        <v>1</v>
      </c>
      <c r="L150" t="n">
        <v>0</v>
      </c>
      <c r="M150" t="n">
        <v>0</v>
      </c>
      <c r="N150" t="n">
        <v>0</v>
      </c>
      <c r="O150" t="n">
        <v>1</v>
      </c>
      <c r="P150" t="n">
        <v>1</v>
      </c>
      <c r="Q150" t="n">
        <v>1</v>
      </c>
      <c r="R150" s="2" t="inlineStr">
        <is>
          <t>Rynkskinn</t>
        </is>
      </c>
      <c r="S150">
        <f>HYPERLINK("https://klasma.github.io/Logging_2462/artfynd/A 34769-2024 artfynd.xlsx", "A 34769-2024")</f>
        <v/>
      </c>
      <c r="T150">
        <f>HYPERLINK("https://klasma.github.io/Logging_2462/kartor/A 34769-2024 karta.png", "A 34769-2024")</f>
        <v/>
      </c>
      <c r="V150">
        <f>HYPERLINK("https://klasma.github.io/Logging_2462/klagomål/A 34769-2024 FSC-klagomål.docx", "A 34769-2024")</f>
        <v/>
      </c>
      <c r="W150">
        <f>HYPERLINK("https://klasma.github.io/Logging_2462/klagomålsmail/A 34769-2024 FSC-klagomål mail.docx", "A 34769-2024")</f>
        <v/>
      </c>
      <c r="X150">
        <f>HYPERLINK("https://klasma.github.io/Logging_2462/tillsyn/A 34769-2024 tillsynsbegäran.docx", "A 34769-2024")</f>
        <v/>
      </c>
      <c r="Y150">
        <f>HYPERLINK("https://klasma.github.io/Logging_2462/tillsynsmail/A 34769-2024 tillsynsbegäran mail.docx", "A 34769-2024")</f>
        <v/>
      </c>
    </row>
    <row r="151" ht="15" customHeight="1">
      <c r="A151" t="inlineStr">
        <is>
          <t>A 29376-2021</t>
        </is>
      </c>
      <c r="B151" s="1" t="n">
        <v>44361</v>
      </c>
      <c r="C151" s="1" t="n">
        <v>45929</v>
      </c>
      <c r="D151" t="inlineStr">
        <is>
          <t>VÄSTERBOTTENS LÄN</t>
        </is>
      </c>
      <c r="E151" t="inlineStr">
        <is>
          <t>VILHELMINA</t>
        </is>
      </c>
      <c r="F151" t="inlineStr">
        <is>
          <t>Allmännings- och besparingsskogar</t>
        </is>
      </c>
      <c r="G151" t="n">
        <v>110.8</v>
      </c>
      <c r="H151" t="n">
        <v>1</v>
      </c>
      <c r="I151" t="n">
        <v>0</v>
      </c>
      <c r="J151" t="n">
        <v>0</v>
      </c>
      <c r="K151" t="n">
        <v>0</v>
      </c>
      <c r="L151" t="n">
        <v>0</v>
      </c>
      <c r="M151" t="n">
        <v>0</v>
      </c>
      <c r="N151" t="n">
        <v>0</v>
      </c>
      <c r="O151" t="n">
        <v>0</v>
      </c>
      <c r="P151" t="n">
        <v>0</v>
      </c>
      <c r="Q151" t="n">
        <v>1</v>
      </c>
      <c r="R151" s="2" t="inlineStr">
        <is>
          <t>Lavskrika</t>
        </is>
      </c>
      <c r="S151">
        <f>HYPERLINK("https://klasma.github.io/Logging_2462/artfynd/A 29376-2021 artfynd.xlsx", "A 29376-2021")</f>
        <v/>
      </c>
      <c r="T151">
        <f>HYPERLINK("https://klasma.github.io/Logging_2462/kartor/A 29376-2021 karta.png", "A 29376-2021")</f>
        <v/>
      </c>
      <c r="V151">
        <f>HYPERLINK("https://klasma.github.io/Logging_2462/klagomål/A 29376-2021 FSC-klagomål.docx", "A 29376-2021")</f>
        <v/>
      </c>
      <c r="W151">
        <f>HYPERLINK("https://klasma.github.io/Logging_2462/klagomålsmail/A 29376-2021 FSC-klagomål mail.docx", "A 29376-2021")</f>
        <v/>
      </c>
      <c r="X151">
        <f>HYPERLINK("https://klasma.github.io/Logging_2462/tillsyn/A 29376-2021 tillsynsbegäran.docx", "A 29376-2021")</f>
        <v/>
      </c>
      <c r="Y151">
        <f>HYPERLINK("https://klasma.github.io/Logging_2462/tillsynsmail/A 29376-2021 tillsynsbegäran mail.docx", "A 29376-2021")</f>
        <v/>
      </c>
      <c r="Z151">
        <f>HYPERLINK("https://klasma.github.io/Logging_2462/fåglar/A 29376-2021 prioriterade fågelarter.docx", "A 29376-2021")</f>
        <v/>
      </c>
    </row>
    <row r="152" ht="15" customHeight="1">
      <c r="A152" t="inlineStr">
        <is>
          <t>A 29317-2023</t>
        </is>
      </c>
      <c r="B152" s="1" t="n">
        <v>45105</v>
      </c>
      <c r="C152" s="1" t="n">
        <v>45929</v>
      </c>
      <c r="D152" t="inlineStr">
        <is>
          <t>VÄSTERBOTTENS LÄN</t>
        </is>
      </c>
      <c r="E152" t="inlineStr">
        <is>
          <t>VILHELMINA</t>
        </is>
      </c>
      <c r="F152" t="inlineStr">
        <is>
          <t>SCA</t>
        </is>
      </c>
      <c r="G152" t="n">
        <v>18.8</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29317-2023 artfynd.xlsx", "A 29317-2023")</f>
        <v/>
      </c>
      <c r="T152">
        <f>HYPERLINK("https://klasma.github.io/Logging_2462/kartor/A 29317-2023 karta.png", "A 29317-2023")</f>
        <v/>
      </c>
      <c r="V152">
        <f>HYPERLINK("https://klasma.github.io/Logging_2462/klagomål/A 29317-2023 FSC-klagomål.docx", "A 29317-2023")</f>
        <v/>
      </c>
      <c r="W152">
        <f>HYPERLINK("https://klasma.github.io/Logging_2462/klagomålsmail/A 29317-2023 FSC-klagomål mail.docx", "A 29317-2023")</f>
        <v/>
      </c>
      <c r="X152">
        <f>HYPERLINK("https://klasma.github.io/Logging_2462/tillsyn/A 29317-2023 tillsynsbegäran.docx", "A 29317-2023")</f>
        <v/>
      </c>
      <c r="Y152">
        <f>HYPERLINK("https://klasma.github.io/Logging_2462/tillsynsmail/A 29317-2023 tillsynsbegäran mail.docx", "A 29317-2023")</f>
        <v/>
      </c>
      <c r="Z152">
        <f>HYPERLINK("https://klasma.github.io/Logging_2462/fåglar/A 29317-2023 prioriterade fågelarter.docx", "A 29317-2023")</f>
        <v/>
      </c>
    </row>
    <row r="153" ht="15" customHeight="1">
      <c r="A153" t="inlineStr">
        <is>
          <t>A 38416-2022</t>
        </is>
      </c>
      <c r="B153" s="1" t="n">
        <v>44812</v>
      </c>
      <c r="C153" s="1" t="n">
        <v>45929</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40470-2021</t>
        </is>
      </c>
      <c r="B154" s="1" t="n">
        <v>44419.94226851852</v>
      </c>
      <c r="C154" s="1" t="n">
        <v>45929</v>
      </c>
      <c r="D154" t="inlineStr">
        <is>
          <t>VÄSTERBOTTENS LÄN</t>
        </is>
      </c>
      <c r="E154" t="inlineStr">
        <is>
          <t>VILHELMINA</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29332-2021</t>
        </is>
      </c>
      <c r="B155" s="1" t="n">
        <v>44361</v>
      </c>
      <c r="C155" s="1" t="n">
        <v>45929</v>
      </c>
      <c r="D155" t="inlineStr">
        <is>
          <t>VÄSTERBOTTENS LÄN</t>
        </is>
      </c>
      <c r="E155" t="inlineStr">
        <is>
          <t>VILHELMINA</t>
        </is>
      </c>
      <c r="F155" t="inlineStr">
        <is>
          <t>Allmännings- och besparingsskogar</t>
        </is>
      </c>
      <c r="G155" t="n">
        <v>51.8</v>
      </c>
      <c r="H155" t="n">
        <v>0</v>
      </c>
      <c r="I155" t="n">
        <v>0</v>
      </c>
      <c r="J155" t="n">
        <v>0</v>
      </c>
      <c r="K155" t="n">
        <v>0</v>
      </c>
      <c r="L155" t="n">
        <v>0</v>
      </c>
      <c r="M155" t="n">
        <v>0</v>
      </c>
      <c r="N155" t="n">
        <v>0</v>
      </c>
      <c r="O155" t="n">
        <v>0</v>
      </c>
      <c r="P155" t="n">
        <v>0</v>
      </c>
      <c r="Q155" t="n">
        <v>0</v>
      </c>
      <c r="R155" s="2" t="inlineStr"/>
    </row>
    <row r="156" ht="15" customHeight="1">
      <c r="A156" t="inlineStr">
        <is>
          <t>A 9779-2022</t>
        </is>
      </c>
      <c r="B156" s="1" t="n">
        <v>44619.87392361111</v>
      </c>
      <c r="C156" s="1" t="n">
        <v>45929</v>
      </c>
      <c r="D156" t="inlineStr">
        <is>
          <t>VÄSTERBOTTENS LÄN</t>
        </is>
      </c>
      <c r="E156" t="inlineStr">
        <is>
          <t>VILHELMINA</t>
        </is>
      </c>
      <c r="G156" t="n">
        <v>0.8</v>
      </c>
      <c r="H156" t="n">
        <v>0</v>
      </c>
      <c r="I156" t="n">
        <v>0</v>
      </c>
      <c r="J156" t="n">
        <v>0</v>
      </c>
      <c r="K156" t="n">
        <v>0</v>
      </c>
      <c r="L156" t="n">
        <v>0</v>
      </c>
      <c r="M156" t="n">
        <v>0</v>
      </c>
      <c r="N156" t="n">
        <v>0</v>
      </c>
      <c r="O156" t="n">
        <v>0</v>
      </c>
      <c r="P156" t="n">
        <v>0</v>
      </c>
      <c r="Q156" t="n">
        <v>0</v>
      </c>
      <c r="R156" s="2" t="inlineStr"/>
    </row>
    <row r="157" ht="15" customHeight="1">
      <c r="A157" t="inlineStr">
        <is>
          <t>A 11076-2022</t>
        </is>
      </c>
      <c r="B157" s="1" t="n">
        <v>44628</v>
      </c>
      <c r="C157" s="1" t="n">
        <v>45929</v>
      </c>
      <c r="D157" t="inlineStr">
        <is>
          <t>VÄSTERBOTTENS LÄN</t>
        </is>
      </c>
      <c r="E157" t="inlineStr">
        <is>
          <t>VILHELMINA</t>
        </is>
      </c>
      <c r="G157" t="n">
        <v>7.4</v>
      </c>
      <c r="H157" t="n">
        <v>0</v>
      </c>
      <c r="I157" t="n">
        <v>0</v>
      </c>
      <c r="J157" t="n">
        <v>0</v>
      </c>
      <c r="K157" t="n">
        <v>0</v>
      </c>
      <c r="L157" t="n">
        <v>0</v>
      </c>
      <c r="M157" t="n">
        <v>0</v>
      </c>
      <c r="N157" t="n">
        <v>0</v>
      </c>
      <c r="O157" t="n">
        <v>0</v>
      </c>
      <c r="P157" t="n">
        <v>0</v>
      </c>
      <c r="Q157" t="n">
        <v>0</v>
      </c>
      <c r="R157" s="2" t="inlineStr"/>
    </row>
    <row r="158" ht="15" customHeight="1">
      <c r="A158" t="inlineStr">
        <is>
          <t>A 9777-2022</t>
        </is>
      </c>
      <c r="B158" s="1" t="n">
        <v>44619.86621527778</v>
      </c>
      <c r="C158" s="1" t="n">
        <v>45929</v>
      </c>
      <c r="D158" t="inlineStr">
        <is>
          <t>VÄSTERBOTTENS LÄN</t>
        </is>
      </c>
      <c r="E158" t="inlineStr">
        <is>
          <t>VILHELMINA</t>
        </is>
      </c>
      <c r="G158" t="n">
        <v>1.7</v>
      </c>
      <c r="H158" t="n">
        <v>0</v>
      </c>
      <c r="I158" t="n">
        <v>0</v>
      </c>
      <c r="J158" t="n">
        <v>0</v>
      </c>
      <c r="K158" t="n">
        <v>0</v>
      </c>
      <c r="L158" t="n">
        <v>0</v>
      </c>
      <c r="M158" t="n">
        <v>0</v>
      </c>
      <c r="N158" t="n">
        <v>0</v>
      </c>
      <c r="O158" t="n">
        <v>0</v>
      </c>
      <c r="P158" t="n">
        <v>0</v>
      </c>
      <c r="Q158" t="n">
        <v>0</v>
      </c>
      <c r="R158" s="2" t="inlineStr"/>
    </row>
    <row r="159" ht="15" customHeight="1">
      <c r="A159" t="inlineStr">
        <is>
          <t>A 37655-2022</t>
        </is>
      </c>
      <c r="B159" s="1" t="n">
        <v>44810</v>
      </c>
      <c r="C159" s="1" t="n">
        <v>45929</v>
      </c>
      <c r="D159" t="inlineStr">
        <is>
          <t>VÄSTERBOTTENS LÄN</t>
        </is>
      </c>
      <c r="E159" t="inlineStr">
        <is>
          <t>VILHELMINA</t>
        </is>
      </c>
      <c r="G159" t="n">
        <v>6.3</v>
      </c>
      <c r="H159" t="n">
        <v>0</v>
      </c>
      <c r="I159" t="n">
        <v>0</v>
      </c>
      <c r="J159" t="n">
        <v>0</v>
      </c>
      <c r="K159" t="n">
        <v>0</v>
      </c>
      <c r="L159" t="n">
        <v>0</v>
      </c>
      <c r="M159" t="n">
        <v>0</v>
      </c>
      <c r="N159" t="n">
        <v>0</v>
      </c>
      <c r="O159" t="n">
        <v>0</v>
      </c>
      <c r="P159" t="n">
        <v>0</v>
      </c>
      <c r="Q159" t="n">
        <v>0</v>
      </c>
      <c r="R159" s="2" t="inlineStr"/>
    </row>
    <row r="160" ht="15" customHeight="1">
      <c r="A160" t="inlineStr">
        <is>
          <t>A 51017-2022</t>
        </is>
      </c>
      <c r="B160" s="1" t="n">
        <v>44867.95054398148</v>
      </c>
      <c r="C160" s="1" t="n">
        <v>45929</v>
      </c>
      <c r="D160" t="inlineStr">
        <is>
          <t>VÄSTERBOTTENS LÄN</t>
        </is>
      </c>
      <c r="E160" t="inlineStr">
        <is>
          <t>VILHELMINA</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48768-2022</t>
        </is>
      </c>
      <c r="B161" s="1" t="n">
        <v>44859</v>
      </c>
      <c r="C161" s="1" t="n">
        <v>45929</v>
      </c>
      <c r="D161" t="inlineStr">
        <is>
          <t>VÄSTERBOTTENS LÄN</t>
        </is>
      </c>
      <c r="E161" t="inlineStr">
        <is>
          <t>VILHELMINA</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48783-2021</t>
        </is>
      </c>
      <c r="B162" s="1" t="n">
        <v>44452</v>
      </c>
      <c r="C162" s="1" t="n">
        <v>45929</v>
      </c>
      <c r="D162" t="inlineStr">
        <is>
          <t>VÄSTERBOTTENS LÄN</t>
        </is>
      </c>
      <c r="E162" t="inlineStr">
        <is>
          <t>VILHELMINA</t>
        </is>
      </c>
      <c r="F162" t="inlineStr">
        <is>
          <t>Allmännings- och besparingsskogar</t>
        </is>
      </c>
      <c r="G162" t="n">
        <v>9.5</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45929</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45929</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22405-2022</t>
        </is>
      </c>
      <c r="B165" s="1" t="n">
        <v>44713</v>
      </c>
      <c r="C165" s="1" t="n">
        <v>45929</v>
      </c>
      <c r="D165" t="inlineStr">
        <is>
          <t>VÄSTERBOTTENS LÄN</t>
        </is>
      </c>
      <c r="E165" t="inlineStr">
        <is>
          <t>VILHELMINA</t>
        </is>
      </c>
      <c r="G165" t="n">
        <v>13.2</v>
      </c>
      <c r="H165" t="n">
        <v>0</v>
      </c>
      <c r="I165" t="n">
        <v>0</v>
      </c>
      <c r="J165" t="n">
        <v>0</v>
      </c>
      <c r="K165" t="n">
        <v>0</v>
      </c>
      <c r="L165" t="n">
        <v>0</v>
      </c>
      <c r="M165" t="n">
        <v>0</v>
      </c>
      <c r="N165" t="n">
        <v>0</v>
      </c>
      <c r="O165" t="n">
        <v>0</v>
      </c>
      <c r="P165" t="n">
        <v>0</v>
      </c>
      <c r="Q165" t="n">
        <v>0</v>
      </c>
      <c r="R165" s="2" t="inlineStr"/>
    </row>
    <row r="166" ht="15" customHeight="1">
      <c r="A166" t="inlineStr">
        <is>
          <t>A 11116-2022</t>
        </is>
      </c>
      <c r="B166" s="1" t="n">
        <v>44628.92569444444</v>
      </c>
      <c r="C166" s="1" t="n">
        <v>45929</v>
      </c>
      <c r="D166" t="inlineStr">
        <is>
          <t>VÄSTERBOTTENS LÄN</t>
        </is>
      </c>
      <c r="E166" t="inlineStr">
        <is>
          <t>VILHELMINA</t>
        </is>
      </c>
      <c r="G166" t="n">
        <v>4.2</v>
      </c>
      <c r="H166" t="n">
        <v>0</v>
      </c>
      <c r="I166" t="n">
        <v>0</v>
      </c>
      <c r="J166" t="n">
        <v>0</v>
      </c>
      <c r="K166" t="n">
        <v>0</v>
      </c>
      <c r="L166" t="n">
        <v>0</v>
      </c>
      <c r="M166" t="n">
        <v>0</v>
      </c>
      <c r="N166" t="n">
        <v>0</v>
      </c>
      <c r="O166" t="n">
        <v>0</v>
      </c>
      <c r="P166" t="n">
        <v>0</v>
      </c>
      <c r="Q166" t="n">
        <v>0</v>
      </c>
      <c r="R166" s="2" t="inlineStr"/>
    </row>
    <row r="167" ht="15" customHeight="1">
      <c r="A167" t="inlineStr">
        <is>
          <t>A 8731-2022</t>
        </is>
      </c>
      <c r="B167" s="1" t="n">
        <v>44613</v>
      </c>
      <c r="C167" s="1" t="n">
        <v>45929</v>
      </c>
      <c r="D167" t="inlineStr">
        <is>
          <t>VÄSTERBOTTENS LÄN</t>
        </is>
      </c>
      <c r="E167" t="inlineStr">
        <is>
          <t>VILHELMINA</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45425-2022</t>
        </is>
      </c>
      <c r="B168" s="1" t="n">
        <v>44844</v>
      </c>
      <c r="C168" s="1" t="n">
        <v>45929</v>
      </c>
      <c r="D168" t="inlineStr">
        <is>
          <t>VÄSTERBOTTENS LÄN</t>
        </is>
      </c>
      <c r="E168" t="inlineStr">
        <is>
          <t>VILHELMINA</t>
        </is>
      </c>
      <c r="F168" t="inlineStr">
        <is>
          <t>SCA</t>
        </is>
      </c>
      <c r="G168" t="n">
        <v>4.6</v>
      </c>
      <c r="H168" t="n">
        <v>0</v>
      </c>
      <c r="I168" t="n">
        <v>0</v>
      </c>
      <c r="J168" t="n">
        <v>0</v>
      </c>
      <c r="K168" t="n">
        <v>0</v>
      </c>
      <c r="L168" t="n">
        <v>0</v>
      </c>
      <c r="M168" t="n">
        <v>0</v>
      </c>
      <c r="N168" t="n">
        <v>0</v>
      </c>
      <c r="O168" t="n">
        <v>0</v>
      </c>
      <c r="P168" t="n">
        <v>0</v>
      </c>
      <c r="Q168" t="n">
        <v>0</v>
      </c>
      <c r="R168" s="2" t="inlineStr"/>
    </row>
    <row r="169" ht="15" customHeight="1">
      <c r="A169" t="inlineStr">
        <is>
          <t>A 30019-2022</t>
        </is>
      </c>
      <c r="B169" s="1" t="n">
        <v>44756.94431712963</v>
      </c>
      <c r="C169" s="1" t="n">
        <v>45929</v>
      </c>
      <c r="D169" t="inlineStr">
        <is>
          <t>VÄSTERBOTTENS LÄN</t>
        </is>
      </c>
      <c r="E169" t="inlineStr">
        <is>
          <t>VILHELMINA</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30020-2022</t>
        </is>
      </c>
      <c r="B170" s="1" t="n">
        <v>44756.94440972222</v>
      </c>
      <c r="C170" s="1" t="n">
        <v>45929</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65663-2020</t>
        </is>
      </c>
      <c r="B171" s="1" t="n">
        <v>44172</v>
      </c>
      <c r="C171" s="1" t="n">
        <v>45929</v>
      </c>
      <c r="D171" t="inlineStr">
        <is>
          <t>VÄSTERBOTTENS LÄN</t>
        </is>
      </c>
      <c r="E171" t="inlineStr">
        <is>
          <t>VILHELMINA</t>
        </is>
      </c>
      <c r="G171" t="n">
        <v>3.2</v>
      </c>
      <c r="H171" t="n">
        <v>0</v>
      </c>
      <c r="I171" t="n">
        <v>0</v>
      </c>
      <c r="J171" t="n">
        <v>0</v>
      </c>
      <c r="K171" t="n">
        <v>0</v>
      </c>
      <c r="L171" t="n">
        <v>0</v>
      </c>
      <c r="M171" t="n">
        <v>0</v>
      </c>
      <c r="N171" t="n">
        <v>0</v>
      </c>
      <c r="O171" t="n">
        <v>0</v>
      </c>
      <c r="P171" t="n">
        <v>0</v>
      </c>
      <c r="Q171" t="n">
        <v>0</v>
      </c>
      <c r="R171" s="2" t="inlineStr"/>
    </row>
    <row r="172" ht="15" customHeight="1">
      <c r="A172" t="inlineStr">
        <is>
          <t>A 18950-2021</t>
        </is>
      </c>
      <c r="B172" s="1" t="n">
        <v>44307</v>
      </c>
      <c r="C172" s="1" t="n">
        <v>45929</v>
      </c>
      <c r="D172" t="inlineStr">
        <is>
          <t>VÄSTERBOTTENS LÄN</t>
        </is>
      </c>
      <c r="E172" t="inlineStr">
        <is>
          <t>VILHELMINA</t>
        </is>
      </c>
      <c r="G172" t="n">
        <v>1.9</v>
      </c>
      <c r="H172" t="n">
        <v>0</v>
      </c>
      <c r="I172" t="n">
        <v>0</v>
      </c>
      <c r="J172" t="n">
        <v>0</v>
      </c>
      <c r="K172" t="n">
        <v>0</v>
      </c>
      <c r="L172" t="n">
        <v>0</v>
      </c>
      <c r="M172" t="n">
        <v>0</v>
      </c>
      <c r="N172" t="n">
        <v>0</v>
      </c>
      <c r="O172" t="n">
        <v>0</v>
      </c>
      <c r="P172" t="n">
        <v>0</v>
      </c>
      <c r="Q172" t="n">
        <v>0</v>
      </c>
      <c r="R172" s="2" t="inlineStr"/>
    </row>
    <row r="173" ht="15" customHeight="1">
      <c r="A173" t="inlineStr">
        <is>
          <t>A 18497-2022</t>
        </is>
      </c>
      <c r="B173" s="1" t="n">
        <v>44686</v>
      </c>
      <c r="C173" s="1" t="n">
        <v>45929</v>
      </c>
      <c r="D173" t="inlineStr">
        <is>
          <t>VÄSTERBOTTENS LÄN</t>
        </is>
      </c>
      <c r="E173" t="inlineStr">
        <is>
          <t>VILHELMINA</t>
        </is>
      </c>
      <c r="F173" t="inlineStr">
        <is>
          <t>Övriga statliga verk och myndigheter</t>
        </is>
      </c>
      <c r="G173" t="n">
        <v>64.7</v>
      </c>
      <c r="H173" t="n">
        <v>0</v>
      </c>
      <c r="I173" t="n">
        <v>0</v>
      </c>
      <c r="J173" t="n">
        <v>0</v>
      </c>
      <c r="K173" t="n">
        <v>0</v>
      </c>
      <c r="L173" t="n">
        <v>0</v>
      </c>
      <c r="M173" t="n">
        <v>0</v>
      </c>
      <c r="N173" t="n">
        <v>0</v>
      </c>
      <c r="O173" t="n">
        <v>0</v>
      </c>
      <c r="P173" t="n">
        <v>0</v>
      </c>
      <c r="Q173" t="n">
        <v>0</v>
      </c>
      <c r="R173" s="2" t="inlineStr"/>
    </row>
    <row r="174" ht="15" customHeight="1">
      <c r="A174" t="inlineStr">
        <is>
          <t>A 47285-2022</t>
        </is>
      </c>
      <c r="B174" s="1" t="n">
        <v>44852.95126157408</v>
      </c>
      <c r="C174" s="1" t="n">
        <v>45929</v>
      </c>
      <c r="D174" t="inlineStr">
        <is>
          <t>VÄSTERBOTTENS LÄN</t>
        </is>
      </c>
      <c r="E174" t="inlineStr">
        <is>
          <t>VILHELMINA</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22325-2022</t>
        </is>
      </c>
      <c r="B175" s="1" t="n">
        <v>44712</v>
      </c>
      <c r="C175" s="1" t="n">
        <v>45929</v>
      </c>
      <c r="D175" t="inlineStr">
        <is>
          <t>VÄSTERBOTTENS LÄN</t>
        </is>
      </c>
      <c r="E175" t="inlineStr">
        <is>
          <t>VILHELMINA</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9781-2022</t>
        </is>
      </c>
      <c r="B176" s="1" t="n">
        <v>44619</v>
      </c>
      <c r="C176" s="1" t="n">
        <v>45929</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18971-2021</t>
        </is>
      </c>
      <c r="B177" s="1" t="n">
        <v>44307</v>
      </c>
      <c r="C177" s="1" t="n">
        <v>45929</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43714-2022</t>
        </is>
      </c>
      <c r="B178" s="1" t="n">
        <v>44837.66417824074</v>
      </c>
      <c r="C178" s="1" t="n">
        <v>45929</v>
      </c>
      <c r="D178" t="inlineStr">
        <is>
          <t>VÄSTERBOTTENS LÄN</t>
        </is>
      </c>
      <c r="E178" t="inlineStr">
        <is>
          <t>VILHELMINA</t>
        </is>
      </c>
      <c r="G178" t="n">
        <v>8.9</v>
      </c>
      <c r="H178" t="n">
        <v>0</v>
      </c>
      <c r="I178" t="n">
        <v>0</v>
      </c>
      <c r="J178" t="n">
        <v>0</v>
      </c>
      <c r="K178" t="n">
        <v>0</v>
      </c>
      <c r="L178" t="n">
        <v>0</v>
      </c>
      <c r="M178" t="n">
        <v>0</v>
      </c>
      <c r="N178" t="n">
        <v>0</v>
      </c>
      <c r="O178" t="n">
        <v>0</v>
      </c>
      <c r="P178" t="n">
        <v>0</v>
      </c>
      <c r="Q178" t="n">
        <v>0</v>
      </c>
      <c r="R178" s="2" t="inlineStr"/>
    </row>
    <row r="179" ht="15" customHeight="1">
      <c r="A179" t="inlineStr">
        <is>
          <t>A 59587-2020</t>
        </is>
      </c>
      <c r="B179" s="1" t="n">
        <v>44148</v>
      </c>
      <c r="C179" s="1" t="n">
        <v>45929</v>
      </c>
      <c r="D179" t="inlineStr">
        <is>
          <t>VÄSTERBOTTENS LÄN</t>
        </is>
      </c>
      <c r="E179" t="inlineStr">
        <is>
          <t>VILHELMINA</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69362-2021</t>
        </is>
      </c>
      <c r="B180" s="1" t="n">
        <v>44531</v>
      </c>
      <c r="C180" s="1" t="n">
        <v>45929</v>
      </c>
      <c r="D180" t="inlineStr">
        <is>
          <t>VÄSTERBOTTENS LÄN</t>
        </is>
      </c>
      <c r="E180" t="inlineStr">
        <is>
          <t>VILHELMINA</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69848-2021</t>
        </is>
      </c>
      <c r="B181" s="1" t="n">
        <v>44532</v>
      </c>
      <c r="C181" s="1" t="n">
        <v>45929</v>
      </c>
      <c r="D181" t="inlineStr">
        <is>
          <t>VÄSTERBOTTENS LÄN</t>
        </is>
      </c>
      <c r="E181" t="inlineStr">
        <is>
          <t>VILHELMINA</t>
        </is>
      </c>
      <c r="G181" t="n">
        <v>2.5</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45929</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62658-2021</t>
        </is>
      </c>
      <c r="B183" s="1" t="n">
        <v>44503</v>
      </c>
      <c r="C183" s="1" t="n">
        <v>45929</v>
      </c>
      <c r="D183" t="inlineStr">
        <is>
          <t>VÄSTERBOTTENS LÄN</t>
        </is>
      </c>
      <c r="E183" t="inlineStr">
        <is>
          <t>VILHELMINA</t>
        </is>
      </c>
      <c r="F183" t="inlineStr">
        <is>
          <t>SCA</t>
        </is>
      </c>
      <c r="G183" t="n">
        <v>13.4</v>
      </c>
      <c r="H183" t="n">
        <v>0</v>
      </c>
      <c r="I183" t="n">
        <v>0</v>
      </c>
      <c r="J183" t="n">
        <v>0</v>
      </c>
      <c r="K183" t="n">
        <v>0</v>
      </c>
      <c r="L183" t="n">
        <v>0</v>
      </c>
      <c r="M183" t="n">
        <v>0</v>
      </c>
      <c r="N183" t="n">
        <v>0</v>
      </c>
      <c r="O183" t="n">
        <v>0</v>
      </c>
      <c r="P183" t="n">
        <v>0</v>
      </c>
      <c r="Q183" t="n">
        <v>0</v>
      </c>
      <c r="R183" s="2" t="inlineStr"/>
    </row>
    <row r="184" ht="15" customHeight="1">
      <c r="A184" t="inlineStr">
        <is>
          <t>A 32672-2021</t>
        </is>
      </c>
      <c r="B184" s="1" t="n">
        <v>44371</v>
      </c>
      <c r="C184" s="1" t="n">
        <v>45929</v>
      </c>
      <c r="D184" t="inlineStr">
        <is>
          <t>VÄSTERBOTTENS LÄN</t>
        </is>
      </c>
      <c r="E184" t="inlineStr">
        <is>
          <t>VILHELMINA</t>
        </is>
      </c>
      <c r="G184" t="n">
        <v>4.5</v>
      </c>
      <c r="H184" t="n">
        <v>0</v>
      </c>
      <c r="I184" t="n">
        <v>0</v>
      </c>
      <c r="J184" t="n">
        <v>0</v>
      </c>
      <c r="K184" t="n">
        <v>0</v>
      </c>
      <c r="L184" t="n">
        <v>0</v>
      </c>
      <c r="M184" t="n">
        <v>0</v>
      </c>
      <c r="N184" t="n">
        <v>0</v>
      </c>
      <c r="O184" t="n">
        <v>0</v>
      </c>
      <c r="P184" t="n">
        <v>0</v>
      </c>
      <c r="Q184" t="n">
        <v>0</v>
      </c>
      <c r="R184" s="2" t="inlineStr"/>
    </row>
    <row r="185" ht="15" customHeight="1">
      <c r="A185" t="inlineStr">
        <is>
          <t>A 10075-2021</t>
        </is>
      </c>
      <c r="B185" s="1" t="n">
        <v>44253</v>
      </c>
      <c r="C185" s="1" t="n">
        <v>45929</v>
      </c>
      <c r="D185" t="inlineStr">
        <is>
          <t>VÄSTERBOTTENS LÄN</t>
        </is>
      </c>
      <c r="E185" t="inlineStr">
        <is>
          <t>VILHELMINA</t>
        </is>
      </c>
      <c r="G185" t="n">
        <v>1.3</v>
      </c>
      <c r="H185" t="n">
        <v>0</v>
      </c>
      <c r="I185" t="n">
        <v>0</v>
      </c>
      <c r="J185" t="n">
        <v>0</v>
      </c>
      <c r="K185" t="n">
        <v>0</v>
      </c>
      <c r="L185" t="n">
        <v>0</v>
      </c>
      <c r="M185" t="n">
        <v>0</v>
      </c>
      <c r="N185" t="n">
        <v>0</v>
      </c>
      <c r="O185" t="n">
        <v>0</v>
      </c>
      <c r="P185" t="n">
        <v>0</v>
      </c>
      <c r="Q185" t="n">
        <v>0</v>
      </c>
      <c r="R185" s="2" t="inlineStr"/>
    </row>
    <row r="186" ht="15" customHeight="1">
      <c r="A186" t="inlineStr">
        <is>
          <t>A 18996-2022</t>
        </is>
      </c>
      <c r="B186" s="1" t="n">
        <v>44690</v>
      </c>
      <c r="C186" s="1" t="n">
        <v>45929</v>
      </c>
      <c r="D186" t="inlineStr">
        <is>
          <t>VÄSTERBOTTENS LÄN</t>
        </is>
      </c>
      <c r="E186" t="inlineStr">
        <is>
          <t>VILHELMINA</t>
        </is>
      </c>
      <c r="F186" t="inlineStr">
        <is>
          <t>SCA</t>
        </is>
      </c>
      <c r="G186" t="n">
        <v>0.3</v>
      </c>
      <c r="H186" t="n">
        <v>0</v>
      </c>
      <c r="I186" t="n">
        <v>0</v>
      </c>
      <c r="J186" t="n">
        <v>0</v>
      </c>
      <c r="K186" t="n">
        <v>0</v>
      </c>
      <c r="L186" t="n">
        <v>0</v>
      </c>
      <c r="M186" t="n">
        <v>0</v>
      </c>
      <c r="N186" t="n">
        <v>0</v>
      </c>
      <c r="O186" t="n">
        <v>0</v>
      </c>
      <c r="P186" t="n">
        <v>0</v>
      </c>
      <c r="Q186" t="n">
        <v>0</v>
      </c>
      <c r="R186" s="2" t="inlineStr"/>
    </row>
    <row r="187" ht="15" customHeight="1">
      <c r="A187" t="inlineStr">
        <is>
          <t>A 32665-2021</t>
        </is>
      </c>
      <c r="B187" s="1" t="n">
        <v>44371</v>
      </c>
      <c r="C187" s="1" t="n">
        <v>45929</v>
      </c>
      <c r="D187" t="inlineStr">
        <is>
          <t>VÄSTERBOTTENS LÄN</t>
        </is>
      </c>
      <c r="E187" t="inlineStr">
        <is>
          <t>VILHELMINA</t>
        </is>
      </c>
      <c r="G187" t="n">
        <v>2.9</v>
      </c>
      <c r="H187" t="n">
        <v>0</v>
      </c>
      <c r="I187" t="n">
        <v>0</v>
      </c>
      <c r="J187" t="n">
        <v>0</v>
      </c>
      <c r="K187" t="n">
        <v>0</v>
      </c>
      <c r="L187" t="n">
        <v>0</v>
      </c>
      <c r="M187" t="n">
        <v>0</v>
      </c>
      <c r="N187" t="n">
        <v>0</v>
      </c>
      <c r="O187" t="n">
        <v>0</v>
      </c>
      <c r="P187" t="n">
        <v>0</v>
      </c>
      <c r="Q187" t="n">
        <v>0</v>
      </c>
      <c r="R187" s="2" t="inlineStr"/>
    </row>
    <row r="188" ht="15" customHeight="1">
      <c r="A188" t="inlineStr">
        <is>
          <t>A 44136-2021</t>
        </is>
      </c>
      <c r="B188" s="1" t="n">
        <v>44434</v>
      </c>
      <c r="C188" s="1" t="n">
        <v>45929</v>
      </c>
      <c r="D188" t="inlineStr">
        <is>
          <t>VÄSTERBOTTENS LÄN</t>
        </is>
      </c>
      <c r="E188" t="inlineStr">
        <is>
          <t>VILHELMINA</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52165-2020</t>
        </is>
      </c>
      <c r="B189" s="1" t="n">
        <v>44105</v>
      </c>
      <c r="C189" s="1" t="n">
        <v>45929</v>
      </c>
      <c r="D189" t="inlineStr">
        <is>
          <t>VÄSTERBOTTENS LÄN</t>
        </is>
      </c>
      <c r="E189" t="inlineStr">
        <is>
          <t>VILHELMINA</t>
        </is>
      </c>
      <c r="G189" t="n">
        <v>16.1</v>
      </c>
      <c r="H189" t="n">
        <v>0</v>
      </c>
      <c r="I189" t="n">
        <v>0</v>
      </c>
      <c r="J189" t="n">
        <v>0</v>
      </c>
      <c r="K189" t="n">
        <v>0</v>
      </c>
      <c r="L189" t="n">
        <v>0</v>
      </c>
      <c r="M189" t="n">
        <v>0</v>
      </c>
      <c r="N189" t="n">
        <v>0</v>
      </c>
      <c r="O189" t="n">
        <v>0</v>
      </c>
      <c r="P189" t="n">
        <v>0</v>
      </c>
      <c r="Q189" t="n">
        <v>0</v>
      </c>
      <c r="R189" s="2" t="inlineStr"/>
    </row>
    <row r="190" ht="15" customHeight="1">
      <c r="A190" t="inlineStr">
        <is>
          <t>A 36139-2021</t>
        </is>
      </c>
      <c r="B190" s="1" t="n">
        <v>44389.5819675926</v>
      </c>
      <c r="C190" s="1" t="n">
        <v>45929</v>
      </c>
      <c r="D190" t="inlineStr">
        <is>
          <t>VÄSTERBOTTENS LÄN</t>
        </is>
      </c>
      <c r="E190" t="inlineStr">
        <is>
          <t>VILHELMINA</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45929</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45929</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45929</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45929</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45929</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45929</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45929</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45929</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45929</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45929</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69850-2021</t>
        </is>
      </c>
      <c r="B201" s="1" t="n">
        <v>44532</v>
      </c>
      <c r="C201" s="1" t="n">
        <v>45929</v>
      </c>
      <c r="D201" t="inlineStr">
        <is>
          <t>VÄSTERBOTTENS LÄN</t>
        </is>
      </c>
      <c r="E201" t="inlineStr">
        <is>
          <t>VILHELMINA</t>
        </is>
      </c>
      <c r="G201" t="n">
        <v>6.8</v>
      </c>
      <c r="H201" t="n">
        <v>0</v>
      </c>
      <c r="I201" t="n">
        <v>0</v>
      </c>
      <c r="J201" t="n">
        <v>0</v>
      </c>
      <c r="K201" t="n">
        <v>0</v>
      </c>
      <c r="L201" t="n">
        <v>0</v>
      </c>
      <c r="M201" t="n">
        <v>0</v>
      </c>
      <c r="N201" t="n">
        <v>0</v>
      </c>
      <c r="O201" t="n">
        <v>0</v>
      </c>
      <c r="P201" t="n">
        <v>0</v>
      </c>
      <c r="Q201" t="n">
        <v>0</v>
      </c>
      <c r="R201" s="2" t="inlineStr"/>
    </row>
    <row r="202" ht="15" customHeight="1">
      <c r="A202" t="inlineStr">
        <is>
          <t>A 48600-2021</t>
        </is>
      </c>
      <c r="B202" s="1" t="n">
        <v>44452</v>
      </c>
      <c r="C202" s="1" t="n">
        <v>45929</v>
      </c>
      <c r="D202" t="inlineStr">
        <is>
          <t>VÄSTERBOTTENS LÄN</t>
        </is>
      </c>
      <c r="E202" t="inlineStr">
        <is>
          <t>VILHELMINA</t>
        </is>
      </c>
      <c r="F202" t="inlineStr">
        <is>
          <t>Allmännings- och besparingsskogar</t>
        </is>
      </c>
      <c r="G202" t="n">
        <v>48.6</v>
      </c>
      <c r="H202" t="n">
        <v>0</v>
      </c>
      <c r="I202" t="n">
        <v>0</v>
      </c>
      <c r="J202" t="n">
        <v>0</v>
      </c>
      <c r="K202" t="n">
        <v>0</v>
      </c>
      <c r="L202" t="n">
        <v>0</v>
      </c>
      <c r="M202" t="n">
        <v>0</v>
      </c>
      <c r="N202" t="n">
        <v>0</v>
      </c>
      <c r="O202" t="n">
        <v>0</v>
      </c>
      <c r="P202" t="n">
        <v>0</v>
      </c>
      <c r="Q202" t="n">
        <v>0</v>
      </c>
      <c r="R202" s="2" t="inlineStr"/>
    </row>
    <row r="203" ht="15" customHeight="1">
      <c r="A203" t="inlineStr">
        <is>
          <t>A 28895-2021</t>
        </is>
      </c>
      <c r="B203" s="1" t="n">
        <v>44357</v>
      </c>
      <c r="C203" s="1" t="n">
        <v>45929</v>
      </c>
      <c r="D203" t="inlineStr">
        <is>
          <t>VÄSTERBOTTENS LÄN</t>
        </is>
      </c>
      <c r="E203" t="inlineStr">
        <is>
          <t>VILHELMINA</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45929</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45929</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24599-2021</t>
        </is>
      </c>
      <c r="B206" s="1" t="n">
        <v>44341</v>
      </c>
      <c r="C206" s="1" t="n">
        <v>45929</v>
      </c>
      <c r="D206" t="inlineStr">
        <is>
          <t>VÄSTERBOTTENS LÄN</t>
        </is>
      </c>
      <c r="E206" t="inlineStr">
        <is>
          <t>VILHELMINA</t>
        </is>
      </c>
      <c r="G206" t="n">
        <v>14.5</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45929</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24983-2021</t>
        </is>
      </c>
      <c r="B208" s="1" t="n">
        <v>44341</v>
      </c>
      <c r="C208" s="1" t="n">
        <v>45929</v>
      </c>
      <c r="D208" t="inlineStr">
        <is>
          <t>VÄSTERBOTTENS LÄN</t>
        </is>
      </c>
      <c r="E208" t="inlineStr">
        <is>
          <t>VILHELMINA</t>
        </is>
      </c>
      <c r="G208" t="n">
        <v>12.9</v>
      </c>
      <c r="H208" t="n">
        <v>0</v>
      </c>
      <c r="I208" t="n">
        <v>0</v>
      </c>
      <c r="J208" t="n">
        <v>0</v>
      </c>
      <c r="K208" t="n">
        <v>0</v>
      </c>
      <c r="L208" t="n">
        <v>0</v>
      </c>
      <c r="M208" t="n">
        <v>0</v>
      </c>
      <c r="N208" t="n">
        <v>0</v>
      </c>
      <c r="O208" t="n">
        <v>0</v>
      </c>
      <c r="P208" t="n">
        <v>0</v>
      </c>
      <c r="Q208" t="n">
        <v>0</v>
      </c>
      <c r="R208" s="2" t="inlineStr"/>
    </row>
    <row r="209" ht="15" customHeight="1">
      <c r="A209" t="inlineStr">
        <is>
          <t>A 64759-2020</t>
        </is>
      </c>
      <c r="B209" s="1" t="n">
        <v>44169</v>
      </c>
      <c r="C209" s="1" t="n">
        <v>45929</v>
      </c>
      <c r="D209" t="inlineStr">
        <is>
          <t>VÄSTERBOTTENS LÄN</t>
        </is>
      </c>
      <c r="E209" t="inlineStr">
        <is>
          <t>VILHELMINA</t>
        </is>
      </c>
      <c r="G209" t="n">
        <v>24.6</v>
      </c>
      <c r="H209" t="n">
        <v>0</v>
      </c>
      <c r="I209" t="n">
        <v>0</v>
      </c>
      <c r="J209" t="n">
        <v>0</v>
      </c>
      <c r="K209" t="n">
        <v>0</v>
      </c>
      <c r="L209" t="n">
        <v>0</v>
      </c>
      <c r="M209" t="n">
        <v>0</v>
      </c>
      <c r="N209" t="n">
        <v>0</v>
      </c>
      <c r="O209" t="n">
        <v>0</v>
      </c>
      <c r="P209" t="n">
        <v>0</v>
      </c>
      <c r="Q209" t="n">
        <v>0</v>
      </c>
      <c r="R209" s="2" t="inlineStr"/>
    </row>
    <row r="210" ht="15" customHeight="1">
      <c r="A210" t="inlineStr">
        <is>
          <t>A 36931-2022</t>
        </is>
      </c>
      <c r="B210" s="1" t="n">
        <v>44805</v>
      </c>
      <c r="C210" s="1" t="n">
        <v>45929</v>
      </c>
      <c r="D210" t="inlineStr">
        <is>
          <t>VÄSTERBOTTENS LÄN</t>
        </is>
      </c>
      <c r="E210" t="inlineStr">
        <is>
          <t>VILHELMINA</t>
        </is>
      </c>
      <c r="F210" t="inlineStr">
        <is>
          <t>SCA</t>
        </is>
      </c>
      <c r="G210" t="n">
        <v>3.9</v>
      </c>
      <c r="H210" t="n">
        <v>0</v>
      </c>
      <c r="I210" t="n">
        <v>0</v>
      </c>
      <c r="J210" t="n">
        <v>0</v>
      </c>
      <c r="K210" t="n">
        <v>0</v>
      </c>
      <c r="L210" t="n">
        <v>0</v>
      </c>
      <c r="M210" t="n">
        <v>0</v>
      </c>
      <c r="N210" t="n">
        <v>0</v>
      </c>
      <c r="O210" t="n">
        <v>0</v>
      </c>
      <c r="P210" t="n">
        <v>0</v>
      </c>
      <c r="Q210" t="n">
        <v>0</v>
      </c>
      <c r="R210" s="2" t="inlineStr"/>
    </row>
    <row r="211" ht="15" customHeight="1">
      <c r="A211" t="inlineStr">
        <is>
          <t>A 9732-2022</t>
        </is>
      </c>
      <c r="B211" s="1" t="n">
        <v>44617.9343287037</v>
      </c>
      <c r="C211" s="1" t="n">
        <v>45929</v>
      </c>
      <c r="D211" t="inlineStr">
        <is>
          <t>VÄSTERBOTTENS LÄN</t>
        </is>
      </c>
      <c r="E211" t="inlineStr">
        <is>
          <t>VILHELMINA</t>
        </is>
      </c>
      <c r="F211" t="inlineStr">
        <is>
          <t>SCA</t>
        </is>
      </c>
      <c r="G211" t="n">
        <v>6.9</v>
      </c>
      <c r="H211" t="n">
        <v>0</v>
      </c>
      <c r="I211" t="n">
        <v>0</v>
      </c>
      <c r="J211" t="n">
        <v>0</v>
      </c>
      <c r="K211" t="n">
        <v>0</v>
      </c>
      <c r="L211" t="n">
        <v>0</v>
      </c>
      <c r="M211" t="n">
        <v>0</v>
      </c>
      <c r="N211" t="n">
        <v>0</v>
      </c>
      <c r="O211" t="n">
        <v>0</v>
      </c>
      <c r="P211" t="n">
        <v>0</v>
      </c>
      <c r="Q211" t="n">
        <v>0</v>
      </c>
      <c r="R211" s="2" t="inlineStr"/>
    </row>
    <row r="212" ht="15" customHeight="1">
      <c r="A212" t="inlineStr">
        <is>
          <t>A 2189-2021</t>
        </is>
      </c>
      <c r="B212" s="1" t="n">
        <v>44211</v>
      </c>
      <c r="C212" s="1" t="n">
        <v>45929</v>
      </c>
      <c r="D212" t="inlineStr">
        <is>
          <t>VÄSTERBOTTENS LÄN</t>
        </is>
      </c>
      <c r="E212" t="inlineStr">
        <is>
          <t>VILHELMINA</t>
        </is>
      </c>
      <c r="F212" t="inlineStr">
        <is>
          <t>Allmännings- och besparingsskogar</t>
        </is>
      </c>
      <c r="G212" t="n">
        <v>20.1</v>
      </c>
      <c r="H212" t="n">
        <v>0</v>
      </c>
      <c r="I212" t="n">
        <v>0</v>
      </c>
      <c r="J212" t="n">
        <v>0</v>
      </c>
      <c r="K212" t="n">
        <v>0</v>
      </c>
      <c r="L212" t="n">
        <v>0</v>
      </c>
      <c r="M212" t="n">
        <v>0</v>
      </c>
      <c r="N212" t="n">
        <v>0</v>
      </c>
      <c r="O212" t="n">
        <v>0</v>
      </c>
      <c r="P212" t="n">
        <v>0</v>
      </c>
      <c r="Q212" t="n">
        <v>0</v>
      </c>
      <c r="R212" s="2" t="inlineStr"/>
    </row>
    <row r="213" ht="15" customHeight="1">
      <c r="A213" t="inlineStr">
        <is>
          <t>A 9501-2022</t>
        </is>
      </c>
      <c r="B213" s="1" t="n">
        <v>44616.93883101852</v>
      </c>
      <c r="C213" s="1" t="n">
        <v>45929</v>
      </c>
      <c r="D213" t="inlineStr">
        <is>
          <t>VÄSTERBOTTENS LÄN</t>
        </is>
      </c>
      <c r="E213" t="inlineStr">
        <is>
          <t>VILHELMINA</t>
        </is>
      </c>
      <c r="F213" t="inlineStr">
        <is>
          <t>SCA</t>
        </is>
      </c>
      <c r="G213" t="n">
        <v>2.7</v>
      </c>
      <c r="H213" t="n">
        <v>0</v>
      </c>
      <c r="I213" t="n">
        <v>0</v>
      </c>
      <c r="J213" t="n">
        <v>0</v>
      </c>
      <c r="K213" t="n">
        <v>0</v>
      </c>
      <c r="L213" t="n">
        <v>0</v>
      </c>
      <c r="M213" t="n">
        <v>0</v>
      </c>
      <c r="N213" t="n">
        <v>0</v>
      </c>
      <c r="O213" t="n">
        <v>0</v>
      </c>
      <c r="P213" t="n">
        <v>0</v>
      </c>
      <c r="Q213" t="n">
        <v>0</v>
      </c>
      <c r="R213" s="2" t="inlineStr"/>
    </row>
    <row r="214" ht="15" customHeight="1">
      <c r="A214" t="inlineStr">
        <is>
          <t>A 9780-2022</t>
        </is>
      </c>
      <c r="B214" s="1" t="n">
        <v>44619.88071759259</v>
      </c>
      <c r="C214" s="1" t="n">
        <v>45929</v>
      </c>
      <c r="D214" t="inlineStr">
        <is>
          <t>VÄSTERBOTTENS LÄN</t>
        </is>
      </c>
      <c r="E214" t="inlineStr">
        <is>
          <t>VILHELMINA</t>
        </is>
      </c>
      <c r="G214" t="n">
        <v>1.9</v>
      </c>
      <c r="H214" t="n">
        <v>0</v>
      </c>
      <c r="I214" t="n">
        <v>0</v>
      </c>
      <c r="J214" t="n">
        <v>0</v>
      </c>
      <c r="K214" t="n">
        <v>0</v>
      </c>
      <c r="L214" t="n">
        <v>0</v>
      </c>
      <c r="M214" t="n">
        <v>0</v>
      </c>
      <c r="N214" t="n">
        <v>0</v>
      </c>
      <c r="O214" t="n">
        <v>0</v>
      </c>
      <c r="P214" t="n">
        <v>0</v>
      </c>
      <c r="Q214" t="n">
        <v>0</v>
      </c>
      <c r="R214" s="2" t="inlineStr"/>
    </row>
    <row r="215" ht="15" customHeight="1">
      <c r="A215" t="inlineStr">
        <is>
          <t>A 53658-2022</t>
        </is>
      </c>
      <c r="B215" s="1" t="n">
        <v>44879</v>
      </c>
      <c r="C215" s="1" t="n">
        <v>45929</v>
      </c>
      <c r="D215" t="inlineStr">
        <is>
          <t>VÄSTERBOTTENS LÄN</t>
        </is>
      </c>
      <c r="E215" t="inlineStr">
        <is>
          <t>VILHELMINA</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43741-2022</t>
        </is>
      </c>
      <c r="B216" s="1" t="n">
        <v>44837</v>
      </c>
      <c r="C216" s="1" t="n">
        <v>45929</v>
      </c>
      <c r="D216" t="inlineStr">
        <is>
          <t>VÄSTERBOTTENS LÄN</t>
        </is>
      </c>
      <c r="E216" t="inlineStr">
        <is>
          <t>VILHELMINA</t>
        </is>
      </c>
      <c r="G216" t="n">
        <v>54.2</v>
      </c>
      <c r="H216" t="n">
        <v>0</v>
      </c>
      <c r="I216" t="n">
        <v>0</v>
      </c>
      <c r="J216" t="n">
        <v>0</v>
      </c>
      <c r="K216" t="n">
        <v>0</v>
      </c>
      <c r="L216" t="n">
        <v>0</v>
      </c>
      <c r="M216" t="n">
        <v>0</v>
      </c>
      <c r="N216" t="n">
        <v>0</v>
      </c>
      <c r="O216" t="n">
        <v>0</v>
      </c>
      <c r="P216" t="n">
        <v>0</v>
      </c>
      <c r="Q216" t="n">
        <v>0</v>
      </c>
      <c r="R216" s="2" t="inlineStr"/>
    </row>
    <row r="217" ht="15" customHeight="1">
      <c r="A217" t="inlineStr">
        <is>
          <t>A 33603-2022</t>
        </is>
      </c>
      <c r="B217" s="1" t="n">
        <v>44789.49009259259</v>
      </c>
      <c r="C217" s="1" t="n">
        <v>45929</v>
      </c>
      <c r="D217" t="inlineStr">
        <is>
          <t>VÄSTERBOTTENS LÄN</t>
        </is>
      </c>
      <c r="E217" t="inlineStr">
        <is>
          <t>VILHELMINA</t>
        </is>
      </c>
      <c r="F217" t="inlineStr">
        <is>
          <t>Sveaskog</t>
        </is>
      </c>
      <c r="G217" t="n">
        <v>15.1</v>
      </c>
      <c r="H217" t="n">
        <v>0</v>
      </c>
      <c r="I217" t="n">
        <v>0</v>
      </c>
      <c r="J217" t="n">
        <v>0</v>
      </c>
      <c r="K217" t="n">
        <v>0</v>
      </c>
      <c r="L217" t="n">
        <v>0</v>
      </c>
      <c r="M217" t="n">
        <v>0</v>
      </c>
      <c r="N217" t="n">
        <v>0</v>
      </c>
      <c r="O217" t="n">
        <v>0</v>
      </c>
      <c r="P217" t="n">
        <v>0</v>
      </c>
      <c r="Q217" t="n">
        <v>0</v>
      </c>
      <c r="R217" s="2" t="inlineStr"/>
    </row>
    <row r="218" ht="15" customHeight="1">
      <c r="A218" t="inlineStr">
        <is>
          <t>A 27920-2022</t>
        </is>
      </c>
      <c r="B218" s="1" t="n">
        <v>44743</v>
      </c>
      <c r="C218" s="1" t="n">
        <v>45929</v>
      </c>
      <c r="D218" t="inlineStr">
        <is>
          <t>VÄSTERBOTTENS LÄN</t>
        </is>
      </c>
      <c r="E218" t="inlineStr">
        <is>
          <t>VILHELMINA</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57086-2021</t>
        </is>
      </c>
      <c r="B219" s="1" t="n">
        <v>44482</v>
      </c>
      <c r="C219" s="1" t="n">
        <v>45929</v>
      </c>
      <c r="D219" t="inlineStr">
        <is>
          <t>VÄSTERBOTTENS LÄN</t>
        </is>
      </c>
      <c r="E219" t="inlineStr">
        <is>
          <t>VILHELMINA</t>
        </is>
      </c>
      <c r="G219" t="n">
        <v>1.5</v>
      </c>
      <c r="H219" t="n">
        <v>0</v>
      </c>
      <c r="I219" t="n">
        <v>0</v>
      </c>
      <c r="J219" t="n">
        <v>0</v>
      </c>
      <c r="K219" t="n">
        <v>0</v>
      </c>
      <c r="L219" t="n">
        <v>0</v>
      </c>
      <c r="M219" t="n">
        <v>0</v>
      </c>
      <c r="N219" t="n">
        <v>0</v>
      </c>
      <c r="O219" t="n">
        <v>0</v>
      </c>
      <c r="P219" t="n">
        <v>0</v>
      </c>
      <c r="Q219" t="n">
        <v>0</v>
      </c>
      <c r="R219" s="2" t="inlineStr"/>
    </row>
    <row r="220" ht="15" customHeight="1">
      <c r="A220" t="inlineStr">
        <is>
          <t>A 29773-2022</t>
        </is>
      </c>
      <c r="B220" s="1" t="n">
        <v>44755.62866898148</v>
      </c>
      <c r="C220" s="1" t="n">
        <v>45929</v>
      </c>
      <c r="D220" t="inlineStr">
        <is>
          <t>VÄSTERBOTTENS LÄN</t>
        </is>
      </c>
      <c r="E220" t="inlineStr">
        <is>
          <t>VILHELMINA</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72488-2021</t>
        </is>
      </c>
      <c r="B221" s="1" t="n">
        <v>44545.9203587963</v>
      </c>
      <c r="C221" s="1" t="n">
        <v>45929</v>
      </c>
      <c r="D221" t="inlineStr">
        <is>
          <t>VÄSTERBOTTENS LÄN</t>
        </is>
      </c>
      <c r="E221" t="inlineStr">
        <is>
          <t>VILHELMINA</t>
        </is>
      </c>
      <c r="G221" t="n">
        <v>2</v>
      </c>
      <c r="H221" t="n">
        <v>0</v>
      </c>
      <c r="I221" t="n">
        <v>0</v>
      </c>
      <c r="J221" t="n">
        <v>0</v>
      </c>
      <c r="K221" t="n">
        <v>0</v>
      </c>
      <c r="L221" t="n">
        <v>0</v>
      </c>
      <c r="M221" t="n">
        <v>0</v>
      </c>
      <c r="N221" t="n">
        <v>0</v>
      </c>
      <c r="O221" t="n">
        <v>0</v>
      </c>
      <c r="P221" t="n">
        <v>0</v>
      </c>
      <c r="Q221" t="n">
        <v>0</v>
      </c>
      <c r="R221" s="2" t="inlineStr"/>
    </row>
    <row r="222" ht="15" customHeight="1">
      <c r="A222" t="inlineStr">
        <is>
          <t>A 72493-2021</t>
        </is>
      </c>
      <c r="B222" s="1" t="n">
        <v>44545</v>
      </c>
      <c r="C222" s="1" t="n">
        <v>45929</v>
      </c>
      <c r="D222" t="inlineStr">
        <is>
          <t>VÄSTERBOTTENS LÄN</t>
        </is>
      </c>
      <c r="E222" t="inlineStr">
        <is>
          <t>VILHELMINA</t>
        </is>
      </c>
      <c r="G222" t="n">
        <v>4.2</v>
      </c>
      <c r="H222" t="n">
        <v>0</v>
      </c>
      <c r="I222" t="n">
        <v>0</v>
      </c>
      <c r="J222" t="n">
        <v>0</v>
      </c>
      <c r="K222" t="n">
        <v>0</v>
      </c>
      <c r="L222" t="n">
        <v>0</v>
      </c>
      <c r="M222" t="n">
        <v>0</v>
      </c>
      <c r="N222" t="n">
        <v>0</v>
      </c>
      <c r="O222" t="n">
        <v>0</v>
      </c>
      <c r="P222" t="n">
        <v>0</v>
      </c>
      <c r="Q222" t="n">
        <v>0</v>
      </c>
      <c r="R222" s="2" t="inlineStr"/>
    </row>
    <row r="223" ht="15" customHeight="1">
      <c r="A223" t="inlineStr">
        <is>
          <t>A 12065-2022</t>
        </is>
      </c>
      <c r="B223" s="1" t="n">
        <v>44637</v>
      </c>
      <c r="C223" s="1" t="n">
        <v>45929</v>
      </c>
      <c r="D223" t="inlineStr">
        <is>
          <t>VÄSTERBOTTENS LÄN</t>
        </is>
      </c>
      <c r="E223" t="inlineStr">
        <is>
          <t>VILHELMINA</t>
        </is>
      </c>
      <c r="G223" t="n">
        <v>27.7</v>
      </c>
      <c r="H223" t="n">
        <v>0</v>
      </c>
      <c r="I223" t="n">
        <v>0</v>
      </c>
      <c r="J223" t="n">
        <v>0</v>
      </c>
      <c r="K223" t="n">
        <v>0</v>
      </c>
      <c r="L223" t="n">
        <v>0</v>
      </c>
      <c r="M223" t="n">
        <v>0</v>
      </c>
      <c r="N223" t="n">
        <v>0</v>
      </c>
      <c r="O223" t="n">
        <v>0</v>
      </c>
      <c r="P223" t="n">
        <v>0</v>
      </c>
      <c r="Q223" t="n">
        <v>0</v>
      </c>
      <c r="R223" s="2" t="inlineStr"/>
    </row>
    <row r="224" ht="15" customHeight="1">
      <c r="A224" t="inlineStr">
        <is>
          <t>A 27194-2024</t>
        </is>
      </c>
      <c r="B224" s="1" t="n">
        <v>45471</v>
      </c>
      <c r="C224" s="1" t="n">
        <v>45929</v>
      </c>
      <c r="D224" t="inlineStr">
        <is>
          <t>VÄSTERBOTTENS LÄN</t>
        </is>
      </c>
      <c r="E224" t="inlineStr">
        <is>
          <t>VILHELMINA</t>
        </is>
      </c>
      <c r="G224" t="n">
        <v>8.5</v>
      </c>
      <c r="H224" t="n">
        <v>0</v>
      </c>
      <c r="I224" t="n">
        <v>0</v>
      </c>
      <c r="J224" t="n">
        <v>0</v>
      </c>
      <c r="K224" t="n">
        <v>0</v>
      </c>
      <c r="L224" t="n">
        <v>0</v>
      </c>
      <c r="M224" t="n">
        <v>0</v>
      </c>
      <c r="N224" t="n">
        <v>0</v>
      </c>
      <c r="O224" t="n">
        <v>0</v>
      </c>
      <c r="P224" t="n">
        <v>0</v>
      </c>
      <c r="Q224" t="n">
        <v>0</v>
      </c>
      <c r="R224" s="2" t="inlineStr"/>
    </row>
    <row r="225" ht="15" customHeight="1">
      <c r="A225" t="inlineStr">
        <is>
          <t>A 60317-2021</t>
        </is>
      </c>
      <c r="B225" s="1" t="n">
        <v>44495.94003472223</v>
      </c>
      <c r="C225" s="1" t="n">
        <v>45929</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13200-2025</t>
        </is>
      </c>
      <c r="B226" s="1" t="n">
        <v>45735</v>
      </c>
      <c r="C226" s="1" t="n">
        <v>45929</v>
      </c>
      <c r="D226" t="inlineStr">
        <is>
          <t>VÄSTERBOTTENS LÄN</t>
        </is>
      </c>
      <c r="E226" t="inlineStr">
        <is>
          <t>VILHELMINA</t>
        </is>
      </c>
      <c r="F226" t="inlineStr">
        <is>
          <t>SCA</t>
        </is>
      </c>
      <c r="G226" t="n">
        <v>5.5</v>
      </c>
      <c r="H226" t="n">
        <v>0</v>
      </c>
      <c r="I226" t="n">
        <v>0</v>
      </c>
      <c r="J226" t="n">
        <v>0</v>
      </c>
      <c r="K226" t="n">
        <v>0</v>
      </c>
      <c r="L226" t="n">
        <v>0</v>
      </c>
      <c r="M226" t="n">
        <v>0</v>
      </c>
      <c r="N226" t="n">
        <v>0</v>
      </c>
      <c r="O226" t="n">
        <v>0</v>
      </c>
      <c r="P226" t="n">
        <v>0</v>
      </c>
      <c r="Q226" t="n">
        <v>0</v>
      </c>
      <c r="R226" s="2" t="inlineStr"/>
    </row>
    <row r="227" ht="15" customHeight="1">
      <c r="A227" t="inlineStr">
        <is>
          <t>A 41330-2022</t>
        </is>
      </c>
      <c r="B227" s="1" t="n">
        <v>44826</v>
      </c>
      <c r="C227" s="1" t="n">
        <v>45929</v>
      </c>
      <c r="D227" t="inlineStr">
        <is>
          <t>VÄSTERBOTTENS LÄN</t>
        </is>
      </c>
      <c r="E227" t="inlineStr">
        <is>
          <t>VILHELMINA</t>
        </is>
      </c>
      <c r="G227" t="n">
        <v>3.4</v>
      </c>
      <c r="H227" t="n">
        <v>0</v>
      </c>
      <c r="I227" t="n">
        <v>0</v>
      </c>
      <c r="J227" t="n">
        <v>0</v>
      </c>
      <c r="K227" t="n">
        <v>0</v>
      </c>
      <c r="L227" t="n">
        <v>0</v>
      </c>
      <c r="M227" t="n">
        <v>0</v>
      </c>
      <c r="N227" t="n">
        <v>0</v>
      </c>
      <c r="O227" t="n">
        <v>0</v>
      </c>
      <c r="P227" t="n">
        <v>0</v>
      </c>
      <c r="Q227" t="n">
        <v>0</v>
      </c>
      <c r="R227" s="2" t="inlineStr"/>
    </row>
    <row r="228" ht="15" customHeight="1">
      <c r="A228" t="inlineStr">
        <is>
          <t>A 9497-2025</t>
        </is>
      </c>
      <c r="B228" s="1" t="n">
        <v>45715.51086805556</v>
      </c>
      <c r="C228" s="1" t="n">
        <v>45929</v>
      </c>
      <c r="D228" t="inlineStr">
        <is>
          <t>VÄSTERBOTTENS LÄN</t>
        </is>
      </c>
      <c r="E228" t="inlineStr">
        <is>
          <t>VILHELMINA</t>
        </is>
      </c>
      <c r="F228" t="inlineStr">
        <is>
          <t>SCA</t>
        </is>
      </c>
      <c r="G228" t="n">
        <v>3.3</v>
      </c>
      <c r="H228" t="n">
        <v>0</v>
      </c>
      <c r="I228" t="n">
        <v>0</v>
      </c>
      <c r="J228" t="n">
        <v>0</v>
      </c>
      <c r="K228" t="n">
        <v>0</v>
      </c>
      <c r="L228" t="n">
        <v>0</v>
      </c>
      <c r="M228" t="n">
        <v>0</v>
      </c>
      <c r="N228" t="n">
        <v>0</v>
      </c>
      <c r="O228" t="n">
        <v>0</v>
      </c>
      <c r="P228" t="n">
        <v>0</v>
      </c>
      <c r="Q228" t="n">
        <v>0</v>
      </c>
      <c r="R228" s="2" t="inlineStr"/>
    </row>
    <row r="229" ht="15" customHeight="1">
      <c r="A229" t="inlineStr">
        <is>
          <t>A 8718-2025</t>
        </is>
      </c>
      <c r="B229" s="1" t="n">
        <v>45712</v>
      </c>
      <c r="C229" s="1" t="n">
        <v>45929</v>
      </c>
      <c r="D229" t="inlineStr">
        <is>
          <t>VÄSTERBOTTENS LÄN</t>
        </is>
      </c>
      <c r="E229" t="inlineStr">
        <is>
          <t>VILHELMINA</t>
        </is>
      </c>
      <c r="G229" t="n">
        <v>21.3</v>
      </c>
      <c r="H229" t="n">
        <v>0</v>
      </c>
      <c r="I229" t="n">
        <v>0</v>
      </c>
      <c r="J229" t="n">
        <v>0</v>
      </c>
      <c r="K229" t="n">
        <v>0</v>
      </c>
      <c r="L229" t="n">
        <v>0</v>
      </c>
      <c r="M229" t="n">
        <v>0</v>
      </c>
      <c r="N229" t="n">
        <v>0</v>
      </c>
      <c r="O229" t="n">
        <v>0</v>
      </c>
      <c r="P229" t="n">
        <v>0</v>
      </c>
      <c r="Q229" t="n">
        <v>0</v>
      </c>
      <c r="R229" s="2" t="inlineStr"/>
    </row>
    <row r="230" ht="15" customHeight="1">
      <c r="A230" t="inlineStr">
        <is>
          <t>A 35686-2022</t>
        </is>
      </c>
      <c r="B230" s="1" t="n">
        <v>44799</v>
      </c>
      <c r="C230" s="1" t="n">
        <v>45929</v>
      </c>
      <c r="D230" t="inlineStr">
        <is>
          <t>VÄSTERBOTTENS LÄN</t>
        </is>
      </c>
      <c r="E230" t="inlineStr">
        <is>
          <t>VILHELMINA</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70854-2021</t>
        </is>
      </c>
      <c r="B231" s="1" t="n">
        <v>44532</v>
      </c>
      <c r="C231" s="1" t="n">
        <v>45929</v>
      </c>
      <c r="D231" t="inlineStr">
        <is>
          <t>VÄSTERBOTTENS LÄN</t>
        </is>
      </c>
      <c r="E231" t="inlineStr">
        <is>
          <t>VILHELMINA</t>
        </is>
      </c>
      <c r="G231" t="n">
        <v>2.6</v>
      </c>
      <c r="H231" t="n">
        <v>0</v>
      </c>
      <c r="I231" t="n">
        <v>0</v>
      </c>
      <c r="J231" t="n">
        <v>0</v>
      </c>
      <c r="K231" t="n">
        <v>0</v>
      </c>
      <c r="L231" t="n">
        <v>0</v>
      </c>
      <c r="M231" t="n">
        <v>0</v>
      </c>
      <c r="N231" t="n">
        <v>0</v>
      </c>
      <c r="O231" t="n">
        <v>0</v>
      </c>
      <c r="P231" t="n">
        <v>0</v>
      </c>
      <c r="Q231" t="n">
        <v>0</v>
      </c>
      <c r="R231" s="2" t="inlineStr"/>
    </row>
    <row r="232" ht="15" customHeight="1">
      <c r="A232" t="inlineStr">
        <is>
          <t>A 19909-2025</t>
        </is>
      </c>
      <c r="B232" s="1" t="n">
        <v>45771.60482638889</v>
      </c>
      <c r="C232" s="1" t="n">
        <v>45929</v>
      </c>
      <c r="D232" t="inlineStr">
        <is>
          <t>VÄSTERBOTTENS LÄN</t>
        </is>
      </c>
      <c r="E232" t="inlineStr">
        <is>
          <t>VILHELMINA</t>
        </is>
      </c>
      <c r="G232" t="n">
        <v>12.4</v>
      </c>
      <c r="H232" t="n">
        <v>0</v>
      </c>
      <c r="I232" t="n">
        <v>0</v>
      </c>
      <c r="J232" t="n">
        <v>0</v>
      </c>
      <c r="K232" t="n">
        <v>0</v>
      </c>
      <c r="L232" t="n">
        <v>0</v>
      </c>
      <c r="M232" t="n">
        <v>0</v>
      </c>
      <c r="N232" t="n">
        <v>0</v>
      </c>
      <c r="O232" t="n">
        <v>0</v>
      </c>
      <c r="P232" t="n">
        <v>0</v>
      </c>
      <c r="Q232" t="n">
        <v>0</v>
      </c>
      <c r="R232" s="2" t="inlineStr"/>
    </row>
    <row r="233" ht="15" customHeight="1">
      <c r="A233" t="inlineStr">
        <is>
          <t>A 45965-2023</t>
        </is>
      </c>
      <c r="B233" s="1" t="n">
        <v>45195.94755787037</v>
      </c>
      <c r="C233" s="1" t="n">
        <v>45929</v>
      </c>
      <c r="D233" t="inlineStr">
        <is>
          <t>VÄSTERBOTTENS LÄN</t>
        </is>
      </c>
      <c r="E233" t="inlineStr">
        <is>
          <t>VILHELMINA</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8003-2021</t>
        </is>
      </c>
      <c r="B234" s="1" t="n">
        <v>44243</v>
      </c>
      <c r="C234" s="1" t="n">
        <v>45929</v>
      </c>
      <c r="D234" t="inlineStr">
        <is>
          <t>VÄSTERBOTTENS LÄN</t>
        </is>
      </c>
      <c r="E234" t="inlineStr">
        <is>
          <t>VILHELMINA</t>
        </is>
      </c>
      <c r="G234" t="n">
        <v>5.1</v>
      </c>
      <c r="H234" t="n">
        <v>0</v>
      </c>
      <c r="I234" t="n">
        <v>0</v>
      </c>
      <c r="J234" t="n">
        <v>0</v>
      </c>
      <c r="K234" t="n">
        <v>0</v>
      </c>
      <c r="L234" t="n">
        <v>0</v>
      </c>
      <c r="M234" t="n">
        <v>0</v>
      </c>
      <c r="N234" t="n">
        <v>0</v>
      </c>
      <c r="O234" t="n">
        <v>0</v>
      </c>
      <c r="P234" t="n">
        <v>0</v>
      </c>
      <c r="Q234" t="n">
        <v>0</v>
      </c>
      <c r="R234" s="2" t="inlineStr"/>
    </row>
    <row r="235" ht="15" customHeight="1">
      <c r="A235" t="inlineStr">
        <is>
          <t>A 27874-2022</t>
        </is>
      </c>
      <c r="B235" s="1" t="n">
        <v>44743</v>
      </c>
      <c r="C235" s="1" t="n">
        <v>45929</v>
      </c>
      <c r="D235" t="inlineStr">
        <is>
          <t>VÄSTERBOTTENS LÄN</t>
        </is>
      </c>
      <c r="E235" t="inlineStr">
        <is>
          <t>VILHELMINA</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27880-2022</t>
        </is>
      </c>
      <c r="B236" s="1" t="n">
        <v>44743</v>
      </c>
      <c r="C236" s="1" t="n">
        <v>45929</v>
      </c>
      <c r="D236" t="inlineStr">
        <is>
          <t>VÄSTERBOTTENS LÄN</t>
        </is>
      </c>
      <c r="E236" t="inlineStr">
        <is>
          <t>VILHELMINA</t>
        </is>
      </c>
      <c r="F236" t="inlineStr">
        <is>
          <t>Sveaskog</t>
        </is>
      </c>
      <c r="G236" t="n">
        <v>3.8</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45929</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31896-2024</t>
        </is>
      </c>
      <c r="B238" s="1" t="n">
        <v>45509</v>
      </c>
      <c r="C238" s="1" t="n">
        <v>45929</v>
      </c>
      <c r="D238" t="inlineStr">
        <is>
          <t>VÄSTERBOTTENS LÄN</t>
        </is>
      </c>
      <c r="E238" t="inlineStr">
        <is>
          <t>VILHELMINA</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39914-2023</t>
        </is>
      </c>
      <c r="B239" s="1" t="n">
        <v>45166</v>
      </c>
      <c r="C239" s="1" t="n">
        <v>45929</v>
      </c>
      <c r="D239" t="inlineStr">
        <is>
          <t>VÄSTERBOTTENS LÄN</t>
        </is>
      </c>
      <c r="E239" t="inlineStr">
        <is>
          <t>VILHELMINA</t>
        </is>
      </c>
      <c r="G239" t="n">
        <v>27.5</v>
      </c>
      <c r="H239" t="n">
        <v>0</v>
      </c>
      <c r="I239" t="n">
        <v>0</v>
      </c>
      <c r="J239" t="n">
        <v>0</v>
      </c>
      <c r="K239" t="n">
        <v>0</v>
      </c>
      <c r="L239" t="n">
        <v>0</v>
      </c>
      <c r="M239" t="n">
        <v>0</v>
      </c>
      <c r="N239" t="n">
        <v>0</v>
      </c>
      <c r="O239" t="n">
        <v>0</v>
      </c>
      <c r="P239" t="n">
        <v>0</v>
      </c>
      <c r="Q239" t="n">
        <v>0</v>
      </c>
      <c r="R239" s="2" t="inlineStr"/>
    </row>
    <row r="240" ht="15" customHeight="1">
      <c r="A240" t="inlineStr">
        <is>
          <t>A 47287-2022</t>
        </is>
      </c>
      <c r="B240" s="1" t="n">
        <v>44852.95145833334</v>
      </c>
      <c r="C240" s="1" t="n">
        <v>45929</v>
      </c>
      <c r="D240" t="inlineStr">
        <is>
          <t>VÄSTERBOTTENS LÄN</t>
        </is>
      </c>
      <c r="E240" t="inlineStr">
        <is>
          <t>VILHELMINA</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47288-2022</t>
        </is>
      </c>
      <c r="B241" s="1" t="n">
        <v>44852</v>
      </c>
      <c r="C241" s="1" t="n">
        <v>45929</v>
      </c>
      <c r="D241" t="inlineStr">
        <is>
          <t>VÄSTERBOTTENS LÄN</t>
        </is>
      </c>
      <c r="E241" t="inlineStr">
        <is>
          <t>VILHELMINA</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20324-2025</t>
        </is>
      </c>
      <c r="B242" s="1" t="n">
        <v>45775</v>
      </c>
      <c r="C242" s="1" t="n">
        <v>45929</v>
      </c>
      <c r="D242" t="inlineStr">
        <is>
          <t>VÄSTERBOTTENS LÄN</t>
        </is>
      </c>
      <c r="E242" t="inlineStr">
        <is>
          <t>VILHELMINA</t>
        </is>
      </c>
      <c r="G242" t="n">
        <v>3.5</v>
      </c>
      <c r="H242" t="n">
        <v>0</v>
      </c>
      <c r="I242" t="n">
        <v>0</v>
      </c>
      <c r="J242" t="n">
        <v>0</v>
      </c>
      <c r="K242" t="n">
        <v>0</v>
      </c>
      <c r="L242" t="n">
        <v>0</v>
      </c>
      <c r="M242" t="n">
        <v>0</v>
      </c>
      <c r="N242" t="n">
        <v>0</v>
      </c>
      <c r="O242" t="n">
        <v>0</v>
      </c>
      <c r="P242" t="n">
        <v>0</v>
      </c>
      <c r="Q242" t="n">
        <v>0</v>
      </c>
      <c r="R242" s="2" t="inlineStr"/>
    </row>
    <row r="243" ht="15" customHeight="1">
      <c r="A243" t="inlineStr">
        <is>
          <t>A 54727-2022</t>
        </is>
      </c>
      <c r="B243" s="1" t="n">
        <v>44881</v>
      </c>
      <c r="C243" s="1" t="n">
        <v>45929</v>
      </c>
      <c r="D243" t="inlineStr">
        <is>
          <t>VÄSTERBOTTENS LÄN</t>
        </is>
      </c>
      <c r="E243" t="inlineStr">
        <is>
          <t>VILHELMINA</t>
        </is>
      </c>
      <c r="G243" t="n">
        <v>4.3</v>
      </c>
      <c r="H243" t="n">
        <v>0</v>
      </c>
      <c r="I243" t="n">
        <v>0</v>
      </c>
      <c r="J243" t="n">
        <v>0</v>
      </c>
      <c r="K243" t="n">
        <v>0</v>
      </c>
      <c r="L243" t="n">
        <v>0</v>
      </c>
      <c r="M243" t="n">
        <v>0</v>
      </c>
      <c r="N243" t="n">
        <v>0</v>
      </c>
      <c r="O243" t="n">
        <v>0</v>
      </c>
      <c r="P243" t="n">
        <v>0</v>
      </c>
      <c r="Q243" t="n">
        <v>0</v>
      </c>
      <c r="R243" s="2" t="inlineStr"/>
    </row>
    <row r="244" ht="15" customHeight="1">
      <c r="A244" t="inlineStr">
        <is>
          <t>A 72487-2021</t>
        </is>
      </c>
      <c r="B244" s="1" t="n">
        <v>44545.92033564814</v>
      </c>
      <c r="C244" s="1" t="n">
        <v>45929</v>
      </c>
      <c r="D244" t="inlineStr">
        <is>
          <t>VÄSTERBOTTENS LÄN</t>
        </is>
      </c>
      <c r="E244" t="inlineStr">
        <is>
          <t>VILHELMINA</t>
        </is>
      </c>
      <c r="G244" t="n">
        <v>1.2</v>
      </c>
      <c r="H244" t="n">
        <v>0</v>
      </c>
      <c r="I244" t="n">
        <v>0</v>
      </c>
      <c r="J244" t="n">
        <v>0</v>
      </c>
      <c r="K244" t="n">
        <v>0</v>
      </c>
      <c r="L244" t="n">
        <v>0</v>
      </c>
      <c r="M244" t="n">
        <v>0</v>
      </c>
      <c r="N244" t="n">
        <v>0</v>
      </c>
      <c r="O244" t="n">
        <v>0</v>
      </c>
      <c r="P244" t="n">
        <v>0</v>
      </c>
      <c r="Q244" t="n">
        <v>0</v>
      </c>
      <c r="R244" s="2" t="inlineStr"/>
    </row>
    <row r="245" ht="15" customHeight="1">
      <c r="A245" t="inlineStr">
        <is>
          <t>A 12190-2024</t>
        </is>
      </c>
      <c r="B245" s="1" t="n">
        <v>45377.94954861111</v>
      </c>
      <c r="C245" s="1" t="n">
        <v>45929</v>
      </c>
      <c r="D245" t="inlineStr">
        <is>
          <t>VÄSTERBOTTENS LÄN</t>
        </is>
      </c>
      <c r="E245" t="inlineStr">
        <is>
          <t>VILHELMINA</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15617-2024</t>
        </is>
      </c>
      <c r="B246" s="1" t="n">
        <v>45401.94358796296</v>
      </c>
      <c r="C246" s="1" t="n">
        <v>45929</v>
      </c>
      <c r="D246" t="inlineStr">
        <is>
          <t>VÄSTERBOTTENS LÄN</t>
        </is>
      </c>
      <c r="E246" t="inlineStr">
        <is>
          <t>VILHELMINA</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17432-2025</t>
        </is>
      </c>
      <c r="B247" s="1" t="n">
        <v>45757</v>
      </c>
      <c r="C247" s="1" t="n">
        <v>45929</v>
      </c>
      <c r="D247" t="inlineStr">
        <is>
          <t>VÄSTERBOTTENS LÄN</t>
        </is>
      </c>
      <c r="E247" t="inlineStr">
        <is>
          <t>VILHELMINA</t>
        </is>
      </c>
      <c r="G247" t="n">
        <v>4.6</v>
      </c>
      <c r="H247" t="n">
        <v>0</v>
      </c>
      <c r="I247" t="n">
        <v>0</v>
      </c>
      <c r="J247" t="n">
        <v>0</v>
      </c>
      <c r="K247" t="n">
        <v>0</v>
      </c>
      <c r="L247" t="n">
        <v>0</v>
      </c>
      <c r="M247" t="n">
        <v>0</v>
      </c>
      <c r="N247" t="n">
        <v>0</v>
      </c>
      <c r="O247" t="n">
        <v>0</v>
      </c>
      <c r="P247" t="n">
        <v>0</v>
      </c>
      <c r="Q247" t="n">
        <v>0</v>
      </c>
      <c r="R247" s="2" t="inlineStr"/>
    </row>
    <row r="248" ht="15" customHeight="1">
      <c r="A248" t="inlineStr">
        <is>
          <t>A 54985-2023</t>
        </is>
      </c>
      <c r="B248" s="1" t="n">
        <v>45236</v>
      </c>
      <c r="C248" s="1" t="n">
        <v>45929</v>
      </c>
      <c r="D248" t="inlineStr">
        <is>
          <t>VÄSTERBOTTENS LÄN</t>
        </is>
      </c>
      <c r="E248" t="inlineStr">
        <is>
          <t>VILHELMINA</t>
        </is>
      </c>
      <c r="F248" t="inlineStr">
        <is>
          <t>SCA</t>
        </is>
      </c>
      <c r="G248" t="n">
        <v>7.5</v>
      </c>
      <c r="H248" t="n">
        <v>0</v>
      </c>
      <c r="I248" t="n">
        <v>0</v>
      </c>
      <c r="J248" t="n">
        <v>0</v>
      </c>
      <c r="K248" t="n">
        <v>0</v>
      </c>
      <c r="L248" t="n">
        <v>0</v>
      </c>
      <c r="M248" t="n">
        <v>0</v>
      </c>
      <c r="N248" t="n">
        <v>0</v>
      </c>
      <c r="O248" t="n">
        <v>0</v>
      </c>
      <c r="P248" t="n">
        <v>0</v>
      </c>
      <c r="Q248" t="n">
        <v>0</v>
      </c>
      <c r="R248" s="2" t="inlineStr"/>
    </row>
    <row r="249" ht="15" customHeight="1">
      <c r="A249" t="inlineStr">
        <is>
          <t>A 2193-2021</t>
        </is>
      </c>
      <c r="B249" s="1" t="n">
        <v>44211</v>
      </c>
      <c r="C249" s="1" t="n">
        <v>45929</v>
      </c>
      <c r="D249" t="inlineStr">
        <is>
          <t>VÄSTERBOTTENS LÄN</t>
        </is>
      </c>
      <c r="E249" t="inlineStr">
        <is>
          <t>VILHELMINA</t>
        </is>
      </c>
      <c r="F249" t="inlineStr">
        <is>
          <t>Allmännings- och besparingsskogar</t>
        </is>
      </c>
      <c r="G249" t="n">
        <v>157.8</v>
      </c>
      <c r="H249" t="n">
        <v>0</v>
      </c>
      <c r="I249" t="n">
        <v>0</v>
      </c>
      <c r="J249" t="n">
        <v>0</v>
      </c>
      <c r="K249" t="n">
        <v>0</v>
      </c>
      <c r="L249" t="n">
        <v>0</v>
      </c>
      <c r="M249" t="n">
        <v>0</v>
      </c>
      <c r="N249" t="n">
        <v>0</v>
      </c>
      <c r="O249" t="n">
        <v>0</v>
      </c>
      <c r="P249" t="n">
        <v>0</v>
      </c>
      <c r="Q249" t="n">
        <v>0</v>
      </c>
      <c r="R249" s="2" t="inlineStr"/>
    </row>
    <row r="250" ht="15" customHeight="1">
      <c r="A250" t="inlineStr">
        <is>
          <t>A 46119-2022</t>
        </is>
      </c>
      <c r="B250" s="1" t="n">
        <v>44847</v>
      </c>
      <c r="C250" s="1" t="n">
        <v>45929</v>
      </c>
      <c r="D250" t="inlineStr">
        <is>
          <t>VÄSTERBOTTENS LÄN</t>
        </is>
      </c>
      <c r="E250" t="inlineStr">
        <is>
          <t>VILHELMINA</t>
        </is>
      </c>
      <c r="G250" t="n">
        <v>12.1</v>
      </c>
      <c r="H250" t="n">
        <v>0</v>
      </c>
      <c r="I250" t="n">
        <v>0</v>
      </c>
      <c r="J250" t="n">
        <v>0</v>
      </c>
      <c r="K250" t="n">
        <v>0</v>
      </c>
      <c r="L250" t="n">
        <v>0</v>
      </c>
      <c r="M250" t="n">
        <v>0</v>
      </c>
      <c r="N250" t="n">
        <v>0</v>
      </c>
      <c r="O250" t="n">
        <v>0</v>
      </c>
      <c r="P250" t="n">
        <v>0</v>
      </c>
      <c r="Q250" t="n">
        <v>0</v>
      </c>
      <c r="R250" s="2" t="inlineStr"/>
    </row>
    <row r="251" ht="15" customHeight="1">
      <c r="A251" t="inlineStr">
        <is>
          <t>A 46121-2022</t>
        </is>
      </c>
      <c r="B251" s="1" t="n">
        <v>44847</v>
      </c>
      <c r="C251" s="1" t="n">
        <v>45929</v>
      </c>
      <c r="D251" t="inlineStr">
        <is>
          <t>VÄSTERBOTTENS LÄN</t>
        </is>
      </c>
      <c r="E251" t="inlineStr">
        <is>
          <t>VILHELMINA</t>
        </is>
      </c>
      <c r="G251" t="n">
        <v>2.6</v>
      </c>
      <c r="H251" t="n">
        <v>0</v>
      </c>
      <c r="I251" t="n">
        <v>0</v>
      </c>
      <c r="J251" t="n">
        <v>0</v>
      </c>
      <c r="K251" t="n">
        <v>0</v>
      </c>
      <c r="L251" t="n">
        <v>0</v>
      </c>
      <c r="M251" t="n">
        <v>0</v>
      </c>
      <c r="N251" t="n">
        <v>0</v>
      </c>
      <c r="O251" t="n">
        <v>0</v>
      </c>
      <c r="P251" t="n">
        <v>0</v>
      </c>
      <c r="Q251" t="n">
        <v>0</v>
      </c>
      <c r="R251" s="2" t="inlineStr"/>
    </row>
    <row r="252" ht="15" customHeight="1">
      <c r="A252" t="inlineStr">
        <is>
          <t>A 20769-2024</t>
        </is>
      </c>
      <c r="B252" s="1" t="n">
        <v>45436.94604166667</v>
      </c>
      <c r="C252" s="1" t="n">
        <v>45929</v>
      </c>
      <c r="D252" t="inlineStr">
        <is>
          <t>VÄSTERBOTTENS LÄN</t>
        </is>
      </c>
      <c r="E252" t="inlineStr">
        <is>
          <t>VILHELMINA</t>
        </is>
      </c>
      <c r="F252" t="inlineStr">
        <is>
          <t>SCA</t>
        </is>
      </c>
      <c r="G252" t="n">
        <v>7</v>
      </c>
      <c r="H252" t="n">
        <v>0</v>
      </c>
      <c r="I252" t="n">
        <v>0</v>
      </c>
      <c r="J252" t="n">
        <v>0</v>
      </c>
      <c r="K252" t="n">
        <v>0</v>
      </c>
      <c r="L252" t="n">
        <v>0</v>
      </c>
      <c r="M252" t="n">
        <v>0</v>
      </c>
      <c r="N252" t="n">
        <v>0</v>
      </c>
      <c r="O252" t="n">
        <v>0</v>
      </c>
      <c r="P252" t="n">
        <v>0</v>
      </c>
      <c r="Q252" t="n">
        <v>0</v>
      </c>
      <c r="R252" s="2" t="inlineStr"/>
    </row>
    <row r="253" ht="15" customHeight="1">
      <c r="A253" t="inlineStr">
        <is>
          <t>A 49599-2022</t>
        </is>
      </c>
      <c r="B253" s="1" t="n">
        <v>44859</v>
      </c>
      <c r="C253" s="1" t="n">
        <v>45929</v>
      </c>
      <c r="D253" t="inlineStr">
        <is>
          <t>VÄSTERBOTTENS LÄN</t>
        </is>
      </c>
      <c r="E253" t="inlineStr">
        <is>
          <t>VILHELMINA</t>
        </is>
      </c>
      <c r="G253" t="n">
        <v>3.6</v>
      </c>
      <c r="H253" t="n">
        <v>0</v>
      </c>
      <c r="I253" t="n">
        <v>0</v>
      </c>
      <c r="J253" t="n">
        <v>0</v>
      </c>
      <c r="K253" t="n">
        <v>0</v>
      </c>
      <c r="L253" t="n">
        <v>0</v>
      </c>
      <c r="M253" t="n">
        <v>0</v>
      </c>
      <c r="N253" t="n">
        <v>0</v>
      </c>
      <c r="O253" t="n">
        <v>0</v>
      </c>
      <c r="P253" t="n">
        <v>0</v>
      </c>
      <c r="Q253" t="n">
        <v>0</v>
      </c>
      <c r="R253" s="2" t="inlineStr"/>
    </row>
    <row r="254" ht="15" customHeight="1">
      <c r="A254" t="inlineStr">
        <is>
          <t>A 23261-2021</t>
        </is>
      </c>
      <c r="B254" s="1" t="n">
        <v>44330</v>
      </c>
      <c r="C254" s="1" t="n">
        <v>45929</v>
      </c>
      <c r="D254" t="inlineStr">
        <is>
          <t>VÄSTERBOTTENS LÄN</t>
        </is>
      </c>
      <c r="E254" t="inlineStr">
        <is>
          <t>VILHELMINA</t>
        </is>
      </c>
      <c r="G254" t="n">
        <v>4.5</v>
      </c>
      <c r="H254" t="n">
        <v>0</v>
      </c>
      <c r="I254" t="n">
        <v>0</v>
      </c>
      <c r="J254" t="n">
        <v>0</v>
      </c>
      <c r="K254" t="n">
        <v>0</v>
      </c>
      <c r="L254" t="n">
        <v>0</v>
      </c>
      <c r="M254" t="n">
        <v>0</v>
      </c>
      <c r="N254" t="n">
        <v>0</v>
      </c>
      <c r="O254" t="n">
        <v>0</v>
      </c>
      <c r="P254" t="n">
        <v>0</v>
      </c>
      <c r="Q254" t="n">
        <v>0</v>
      </c>
      <c r="R254" s="2" t="inlineStr"/>
    </row>
    <row r="255" ht="15" customHeight="1">
      <c r="A255" t="inlineStr">
        <is>
          <t>A 15050-2024</t>
        </is>
      </c>
      <c r="B255" s="1" t="n">
        <v>45399</v>
      </c>
      <c r="C255" s="1" t="n">
        <v>45929</v>
      </c>
      <c r="D255" t="inlineStr">
        <is>
          <t>VÄSTERBOTTENS LÄN</t>
        </is>
      </c>
      <c r="E255" t="inlineStr">
        <is>
          <t>VILHELMINA</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15059-2024</t>
        </is>
      </c>
      <c r="B256" s="1" t="n">
        <v>45399</v>
      </c>
      <c r="C256" s="1" t="n">
        <v>45929</v>
      </c>
      <c r="D256" t="inlineStr">
        <is>
          <t>VÄSTERBOTTENS LÄN</t>
        </is>
      </c>
      <c r="E256" t="inlineStr">
        <is>
          <t>VILHELMINA</t>
        </is>
      </c>
      <c r="G256" t="n">
        <v>0.8</v>
      </c>
      <c r="H256" t="n">
        <v>0</v>
      </c>
      <c r="I256" t="n">
        <v>0</v>
      </c>
      <c r="J256" t="n">
        <v>0</v>
      </c>
      <c r="K256" t="n">
        <v>0</v>
      </c>
      <c r="L256" t="n">
        <v>0</v>
      </c>
      <c r="M256" t="n">
        <v>0</v>
      </c>
      <c r="N256" t="n">
        <v>0</v>
      </c>
      <c r="O256" t="n">
        <v>0</v>
      </c>
      <c r="P256" t="n">
        <v>0</v>
      </c>
      <c r="Q256" t="n">
        <v>0</v>
      </c>
      <c r="R256" s="2" t="inlineStr"/>
    </row>
    <row r="257" ht="15" customHeight="1">
      <c r="A257" t="inlineStr">
        <is>
          <t>A 27844-2022</t>
        </is>
      </c>
      <c r="B257" s="1" t="n">
        <v>44743.620625</v>
      </c>
      <c r="C257" s="1" t="n">
        <v>45929</v>
      </c>
      <c r="D257" t="inlineStr">
        <is>
          <t>VÄSTERBOTTENS LÄN</t>
        </is>
      </c>
      <c r="E257" t="inlineStr">
        <is>
          <t>VILHELMINA</t>
        </is>
      </c>
      <c r="F257" t="inlineStr">
        <is>
          <t>Sveaskog</t>
        </is>
      </c>
      <c r="G257" t="n">
        <v>4.3</v>
      </c>
      <c r="H257" t="n">
        <v>0</v>
      </c>
      <c r="I257" t="n">
        <v>0</v>
      </c>
      <c r="J257" t="n">
        <v>0</v>
      </c>
      <c r="K257" t="n">
        <v>0</v>
      </c>
      <c r="L257" t="n">
        <v>0</v>
      </c>
      <c r="M257" t="n">
        <v>0</v>
      </c>
      <c r="N257" t="n">
        <v>0</v>
      </c>
      <c r="O257" t="n">
        <v>0</v>
      </c>
      <c r="P257" t="n">
        <v>0</v>
      </c>
      <c r="Q257" t="n">
        <v>0</v>
      </c>
      <c r="R257" s="2" t="inlineStr"/>
    </row>
    <row r="258" ht="15" customHeight="1">
      <c r="A258" t="inlineStr">
        <is>
          <t>A 18790-2021</t>
        </is>
      </c>
      <c r="B258" s="1" t="n">
        <v>44307</v>
      </c>
      <c r="C258" s="1" t="n">
        <v>45929</v>
      </c>
      <c r="D258" t="inlineStr">
        <is>
          <t>VÄSTERBOTTENS LÄN</t>
        </is>
      </c>
      <c r="E258" t="inlineStr">
        <is>
          <t>VILHELMINA</t>
        </is>
      </c>
      <c r="G258" t="n">
        <v>1.1</v>
      </c>
      <c r="H258" t="n">
        <v>0</v>
      </c>
      <c r="I258" t="n">
        <v>0</v>
      </c>
      <c r="J258" t="n">
        <v>0</v>
      </c>
      <c r="K258" t="n">
        <v>0</v>
      </c>
      <c r="L258" t="n">
        <v>0</v>
      </c>
      <c r="M258" t="n">
        <v>0</v>
      </c>
      <c r="N258" t="n">
        <v>0</v>
      </c>
      <c r="O258" t="n">
        <v>0</v>
      </c>
      <c r="P258" t="n">
        <v>0</v>
      </c>
      <c r="Q258" t="n">
        <v>0</v>
      </c>
      <c r="R258" s="2" t="inlineStr"/>
    </row>
    <row r="259" ht="15" customHeight="1">
      <c r="A259" t="inlineStr">
        <is>
          <t>A 36082-2022</t>
        </is>
      </c>
      <c r="B259" s="1" t="n">
        <v>44802</v>
      </c>
      <c r="C259" s="1" t="n">
        <v>45929</v>
      </c>
      <c r="D259" t="inlineStr">
        <is>
          <t>VÄSTERBOTTENS LÄN</t>
        </is>
      </c>
      <c r="E259" t="inlineStr">
        <is>
          <t>VILHELMINA</t>
        </is>
      </c>
      <c r="F259" t="inlineStr">
        <is>
          <t>SCA</t>
        </is>
      </c>
      <c r="G259" t="n">
        <v>6.2</v>
      </c>
      <c r="H259" t="n">
        <v>0</v>
      </c>
      <c r="I259" t="n">
        <v>0</v>
      </c>
      <c r="J259" t="n">
        <v>0</v>
      </c>
      <c r="K259" t="n">
        <v>0</v>
      </c>
      <c r="L259" t="n">
        <v>0</v>
      </c>
      <c r="M259" t="n">
        <v>0</v>
      </c>
      <c r="N259" t="n">
        <v>0</v>
      </c>
      <c r="O259" t="n">
        <v>0</v>
      </c>
      <c r="P259" t="n">
        <v>0</v>
      </c>
      <c r="Q259" t="n">
        <v>0</v>
      </c>
      <c r="R259" s="2" t="inlineStr"/>
    </row>
    <row r="260" ht="15" customHeight="1">
      <c r="A260" t="inlineStr">
        <is>
          <t>A 51935-2021</t>
        </is>
      </c>
      <c r="B260" s="1" t="n">
        <v>44462</v>
      </c>
      <c r="C260" s="1" t="n">
        <v>45929</v>
      </c>
      <c r="D260" t="inlineStr">
        <is>
          <t>VÄSTERBOTTENS LÄN</t>
        </is>
      </c>
      <c r="E260" t="inlineStr">
        <is>
          <t>VILHELMINA</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21370-2024</t>
        </is>
      </c>
      <c r="B261" s="1" t="n">
        <v>45440.95310185185</v>
      </c>
      <c r="C261" s="1" t="n">
        <v>45929</v>
      </c>
      <c r="D261" t="inlineStr">
        <is>
          <t>VÄSTERBOTTENS LÄN</t>
        </is>
      </c>
      <c r="E261" t="inlineStr">
        <is>
          <t>VILHELMINA</t>
        </is>
      </c>
      <c r="F261" t="inlineStr">
        <is>
          <t>SCA</t>
        </is>
      </c>
      <c r="G261" t="n">
        <v>5.2</v>
      </c>
      <c r="H261" t="n">
        <v>0</v>
      </c>
      <c r="I261" t="n">
        <v>0</v>
      </c>
      <c r="J261" t="n">
        <v>0</v>
      </c>
      <c r="K261" t="n">
        <v>0</v>
      </c>
      <c r="L261" t="n">
        <v>0</v>
      </c>
      <c r="M261" t="n">
        <v>0</v>
      </c>
      <c r="N261" t="n">
        <v>0</v>
      </c>
      <c r="O261" t="n">
        <v>0</v>
      </c>
      <c r="P261" t="n">
        <v>0</v>
      </c>
      <c r="Q261" t="n">
        <v>0</v>
      </c>
      <c r="R261" s="2" t="inlineStr"/>
    </row>
    <row r="262" ht="15" customHeight="1">
      <c r="A262" t="inlineStr">
        <is>
          <t>A 39186-2021</t>
        </is>
      </c>
      <c r="B262" s="1" t="n">
        <v>44412</v>
      </c>
      <c r="C262" s="1" t="n">
        <v>45929</v>
      </c>
      <c r="D262" t="inlineStr">
        <is>
          <t>VÄSTERBOTTENS LÄN</t>
        </is>
      </c>
      <c r="E262" t="inlineStr">
        <is>
          <t>VILHELMINA</t>
        </is>
      </c>
      <c r="G262" t="n">
        <v>0.3</v>
      </c>
      <c r="H262" t="n">
        <v>0</v>
      </c>
      <c r="I262" t="n">
        <v>0</v>
      </c>
      <c r="J262" t="n">
        <v>0</v>
      </c>
      <c r="K262" t="n">
        <v>0</v>
      </c>
      <c r="L262" t="n">
        <v>0</v>
      </c>
      <c r="M262" t="n">
        <v>0</v>
      </c>
      <c r="N262" t="n">
        <v>0</v>
      </c>
      <c r="O262" t="n">
        <v>0</v>
      </c>
      <c r="P262" t="n">
        <v>0</v>
      </c>
      <c r="Q262" t="n">
        <v>0</v>
      </c>
      <c r="R262" s="2" t="inlineStr"/>
    </row>
    <row r="263" ht="15" customHeight="1">
      <c r="A263" t="inlineStr">
        <is>
          <t>A 19423-2022</t>
        </is>
      </c>
      <c r="B263" s="1" t="n">
        <v>44693.32515046297</v>
      </c>
      <c r="C263" s="1" t="n">
        <v>45929</v>
      </c>
      <c r="D263" t="inlineStr">
        <is>
          <t>VÄSTERBOTTENS LÄN</t>
        </is>
      </c>
      <c r="E263" t="inlineStr">
        <is>
          <t>VILHELMINA</t>
        </is>
      </c>
      <c r="G263" t="n">
        <v>1.9</v>
      </c>
      <c r="H263" t="n">
        <v>0</v>
      </c>
      <c r="I263" t="n">
        <v>0</v>
      </c>
      <c r="J263" t="n">
        <v>0</v>
      </c>
      <c r="K263" t="n">
        <v>0</v>
      </c>
      <c r="L263" t="n">
        <v>0</v>
      </c>
      <c r="M263" t="n">
        <v>0</v>
      </c>
      <c r="N263" t="n">
        <v>0</v>
      </c>
      <c r="O263" t="n">
        <v>0</v>
      </c>
      <c r="P263" t="n">
        <v>0</v>
      </c>
      <c r="Q263" t="n">
        <v>0</v>
      </c>
      <c r="R263" s="2" t="inlineStr"/>
    </row>
    <row r="264" ht="15" customHeight="1">
      <c r="A264" t="inlineStr">
        <is>
          <t>A 21814-2022</t>
        </is>
      </c>
      <c r="B264" s="1" t="n">
        <v>44708</v>
      </c>
      <c r="C264" s="1" t="n">
        <v>45929</v>
      </c>
      <c r="D264" t="inlineStr">
        <is>
          <t>VÄSTERBOTTENS LÄN</t>
        </is>
      </c>
      <c r="E264" t="inlineStr">
        <is>
          <t>VILHELMINA</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46071-2022</t>
        </is>
      </c>
      <c r="B265" s="1" t="n">
        <v>44847</v>
      </c>
      <c r="C265" s="1" t="n">
        <v>45929</v>
      </c>
      <c r="D265" t="inlineStr">
        <is>
          <t>VÄSTERBOTTENS LÄN</t>
        </is>
      </c>
      <c r="E265" t="inlineStr">
        <is>
          <t>VILHELMINA</t>
        </is>
      </c>
      <c r="G265" t="n">
        <v>10.6</v>
      </c>
      <c r="H265" t="n">
        <v>0</v>
      </c>
      <c r="I265" t="n">
        <v>0</v>
      </c>
      <c r="J265" t="n">
        <v>0</v>
      </c>
      <c r="K265" t="n">
        <v>0</v>
      </c>
      <c r="L265" t="n">
        <v>0</v>
      </c>
      <c r="M265" t="n">
        <v>0</v>
      </c>
      <c r="N265" t="n">
        <v>0</v>
      </c>
      <c r="O265" t="n">
        <v>0</v>
      </c>
      <c r="P265" t="n">
        <v>0</v>
      </c>
      <c r="Q265" t="n">
        <v>0</v>
      </c>
      <c r="R265" s="2" t="inlineStr"/>
    </row>
    <row r="266" ht="15" customHeight="1">
      <c r="A266" t="inlineStr">
        <is>
          <t>A 31722-2021</t>
        </is>
      </c>
      <c r="B266" s="1" t="n">
        <v>44369.91984953704</v>
      </c>
      <c r="C266" s="1" t="n">
        <v>45929</v>
      </c>
      <c r="D266" t="inlineStr">
        <is>
          <t>VÄSTERBOTTENS LÄN</t>
        </is>
      </c>
      <c r="E266" t="inlineStr">
        <is>
          <t>VILHELMINA</t>
        </is>
      </c>
      <c r="G266" t="n">
        <v>2.8</v>
      </c>
      <c r="H266" t="n">
        <v>0</v>
      </c>
      <c r="I266" t="n">
        <v>0</v>
      </c>
      <c r="J266" t="n">
        <v>0</v>
      </c>
      <c r="K266" t="n">
        <v>0</v>
      </c>
      <c r="L266" t="n">
        <v>0</v>
      </c>
      <c r="M266" t="n">
        <v>0</v>
      </c>
      <c r="N266" t="n">
        <v>0</v>
      </c>
      <c r="O266" t="n">
        <v>0</v>
      </c>
      <c r="P266" t="n">
        <v>0</v>
      </c>
      <c r="Q266" t="n">
        <v>0</v>
      </c>
      <c r="R266" s="2" t="inlineStr"/>
    </row>
    <row r="267" ht="15" customHeight="1">
      <c r="A267" t="inlineStr">
        <is>
          <t>A 17996-2024</t>
        </is>
      </c>
      <c r="B267" s="1" t="n">
        <v>45419</v>
      </c>
      <c r="C267" s="1" t="n">
        <v>45929</v>
      </c>
      <c r="D267" t="inlineStr">
        <is>
          <t>VÄSTERBOTTENS LÄN</t>
        </is>
      </c>
      <c r="E267" t="inlineStr">
        <is>
          <t>VILHELMINA</t>
        </is>
      </c>
      <c r="G267" t="n">
        <v>5.3</v>
      </c>
      <c r="H267" t="n">
        <v>0</v>
      </c>
      <c r="I267" t="n">
        <v>0</v>
      </c>
      <c r="J267" t="n">
        <v>0</v>
      </c>
      <c r="K267" t="n">
        <v>0</v>
      </c>
      <c r="L267" t="n">
        <v>0</v>
      </c>
      <c r="M267" t="n">
        <v>0</v>
      </c>
      <c r="N267" t="n">
        <v>0</v>
      </c>
      <c r="O267" t="n">
        <v>0</v>
      </c>
      <c r="P267" t="n">
        <v>0</v>
      </c>
      <c r="Q267" t="n">
        <v>0</v>
      </c>
      <c r="R267" s="2" t="inlineStr"/>
    </row>
    <row r="268" ht="15" customHeight="1">
      <c r="A268" t="inlineStr">
        <is>
          <t>A 21726-2021</t>
        </is>
      </c>
      <c r="B268" s="1" t="n">
        <v>44322</v>
      </c>
      <c r="C268" s="1" t="n">
        <v>45929</v>
      </c>
      <c r="D268" t="inlineStr">
        <is>
          <t>VÄSTERBOTTENS LÄN</t>
        </is>
      </c>
      <c r="E268" t="inlineStr">
        <is>
          <t>VILHELMINA</t>
        </is>
      </c>
      <c r="G268" t="n">
        <v>19.6</v>
      </c>
      <c r="H268" t="n">
        <v>0</v>
      </c>
      <c r="I268" t="n">
        <v>0</v>
      </c>
      <c r="J268" t="n">
        <v>0</v>
      </c>
      <c r="K268" t="n">
        <v>0</v>
      </c>
      <c r="L268" t="n">
        <v>0</v>
      </c>
      <c r="M268" t="n">
        <v>0</v>
      </c>
      <c r="N268" t="n">
        <v>0</v>
      </c>
      <c r="O268" t="n">
        <v>0</v>
      </c>
      <c r="P268" t="n">
        <v>0</v>
      </c>
      <c r="Q268" t="n">
        <v>0</v>
      </c>
      <c r="R268" s="2" t="inlineStr"/>
    </row>
    <row r="269" ht="15" customHeight="1">
      <c r="A269" t="inlineStr">
        <is>
          <t>A 23180-2024</t>
        </is>
      </c>
      <c r="B269" s="1" t="n">
        <v>45450.9444212963</v>
      </c>
      <c r="C269" s="1" t="n">
        <v>45929</v>
      </c>
      <c r="D269" t="inlineStr">
        <is>
          <t>VÄSTERBOTTENS LÄN</t>
        </is>
      </c>
      <c r="E269" t="inlineStr">
        <is>
          <t>VILHELMINA</t>
        </is>
      </c>
      <c r="F269" t="inlineStr">
        <is>
          <t>SCA</t>
        </is>
      </c>
      <c r="G269" t="n">
        <v>5.6</v>
      </c>
      <c r="H269" t="n">
        <v>0</v>
      </c>
      <c r="I269" t="n">
        <v>0</v>
      </c>
      <c r="J269" t="n">
        <v>0</v>
      </c>
      <c r="K269" t="n">
        <v>0</v>
      </c>
      <c r="L269" t="n">
        <v>0</v>
      </c>
      <c r="M269" t="n">
        <v>0</v>
      </c>
      <c r="N269" t="n">
        <v>0</v>
      </c>
      <c r="O269" t="n">
        <v>0</v>
      </c>
      <c r="P269" t="n">
        <v>0</v>
      </c>
      <c r="Q269" t="n">
        <v>0</v>
      </c>
      <c r="R269" s="2" t="inlineStr"/>
    </row>
    <row r="270" ht="15" customHeight="1">
      <c r="A270" t="inlineStr">
        <is>
          <t>A 31656-2021</t>
        </is>
      </c>
      <c r="B270" s="1" t="n">
        <v>44377</v>
      </c>
      <c r="C270" s="1" t="n">
        <v>45929</v>
      </c>
      <c r="D270" t="inlineStr">
        <is>
          <t>VÄSTERBOTTENS LÄN</t>
        </is>
      </c>
      <c r="E270" t="inlineStr">
        <is>
          <t>VILHELMINA</t>
        </is>
      </c>
      <c r="G270" t="n">
        <v>0.9</v>
      </c>
      <c r="H270" t="n">
        <v>0</v>
      </c>
      <c r="I270" t="n">
        <v>0</v>
      </c>
      <c r="J270" t="n">
        <v>0</v>
      </c>
      <c r="K270" t="n">
        <v>0</v>
      </c>
      <c r="L270" t="n">
        <v>0</v>
      </c>
      <c r="M270" t="n">
        <v>0</v>
      </c>
      <c r="N270" t="n">
        <v>0</v>
      </c>
      <c r="O270" t="n">
        <v>0</v>
      </c>
      <c r="P270" t="n">
        <v>0</v>
      </c>
      <c r="Q270" t="n">
        <v>0</v>
      </c>
      <c r="R270" s="2" t="inlineStr"/>
    </row>
    <row r="271" ht="15" customHeight="1">
      <c r="A271" t="inlineStr">
        <is>
          <t>A 72057-2021</t>
        </is>
      </c>
      <c r="B271" s="1" t="n">
        <v>44540</v>
      </c>
      <c r="C271" s="1" t="n">
        <v>45929</v>
      </c>
      <c r="D271" t="inlineStr">
        <is>
          <t>VÄSTERBOTTENS LÄN</t>
        </is>
      </c>
      <c r="E271" t="inlineStr">
        <is>
          <t>VILHELMINA</t>
        </is>
      </c>
      <c r="G271" t="n">
        <v>7</v>
      </c>
      <c r="H271" t="n">
        <v>0</v>
      </c>
      <c r="I271" t="n">
        <v>0</v>
      </c>
      <c r="J271" t="n">
        <v>0</v>
      </c>
      <c r="K271" t="n">
        <v>0</v>
      </c>
      <c r="L271" t="n">
        <v>0</v>
      </c>
      <c r="M271" t="n">
        <v>0</v>
      </c>
      <c r="N271" t="n">
        <v>0</v>
      </c>
      <c r="O271" t="n">
        <v>0</v>
      </c>
      <c r="P271" t="n">
        <v>0</v>
      </c>
      <c r="Q271" t="n">
        <v>0</v>
      </c>
      <c r="R271" s="2" t="inlineStr"/>
    </row>
    <row r="272" ht="15" customHeight="1">
      <c r="A272" t="inlineStr">
        <is>
          <t>A 48068-2022</t>
        </is>
      </c>
      <c r="B272" s="1" t="n">
        <v>44855</v>
      </c>
      <c r="C272" s="1" t="n">
        <v>45929</v>
      </c>
      <c r="D272" t="inlineStr">
        <is>
          <t>VÄSTERBOTTENS LÄN</t>
        </is>
      </c>
      <c r="E272" t="inlineStr">
        <is>
          <t>VILHELMINA</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36288-2021</t>
        </is>
      </c>
      <c r="B273" s="1" t="n">
        <v>44389</v>
      </c>
      <c r="C273" s="1" t="n">
        <v>45929</v>
      </c>
      <c r="D273" t="inlineStr">
        <is>
          <t>VÄSTERBOTTENS LÄN</t>
        </is>
      </c>
      <c r="E273" t="inlineStr">
        <is>
          <t>VILHELMINA</t>
        </is>
      </c>
      <c r="G273" t="n">
        <v>20.5</v>
      </c>
      <c r="H273" t="n">
        <v>0</v>
      </c>
      <c r="I273" t="n">
        <v>0</v>
      </c>
      <c r="J273" t="n">
        <v>0</v>
      </c>
      <c r="K273" t="n">
        <v>0</v>
      </c>
      <c r="L273" t="n">
        <v>0</v>
      </c>
      <c r="M273" t="n">
        <v>0</v>
      </c>
      <c r="N273" t="n">
        <v>0</v>
      </c>
      <c r="O273" t="n">
        <v>0</v>
      </c>
      <c r="P273" t="n">
        <v>0</v>
      </c>
      <c r="Q273" t="n">
        <v>0</v>
      </c>
      <c r="R273" s="2" t="inlineStr"/>
    </row>
    <row r="274" ht="15" customHeight="1">
      <c r="A274" t="inlineStr">
        <is>
          <t>A 55722-2023</t>
        </is>
      </c>
      <c r="B274" s="1" t="n">
        <v>45232</v>
      </c>
      <c r="C274" s="1" t="n">
        <v>45929</v>
      </c>
      <c r="D274" t="inlineStr">
        <is>
          <t>VÄSTERBOTTENS LÄN</t>
        </is>
      </c>
      <c r="E274" t="inlineStr">
        <is>
          <t>VILHELMINA</t>
        </is>
      </c>
      <c r="G274" t="n">
        <v>5.8</v>
      </c>
      <c r="H274" t="n">
        <v>0</v>
      </c>
      <c r="I274" t="n">
        <v>0</v>
      </c>
      <c r="J274" t="n">
        <v>0</v>
      </c>
      <c r="K274" t="n">
        <v>0</v>
      </c>
      <c r="L274" t="n">
        <v>0</v>
      </c>
      <c r="M274" t="n">
        <v>0</v>
      </c>
      <c r="N274" t="n">
        <v>0</v>
      </c>
      <c r="O274" t="n">
        <v>0</v>
      </c>
      <c r="P274" t="n">
        <v>0</v>
      </c>
      <c r="Q274" t="n">
        <v>0</v>
      </c>
      <c r="R274" s="2" t="inlineStr"/>
    </row>
    <row r="275" ht="15" customHeight="1">
      <c r="A275" t="inlineStr">
        <is>
          <t>A 12189-2024</t>
        </is>
      </c>
      <c r="B275" s="1" t="n">
        <v>45377.94945601852</v>
      </c>
      <c r="C275" s="1" t="n">
        <v>45929</v>
      </c>
      <c r="D275" t="inlineStr">
        <is>
          <t>VÄSTERBOTTENS LÄN</t>
        </is>
      </c>
      <c r="E275" t="inlineStr">
        <is>
          <t>VILHELMINA</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61777-2023</t>
        </is>
      </c>
      <c r="B276" s="1" t="n">
        <v>45265</v>
      </c>
      <c r="C276" s="1" t="n">
        <v>45929</v>
      </c>
      <c r="D276" t="inlineStr">
        <is>
          <t>VÄSTERBOTTENS LÄN</t>
        </is>
      </c>
      <c r="E276" t="inlineStr">
        <is>
          <t>VILHELMINA</t>
        </is>
      </c>
      <c r="F276" t="inlineStr">
        <is>
          <t>SCA</t>
        </is>
      </c>
      <c r="G276" t="n">
        <v>20.6</v>
      </c>
      <c r="H276" t="n">
        <v>0</v>
      </c>
      <c r="I276" t="n">
        <v>0</v>
      </c>
      <c r="J276" t="n">
        <v>0</v>
      </c>
      <c r="K276" t="n">
        <v>0</v>
      </c>
      <c r="L276" t="n">
        <v>0</v>
      </c>
      <c r="M276" t="n">
        <v>0</v>
      </c>
      <c r="N276" t="n">
        <v>0</v>
      </c>
      <c r="O276" t="n">
        <v>0</v>
      </c>
      <c r="P276" t="n">
        <v>0</v>
      </c>
      <c r="Q276" t="n">
        <v>0</v>
      </c>
      <c r="R276" s="2" t="inlineStr"/>
    </row>
    <row r="277" ht="15" customHeight="1">
      <c r="A277" t="inlineStr">
        <is>
          <t>A 22107-2024</t>
        </is>
      </c>
      <c r="B277" s="1" t="n">
        <v>45443</v>
      </c>
      <c r="C277" s="1" t="n">
        <v>45929</v>
      </c>
      <c r="D277" t="inlineStr">
        <is>
          <t>VÄSTERBOTTENS LÄN</t>
        </is>
      </c>
      <c r="E277" t="inlineStr">
        <is>
          <t>VILHELMINA</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34719-2024</t>
        </is>
      </c>
      <c r="B278" s="1" t="n">
        <v>45526.56435185186</v>
      </c>
      <c r="C278" s="1" t="n">
        <v>45929</v>
      </c>
      <c r="D278" t="inlineStr">
        <is>
          <t>VÄSTERBOTTENS LÄN</t>
        </is>
      </c>
      <c r="E278" t="inlineStr">
        <is>
          <t>VILHELMINA</t>
        </is>
      </c>
      <c r="G278" t="n">
        <v>1.7</v>
      </c>
      <c r="H278" t="n">
        <v>0</v>
      </c>
      <c r="I278" t="n">
        <v>0</v>
      </c>
      <c r="J278" t="n">
        <v>0</v>
      </c>
      <c r="K278" t="n">
        <v>0</v>
      </c>
      <c r="L278" t="n">
        <v>0</v>
      </c>
      <c r="M278" t="n">
        <v>0</v>
      </c>
      <c r="N278" t="n">
        <v>0</v>
      </c>
      <c r="O278" t="n">
        <v>0</v>
      </c>
      <c r="P278" t="n">
        <v>0</v>
      </c>
      <c r="Q278" t="n">
        <v>0</v>
      </c>
      <c r="R278" s="2" t="inlineStr"/>
    </row>
    <row r="279" ht="15" customHeight="1">
      <c r="A279" t="inlineStr">
        <is>
          <t>A 34630-2024</t>
        </is>
      </c>
      <c r="B279" s="1" t="n">
        <v>45526.46234953704</v>
      </c>
      <c r="C279" s="1" t="n">
        <v>45929</v>
      </c>
      <c r="D279" t="inlineStr">
        <is>
          <t>VÄSTERBOTTENS LÄN</t>
        </is>
      </c>
      <c r="E279" t="inlineStr">
        <is>
          <t>VILHELMINA</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29922-2024</t>
        </is>
      </c>
      <c r="B280" s="1" t="n">
        <v>45487.9563425926</v>
      </c>
      <c r="C280" s="1" t="n">
        <v>45929</v>
      </c>
      <c r="D280" t="inlineStr">
        <is>
          <t>VÄSTERBOTTENS LÄN</t>
        </is>
      </c>
      <c r="E280" t="inlineStr">
        <is>
          <t>VILHELMINA</t>
        </is>
      </c>
      <c r="F280" t="inlineStr">
        <is>
          <t>SCA</t>
        </is>
      </c>
      <c r="G280" t="n">
        <v>5.2</v>
      </c>
      <c r="H280" t="n">
        <v>0</v>
      </c>
      <c r="I280" t="n">
        <v>0</v>
      </c>
      <c r="J280" t="n">
        <v>0</v>
      </c>
      <c r="K280" t="n">
        <v>0</v>
      </c>
      <c r="L280" t="n">
        <v>0</v>
      </c>
      <c r="M280" t="n">
        <v>0</v>
      </c>
      <c r="N280" t="n">
        <v>0</v>
      </c>
      <c r="O280" t="n">
        <v>0</v>
      </c>
      <c r="P280" t="n">
        <v>0</v>
      </c>
      <c r="Q280" t="n">
        <v>0</v>
      </c>
      <c r="R280" s="2" t="inlineStr"/>
    </row>
    <row r="281" ht="15" customHeight="1">
      <c r="A281" t="inlineStr">
        <is>
          <t>A 12365-2025</t>
        </is>
      </c>
      <c r="B281" s="1" t="n">
        <v>45730.37549768519</v>
      </c>
      <c r="C281" s="1" t="n">
        <v>45929</v>
      </c>
      <c r="D281" t="inlineStr">
        <is>
          <t>VÄSTERBOTTENS LÄN</t>
        </is>
      </c>
      <c r="E281" t="inlineStr">
        <is>
          <t>VILHELMINA</t>
        </is>
      </c>
      <c r="F281" t="inlineStr">
        <is>
          <t>Övriga statliga verk och myndigheter</t>
        </is>
      </c>
      <c r="G281" t="n">
        <v>11.5</v>
      </c>
      <c r="H281" t="n">
        <v>0</v>
      </c>
      <c r="I281" t="n">
        <v>0</v>
      </c>
      <c r="J281" t="n">
        <v>0</v>
      </c>
      <c r="K281" t="n">
        <v>0</v>
      </c>
      <c r="L281" t="n">
        <v>0</v>
      </c>
      <c r="M281" t="n">
        <v>0</v>
      </c>
      <c r="N281" t="n">
        <v>0</v>
      </c>
      <c r="O281" t="n">
        <v>0</v>
      </c>
      <c r="P281" t="n">
        <v>0</v>
      </c>
      <c r="Q281" t="n">
        <v>0</v>
      </c>
      <c r="R281" s="2" t="inlineStr"/>
    </row>
    <row r="282" ht="15" customHeight="1">
      <c r="A282" t="inlineStr">
        <is>
          <t>A 12370-2025</t>
        </is>
      </c>
      <c r="B282" s="1" t="n">
        <v>45730.37681712963</v>
      </c>
      <c r="C282" s="1" t="n">
        <v>45929</v>
      </c>
      <c r="D282" t="inlineStr">
        <is>
          <t>VÄSTERBOTTENS LÄN</t>
        </is>
      </c>
      <c r="E282" t="inlineStr">
        <is>
          <t>VILHELMINA</t>
        </is>
      </c>
      <c r="F282" t="inlineStr">
        <is>
          <t>Övriga statliga verk och myndigheter</t>
        </is>
      </c>
      <c r="G282" t="n">
        <v>8.9</v>
      </c>
      <c r="H282" t="n">
        <v>0</v>
      </c>
      <c r="I282" t="n">
        <v>0</v>
      </c>
      <c r="J282" t="n">
        <v>0</v>
      </c>
      <c r="K282" t="n">
        <v>0</v>
      </c>
      <c r="L282" t="n">
        <v>0</v>
      </c>
      <c r="M282" t="n">
        <v>0</v>
      </c>
      <c r="N282" t="n">
        <v>0</v>
      </c>
      <c r="O282" t="n">
        <v>0</v>
      </c>
      <c r="P282" t="n">
        <v>0</v>
      </c>
      <c r="Q282" t="n">
        <v>0</v>
      </c>
      <c r="R282" s="2" t="inlineStr"/>
    </row>
    <row r="283" ht="15" customHeight="1">
      <c r="A283" t="inlineStr">
        <is>
          <t>A 35285-2025</t>
        </is>
      </c>
      <c r="B283" s="1" t="n">
        <v>45854</v>
      </c>
      <c r="C283" s="1" t="n">
        <v>45929</v>
      </c>
      <c r="D283" t="inlineStr">
        <is>
          <t>VÄSTERBOTTENS LÄN</t>
        </is>
      </c>
      <c r="E283" t="inlineStr">
        <is>
          <t>VILHELMINA</t>
        </is>
      </c>
      <c r="F283" t="inlineStr">
        <is>
          <t>SCA</t>
        </is>
      </c>
      <c r="G283" t="n">
        <v>3.3</v>
      </c>
      <c r="H283" t="n">
        <v>0</v>
      </c>
      <c r="I283" t="n">
        <v>0</v>
      </c>
      <c r="J283" t="n">
        <v>0</v>
      </c>
      <c r="K283" t="n">
        <v>0</v>
      </c>
      <c r="L283" t="n">
        <v>0</v>
      </c>
      <c r="M283" t="n">
        <v>0</v>
      </c>
      <c r="N283" t="n">
        <v>0</v>
      </c>
      <c r="O283" t="n">
        <v>0</v>
      </c>
      <c r="P283" t="n">
        <v>0</v>
      </c>
      <c r="Q283" t="n">
        <v>0</v>
      </c>
      <c r="R283" s="2" t="inlineStr"/>
    </row>
    <row r="284" ht="15" customHeight="1">
      <c r="A284" t="inlineStr">
        <is>
          <t>A 35287-2025</t>
        </is>
      </c>
      <c r="B284" s="1" t="n">
        <v>45854.3653587963</v>
      </c>
      <c r="C284" s="1" t="n">
        <v>45929</v>
      </c>
      <c r="D284" t="inlineStr">
        <is>
          <t>VÄSTERBOTTENS LÄN</t>
        </is>
      </c>
      <c r="E284" t="inlineStr">
        <is>
          <t>VILHELMINA</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35288-2025</t>
        </is>
      </c>
      <c r="B285" s="1" t="n">
        <v>45854.36543981481</v>
      </c>
      <c r="C285" s="1" t="n">
        <v>45929</v>
      </c>
      <c r="D285" t="inlineStr">
        <is>
          <t>VÄSTERBOTTENS LÄN</t>
        </is>
      </c>
      <c r="E285" t="inlineStr">
        <is>
          <t>VILHELMINA</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2022-2024</t>
        </is>
      </c>
      <c r="B286" s="1" t="n">
        <v>45308</v>
      </c>
      <c r="C286" s="1" t="n">
        <v>45929</v>
      </c>
      <c r="D286" t="inlineStr">
        <is>
          <t>VÄSTERBOTTENS LÄN</t>
        </is>
      </c>
      <c r="E286" t="inlineStr">
        <is>
          <t>VILHELMINA</t>
        </is>
      </c>
      <c r="G286" t="n">
        <v>8.5</v>
      </c>
      <c r="H286" t="n">
        <v>0</v>
      </c>
      <c r="I286" t="n">
        <v>0</v>
      </c>
      <c r="J286" t="n">
        <v>0</v>
      </c>
      <c r="K286" t="n">
        <v>0</v>
      </c>
      <c r="L286" t="n">
        <v>0</v>
      </c>
      <c r="M286" t="n">
        <v>0</v>
      </c>
      <c r="N286" t="n">
        <v>0</v>
      </c>
      <c r="O286" t="n">
        <v>0</v>
      </c>
      <c r="P286" t="n">
        <v>0</v>
      </c>
      <c r="Q286" t="n">
        <v>0</v>
      </c>
      <c r="R286" s="2" t="inlineStr"/>
    </row>
    <row r="287" ht="15" customHeight="1">
      <c r="A287" t="inlineStr">
        <is>
          <t>A 17732-2024</t>
        </is>
      </c>
      <c r="B287" s="1" t="n">
        <v>45415</v>
      </c>
      <c r="C287" s="1" t="n">
        <v>45929</v>
      </c>
      <c r="D287" t="inlineStr">
        <is>
          <t>VÄSTERBOTTENS LÄN</t>
        </is>
      </c>
      <c r="E287" t="inlineStr">
        <is>
          <t>VILHELMINA</t>
        </is>
      </c>
      <c r="G287" t="n">
        <v>0.6</v>
      </c>
      <c r="H287" t="n">
        <v>0</v>
      </c>
      <c r="I287" t="n">
        <v>0</v>
      </c>
      <c r="J287" t="n">
        <v>0</v>
      </c>
      <c r="K287" t="n">
        <v>0</v>
      </c>
      <c r="L287" t="n">
        <v>0</v>
      </c>
      <c r="M287" t="n">
        <v>0</v>
      </c>
      <c r="N287" t="n">
        <v>0</v>
      </c>
      <c r="O287" t="n">
        <v>0</v>
      </c>
      <c r="P287" t="n">
        <v>0</v>
      </c>
      <c r="Q287" t="n">
        <v>0</v>
      </c>
      <c r="R287" s="2" t="inlineStr"/>
    </row>
    <row r="288" ht="15" customHeight="1">
      <c r="A288" t="inlineStr">
        <is>
          <t>A 35230-2025</t>
        </is>
      </c>
      <c r="B288" s="1" t="n">
        <v>45853.59447916667</v>
      </c>
      <c r="C288" s="1" t="n">
        <v>45929</v>
      </c>
      <c r="D288" t="inlineStr">
        <is>
          <t>VÄSTERBOTTENS LÄN</t>
        </is>
      </c>
      <c r="E288" t="inlineStr">
        <is>
          <t>VILHELMINA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35231-2025</t>
        </is>
      </c>
      <c r="B289" s="1" t="n">
        <v>45853.59453703704</v>
      </c>
      <c r="C289" s="1" t="n">
        <v>45929</v>
      </c>
      <c r="D289" t="inlineStr">
        <is>
          <t>VÄSTERBOTTENS LÄN</t>
        </is>
      </c>
      <c r="E289" t="inlineStr">
        <is>
          <t>VILHELMINA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34130-2024</t>
        </is>
      </c>
      <c r="B290" s="1" t="n">
        <v>45524.34668981482</v>
      </c>
      <c r="C290" s="1" t="n">
        <v>45929</v>
      </c>
      <c r="D290" t="inlineStr">
        <is>
          <t>VÄSTERBOTTENS LÄN</t>
        </is>
      </c>
      <c r="E290" t="inlineStr">
        <is>
          <t>VILHELMINA</t>
        </is>
      </c>
      <c r="F290" t="inlineStr">
        <is>
          <t>Sveaskog</t>
        </is>
      </c>
      <c r="G290" t="n">
        <v>3.7</v>
      </c>
      <c r="H290" t="n">
        <v>0</v>
      </c>
      <c r="I290" t="n">
        <v>0</v>
      </c>
      <c r="J290" t="n">
        <v>0</v>
      </c>
      <c r="K290" t="n">
        <v>0</v>
      </c>
      <c r="L290" t="n">
        <v>0</v>
      </c>
      <c r="M290" t="n">
        <v>0</v>
      </c>
      <c r="N290" t="n">
        <v>0</v>
      </c>
      <c r="O290" t="n">
        <v>0</v>
      </c>
      <c r="P290" t="n">
        <v>0</v>
      </c>
      <c r="Q290" t="n">
        <v>0</v>
      </c>
      <c r="R290" s="2" t="inlineStr"/>
    </row>
    <row r="291" ht="15" customHeight="1">
      <c r="A291" t="inlineStr">
        <is>
          <t>A 23544-2024</t>
        </is>
      </c>
      <c r="B291" s="1" t="n">
        <v>45453.95314814815</v>
      </c>
      <c r="C291" s="1" t="n">
        <v>45929</v>
      </c>
      <c r="D291" t="inlineStr">
        <is>
          <t>VÄSTERBOTTENS LÄN</t>
        </is>
      </c>
      <c r="E291" t="inlineStr">
        <is>
          <t>VILHELMINA</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23545-2024</t>
        </is>
      </c>
      <c r="B292" s="1" t="n">
        <v>45453.95326388889</v>
      </c>
      <c r="C292" s="1" t="n">
        <v>45929</v>
      </c>
      <c r="D292" t="inlineStr">
        <is>
          <t>VÄSTERBOTTENS LÄN</t>
        </is>
      </c>
      <c r="E292" t="inlineStr">
        <is>
          <t>VILHELMINA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7102-2024</t>
        </is>
      </c>
      <c r="B293" s="1" t="n">
        <v>45343</v>
      </c>
      <c r="C293" s="1" t="n">
        <v>45929</v>
      </c>
      <c r="D293" t="inlineStr">
        <is>
          <t>VÄSTERBOTTENS LÄN</t>
        </is>
      </c>
      <c r="E293" t="inlineStr">
        <is>
          <t>VILHELMINA</t>
        </is>
      </c>
      <c r="G293" t="n">
        <v>3.2</v>
      </c>
      <c r="H293" t="n">
        <v>0</v>
      </c>
      <c r="I293" t="n">
        <v>0</v>
      </c>
      <c r="J293" t="n">
        <v>0</v>
      </c>
      <c r="K293" t="n">
        <v>0</v>
      </c>
      <c r="L293" t="n">
        <v>0</v>
      </c>
      <c r="M293" t="n">
        <v>0</v>
      </c>
      <c r="N293" t="n">
        <v>0</v>
      </c>
      <c r="O293" t="n">
        <v>0</v>
      </c>
      <c r="P293" t="n">
        <v>0</v>
      </c>
      <c r="Q293" t="n">
        <v>0</v>
      </c>
      <c r="R293" s="2" t="inlineStr"/>
    </row>
    <row r="294" ht="15" customHeight="1">
      <c r="A294" t="inlineStr">
        <is>
          <t>A 2488-2023</t>
        </is>
      </c>
      <c r="B294" s="1" t="n">
        <v>44943</v>
      </c>
      <c r="C294" s="1" t="n">
        <v>45929</v>
      </c>
      <c r="D294" t="inlineStr">
        <is>
          <t>VÄSTERBOTTENS LÄN</t>
        </is>
      </c>
      <c r="E294" t="inlineStr">
        <is>
          <t>VILHELMINA</t>
        </is>
      </c>
      <c r="G294" t="n">
        <v>69.3</v>
      </c>
      <c r="H294" t="n">
        <v>0</v>
      </c>
      <c r="I294" t="n">
        <v>0</v>
      </c>
      <c r="J294" t="n">
        <v>0</v>
      </c>
      <c r="K294" t="n">
        <v>0</v>
      </c>
      <c r="L294" t="n">
        <v>0</v>
      </c>
      <c r="M294" t="n">
        <v>0</v>
      </c>
      <c r="N294" t="n">
        <v>0</v>
      </c>
      <c r="O294" t="n">
        <v>0</v>
      </c>
      <c r="P294" t="n">
        <v>0</v>
      </c>
      <c r="Q294" t="n">
        <v>0</v>
      </c>
      <c r="R294" s="2" t="inlineStr"/>
    </row>
    <row r="295" ht="15" customHeight="1">
      <c r="A295" t="inlineStr">
        <is>
          <t>A 41171-2025</t>
        </is>
      </c>
      <c r="B295" s="1" t="n">
        <v>45898</v>
      </c>
      <c r="C295" s="1" t="n">
        <v>45929</v>
      </c>
      <c r="D295" t="inlineStr">
        <is>
          <t>VÄSTERBOTTENS LÄN</t>
        </is>
      </c>
      <c r="E295" t="inlineStr">
        <is>
          <t>VILHELMINA</t>
        </is>
      </c>
      <c r="F295" t="inlineStr">
        <is>
          <t>Övriga Aktiebolag</t>
        </is>
      </c>
      <c r="G295" t="n">
        <v>5.6</v>
      </c>
      <c r="H295" t="n">
        <v>0</v>
      </c>
      <c r="I295" t="n">
        <v>0</v>
      </c>
      <c r="J295" t="n">
        <v>0</v>
      </c>
      <c r="K295" t="n">
        <v>0</v>
      </c>
      <c r="L295" t="n">
        <v>0</v>
      </c>
      <c r="M295" t="n">
        <v>0</v>
      </c>
      <c r="N295" t="n">
        <v>0</v>
      </c>
      <c r="O295" t="n">
        <v>0</v>
      </c>
      <c r="P295" t="n">
        <v>0</v>
      </c>
      <c r="Q295" t="n">
        <v>0</v>
      </c>
      <c r="R295" s="2" t="inlineStr"/>
    </row>
    <row r="296" ht="15" customHeight="1">
      <c r="A296" t="inlineStr">
        <is>
          <t>A 26401-2022</t>
        </is>
      </c>
      <c r="B296" s="1" t="n">
        <v>44735</v>
      </c>
      <c r="C296" s="1" t="n">
        <v>45929</v>
      </c>
      <c r="D296" t="inlineStr">
        <is>
          <t>VÄSTERBOTTENS LÄN</t>
        </is>
      </c>
      <c r="E296" t="inlineStr">
        <is>
          <t>VILHELMINA</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23176-2024</t>
        </is>
      </c>
      <c r="B297" s="1" t="n">
        <v>45450.94366898148</v>
      </c>
      <c r="C297" s="1" t="n">
        <v>45929</v>
      </c>
      <c r="D297" t="inlineStr">
        <is>
          <t>VÄSTERBOTTENS LÄN</t>
        </is>
      </c>
      <c r="E297" t="inlineStr">
        <is>
          <t>VILHELMINA</t>
        </is>
      </c>
      <c r="F297" t="inlineStr">
        <is>
          <t>SCA</t>
        </is>
      </c>
      <c r="G297" t="n">
        <v>3.5</v>
      </c>
      <c r="H297" t="n">
        <v>0</v>
      </c>
      <c r="I297" t="n">
        <v>0</v>
      </c>
      <c r="J297" t="n">
        <v>0</v>
      </c>
      <c r="K297" t="n">
        <v>0</v>
      </c>
      <c r="L297" t="n">
        <v>0</v>
      </c>
      <c r="M297" t="n">
        <v>0</v>
      </c>
      <c r="N297" t="n">
        <v>0</v>
      </c>
      <c r="O297" t="n">
        <v>0</v>
      </c>
      <c r="P297" t="n">
        <v>0</v>
      </c>
      <c r="Q297" t="n">
        <v>0</v>
      </c>
      <c r="R297" s="2" t="inlineStr"/>
    </row>
    <row r="298" ht="15" customHeight="1">
      <c r="A298" t="inlineStr">
        <is>
          <t>A 49888-2024</t>
        </is>
      </c>
      <c r="B298" s="1" t="n">
        <v>45597.5109837963</v>
      </c>
      <c r="C298" s="1" t="n">
        <v>45929</v>
      </c>
      <c r="D298" t="inlineStr">
        <is>
          <t>VÄSTERBOTTENS LÄN</t>
        </is>
      </c>
      <c r="E298" t="inlineStr">
        <is>
          <t>VILHELMINA</t>
        </is>
      </c>
      <c r="F298" t="inlineStr">
        <is>
          <t>SCA</t>
        </is>
      </c>
      <c r="G298" t="n">
        <v>0.7</v>
      </c>
      <c r="H298" t="n">
        <v>0</v>
      </c>
      <c r="I298" t="n">
        <v>0</v>
      </c>
      <c r="J298" t="n">
        <v>0</v>
      </c>
      <c r="K298" t="n">
        <v>0</v>
      </c>
      <c r="L298" t="n">
        <v>0</v>
      </c>
      <c r="M298" t="n">
        <v>0</v>
      </c>
      <c r="N298" t="n">
        <v>0</v>
      </c>
      <c r="O298" t="n">
        <v>0</v>
      </c>
      <c r="P298" t="n">
        <v>0</v>
      </c>
      <c r="Q298" t="n">
        <v>0</v>
      </c>
      <c r="R298" s="2" t="inlineStr"/>
    </row>
    <row r="299" ht="15" customHeight="1">
      <c r="A299" t="inlineStr">
        <is>
          <t>A 44516-2024</t>
        </is>
      </c>
      <c r="B299" s="1" t="n">
        <v>45574</v>
      </c>
      <c r="C299" s="1" t="n">
        <v>45929</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36320-2024</t>
        </is>
      </c>
      <c r="B300" s="1" t="n">
        <v>45534.63586805556</v>
      </c>
      <c r="C300" s="1" t="n">
        <v>45929</v>
      </c>
      <c r="D300" t="inlineStr">
        <is>
          <t>VÄSTERBOTTENS LÄN</t>
        </is>
      </c>
      <c r="E300" t="inlineStr">
        <is>
          <t>VILHELMINA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31696-2024</t>
        </is>
      </c>
      <c r="B301" s="1" t="n">
        <v>45508</v>
      </c>
      <c r="C301" s="1" t="n">
        <v>45929</v>
      </c>
      <c r="D301" t="inlineStr">
        <is>
          <t>VÄSTERBOTTENS LÄN</t>
        </is>
      </c>
      <c r="E301" t="inlineStr">
        <is>
          <t>VILHELMINA</t>
        </is>
      </c>
      <c r="G301" t="n">
        <v>7.7</v>
      </c>
      <c r="H301" t="n">
        <v>0</v>
      </c>
      <c r="I301" t="n">
        <v>0</v>
      </c>
      <c r="J301" t="n">
        <v>0</v>
      </c>
      <c r="K301" t="n">
        <v>0</v>
      </c>
      <c r="L301" t="n">
        <v>0</v>
      </c>
      <c r="M301" t="n">
        <v>0</v>
      </c>
      <c r="N301" t="n">
        <v>0</v>
      </c>
      <c r="O301" t="n">
        <v>0</v>
      </c>
      <c r="P301" t="n">
        <v>0</v>
      </c>
      <c r="Q301" t="n">
        <v>0</v>
      </c>
      <c r="R301" s="2" t="inlineStr"/>
    </row>
    <row r="302" ht="15" customHeight="1">
      <c r="A302" t="inlineStr">
        <is>
          <t>A 32655-2021</t>
        </is>
      </c>
      <c r="B302" s="1" t="n">
        <v>44371</v>
      </c>
      <c r="C302" s="1" t="n">
        <v>45929</v>
      </c>
      <c r="D302" t="inlineStr">
        <is>
          <t>VÄSTERBOTTENS LÄN</t>
        </is>
      </c>
      <c r="E302" t="inlineStr">
        <is>
          <t>VILHELMINA</t>
        </is>
      </c>
      <c r="G302" t="n">
        <v>0.2</v>
      </c>
      <c r="H302" t="n">
        <v>0</v>
      </c>
      <c r="I302" t="n">
        <v>0</v>
      </c>
      <c r="J302" t="n">
        <v>0</v>
      </c>
      <c r="K302" t="n">
        <v>0</v>
      </c>
      <c r="L302" t="n">
        <v>0</v>
      </c>
      <c r="M302" t="n">
        <v>0</v>
      </c>
      <c r="N302" t="n">
        <v>0</v>
      </c>
      <c r="O302" t="n">
        <v>0</v>
      </c>
      <c r="P302" t="n">
        <v>0</v>
      </c>
      <c r="Q302" t="n">
        <v>0</v>
      </c>
      <c r="R302" s="2" t="inlineStr"/>
    </row>
    <row r="303" ht="15" customHeight="1">
      <c r="A303" t="inlineStr">
        <is>
          <t>A 48423-2023</t>
        </is>
      </c>
      <c r="B303" s="1" t="n">
        <v>45205</v>
      </c>
      <c r="C303" s="1" t="n">
        <v>45929</v>
      </c>
      <c r="D303" t="inlineStr">
        <is>
          <t>VÄSTERBOTTENS LÄN</t>
        </is>
      </c>
      <c r="E303" t="inlineStr">
        <is>
          <t>VILHELMINA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9534-2023</t>
        </is>
      </c>
      <c r="B304" s="1" t="n">
        <v>44981.72646990741</v>
      </c>
      <c r="C304" s="1" t="n">
        <v>45929</v>
      </c>
      <c r="D304" t="inlineStr">
        <is>
          <t>VÄSTERBOTTENS LÄN</t>
        </is>
      </c>
      <c r="E304" t="inlineStr">
        <is>
          <t>VILHELMINA</t>
        </is>
      </c>
      <c r="G304" t="n">
        <v>1.7</v>
      </c>
      <c r="H304" t="n">
        <v>0</v>
      </c>
      <c r="I304" t="n">
        <v>0</v>
      </c>
      <c r="J304" t="n">
        <v>0</v>
      </c>
      <c r="K304" t="n">
        <v>0</v>
      </c>
      <c r="L304" t="n">
        <v>0</v>
      </c>
      <c r="M304" t="n">
        <v>0</v>
      </c>
      <c r="N304" t="n">
        <v>0</v>
      </c>
      <c r="O304" t="n">
        <v>0</v>
      </c>
      <c r="P304" t="n">
        <v>0</v>
      </c>
      <c r="Q304" t="n">
        <v>0</v>
      </c>
      <c r="R304" s="2" t="inlineStr"/>
    </row>
    <row r="305" ht="15" customHeight="1">
      <c r="A305" t="inlineStr">
        <is>
          <t>A 26137-2024</t>
        </is>
      </c>
      <c r="B305" s="1" t="n">
        <v>45468</v>
      </c>
      <c r="C305" s="1" t="n">
        <v>45929</v>
      </c>
      <c r="D305" t="inlineStr">
        <is>
          <t>VÄSTERBOTTENS LÄN</t>
        </is>
      </c>
      <c r="E305" t="inlineStr">
        <is>
          <t>VILHELMINA</t>
        </is>
      </c>
      <c r="G305" t="n">
        <v>3.5</v>
      </c>
      <c r="H305" t="n">
        <v>0</v>
      </c>
      <c r="I305" t="n">
        <v>0</v>
      </c>
      <c r="J305" t="n">
        <v>0</v>
      </c>
      <c r="K305" t="n">
        <v>0</v>
      </c>
      <c r="L305" t="n">
        <v>0</v>
      </c>
      <c r="M305" t="n">
        <v>0</v>
      </c>
      <c r="N305" t="n">
        <v>0</v>
      </c>
      <c r="O305" t="n">
        <v>0</v>
      </c>
      <c r="P305" t="n">
        <v>0</v>
      </c>
      <c r="Q305" t="n">
        <v>0</v>
      </c>
      <c r="R305" s="2" t="inlineStr"/>
    </row>
    <row r="306" ht="15" customHeight="1">
      <c r="A306" t="inlineStr">
        <is>
          <t>A 13768-2024</t>
        </is>
      </c>
      <c r="B306" s="1" t="n">
        <v>45390.95230324074</v>
      </c>
      <c r="C306" s="1" t="n">
        <v>45929</v>
      </c>
      <c r="D306" t="inlineStr">
        <is>
          <t>VÄSTERBOTTENS LÄN</t>
        </is>
      </c>
      <c r="E306" t="inlineStr">
        <is>
          <t>VILHELMINA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56747-2023</t>
        </is>
      </c>
      <c r="B307" s="1" t="n">
        <v>45238</v>
      </c>
      <c r="C307" s="1" t="n">
        <v>45929</v>
      </c>
      <c r="D307" t="inlineStr">
        <is>
          <t>VÄSTERBOTTENS LÄN</t>
        </is>
      </c>
      <c r="E307" t="inlineStr">
        <is>
          <t>VILHELMINA</t>
        </is>
      </c>
      <c r="F307" t="inlineStr">
        <is>
          <t>Allmännings- och besparingsskogar</t>
        </is>
      </c>
      <c r="G307" t="n">
        <v>16.2</v>
      </c>
      <c r="H307" t="n">
        <v>0</v>
      </c>
      <c r="I307" t="n">
        <v>0</v>
      </c>
      <c r="J307" t="n">
        <v>0</v>
      </c>
      <c r="K307" t="n">
        <v>0</v>
      </c>
      <c r="L307" t="n">
        <v>0</v>
      </c>
      <c r="M307" t="n">
        <v>0</v>
      </c>
      <c r="N307" t="n">
        <v>0</v>
      </c>
      <c r="O307" t="n">
        <v>0</v>
      </c>
      <c r="P307" t="n">
        <v>0</v>
      </c>
      <c r="Q307" t="n">
        <v>0</v>
      </c>
      <c r="R307" s="2" t="inlineStr"/>
    </row>
    <row r="308" ht="15" customHeight="1">
      <c r="A308" t="inlineStr">
        <is>
          <t>A 56758-2023</t>
        </is>
      </c>
      <c r="B308" s="1" t="n">
        <v>45238</v>
      </c>
      <c r="C308" s="1" t="n">
        <v>45929</v>
      </c>
      <c r="D308" t="inlineStr">
        <is>
          <t>VÄSTERBOTTENS LÄN</t>
        </is>
      </c>
      <c r="E308" t="inlineStr">
        <is>
          <t>VILHELMINA</t>
        </is>
      </c>
      <c r="F308" t="inlineStr">
        <is>
          <t>Allmännings- och besparingsskogar</t>
        </is>
      </c>
      <c r="G308" t="n">
        <v>371.4</v>
      </c>
      <c r="H308" t="n">
        <v>0</v>
      </c>
      <c r="I308" t="n">
        <v>0</v>
      </c>
      <c r="J308" t="n">
        <v>0</v>
      </c>
      <c r="K308" t="n">
        <v>0</v>
      </c>
      <c r="L308" t="n">
        <v>0</v>
      </c>
      <c r="M308" t="n">
        <v>0</v>
      </c>
      <c r="N308" t="n">
        <v>0</v>
      </c>
      <c r="O308" t="n">
        <v>0</v>
      </c>
      <c r="P308" t="n">
        <v>0</v>
      </c>
      <c r="Q308" t="n">
        <v>0</v>
      </c>
      <c r="R308" s="2" t="inlineStr"/>
    </row>
    <row r="309" ht="15" customHeight="1">
      <c r="A309" t="inlineStr">
        <is>
          <t>A 69502-2020</t>
        </is>
      </c>
      <c r="B309" s="1" t="n">
        <v>44193</v>
      </c>
      <c r="C309" s="1" t="n">
        <v>45929</v>
      </c>
      <c r="D309" t="inlineStr">
        <is>
          <t>VÄSTERBOTTENS LÄN</t>
        </is>
      </c>
      <c r="E309" t="inlineStr">
        <is>
          <t>VILHELMINA</t>
        </is>
      </c>
      <c r="G309" t="n">
        <v>19</v>
      </c>
      <c r="H309" t="n">
        <v>0</v>
      </c>
      <c r="I309" t="n">
        <v>0</v>
      </c>
      <c r="J309" t="n">
        <v>0</v>
      </c>
      <c r="K309" t="n">
        <v>0</v>
      </c>
      <c r="L309" t="n">
        <v>0</v>
      </c>
      <c r="M309" t="n">
        <v>0</v>
      </c>
      <c r="N309" t="n">
        <v>0</v>
      </c>
      <c r="O309" t="n">
        <v>0</v>
      </c>
      <c r="P309" t="n">
        <v>0</v>
      </c>
      <c r="Q309" t="n">
        <v>0</v>
      </c>
      <c r="R309" s="2" t="inlineStr"/>
    </row>
    <row r="310" ht="15" customHeight="1">
      <c r="A310" t="inlineStr">
        <is>
          <t>A 19506-2025</t>
        </is>
      </c>
      <c r="B310" s="1" t="n">
        <v>45770</v>
      </c>
      <c r="C310" s="1" t="n">
        <v>45929</v>
      </c>
      <c r="D310" t="inlineStr">
        <is>
          <t>VÄSTERBOTTENS LÄN</t>
        </is>
      </c>
      <c r="E310" t="inlineStr">
        <is>
          <t>VILHELMINA</t>
        </is>
      </c>
      <c r="G310" t="n">
        <v>22.4</v>
      </c>
      <c r="H310" t="n">
        <v>0</v>
      </c>
      <c r="I310" t="n">
        <v>0</v>
      </c>
      <c r="J310" t="n">
        <v>0</v>
      </c>
      <c r="K310" t="n">
        <v>0</v>
      </c>
      <c r="L310" t="n">
        <v>0</v>
      </c>
      <c r="M310" t="n">
        <v>0</v>
      </c>
      <c r="N310" t="n">
        <v>0</v>
      </c>
      <c r="O310" t="n">
        <v>0</v>
      </c>
      <c r="P310" t="n">
        <v>0</v>
      </c>
      <c r="Q310" t="n">
        <v>0</v>
      </c>
      <c r="R310" s="2" t="inlineStr"/>
    </row>
    <row r="311" ht="15" customHeight="1">
      <c r="A311" t="inlineStr">
        <is>
          <t>A 44368-2024</t>
        </is>
      </c>
      <c r="B311" s="1" t="n">
        <v>45573</v>
      </c>
      <c r="C311" s="1" t="n">
        <v>45929</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9916-2021</t>
        </is>
      </c>
      <c r="B312" s="1" t="n">
        <v>44253</v>
      </c>
      <c r="C312" s="1" t="n">
        <v>45929</v>
      </c>
      <c r="D312" t="inlineStr">
        <is>
          <t>VÄSTERBOTTENS LÄN</t>
        </is>
      </c>
      <c r="E312" t="inlineStr">
        <is>
          <t>VILHELMINA</t>
        </is>
      </c>
      <c r="G312" t="n">
        <v>1</v>
      </c>
      <c r="H312" t="n">
        <v>0</v>
      </c>
      <c r="I312" t="n">
        <v>0</v>
      </c>
      <c r="J312" t="n">
        <v>0</v>
      </c>
      <c r="K312" t="n">
        <v>0</v>
      </c>
      <c r="L312" t="n">
        <v>0</v>
      </c>
      <c r="M312" t="n">
        <v>0</v>
      </c>
      <c r="N312" t="n">
        <v>0</v>
      </c>
      <c r="O312" t="n">
        <v>0</v>
      </c>
      <c r="P312" t="n">
        <v>0</v>
      </c>
      <c r="Q312" t="n">
        <v>0</v>
      </c>
      <c r="R312" s="2" t="inlineStr"/>
    </row>
    <row r="313" ht="15" customHeight="1">
      <c r="A313" t="inlineStr">
        <is>
          <t>A 3435-2021</t>
        </is>
      </c>
      <c r="B313" s="1" t="n">
        <v>44216</v>
      </c>
      <c r="C313" s="1" t="n">
        <v>45929</v>
      </c>
      <c r="D313" t="inlineStr">
        <is>
          <t>VÄSTERBOTTENS LÄN</t>
        </is>
      </c>
      <c r="E313" t="inlineStr">
        <is>
          <t>VILHELMINA</t>
        </is>
      </c>
      <c r="G313" t="n">
        <v>20.5</v>
      </c>
      <c r="H313" t="n">
        <v>0</v>
      </c>
      <c r="I313" t="n">
        <v>0</v>
      </c>
      <c r="J313" t="n">
        <v>0</v>
      </c>
      <c r="K313" t="n">
        <v>0</v>
      </c>
      <c r="L313" t="n">
        <v>0</v>
      </c>
      <c r="M313" t="n">
        <v>0</v>
      </c>
      <c r="N313" t="n">
        <v>0</v>
      </c>
      <c r="O313" t="n">
        <v>0</v>
      </c>
      <c r="P313" t="n">
        <v>0</v>
      </c>
      <c r="Q313" t="n">
        <v>0</v>
      </c>
      <c r="R313" s="2" t="inlineStr"/>
    </row>
    <row r="314" ht="15" customHeight="1">
      <c r="A314" t="inlineStr">
        <is>
          <t>A 32921-2024</t>
        </is>
      </c>
      <c r="B314" s="1" t="n">
        <v>45516.9525462963</v>
      </c>
      <c r="C314" s="1" t="n">
        <v>45929</v>
      </c>
      <c r="D314" t="inlineStr">
        <is>
          <t>VÄSTERBOTTENS LÄN</t>
        </is>
      </c>
      <c r="E314" t="inlineStr">
        <is>
          <t>VILHELMINA</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53987-2021</t>
        </is>
      </c>
      <c r="B315" s="1" t="n">
        <v>44470.31884259259</v>
      </c>
      <c r="C315" s="1" t="n">
        <v>45929</v>
      </c>
      <c r="D315" t="inlineStr">
        <is>
          <t>VÄSTERBOTTENS LÄN</t>
        </is>
      </c>
      <c r="E315" t="inlineStr">
        <is>
          <t>VILHELMINA</t>
        </is>
      </c>
      <c r="F315" t="inlineStr">
        <is>
          <t>Kommuner</t>
        </is>
      </c>
      <c r="G315" t="n">
        <v>10</v>
      </c>
      <c r="H315" t="n">
        <v>0</v>
      </c>
      <c r="I315" t="n">
        <v>0</v>
      </c>
      <c r="J315" t="n">
        <v>0</v>
      </c>
      <c r="K315" t="n">
        <v>0</v>
      </c>
      <c r="L315" t="n">
        <v>0</v>
      </c>
      <c r="M315" t="n">
        <v>0</v>
      </c>
      <c r="N315" t="n">
        <v>0</v>
      </c>
      <c r="O315" t="n">
        <v>0</v>
      </c>
      <c r="P315" t="n">
        <v>0</v>
      </c>
      <c r="Q315" t="n">
        <v>0</v>
      </c>
      <c r="R315" s="2" t="inlineStr"/>
    </row>
    <row r="316" ht="15" customHeight="1">
      <c r="A316" t="inlineStr">
        <is>
          <t>A 25701-2024</t>
        </is>
      </c>
      <c r="B316" s="1" t="n">
        <v>45463.94247685185</v>
      </c>
      <c r="C316" s="1" t="n">
        <v>45929</v>
      </c>
      <c r="D316" t="inlineStr">
        <is>
          <t>VÄSTERBOTTENS LÄN</t>
        </is>
      </c>
      <c r="E316" t="inlineStr">
        <is>
          <t>VILHELMINA</t>
        </is>
      </c>
      <c r="F316" t="inlineStr">
        <is>
          <t>SCA</t>
        </is>
      </c>
      <c r="G316" t="n">
        <v>8.6</v>
      </c>
      <c r="H316" t="n">
        <v>0</v>
      </c>
      <c r="I316" t="n">
        <v>0</v>
      </c>
      <c r="J316" t="n">
        <v>0</v>
      </c>
      <c r="K316" t="n">
        <v>0</v>
      </c>
      <c r="L316" t="n">
        <v>0</v>
      </c>
      <c r="M316" t="n">
        <v>0</v>
      </c>
      <c r="N316" t="n">
        <v>0</v>
      </c>
      <c r="O316" t="n">
        <v>0</v>
      </c>
      <c r="P316" t="n">
        <v>0</v>
      </c>
      <c r="Q316" t="n">
        <v>0</v>
      </c>
      <c r="R316" s="2" t="inlineStr"/>
    </row>
    <row r="317" ht="15" customHeight="1">
      <c r="A317" t="inlineStr">
        <is>
          <t>A 35888-2025</t>
        </is>
      </c>
      <c r="B317" s="1" t="n">
        <v>45862.44034722223</v>
      </c>
      <c r="C317" s="1" t="n">
        <v>45929</v>
      </c>
      <c r="D317" t="inlineStr">
        <is>
          <t>VÄSTERBOTTENS LÄN</t>
        </is>
      </c>
      <c r="E317" t="inlineStr">
        <is>
          <t>VILHELMINA</t>
        </is>
      </c>
      <c r="G317" t="n">
        <v>2.4</v>
      </c>
      <c r="H317" t="n">
        <v>0</v>
      </c>
      <c r="I317" t="n">
        <v>0</v>
      </c>
      <c r="J317" t="n">
        <v>0</v>
      </c>
      <c r="K317" t="n">
        <v>0</v>
      </c>
      <c r="L317" t="n">
        <v>0</v>
      </c>
      <c r="M317" t="n">
        <v>0</v>
      </c>
      <c r="N317" t="n">
        <v>0</v>
      </c>
      <c r="O317" t="n">
        <v>0</v>
      </c>
      <c r="P317" t="n">
        <v>0</v>
      </c>
      <c r="Q317" t="n">
        <v>0</v>
      </c>
      <c r="R317" s="2" t="inlineStr"/>
    </row>
    <row r="318" ht="15" customHeight="1">
      <c r="A318" t="inlineStr">
        <is>
          <t>A 6653-2021</t>
        </is>
      </c>
      <c r="B318" s="1" t="n">
        <v>44235</v>
      </c>
      <c r="C318" s="1" t="n">
        <v>45929</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6669-2021</t>
        </is>
      </c>
      <c r="B319" s="1" t="n">
        <v>44235</v>
      </c>
      <c r="C319" s="1" t="n">
        <v>45929</v>
      </c>
      <c r="D319" t="inlineStr">
        <is>
          <t>VÄSTERBOTTENS LÄN</t>
        </is>
      </c>
      <c r="E319" t="inlineStr">
        <is>
          <t>VILHELMINA</t>
        </is>
      </c>
      <c r="G319" t="n">
        <v>19.8</v>
      </c>
      <c r="H319" t="n">
        <v>0</v>
      </c>
      <c r="I319" t="n">
        <v>0</v>
      </c>
      <c r="J319" t="n">
        <v>0</v>
      </c>
      <c r="K319" t="n">
        <v>0</v>
      </c>
      <c r="L319" t="n">
        <v>0</v>
      </c>
      <c r="M319" t="n">
        <v>0</v>
      </c>
      <c r="N319" t="n">
        <v>0</v>
      </c>
      <c r="O319" t="n">
        <v>0</v>
      </c>
      <c r="P319" t="n">
        <v>0</v>
      </c>
      <c r="Q319" t="n">
        <v>0</v>
      </c>
      <c r="R319" s="2" t="inlineStr"/>
    </row>
    <row r="320" ht="15" customHeight="1">
      <c r="A320" t="inlineStr">
        <is>
          <t>A 55327-2023</t>
        </is>
      </c>
      <c r="B320" s="1" t="n">
        <v>45237.97375</v>
      </c>
      <c r="C320" s="1" t="n">
        <v>45929</v>
      </c>
      <c r="D320" t="inlineStr">
        <is>
          <t>VÄSTERBOTTENS LÄN</t>
        </is>
      </c>
      <c r="E320" t="inlineStr">
        <is>
          <t>VILHELMINA</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34762-2024</t>
        </is>
      </c>
      <c r="B321" s="1" t="n">
        <v>45526.61637731481</v>
      </c>
      <c r="C321" s="1" t="n">
        <v>45929</v>
      </c>
      <c r="D321" t="inlineStr">
        <is>
          <t>VÄSTERBOTTENS LÄN</t>
        </is>
      </c>
      <c r="E321" t="inlineStr">
        <is>
          <t>VILHELMINA</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32658-2021</t>
        </is>
      </c>
      <c r="B322" s="1" t="n">
        <v>44371</v>
      </c>
      <c r="C322" s="1" t="n">
        <v>45929</v>
      </c>
      <c r="D322" t="inlineStr">
        <is>
          <t>VÄSTERBOTTENS LÄN</t>
        </is>
      </c>
      <c r="E322" t="inlineStr">
        <is>
          <t>VILHELMINA</t>
        </is>
      </c>
      <c r="G322" t="n">
        <v>2.2</v>
      </c>
      <c r="H322" t="n">
        <v>0</v>
      </c>
      <c r="I322" t="n">
        <v>0</v>
      </c>
      <c r="J322" t="n">
        <v>0</v>
      </c>
      <c r="K322" t="n">
        <v>0</v>
      </c>
      <c r="L322" t="n">
        <v>0</v>
      </c>
      <c r="M322" t="n">
        <v>0</v>
      </c>
      <c r="N322" t="n">
        <v>0</v>
      </c>
      <c r="O322" t="n">
        <v>0</v>
      </c>
      <c r="P322" t="n">
        <v>0</v>
      </c>
      <c r="Q322" t="n">
        <v>0</v>
      </c>
      <c r="R322" s="2" t="inlineStr"/>
    </row>
    <row r="323" ht="15" customHeight="1">
      <c r="A323" t="inlineStr">
        <is>
          <t>A 35886-2025</t>
        </is>
      </c>
      <c r="B323" s="1" t="n">
        <v>45862</v>
      </c>
      <c r="C323" s="1" t="n">
        <v>45929</v>
      </c>
      <c r="D323" t="inlineStr">
        <is>
          <t>VÄSTERBOTTENS LÄN</t>
        </is>
      </c>
      <c r="E323" t="inlineStr">
        <is>
          <t>VILHELMINA</t>
        </is>
      </c>
      <c r="G323" t="n">
        <v>7</v>
      </c>
      <c r="H323" t="n">
        <v>0</v>
      </c>
      <c r="I323" t="n">
        <v>0</v>
      </c>
      <c r="J323" t="n">
        <v>0</v>
      </c>
      <c r="K323" t="n">
        <v>0</v>
      </c>
      <c r="L323" t="n">
        <v>0</v>
      </c>
      <c r="M323" t="n">
        <v>0</v>
      </c>
      <c r="N323" t="n">
        <v>0</v>
      </c>
      <c r="O323" t="n">
        <v>0</v>
      </c>
      <c r="P323" t="n">
        <v>0</v>
      </c>
      <c r="Q323" t="n">
        <v>0</v>
      </c>
      <c r="R323" s="2" t="inlineStr"/>
    </row>
    <row r="324" ht="15" customHeight="1">
      <c r="A324" t="inlineStr">
        <is>
          <t>A 29347-2021</t>
        </is>
      </c>
      <c r="B324" s="1" t="n">
        <v>44361</v>
      </c>
      <c r="C324" s="1" t="n">
        <v>45929</v>
      </c>
      <c r="D324" t="inlineStr">
        <is>
          <t>VÄSTERBOTTENS LÄN</t>
        </is>
      </c>
      <c r="E324" t="inlineStr">
        <is>
          <t>VILHELMINA</t>
        </is>
      </c>
      <c r="F324" t="inlineStr">
        <is>
          <t>Allmännings- och besparingsskogar</t>
        </is>
      </c>
      <c r="G324" t="n">
        <v>52</v>
      </c>
      <c r="H324" t="n">
        <v>0</v>
      </c>
      <c r="I324" t="n">
        <v>0</v>
      </c>
      <c r="J324" t="n">
        <v>0</v>
      </c>
      <c r="K324" t="n">
        <v>0</v>
      </c>
      <c r="L324" t="n">
        <v>0</v>
      </c>
      <c r="M324" t="n">
        <v>0</v>
      </c>
      <c r="N324" t="n">
        <v>0</v>
      </c>
      <c r="O324" t="n">
        <v>0</v>
      </c>
      <c r="P324" t="n">
        <v>0</v>
      </c>
      <c r="Q324" t="n">
        <v>0</v>
      </c>
      <c r="R324" s="2" t="inlineStr"/>
    </row>
    <row r="325" ht="15" customHeight="1">
      <c r="A325" t="inlineStr">
        <is>
          <t>A 30574-2024</t>
        </is>
      </c>
      <c r="B325" s="1" t="n">
        <v>45492.9580324074</v>
      </c>
      <c r="C325" s="1" t="n">
        <v>45929</v>
      </c>
      <c r="D325" t="inlineStr">
        <is>
          <t>VÄSTERBOTTENS LÄN</t>
        </is>
      </c>
      <c r="E325" t="inlineStr">
        <is>
          <t>VILHELMINA</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30681-2024</t>
        </is>
      </c>
      <c r="B326" s="1" t="n">
        <v>45495.9509837963</v>
      </c>
      <c r="C326" s="1" t="n">
        <v>45929</v>
      </c>
      <c r="D326" t="inlineStr">
        <is>
          <t>VÄSTERBOTTENS LÄN</t>
        </is>
      </c>
      <c r="E326" t="inlineStr">
        <is>
          <t>VILHELMINA</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41704-2025</t>
        </is>
      </c>
      <c r="B327" s="1" t="n">
        <v>45902</v>
      </c>
      <c r="C327" s="1" t="n">
        <v>45929</v>
      </c>
      <c r="D327" t="inlineStr">
        <is>
          <t>VÄSTERBOTTENS LÄN</t>
        </is>
      </c>
      <c r="E327" t="inlineStr">
        <is>
          <t>VILHELMINA</t>
        </is>
      </c>
      <c r="G327" t="n">
        <v>3.3</v>
      </c>
      <c r="H327" t="n">
        <v>0</v>
      </c>
      <c r="I327" t="n">
        <v>0</v>
      </c>
      <c r="J327" t="n">
        <v>0</v>
      </c>
      <c r="K327" t="n">
        <v>0</v>
      </c>
      <c r="L327" t="n">
        <v>0</v>
      </c>
      <c r="M327" t="n">
        <v>0</v>
      </c>
      <c r="N327" t="n">
        <v>0</v>
      </c>
      <c r="O327" t="n">
        <v>0</v>
      </c>
      <c r="P327" t="n">
        <v>0</v>
      </c>
      <c r="Q327" t="n">
        <v>0</v>
      </c>
      <c r="R327" s="2" t="inlineStr"/>
    </row>
    <row r="328" ht="15" customHeight="1">
      <c r="A328" t="inlineStr">
        <is>
          <t>A 40462-2024</t>
        </is>
      </c>
      <c r="B328" s="1" t="n">
        <v>45555.51084490741</v>
      </c>
      <c r="C328" s="1" t="n">
        <v>45929</v>
      </c>
      <c r="D328" t="inlineStr">
        <is>
          <t>VÄSTERBOTTENS LÄN</t>
        </is>
      </c>
      <c r="E328" t="inlineStr">
        <is>
          <t>VILHELMINA</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8916-2023</t>
        </is>
      </c>
      <c r="B329" s="1" t="n">
        <v>44972</v>
      </c>
      <c r="C329" s="1" t="n">
        <v>45929</v>
      </c>
      <c r="D329" t="inlineStr">
        <is>
          <t>VÄSTERBOTTENS LÄN</t>
        </is>
      </c>
      <c r="E329" t="inlineStr">
        <is>
          <t>VILHELMINA</t>
        </is>
      </c>
      <c r="F329" t="inlineStr">
        <is>
          <t>Allmännings- och besparingsskogar</t>
        </is>
      </c>
      <c r="G329" t="n">
        <v>22.1</v>
      </c>
      <c r="H329" t="n">
        <v>0</v>
      </c>
      <c r="I329" t="n">
        <v>0</v>
      </c>
      <c r="J329" t="n">
        <v>0</v>
      </c>
      <c r="K329" t="n">
        <v>0</v>
      </c>
      <c r="L329" t="n">
        <v>0</v>
      </c>
      <c r="M329" t="n">
        <v>0</v>
      </c>
      <c r="N329" t="n">
        <v>0</v>
      </c>
      <c r="O329" t="n">
        <v>0</v>
      </c>
      <c r="P329" t="n">
        <v>0</v>
      </c>
      <c r="Q329" t="n">
        <v>0</v>
      </c>
      <c r="R329" s="2" t="inlineStr"/>
    </row>
    <row r="330" ht="15" customHeight="1">
      <c r="A330" t="inlineStr">
        <is>
          <t>A 10833-2022</t>
        </is>
      </c>
      <c r="B330" s="1" t="n">
        <v>44627</v>
      </c>
      <c r="C330" s="1" t="n">
        <v>45929</v>
      </c>
      <c r="D330" t="inlineStr">
        <is>
          <t>VÄSTERBOTTENS LÄN</t>
        </is>
      </c>
      <c r="E330" t="inlineStr">
        <is>
          <t>VILHELMINA</t>
        </is>
      </c>
      <c r="G330" t="n">
        <v>5.4</v>
      </c>
      <c r="H330" t="n">
        <v>0</v>
      </c>
      <c r="I330" t="n">
        <v>0</v>
      </c>
      <c r="J330" t="n">
        <v>0</v>
      </c>
      <c r="K330" t="n">
        <v>0</v>
      </c>
      <c r="L330" t="n">
        <v>0</v>
      </c>
      <c r="M330" t="n">
        <v>0</v>
      </c>
      <c r="N330" t="n">
        <v>0</v>
      </c>
      <c r="O330" t="n">
        <v>0</v>
      </c>
      <c r="P330" t="n">
        <v>0</v>
      </c>
      <c r="Q330" t="n">
        <v>0</v>
      </c>
      <c r="R330" s="2" t="inlineStr"/>
    </row>
    <row r="331" ht="15" customHeight="1">
      <c r="A331" t="inlineStr">
        <is>
          <t>A 56396-2022</t>
        </is>
      </c>
      <c r="B331" s="1" t="n">
        <v>44890</v>
      </c>
      <c r="C331" s="1" t="n">
        <v>45929</v>
      </c>
      <c r="D331" t="inlineStr">
        <is>
          <t>VÄSTERBOTTENS LÄN</t>
        </is>
      </c>
      <c r="E331" t="inlineStr">
        <is>
          <t>VILHELMINA</t>
        </is>
      </c>
      <c r="G331" t="n">
        <v>1.6</v>
      </c>
      <c r="H331" t="n">
        <v>0</v>
      </c>
      <c r="I331" t="n">
        <v>0</v>
      </c>
      <c r="J331" t="n">
        <v>0</v>
      </c>
      <c r="K331" t="n">
        <v>0</v>
      </c>
      <c r="L331" t="n">
        <v>0</v>
      </c>
      <c r="M331" t="n">
        <v>0</v>
      </c>
      <c r="N331" t="n">
        <v>0</v>
      </c>
      <c r="O331" t="n">
        <v>0</v>
      </c>
      <c r="P331" t="n">
        <v>0</v>
      </c>
      <c r="Q331" t="n">
        <v>0</v>
      </c>
      <c r="R331" s="2" t="inlineStr"/>
    </row>
    <row r="332" ht="15" customHeight="1">
      <c r="A332" t="inlineStr">
        <is>
          <t>A 48229-2024</t>
        </is>
      </c>
      <c r="B332" s="1" t="n">
        <v>45590.37554398148</v>
      </c>
      <c r="C332" s="1" t="n">
        <v>45929</v>
      </c>
      <c r="D332" t="inlineStr">
        <is>
          <t>VÄSTERBOTTENS LÄN</t>
        </is>
      </c>
      <c r="E332" t="inlineStr">
        <is>
          <t>VILHELMINA</t>
        </is>
      </c>
      <c r="G332" t="n">
        <v>11.6</v>
      </c>
      <c r="H332" t="n">
        <v>0</v>
      </c>
      <c r="I332" t="n">
        <v>0</v>
      </c>
      <c r="J332" t="n">
        <v>0</v>
      </c>
      <c r="K332" t="n">
        <v>0</v>
      </c>
      <c r="L332" t="n">
        <v>0</v>
      </c>
      <c r="M332" t="n">
        <v>0</v>
      </c>
      <c r="N332" t="n">
        <v>0</v>
      </c>
      <c r="O332" t="n">
        <v>0</v>
      </c>
      <c r="P332" t="n">
        <v>0</v>
      </c>
      <c r="Q332" t="n">
        <v>0</v>
      </c>
      <c r="R332" s="2" t="inlineStr"/>
    </row>
    <row r="333" ht="15" customHeight="1">
      <c r="A333" t="inlineStr">
        <is>
          <t>A 46372-2021</t>
        </is>
      </c>
      <c r="B333" s="1" t="n">
        <v>44442.94226851852</v>
      </c>
      <c r="C333" s="1" t="n">
        <v>45929</v>
      </c>
      <c r="D333" t="inlineStr">
        <is>
          <t>VÄSTERBOTTENS LÄN</t>
        </is>
      </c>
      <c r="E333" t="inlineStr">
        <is>
          <t>VILHELMINA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38297-2024</t>
        </is>
      </c>
      <c r="B334" s="1" t="n">
        <v>45545</v>
      </c>
      <c r="C334" s="1" t="n">
        <v>45929</v>
      </c>
      <c r="D334" t="inlineStr">
        <is>
          <t>VÄSTERBOTTENS LÄN</t>
        </is>
      </c>
      <c r="E334" t="inlineStr">
        <is>
          <t>VILHELMINA</t>
        </is>
      </c>
      <c r="G334" t="n">
        <v>139.8</v>
      </c>
      <c r="H334" t="n">
        <v>0</v>
      </c>
      <c r="I334" t="n">
        <v>0</v>
      </c>
      <c r="J334" t="n">
        <v>0</v>
      </c>
      <c r="K334" t="n">
        <v>0</v>
      </c>
      <c r="L334" t="n">
        <v>0</v>
      </c>
      <c r="M334" t="n">
        <v>0</v>
      </c>
      <c r="N334" t="n">
        <v>0</v>
      </c>
      <c r="O334" t="n">
        <v>0</v>
      </c>
      <c r="P334" t="n">
        <v>0</v>
      </c>
      <c r="Q334" t="n">
        <v>0</v>
      </c>
      <c r="R334" s="2" t="inlineStr"/>
    </row>
    <row r="335" ht="15" customHeight="1">
      <c r="A335" t="inlineStr">
        <is>
          <t>A 28722-2022</t>
        </is>
      </c>
      <c r="B335" s="1" t="n">
        <v>44748</v>
      </c>
      <c r="C335" s="1" t="n">
        <v>45929</v>
      </c>
      <c r="D335" t="inlineStr">
        <is>
          <t>VÄSTERBOTTENS LÄN</t>
        </is>
      </c>
      <c r="E335" t="inlineStr">
        <is>
          <t>VILHELMINA</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42360-2025</t>
        </is>
      </c>
      <c r="B336" s="1" t="n">
        <v>45904</v>
      </c>
      <c r="C336" s="1" t="n">
        <v>45929</v>
      </c>
      <c r="D336" t="inlineStr">
        <is>
          <t>VÄSTERBOTTENS LÄN</t>
        </is>
      </c>
      <c r="E336" t="inlineStr">
        <is>
          <t>VILHELMINA</t>
        </is>
      </c>
      <c r="F336" t="inlineStr">
        <is>
          <t>Övriga Aktiebolag</t>
        </is>
      </c>
      <c r="G336" t="n">
        <v>0.9</v>
      </c>
      <c r="H336" t="n">
        <v>0</v>
      </c>
      <c r="I336" t="n">
        <v>0</v>
      </c>
      <c r="J336" t="n">
        <v>0</v>
      </c>
      <c r="K336" t="n">
        <v>0</v>
      </c>
      <c r="L336" t="n">
        <v>0</v>
      </c>
      <c r="M336" t="n">
        <v>0</v>
      </c>
      <c r="N336" t="n">
        <v>0</v>
      </c>
      <c r="O336" t="n">
        <v>0</v>
      </c>
      <c r="P336" t="n">
        <v>0</v>
      </c>
      <c r="Q336" t="n">
        <v>0</v>
      </c>
      <c r="R336" s="2" t="inlineStr"/>
    </row>
    <row r="337" ht="15" customHeight="1">
      <c r="A337" t="inlineStr">
        <is>
          <t>A 54729-2022</t>
        </is>
      </c>
      <c r="B337" s="1" t="n">
        <v>44881</v>
      </c>
      <c r="C337" s="1" t="n">
        <v>45929</v>
      </c>
      <c r="D337" t="inlineStr">
        <is>
          <t>VÄSTERBOTTENS LÄN</t>
        </is>
      </c>
      <c r="E337" t="inlineStr">
        <is>
          <t>VILHELMINA</t>
        </is>
      </c>
      <c r="G337" t="n">
        <v>19.2</v>
      </c>
      <c r="H337" t="n">
        <v>0</v>
      </c>
      <c r="I337" t="n">
        <v>0</v>
      </c>
      <c r="J337" t="n">
        <v>0</v>
      </c>
      <c r="K337" t="n">
        <v>0</v>
      </c>
      <c r="L337" t="n">
        <v>0</v>
      </c>
      <c r="M337" t="n">
        <v>0</v>
      </c>
      <c r="N337" t="n">
        <v>0</v>
      </c>
      <c r="O337" t="n">
        <v>0</v>
      </c>
      <c r="P337" t="n">
        <v>0</v>
      </c>
      <c r="Q337" t="n">
        <v>0</v>
      </c>
      <c r="R337" s="2" t="inlineStr"/>
    </row>
    <row r="338" ht="15" customHeight="1">
      <c r="A338" t="inlineStr">
        <is>
          <t>A 34807-2023</t>
        </is>
      </c>
      <c r="B338" s="1" t="n">
        <v>45140</v>
      </c>
      <c r="C338" s="1" t="n">
        <v>45929</v>
      </c>
      <c r="D338" t="inlineStr">
        <is>
          <t>VÄSTERBOTTENS LÄN</t>
        </is>
      </c>
      <c r="E338" t="inlineStr">
        <is>
          <t>VILHELMINA</t>
        </is>
      </c>
      <c r="G338" t="n">
        <v>8.1</v>
      </c>
      <c r="H338" t="n">
        <v>0</v>
      </c>
      <c r="I338" t="n">
        <v>0</v>
      </c>
      <c r="J338" t="n">
        <v>0</v>
      </c>
      <c r="K338" t="n">
        <v>0</v>
      </c>
      <c r="L338" t="n">
        <v>0</v>
      </c>
      <c r="M338" t="n">
        <v>0</v>
      </c>
      <c r="N338" t="n">
        <v>0</v>
      </c>
      <c r="O338" t="n">
        <v>0</v>
      </c>
      <c r="P338" t="n">
        <v>0</v>
      </c>
      <c r="Q338" t="n">
        <v>0</v>
      </c>
      <c r="R338" s="2" t="inlineStr"/>
    </row>
    <row r="339" ht="15" customHeight="1">
      <c r="A339" t="inlineStr">
        <is>
          <t>A 43251-2024</t>
        </is>
      </c>
      <c r="B339" s="1" t="n">
        <v>45568.34429398148</v>
      </c>
      <c r="C339" s="1" t="n">
        <v>45929</v>
      </c>
      <c r="D339" t="inlineStr">
        <is>
          <t>VÄSTERBOTTENS LÄN</t>
        </is>
      </c>
      <c r="E339" t="inlineStr">
        <is>
          <t>VILHELMINA</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42382-2025</t>
        </is>
      </c>
      <c r="B340" s="1" t="n">
        <v>45904</v>
      </c>
      <c r="C340" s="1" t="n">
        <v>45929</v>
      </c>
      <c r="D340" t="inlineStr">
        <is>
          <t>VÄSTERBOTTENS LÄN</t>
        </is>
      </c>
      <c r="E340" t="inlineStr">
        <is>
          <t>VILHELMINA</t>
        </is>
      </c>
      <c r="F340" t="inlineStr">
        <is>
          <t>Övriga Aktiebolag</t>
        </is>
      </c>
      <c r="G340" t="n">
        <v>6.2</v>
      </c>
      <c r="H340" t="n">
        <v>0</v>
      </c>
      <c r="I340" t="n">
        <v>0</v>
      </c>
      <c r="J340" t="n">
        <v>0</v>
      </c>
      <c r="K340" t="n">
        <v>0</v>
      </c>
      <c r="L340" t="n">
        <v>0</v>
      </c>
      <c r="M340" t="n">
        <v>0</v>
      </c>
      <c r="N340" t="n">
        <v>0</v>
      </c>
      <c r="O340" t="n">
        <v>0</v>
      </c>
      <c r="P340" t="n">
        <v>0</v>
      </c>
      <c r="Q340" t="n">
        <v>0</v>
      </c>
      <c r="R340" s="2" t="inlineStr"/>
    </row>
    <row r="341" ht="15" customHeight="1">
      <c r="A341" t="inlineStr">
        <is>
          <t>A 64028-2023</t>
        </is>
      </c>
      <c r="B341" s="1" t="n">
        <v>45278.94263888889</v>
      </c>
      <c r="C341" s="1" t="n">
        <v>45929</v>
      </c>
      <c r="D341" t="inlineStr">
        <is>
          <t>VÄSTERBOTTENS LÄN</t>
        </is>
      </c>
      <c r="E341" t="inlineStr">
        <is>
          <t>VILHELMINA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28656-2024</t>
        </is>
      </c>
      <c r="B342" s="1" t="n">
        <v>45478</v>
      </c>
      <c r="C342" s="1" t="n">
        <v>45929</v>
      </c>
      <c r="D342" t="inlineStr">
        <is>
          <t>VÄSTERBOTTENS LÄN</t>
        </is>
      </c>
      <c r="E342" t="inlineStr">
        <is>
          <t>VILHELMINA</t>
        </is>
      </c>
      <c r="F342" t="inlineStr">
        <is>
          <t>Allmännings- och besparingsskogar</t>
        </is>
      </c>
      <c r="G342" t="n">
        <v>1.6</v>
      </c>
      <c r="H342" t="n">
        <v>0</v>
      </c>
      <c r="I342" t="n">
        <v>0</v>
      </c>
      <c r="J342" t="n">
        <v>0</v>
      </c>
      <c r="K342" t="n">
        <v>0</v>
      </c>
      <c r="L342" t="n">
        <v>0</v>
      </c>
      <c r="M342" t="n">
        <v>0</v>
      </c>
      <c r="N342" t="n">
        <v>0</v>
      </c>
      <c r="O342" t="n">
        <v>0</v>
      </c>
      <c r="P342" t="n">
        <v>0</v>
      </c>
      <c r="Q342" t="n">
        <v>0</v>
      </c>
      <c r="R342" s="2" t="inlineStr"/>
    </row>
    <row r="343" ht="15" customHeight="1">
      <c r="A343" t="inlineStr">
        <is>
          <t>A 47254-2022</t>
        </is>
      </c>
      <c r="B343" s="1" t="n">
        <v>44852.94685185186</v>
      </c>
      <c r="C343" s="1" t="n">
        <v>45929</v>
      </c>
      <c r="D343" t="inlineStr">
        <is>
          <t>VÄSTERBOTTENS LÄN</t>
        </is>
      </c>
      <c r="E343" t="inlineStr">
        <is>
          <t>VILHELMINA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12373-2024</t>
        </is>
      </c>
      <c r="B344" s="1" t="n">
        <v>45378</v>
      </c>
      <c r="C344" s="1" t="n">
        <v>45929</v>
      </c>
      <c r="D344" t="inlineStr">
        <is>
          <t>VÄSTERBOTTENS LÄN</t>
        </is>
      </c>
      <c r="E344" t="inlineStr">
        <is>
          <t>VILHELMINA</t>
        </is>
      </c>
      <c r="G344" t="n">
        <v>0.7</v>
      </c>
      <c r="H344" t="n">
        <v>0</v>
      </c>
      <c r="I344" t="n">
        <v>0</v>
      </c>
      <c r="J344" t="n">
        <v>0</v>
      </c>
      <c r="K344" t="n">
        <v>0</v>
      </c>
      <c r="L344" t="n">
        <v>0</v>
      </c>
      <c r="M344" t="n">
        <v>0</v>
      </c>
      <c r="N344" t="n">
        <v>0</v>
      </c>
      <c r="O344" t="n">
        <v>0</v>
      </c>
      <c r="P344" t="n">
        <v>0</v>
      </c>
      <c r="Q344" t="n">
        <v>0</v>
      </c>
      <c r="R344" s="2" t="inlineStr"/>
    </row>
    <row r="345" ht="15" customHeight="1">
      <c r="A345" t="inlineStr">
        <is>
          <t>A 22109-2024</t>
        </is>
      </c>
      <c r="B345" s="1" t="n">
        <v>45443</v>
      </c>
      <c r="C345" s="1" t="n">
        <v>45929</v>
      </c>
      <c r="D345" t="inlineStr">
        <is>
          <t>VÄSTERBOTTENS LÄN</t>
        </is>
      </c>
      <c r="E345" t="inlineStr">
        <is>
          <t>VILHELMINA</t>
        </is>
      </c>
      <c r="F345" t="inlineStr">
        <is>
          <t>SCA</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25551-2024</t>
        </is>
      </c>
      <c r="B346" s="1" t="n">
        <v>45463</v>
      </c>
      <c r="C346" s="1" t="n">
        <v>45929</v>
      </c>
      <c r="D346" t="inlineStr">
        <is>
          <t>VÄSTERBOTTENS LÄN</t>
        </is>
      </c>
      <c r="E346" t="inlineStr">
        <is>
          <t>VILHELMINA</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29954-2023</t>
        </is>
      </c>
      <c r="B347" s="1" t="n">
        <v>45107</v>
      </c>
      <c r="C347" s="1" t="n">
        <v>45929</v>
      </c>
      <c r="D347" t="inlineStr">
        <is>
          <t>VÄSTERBOTTENS LÄN</t>
        </is>
      </c>
      <c r="E347" t="inlineStr">
        <is>
          <t>VILHELMINA</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21843-2024</t>
        </is>
      </c>
      <c r="B348" s="1" t="n">
        <v>45442.96064814815</v>
      </c>
      <c r="C348" s="1" t="n">
        <v>45929</v>
      </c>
      <c r="D348" t="inlineStr">
        <is>
          <t>VÄSTERBOTTENS LÄN</t>
        </is>
      </c>
      <c r="E348" t="inlineStr">
        <is>
          <t>VILHELMINA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34819-2024</t>
        </is>
      </c>
      <c r="B349" s="1" t="n">
        <v>45526.71134259259</v>
      </c>
      <c r="C349" s="1" t="n">
        <v>45929</v>
      </c>
      <c r="D349" t="inlineStr">
        <is>
          <t>VÄSTERBOTTENS LÄN</t>
        </is>
      </c>
      <c r="E349" t="inlineStr">
        <is>
          <t>VILHELMINA</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12043-2023</t>
        </is>
      </c>
      <c r="B350" s="1" t="n">
        <v>44995</v>
      </c>
      <c r="C350" s="1" t="n">
        <v>45929</v>
      </c>
      <c r="D350" t="inlineStr">
        <is>
          <t>VÄSTERBOTTENS LÄN</t>
        </is>
      </c>
      <c r="E350" t="inlineStr">
        <is>
          <t>VILHELMINA</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37346-2024</t>
        </is>
      </c>
      <c r="B351" s="1" t="n">
        <v>45540</v>
      </c>
      <c r="C351" s="1" t="n">
        <v>45929</v>
      </c>
      <c r="D351" t="inlineStr">
        <is>
          <t>VÄSTERBOTTENS LÄN</t>
        </is>
      </c>
      <c r="E351" t="inlineStr">
        <is>
          <t>VILHELMINA</t>
        </is>
      </c>
      <c r="G351" t="n">
        <v>100.3</v>
      </c>
      <c r="H351" t="n">
        <v>0</v>
      </c>
      <c r="I351" t="n">
        <v>0</v>
      </c>
      <c r="J351" t="n">
        <v>0</v>
      </c>
      <c r="K351" t="n">
        <v>0</v>
      </c>
      <c r="L351" t="n">
        <v>0</v>
      </c>
      <c r="M351" t="n">
        <v>0</v>
      </c>
      <c r="N351" t="n">
        <v>0</v>
      </c>
      <c r="O351" t="n">
        <v>0</v>
      </c>
      <c r="P351" t="n">
        <v>0</v>
      </c>
      <c r="Q351" t="n">
        <v>0</v>
      </c>
      <c r="R351" s="2" t="inlineStr"/>
    </row>
    <row r="352" ht="15" customHeight="1">
      <c r="A352" t="inlineStr">
        <is>
          <t>A 38187-2024</t>
        </is>
      </c>
      <c r="B352" s="1" t="n">
        <v>45545.49028935185</v>
      </c>
      <c r="C352" s="1" t="n">
        <v>45929</v>
      </c>
      <c r="D352" t="inlineStr">
        <is>
          <t>VÄSTERBOTTENS LÄN</t>
        </is>
      </c>
      <c r="E352" t="inlineStr">
        <is>
          <t>VILHELMINA</t>
        </is>
      </c>
      <c r="F352" t="inlineStr">
        <is>
          <t>SCA</t>
        </is>
      </c>
      <c r="G352" t="n">
        <v>6.1</v>
      </c>
      <c r="H352" t="n">
        <v>0</v>
      </c>
      <c r="I352" t="n">
        <v>0</v>
      </c>
      <c r="J352" t="n">
        <v>0</v>
      </c>
      <c r="K352" t="n">
        <v>0</v>
      </c>
      <c r="L352" t="n">
        <v>0</v>
      </c>
      <c r="M352" t="n">
        <v>0</v>
      </c>
      <c r="N352" t="n">
        <v>0</v>
      </c>
      <c r="O352" t="n">
        <v>0</v>
      </c>
      <c r="P352" t="n">
        <v>0</v>
      </c>
      <c r="Q352" t="n">
        <v>0</v>
      </c>
      <c r="R352" s="2" t="inlineStr"/>
    </row>
    <row r="353" ht="15" customHeight="1">
      <c r="A353" t="inlineStr">
        <is>
          <t>A 37714-2024</t>
        </is>
      </c>
      <c r="B353" s="1" t="n">
        <v>45541.63569444444</v>
      </c>
      <c r="C353" s="1" t="n">
        <v>45929</v>
      </c>
      <c r="D353" t="inlineStr">
        <is>
          <t>VÄSTERBOTTENS LÄN</t>
        </is>
      </c>
      <c r="E353" t="inlineStr">
        <is>
          <t>VILHELMINA</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37715-2024</t>
        </is>
      </c>
      <c r="B354" s="1" t="n">
        <v>45541.63581018519</v>
      </c>
      <c r="C354" s="1" t="n">
        <v>45929</v>
      </c>
      <c r="D354" t="inlineStr">
        <is>
          <t>VÄSTERBOTTENS LÄN</t>
        </is>
      </c>
      <c r="E354" t="inlineStr">
        <is>
          <t>VILHELMINA</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44285-2024</t>
        </is>
      </c>
      <c r="B355" s="1" t="n">
        <v>45573</v>
      </c>
      <c r="C355" s="1" t="n">
        <v>45929</v>
      </c>
      <c r="D355" t="inlineStr">
        <is>
          <t>VÄSTERBOTTENS LÄN</t>
        </is>
      </c>
      <c r="E355" t="inlineStr">
        <is>
          <t>VILHELMINA</t>
        </is>
      </c>
      <c r="G355" t="n">
        <v>30.9</v>
      </c>
      <c r="H355" t="n">
        <v>0</v>
      </c>
      <c r="I355" t="n">
        <v>0</v>
      </c>
      <c r="J355" t="n">
        <v>0</v>
      </c>
      <c r="K355" t="n">
        <v>0</v>
      </c>
      <c r="L355" t="n">
        <v>0</v>
      </c>
      <c r="M355" t="n">
        <v>0</v>
      </c>
      <c r="N355" t="n">
        <v>0</v>
      </c>
      <c r="O355" t="n">
        <v>0</v>
      </c>
      <c r="P355" t="n">
        <v>0</v>
      </c>
      <c r="Q355" t="n">
        <v>0</v>
      </c>
      <c r="R355" s="2" t="inlineStr"/>
    </row>
    <row r="356" ht="15" customHeight="1">
      <c r="A356" t="inlineStr">
        <is>
          <t>A 40726-2024</t>
        </is>
      </c>
      <c r="B356" s="1" t="n">
        <v>45558</v>
      </c>
      <c r="C356" s="1" t="n">
        <v>45929</v>
      </c>
      <c r="D356" t="inlineStr">
        <is>
          <t>VÄSTERBOTTENS LÄN</t>
        </is>
      </c>
      <c r="E356" t="inlineStr">
        <is>
          <t>VILHELMINA</t>
        </is>
      </c>
      <c r="F356" t="inlineStr">
        <is>
          <t>Allmännings- och besparingsskogar</t>
        </is>
      </c>
      <c r="G356" t="n">
        <v>73.59999999999999</v>
      </c>
      <c r="H356" t="n">
        <v>0</v>
      </c>
      <c r="I356" t="n">
        <v>0</v>
      </c>
      <c r="J356" t="n">
        <v>0</v>
      </c>
      <c r="K356" t="n">
        <v>0</v>
      </c>
      <c r="L356" t="n">
        <v>0</v>
      </c>
      <c r="M356" t="n">
        <v>0</v>
      </c>
      <c r="N356" t="n">
        <v>0</v>
      </c>
      <c r="O356" t="n">
        <v>0</v>
      </c>
      <c r="P356" t="n">
        <v>0</v>
      </c>
      <c r="Q356" t="n">
        <v>0</v>
      </c>
      <c r="R356" s="2" t="inlineStr"/>
    </row>
    <row r="357" ht="15" customHeight="1">
      <c r="A357" t="inlineStr">
        <is>
          <t>A 64421-2023</t>
        </is>
      </c>
      <c r="B357" s="1" t="n">
        <v>45280</v>
      </c>
      <c r="C357" s="1" t="n">
        <v>45929</v>
      </c>
      <c r="D357" t="inlineStr">
        <is>
          <t>VÄSTERBOTTENS LÄN</t>
        </is>
      </c>
      <c r="E357" t="inlineStr">
        <is>
          <t>VILHELMINA</t>
        </is>
      </c>
      <c r="G357" t="n">
        <v>4.9</v>
      </c>
      <c r="H357" t="n">
        <v>0</v>
      </c>
      <c r="I357" t="n">
        <v>0</v>
      </c>
      <c r="J357" t="n">
        <v>0</v>
      </c>
      <c r="K357" t="n">
        <v>0</v>
      </c>
      <c r="L357" t="n">
        <v>0</v>
      </c>
      <c r="M357" t="n">
        <v>0</v>
      </c>
      <c r="N357" t="n">
        <v>0</v>
      </c>
      <c r="O357" t="n">
        <v>0</v>
      </c>
      <c r="P357" t="n">
        <v>0</v>
      </c>
      <c r="Q357" t="n">
        <v>0</v>
      </c>
      <c r="R357" s="2" t="inlineStr"/>
    </row>
    <row r="358" ht="15" customHeight="1">
      <c r="A358" t="inlineStr">
        <is>
          <t>A 48117-2022</t>
        </is>
      </c>
      <c r="B358" s="1" t="n">
        <v>44857</v>
      </c>
      <c r="C358" s="1" t="n">
        <v>45929</v>
      </c>
      <c r="D358" t="inlineStr">
        <is>
          <t>VÄSTERBOTTENS LÄN</t>
        </is>
      </c>
      <c r="E358" t="inlineStr">
        <is>
          <t>VILHELMINA</t>
        </is>
      </c>
      <c r="G358" t="n">
        <v>5.6</v>
      </c>
      <c r="H358" t="n">
        <v>0</v>
      </c>
      <c r="I358" t="n">
        <v>0</v>
      </c>
      <c r="J358" t="n">
        <v>0</v>
      </c>
      <c r="K358" t="n">
        <v>0</v>
      </c>
      <c r="L358" t="n">
        <v>0</v>
      </c>
      <c r="M358" t="n">
        <v>0</v>
      </c>
      <c r="N358" t="n">
        <v>0</v>
      </c>
      <c r="O358" t="n">
        <v>0</v>
      </c>
      <c r="P358" t="n">
        <v>0</v>
      </c>
      <c r="Q358" t="n">
        <v>0</v>
      </c>
      <c r="R358" s="2" t="inlineStr"/>
    </row>
    <row r="359" ht="15" customHeight="1">
      <c r="A359" t="inlineStr">
        <is>
          <t>A 4869-2023</t>
        </is>
      </c>
      <c r="B359" s="1" t="n">
        <v>44957</v>
      </c>
      <c r="C359" s="1" t="n">
        <v>45929</v>
      </c>
      <c r="D359" t="inlineStr">
        <is>
          <t>VÄSTERBOTTENS LÄN</t>
        </is>
      </c>
      <c r="E359" t="inlineStr">
        <is>
          <t>VILHELMINA</t>
        </is>
      </c>
      <c r="G359" t="n">
        <v>5.7</v>
      </c>
      <c r="H359" t="n">
        <v>0</v>
      </c>
      <c r="I359" t="n">
        <v>0</v>
      </c>
      <c r="J359" t="n">
        <v>0</v>
      </c>
      <c r="K359" t="n">
        <v>0</v>
      </c>
      <c r="L359" t="n">
        <v>0</v>
      </c>
      <c r="M359" t="n">
        <v>0</v>
      </c>
      <c r="N359" t="n">
        <v>0</v>
      </c>
      <c r="O359" t="n">
        <v>0</v>
      </c>
      <c r="P359" t="n">
        <v>0</v>
      </c>
      <c r="Q359" t="n">
        <v>0</v>
      </c>
      <c r="R359" s="2" t="inlineStr"/>
    </row>
    <row r="360" ht="15" customHeight="1">
      <c r="A360" t="inlineStr">
        <is>
          <t>A 706-2024</t>
        </is>
      </c>
      <c r="B360" s="1" t="n">
        <v>45300</v>
      </c>
      <c r="C360" s="1" t="n">
        <v>45929</v>
      </c>
      <c r="D360" t="inlineStr">
        <is>
          <t>VÄSTERBOTTENS LÄN</t>
        </is>
      </c>
      <c r="E360" t="inlineStr">
        <is>
          <t>VILHELMINA</t>
        </is>
      </c>
      <c r="G360" t="n">
        <v>2.8</v>
      </c>
      <c r="H360" t="n">
        <v>0</v>
      </c>
      <c r="I360" t="n">
        <v>0</v>
      </c>
      <c r="J360" t="n">
        <v>0</v>
      </c>
      <c r="K360" t="n">
        <v>0</v>
      </c>
      <c r="L360" t="n">
        <v>0</v>
      </c>
      <c r="M360" t="n">
        <v>0</v>
      </c>
      <c r="N360" t="n">
        <v>0</v>
      </c>
      <c r="O360" t="n">
        <v>0</v>
      </c>
      <c r="P360" t="n">
        <v>0</v>
      </c>
      <c r="Q360" t="n">
        <v>0</v>
      </c>
      <c r="R360" s="2" t="inlineStr"/>
    </row>
    <row r="361" ht="15" customHeight="1">
      <c r="A361" t="inlineStr">
        <is>
          <t>A 24828-2023</t>
        </is>
      </c>
      <c r="B361" s="1" t="n">
        <v>45084</v>
      </c>
      <c r="C361" s="1" t="n">
        <v>45929</v>
      </c>
      <c r="D361" t="inlineStr">
        <is>
          <t>VÄSTERBOTTENS LÄN</t>
        </is>
      </c>
      <c r="E361" t="inlineStr">
        <is>
          <t>VILHELMINA</t>
        </is>
      </c>
      <c r="F361" t="inlineStr">
        <is>
          <t>SCA</t>
        </is>
      </c>
      <c r="G361" t="n">
        <v>3.2</v>
      </c>
      <c r="H361" t="n">
        <v>0</v>
      </c>
      <c r="I361" t="n">
        <v>0</v>
      </c>
      <c r="J361" t="n">
        <v>0</v>
      </c>
      <c r="K361" t="n">
        <v>0</v>
      </c>
      <c r="L361" t="n">
        <v>0</v>
      </c>
      <c r="M361" t="n">
        <v>0</v>
      </c>
      <c r="N361" t="n">
        <v>0</v>
      </c>
      <c r="O361" t="n">
        <v>0</v>
      </c>
      <c r="P361" t="n">
        <v>0</v>
      </c>
      <c r="Q361" t="n">
        <v>0</v>
      </c>
      <c r="R361" s="2" t="inlineStr"/>
    </row>
    <row r="362" ht="15" customHeight="1">
      <c r="A362" t="inlineStr">
        <is>
          <t>A 34799-2023</t>
        </is>
      </c>
      <c r="B362" s="1" t="n">
        <v>45140</v>
      </c>
      <c r="C362" s="1" t="n">
        <v>45929</v>
      </c>
      <c r="D362" t="inlineStr">
        <is>
          <t>VÄSTERBOTTENS LÄN</t>
        </is>
      </c>
      <c r="E362" t="inlineStr">
        <is>
          <t>VILHELMINA</t>
        </is>
      </c>
      <c r="G362" t="n">
        <v>17.4</v>
      </c>
      <c r="H362" t="n">
        <v>0</v>
      </c>
      <c r="I362" t="n">
        <v>0</v>
      </c>
      <c r="J362" t="n">
        <v>0</v>
      </c>
      <c r="K362" t="n">
        <v>0</v>
      </c>
      <c r="L362" t="n">
        <v>0</v>
      </c>
      <c r="M362" t="n">
        <v>0</v>
      </c>
      <c r="N362" t="n">
        <v>0</v>
      </c>
      <c r="O362" t="n">
        <v>0</v>
      </c>
      <c r="P362" t="n">
        <v>0</v>
      </c>
      <c r="Q362" t="n">
        <v>0</v>
      </c>
      <c r="R362" s="2" t="inlineStr"/>
    </row>
    <row r="363" ht="15" customHeight="1">
      <c r="A363" t="inlineStr">
        <is>
          <t>A 56754-2023</t>
        </is>
      </c>
      <c r="B363" s="1" t="n">
        <v>45238</v>
      </c>
      <c r="C363" s="1" t="n">
        <v>45929</v>
      </c>
      <c r="D363" t="inlineStr">
        <is>
          <t>VÄSTERBOTTENS LÄN</t>
        </is>
      </c>
      <c r="E363" t="inlineStr">
        <is>
          <t>VILHELMINA</t>
        </is>
      </c>
      <c r="F363" t="inlineStr">
        <is>
          <t>Allmännings- och besparingsskogar</t>
        </is>
      </c>
      <c r="G363" t="n">
        <v>18</v>
      </c>
      <c r="H363" t="n">
        <v>0</v>
      </c>
      <c r="I363" t="n">
        <v>0</v>
      </c>
      <c r="J363" t="n">
        <v>0</v>
      </c>
      <c r="K363" t="n">
        <v>0</v>
      </c>
      <c r="L363" t="n">
        <v>0</v>
      </c>
      <c r="M363" t="n">
        <v>0</v>
      </c>
      <c r="N363" t="n">
        <v>0</v>
      </c>
      <c r="O363" t="n">
        <v>0</v>
      </c>
      <c r="P363" t="n">
        <v>0</v>
      </c>
      <c r="Q363" t="n">
        <v>0</v>
      </c>
      <c r="R363" s="2" t="inlineStr"/>
    </row>
    <row r="364" ht="15" customHeight="1">
      <c r="A364" t="inlineStr">
        <is>
          <t>A 30572-2024</t>
        </is>
      </c>
      <c r="B364" s="1" t="n">
        <v>45492.95777777778</v>
      </c>
      <c r="C364" s="1" t="n">
        <v>45929</v>
      </c>
      <c r="D364" t="inlineStr">
        <is>
          <t>VÄSTERBOTTENS LÄN</t>
        </is>
      </c>
      <c r="E364" t="inlineStr">
        <is>
          <t>VILHELMINA</t>
        </is>
      </c>
      <c r="F364" t="inlineStr">
        <is>
          <t>SCA</t>
        </is>
      </c>
      <c r="G364" t="n">
        <v>3.9</v>
      </c>
      <c r="H364" t="n">
        <v>0</v>
      </c>
      <c r="I364" t="n">
        <v>0</v>
      </c>
      <c r="J364" t="n">
        <v>0</v>
      </c>
      <c r="K364" t="n">
        <v>0</v>
      </c>
      <c r="L364" t="n">
        <v>0</v>
      </c>
      <c r="M364" t="n">
        <v>0</v>
      </c>
      <c r="N364" t="n">
        <v>0</v>
      </c>
      <c r="O364" t="n">
        <v>0</v>
      </c>
      <c r="P364" t="n">
        <v>0</v>
      </c>
      <c r="Q364" t="n">
        <v>0</v>
      </c>
      <c r="R364" s="2" t="inlineStr"/>
    </row>
    <row r="365" ht="15" customHeight="1">
      <c r="A365" t="inlineStr">
        <is>
          <t>A 30582-2024</t>
        </is>
      </c>
      <c r="B365" s="1" t="n">
        <v>45492</v>
      </c>
      <c r="C365" s="1" t="n">
        <v>45929</v>
      </c>
      <c r="D365" t="inlineStr">
        <is>
          <t>VÄSTERBOTTENS LÄN</t>
        </is>
      </c>
      <c r="E365" t="inlineStr">
        <is>
          <t>VILHELMINA</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55620-2024</t>
        </is>
      </c>
      <c r="B366" s="1" t="n">
        <v>45622</v>
      </c>
      <c r="C366" s="1" t="n">
        <v>45929</v>
      </c>
      <c r="D366" t="inlineStr">
        <is>
          <t>VÄSTERBOTTENS LÄN</t>
        </is>
      </c>
      <c r="E366" t="inlineStr">
        <is>
          <t>VILHELMINA</t>
        </is>
      </c>
      <c r="F366" t="inlineStr">
        <is>
          <t>SCA</t>
        </is>
      </c>
      <c r="G366" t="n">
        <v>21.4</v>
      </c>
      <c r="H366" t="n">
        <v>0</v>
      </c>
      <c r="I366" t="n">
        <v>0</v>
      </c>
      <c r="J366" t="n">
        <v>0</v>
      </c>
      <c r="K366" t="n">
        <v>0</v>
      </c>
      <c r="L366" t="n">
        <v>0</v>
      </c>
      <c r="M366" t="n">
        <v>0</v>
      </c>
      <c r="N366" t="n">
        <v>0</v>
      </c>
      <c r="O366" t="n">
        <v>0</v>
      </c>
      <c r="P366" t="n">
        <v>0</v>
      </c>
      <c r="Q366" t="n">
        <v>0</v>
      </c>
      <c r="R366" s="2" t="inlineStr"/>
    </row>
    <row r="367" ht="15" customHeight="1">
      <c r="A367" t="inlineStr">
        <is>
          <t>A 37320-2021</t>
        </is>
      </c>
      <c r="B367" s="1" t="n">
        <v>44397</v>
      </c>
      <c r="C367" s="1" t="n">
        <v>45929</v>
      </c>
      <c r="D367" t="inlineStr">
        <is>
          <t>VÄSTERBOTTENS LÄN</t>
        </is>
      </c>
      <c r="E367" t="inlineStr">
        <is>
          <t>VILHELMINA</t>
        </is>
      </c>
      <c r="F367" t="inlineStr">
        <is>
          <t>Kommuner</t>
        </is>
      </c>
      <c r="G367" t="n">
        <v>1.2</v>
      </c>
      <c r="H367" t="n">
        <v>0</v>
      </c>
      <c r="I367" t="n">
        <v>0</v>
      </c>
      <c r="J367" t="n">
        <v>0</v>
      </c>
      <c r="K367" t="n">
        <v>0</v>
      </c>
      <c r="L367" t="n">
        <v>0</v>
      </c>
      <c r="M367" t="n">
        <v>0</v>
      </c>
      <c r="N367" t="n">
        <v>0</v>
      </c>
      <c r="O367" t="n">
        <v>0</v>
      </c>
      <c r="P367" t="n">
        <v>0</v>
      </c>
      <c r="Q367" t="n">
        <v>0</v>
      </c>
      <c r="R367" s="2" t="inlineStr"/>
    </row>
    <row r="368" ht="15" customHeight="1">
      <c r="A368" t="inlineStr">
        <is>
          <t>A 32683-2024</t>
        </is>
      </c>
      <c r="B368" s="1" t="n">
        <v>45515</v>
      </c>
      <c r="C368" s="1" t="n">
        <v>45929</v>
      </c>
      <c r="D368" t="inlineStr">
        <is>
          <t>VÄSTERBOTTENS LÄN</t>
        </is>
      </c>
      <c r="E368" t="inlineStr">
        <is>
          <t>VILHELMINA</t>
        </is>
      </c>
      <c r="G368" t="n">
        <v>6.1</v>
      </c>
      <c r="H368" t="n">
        <v>0</v>
      </c>
      <c r="I368" t="n">
        <v>0</v>
      </c>
      <c r="J368" t="n">
        <v>0</v>
      </c>
      <c r="K368" t="n">
        <v>0</v>
      </c>
      <c r="L368" t="n">
        <v>0</v>
      </c>
      <c r="M368" t="n">
        <v>0</v>
      </c>
      <c r="N368" t="n">
        <v>0</v>
      </c>
      <c r="O368" t="n">
        <v>0</v>
      </c>
      <c r="P368" t="n">
        <v>0</v>
      </c>
      <c r="Q368" t="n">
        <v>0</v>
      </c>
      <c r="R368" s="2" t="inlineStr"/>
    </row>
    <row r="369" ht="15" customHeight="1">
      <c r="A369" t="inlineStr">
        <is>
          <t>A 43817-2025</t>
        </is>
      </c>
      <c r="B369" s="1" t="n">
        <v>45912</v>
      </c>
      <c r="C369" s="1" t="n">
        <v>45929</v>
      </c>
      <c r="D369" t="inlineStr">
        <is>
          <t>VÄSTERBOTTENS LÄN</t>
        </is>
      </c>
      <c r="E369" t="inlineStr">
        <is>
          <t>VILHELMINA</t>
        </is>
      </c>
      <c r="G369" t="n">
        <v>23.1</v>
      </c>
      <c r="H369" t="n">
        <v>0</v>
      </c>
      <c r="I369" t="n">
        <v>0</v>
      </c>
      <c r="J369" t="n">
        <v>0</v>
      </c>
      <c r="K369" t="n">
        <v>0</v>
      </c>
      <c r="L369" t="n">
        <v>0</v>
      </c>
      <c r="M369" t="n">
        <v>0</v>
      </c>
      <c r="N369" t="n">
        <v>0</v>
      </c>
      <c r="O369" t="n">
        <v>0</v>
      </c>
      <c r="P369" t="n">
        <v>0</v>
      </c>
      <c r="Q369" t="n">
        <v>0</v>
      </c>
      <c r="R369" s="2" t="inlineStr"/>
    </row>
    <row r="370" ht="15" customHeight="1">
      <c r="A370" t="inlineStr">
        <is>
          <t>A 6664-2021</t>
        </is>
      </c>
      <c r="B370" s="1" t="n">
        <v>44235</v>
      </c>
      <c r="C370" s="1" t="n">
        <v>45929</v>
      </c>
      <c r="D370" t="inlineStr">
        <is>
          <t>VÄSTERBOTTENS LÄN</t>
        </is>
      </c>
      <c r="E370" t="inlineStr">
        <is>
          <t>VILHELMINA</t>
        </is>
      </c>
      <c r="G370" t="n">
        <v>2.5</v>
      </c>
      <c r="H370" t="n">
        <v>0</v>
      </c>
      <c r="I370" t="n">
        <v>0</v>
      </c>
      <c r="J370" t="n">
        <v>0</v>
      </c>
      <c r="K370" t="n">
        <v>0</v>
      </c>
      <c r="L370" t="n">
        <v>0</v>
      </c>
      <c r="M370" t="n">
        <v>0</v>
      </c>
      <c r="N370" t="n">
        <v>0</v>
      </c>
      <c r="O370" t="n">
        <v>0</v>
      </c>
      <c r="P370" t="n">
        <v>0</v>
      </c>
      <c r="Q370" t="n">
        <v>0</v>
      </c>
      <c r="R370" s="2" t="inlineStr"/>
    </row>
    <row r="371" ht="15" customHeight="1">
      <c r="A371" t="inlineStr">
        <is>
          <t>A 6699-2021</t>
        </is>
      </c>
      <c r="B371" s="1" t="n">
        <v>44235</v>
      </c>
      <c r="C371" s="1" t="n">
        <v>45929</v>
      </c>
      <c r="D371" t="inlineStr">
        <is>
          <t>VÄSTERBOTTENS LÄN</t>
        </is>
      </c>
      <c r="E371" t="inlineStr">
        <is>
          <t>VILHELMINA</t>
        </is>
      </c>
      <c r="G371" t="n">
        <v>6.9</v>
      </c>
      <c r="H371" t="n">
        <v>0</v>
      </c>
      <c r="I371" t="n">
        <v>0</v>
      </c>
      <c r="J371" t="n">
        <v>0</v>
      </c>
      <c r="K371" t="n">
        <v>0</v>
      </c>
      <c r="L371" t="n">
        <v>0</v>
      </c>
      <c r="M371" t="n">
        <v>0</v>
      </c>
      <c r="N371" t="n">
        <v>0</v>
      </c>
      <c r="O371" t="n">
        <v>0</v>
      </c>
      <c r="P371" t="n">
        <v>0</v>
      </c>
      <c r="Q371" t="n">
        <v>0</v>
      </c>
      <c r="R371" s="2" t="inlineStr"/>
    </row>
    <row r="372" ht="15" customHeight="1">
      <c r="A372" t="inlineStr">
        <is>
          <t>A 55720-2023</t>
        </is>
      </c>
      <c r="B372" s="1" t="n">
        <v>45232</v>
      </c>
      <c r="C372" s="1" t="n">
        <v>45929</v>
      </c>
      <c r="D372" t="inlineStr">
        <is>
          <t>VÄSTERBOTTENS LÄN</t>
        </is>
      </c>
      <c r="E372" t="inlineStr">
        <is>
          <t>VILHELMINA</t>
        </is>
      </c>
      <c r="G372" t="n">
        <v>0.8</v>
      </c>
      <c r="H372" t="n">
        <v>0</v>
      </c>
      <c r="I372" t="n">
        <v>0</v>
      </c>
      <c r="J372" t="n">
        <v>0</v>
      </c>
      <c r="K372" t="n">
        <v>0</v>
      </c>
      <c r="L372" t="n">
        <v>0</v>
      </c>
      <c r="M372" t="n">
        <v>0</v>
      </c>
      <c r="N372" t="n">
        <v>0</v>
      </c>
      <c r="O372" t="n">
        <v>0</v>
      </c>
      <c r="P372" t="n">
        <v>0</v>
      </c>
      <c r="Q372" t="n">
        <v>0</v>
      </c>
      <c r="R372" s="2" t="inlineStr"/>
    </row>
    <row r="373" ht="15" customHeight="1">
      <c r="A373" t="inlineStr">
        <is>
          <t>A 61779-2023</t>
        </is>
      </c>
      <c r="B373" s="1" t="n">
        <v>45265.95677083333</v>
      </c>
      <c r="C373" s="1" t="n">
        <v>45929</v>
      </c>
      <c r="D373" t="inlineStr">
        <is>
          <t>VÄSTERBOTTENS LÄN</t>
        </is>
      </c>
      <c r="E373" t="inlineStr">
        <is>
          <t>VILHELMINA</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38363-2023</t>
        </is>
      </c>
      <c r="B374" s="1" t="n">
        <v>45161</v>
      </c>
      <c r="C374" s="1" t="n">
        <v>45929</v>
      </c>
      <c r="D374" t="inlineStr">
        <is>
          <t>VÄSTERBOTTENS LÄN</t>
        </is>
      </c>
      <c r="E374" t="inlineStr">
        <is>
          <t>VILHELMINA</t>
        </is>
      </c>
      <c r="F374" t="inlineStr">
        <is>
          <t>SCA</t>
        </is>
      </c>
      <c r="G374" t="n">
        <v>3.4</v>
      </c>
      <c r="H374" t="n">
        <v>0</v>
      </c>
      <c r="I374" t="n">
        <v>0</v>
      </c>
      <c r="J374" t="n">
        <v>0</v>
      </c>
      <c r="K374" t="n">
        <v>0</v>
      </c>
      <c r="L374" t="n">
        <v>0</v>
      </c>
      <c r="M374" t="n">
        <v>0</v>
      </c>
      <c r="N374" t="n">
        <v>0</v>
      </c>
      <c r="O374" t="n">
        <v>0</v>
      </c>
      <c r="P374" t="n">
        <v>0</v>
      </c>
      <c r="Q374" t="n">
        <v>0</v>
      </c>
      <c r="R374" s="2" t="inlineStr"/>
    </row>
    <row r="375" ht="15" customHeight="1">
      <c r="A375" t="inlineStr">
        <is>
          <t>A 12362-2025</t>
        </is>
      </c>
      <c r="B375" s="1" t="n">
        <v>45730</v>
      </c>
      <c r="C375" s="1" t="n">
        <v>45929</v>
      </c>
      <c r="D375" t="inlineStr">
        <is>
          <t>VÄSTERBOTTENS LÄN</t>
        </is>
      </c>
      <c r="E375" t="inlineStr">
        <is>
          <t>VILHELMINA</t>
        </is>
      </c>
      <c r="F375" t="inlineStr">
        <is>
          <t>Övriga statliga verk och myndigheter</t>
        </is>
      </c>
      <c r="G375" t="n">
        <v>6.1</v>
      </c>
      <c r="H375" t="n">
        <v>0</v>
      </c>
      <c r="I375" t="n">
        <v>0</v>
      </c>
      <c r="J375" t="n">
        <v>0</v>
      </c>
      <c r="K375" t="n">
        <v>0</v>
      </c>
      <c r="L375" t="n">
        <v>0</v>
      </c>
      <c r="M375" t="n">
        <v>0</v>
      </c>
      <c r="N375" t="n">
        <v>0</v>
      </c>
      <c r="O375" t="n">
        <v>0</v>
      </c>
      <c r="P375" t="n">
        <v>0</v>
      </c>
      <c r="Q375" t="n">
        <v>0</v>
      </c>
      <c r="R375" s="2" t="inlineStr"/>
    </row>
    <row r="376" ht="15" customHeight="1">
      <c r="A376" t="inlineStr">
        <is>
          <t>A 52740-2023</t>
        </is>
      </c>
      <c r="B376" s="1" t="n">
        <v>45225</v>
      </c>
      <c r="C376" s="1" t="n">
        <v>45929</v>
      </c>
      <c r="D376" t="inlineStr">
        <is>
          <t>VÄSTERBOTTENS LÄN</t>
        </is>
      </c>
      <c r="E376" t="inlineStr">
        <is>
          <t>VILHELMINA</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12763-2025</t>
        </is>
      </c>
      <c r="B377" s="1" t="n">
        <v>45733</v>
      </c>
      <c r="C377" s="1" t="n">
        <v>45929</v>
      </c>
      <c r="D377" t="inlineStr">
        <is>
          <t>VÄSTERBOTTENS LÄN</t>
        </is>
      </c>
      <c r="E377" t="inlineStr">
        <is>
          <t>VILHELMINA</t>
        </is>
      </c>
      <c r="F377" t="inlineStr">
        <is>
          <t>SCA</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46547-2023</t>
        </is>
      </c>
      <c r="B378" s="1" t="n">
        <v>45197.94158564815</v>
      </c>
      <c r="C378" s="1" t="n">
        <v>45929</v>
      </c>
      <c r="D378" t="inlineStr">
        <is>
          <t>VÄSTERBOTTENS LÄN</t>
        </is>
      </c>
      <c r="E378" t="inlineStr">
        <is>
          <t>VILHELMINA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12364-2025</t>
        </is>
      </c>
      <c r="B379" s="1" t="n">
        <v>45730.37515046296</v>
      </c>
      <c r="C379" s="1" t="n">
        <v>45929</v>
      </c>
      <c r="D379" t="inlineStr">
        <is>
          <t>VÄSTERBOTTENS LÄN</t>
        </is>
      </c>
      <c r="E379" t="inlineStr">
        <is>
          <t>VILHELMINA</t>
        </is>
      </c>
      <c r="F379" t="inlineStr">
        <is>
          <t>Övriga statliga verk och myndigheter</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12377-2025</t>
        </is>
      </c>
      <c r="B380" s="1" t="n">
        <v>45730</v>
      </c>
      <c r="C380" s="1" t="n">
        <v>45929</v>
      </c>
      <c r="D380" t="inlineStr">
        <is>
          <t>VÄSTERBOTTENS LÄN</t>
        </is>
      </c>
      <c r="E380" t="inlineStr">
        <is>
          <t>VILHELMINA</t>
        </is>
      </c>
      <c r="F380" t="inlineStr">
        <is>
          <t>Övriga statliga verk och myndigheter</t>
        </is>
      </c>
      <c r="G380" t="n">
        <v>37.1</v>
      </c>
      <c r="H380" t="n">
        <v>0</v>
      </c>
      <c r="I380" t="n">
        <v>0</v>
      </c>
      <c r="J380" t="n">
        <v>0</v>
      </c>
      <c r="K380" t="n">
        <v>0</v>
      </c>
      <c r="L380" t="n">
        <v>0</v>
      </c>
      <c r="M380" t="n">
        <v>0</v>
      </c>
      <c r="N380" t="n">
        <v>0</v>
      </c>
      <c r="O380" t="n">
        <v>0</v>
      </c>
      <c r="P380" t="n">
        <v>0</v>
      </c>
      <c r="Q380" t="n">
        <v>0</v>
      </c>
      <c r="R380" s="2" t="inlineStr"/>
    </row>
    <row r="381" ht="15" customHeight="1">
      <c r="A381" t="inlineStr">
        <is>
          <t>A 59671-2023</t>
        </is>
      </c>
      <c r="B381" s="1" t="n">
        <v>45254.96524305556</v>
      </c>
      <c r="C381" s="1" t="n">
        <v>45929</v>
      </c>
      <c r="D381" t="inlineStr">
        <is>
          <t>VÄSTERBOTTENS LÄN</t>
        </is>
      </c>
      <c r="E381" t="inlineStr">
        <is>
          <t>VILHELMINA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61920-2020</t>
        </is>
      </c>
      <c r="B382" s="1" t="n">
        <v>44155</v>
      </c>
      <c r="C382" s="1" t="n">
        <v>45929</v>
      </c>
      <c r="D382" t="inlineStr">
        <is>
          <t>VÄSTERBOTTENS LÄN</t>
        </is>
      </c>
      <c r="E382" t="inlineStr">
        <is>
          <t>VILHELMINA</t>
        </is>
      </c>
      <c r="G382" t="n">
        <v>7.7</v>
      </c>
      <c r="H382" t="n">
        <v>0</v>
      </c>
      <c r="I382" t="n">
        <v>0</v>
      </c>
      <c r="J382" t="n">
        <v>0</v>
      </c>
      <c r="K382" t="n">
        <v>0</v>
      </c>
      <c r="L382" t="n">
        <v>0</v>
      </c>
      <c r="M382" t="n">
        <v>0</v>
      </c>
      <c r="N382" t="n">
        <v>0</v>
      </c>
      <c r="O382" t="n">
        <v>0</v>
      </c>
      <c r="P382" t="n">
        <v>0</v>
      </c>
      <c r="Q382" t="n">
        <v>0</v>
      </c>
      <c r="R382" s="2" t="inlineStr"/>
    </row>
    <row r="383" ht="15" customHeight="1">
      <c r="A383" t="inlineStr">
        <is>
          <t>A 8726-2023</t>
        </is>
      </c>
      <c r="B383" s="1" t="n">
        <v>44972</v>
      </c>
      <c r="C383" s="1" t="n">
        <v>45929</v>
      </c>
      <c r="D383" t="inlineStr">
        <is>
          <t>VÄSTERBOTTENS LÄN</t>
        </is>
      </c>
      <c r="E383" t="inlineStr">
        <is>
          <t>VILHELMINA</t>
        </is>
      </c>
      <c r="F383" t="inlineStr">
        <is>
          <t>Allmännings- och besparingsskogar</t>
        </is>
      </c>
      <c r="G383" t="n">
        <v>50</v>
      </c>
      <c r="H383" t="n">
        <v>0</v>
      </c>
      <c r="I383" t="n">
        <v>0</v>
      </c>
      <c r="J383" t="n">
        <v>0</v>
      </c>
      <c r="K383" t="n">
        <v>0</v>
      </c>
      <c r="L383" t="n">
        <v>0</v>
      </c>
      <c r="M383" t="n">
        <v>0</v>
      </c>
      <c r="N383" t="n">
        <v>0</v>
      </c>
      <c r="O383" t="n">
        <v>0</v>
      </c>
      <c r="P383" t="n">
        <v>0</v>
      </c>
      <c r="Q383" t="n">
        <v>0</v>
      </c>
      <c r="R383" s="2" t="inlineStr"/>
    </row>
    <row r="384" ht="15" customHeight="1">
      <c r="A384" t="inlineStr">
        <is>
          <t>A 54430-2024</t>
        </is>
      </c>
      <c r="B384" s="1" t="n">
        <v>45617.49107638889</v>
      </c>
      <c r="C384" s="1" t="n">
        <v>45929</v>
      </c>
      <c r="D384" t="inlineStr">
        <is>
          <t>VÄSTERBOTTENS LÄN</t>
        </is>
      </c>
      <c r="E384" t="inlineStr">
        <is>
          <t>VILHELMINA</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14959-2022</t>
        </is>
      </c>
      <c r="B385" s="1" t="n">
        <v>44657</v>
      </c>
      <c r="C385" s="1" t="n">
        <v>45929</v>
      </c>
      <c r="D385" t="inlineStr">
        <is>
          <t>VÄSTERBOTTENS LÄN</t>
        </is>
      </c>
      <c r="E385" t="inlineStr">
        <is>
          <t>VILHELMINA</t>
        </is>
      </c>
      <c r="G385" t="n">
        <v>71.8</v>
      </c>
      <c r="H385" t="n">
        <v>0</v>
      </c>
      <c r="I385" t="n">
        <v>0</v>
      </c>
      <c r="J385" t="n">
        <v>0</v>
      </c>
      <c r="K385" t="n">
        <v>0</v>
      </c>
      <c r="L385" t="n">
        <v>0</v>
      </c>
      <c r="M385" t="n">
        <v>0</v>
      </c>
      <c r="N385" t="n">
        <v>0</v>
      </c>
      <c r="O385" t="n">
        <v>0</v>
      </c>
      <c r="P385" t="n">
        <v>0</v>
      </c>
      <c r="Q385" t="n">
        <v>0</v>
      </c>
      <c r="R385" s="2" t="inlineStr"/>
    </row>
    <row r="386" ht="15" customHeight="1">
      <c r="A386" t="inlineStr">
        <is>
          <t>A 29463-2024</t>
        </is>
      </c>
      <c r="B386" s="1" t="n">
        <v>45483.96994212963</v>
      </c>
      <c r="C386" s="1" t="n">
        <v>45929</v>
      </c>
      <c r="D386" t="inlineStr">
        <is>
          <t>VÄSTERBOTTENS LÄN</t>
        </is>
      </c>
      <c r="E386" t="inlineStr">
        <is>
          <t>VILHELMINA</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36348-2024</t>
        </is>
      </c>
      <c r="B387" s="1" t="n">
        <v>45534.64422453703</v>
      </c>
      <c r="C387" s="1" t="n">
        <v>45929</v>
      </c>
      <c r="D387" t="inlineStr">
        <is>
          <t>VÄSTERBOTTENS LÄN</t>
        </is>
      </c>
      <c r="E387" t="inlineStr">
        <is>
          <t>VILHELMINA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36355-2024</t>
        </is>
      </c>
      <c r="B388" s="1" t="n">
        <v>45534.64508101852</v>
      </c>
      <c r="C388" s="1" t="n">
        <v>45929</v>
      </c>
      <c r="D388" t="inlineStr">
        <is>
          <t>VÄSTERBOTTENS LÄN</t>
        </is>
      </c>
      <c r="E388" t="inlineStr">
        <is>
          <t>VILHELMINA</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32253-2024</t>
        </is>
      </c>
      <c r="B389" s="1" t="n">
        <v>45511.95214120371</v>
      </c>
      <c r="C389" s="1" t="n">
        <v>45929</v>
      </c>
      <c r="D389" t="inlineStr">
        <is>
          <t>VÄSTERBOTTENS LÄN</t>
        </is>
      </c>
      <c r="E389" t="inlineStr">
        <is>
          <t>VILHELMINA</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57795-2023</t>
        </is>
      </c>
      <c r="B390" s="1" t="n">
        <v>45246.96861111111</v>
      </c>
      <c r="C390" s="1" t="n">
        <v>45929</v>
      </c>
      <c r="D390" t="inlineStr">
        <is>
          <t>VÄSTERBOTTENS LÄN</t>
        </is>
      </c>
      <c r="E390" t="inlineStr">
        <is>
          <t>VILHELMINA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2187-2021</t>
        </is>
      </c>
      <c r="B391" s="1" t="n">
        <v>44211</v>
      </c>
      <c r="C391" s="1" t="n">
        <v>45929</v>
      </c>
      <c r="D391" t="inlineStr">
        <is>
          <t>VÄSTERBOTTENS LÄN</t>
        </is>
      </c>
      <c r="E391" t="inlineStr">
        <is>
          <t>VILHELMINA</t>
        </is>
      </c>
      <c r="F391" t="inlineStr">
        <is>
          <t>Allmännings- och besparingsskogar</t>
        </is>
      </c>
      <c r="G391" t="n">
        <v>21.3</v>
      </c>
      <c r="H391" t="n">
        <v>0</v>
      </c>
      <c r="I391" t="n">
        <v>0</v>
      </c>
      <c r="J391" t="n">
        <v>0</v>
      </c>
      <c r="K391" t="n">
        <v>0</v>
      </c>
      <c r="L391" t="n">
        <v>0</v>
      </c>
      <c r="M391" t="n">
        <v>0</v>
      </c>
      <c r="N391" t="n">
        <v>0</v>
      </c>
      <c r="O391" t="n">
        <v>0</v>
      </c>
      <c r="P391" t="n">
        <v>0</v>
      </c>
      <c r="Q391" t="n">
        <v>0</v>
      </c>
      <c r="R391" s="2" t="inlineStr"/>
    </row>
    <row r="392" ht="15" customHeight="1">
      <c r="A392" t="inlineStr">
        <is>
          <t>A 36569-2025</t>
        </is>
      </c>
      <c r="B392" s="1" t="n">
        <v>45870</v>
      </c>
      <c r="C392" s="1" t="n">
        <v>45929</v>
      </c>
      <c r="D392" t="inlineStr">
        <is>
          <t>VÄSTERBOTTENS LÄN</t>
        </is>
      </c>
      <c r="E392" t="inlineStr">
        <is>
          <t>VILHELMINA</t>
        </is>
      </c>
      <c r="F392" t="inlineStr">
        <is>
          <t>SCA</t>
        </is>
      </c>
      <c r="G392" t="n">
        <v>5.1</v>
      </c>
      <c r="H392" t="n">
        <v>0</v>
      </c>
      <c r="I392" t="n">
        <v>0</v>
      </c>
      <c r="J392" t="n">
        <v>0</v>
      </c>
      <c r="K392" t="n">
        <v>0</v>
      </c>
      <c r="L392" t="n">
        <v>0</v>
      </c>
      <c r="M392" t="n">
        <v>0</v>
      </c>
      <c r="N392" t="n">
        <v>0</v>
      </c>
      <c r="O392" t="n">
        <v>0</v>
      </c>
      <c r="P392" t="n">
        <v>0</v>
      </c>
      <c r="Q392" t="n">
        <v>0</v>
      </c>
      <c r="R392" s="2" t="inlineStr"/>
    </row>
    <row r="393" ht="15" customHeight="1">
      <c r="A393" t="inlineStr">
        <is>
          <t>A 52174-2020</t>
        </is>
      </c>
      <c r="B393" s="1" t="n">
        <v>44105</v>
      </c>
      <c r="C393" s="1" t="n">
        <v>45929</v>
      </c>
      <c r="D393" t="inlineStr">
        <is>
          <t>VÄSTERBOTTENS LÄN</t>
        </is>
      </c>
      <c r="E393" t="inlineStr">
        <is>
          <t>VILHELMINA</t>
        </is>
      </c>
      <c r="G393" t="n">
        <v>3</v>
      </c>
      <c r="H393" t="n">
        <v>0</v>
      </c>
      <c r="I393" t="n">
        <v>0</v>
      </c>
      <c r="J393" t="n">
        <v>0</v>
      </c>
      <c r="K393" t="n">
        <v>0</v>
      </c>
      <c r="L393" t="n">
        <v>0</v>
      </c>
      <c r="M393" t="n">
        <v>0</v>
      </c>
      <c r="N393" t="n">
        <v>0</v>
      </c>
      <c r="O393" t="n">
        <v>0</v>
      </c>
      <c r="P393" t="n">
        <v>0</v>
      </c>
      <c r="Q393" t="n">
        <v>0</v>
      </c>
      <c r="R393" s="2" t="inlineStr"/>
    </row>
    <row r="394" ht="15" customHeight="1">
      <c r="A394" t="inlineStr">
        <is>
          <t>A 12825-2023</t>
        </is>
      </c>
      <c r="B394" s="1" t="n">
        <v>45000</v>
      </c>
      <c r="C394" s="1" t="n">
        <v>45929</v>
      </c>
      <c r="D394" t="inlineStr">
        <is>
          <t>VÄSTERBOTTENS LÄN</t>
        </is>
      </c>
      <c r="E394" t="inlineStr">
        <is>
          <t>VILHELMINA</t>
        </is>
      </c>
      <c r="G394" t="n">
        <v>22.4</v>
      </c>
      <c r="H394" t="n">
        <v>0</v>
      </c>
      <c r="I394" t="n">
        <v>0</v>
      </c>
      <c r="J394" t="n">
        <v>0</v>
      </c>
      <c r="K394" t="n">
        <v>0</v>
      </c>
      <c r="L394" t="n">
        <v>0</v>
      </c>
      <c r="M394" t="n">
        <v>0</v>
      </c>
      <c r="N394" t="n">
        <v>0</v>
      </c>
      <c r="O394" t="n">
        <v>0</v>
      </c>
      <c r="P394" t="n">
        <v>0</v>
      </c>
      <c r="Q394" t="n">
        <v>0</v>
      </c>
      <c r="R394" s="2" t="inlineStr"/>
    </row>
    <row r="395" ht="15" customHeight="1">
      <c r="A395" t="inlineStr">
        <is>
          <t>A 28380-2023</t>
        </is>
      </c>
      <c r="B395" s="1" t="n">
        <v>45099</v>
      </c>
      <c r="C395" s="1" t="n">
        <v>45929</v>
      </c>
      <c r="D395" t="inlineStr">
        <is>
          <t>VÄSTERBOTTENS LÄN</t>
        </is>
      </c>
      <c r="E395" t="inlineStr">
        <is>
          <t>VILHELMINA</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37912-2025</t>
        </is>
      </c>
      <c r="B396" s="1" t="n">
        <v>45880</v>
      </c>
      <c r="C396" s="1" t="n">
        <v>45929</v>
      </c>
      <c r="D396" t="inlineStr">
        <is>
          <t>VÄSTERBOTTENS LÄN</t>
        </is>
      </c>
      <c r="E396" t="inlineStr">
        <is>
          <t>VILHELMINA</t>
        </is>
      </c>
      <c r="F396" t="inlineStr">
        <is>
          <t>SCA</t>
        </is>
      </c>
      <c r="G396" t="n">
        <v>23.9</v>
      </c>
      <c r="H396" t="n">
        <v>0</v>
      </c>
      <c r="I396" t="n">
        <v>0</v>
      </c>
      <c r="J396" t="n">
        <v>0</v>
      </c>
      <c r="K396" t="n">
        <v>0</v>
      </c>
      <c r="L396" t="n">
        <v>0</v>
      </c>
      <c r="M396" t="n">
        <v>0</v>
      </c>
      <c r="N396" t="n">
        <v>0</v>
      </c>
      <c r="O396" t="n">
        <v>0</v>
      </c>
      <c r="P396" t="n">
        <v>0</v>
      </c>
      <c r="Q396" t="n">
        <v>0</v>
      </c>
      <c r="R396" s="2" t="inlineStr"/>
    </row>
    <row r="397" ht="15" customHeight="1">
      <c r="A397" t="inlineStr">
        <is>
          <t>A 65151-2021</t>
        </is>
      </c>
      <c r="B397" s="1" t="n">
        <v>44515</v>
      </c>
      <c r="C397" s="1" t="n">
        <v>45929</v>
      </c>
      <c r="D397" t="inlineStr">
        <is>
          <t>VÄSTERBOTTENS LÄN</t>
        </is>
      </c>
      <c r="E397" t="inlineStr">
        <is>
          <t>VILHELMINA</t>
        </is>
      </c>
      <c r="G397" t="n">
        <v>11.8</v>
      </c>
      <c r="H397" t="n">
        <v>0</v>
      </c>
      <c r="I397" t="n">
        <v>0</v>
      </c>
      <c r="J397" t="n">
        <v>0</v>
      </c>
      <c r="K397" t="n">
        <v>0</v>
      </c>
      <c r="L397" t="n">
        <v>0</v>
      </c>
      <c r="M397" t="n">
        <v>0</v>
      </c>
      <c r="N397" t="n">
        <v>0</v>
      </c>
      <c r="O397" t="n">
        <v>0</v>
      </c>
      <c r="P397" t="n">
        <v>0</v>
      </c>
      <c r="Q397" t="n">
        <v>0</v>
      </c>
      <c r="R397" s="2" t="inlineStr"/>
    </row>
    <row r="398" ht="15" customHeight="1">
      <c r="A398" t="inlineStr">
        <is>
          <t>A 65159-2021</t>
        </is>
      </c>
      <c r="B398" s="1" t="n">
        <v>44515</v>
      </c>
      <c r="C398" s="1" t="n">
        <v>45929</v>
      </c>
      <c r="D398" t="inlineStr">
        <is>
          <t>VÄSTERBOTTENS LÄN</t>
        </is>
      </c>
      <c r="E398" t="inlineStr">
        <is>
          <t>VILHELMINA</t>
        </is>
      </c>
      <c r="G398" t="n">
        <v>5</v>
      </c>
      <c r="H398" t="n">
        <v>0</v>
      </c>
      <c r="I398" t="n">
        <v>0</v>
      </c>
      <c r="J398" t="n">
        <v>0</v>
      </c>
      <c r="K398" t="n">
        <v>0</v>
      </c>
      <c r="L398" t="n">
        <v>0</v>
      </c>
      <c r="M398" t="n">
        <v>0</v>
      </c>
      <c r="N398" t="n">
        <v>0</v>
      </c>
      <c r="O398" t="n">
        <v>0</v>
      </c>
      <c r="P398" t="n">
        <v>0</v>
      </c>
      <c r="Q398" t="n">
        <v>0</v>
      </c>
      <c r="R398" s="2" t="inlineStr"/>
    </row>
    <row r="399" ht="15" customHeight="1">
      <c r="A399" t="inlineStr">
        <is>
          <t>A 19349-2024</t>
        </is>
      </c>
      <c r="B399" s="1" t="n">
        <v>45428.97231481481</v>
      </c>
      <c r="C399" s="1" t="n">
        <v>45929</v>
      </c>
      <c r="D399" t="inlineStr">
        <is>
          <t>VÄSTERBOTTENS LÄN</t>
        </is>
      </c>
      <c r="E399" t="inlineStr">
        <is>
          <t>VILHELMINA</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62405-2022</t>
        </is>
      </c>
      <c r="B400" s="1" t="n">
        <v>44923</v>
      </c>
      <c r="C400" s="1" t="n">
        <v>45929</v>
      </c>
      <c r="D400" t="inlineStr">
        <is>
          <t>VÄSTERBOTTENS LÄN</t>
        </is>
      </c>
      <c r="E400" t="inlineStr">
        <is>
          <t>VILHELMINA</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49886-2024</t>
        </is>
      </c>
      <c r="B401" s="1" t="n">
        <v>45597</v>
      </c>
      <c r="C401" s="1" t="n">
        <v>45929</v>
      </c>
      <c r="D401" t="inlineStr">
        <is>
          <t>VÄSTERBOTTENS LÄN</t>
        </is>
      </c>
      <c r="E401" t="inlineStr">
        <is>
          <t>VILHELMINA</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36973-2025</t>
        </is>
      </c>
      <c r="B402" s="1" t="n">
        <v>45874.63747685185</v>
      </c>
      <c r="C402" s="1" t="n">
        <v>45929</v>
      </c>
      <c r="D402" t="inlineStr">
        <is>
          <t>VÄSTERBOTTENS LÄN</t>
        </is>
      </c>
      <c r="E402" t="inlineStr">
        <is>
          <t>VILHELMINA</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8555-2023</t>
        </is>
      </c>
      <c r="B403" s="1" t="n">
        <v>44972</v>
      </c>
      <c r="C403" s="1" t="n">
        <v>45929</v>
      </c>
      <c r="D403" t="inlineStr">
        <is>
          <t>VÄSTERBOTTENS LÄN</t>
        </is>
      </c>
      <c r="E403" t="inlineStr">
        <is>
          <t>VILHELMINA</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18692-2023</t>
        </is>
      </c>
      <c r="B404" s="1" t="n">
        <v>45042</v>
      </c>
      <c r="C404" s="1" t="n">
        <v>45929</v>
      </c>
      <c r="D404" t="inlineStr">
        <is>
          <t>VÄSTERBOTTENS LÄN</t>
        </is>
      </c>
      <c r="E404" t="inlineStr">
        <is>
          <t>VILHELMINA</t>
        </is>
      </c>
      <c r="F404" t="inlineStr">
        <is>
          <t>Allmännings- och besparingsskogar</t>
        </is>
      </c>
      <c r="G404" t="n">
        <v>0.6</v>
      </c>
      <c r="H404" t="n">
        <v>0</v>
      </c>
      <c r="I404" t="n">
        <v>0</v>
      </c>
      <c r="J404" t="n">
        <v>0</v>
      </c>
      <c r="K404" t="n">
        <v>0</v>
      </c>
      <c r="L404" t="n">
        <v>0</v>
      </c>
      <c r="M404" t="n">
        <v>0</v>
      </c>
      <c r="N404" t="n">
        <v>0</v>
      </c>
      <c r="O404" t="n">
        <v>0</v>
      </c>
      <c r="P404" t="n">
        <v>0</v>
      </c>
      <c r="Q404" t="n">
        <v>0</v>
      </c>
      <c r="R404" s="2" t="inlineStr"/>
    </row>
    <row r="405" ht="15" customHeight="1">
      <c r="A405" t="inlineStr">
        <is>
          <t>A 36669-2025</t>
        </is>
      </c>
      <c r="B405" s="1" t="n">
        <v>45873</v>
      </c>
      <c r="C405" s="1" t="n">
        <v>45929</v>
      </c>
      <c r="D405" t="inlineStr">
        <is>
          <t>VÄSTERBOTTENS LÄN</t>
        </is>
      </c>
      <c r="E405" t="inlineStr">
        <is>
          <t>VILHELMINA</t>
        </is>
      </c>
      <c r="G405" t="n">
        <v>12.5</v>
      </c>
      <c r="H405" t="n">
        <v>0</v>
      </c>
      <c r="I405" t="n">
        <v>0</v>
      </c>
      <c r="J405" t="n">
        <v>0</v>
      </c>
      <c r="K405" t="n">
        <v>0</v>
      </c>
      <c r="L405" t="n">
        <v>0</v>
      </c>
      <c r="M405" t="n">
        <v>0</v>
      </c>
      <c r="N405" t="n">
        <v>0</v>
      </c>
      <c r="O405" t="n">
        <v>0</v>
      </c>
      <c r="P405" t="n">
        <v>0</v>
      </c>
      <c r="Q405" t="n">
        <v>0</v>
      </c>
      <c r="R405" s="2" t="inlineStr"/>
    </row>
    <row r="406" ht="15" customHeight="1">
      <c r="A406" t="inlineStr">
        <is>
          <t>A 58363-2021</t>
        </is>
      </c>
      <c r="B406" s="1" t="n">
        <v>44488</v>
      </c>
      <c r="C406" s="1" t="n">
        <v>45929</v>
      </c>
      <c r="D406" t="inlineStr">
        <is>
          <t>VÄSTERBOTTENS LÄN</t>
        </is>
      </c>
      <c r="E406" t="inlineStr">
        <is>
          <t>VILHELMINA</t>
        </is>
      </c>
      <c r="G406" t="n">
        <v>7.3</v>
      </c>
      <c r="H406" t="n">
        <v>0</v>
      </c>
      <c r="I406" t="n">
        <v>0</v>
      </c>
      <c r="J406" t="n">
        <v>0</v>
      </c>
      <c r="K406" t="n">
        <v>0</v>
      </c>
      <c r="L406" t="n">
        <v>0</v>
      </c>
      <c r="M406" t="n">
        <v>0</v>
      </c>
      <c r="N406" t="n">
        <v>0</v>
      </c>
      <c r="O406" t="n">
        <v>0</v>
      </c>
      <c r="P406" t="n">
        <v>0</v>
      </c>
      <c r="Q406" t="n">
        <v>0</v>
      </c>
      <c r="R406" s="2" t="inlineStr"/>
    </row>
    <row r="407" ht="15" customHeight="1">
      <c r="A407" t="inlineStr">
        <is>
          <t>A 8750-2021</t>
        </is>
      </c>
      <c r="B407" s="1" t="n">
        <v>44246</v>
      </c>
      <c r="C407" s="1" t="n">
        <v>45929</v>
      </c>
      <c r="D407" t="inlineStr">
        <is>
          <t>VÄSTERBOTTENS LÄN</t>
        </is>
      </c>
      <c r="E407" t="inlineStr">
        <is>
          <t>VILHELMINA</t>
        </is>
      </c>
      <c r="G407" t="n">
        <v>5.2</v>
      </c>
      <c r="H407" t="n">
        <v>0</v>
      </c>
      <c r="I407" t="n">
        <v>0</v>
      </c>
      <c r="J407" t="n">
        <v>0</v>
      </c>
      <c r="K407" t="n">
        <v>0</v>
      </c>
      <c r="L407" t="n">
        <v>0</v>
      </c>
      <c r="M407" t="n">
        <v>0</v>
      </c>
      <c r="N407" t="n">
        <v>0</v>
      </c>
      <c r="O407" t="n">
        <v>0</v>
      </c>
      <c r="P407" t="n">
        <v>0</v>
      </c>
      <c r="Q407" t="n">
        <v>0</v>
      </c>
      <c r="R407" s="2" t="inlineStr"/>
    </row>
    <row r="408" ht="15" customHeight="1">
      <c r="A408" t="inlineStr">
        <is>
          <t>A 51134-2024</t>
        </is>
      </c>
      <c r="B408" s="1" t="n">
        <v>45603</v>
      </c>
      <c r="C408" s="1" t="n">
        <v>45929</v>
      </c>
      <c r="D408" t="inlineStr">
        <is>
          <t>VÄSTERBOTTENS LÄN</t>
        </is>
      </c>
      <c r="E408" t="inlineStr">
        <is>
          <t>VILHELMINA</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60682-2022</t>
        </is>
      </c>
      <c r="B409" s="1" t="n">
        <v>44911.94</v>
      </c>
      <c r="C409" s="1" t="n">
        <v>45929</v>
      </c>
      <c r="D409" t="inlineStr">
        <is>
          <t>VÄSTERBOTTENS LÄN</t>
        </is>
      </c>
      <c r="E409" t="inlineStr">
        <is>
          <t>VILHELMINA</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36944-2025</t>
        </is>
      </c>
      <c r="B410" s="1" t="n">
        <v>45874.59450231482</v>
      </c>
      <c r="C410" s="1" t="n">
        <v>45929</v>
      </c>
      <c r="D410" t="inlineStr">
        <is>
          <t>VÄSTERBOTTENS LÄN</t>
        </is>
      </c>
      <c r="E410" t="inlineStr">
        <is>
          <t>VILHELMINA</t>
        </is>
      </c>
      <c r="F410" t="inlineStr">
        <is>
          <t>SCA</t>
        </is>
      </c>
      <c r="G410" t="n">
        <v>17.4</v>
      </c>
      <c r="H410" t="n">
        <v>0</v>
      </c>
      <c r="I410" t="n">
        <v>0</v>
      </c>
      <c r="J410" t="n">
        <v>0</v>
      </c>
      <c r="K410" t="n">
        <v>0</v>
      </c>
      <c r="L410" t="n">
        <v>0</v>
      </c>
      <c r="M410" t="n">
        <v>0</v>
      </c>
      <c r="N410" t="n">
        <v>0</v>
      </c>
      <c r="O410" t="n">
        <v>0</v>
      </c>
      <c r="P410" t="n">
        <v>0</v>
      </c>
      <c r="Q410" t="n">
        <v>0</v>
      </c>
      <c r="R410" s="2" t="inlineStr"/>
    </row>
    <row r="411" ht="15" customHeight="1">
      <c r="A411" t="inlineStr">
        <is>
          <t>A 37015-2025</t>
        </is>
      </c>
      <c r="B411" s="1" t="n">
        <v>45874.71912037037</v>
      </c>
      <c r="C411" s="1" t="n">
        <v>45929</v>
      </c>
      <c r="D411" t="inlineStr">
        <is>
          <t>VÄSTERBOTTENS LÄN</t>
        </is>
      </c>
      <c r="E411" t="inlineStr">
        <is>
          <t>VILHELMINA</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50635-2021</t>
        </is>
      </c>
      <c r="B412" s="1" t="n">
        <v>44459.71978009259</v>
      </c>
      <c r="C412" s="1" t="n">
        <v>45929</v>
      </c>
      <c r="D412" t="inlineStr">
        <is>
          <t>VÄSTERBOTTENS LÄN</t>
        </is>
      </c>
      <c r="E412" t="inlineStr">
        <is>
          <t>VILHELMINA</t>
        </is>
      </c>
      <c r="F412" t="inlineStr">
        <is>
          <t>Kommuner</t>
        </is>
      </c>
      <c r="G412" t="n">
        <v>11</v>
      </c>
      <c r="H412" t="n">
        <v>0</v>
      </c>
      <c r="I412" t="n">
        <v>0</v>
      </c>
      <c r="J412" t="n">
        <v>0</v>
      </c>
      <c r="K412" t="n">
        <v>0</v>
      </c>
      <c r="L412" t="n">
        <v>0</v>
      </c>
      <c r="M412" t="n">
        <v>0</v>
      </c>
      <c r="N412" t="n">
        <v>0</v>
      </c>
      <c r="O412" t="n">
        <v>0</v>
      </c>
      <c r="P412" t="n">
        <v>0</v>
      </c>
      <c r="Q412" t="n">
        <v>0</v>
      </c>
      <c r="R412" s="2" t="inlineStr"/>
    </row>
    <row r="413" ht="15" customHeight="1">
      <c r="A413" t="inlineStr">
        <is>
          <t>A 6706-2021</t>
        </is>
      </c>
      <c r="B413" s="1" t="n">
        <v>44235</v>
      </c>
      <c r="C413" s="1" t="n">
        <v>45929</v>
      </c>
      <c r="D413" t="inlineStr">
        <is>
          <t>VÄSTERBOTTENS LÄN</t>
        </is>
      </c>
      <c r="E413" t="inlineStr">
        <is>
          <t>VILHELMINA</t>
        </is>
      </c>
      <c r="G413" t="n">
        <v>3.8</v>
      </c>
      <c r="H413" t="n">
        <v>0</v>
      </c>
      <c r="I413" t="n">
        <v>0</v>
      </c>
      <c r="J413" t="n">
        <v>0</v>
      </c>
      <c r="K413" t="n">
        <v>0</v>
      </c>
      <c r="L413" t="n">
        <v>0</v>
      </c>
      <c r="M413" t="n">
        <v>0</v>
      </c>
      <c r="N413" t="n">
        <v>0</v>
      </c>
      <c r="O413" t="n">
        <v>0</v>
      </c>
      <c r="P413" t="n">
        <v>0</v>
      </c>
      <c r="Q413" t="n">
        <v>0</v>
      </c>
      <c r="R413" s="2" t="inlineStr"/>
    </row>
    <row r="414" ht="15" customHeight="1">
      <c r="A414" t="inlineStr">
        <is>
          <t>A 53606-2024</t>
        </is>
      </c>
      <c r="B414" s="1" t="n">
        <v>45614</v>
      </c>
      <c r="C414" s="1" t="n">
        <v>45929</v>
      </c>
      <c r="D414" t="inlineStr">
        <is>
          <t>VÄSTERBOTTENS LÄN</t>
        </is>
      </c>
      <c r="E414" t="inlineStr">
        <is>
          <t>VILHELMINA</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28870-2024</t>
        </is>
      </c>
      <c r="B415" s="1" t="n">
        <v>45478.94733796296</v>
      </c>
      <c r="C415" s="1" t="n">
        <v>45929</v>
      </c>
      <c r="D415" t="inlineStr">
        <is>
          <t>VÄSTERBOTTENS LÄN</t>
        </is>
      </c>
      <c r="E415" t="inlineStr">
        <is>
          <t>VILHELMINA</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33786-2024</t>
        </is>
      </c>
      <c r="B416" s="1" t="n">
        <v>45520.58966435185</v>
      </c>
      <c r="C416" s="1" t="n">
        <v>45929</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37716-2024</t>
        </is>
      </c>
      <c r="B417" s="1" t="n">
        <v>45541.63592592593</v>
      </c>
      <c r="C417" s="1" t="n">
        <v>45929</v>
      </c>
      <c r="D417" t="inlineStr">
        <is>
          <t>VÄSTERBOTTENS LÄN</t>
        </is>
      </c>
      <c r="E417" t="inlineStr">
        <is>
          <t>VILHELMINA</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37717-2024</t>
        </is>
      </c>
      <c r="B418" s="1" t="n">
        <v>45541</v>
      </c>
      <c r="C418" s="1" t="n">
        <v>45929</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28869-2024</t>
        </is>
      </c>
      <c r="B419" s="1" t="n">
        <v>45478.94722222222</v>
      </c>
      <c r="C419" s="1" t="n">
        <v>45929</v>
      </c>
      <c r="D419" t="inlineStr">
        <is>
          <t>VÄSTERBOTTENS LÄN</t>
        </is>
      </c>
      <c r="E419" t="inlineStr">
        <is>
          <t>VILHELMINA</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44016-2025</t>
        </is>
      </c>
      <c r="B420" s="1" t="n">
        <v>45915</v>
      </c>
      <c r="C420" s="1" t="n">
        <v>45929</v>
      </c>
      <c r="D420" t="inlineStr">
        <is>
          <t>VÄSTERBOTTENS LÄN</t>
        </is>
      </c>
      <c r="E420" t="inlineStr">
        <is>
          <t>VILHELMINA</t>
        </is>
      </c>
      <c r="G420" t="n">
        <v>8.6</v>
      </c>
      <c r="H420" t="n">
        <v>0</v>
      </c>
      <c r="I420" t="n">
        <v>0</v>
      </c>
      <c r="J420" t="n">
        <v>0</v>
      </c>
      <c r="K420" t="n">
        <v>0</v>
      </c>
      <c r="L420" t="n">
        <v>0</v>
      </c>
      <c r="M420" t="n">
        <v>0</v>
      </c>
      <c r="N420" t="n">
        <v>0</v>
      </c>
      <c r="O420" t="n">
        <v>0</v>
      </c>
      <c r="P420" t="n">
        <v>0</v>
      </c>
      <c r="Q420" t="n">
        <v>0</v>
      </c>
      <c r="R420" s="2" t="inlineStr"/>
    </row>
    <row r="421" ht="15" customHeight="1">
      <c r="A421" t="inlineStr">
        <is>
          <t>A 44017-2025</t>
        </is>
      </c>
      <c r="B421" s="1" t="n">
        <v>45915</v>
      </c>
      <c r="C421" s="1" t="n">
        <v>45929</v>
      </c>
      <c r="D421" t="inlineStr">
        <is>
          <t>VÄSTERBOTTENS LÄN</t>
        </is>
      </c>
      <c r="E421" t="inlineStr">
        <is>
          <t>VILHELMINA</t>
        </is>
      </c>
      <c r="G421" t="n">
        <v>1.5</v>
      </c>
      <c r="H421" t="n">
        <v>0</v>
      </c>
      <c r="I421" t="n">
        <v>0</v>
      </c>
      <c r="J421" t="n">
        <v>0</v>
      </c>
      <c r="K421" t="n">
        <v>0</v>
      </c>
      <c r="L421" t="n">
        <v>0</v>
      </c>
      <c r="M421" t="n">
        <v>0</v>
      </c>
      <c r="N421" t="n">
        <v>0</v>
      </c>
      <c r="O421" t="n">
        <v>0</v>
      </c>
      <c r="P421" t="n">
        <v>0</v>
      </c>
      <c r="Q421" t="n">
        <v>0</v>
      </c>
      <c r="R421" s="2" t="inlineStr"/>
    </row>
    <row r="422" ht="15" customHeight="1">
      <c r="A422" t="inlineStr">
        <is>
          <t>A 37302-2025</t>
        </is>
      </c>
      <c r="B422" s="1" t="n">
        <v>45876</v>
      </c>
      <c r="C422" s="1" t="n">
        <v>45929</v>
      </c>
      <c r="D422" t="inlineStr">
        <is>
          <t>VÄSTERBOTTENS LÄN</t>
        </is>
      </c>
      <c r="E422" t="inlineStr">
        <is>
          <t>VILHELMINA</t>
        </is>
      </c>
      <c r="F422" t="inlineStr">
        <is>
          <t>SCA</t>
        </is>
      </c>
      <c r="G422" t="n">
        <v>7.6</v>
      </c>
      <c r="H422" t="n">
        <v>0</v>
      </c>
      <c r="I422" t="n">
        <v>0</v>
      </c>
      <c r="J422" t="n">
        <v>0</v>
      </c>
      <c r="K422" t="n">
        <v>0</v>
      </c>
      <c r="L422" t="n">
        <v>0</v>
      </c>
      <c r="M422" t="n">
        <v>0</v>
      </c>
      <c r="N422" t="n">
        <v>0</v>
      </c>
      <c r="O422" t="n">
        <v>0</v>
      </c>
      <c r="P422" t="n">
        <v>0</v>
      </c>
      <c r="Q422" t="n">
        <v>0</v>
      </c>
      <c r="R422" s="2" t="inlineStr"/>
    </row>
    <row r="423" ht="15" customHeight="1">
      <c r="A423" t="inlineStr">
        <is>
          <t>A 54727-2024</t>
        </is>
      </c>
      <c r="B423" s="1" t="n">
        <v>45618.43804398148</v>
      </c>
      <c r="C423" s="1" t="n">
        <v>45929</v>
      </c>
      <c r="D423" t="inlineStr">
        <is>
          <t>VÄSTERBOTTENS LÄN</t>
        </is>
      </c>
      <c r="E423" t="inlineStr">
        <is>
          <t>VILHELMINA</t>
        </is>
      </c>
      <c r="F423" t="inlineStr">
        <is>
          <t>SCA</t>
        </is>
      </c>
      <c r="G423" t="n">
        <v>4</v>
      </c>
      <c r="H423" t="n">
        <v>0</v>
      </c>
      <c r="I423" t="n">
        <v>0</v>
      </c>
      <c r="J423" t="n">
        <v>0</v>
      </c>
      <c r="K423" t="n">
        <v>0</v>
      </c>
      <c r="L423" t="n">
        <v>0</v>
      </c>
      <c r="M423" t="n">
        <v>0</v>
      </c>
      <c r="N423" t="n">
        <v>0</v>
      </c>
      <c r="O423" t="n">
        <v>0</v>
      </c>
      <c r="P423" t="n">
        <v>0</v>
      </c>
      <c r="Q423" t="n">
        <v>0</v>
      </c>
      <c r="R423" s="2" t="inlineStr"/>
    </row>
    <row r="424" ht="15" customHeight="1">
      <c r="A424" t="inlineStr">
        <is>
          <t>A 54804-2024</t>
        </is>
      </c>
      <c r="B424" s="1" t="n">
        <v>45618</v>
      </c>
      <c r="C424" s="1" t="n">
        <v>45929</v>
      </c>
      <c r="D424" t="inlineStr">
        <is>
          <t>VÄSTERBOTTENS LÄN</t>
        </is>
      </c>
      <c r="E424" t="inlineStr">
        <is>
          <t>VILHELMINA</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44015-2025</t>
        </is>
      </c>
      <c r="B425" s="1" t="n">
        <v>45915</v>
      </c>
      <c r="C425" s="1" t="n">
        <v>45929</v>
      </c>
      <c r="D425" t="inlineStr">
        <is>
          <t>VÄSTERBOTTENS LÄN</t>
        </is>
      </c>
      <c r="E425" t="inlineStr">
        <is>
          <t>VILHELMINA</t>
        </is>
      </c>
      <c r="G425" t="n">
        <v>1</v>
      </c>
      <c r="H425" t="n">
        <v>0</v>
      </c>
      <c r="I425" t="n">
        <v>0</v>
      </c>
      <c r="J425" t="n">
        <v>0</v>
      </c>
      <c r="K425" t="n">
        <v>0</v>
      </c>
      <c r="L425" t="n">
        <v>0</v>
      </c>
      <c r="M425" t="n">
        <v>0</v>
      </c>
      <c r="N425" t="n">
        <v>0</v>
      </c>
      <c r="O425" t="n">
        <v>0</v>
      </c>
      <c r="P425" t="n">
        <v>0</v>
      </c>
      <c r="Q425" t="n">
        <v>0</v>
      </c>
      <c r="R425" s="2" t="inlineStr"/>
    </row>
    <row r="426" ht="15" customHeight="1">
      <c r="A426" t="inlineStr">
        <is>
          <t>A 37269-2025</t>
        </is>
      </c>
      <c r="B426" s="1" t="n">
        <v>45876</v>
      </c>
      <c r="C426" s="1" t="n">
        <v>45929</v>
      </c>
      <c r="D426" t="inlineStr">
        <is>
          <t>VÄSTERBOTTENS LÄN</t>
        </is>
      </c>
      <c r="E426" t="inlineStr">
        <is>
          <t>VILHELMINA</t>
        </is>
      </c>
      <c r="G426" t="n">
        <v>2.5</v>
      </c>
      <c r="H426" t="n">
        <v>0</v>
      </c>
      <c r="I426" t="n">
        <v>0</v>
      </c>
      <c r="J426" t="n">
        <v>0</v>
      </c>
      <c r="K426" t="n">
        <v>0</v>
      </c>
      <c r="L426" t="n">
        <v>0</v>
      </c>
      <c r="M426" t="n">
        <v>0</v>
      </c>
      <c r="N426" t="n">
        <v>0</v>
      </c>
      <c r="O426" t="n">
        <v>0</v>
      </c>
      <c r="P426" t="n">
        <v>0</v>
      </c>
      <c r="Q426" t="n">
        <v>0</v>
      </c>
      <c r="R426" s="2" t="inlineStr"/>
    </row>
    <row r="427" ht="15" customHeight="1">
      <c r="A427" t="inlineStr">
        <is>
          <t>A 25102-2021</t>
        </is>
      </c>
      <c r="B427" s="1" t="n">
        <v>44341</v>
      </c>
      <c r="C427" s="1" t="n">
        <v>45929</v>
      </c>
      <c r="D427" t="inlineStr">
        <is>
          <t>VÄSTERBOTTENS LÄN</t>
        </is>
      </c>
      <c r="E427" t="inlineStr">
        <is>
          <t>VILHELMINA</t>
        </is>
      </c>
      <c r="G427" t="n">
        <v>6.7</v>
      </c>
      <c r="H427" t="n">
        <v>0</v>
      </c>
      <c r="I427" t="n">
        <v>0</v>
      </c>
      <c r="J427" t="n">
        <v>0</v>
      </c>
      <c r="K427" t="n">
        <v>0</v>
      </c>
      <c r="L427" t="n">
        <v>0</v>
      </c>
      <c r="M427" t="n">
        <v>0</v>
      </c>
      <c r="N427" t="n">
        <v>0</v>
      </c>
      <c r="O427" t="n">
        <v>0</v>
      </c>
      <c r="P427" t="n">
        <v>0</v>
      </c>
      <c r="Q427" t="n">
        <v>0</v>
      </c>
      <c r="R427" s="2" t="inlineStr"/>
    </row>
    <row r="428" ht="15" customHeight="1">
      <c r="A428" t="inlineStr">
        <is>
          <t>A 20653-2021</t>
        </is>
      </c>
      <c r="B428" s="1" t="n">
        <v>44316.41677083333</v>
      </c>
      <c r="C428" s="1" t="n">
        <v>45929</v>
      </c>
      <c r="D428" t="inlineStr">
        <is>
          <t>VÄSTERBOTTENS LÄN</t>
        </is>
      </c>
      <c r="E428" t="inlineStr">
        <is>
          <t>VILHELMINA</t>
        </is>
      </c>
      <c r="F428" t="inlineStr">
        <is>
          <t>Kommuner</t>
        </is>
      </c>
      <c r="G428" t="n">
        <v>2.5</v>
      </c>
      <c r="H428" t="n">
        <v>0</v>
      </c>
      <c r="I428" t="n">
        <v>0</v>
      </c>
      <c r="J428" t="n">
        <v>0</v>
      </c>
      <c r="K428" t="n">
        <v>0</v>
      </c>
      <c r="L428" t="n">
        <v>0</v>
      </c>
      <c r="M428" t="n">
        <v>0</v>
      </c>
      <c r="N428" t="n">
        <v>0</v>
      </c>
      <c r="O428" t="n">
        <v>0</v>
      </c>
      <c r="P428" t="n">
        <v>0</v>
      </c>
      <c r="Q428" t="n">
        <v>0</v>
      </c>
      <c r="R428" s="2" t="inlineStr"/>
    </row>
    <row r="429" ht="15" customHeight="1">
      <c r="A429" t="inlineStr">
        <is>
          <t>A 45258-2024</t>
        </is>
      </c>
      <c r="B429" s="1" t="n">
        <v>45576.34444444445</v>
      </c>
      <c r="C429" s="1" t="n">
        <v>45929</v>
      </c>
      <c r="D429" t="inlineStr">
        <is>
          <t>VÄSTERBOTTENS LÄN</t>
        </is>
      </c>
      <c r="E429" t="inlineStr">
        <is>
          <t>VILHELMINA</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20322-2022</t>
        </is>
      </c>
      <c r="B430" s="1" t="n">
        <v>44698</v>
      </c>
      <c r="C430" s="1" t="n">
        <v>45929</v>
      </c>
      <c r="D430" t="inlineStr">
        <is>
          <t>VÄSTERBOTTENS LÄN</t>
        </is>
      </c>
      <c r="E430" t="inlineStr">
        <is>
          <t>VILHELMINA</t>
        </is>
      </c>
      <c r="G430" t="n">
        <v>10.5</v>
      </c>
      <c r="H430" t="n">
        <v>0</v>
      </c>
      <c r="I430" t="n">
        <v>0</v>
      </c>
      <c r="J430" t="n">
        <v>0</v>
      </c>
      <c r="K430" t="n">
        <v>0</v>
      </c>
      <c r="L430" t="n">
        <v>0</v>
      </c>
      <c r="M430" t="n">
        <v>0</v>
      </c>
      <c r="N430" t="n">
        <v>0</v>
      </c>
      <c r="O430" t="n">
        <v>0</v>
      </c>
      <c r="P430" t="n">
        <v>0</v>
      </c>
      <c r="Q430" t="n">
        <v>0</v>
      </c>
      <c r="R430" s="2" t="inlineStr"/>
    </row>
    <row r="431" ht="15" customHeight="1">
      <c r="A431" t="inlineStr">
        <is>
          <t>A 11114-2022</t>
        </is>
      </c>
      <c r="B431" s="1" t="n">
        <v>44628.925625</v>
      </c>
      <c r="C431" s="1" t="n">
        <v>45929</v>
      </c>
      <c r="D431" t="inlineStr">
        <is>
          <t>VÄSTERBOTTENS LÄN</t>
        </is>
      </c>
      <c r="E431" t="inlineStr">
        <is>
          <t>VILHELMINA</t>
        </is>
      </c>
      <c r="G431" t="n">
        <v>8.6</v>
      </c>
      <c r="H431" t="n">
        <v>0</v>
      </c>
      <c r="I431" t="n">
        <v>0</v>
      </c>
      <c r="J431" t="n">
        <v>0</v>
      </c>
      <c r="K431" t="n">
        <v>0</v>
      </c>
      <c r="L431" t="n">
        <v>0</v>
      </c>
      <c r="M431" t="n">
        <v>0</v>
      </c>
      <c r="N431" t="n">
        <v>0</v>
      </c>
      <c r="O431" t="n">
        <v>0</v>
      </c>
      <c r="P431" t="n">
        <v>0</v>
      </c>
      <c r="Q431" t="n">
        <v>0</v>
      </c>
      <c r="R431" s="2" t="inlineStr"/>
    </row>
    <row r="432" ht="15" customHeight="1">
      <c r="A432" t="inlineStr">
        <is>
          <t>A 10941-2023</t>
        </is>
      </c>
      <c r="B432" s="1" t="n">
        <v>44985</v>
      </c>
      <c r="C432" s="1" t="n">
        <v>45929</v>
      </c>
      <c r="D432" t="inlineStr">
        <is>
          <t>VÄSTERBOTTENS LÄN</t>
        </is>
      </c>
      <c r="E432" t="inlineStr">
        <is>
          <t>VILHELMINA</t>
        </is>
      </c>
      <c r="G432" t="n">
        <v>16.7</v>
      </c>
      <c r="H432" t="n">
        <v>0</v>
      </c>
      <c r="I432" t="n">
        <v>0</v>
      </c>
      <c r="J432" t="n">
        <v>0</v>
      </c>
      <c r="K432" t="n">
        <v>0</v>
      </c>
      <c r="L432" t="n">
        <v>0</v>
      </c>
      <c r="M432" t="n">
        <v>0</v>
      </c>
      <c r="N432" t="n">
        <v>0</v>
      </c>
      <c r="O432" t="n">
        <v>0</v>
      </c>
      <c r="P432" t="n">
        <v>0</v>
      </c>
      <c r="Q432" t="n">
        <v>0</v>
      </c>
      <c r="R432" s="2" t="inlineStr"/>
    </row>
    <row r="433" ht="15" customHeight="1">
      <c r="A433" t="inlineStr">
        <is>
          <t>A 44626-2025</t>
        </is>
      </c>
      <c r="B433" s="1" t="n">
        <v>45917</v>
      </c>
      <c r="C433" s="1" t="n">
        <v>45929</v>
      </c>
      <c r="D433" t="inlineStr">
        <is>
          <t>VÄSTERBOTTENS LÄN</t>
        </is>
      </c>
      <c r="E433" t="inlineStr">
        <is>
          <t>VILHELMINA</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2742-2023</t>
        </is>
      </c>
      <c r="B434" s="1" t="n">
        <v>44943</v>
      </c>
      <c r="C434" s="1" t="n">
        <v>45929</v>
      </c>
      <c r="D434" t="inlineStr">
        <is>
          <t>VÄSTERBOTTENS LÄN</t>
        </is>
      </c>
      <c r="E434" t="inlineStr">
        <is>
          <t>VILHELMINA</t>
        </is>
      </c>
      <c r="G434" t="n">
        <v>34.8</v>
      </c>
      <c r="H434" t="n">
        <v>0</v>
      </c>
      <c r="I434" t="n">
        <v>0</v>
      </c>
      <c r="J434" t="n">
        <v>0</v>
      </c>
      <c r="K434" t="n">
        <v>0</v>
      </c>
      <c r="L434" t="n">
        <v>0</v>
      </c>
      <c r="M434" t="n">
        <v>0</v>
      </c>
      <c r="N434" t="n">
        <v>0</v>
      </c>
      <c r="O434" t="n">
        <v>0</v>
      </c>
      <c r="P434" t="n">
        <v>0</v>
      </c>
      <c r="Q434" t="n">
        <v>0</v>
      </c>
      <c r="R434" s="2" t="inlineStr"/>
    </row>
    <row r="435" ht="15" customHeight="1">
      <c r="A435" t="inlineStr">
        <is>
          <t>A 38222-2024</t>
        </is>
      </c>
      <c r="B435" s="1" t="n">
        <v>45545.53619212963</v>
      </c>
      <c r="C435" s="1" t="n">
        <v>45929</v>
      </c>
      <c r="D435" t="inlineStr">
        <is>
          <t>VÄSTERBOTTENS LÄN</t>
        </is>
      </c>
      <c r="E435" t="inlineStr">
        <is>
          <t>VILHELMINA</t>
        </is>
      </c>
      <c r="F435" t="inlineStr">
        <is>
          <t>Sveaskog</t>
        </is>
      </c>
      <c r="G435" t="n">
        <v>6</v>
      </c>
      <c r="H435" t="n">
        <v>0</v>
      </c>
      <c r="I435" t="n">
        <v>0</v>
      </c>
      <c r="J435" t="n">
        <v>0</v>
      </c>
      <c r="K435" t="n">
        <v>0</v>
      </c>
      <c r="L435" t="n">
        <v>0</v>
      </c>
      <c r="M435" t="n">
        <v>0</v>
      </c>
      <c r="N435" t="n">
        <v>0</v>
      </c>
      <c r="O435" t="n">
        <v>0</v>
      </c>
      <c r="P435" t="n">
        <v>0</v>
      </c>
      <c r="Q435" t="n">
        <v>0</v>
      </c>
      <c r="R435" s="2" t="inlineStr"/>
    </row>
    <row r="436" ht="15" customHeight="1">
      <c r="A436" t="inlineStr">
        <is>
          <t>A 26947-2024</t>
        </is>
      </c>
      <c r="B436" s="1" t="n">
        <v>45470.9693287037</v>
      </c>
      <c r="C436" s="1" t="n">
        <v>45929</v>
      </c>
      <c r="D436" t="inlineStr">
        <is>
          <t>VÄSTERBOTTENS LÄN</t>
        </is>
      </c>
      <c r="E436" t="inlineStr">
        <is>
          <t>VILHELMINA</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3237-2024</t>
        </is>
      </c>
      <c r="B437" s="1" t="n">
        <v>45316.9474537037</v>
      </c>
      <c r="C437" s="1" t="n">
        <v>45929</v>
      </c>
      <c r="D437" t="inlineStr">
        <is>
          <t>VÄSTERBOTTENS LÄN</t>
        </is>
      </c>
      <c r="E437" t="inlineStr">
        <is>
          <t>VILHELMINA</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56763-2023</t>
        </is>
      </c>
      <c r="B438" s="1" t="n">
        <v>45238</v>
      </c>
      <c r="C438" s="1" t="n">
        <v>45929</v>
      </c>
      <c r="D438" t="inlineStr">
        <is>
          <t>VÄSTERBOTTENS LÄN</t>
        </is>
      </c>
      <c r="E438" t="inlineStr">
        <is>
          <t>VILHELMINA</t>
        </is>
      </c>
      <c r="F438" t="inlineStr">
        <is>
          <t>Allmännings- och besparingsskogar</t>
        </is>
      </c>
      <c r="G438" t="n">
        <v>77</v>
      </c>
      <c r="H438" t="n">
        <v>0</v>
      </c>
      <c r="I438" t="n">
        <v>0</v>
      </c>
      <c r="J438" t="n">
        <v>0</v>
      </c>
      <c r="K438" t="n">
        <v>0</v>
      </c>
      <c r="L438" t="n">
        <v>0</v>
      </c>
      <c r="M438" t="n">
        <v>0</v>
      </c>
      <c r="N438" t="n">
        <v>0</v>
      </c>
      <c r="O438" t="n">
        <v>0</v>
      </c>
      <c r="P438" t="n">
        <v>0</v>
      </c>
      <c r="Q438" t="n">
        <v>0</v>
      </c>
      <c r="R438" s="2" t="inlineStr"/>
    </row>
    <row r="439" ht="15" customHeight="1">
      <c r="A439" t="inlineStr">
        <is>
          <t>A 26557-2023</t>
        </is>
      </c>
      <c r="B439" s="1" t="n">
        <v>45089</v>
      </c>
      <c r="C439" s="1" t="n">
        <v>45929</v>
      </c>
      <c r="D439" t="inlineStr">
        <is>
          <t>VÄSTERBOTTENS LÄN</t>
        </is>
      </c>
      <c r="E439" t="inlineStr">
        <is>
          <t>VILHELMINA</t>
        </is>
      </c>
      <c r="G439" t="n">
        <v>0.5</v>
      </c>
      <c r="H439" t="n">
        <v>0</v>
      </c>
      <c r="I439" t="n">
        <v>0</v>
      </c>
      <c r="J439" t="n">
        <v>0</v>
      </c>
      <c r="K439" t="n">
        <v>0</v>
      </c>
      <c r="L439" t="n">
        <v>0</v>
      </c>
      <c r="M439" t="n">
        <v>0</v>
      </c>
      <c r="N439" t="n">
        <v>0</v>
      </c>
      <c r="O439" t="n">
        <v>0</v>
      </c>
      <c r="P439" t="n">
        <v>0</v>
      </c>
      <c r="Q439" t="n">
        <v>0</v>
      </c>
      <c r="R439" s="2" t="inlineStr"/>
    </row>
    <row r="440" ht="15" customHeight="1">
      <c r="A440" t="inlineStr">
        <is>
          <t>A 35757-2023</t>
        </is>
      </c>
      <c r="B440" s="1" t="n">
        <v>45147.95444444445</v>
      </c>
      <c r="C440" s="1" t="n">
        <v>45929</v>
      </c>
      <c r="D440" t="inlineStr">
        <is>
          <t>VÄSTERBOTTENS LÄN</t>
        </is>
      </c>
      <c r="E440" t="inlineStr">
        <is>
          <t>VILHELMINA</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36909-2024</t>
        </is>
      </c>
      <c r="B441" s="1" t="n">
        <v>45538.63577546296</v>
      </c>
      <c r="C441" s="1" t="n">
        <v>45929</v>
      </c>
      <c r="D441" t="inlineStr">
        <is>
          <t>VÄSTERBOTTENS LÄN</t>
        </is>
      </c>
      <c r="E441" t="inlineStr">
        <is>
          <t>VILHELMINA</t>
        </is>
      </c>
      <c r="F441" t="inlineStr">
        <is>
          <t>SCA</t>
        </is>
      </c>
      <c r="G441" t="n">
        <v>16.8</v>
      </c>
      <c r="H441" t="n">
        <v>0</v>
      </c>
      <c r="I441" t="n">
        <v>0</v>
      </c>
      <c r="J441" t="n">
        <v>0</v>
      </c>
      <c r="K441" t="n">
        <v>0</v>
      </c>
      <c r="L441" t="n">
        <v>0</v>
      </c>
      <c r="M441" t="n">
        <v>0</v>
      </c>
      <c r="N441" t="n">
        <v>0</v>
      </c>
      <c r="O441" t="n">
        <v>0</v>
      </c>
      <c r="P441" t="n">
        <v>0</v>
      </c>
      <c r="Q441" t="n">
        <v>0</v>
      </c>
      <c r="R441" s="2" t="inlineStr"/>
    </row>
    <row r="442" ht="15" customHeight="1">
      <c r="A442" t="inlineStr">
        <is>
          <t>A 2054-2023</t>
        </is>
      </c>
      <c r="B442" s="1" t="n">
        <v>44939</v>
      </c>
      <c r="C442" s="1" t="n">
        <v>45929</v>
      </c>
      <c r="D442" t="inlineStr">
        <is>
          <t>VÄSTERBOTTENS LÄN</t>
        </is>
      </c>
      <c r="E442" t="inlineStr">
        <is>
          <t>VILHELMINA</t>
        </is>
      </c>
      <c r="F442" t="inlineStr">
        <is>
          <t>Sveaskog</t>
        </is>
      </c>
      <c r="G442" t="n">
        <v>19.2</v>
      </c>
      <c r="H442" t="n">
        <v>0</v>
      </c>
      <c r="I442" t="n">
        <v>0</v>
      </c>
      <c r="J442" t="n">
        <v>0</v>
      </c>
      <c r="K442" t="n">
        <v>0</v>
      </c>
      <c r="L442" t="n">
        <v>0</v>
      </c>
      <c r="M442" t="n">
        <v>0</v>
      </c>
      <c r="N442" t="n">
        <v>0</v>
      </c>
      <c r="O442" t="n">
        <v>0</v>
      </c>
      <c r="P442" t="n">
        <v>0</v>
      </c>
      <c r="Q442" t="n">
        <v>0</v>
      </c>
      <c r="R442" s="2" t="inlineStr"/>
    </row>
    <row r="443" ht="15" customHeight="1">
      <c r="A443" t="inlineStr">
        <is>
          <t>A 45120-2025</t>
        </is>
      </c>
      <c r="B443" s="1" t="n">
        <v>45919</v>
      </c>
      <c r="C443" s="1" t="n">
        <v>45929</v>
      </c>
      <c r="D443" t="inlineStr">
        <is>
          <t>VÄSTERBOTTENS LÄN</t>
        </is>
      </c>
      <c r="E443" t="inlineStr">
        <is>
          <t>VILHELMINA</t>
        </is>
      </c>
      <c r="G443" t="n">
        <v>4.4</v>
      </c>
      <c r="H443" t="n">
        <v>0</v>
      </c>
      <c r="I443" t="n">
        <v>0</v>
      </c>
      <c r="J443" t="n">
        <v>0</v>
      </c>
      <c r="K443" t="n">
        <v>0</v>
      </c>
      <c r="L443" t="n">
        <v>0</v>
      </c>
      <c r="M443" t="n">
        <v>0</v>
      </c>
      <c r="N443" t="n">
        <v>0</v>
      </c>
      <c r="O443" t="n">
        <v>0</v>
      </c>
      <c r="P443" t="n">
        <v>0</v>
      </c>
      <c r="Q443" t="n">
        <v>0</v>
      </c>
      <c r="R443" s="2" t="inlineStr"/>
    </row>
    <row r="444" ht="15" customHeight="1">
      <c r="A444" t="inlineStr">
        <is>
          <t>A 72-2025</t>
        </is>
      </c>
      <c r="B444" s="1" t="n">
        <v>45659</v>
      </c>
      <c r="C444" s="1" t="n">
        <v>45929</v>
      </c>
      <c r="D444" t="inlineStr">
        <is>
          <t>VÄSTERBOTTENS LÄN</t>
        </is>
      </c>
      <c r="E444" t="inlineStr">
        <is>
          <t>VILHELMINA</t>
        </is>
      </c>
      <c r="G444" t="n">
        <v>0.9</v>
      </c>
      <c r="H444" t="n">
        <v>0</v>
      </c>
      <c r="I444" t="n">
        <v>0</v>
      </c>
      <c r="J444" t="n">
        <v>0</v>
      </c>
      <c r="K444" t="n">
        <v>0</v>
      </c>
      <c r="L444" t="n">
        <v>0</v>
      </c>
      <c r="M444" t="n">
        <v>0</v>
      </c>
      <c r="N444" t="n">
        <v>0</v>
      </c>
      <c r="O444" t="n">
        <v>0</v>
      </c>
      <c r="P444" t="n">
        <v>0</v>
      </c>
      <c r="Q444" t="n">
        <v>0</v>
      </c>
      <c r="R444" s="2" t="inlineStr"/>
    </row>
    <row r="445" ht="15" customHeight="1">
      <c r="A445" t="inlineStr">
        <is>
          <t>A 41644-2024</t>
        </is>
      </c>
      <c r="B445" s="1" t="n">
        <v>45560</v>
      </c>
      <c r="C445" s="1" t="n">
        <v>45929</v>
      </c>
      <c r="D445" t="inlineStr">
        <is>
          <t>VÄSTERBOTTENS LÄN</t>
        </is>
      </c>
      <c r="E445" t="inlineStr">
        <is>
          <t>VILHELMINA</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9181-2023</t>
        </is>
      </c>
      <c r="B446" s="1" t="n">
        <v>44972</v>
      </c>
      <c r="C446" s="1" t="n">
        <v>45929</v>
      </c>
      <c r="D446" t="inlineStr">
        <is>
          <t>VÄSTERBOTTENS LÄN</t>
        </is>
      </c>
      <c r="E446" t="inlineStr">
        <is>
          <t>VILHELMINA</t>
        </is>
      </c>
      <c r="F446" t="inlineStr">
        <is>
          <t>Allmännings- och besparingsskogar</t>
        </is>
      </c>
      <c r="G446" t="n">
        <v>220.1</v>
      </c>
      <c r="H446" t="n">
        <v>0</v>
      </c>
      <c r="I446" t="n">
        <v>0</v>
      </c>
      <c r="J446" t="n">
        <v>0</v>
      </c>
      <c r="K446" t="n">
        <v>0</v>
      </c>
      <c r="L446" t="n">
        <v>0</v>
      </c>
      <c r="M446" t="n">
        <v>0</v>
      </c>
      <c r="N446" t="n">
        <v>0</v>
      </c>
      <c r="O446" t="n">
        <v>0</v>
      </c>
      <c r="P446" t="n">
        <v>0</v>
      </c>
      <c r="Q446" t="n">
        <v>0</v>
      </c>
      <c r="R446" s="2" t="inlineStr"/>
    </row>
    <row r="447" ht="15" customHeight="1">
      <c r="A447" t="inlineStr">
        <is>
          <t>A 26143-2025</t>
        </is>
      </c>
      <c r="B447" s="1" t="n">
        <v>45805</v>
      </c>
      <c r="C447" s="1" t="n">
        <v>45929</v>
      </c>
      <c r="D447" t="inlineStr">
        <is>
          <t>VÄSTERBOTTENS LÄN</t>
        </is>
      </c>
      <c r="E447" t="inlineStr">
        <is>
          <t>VILHELMINA</t>
        </is>
      </c>
      <c r="G447" t="n">
        <v>20</v>
      </c>
      <c r="H447" t="n">
        <v>0</v>
      </c>
      <c r="I447" t="n">
        <v>0</v>
      </c>
      <c r="J447" t="n">
        <v>0</v>
      </c>
      <c r="K447" t="n">
        <v>0</v>
      </c>
      <c r="L447" t="n">
        <v>0</v>
      </c>
      <c r="M447" t="n">
        <v>0</v>
      </c>
      <c r="N447" t="n">
        <v>0</v>
      </c>
      <c r="O447" t="n">
        <v>0</v>
      </c>
      <c r="P447" t="n">
        <v>0</v>
      </c>
      <c r="Q447" t="n">
        <v>0</v>
      </c>
      <c r="R447" s="2" t="inlineStr"/>
    </row>
    <row r="448" ht="15" customHeight="1">
      <c r="A448" t="inlineStr">
        <is>
          <t>A 48422-2023</t>
        </is>
      </c>
      <c r="B448" s="1" t="n">
        <v>45205</v>
      </c>
      <c r="C448" s="1" t="n">
        <v>45929</v>
      </c>
      <c r="D448" t="inlineStr">
        <is>
          <t>VÄSTERBOTTENS LÄN</t>
        </is>
      </c>
      <c r="E448" t="inlineStr">
        <is>
          <t>VILHELMINA</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37369-2025</t>
        </is>
      </c>
      <c r="B449" s="1" t="n">
        <v>45877.34444444445</v>
      </c>
      <c r="C449" s="1" t="n">
        <v>45929</v>
      </c>
      <c r="D449" t="inlineStr">
        <is>
          <t>VÄSTERBOTTENS LÄN</t>
        </is>
      </c>
      <c r="E449" t="inlineStr">
        <is>
          <t>VILHELMINA</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48483-2023</t>
        </is>
      </c>
      <c r="B450" s="1" t="n">
        <v>45206.95854166667</v>
      </c>
      <c r="C450" s="1" t="n">
        <v>45929</v>
      </c>
      <c r="D450" t="inlineStr">
        <is>
          <t>VÄSTERBOTTENS LÄN</t>
        </is>
      </c>
      <c r="E450" t="inlineStr">
        <is>
          <t>VILHELMINA</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48505-2023</t>
        </is>
      </c>
      <c r="B451" s="1" t="n">
        <v>45207.93900462963</v>
      </c>
      <c r="C451" s="1" t="n">
        <v>45929</v>
      </c>
      <c r="D451" t="inlineStr">
        <is>
          <t>VÄSTERBOTTENS LÄN</t>
        </is>
      </c>
      <c r="E451" t="inlineStr">
        <is>
          <t>VILHELMINA</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36957-2023</t>
        </is>
      </c>
      <c r="B452" s="1" t="n">
        <v>45154.92628472222</v>
      </c>
      <c r="C452" s="1" t="n">
        <v>45929</v>
      </c>
      <c r="D452" t="inlineStr">
        <is>
          <t>VÄSTERBOTTENS LÄN</t>
        </is>
      </c>
      <c r="E452" t="inlineStr">
        <is>
          <t>VILHELMINA</t>
        </is>
      </c>
      <c r="G452" t="n">
        <v>0.5</v>
      </c>
      <c r="H452" t="n">
        <v>0</v>
      </c>
      <c r="I452" t="n">
        <v>0</v>
      </c>
      <c r="J452" t="n">
        <v>0</v>
      </c>
      <c r="K452" t="n">
        <v>0</v>
      </c>
      <c r="L452" t="n">
        <v>0</v>
      </c>
      <c r="M452" t="n">
        <v>0</v>
      </c>
      <c r="N452" t="n">
        <v>0</v>
      </c>
      <c r="O452" t="n">
        <v>0</v>
      </c>
      <c r="P452" t="n">
        <v>0</v>
      </c>
      <c r="Q452" t="n">
        <v>0</v>
      </c>
      <c r="R452" s="2" t="inlineStr"/>
    </row>
    <row r="453" ht="15" customHeight="1">
      <c r="A453" t="inlineStr">
        <is>
          <t>A 37376-2025</t>
        </is>
      </c>
      <c r="B453" s="1" t="n">
        <v>45877.36513888889</v>
      </c>
      <c r="C453" s="1" t="n">
        <v>45929</v>
      </c>
      <c r="D453" t="inlineStr">
        <is>
          <t>VÄSTERBOTTENS LÄN</t>
        </is>
      </c>
      <c r="E453" t="inlineStr">
        <is>
          <t>VILHELMINA</t>
        </is>
      </c>
      <c r="F453" t="inlineStr">
        <is>
          <t>SCA</t>
        </is>
      </c>
      <c r="G453" t="n">
        <v>4.7</v>
      </c>
      <c r="H453" t="n">
        <v>0</v>
      </c>
      <c r="I453" t="n">
        <v>0</v>
      </c>
      <c r="J453" t="n">
        <v>0</v>
      </c>
      <c r="K453" t="n">
        <v>0</v>
      </c>
      <c r="L453" t="n">
        <v>0</v>
      </c>
      <c r="M453" t="n">
        <v>0</v>
      </c>
      <c r="N453" t="n">
        <v>0</v>
      </c>
      <c r="O453" t="n">
        <v>0</v>
      </c>
      <c r="P453" t="n">
        <v>0</v>
      </c>
      <c r="Q453" t="n">
        <v>0</v>
      </c>
      <c r="R453" s="2" t="inlineStr"/>
    </row>
    <row r="454" ht="15" customHeight="1">
      <c r="A454" t="inlineStr">
        <is>
          <t>A 50489-2023</t>
        </is>
      </c>
      <c r="B454" s="1" t="n">
        <v>45216.95556712963</v>
      </c>
      <c r="C454" s="1" t="n">
        <v>45929</v>
      </c>
      <c r="D454" t="inlineStr">
        <is>
          <t>VÄSTERBOTTENS LÄN</t>
        </is>
      </c>
      <c r="E454" t="inlineStr">
        <is>
          <t>VILHELMINA</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50506-2023</t>
        </is>
      </c>
      <c r="B455" s="1" t="n">
        <v>45216.9580787037</v>
      </c>
      <c r="C455" s="1" t="n">
        <v>45929</v>
      </c>
      <c r="D455" t="inlineStr">
        <is>
          <t>VÄSTERBOTTENS LÄN</t>
        </is>
      </c>
      <c r="E455" t="inlineStr">
        <is>
          <t>VILHELMINA</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37368-2025</t>
        </is>
      </c>
      <c r="B456" s="1" t="n">
        <v>45877.34436342592</v>
      </c>
      <c r="C456" s="1" t="n">
        <v>45929</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54457-2024</t>
        </is>
      </c>
      <c r="B457" s="1" t="n">
        <v>45617</v>
      </c>
      <c r="C457" s="1" t="n">
        <v>45929</v>
      </c>
      <c r="D457" t="inlineStr">
        <is>
          <t>VÄSTERBOTTENS LÄN</t>
        </is>
      </c>
      <c r="E457" t="inlineStr">
        <is>
          <t>VILHELMINA</t>
        </is>
      </c>
      <c r="F457" t="inlineStr">
        <is>
          <t>SCA</t>
        </is>
      </c>
      <c r="G457" t="n">
        <v>8</v>
      </c>
      <c r="H457" t="n">
        <v>0</v>
      </c>
      <c r="I457" t="n">
        <v>0</v>
      </c>
      <c r="J457" t="n">
        <v>0</v>
      </c>
      <c r="K457" t="n">
        <v>0</v>
      </c>
      <c r="L457" t="n">
        <v>0</v>
      </c>
      <c r="M457" t="n">
        <v>0</v>
      </c>
      <c r="N457" t="n">
        <v>0</v>
      </c>
      <c r="O457" t="n">
        <v>0</v>
      </c>
      <c r="P457" t="n">
        <v>0</v>
      </c>
      <c r="Q457" t="n">
        <v>0</v>
      </c>
      <c r="R457" s="2" t="inlineStr"/>
    </row>
    <row r="458" ht="15" customHeight="1">
      <c r="A458" t="inlineStr">
        <is>
          <t>A 31868-2024</t>
        </is>
      </c>
      <c r="B458" s="1" t="n">
        <v>45509</v>
      </c>
      <c r="C458" s="1" t="n">
        <v>45929</v>
      </c>
      <c r="D458" t="inlineStr">
        <is>
          <t>VÄSTERBOTTENS LÄN</t>
        </is>
      </c>
      <c r="E458" t="inlineStr">
        <is>
          <t>VILHELMINA</t>
        </is>
      </c>
      <c r="G458" t="n">
        <v>4.5</v>
      </c>
      <c r="H458" t="n">
        <v>0</v>
      </c>
      <c r="I458" t="n">
        <v>0</v>
      </c>
      <c r="J458" t="n">
        <v>0</v>
      </c>
      <c r="K458" t="n">
        <v>0</v>
      </c>
      <c r="L458" t="n">
        <v>0</v>
      </c>
      <c r="M458" t="n">
        <v>0</v>
      </c>
      <c r="N458" t="n">
        <v>0</v>
      </c>
      <c r="O458" t="n">
        <v>0</v>
      </c>
      <c r="P458" t="n">
        <v>0</v>
      </c>
      <c r="Q458" t="n">
        <v>0</v>
      </c>
      <c r="R458" s="2" t="inlineStr"/>
    </row>
    <row r="459" ht="15" customHeight="1">
      <c r="A459" t="inlineStr">
        <is>
          <t>A 45435-2025</t>
        </is>
      </c>
      <c r="B459" s="1" t="n">
        <v>45922.46759259259</v>
      </c>
      <c r="C459" s="1" t="n">
        <v>45929</v>
      </c>
      <c r="D459" t="inlineStr">
        <is>
          <t>VÄSTERBOTTENS LÄN</t>
        </is>
      </c>
      <c r="E459" t="inlineStr">
        <is>
          <t>VILHELMINA</t>
        </is>
      </c>
      <c r="G459" t="n">
        <v>4.6</v>
      </c>
      <c r="H459" t="n">
        <v>0</v>
      </c>
      <c r="I459" t="n">
        <v>0</v>
      </c>
      <c r="J459" t="n">
        <v>0</v>
      </c>
      <c r="K459" t="n">
        <v>0</v>
      </c>
      <c r="L459" t="n">
        <v>0</v>
      </c>
      <c r="M459" t="n">
        <v>0</v>
      </c>
      <c r="N459" t="n">
        <v>0</v>
      </c>
      <c r="O459" t="n">
        <v>0</v>
      </c>
      <c r="P459" t="n">
        <v>0</v>
      </c>
      <c r="Q459" t="n">
        <v>0</v>
      </c>
      <c r="R459" s="2" t="inlineStr"/>
    </row>
    <row r="460" ht="15" customHeight="1">
      <c r="A460" t="inlineStr">
        <is>
          <t>A 31851-2024</t>
        </is>
      </c>
      <c r="B460" s="1" t="n">
        <v>45509</v>
      </c>
      <c r="C460" s="1" t="n">
        <v>45929</v>
      </c>
      <c r="D460" t="inlineStr">
        <is>
          <t>VÄSTERBOTTENS LÄN</t>
        </is>
      </c>
      <c r="E460" t="inlineStr">
        <is>
          <t>VILHELMINA</t>
        </is>
      </c>
      <c r="G460" t="n">
        <v>5.1</v>
      </c>
      <c r="H460" t="n">
        <v>0</v>
      </c>
      <c r="I460" t="n">
        <v>0</v>
      </c>
      <c r="J460" t="n">
        <v>0</v>
      </c>
      <c r="K460" t="n">
        <v>0</v>
      </c>
      <c r="L460" t="n">
        <v>0</v>
      </c>
      <c r="M460" t="n">
        <v>0</v>
      </c>
      <c r="N460" t="n">
        <v>0</v>
      </c>
      <c r="O460" t="n">
        <v>0</v>
      </c>
      <c r="P460" t="n">
        <v>0</v>
      </c>
      <c r="Q460" t="n">
        <v>0</v>
      </c>
      <c r="R460" s="2" t="inlineStr"/>
    </row>
    <row r="461" ht="15" customHeight="1">
      <c r="A461" t="inlineStr">
        <is>
          <t>A 58934-2024</t>
        </is>
      </c>
      <c r="B461" s="1" t="n">
        <v>45636</v>
      </c>
      <c r="C461" s="1" t="n">
        <v>45929</v>
      </c>
      <c r="D461" t="inlineStr">
        <is>
          <t>VÄSTERBOTTENS LÄN</t>
        </is>
      </c>
      <c r="E461" t="inlineStr">
        <is>
          <t>VILHELMINA</t>
        </is>
      </c>
      <c r="F461" t="inlineStr">
        <is>
          <t>Allmännings- och besparingsskogar</t>
        </is>
      </c>
      <c r="G461" t="n">
        <v>45.6</v>
      </c>
      <c r="H461" t="n">
        <v>0</v>
      </c>
      <c r="I461" t="n">
        <v>0</v>
      </c>
      <c r="J461" t="n">
        <v>0</v>
      </c>
      <c r="K461" t="n">
        <v>0</v>
      </c>
      <c r="L461" t="n">
        <v>0</v>
      </c>
      <c r="M461" t="n">
        <v>0</v>
      </c>
      <c r="N461" t="n">
        <v>0</v>
      </c>
      <c r="O461" t="n">
        <v>0</v>
      </c>
      <c r="P461" t="n">
        <v>0</v>
      </c>
      <c r="Q461" t="n">
        <v>0</v>
      </c>
      <c r="R461" s="2" t="inlineStr"/>
    </row>
    <row r="462" ht="15" customHeight="1">
      <c r="A462" t="inlineStr">
        <is>
          <t>A 58943-2024</t>
        </is>
      </c>
      <c r="B462" s="1" t="n">
        <v>45636.5433449074</v>
      </c>
      <c r="C462" s="1" t="n">
        <v>45929</v>
      </c>
      <c r="D462" t="inlineStr">
        <is>
          <t>VÄSTERBOTTENS LÄN</t>
        </is>
      </c>
      <c r="E462" t="inlineStr">
        <is>
          <t>VILHELMINA</t>
        </is>
      </c>
      <c r="F462" t="inlineStr">
        <is>
          <t>Kommuner</t>
        </is>
      </c>
      <c r="G462" t="n">
        <v>4.1</v>
      </c>
      <c r="H462" t="n">
        <v>0</v>
      </c>
      <c r="I462" t="n">
        <v>0</v>
      </c>
      <c r="J462" t="n">
        <v>0</v>
      </c>
      <c r="K462" t="n">
        <v>0</v>
      </c>
      <c r="L462" t="n">
        <v>0</v>
      </c>
      <c r="M462" t="n">
        <v>0</v>
      </c>
      <c r="N462" t="n">
        <v>0</v>
      </c>
      <c r="O462" t="n">
        <v>0</v>
      </c>
      <c r="P462" t="n">
        <v>0</v>
      </c>
      <c r="Q462" t="n">
        <v>0</v>
      </c>
      <c r="R462" s="2" t="inlineStr"/>
    </row>
    <row r="463" ht="15" customHeight="1">
      <c r="A463" t="inlineStr">
        <is>
          <t>A 38569-2024</t>
        </is>
      </c>
      <c r="B463" s="1" t="n">
        <v>45546.63689814815</v>
      </c>
      <c r="C463" s="1" t="n">
        <v>45929</v>
      </c>
      <c r="D463" t="inlineStr">
        <is>
          <t>VÄSTERBOTTENS LÄN</t>
        </is>
      </c>
      <c r="E463" t="inlineStr">
        <is>
          <t>VILHELMINA</t>
        </is>
      </c>
      <c r="G463" t="n">
        <v>31.5</v>
      </c>
      <c r="H463" t="n">
        <v>0</v>
      </c>
      <c r="I463" t="n">
        <v>0</v>
      </c>
      <c r="J463" t="n">
        <v>0</v>
      </c>
      <c r="K463" t="n">
        <v>0</v>
      </c>
      <c r="L463" t="n">
        <v>0</v>
      </c>
      <c r="M463" t="n">
        <v>0</v>
      </c>
      <c r="N463" t="n">
        <v>0</v>
      </c>
      <c r="O463" t="n">
        <v>0</v>
      </c>
      <c r="P463" t="n">
        <v>0</v>
      </c>
      <c r="Q463" t="n">
        <v>0</v>
      </c>
      <c r="R463" s="2" t="inlineStr"/>
    </row>
    <row r="464" ht="15" customHeight="1">
      <c r="A464" t="inlineStr">
        <is>
          <t>A 74-2025</t>
        </is>
      </c>
      <c r="B464" s="1" t="n">
        <v>45659</v>
      </c>
      <c r="C464" s="1" t="n">
        <v>45929</v>
      </c>
      <c r="D464" t="inlineStr">
        <is>
          <t>VÄSTERBOTTENS LÄN</t>
        </is>
      </c>
      <c r="E464" t="inlineStr">
        <is>
          <t>VILHELMINA</t>
        </is>
      </c>
      <c r="G464" t="n">
        <v>5.9</v>
      </c>
      <c r="H464" t="n">
        <v>0</v>
      </c>
      <c r="I464" t="n">
        <v>0</v>
      </c>
      <c r="J464" t="n">
        <v>0</v>
      </c>
      <c r="K464" t="n">
        <v>0</v>
      </c>
      <c r="L464" t="n">
        <v>0</v>
      </c>
      <c r="M464" t="n">
        <v>0</v>
      </c>
      <c r="N464" t="n">
        <v>0</v>
      </c>
      <c r="O464" t="n">
        <v>0</v>
      </c>
      <c r="P464" t="n">
        <v>0</v>
      </c>
      <c r="Q464" t="n">
        <v>0</v>
      </c>
      <c r="R464" s="2" t="inlineStr"/>
    </row>
    <row r="465" ht="15" customHeight="1">
      <c r="A465" t="inlineStr">
        <is>
          <t>A 78-2025</t>
        </is>
      </c>
      <c r="B465" s="1" t="n">
        <v>45659</v>
      </c>
      <c r="C465" s="1" t="n">
        <v>45929</v>
      </c>
      <c r="D465" t="inlineStr">
        <is>
          <t>VÄSTERBOTTENS LÄN</t>
        </is>
      </c>
      <c r="E465" t="inlineStr">
        <is>
          <t>VILHELMINA</t>
        </is>
      </c>
      <c r="G465" t="n">
        <v>7.3</v>
      </c>
      <c r="H465" t="n">
        <v>0</v>
      </c>
      <c r="I465" t="n">
        <v>0</v>
      </c>
      <c r="J465" t="n">
        <v>0</v>
      </c>
      <c r="K465" t="n">
        <v>0</v>
      </c>
      <c r="L465" t="n">
        <v>0</v>
      </c>
      <c r="M465" t="n">
        <v>0</v>
      </c>
      <c r="N465" t="n">
        <v>0</v>
      </c>
      <c r="O465" t="n">
        <v>0</v>
      </c>
      <c r="P465" t="n">
        <v>0</v>
      </c>
      <c r="Q465" t="n">
        <v>0</v>
      </c>
      <c r="R465" s="2" t="inlineStr"/>
    </row>
    <row r="466" ht="15" customHeight="1">
      <c r="A466" t="inlineStr">
        <is>
          <t>A 23278-2021</t>
        </is>
      </c>
      <c r="B466" s="1" t="n">
        <v>44328</v>
      </c>
      <c r="C466" s="1" t="n">
        <v>45929</v>
      </c>
      <c r="D466" t="inlineStr">
        <is>
          <t>VÄSTERBOTTENS LÄN</t>
        </is>
      </c>
      <c r="E466" t="inlineStr">
        <is>
          <t>VILHELMINA</t>
        </is>
      </c>
      <c r="F466" t="inlineStr">
        <is>
          <t>Allmännings- och besparingsskogar</t>
        </is>
      </c>
      <c r="G466" t="n">
        <v>13.6</v>
      </c>
      <c r="H466" t="n">
        <v>0</v>
      </c>
      <c r="I466" t="n">
        <v>0</v>
      </c>
      <c r="J466" t="n">
        <v>0</v>
      </c>
      <c r="K466" t="n">
        <v>0</v>
      </c>
      <c r="L466" t="n">
        <v>0</v>
      </c>
      <c r="M466" t="n">
        <v>0</v>
      </c>
      <c r="N466" t="n">
        <v>0</v>
      </c>
      <c r="O466" t="n">
        <v>0</v>
      </c>
      <c r="P466" t="n">
        <v>0</v>
      </c>
      <c r="Q466" t="n">
        <v>0</v>
      </c>
      <c r="R466" s="2" t="inlineStr"/>
    </row>
    <row r="467" ht="15" customHeight="1">
      <c r="A467" t="inlineStr">
        <is>
          <t>A 45027-2025</t>
        </is>
      </c>
      <c r="B467" s="1" t="n">
        <v>45918</v>
      </c>
      <c r="C467" s="1" t="n">
        <v>45929</v>
      </c>
      <c r="D467" t="inlineStr">
        <is>
          <t>VÄSTERBOTTENS LÄN</t>
        </is>
      </c>
      <c r="E467" t="inlineStr">
        <is>
          <t>VILHELMINA</t>
        </is>
      </c>
      <c r="G467" t="n">
        <v>14.3</v>
      </c>
      <c r="H467" t="n">
        <v>0</v>
      </c>
      <c r="I467" t="n">
        <v>0</v>
      </c>
      <c r="J467" t="n">
        <v>0</v>
      </c>
      <c r="K467" t="n">
        <v>0</v>
      </c>
      <c r="L467" t="n">
        <v>0</v>
      </c>
      <c r="M467" t="n">
        <v>0</v>
      </c>
      <c r="N467" t="n">
        <v>0</v>
      </c>
      <c r="O467" t="n">
        <v>0</v>
      </c>
      <c r="P467" t="n">
        <v>0</v>
      </c>
      <c r="Q467" t="n">
        <v>0</v>
      </c>
      <c r="R467" s="2" t="inlineStr"/>
    </row>
    <row r="468" ht="15" customHeight="1">
      <c r="A468" t="inlineStr">
        <is>
          <t>A 22108-2024</t>
        </is>
      </c>
      <c r="B468" s="1" t="n">
        <v>45443</v>
      </c>
      <c r="C468" s="1" t="n">
        <v>45929</v>
      </c>
      <c r="D468" t="inlineStr">
        <is>
          <t>VÄSTERBOTTENS LÄN</t>
        </is>
      </c>
      <c r="E468" t="inlineStr">
        <is>
          <t>VILHELMINA</t>
        </is>
      </c>
      <c r="F468" t="inlineStr">
        <is>
          <t>SCA</t>
        </is>
      </c>
      <c r="G468" t="n">
        <v>4.9</v>
      </c>
      <c r="H468" t="n">
        <v>0</v>
      </c>
      <c r="I468" t="n">
        <v>0</v>
      </c>
      <c r="J468" t="n">
        <v>0</v>
      </c>
      <c r="K468" t="n">
        <v>0</v>
      </c>
      <c r="L468" t="n">
        <v>0</v>
      </c>
      <c r="M468" t="n">
        <v>0</v>
      </c>
      <c r="N468" t="n">
        <v>0</v>
      </c>
      <c r="O468" t="n">
        <v>0</v>
      </c>
      <c r="P468" t="n">
        <v>0</v>
      </c>
      <c r="Q468" t="n">
        <v>0</v>
      </c>
      <c r="R468" s="2" t="inlineStr"/>
    </row>
    <row r="469" ht="15" customHeight="1">
      <c r="A469" t="inlineStr">
        <is>
          <t>A 12784-2023</t>
        </is>
      </c>
      <c r="B469" s="1" t="n">
        <v>45000</v>
      </c>
      <c r="C469" s="1" t="n">
        <v>45929</v>
      </c>
      <c r="D469" t="inlineStr">
        <is>
          <t>VÄSTERBOTTENS LÄN</t>
        </is>
      </c>
      <c r="E469" t="inlineStr">
        <is>
          <t>VILHELMINA</t>
        </is>
      </c>
      <c r="G469" t="n">
        <v>18.6</v>
      </c>
      <c r="H469" t="n">
        <v>0</v>
      </c>
      <c r="I469" t="n">
        <v>0</v>
      </c>
      <c r="J469" t="n">
        <v>0</v>
      </c>
      <c r="K469" t="n">
        <v>0</v>
      </c>
      <c r="L469" t="n">
        <v>0</v>
      </c>
      <c r="M469" t="n">
        <v>0</v>
      </c>
      <c r="N469" t="n">
        <v>0</v>
      </c>
      <c r="O469" t="n">
        <v>0</v>
      </c>
      <c r="P469" t="n">
        <v>0</v>
      </c>
      <c r="Q469" t="n">
        <v>0</v>
      </c>
      <c r="R469" s="2" t="inlineStr"/>
    </row>
    <row r="470" ht="15" customHeight="1">
      <c r="A470" t="inlineStr">
        <is>
          <t>A 59030-2022</t>
        </is>
      </c>
      <c r="B470" s="1" t="n">
        <v>44903</v>
      </c>
      <c r="C470" s="1" t="n">
        <v>45929</v>
      </c>
      <c r="D470" t="inlineStr">
        <is>
          <t>VÄSTERBOTTENS LÄN</t>
        </is>
      </c>
      <c r="E470" t="inlineStr">
        <is>
          <t>VILHELMINA</t>
        </is>
      </c>
      <c r="G470" t="n">
        <v>17.8</v>
      </c>
      <c r="H470" t="n">
        <v>0</v>
      </c>
      <c r="I470" t="n">
        <v>0</v>
      </c>
      <c r="J470" t="n">
        <v>0</v>
      </c>
      <c r="K470" t="n">
        <v>0</v>
      </c>
      <c r="L470" t="n">
        <v>0</v>
      </c>
      <c r="M470" t="n">
        <v>0</v>
      </c>
      <c r="N470" t="n">
        <v>0</v>
      </c>
      <c r="O470" t="n">
        <v>0</v>
      </c>
      <c r="P470" t="n">
        <v>0</v>
      </c>
      <c r="Q470" t="n">
        <v>0</v>
      </c>
      <c r="R470" s="2" t="inlineStr"/>
    </row>
    <row r="471" ht="15" customHeight="1">
      <c r="A471" t="inlineStr">
        <is>
          <t>A 54387-2024</t>
        </is>
      </c>
      <c r="B471" s="1" t="n">
        <v>45617</v>
      </c>
      <c r="C471" s="1" t="n">
        <v>45929</v>
      </c>
      <c r="D471" t="inlineStr">
        <is>
          <t>VÄSTERBOTTENS LÄN</t>
        </is>
      </c>
      <c r="E471" t="inlineStr">
        <is>
          <t>VILHELMINA</t>
        </is>
      </c>
      <c r="F471" t="inlineStr">
        <is>
          <t>SCA</t>
        </is>
      </c>
      <c r="G471" t="n">
        <v>7.6</v>
      </c>
      <c r="H471" t="n">
        <v>0</v>
      </c>
      <c r="I471" t="n">
        <v>0</v>
      </c>
      <c r="J471" t="n">
        <v>0</v>
      </c>
      <c r="K471" t="n">
        <v>0</v>
      </c>
      <c r="L471" t="n">
        <v>0</v>
      </c>
      <c r="M471" t="n">
        <v>0</v>
      </c>
      <c r="N471" t="n">
        <v>0</v>
      </c>
      <c r="O471" t="n">
        <v>0</v>
      </c>
      <c r="P471" t="n">
        <v>0</v>
      </c>
      <c r="Q471" t="n">
        <v>0</v>
      </c>
      <c r="R471" s="2" t="inlineStr"/>
    </row>
    <row r="472" ht="15" customHeight="1">
      <c r="A472" t="inlineStr">
        <is>
          <t>A 5947-2023</t>
        </is>
      </c>
      <c r="B472" s="1" t="n">
        <v>44963.92259259259</v>
      </c>
      <c r="C472" s="1" t="n">
        <v>45929</v>
      </c>
      <c r="D472" t="inlineStr">
        <is>
          <t>VÄSTERBOTTENS LÄN</t>
        </is>
      </c>
      <c r="E472" t="inlineStr">
        <is>
          <t>VILHELMINA</t>
        </is>
      </c>
      <c r="G472" t="n">
        <v>4.3</v>
      </c>
      <c r="H472" t="n">
        <v>0</v>
      </c>
      <c r="I472" t="n">
        <v>0</v>
      </c>
      <c r="J472" t="n">
        <v>0</v>
      </c>
      <c r="K472" t="n">
        <v>0</v>
      </c>
      <c r="L472" t="n">
        <v>0</v>
      </c>
      <c r="M472" t="n">
        <v>0</v>
      </c>
      <c r="N472" t="n">
        <v>0</v>
      </c>
      <c r="O472" t="n">
        <v>0</v>
      </c>
      <c r="P472" t="n">
        <v>0</v>
      </c>
      <c r="Q472" t="n">
        <v>0</v>
      </c>
      <c r="R472" s="2" t="inlineStr"/>
    </row>
    <row r="473" ht="15" customHeight="1">
      <c r="A473" t="inlineStr">
        <is>
          <t>A 65179-2021</t>
        </is>
      </c>
      <c r="B473" s="1" t="n">
        <v>44515</v>
      </c>
      <c r="C473" s="1" t="n">
        <v>45929</v>
      </c>
      <c r="D473" t="inlineStr">
        <is>
          <t>VÄSTERBOTTENS LÄN</t>
        </is>
      </c>
      <c r="E473" t="inlineStr">
        <is>
          <t>VILHELMINA</t>
        </is>
      </c>
      <c r="G473" t="n">
        <v>8</v>
      </c>
      <c r="H473" t="n">
        <v>0</v>
      </c>
      <c r="I473" t="n">
        <v>0</v>
      </c>
      <c r="J473" t="n">
        <v>0</v>
      </c>
      <c r="K473" t="n">
        <v>0</v>
      </c>
      <c r="L473" t="n">
        <v>0</v>
      </c>
      <c r="M473" t="n">
        <v>0</v>
      </c>
      <c r="N473" t="n">
        <v>0</v>
      </c>
      <c r="O473" t="n">
        <v>0</v>
      </c>
      <c r="P473" t="n">
        <v>0</v>
      </c>
      <c r="Q473" t="n">
        <v>0</v>
      </c>
      <c r="R473" s="2" t="inlineStr"/>
    </row>
    <row r="474" ht="15" customHeight="1">
      <c r="A474" t="inlineStr">
        <is>
          <t>A 33318-2024</t>
        </is>
      </c>
      <c r="B474" s="1" t="n">
        <v>45518.97211805556</v>
      </c>
      <c r="C474" s="1" t="n">
        <v>45929</v>
      </c>
      <c r="D474" t="inlineStr">
        <is>
          <t>VÄSTERBOTTENS LÄN</t>
        </is>
      </c>
      <c r="E474" t="inlineStr">
        <is>
          <t>VILHELMINA</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33321-2024</t>
        </is>
      </c>
      <c r="B475" s="1" t="n">
        <v>45518.97256944444</v>
      </c>
      <c r="C475" s="1" t="n">
        <v>45929</v>
      </c>
      <c r="D475" t="inlineStr">
        <is>
          <t>VÄSTERBOTTENS LÄN</t>
        </is>
      </c>
      <c r="E475" t="inlineStr">
        <is>
          <t>VILHELMINA</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15884-2025</t>
        </is>
      </c>
      <c r="B476" s="1" t="n">
        <v>45749</v>
      </c>
      <c r="C476" s="1" t="n">
        <v>45929</v>
      </c>
      <c r="D476" t="inlineStr">
        <is>
          <t>VÄSTERBOTTENS LÄN</t>
        </is>
      </c>
      <c r="E476" t="inlineStr">
        <is>
          <t>VILHELMINA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45271-2025</t>
        </is>
      </c>
      <c r="B477" s="1" t="n">
        <v>45919</v>
      </c>
      <c r="C477" s="1" t="n">
        <v>45929</v>
      </c>
      <c r="D477" t="inlineStr">
        <is>
          <t>VÄSTERBOTTENS LÄN</t>
        </is>
      </c>
      <c r="E477" t="inlineStr">
        <is>
          <t>VILHELMINA</t>
        </is>
      </c>
      <c r="G477" t="n">
        <v>8.6</v>
      </c>
      <c r="H477" t="n">
        <v>0</v>
      </c>
      <c r="I477" t="n">
        <v>0</v>
      </c>
      <c r="J477" t="n">
        <v>0</v>
      </c>
      <c r="K477" t="n">
        <v>0</v>
      </c>
      <c r="L477" t="n">
        <v>0</v>
      </c>
      <c r="M477" t="n">
        <v>0</v>
      </c>
      <c r="N477" t="n">
        <v>0</v>
      </c>
      <c r="O477" t="n">
        <v>0</v>
      </c>
      <c r="P477" t="n">
        <v>0</v>
      </c>
      <c r="Q477" t="n">
        <v>0</v>
      </c>
      <c r="R477" s="2" t="inlineStr"/>
    </row>
    <row r="478" ht="15" customHeight="1">
      <c r="A478" t="inlineStr">
        <is>
          <t>A 26499-2024</t>
        </is>
      </c>
      <c r="B478" s="1" t="n">
        <v>45469</v>
      </c>
      <c r="C478" s="1" t="n">
        <v>45929</v>
      </c>
      <c r="D478" t="inlineStr">
        <is>
          <t>VÄSTERBOTTENS LÄN</t>
        </is>
      </c>
      <c r="E478" t="inlineStr">
        <is>
          <t>VILHELMINA</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62630-2022</t>
        </is>
      </c>
      <c r="B479" s="1" t="n">
        <v>44917</v>
      </c>
      <c r="C479" s="1" t="n">
        <v>45929</v>
      </c>
      <c r="D479" t="inlineStr">
        <is>
          <t>VÄSTERBOTTENS LÄN</t>
        </is>
      </c>
      <c r="E479" t="inlineStr">
        <is>
          <t>VILHELMINA</t>
        </is>
      </c>
      <c r="G479" t="n">
        <v>0.9</v>
      </c>
      <c r="H479" t="n">
        <v>0</v>
      </c>
      <c r="I479" t="n">
        <v>0</v>
      </c>
      <c r="J479" t="n">
        <v>0</v>
      </c>
      <c r="K479" t="n">
        <v>0</v>
      </c>
      <c r="L479" t="n">
        <v>0</v>
      </c>
      <c r="M479" t="n">
        <v>0</v>
      </c>
      <c r="N479" t="n">
        <v>0</v>
      </c>
      <c r="O479" t="n">
        <v>0</v>
      </c>
      <c r="P479" t="n">
        <v>0</v>
      </c>
      <c r="Q479" t="n">
        <v>0</v>
      </c>
      <c r="R479" s="2" t="inlineStr"/>
    </row>
    <row r="480" ht="15" customHeight="1">
      <c r="A480" t="inlineStr">
        <is>
          <t>A 8745-2023</t>
        </is>
      </c>
      <c r="B480" s="1" t="n">
        <v>44972</v>
      </c>
      <c r="C480" s="1" t="n">
        <v>45929</v>
      </c>
      <c r="D480" t="inlineStr">
        <is>
          <t>VÄSTERBOTTENS LÄN</t>
        </is>
      </c>
      <c r="E480" t="inlineStr">
        <is>
          <t>VILHELMINA</t>
        </is>
      </c>
      <c r="F480" t="inlineStr">
        <is>
          <t>Allmännings- och besparingsskogar</t>
        </is>
      </c>
      <c r="G480" t="n">
        <v>41</v>
      </c>
      <c r="H480" t="n">
        <v>0</v>
      </c>
      <c r="I480" t="n">
        <v>0</v>
      </c>
      <c r="J480" t="n">
        <v>0</v>
      </c>
      <c r="K480" t="n">
        <v>0</v>
      </c>
      <c r="L480" t="n">
        <v>0</v>
      </c>
      <c r="M480" t="n">
        <v>0</v>
      </c>
      <c r="N480" t="n">
        <v>0</v>
      </c>
      <c r="O480" t="n">
        <v>0</v>
      </c>
      <c r="P480" t="n">
        <v>0</v>
      </c>
      <c r="Q480" t="n">
        <v>0</v>
      </c>
      <c r="R480" s="2" t="inlineStr"/>
    </row>
    <row r="481" ht="15" customHeight="1">
      <c r="A481" t="inlineStr">
        <is>
          <t>A 59022-2024</t>
        </is>
      </c>
      <c r="B481" s="1" t="n">
        <v>45636</v>
      </c>
      <c r="C481" s="1" t="n">
        <v>45929</v>
      </c>
      <c r="D481" t="inlineStr">
        <is>
          <t>VÄSTERBOTTENS LÄN</t>
        </is>
      </c>
      <c r="E481" t="inlineStr">
        <is>
          <t>VILHELMINA</t>
        </is>
      </c>
      <c r="F481" t="inlineStr">
        <is>
          <t>Allmännings- och besparingsskogar</t>
        </is>
      </c>
      <c r="G481" t="n">
        <v>35.1</v>
      </c>
      <c r="H481" t="n">
        <v>0</v>
      </c>
      <c r="I481" t="n">
        <v>0</v>
      </c>
      <c r="J481" t="n">
        <v>0</v>
      </c>
      <c r="K481" t="n">
        <v>0</v>
      </c>
      <c r="L481" t="n">
        <v>0</v>
      </c>
      <c r="M481" t="n">
        <v>0</v>
      </c>
      <c r="N481" t="n">
        <v>0</v>
      </c>
      <c r="O481" t="n">
        <v>0</v>
      </c>
      <c r="P481" t="n">
        <v>0</v>
      </c>
      <c r="Q481" t="n">
        <v>0</v>
      </c>
      <c r="R481" s="2" t="inlineStr"/>
    </row>
    <row r="482" ht="15" customHeight="1">
      <c r="A482" t="inlineStr">
        <is>
          <t>A 16719-2025</t>
        </is>
      </c>
      <c r="B482" s="1" t="n">
        <v>45754.49008101852</v>
      </c>
      <c r="C482" s="1" t="n">
        <v>45929</v>
      </c>
      <c r="D482" t="inlineStr">
        <is>
          <t>VÄSTERBOTTENS LÄN</t>
        </is>
      </c>
      <c r="E482" t="inlineStr">
        <is>
          <t>VILHELMINA</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37325-2022</t>
        </is>
      </c>
      <c r="B483" s="1" t="n">
        <v>44806</v>
      </c>
      <c r="C483" s="1" t="n">
        <v>45929</v>
      </c>
      <c r="D483" t="inlineStr">
        <is>
          <t>VÄSTERBOTTENS LÄN</t>
        </is>
      </c>
      <c r="E483" t="inlineStr">
        <is>
          <t>VILHELMINA</t>
        </is>
      </c>
      <c r="F483" t="inlineStr">
        <is>
          <t>Övriga statliga verk och myndigheter</t>
        </is>
      </c>
      <c r="G483" t="n">
        <v>11</v>
      </c>
      <c r="H483" t="n">
        <v>0</v>
      </c>
      <c r="I483" t="n">
        <v>0</v>
      </c>
      <c r="J483" t="n">
        <v>0</v>
      </c>
      <c r="K483" t="n">
        <v>0</v>
      </c>
      <c r="L483" t="n">
        <v>0</v>
      </c>
      <c r="M483" t="n">
        <v>0</v>
      </c>
      <c r="N483" t="n">
        <v>0</v>
      </c>
      <c r="O483" t="n">
        <v>0</v>
      </c>
      <c r="P483" t="n">
        <v>0</v>
      </c>
      <c r="Q483" t="n">
        <v>0</v>
      </c>
      <c r="R483" s="2" t="inlineStr"/>
    </row>
    <row r="484" ht="15" customHeight="1">
      <c r="A484" t="inlineStr">
        <is>
          <t>A 16626-2024</t>
        </is>
      </c>
      <c r="B484" s="1" t="n">
        <v>45408</v>
      </c>
      <c r="C484" s="1" t="n">
        <v>45929</v>
      </c>
      <c r="D484" t="inlineStr">
        <is>
          <t>VÄSTERBOTTENS LÄN</t>
        </is>
      </c>
      <c r="E484" t="inlineStr">
        <is>
          <t>VILHELMINA</t>
        </is>
      </c>
      <c r="G484" t="n">
        <v>15.5</v>
      </c>
      <c r="H484" t="n">
        <v>0</v>
      </c>
      <c r="I484" t="n">
        <v>0</v>
      </c>
      <c r="J484" t="n">
        <v>0</v>
      </c>
      <c r="K484" t="n">
        <v>0</v>
      </c>
      <c r="L484" t="n">
        <v>0</v>
      </c>
      <c r="M484" t="n">
        <v>0</v>
      </c>
      <c r="N484" t="n">
        <v>0</v>
      </c>
      <c r="O484" t="n">
        <v>0</v>
      </c>
      <c r="P484" t="n">
        <v>0</v>
      </c>
      <c r="Q484" t="n">
        <v>0</v>
      </c>
      <c r="R484" s="2" t="inlineStr"/>
    </row>
    <row r="485" ht="15" customHeight="1">
      <c r="A485" t="inlineStr">
        <is>
          <t>A 45749-2025</t>
        </is>
      </c>
      <c r="B485" s="1" t="n">
        <v>45923.48195601852</v>
      </c>
      <c r="C485" s="1" t="n">
        <v>45929</v>
      </c>
      <c r="D485" t="inlineStr">
        <is>
          <t>VÄSTERBOTTENS LÄN</t>
        </is>
      </c>
      <c r="E485" t="inlineStr">
        <is>
          <t>VILHELMINA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8733-2023</t>
        </is>
      </c>
      <c r="B486" s="1" t="n">
        <v>44972</v>
      </c>
      <c r="C486" s="1" t="n">
        <v>45929</v>
      </c>
      <c r="D486" t="inlineStr">
        <is>
          <t>VÄSTERBOTTENS LÄN</t>
        </is>
      </c>
      <c r="E486" t="inlineStr">
        <is>
          <t>VILHELMINA</t>
        </is>
      </c>
      <c r="F486" t="inlineStr">
        <is>
          <t>Allmännings- och besparingsskogar</t>
        </is>
      </c>
      <c r="G486" t="n">
        <v>20</v>
      </c>
      <c r="H486" t="n">
        <v>0</v>
      </c>
      <c r="I486" t="n">
        <v>0</v>
      </c>
      <c r="J486" t="n">
        <v>0</v>
      </c>
      <c r="K486" t="n">
        <v>0</v>
      </c>
      <c r="L486" t="n">
        <v>0</v>
      </c>
      <c r="M486" t="n">
        <v>0</v>
      </c>
      <c r="N486" t="n">
        <v>0</v>
      </c>
      <c r="O486" t="n">
        <v>0</v>
      </c>
      <c r="P486" t="n">
        <v>0</v>
      </c>
      <c r="Q486" t="n">
        <v>0</v>
      </c>
      <c r="R486" s="2" t="inlineStr"/>
    </row>
    <row r="487" ht="15" customHeight="1">
      <c r="A487" t="inlineStr">
        <is>
          <t>A 8759-2023</t>
        </is>
      </c>
      <c r="B487" s="1" t="n">
        <v>44972</v>
      </c>
      <c r="C487" s="1" t="n">
        <v>45929</v>
      </c>
      <c r="D487" t="inlineStr">
        <is>
          <t>VÄSTERBOTTENS LÄN</t>
        </is>
      </c>
      <c r="E487" t="inlineStr">
        <is>
          <t>VILHELMINA</t>
        </is>
      </c>
      <c r="F487" t="inlineStr">
        <is>
          <t>Allmännings- och besparingsskogar</t>
        </is>
      </c>
      <c r="G487" t="n">
        <v>23.4</v>
      </c>
      <c r="H487" t="n">
        <v>0</v>
      </c>
      <c r="I487" t="n">
        <v>0</v>
      </c>
      <c r="J487" t="n">
        <v>0</v>
      </c>
      <c r="K487" t="n">
        <v>0</v>
      </c>
      <c r="L487" t="n">
        <v>0</v>
      </c>
      <c r="M487" t="n">
        <v>0</v>
      </c>
      <c r="N487" t="n">
        <v>0</v>
      </c>
      <c r="O487" t="n">
        <v>0</v>
      </c>
      <c r="P487" t="n">
        <v>0</v>
      </c>
      <c r="Q487" t="n">
        <v>0</v>
      </c>
      <c r="R487" s="2" t="inlineStr"/>
    </row>
    <row r="488" ht="15" customHeight="1">
      <c r="A488" t="inlineStr">
        <is>
          <t>A 55695-2024</t>
        </is>
      </c>
      <c r="B488" s="1" t="n">
        <v>45622</v>
      </c>
      <c r="C488" s="1" t="n">
        <v>45929</v>
      </c>
      <c r="D488" t="inlineStr">
        <is>
          <t>VÄSTERBOTTENS LÄN</t>
        </is>
      </c>
      <c r="E488" t="inlineStr">
        <is>
          <t>VILHELMINA</t>
        </is>
      </c>
      <c r="G488" t="n">
        <v>7.2</v>
      </c>
      <c r="H488" t="n">
        <v>0</v>
      </c>
      <c r="I488" t="n">
        <v>0</v>
      </c>
      <c r="J488" t="n">
        <v>0</v>
      </c>
      <c r="K488" t="n">
        <v>0</v>
      </c>
      <c r="L488" t="n">
        <v>0</v>
      </c>
      <c r="M488" t="n">
        <v>0</v>
      </c>
      <c r="N488" t="n">
        <v>0</v>
      </c>
      <c r="O488" t="n">
        <v>0</v>
      </c>
      <c r="P488" t="n">
        <v>0</v>
      </c>
      <c r="Q488" t="n">
        <v>0</v>
      </c>
      <c r="R488" s="2" t="inlineStr"/>
    </row>
    <row r="489" ht="15" customHeight="1">
      <c r="A489" t="inlineStr">
        <is>
          <t>A 2043-2023</t>
        </is>
      </c>
      <c r="B489" s="1" t="n">
        <v>44939</v>
      </c>
      <c r="C489" s="1" t="n">
        <v>45929</v>
      </c>
      <c r="D489" t="inlineStr">
        <is>
          <t>VÄSTERBOTTENS LÄN</t>
        </is>
      </c>
      <c r="E489" t="inlineStr">
        <is>
          <t>VILHELMINA</t>
        </is>
      </c>
      <c r="F489" t="inlineStr">
        <is>
          <t>Sveaskog</t>
        </is>
      </c>
      <c r="G489" t="n">
        <v>10.5</v>
      </c>
      <c r="H489" t="n">
        <v>0</v>
      </c>
      <c r="I489" t="n">
        <v>0</v>
      </c>
      <c r="J489" t="n">
        <v>0</v>
      </c>
      <c r="K489" t="n">
        <v>0</v>
      </c>
      <c r="L489" t="n">
        <v>0</v>
      </c>
      <c r="M489" t="n">
        <v>0</v>
      </c>
      <c r="N489" t="n">
        <v>0</v>
      </c>
      <c r="O489" t="n">
        <v>0</v>
      </c>
      <c r="P489" t="n">
        <v>0</v>
      </c>
      <c r="Q489" t="n">
        <v>0</v>
      </c>
      <c r="R489" s="2" t="inlineStr"/>
    </row>
    <row r="490" ht="15" customHeight="1">
      <c r="A490" t="inlineStr">
        <is>
          <t>A 59693-2024</t>
        </is>
      </c>
      <c r="B490" s="1" t="n">
        <v>45639</v>
      </c>
      <c r="C490" s="1" t="n">
        <v>45929</v>
      </c>
      <c r="D490" t="inlineStr">
        <is>
          <t>VÄSTERBOTTENS LÄN</t>
        </is>
      </c>
      <c r="E490" t="inlineStr">
        <is>
          <t>VILHELMINA</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36972-2023</t>
        </is>
      </c>
      <c r="B491" s="1" t="n">
        <v>45154</v>
      </c>
      <c r="C491" s="1" t="n">
        <v>45929</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38620-2025</t>
        </is>
      </c>
      <c r="B492" s="1" t="n">
        <v>45884.55297453704</v>
      </c>
      <c r="C492" s="1" t="n">
        <v>45929</v>
      </c>
      <c r="D492" t="inlineStr">
        <is>
          <t>VÄSTERBOTTENS LÄN</t>
        </is>
      </c>
      <c r="E492" t="inlineStr">
        <is>
          <t>VILHELMINA</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56891-2023</t>
        </is>
      </c>
      <c r="B493" s="1" t="n">
        <v>45239</v>
      </c>
      <c r="C493" s="1" t="n">
        <v>45929</v>
      </c>
      <c r="D493" t="inlineStr">
        <is>
          <t>VÄSTERBOTTENS LÄN</t>
        </is>
      </c>
      <c r="E493" t="inlineStr">
        <is>
          <t>VILHELMINA</t>
        </is>
      </c>
      <c r="G493" t="n">
        <v>1.1</v>
      </c>
      <c r="H493" t="n">
        <v>0</v>
      </c>
      <c r="I493" t="n">
        <v>0</v>
      </c>
      <c r="J493" t="n">
        <v>0</v>
      </c>
      <c r="K493" t="n">
        <v>0</v>
      </c>
      <c r="L493" t="n">
        <v>0</v>
      </c>
      <c r="M493" t="n">
        <v>0</v>
      </c>
      <c r="N493" t="n">
        <v>0</v>
      </c>
      <c r="O493" t="n">
        <v>0</v>
      </c>
      <c r="P493" t="n">
        <v>0</v>
      </c>
      <c r="Q493" t="n">
        <v>0</v>
      </c>
      <c r="R493" s="2" t="inlineStr"/>
    </row>
    <row r="494" ht="15" customHeight="1">
      <c r="A494" t="inlineStr">
        <is>
          <t>A 55870-2022</t>
        </is>
      </c>
      <c r="B494" s="1" t="n">
        <v>44888</v>
      </c>
      <c r="C494" s="1" t="n">
        <v>45929</v>
      </c>
      <c r="D494" t="inlineStr">
        <is>
          <t>VÄSTERBOTTENS LÄN</t>
        </is>
      </c>
      <c r="E494" t="inlineStr">
        <is>
          <t>VILHELMINA</t>
        </is>
      </c>
      <c r="G494" t="n">
        <v>13.6</v>
      </c>
      <c r="H494" t="n">
        <v>0</v>
      </c>
      <c r="I494" t="n">
        <v>0</v>
      </c>
      <c r="J494" t="n">
        <v>0</v>
      </c>
      <c r="K494" t="n">
        <v>0</v>
      </c>
      <c r="L494" t="n">
        <v>0</v>
      </c>
      <c r="M494" t="n">
        <v>0</v>
      </c>
      <c r="N494" t="n">
        <v>0</v>
      </c>
      <c r="O494" t="n">
        <v>0</v>
      </c>
      <c r="P494" t="n">
        <v>0</v>
      </c>
      <c r="Q494" t="n">
        <v>0</v>
      </c>
      <c r="R494" s="2" t="inlineStr"/>
    </row>
    <row r="495" ht="15" customHeight="1">
      <c r="A495" t="inlineStr">
        <is>
          <t>A 37505-2023</t>
        </is>
      </c>
      <c r="B495" s="1" t="n">
        <v>45158.31186342592</v>
      </c>
      <c r="C495" s="1" t="n">
        <v>45929</v>
      </c>
      <c r="D495" t="inlineStr">
        <is>
          <t>VÄSTERBOTTENS LÄN</t>
        </is>
      </c>
      <c r="E495" t="inlineStr">
        <is>
          <t>VILHELMINA</t>
        </is>
      </c>
      <c r="G495" t="n">
        <v>10.5</v>
      </c>
      <c r="H495" t="n">
        <v>0</v>
      </c>
      <c r="I495" t="n">
        <v>0</v>
      </c>
      <c r="J495" t="n">
        <v>0</v>
      </c>
      <c r="K495" t="n">
        <v>0</v>
      </c>
      <c r="L495" t="n">
        <v>0</v>
      </c>
      <c r="M495" t="n">
        <v>0</v>
      </c>
      <c r="N495" t="n">
        <v>0</v>
      </c>
      <c r="O495" t="n">
        <v>0</v>
      </c>
      <c r="P495" t="n">
        <v>0</v>
      </c>
      <c r="Q495" t="n">
        <v>0</v>
      </c>
      <c r="R495" s="2" t="inlineStr"/>
    </row>
    <row r="496" ht="15" customHeight="1">
      <c r="A496" t="inlineStr">
        <is>
          <t>A 33661-2023</t>
        </is>
      </c>
      <c r="B496" s="1" t="n">
        <v>45119</v>
      </c>
      <c r="C496" s="1" t="n">
        <v>45929</v>
      </c>
      <c r="D496" t="inlineStr">
        <is>
          <t>VÄSTERBOTTENS LÄN</t>
        </is>
      </c>
      <c r="E496" t="inlineStr">
        <is>
          <t>VILHELMINA</t>
        </is>
      </c>
      <c r="G496" t="n">
        <v>1.8</v>
      </c>
      <c r="H496" t="n">
        <v>0</v>
      </c>
      <c r="I496" t="n">
        <v>0</v>
      </c>
      <c r="J496" t="n">
        <v>0</v>
      </c>
      <c r="K496" t="n">
        <v>0</v>
      </c>
      <c r="L496" t="n">
        <v>0</v>
      </c>
      <c r="M496" t="n">
        <v>0</v>
      </c>
      <c r="N496" t="n">
        <v>0</v>
      </c>
      <c r="O496" t="n">
        <v>0</v>
      </c>
      <c r="P496" t="n">
        <v>0</v>
      </c>
      <c r="Q496" t="n">
        <v>0</v>
      </c>
      <c r="R496" s="2" t="inlineStr"/>
    </row>
    <row r="497" ht="15" customHeight="1">
      <c r="A497" t="inlineStr">
        <is>
          <t>A 27881-2022</t>
        </is>
      </c>
      <c r="B497" s="1" t="n">
        <v>44743</v>
      </c>
      <c r="C497" s="1" t="n">
        <v>45929</v>
      </c>
      <c r="D497" t="inlineStr">
        <is>
          <t>VÄSTERBOTTENS LÄN</t>
        </is>
      </c>
      <c r="E497" t="inlineStr">
        <is>
          <t>VILHELMINA</t>
        </is>
      </c>
      <c r="F497" t="inlineStr">
        <is>
          <t>Sveaskog</t>
        </is>
      </c>
      <c r="G497" t="n">
        <v>14.3</v>
      </c>
      <c r="H497" t="n">
        <v>0</v>
      </c>
      <c r="I497" t="n">
        <v>0</v>
      </c>
      <c r="J497" t="n">
        <v>0</v>
      </c>
      <c r="K497" t="n">
        <v>0</v>
      </c>
      <c r="L497" t="n">
        <v>0</v>
      </c>
      <c r="M497" t="n">
        <v>0</v>
      </c>
      <c r="N497" t="n">
        <v>0</v>
      </c>
      <c r="O497" t="n">
        <v>0</v>
      </c>
      <c r="P497" t="n">
        <v>0</v>
      </c>
      <c r="Q497" t="n">
        <v>0</v>
      </c>
      <c r="R497" s="2" t="inlineStr"/>
    </row>
    <row r="498" ht="15" customHeight="1">
      <c r="A498" t="inlineStr">
        <is>
          <t>A 49241-2024</t>
        </is>
      </c>
      <c r="B498" s="1" t="n">
        <v>45595</v>
      </c>
      <c r="C498" s="1" t="n">
        <v>45929</v>
      </c>
      <c r="D498" t="inlineStr">
        <is>
          <t>VÄSTERBOTTENS LÄN</t>
        </is>
      </c>
      <c r="E498" t="inlineStr">
        <is>
          <t>VILHELMINA</t>
        </is>
      </c>
      <c r="G498" t="n">
        <v>1.4</v>
      </c>
      <c r="H498" t="n">
        <v>0</v>
      </c>
      <c r="I498" t="n">
        <v>0</v>
      </c>
      <c r="J498" t="n">
        <v>0</v>
      </c>
      <c r="K498" t="n">
        <v>0</v>
      </c>
      <c r="L498" t="n">
        <v>0</v>
      </c>
      <c r="M498" t="n">
        <v>0</v>
      </c>
      <c r="N498" t="n">
        <v>0</v>
      </c>
      <c r="O498" t="n">
        <v>0</v>
      </c>
      <c r="P498" t="n">
        <v>0</v>
      </c>
      <c r="Q498" t="n">
        <v>0</v>
      </c>
      <c r="R498" s="2" t="inlineStr"/>
    </row>
    <row r="499" ht="15" customHeight="1">
      <c r="A499" t="inlineStr">
        <is>
          <t>A 44371-2023</t>
        </is>
      </c>
      <c r="B499" s="1" t="n">
        <v>45188</v>
      </c>
      <c r="C499" s="1" t="n">
        <v>45929</v>
      </c>
      <c r="D499" t="inlineStr">
        <is>
          <t>VÄSTERBOTTENS LÄN</t>
        </is>
      </c>
      <c r="E499" t="inlineStr">
        <is>
          <t>VILHELMINA</t>
        </is>
      </c>
      <c r="G499" t="n">
        <v>11</v>
      </c>
      <c r="H499" t="n">
        <v>0</v>
      </c>
      <c r="I499" t="n">
        <v>0</v>
      </c>
      <c r="J499" t="n">
        <v>0</v>
      </c>
      <c r="K499" t="n">
        <v>0</v>
      </c>
      <c r="L499" t="n">
        <v>0</v>
      </c>
      <c r="M499" t="n">
        <v>0</v>
      </c>
      <c r="N499" t="n">
        <v>0</v>
      </c>
      <c r="O499" t="n">
        <v>0</v>
      </c>
      <c r="P499" t="n">
        <v>0</v>
      </c>
      <c r="Q499" t="n">
        <v>0</v>
      </c>
      <c r="R499" s="2" t="inlineStr"/>
    </row>
    <row r="500" ht="15" customHeight="1">
      <c r="A500" t="inlineStr">
        <is>
          <t>A 33349-2023</t>
        </is>
      </c>
      <c r="B500" s="1" t="n">
        <v>45117</v>
      </c>
      <c r="C500" s="1" t="n">
        <v>45929</v>
      </c>
      <c r="D500" t="inlineStr">
        <is>
          <t>VÄSTERBOTTENS LÄN</t>
        </is>
      </c>
      <c r="E500" t="inlineStr">
        <is>
          <t>VILHELMINA</t>
        </is>
      </c>
      <c r="G500" t="n">
        <v>1.3</v>
      </c>
      <c r="H500" t="n">
        <v>0</v>
      </c>
      <c r="I500" t="n">
        <v>0</v>
      </c>
      <c r="J500" t="n">
        <v>0</v>
      </c>
      <c r="K500" t="n">
        <v>0</v>
      </c>
      <c r="L500" t="n">
        <v>0</v>
      </c>
      <c r="M500" t="n">
        <v>0</v>
      </c>
      <c r="N500" t="n">
        <v>0</v>
      </c>
      <c r="O500" t="n">
        <v>0</v>
      </c>
      <c r="P500" t="n">
        <v>0</v>
      </c>
      <c r="Q500" t="n">
        <v>0</v>
      </c>
      <c r="R500" s="2" t="inlineStr"/>
    </row>
    <row r="501" ht="15" customHeight="1">
      <c r="A501" t="inlineStr">
        <is>
          <t>A 43987-2024</t>
        </is>
      </c>
      <c r="B501" s="1" t="n">
        <v>45572.51092592593</v>
      </c>
      <c r="C501" s="1" t="n">
        <v>45929</v>
      </c>
      <c r="D501" t="inlineStr">
        <is>
          <t>VÄSTERBOTTENS LÄN</t>
        </is>
      </c>
      <c r="E501" t="inlineStr">
        <is>
          <t>VILHELMINA</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58450-2024</t>
        </is>
      </c>
      <c r="B502" s="1" t="n">
        <v>45635.34425925926</v>
      </c>
      <c r="C502" s="1" t="n">
        <v>45929</v>
      </c>
      <c r="D502" t="inlineStr">
        <is>
          <t>VÄSTERBOTTENS LÄN</t>
        </is>
      </c>
      <c r="E502" t="inlineStr">
        <is>
          <t>VILHELMINA</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5575-2025</t>
        </is>
      </c>
      <c r="B503" s="1" t="n">
        <v>45693.53200231482</v>
      </c>
      <c r="C503" s="1" t="n">
        <v>45929</v>
      </c>
      <c r="D503" t="inlineStr">
        <is>
          <t>VÄSTERBOTTENS LÄN</t>
        </is>
      </c>
      <c r="E503" t="inlineStr">
        <is>
          <t>VILHELMINA</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45929</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11538-2024</t>
        </is>
      </c>
      <c r="B505" s="1" t="n">
        <v>45372</v>
      </c>
      <c r="C505" s="1" t="n">
        <v>45929</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34763-2024</t>
        </is>
      </c>
      <c r="B506" s="1" t="n">
        <v>45526.61646990741</v>
      </c>
      <c r="C506" s="1" t="n">
        <v>45929</v>
      </c>
      <c r="D506" t="inlineStr">
        <is>
          <t>VÄSTERBOTTENS LÄN</t>
        </is>
      </c>
      <c r="E506" t="inlineStr">
        <is>
          <t>VILHELMINA</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34764-2024</t>
        </is>
      </c>
      <c r="B507" s="1" t="n">
        <v>45526.61664351852</v>
      </c>
      <c r="C507" s="1" t="n">
        <v>45929</v>
      </c>
      <c r="D507" t="inlineStr">
        <is>
          <t>VÄSTERBOTTENS LÄN</t>
        </is>
      </c>
      <c r="E507" t="inlineStr">
        <is>
          <t>VILHELMINA</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15639-2024</t>
        </is>
      </c>
      <c r="B508" s="1" t="n">
        <v>45403</v>
      </c>
      <c r="C508" s="1" t="n">
        <v>45929</v>
      </c>
      <c r="D508" t="inlineStr">
        <is>
          <t>VÄSTERBOTTENS LÄN</t>
        </is>
      </c>
      <c r="E508" t="inlineStr">
        <is>
          <t>VILHELMINA</t>
        </is>
      </c>
      <c r="G508" t="n">
        <v>81.90000000000001</v>
      </c>
      <c r="H508" t="n">
        <v>0</v>
      </c>
      <c r="I508" t="n">
        <v>0</v>
      </c>
      <c r="J508" t="n">
        <v>0</v>
      </c>
      <c r="K508" t="n">
        <v>0</v>
      </c>
      <c r="L508" t="n">
        <v>0</v>
      </c>
      <c r="M508" t="n">
        <v>0</v>
      </c>
      <c r="N508" t="n">
        <v>0</v>
      </c>
      <c r="O508" t="n">
        <v>0</v>
      </c>
      <c r="P508" t="n">
        <v>0</v>
      </c>
      <c r="Q508" t="n">
        <v>0</v>
      </c>
      <c r="R508" s="2" t="inlineStr"/>
    </row>
    <row r="509" ht="15" customHeight="1">
      <c r="A509" t="inlineStr">
        <is>
          <t>A 10418-2023</t>
        </is>
      </c>
      <c r="B509" s="1" t="n">
        <v>44987</v>
      </c>
      <c r="C509" s="1" t="n">
        <v>45929</v>
      </c>
      <c r="D509" t="inlineStr">
        <is>
          <t>VÄSTERBOTTENS LÄN</t>
        </is>
      </c>
      <c r="E509" t="inlineStr">
        <is>
          <t>VILHELMINA</t>
        </is>
      </c>
      <c r="G509" t="n">
        <v>3.2</v>
      </c>
      <c r="H509" t="n">
        <v>0</v>
      </c>
      <c r="I509" t="n">
        <v>0</v>
      </c>
      <c r="J509" t="n">
        <v>0</v>
      </c>
      <c r="K509" t="n">
        <v>0</v>
      </c>
      <c r="L509" t="n">
        <v>0</v>
      </c>
      <c r="M509" t="n">
        <v>0</v>
      </c>
      <c r="N509" t="n">
        <v>0</v>
      </c>
      <c r="O509" t="n">
        <v>0</v>
      </c>
      <c r="P509" t="n">
        <v>0</v>
      </c>
      <c r="Q509" t="n">
        <v>0</v>
      </c>
      <c r="R509" s="2" t="inlineStr"/>
    </row>
    <row r="510" ht="15" customHeight="1">
      <c r="A510" t="inlineStr">
        <is>
          <t>A 24457-2024</t>
        </is>
      </c>
      <c r="B510" s="1" t="n">
        <v>45457.96708333334</v>
      </c>
      <c r="C510" s="1" t="n">
        <v>45929</v>
      </c>
      <c r="D510" t="inlineStr">
        <is>
          <t>VÄSTERBOTTENS LÄN</t>
        </is>
      </c>
      <c r="E510" t="inlineStr">
        <is>
          <t>VILHELMINA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35409-2024</t>
        </is>
      </c>
      <c r="B511" s="1" t="n">
        <v>45531</v>
      </c>
      <c r="C511" s="1" t="n">
        <v>45929</v>
      </c>
      <c r="D511" t="inlineStr">
        <is>
          <t>VÄSTERBOTTENS LÄN</t>
        </is>
      </c>
      <c r="E511" t="inlineStr">
        <is>
          <t>VILHELMINA</t>
        </is>
      </c>
      <c r="F511" t="inlineStr">
        <is>
          <t>SCA</t>
        </is>
      </c>
      <c r="G511" t="n">
        <v>13.1</v>
      </c>
      <c r="H511" t="n">
        <v>0</v>
      </c>
      <c r="I511" t="n">
        <v>0</v>
      </c>
      <c r="J511" t="n">
        <v>0</v>
      </c>
      <c r="K511" t="n">
        <v>0</v>
      </c>
      <c r="L511" t="n">
        <v>0</v>
      </c>
      <c r="M511" t="n">
        <v>0</v>
      </c>
      <c r="N511" t="n">
        <v>0</v>
      </c>
      <c r="O511" t="n">
        <v>0</v>
      </c>
      <c r="P511" t="n">
        <v>0</v>
      </c>
      <c r="Q511" t="n">
        <v>0</v>
      </c>
      <c r="R511" s="2" t="inlineStr"/>
    </row>
    <row r="512" ht="15" customHeight="1">
      <c r="A512" t="inlineStr">
        <is>
          <t>A 34087-2023</t>
        </is>
      </c>
      <c r="B512" s="1" t="n">
        <v>45125</v>
      </c>
      <c r="C512" s="1" t="n">
        <v>45929</v>
      </c>
      <c r="D512" t="inlineStr">
        <is>
          <t>VÄSTERBOTTENS LÄN</t>
        </is>
      </c>
      <c r="E512" t="inlineStr">
        <is>
          <t>VILHELMINA</t>
        </is>
      </c>
      <c r="G512" t="n">
        <v>13.2</v>
      </c>
      <c r="H512" t="n">
        <v>0</v>
      </c>
      <c r="I512" t="n">
        <v>0</v>
      </c>
      <c r="J512" t="n">
        <v>0</v>
      </c>
      <c r="K512" t="n">
        <v>0</v>
      </c>
      <c r="L512" t="n">
        <v>0</v>
      </c>
      <c r="M512" t="n">
        <v>0</v>
      </c>
      <c r="N512" t="n">
        <v>0</v>
      </c>
      <c r="O512" t="n">
        <v>0</v>
      </c>
      <c r="P512" t="n">
        <v>0</v>
      </c>
      <c r="Q512" t="n">
        <v>0</v>
      </c>
      <c r="R512" s="2" t="inlineStr"/>
    </row>
    <row r="513" ht="15" customHeight="1">
      <c r="A513" t="inlineStr">
        <is>
          <t>A 38125-2024</t>
        </is>
      </c>
      <c r="B513" s="1" t="n">
        <v>45545.40717592592</v>
      </c>
      <c r="C513" s="1" t="n">
        <v>45929</v>
      </c>
      <c r="D513" t="inlineStr">
        <is>
          <t>VÄSTERBOTTENS LÄN</t>
        </is>
      </c>
      <c r="E513" t="inlineStr">
        <is>
          <t>VILHELMINA</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38126-2024</t>
        </is>
      </c>
      <c r="B514" s="1" t="n">
        <v>45545</v>
      </c>
      <c r="C514" s="1" t="n">
        <v>45929</v>
      </c>
      <c r="D514" t="inlineStr">
        <is>
          <t>VÄSTERBOTTENS LÄN</t>
        </is>
      </c>
      <c r="E514" t="inlineStr">
        <is>
          <t>VILHELMINA</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38130-2024</t>
        </is>
      </c>
      <c r="B515" s="1" t="n">
        <v>45545</v>
      </c>
      <c r="C515" s="1" t="n">
        <v>45929</v>
      </c>
      <c r="D515" t="inlineStr">
        <is>
          <t>VÄSTERBOTTENS LÄN</t>
        </is>
      </c>
      <c r="E515" t="inlineStr">
        <is>
          <t>VILHELMINA</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36214-2023</t>
        </is>
      </c>
      <c r="B516" s="1" t="n">
        <v>45149.95256944445</v>
      </c>
      <c r="C516" s="1" t="n">
        <v>45929</v>
      </c>
      <c r="D516" t="inlineStr">
        <is>
          <t>VÄSTERBOTTENS LÄN</t>
        </is>
      </c>
      <c r="E516" t="inlineStr">
        <is>
          <t>VILHELMINA</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19464-2025</t>
        </is>
      </c>
      <c r="B517" s="1" t="n">
        <v>45770</v>
      </c>
      <c r="C517" s="1" t="n">
        <v>45929</v>
      </c>
      <c r="D517" t="inlineStr">
        <is>
          <t>VÄSTERBOTTENS LÄN</t>
        </is>
      </c>
      <c r="E517" t="inlineStr">
        <is>
          <t>VILHELMINA</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39670-2024</t>
        </is>
      </c>
      <c r="B518" s="1" t="n">
        <v>45552.5315162037</v>
      </c>
      <c r="C518" s="1" t="n">
        <v>45929</v>
      </c>
      <c r="D518" t="inlineStr">
        <is>
          <t>VÄSTERBOTTENS LÄN</t>
        </is>
      </c>
      <c r="E518" t="inlineStr">
        <is>
          <t>VILHELMINA</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49236-2024</t>
        </is>
      </c>
      <c r="B519" s="1" t="n">
        <v>45595</v>
      </c>
      <c r="C519" s="1" t="n">
        <v>45929</v>
      </c>
      <c r="D519" t="inlineStr">
        <is>
          <t>VÄSTERBOTTENS LÄN</t>
        </is>
      </c>
      <c r="E519" t="inlineStr">
        <is>
          <t>VILHELMINA</t>
        </is>
      </c>
      <c r="G519" t="n">
        <v>4.1</v>
      </c>
      <c r="H519" t="n">
        <v>0</v>
      </c>
      <c r="I519" t="n">
        <v>0</v>
      </c>
      <c r="J519" t="n">
        <v>0</v>
      </c>
      <c r="K519" t="n">
        <v>0</v>
      </c>
      <c r="L519" t="n">
        <v>0</v>
      </c>
      <c r="M519" t="n">
        <v>0</v>
      </c>
      <c r="N519" t="n">
        <v>0</v>
      </c>
      <c r="O519" t="n">
        <v>0</v>
      </c>
      <c r="P519" t="n">
        <v>0</v>
      </c>
      <c r="Q519" t="n">
        <v>0</v>
      </c>
      <c r="R519" s="2" t="inlineStr"/>
    </row>
    <row r="520" ht="15" customHeight="1">
      <c r="A520" t="inlineStr">
        <is>
          <t>A 18781-2021</t>
        </is>
      </c>
      <c r="B520" s="1" t="n">
        <v>44307</v>
      </c>
      <c r="C520" s="1" t="n">
        <v>45929</v>
      </c>
      <c r="D520" t="inlineStr">
        <is>
          <t>VÄSTERBOTTENS LÄN</t>
        </is>
      </c>
      <c r="E520" t="inlineStr">
        <is>
          <t>VILHELMINA</t>
        </is>
      </c>
      <c r="G520" t="n">
        <v>3.5</v>
      </c>
      <c r="H520" t="n">
        <v>0</v>
      </c>
      <c r="I520" t="n">
        <v>0</v>
      </c>
      <c r="J520" t="n">
        <v>0</v>
      </c>
      <c r="K520" t="n">
        <v>0</v>
      </c>
      <c r="L520" t="n">
        <v>0</v>
      </c>
      <c r="M520" t="n">
        <v>0</v>
      </c>
      <c r="N520" t="n">
        <v>0</v>
      </c>
      <c r="O520" t="n">
        <v>0</v>
      </c>
      <c r="P520" t="n">
        <v>0</v>
      </c>
      <c r="Q520" t="n">
        <v>0</v>
      </c>
      <c r="R520" s="2" t="inlineStr"/>
    </row>
    <row r="521" ht="15" customHeight="1">
      <c r="A521" t="inlineStr">
        <is>
          <t>A 64254-2020</t>
        </is>
      </c>
      <c r="B521" s="1" t="n">
        <v>44168</v>
      </c>
      <c r="C521" s="1" t="n">
        <v>45929</v>
      </c>
      <c r="D521" t="inlineStr">
        <is>
          <t>VÄSTERBOTTENS LÄN</t>
        </is>
      </c>
      <c r="E521" t="inlineStr">
        <is>
          <t>VILHELMINA</t>
        </is>
      </c>
      <c r="G521" t="n">
        <v>17.6</v>
      </c>
      <c r="H521" t="n">
        <v>0</v>
      </c>
      <c r="I521" t="n">
        <v>0</v>
      </c>
      <c r="J521" t="n">
        <v>0</v>
      </c>
      <c r="K521" t="n">
        <v>0</v>
      </c>
      <c r="L521" t="n">
        <v>0</v>
      </c>
      <c r="M521" t="n">
        <v>0</v>
      </c>
      <c r="N521" t="n">
        <v>0</v>
      </c>
      <c r="O521" t="n">
        <v>0</v>
      </c>
      <c r="P521" t="n">
        <v>0</v>
      </c>
      <c r="Q521" t="n">
        <v>0</v>
      </c>
      <c r="R521" s="2" t="inlineStr"/>
    </row>
    <row r="522" ht="15" customHeight="1">
      <c r="A522" t="inlineStr">
        <is>
          <t>A 22457-2025</t>
        </is>
      </c>
      <c r="B522" s="1" t="n">
        <v>45786</v>
      </c>
      <c r="C522" s="1" t="n">
        <v>45929</v>
      </c>
      <c r="D522" t="inlineStr">
        <is>
          <t>VÄSTERBOTTENS LÄN</t>
        </is>
      </c>
      <c r="E522" t="inlineStr">
        <is>
          <t>VILHELMINA</t>
        </is>
      </c>
      <c r="G522" t="n">
        <v>10.8</v>
      </c>
      <c r="H522" t="n">
        <v>0</v>
      </c>
      <c r="I522" t="n">
        <v>0</v>
      </c>
      <c r="J522" t="n">
        <v>0</v>
      </c>
      <c r="K522" t="n">
        <v>0</v>
      </c>
      <c r="L522" t="n">
        <v>0</v>
      </c>
      <c r="M522" t="n">
        <v>0</v>
      </c>
      <c r="N522" t="n">
        <v>0</v>
      </c>
      <c r="O522" t="n">
        <v>0</v>
      </c>
      <c r="P522" t="n">
        <v>0</v>
      </c>
      <c r="Q522" t="n">
        <v>0</v>
      </c>
      <c r="R522" s="2" t="inlineStr"/>
    </row>
    <row r="523" ht="15" customHeight="1">
      <c r="A523" t="inlineStr">
        <is>
          <t>A 475-2024</t>
        </is>
      </c>
      <c r="B523" s="1" t="n">
        <v>45297.83246527778</v>
      </c>
      <c r="C523" s="1" t="n">
        <v>45929</v>
      </c>
      <c r="D523" t="inlineStr">
        <is>
          <t>VÄSTERBOTTENS LÄN</t>
        </is>
      </c>
      <c r="E523" t="inlineStr">
        <is>
          <t>VILHELMINA</t>
        </is>
      </c>
      <c r="G523" t="n">
        <v>6.1</v>
      </c>
      <c r="H523" t="n">
        <v>0</v>
      </c>
      <c r="I523" t="n">
        <v>0</v>
      </c>
      <c r="J523" t="n">
        <v>0</v>
      </c>
      <c r="K523" t="n">
        <v>0</v>
      </c>
      <c r="L523" t="n">
        <v>0</v>
      </c>
      <c r="M523" t="n">
        <v>0</v>
      </c>
      <c r="N523" t="n">
        <v>0</v>
      </c>
      <c r="O523" t="n">
        <v>0</v>
      </c>
      <c r="P523" t="n">
        <v>0</v>
      </c>
      <c r="Q523" t="n">
        <v>0</v>
      </c>
      <c r="R523" s="2" t="inlineStr"/>
    </row>
    <row r="524" ht="15" customHeight="1">
      <c r="A524" t="inlineStr">
        <is>
          <t>A 61801-2024</t>
        </is>
      </c>
      <c r="B524" s="1" t="n">
        <v>45649.56392361111</v>
      </c>
      <c r="C524" s="1" t="n">
        <v>45929</v>
      </c>
      <c r="D524" t="inlineStr">
        <is>
          <t>VÄSTERBOTTENS LÄN</t>
        </is>
      </c>
      <c r="E524" t="inlineStr">
        <is>
          <t>VILHELMINA</t>
        </is>
      </c>
      <c r="G524" t="n">
        <v>2.5</v>
      </c>
      <c r="H524" t="n">
        <v>0</v>
      </c>
      <c r="I524" t="n">
        <v>0</v>
      </c>
      <c r="J524" t="n">
        <v>0</v>
      </c>
      <c r="K524" t="n">
        <v>0</v>
      </c>
      <c r="L524" t="n">
        <v>0</v>
      </c>
      <c r="M524" t="n">
        <v>0</v>
      </c>
      <c r="N524" t="n">
        <v>0</v>
      </c>
      <c r="O524" t="n">
        <v>0</v>
      </c>
      <c r="P524" t="n">
        <v>0</v>
      </c>
      <c r="Q524" t="n">
        <v>0</v>
      </c>
      <c r="R524" s="2" t="inlineStr"/>
    </row>
    <row r="525" ht="15" customHeight="1">
      <c r="A525" t="inlineStr">
        <is>
          <t>A 61780-2023</t>
        </is>
      </c>
      <c r="B525" s="1" t="n">
        <v>45265.95685185185</v>
      </c>
      <c r="C525" s="1" t="n">
        <v>45929</v>
      </c>
      <c r="D525" t="inlineStr">
        <is>
          <t>VÄSTERBOTTENS LÄN</t>
        </is>
      </c>
      <c r="E525" t="inlineStr">
        <is>
          <t>VILHELMINA</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37514-2024</t>
        </is>
      </c>
      <c r="B526" s="1" t="n">
        <v>45541.38586805556</v>
      </c>
      <c r="C526" s="1" t="n">
        <v>45929</v>
      </c>
      <c r="D526" t="inlineStr">
        <is>
          <t>VÄSTERBOTTENS LÄN</t>
        </is>
      </c>
      <c r="E526" t="inlineStr">
        <is>
          <t>VILHELMINA</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59031-2024</t>
        </is>
      </c>
      <c r="B527" s="1" t="n">
        <v>45636</v>
      </c>
      <c r="C527" s="1" t="n">
        <v>45929</v>
      </c>
      <c r="D527" t="inlineStr">
        <is>
          <t>VÄSTERBOTTENS LÄN</t>
        </is>
      </c>
      <c r="E527" t="inlineStr">
        <is>
          <t>VILHELMINA</t>
        </is>
      </c>
      <c r="G527" t="n">
        <v>40.2</v>
      </c>
      <c r="H527" t="n">
        <v>0</v>
      </c>
      <c r="I527" t="n">
        <v>0</v>
      </c>
      <c r="J527" t="n">
        <v>0</v>
      </c>
      <c r="K527" t="n">
        <v>0</v>
      </c>
      <c r="L527" t="n">
        <v>0</v>
      </c>
      <c r="M527" t="n">
        <v>0</v>
      </c>
      <c r="N527" t="n">
        <v>0</v>
      </c>
      <c r="O527" t="n">
        <v>0</v>
      </c>
      <c r="P527" t="n">
        <v>0</v>
      </c>
      <c r="Q527" t="n">
        <v>0</v>
      </c>
      <c r="R527" s="2" t="inlineStr"/>
    </row>
    <row r="528" ht="15" customHeight="1">
      <c r="A528" t="inlineStr">
        <is>
          <t>A 38597-2025</t>
        </is>
      </c>
      <c r="B528" s="1" t="n">
        <v>45884.49061342593</v>
      </c>
      <c r="C528" s="1" t="n">
        <v>45929</v>
      </c>
      <c r="D528" t="inlineStr">
        <is>
          <t>VÄSTERBOTTENS LÄN</t>
        </is>
      </c>
      <c r="E528" t="inlineStr">
        <is>
          <t>VILHELMINA</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38357-2025</t>
        </is>
      </c>
      <c r="B529" s="1" t="n">
        <v>45883.53263888889</v>
      </c>
      <c r="C529" s="1" t="n">
        <v>45929</v>
      </c>
      <c r="D529" t="inlineStr">
        <is>
          <t>VÄSTERBOTTENS LÄN</t>
        </is>
      </c>
      <c r="E529" t="inlineStr">
        <is>
          <t>VILHELMINA</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38360-2025</t>
        </is>
      </c>
      <c r="B530" s="1" t="n">
        <v>45883.53290509259</v>
      </c>
      <c r="C530" s="1" t="n">
        <v>45929</v>
      </c>
      <c r="D530" t="inlineStr">
        <is>
          <t>VÄSTERBOTTENS LÄN</t>
        </is>
      </c>
      <c r="E530" t="inlineStr">
        <is>
          <t>VILHELMINA</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38384-2025</t>
        </is>
      </c>
      <c r="B531" s="1" t="n">
        <v>45883</v>
      </c>
      <c r="C531" s="1" t="n">
        <v>45929</v>
      </c>
      <c r="D531" t="inlineStr">
        <is>
          <t>VÄSTERBOTTENS LÄN</t>
        </is>
      </c>
      <c r="E531" t="inlineStr">
        <is>
          <t>VILHELMINA</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38387-2025</t>
        </is>
      </c>
      <c r="B532" s="1" t="n">
        <v>45883.57451388889</v>
      </c>
      <c r="C532" s="1" t="n">
        <v>45929</v>
      </c>
      <c r="D532" t="inlineStr">
        <is>
          <t>VÄSTERBOTTENS LÄN</t>
        </is>
      </c>
      <c r="E532" t="inlineStr">
        <is>
          <t>VILHELMINA</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38454-2025</t>
        </is>
      </c>
      <c r="B533" s="1" t="n">
        <v>45883.67839120371</v>
      </c>
      <c r="C533" s="1" t="n">
        <v>45929</v>
      </c>
      <c r="D533" t="inlineStr">
        <is>
          <t>VÄSTERBOTTENS LÄN</t>
        </is>
      </c>
      <c r="E533" t="inlineStr">
        <is>
          <t>VILHELMINA</t>
        </is>
      </c>
      <c r="G533" t="n">
        <v>4.8</v>
      </c>
      <c r="H533" t="n">
        <v>0</v>
      </c>
      <c r="I533" t="n">
        <v>0</v>
      </c>
      <c r="J533" t="n">
        <v>0</v>
      </c>
      <c r="K533" t="n">
        <v>0</v>
      </c>
      <c r="L533" t="n">
        <v>0</v>
      </c>
      <c r="M533" t="n">
        <v>0</v>
      </c>
      <c r="N533" t="n">
        <v>0</v>
      </c>
      <c r="O533" t="n">
        <v>0</v>
      </c>
      <c r="P533" t="n">
        <v>0</v>
      </c>
      <c r="Q533" t="n">
        <v>0</v>
      </c>
      <c r="R533" s="2" t="inlineStr"/>
    </row>
    <row r="534" ht="15" customHeight="1">
      <c r="A534" t="inlineStr">
        <is>
          <t>A 38409-2025</t>
        </is>
      </c>
      <c r="B534" s="1" t="n">
        <v>45883.59429398148</v>
      </c>
      <c r="C534" s="1" t="n">
        <v>45929</v>
      </c>
      <c r="D534" t="inlineStr">
        <is>
          <t>VÄSTERBOTTENS LÄN</t>
        </is>
      </c>
      <c r="E534" t="inlineStr">
        <is>
          <t>VILHELMINA</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58179-2024</t>
        </is>
      </c>
      <c r="B535" s="1" t="n">
        <v>45632.4690162037</v>
      </c>
      <c r="C535" s="1" t="n">
        <v>45929</v>
      </c>
      <c r="D535" t="inlineStr">
        <is>
          <t>VÄSTERBOTTENS LÄN</t>
        </is>
      </c>
      <c r="E535" t="inlineStr">
        <is>
          <t>VILHELMINA</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367-2024</t>
        </is>
      </c>
      <c r="B536" s="1" t="n">
        <v>45295</v>
      </c>
      <c r="C536" s="1" t="n">
        <v>45929</v>
      </c>
      <c r="D536" t="inlineStr">
        <is>
          <t>VÄSTERBOTTENS LÄN</t>
        </is>
      </c>
      <c r="E536" t="inlineStr">
        <is>
          <t>VILHELMINA</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45929</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55697-2024</t>
        </is>
      </c>
      <c r="B538" s="1" t="n">
        <v>45622</v>
      </c>
      <c r="C538" s="1" t="n">
        <v>45929</v>
      </c>
      <c r="D538" t="inlineStr">
        <is>
          <t>VÄSTERBOTTENS LÄN</t>
        </is>
      </c>
      <c r="E538" t="inlineStr">
        <is>
          <t>VILHELMINA</t>
        </is>
      </c>
      <c r="G538" t="n">
        <v>3.2</v>
      </c>
      <c r="H538" t="n">
        <v>0</v>
      </c>
      <c r="I538" t="n">
        <v>0</v>
      </c>
      <c r="J538" t="n">
        <v>0</v>
      </c>
      <c r="K538" t="n">
        <v>0</v>
      </c>
      <c r="L538" t="n">
        <v>0</v>
      </c>
      <c r="M538" t="n">
        <v>0</v>
      </c>
      <c r="N538" t="n">
        <v>0</v>
      </c>
      <c r="O538" t="n">
        <v>0</v>
      </c>
      <c r="P538" t="n">
        <v>0</v>
      </c>
      <c r="Q538" t="n">
        <v>0</v>
      </c>
      <c r="R538" s="2" t="inlineStr"/>
    </row>
    <row r="539" ht="15" customHeight="1">
      <c r="A539" t="inlineStr">
        <is>
          <t>A 12765-2025</t>
        </is>
      </c>
      <c r="B539" s="1" t="n">
        <v>45733</v>
      </c>
      <c r="C539" s="1" t="n">
        <v>45929</v>
      </c>
      <c r="D539" t="inlineStr">
        <is>
          <t>VÄSTERBOTTENS LÄN</t>
        </is>
      </c>
      <c r="E539" t="inlineStr">
        <is>
          <t>VILHELMINA</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28695-2024</t>
        </is>
      </c>
      <c r="B540" s="1" t="n">
        <v>45478</v>
      </c>
      <c r="C540" s="1" t="n">
        <v>45929</v>
      </c>
      <c r="D540" t="inlineStr">
        <is>
          <t>VÄSTERBOTTENS LÄN</t>
        </is>
      </c>
      <c r="E540" t="inlineStr">
        <is>
          <t>VILHELMINA</t>
        </is>
      </c>
      <c r="F540" t="inlineStr">
        <is>
          <t>Allmännings- och besparingsskogar</t>
        </is>
      </c>
      <c r="G540" t="n">
        <v>3.1</v>
      </c>
      <c r="H540" t="n">
        <v>0</v>
      </c>
      <c r="I540" t="n">
        <v>0</v>
      </c>
      <c r="J540" t="n">
        <v>0</v>
      </c>
      <c r="K540" t="n">
        <v>0</v>
      </c>
      <c r="L540" t="n">
        <v>0</v>
      </c>
      <c r="M540" t="n">
        <v>0</v>
      </c>
      <c r="N540" t="n">
        <v>0</v>
      </c>
      <c r="O540" t="n">
        <v>0</v>
      </c>
      <c r="P540" t="n">
        <v>0</v>
      </c>
      <c r="Q540" t="n">
        <v>0</v>
      </c>
      <c r="R540" s="2" t="inlineStr"/>
    </row>
    <row r="541" ht="15" customHeight="1">
      <c r="A541" t="inlineStr">
        <is>
          <t>A 33828-2024</t>
        </is>
      </c>
      <c r="B541" s="1" t="n">
        <v>45520.61695601852</v>
      </c>
      <c r="C541" s="1" t="n">
        <v>45929</v>
      </c>
      <c r="D541" t="inlineStr">
        <is>
          <t>VÄSTERBOTTENS LÄN</t>
        </is>
      </c>
      <c r="E541" t="inlineStr">
        <is>
          <t>VILHELMINA</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13557-2024</t>
        </is>
      </c>
      <c r="B542" s="1" t="n">
        <v>45388</v>
      </c>
      <c r="C542" s="1" t="n">
        <v>45929</v>
      </c>
      <c r="D542" t="inlineStr">
        <is>
          <t>VÄSTERBOTTENS LÄN</t>
        </is>
      </c>
      <c r="E542" t="inlineStr">
        <is>
          <t>VILHELMINA</t>
        </is>
      </c>
      <c r="G542" t="n">
        <v>11.2</v>
      </c>
      <c r="H542" t="n">
        <v>0</v>
      </c>
      <c r="I542" t="n">
        <v>0</v>
      </c>
      <c r="J542" t="n">
        <v>0</v>
      </c>
      <c r="K542" t="n">
        <v>0</v>
      </c>
      <c r="L542" t="n">
        <v>0</v>
      </c>
      <c r="M542" t="n">
        <v>0</v>
      </c>
      <c r="N542" t="n">
        <v>0</v>
      </c>
      <c r="O542" t="n">
        <v>0</v>
      </c>
      <c r="P542" t="n">
        <v>0</v>
      </c>
      <c r="Q542" t="n">
        <v>0</v>
      </c>
      <c r="R542" s="2" t="inlineStr"/>
    </row>
    <row r="543" ht="15" customHeight="1">
      <c r="A543" t="inlineStr">
        <is>
          <t>A 40732-2024</t>
        </is>
      </c>
      <c r="B543" s="1" t="n">
        <v>45558</v>
      </c>
      <c r="C543" s="1" t="n">
        <v>45929</v>
      </c>
      <c r="D543" t="inlineStr">
        <is>
          <t>VÄSTERBOTTENS LÄN</t>
        </is>
      </c>
      <c r="E543" t="inlineStr">
        <is>
          <t>VILHELMINA</t>
        </is>
      </c>
      <c r="F543" t="inlineStr">
        <is>
          <t>Allmännings- och besparingsskogar</t>
        </is>
      </c>
      <c r="G543" t="n">
        <v>90</v>
      </c>
      <c r="H543" t="n">
        <v>0</v>
      </c>
      <c r="I543" t="n">
        <v>0</v>
      </c>
      <c r="J543" t="n">
        <v>0</v>
      </c>
      <c r="K543" t="n">
        <v>0</v>
      </c>
      <c r="L543" t="n">
        <v>0</v>
      </c>
      <c r="M543" t="n">
        <v>0</v>
      </c>
      <c r="N543" t="n">
        <v>0</v>
      </c>
      <c r="O543" t="n">
        <v>0</v>
      </c>
      <c r="P543" t="n">
        <v>0</v>
      </c>
      <c r="Q543" t="n">
        <v>0</v>
      </c>
      <c r="R543" s="2" t="inlineStr"/>
    </row>
    <row r="544" ht="15" customHeight="1">
      <c r="A544" t="inlineStr">
        <is>
          <t>A 15782-2025</t>
        </is>
      </c>
      <c r="B544" s="1" t="n">
        <v>45748</v>
      </c>
      <c r="C544" s="1" t="n">
        <v>45929</v>
      </c>
      <c r="D544" t="inlineStr">
        <is>
          <t>VÄSTERBOTTENS LÄN</t>
        </is>
      </c>
      <c r="E544" t="inlineStr">
        <is>
          <t>VILHELMINA</t>
        </is>
      </c>
      <c r="G544" t="n">
        <v>2.5</v>
      </c>
      <c r="H544" t="n">
        <v>0</v>
      </c>
      <c r="I544" t="n">
        <v>0</v>
      </c>
      <c r="J544" t="n">
        <v>0</v>
      </c>
      <c r="K544" t="n">
        <v>0</v>
      </c>
      <c r="L544" t="n">
        <v>0</v>
      </c>
      <c r="M544" t="n">
        <v>0</v>
      </c>
      <c r="N544" t="n">
        <v>0</v>
      </c>
      <c r="O544" t="n">
        <v>0</v>
      </c>
      <c r="P544" t="n">
        <v>0</v>
      </c>
      <c r="Q544" t="n">
        <v>0</v>
      </c>
      <c r="R544" s="2" t="inlineStr"/>
    </row>
    <row r="545" ht="15" customHeight="1">
      <c r="A545" t="inlineStr">
        <is>
          <t>A 15792-2025</t>
        </is>
      </c>
      <c r="B545" s="1" t="n">
        <v>45748.63356481482</v>
      </c>
      <c r="C545" s="1" t="n">
        <v>45929</v>
      </c>
      <c r="D545" t="inlineStr">
        <is>
          <t>VÄSTERBOTTENS LÄN</t>
        </is>
      </c>
      <c r="E545" t="inlineStr">
        <is>
          <t>VILHELMINA</t>
        </is>
      </c>
      <c r="G545" t="n">
        <v>5.5</v>
      </c>
      <c r="H545" t="n">
        <v>0</v>
      </c>
      <c r="I545" t="n">
        <v>0</v>
      </c>
      <c r="J545" t="n">
        <v>0</v>
      </c>
      <c r="K545" t="n">
        <v>0</v>
      </c>
      <c r="L545" t="n">
        <v>0</v>
      </c>
      <c r="M545" t="n">
        <v>0</v>
      </c>
      <c r="N545" t="n">
        <v>0</v>
      </c>
      <c r="O545" t="n">
        <v>0</v>
      </c>
      <c r="P545" t="n">
        <v>0</v>
      </c>
      <c r="Q545" t="n">
        <v>0</v>
      </c>
      <c r="R545" s="2" t="inlineStr"/>
    </row>
    <row r="546" ht="15" customHeight="1">
      <c r="A546" t="inlineStr">
        <is>
          <t>A 54984-2023</t>
        </is>
      </c>
      <c r="B546" s="1" t="n">
        <v>45236</v>
      </c>
      <c r="C546" s="1" t="n">
        <v>45929</v>
      </c>
      <c r="D546" t="inlineStr">
        <is>
          <t>VÄSTERBOTTENS LÄN</t>
        </is>
      </c>
      <c r="E546" t="inlineStr">
        <is>
          <t>VILHELMINA</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38355-2025</t>
        </is>
      </c>
      <c r="B547" s="1" t="n">
        <v>45883.53228009259</v>
      </c>
      <c r="C547" s="1" t="n">
        <v>45929</v>
      </c>
      <c r="D547" t="inlineStr">
        <is>
          <t>VÄSTERBOTTENS LÄN</t>
        </is>
      </c>
      <c r="E547" t="inlineStr">
        <is>
          <t>VILHELMINA</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38356-2025</t>
        </is>
      </c>
      <c r="B548" s="1" t="n">
        <v>45883.53247685185</v>
      </c>
      <c r="C548" s="1" t="n">
        <v>45929</v>
      </c>
      <c r="D548" t="inlineStr">
        <is>
          <t>VÄSTERBOTTENS LÄN</t>
        </is>
      </c>
      <c r="E548" t="inlineStr">
        <is>
          <t>VILHELMINA</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38430-2025</t>
        </is>
      </c>
      <c r="B549" s="1" t="n">
        <v>45883.6364699074</v>
      </c>
      <c r="C549" s="1" t="n">
        <v>45929</v>
      </c>
      <c r="D549" t="inlineStr">
        <is>
          <t>VÄSTERBOTTENS LÄN</t>
        </is>
      </c>
      <c r="E549" t="inlineStr">
        <is>
          <t>VILHELMINA</t>
        </is>
      </c>
      <c r="G549" t="n">
        <v>36.7</v>
      </c>
      <c r="H549" t="n">
        <v>0</v>
      </c>
      <c r="I549" t="n">
        <v>0</v>
      </c>
      <c r="J549" t="n">
        <v>0</v>
      </c>
      <c r="K549" t="n">
        <v>0</v>
      </c>
      <c r="L549" t="n">
        <v>0</v>
      </c>
      <c r="M549" t="n">
        <v>0</v>
      </c>
      <c r="N549" t="n">
        <v>0</v>
      </c>
      <c r="O549" t="n">
        <v>0</v>
      </c>
      <c r="P549" t="n">
        <v>0</v>
      </c>
      <c r="Q549" t="n">
        <v>0</v>
      </c>
      <c r="R549" s="2" t="inlineStr"/>
    </row>
    <row r="550" ht="15" customHeight="1">
      <c r="A550" t="inlineStr">
        <is>
          <t>A 38212-2025</t>
        </is>
      </c>
      <c r="B550" s="1" t="n">
        <v>45882.95137731481</v>
      </c>
      <c r="C550" s="1" t="n">
        <v>45929</v>
      </c>
      <c r="D550" t="inlineStr">
        <is>
          <t>VÄSTERBOTTENS LÄN</t>
        </is>
      </c>
      <c r="E550" t="inlineStr">
        <is>
          <t>VILHELMINA</t>
        </is>
      </c>
      <c r="G550" t="n">
        <v>11.7</v>
      </c>
      <c r="H550" t="n">
        <v>0</v>
      </c>
      <c r="I550" t="n">
        <v>0</v>
      </c>
      <c r="J550" t="n">
        <v>0</v>
      </c>
      <c r="K550" t="n">
        <v>0</v>
      </c>
      <c r="L550" t="n">
        <v>0</v>
      </c>
      <c r="M550" t="n">
        <v>0</v>
      </c>
      <c r="N550" t="n">
        <v>0</v>
      </c>
      <c r="O550" t="n">
        <v>0</v>
      </c>
      <c r="P550" t="n">
        <v>0</v>
      </c>
      <c r="Q550" t="n">
        <v>0</v>
      </c>
      <c r="R550" s="2" t="inlineStr"/>
    </row>
    <row r="551" ht="15" customHeight="1">
      <c r="A551" t="inlineStr">
        <is>
          <t>A 38243-2025</t>
        </is>
      </c>
      <c r="B551" s="1" t="n">
        <v>45883.36553240741</v>
      </c>
      <c r="C551" s="1" t="n">
        <v>45929</v>
      </c>
      <c r="D551" t="inlineStr">
        <is>
          <t>VÄSTERBOTTENS LÄN</t>
        </is>
      </c>
      <c r="E551" t="inlineStr">
        <is>
          <t>VILHELMINA</t>
        </is>
      </c>
      <c r="G551" t="n">
        <v>4.7</v>
      </c>
      <c r="H551" t="n">
        <v>0</v>
      </c>
      <c r="I551" t="n">
        <v>0</v>
      </c>
      <c r="J551" t="n">
        <v>0</v>
      </c>
      <c r="K551" t="n">
        <v>0</v>
      </c>
      <c r="L551" t="n">
        <v>0</v>
      </c>
      <c r="M551" t="n">
        <v>0</v>
      </c>
      <c r="N551" t="n">
        <v>0</v>
      </c>
      <c r="O551" t="n">
        <v>0</v>
      </c>
      <c r="P551" t="n">
        <v>0</v>
      </c>
      <c r="Q551" t="n">
        <v>0</v>
      </c>
      <c r="R551" s="2" t="inlineStr"/>
    </row>
    <row r="552" ht="15" customHeight="1">
      <c r="A552" t="inlineStr">
        <is>
          <t>A 38211-2025</t>
        </is>
      </c>
      <c r="B552" s="1" t="n">
        <v>45882.93524305556</v>
      </c>
      <c r="C552" s="1" t="n">
        <v>45929</v>
      </c>
      <c r="D552" t="inlineStr">
        <is>
          <t>VÄSTERBOTTENS LÄN</t>
        </is>
      </c>
      <c r="E552" t="inlineStr">
        <is>
          <t>VILHELMINA</t>
        </is>
      </c>
      <c r="G552" t="n">
        <v>13.8</v>
      </c>
      <c r="H552" t="n">
        <v>0</v>
      </c>
      <c r="I552" t="n">
        <v>0</v>
      </c>
      <c r="J552" t="n">
        <v>0</v>
      </c>
      <c r="K552" t="n">
        <v>0</v>
      </c>
      <c r="L552" t="n">
        <v>0</v>
      </c>
      <c r="M552" t="n">
        <v>0</v>
      </c>
      <c r="N552" t="n">
        <v>0</v>
      </c>
      <c r="O552" t="n">
        <v>0</v>
      </c>
      <c r="P552" t="n">
        <v>0</v>
      </c>
      <c r="Q552" t="n">
        <v>0</v>
      </c>
      <c r="R552" s="2" t="inlineStr"/>
    </row>
    <row r="553" ht="15" customHeight="1">
      <c r="A553" t="inlineStr">
        <is>
          <t>A 38580-2025</t>
        </is>
      </c>
      <c r="B553" s="1" t="n">
        <v>45884.46951388889</v>
      </c>
      <c r="C553" s="1" t="n">
        <v>45929</v>
      </c>
      <c r="D553" t="inlineStr">
        <is>
          <t>VÄSTERBOTTENS LÄN</t>
        </is>
      </c>
      <c r="E553" t="inlineStr">
        <is>
          <t>VILHELMINA</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38242-2025</t>
        </is>
      </c>
      <c r="B554" s="1" t="n">
        <v>45883.36547453704</v>
      </c>
      <c r="C554" s="1" t="n">
        <v>45929</v>
      </c>
      <c r="D554" t="inlineStr">
        <is>
          <t>VÄSTERBOTTENS LÄN</t>
        </is>
      </c>
      <c r="E554" t="inlineStr">
        <is>
          <t>VILHELMINA</t>
        </is>
      </c>
      <c r="G554" t="n">
        <v>1.4</v>
      </c>
      <c r="H554" t="n">
        <v>0</v>
      </c>
      <c r="I554" t="n">
        <v>0</v>
      </c>
      <c r="J554" t="n">
        <v>0</v>
      </c>
      <c r="K554" t="n">
        <v>0</v>
      </c>
      <c r="L554" t="n">
        <v>0</v>
      </c>
      <c r="M554" t="n">
        <v>0</v>
      </c>
      <c r="N554" t="n">
        <v>0</v>
      </c>
      <c r="O554" t="n">
        <v>0</v>
      </c>
      <c r="P554" t="n">
        <v>0</v>
      </c>
      <c r="Q554" t="n">
        <v>0</v>
      </c>
      <c r="R554" s="2" t="inlineStr"/>
    </row>
    <row r="555" ht="15" customHeight="1">
      <c r="A555" t="inlineStr">
        <is>
          <t>A 38427-2025</t>
        </is>
      </c>
      <c r="B555" s="1" t="n">
        <v>45883.63611111111</v>
      </c>
      <c r="C555" s="1" t="n">
        <v>45929</v>
      </c>
      <c r="D555" t="inlineStr">
        <is>
          <t>VÄSTERBOTTENS LÄN</t>
        </is>
      </c>
      <c r="E555" t="inlineStr">
        <is>
          <t>VILHELMINA</t>
        </is>
      </c>
      <c r="F555" t="inlineStr">
        <is>
          <t>SCA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38429-2025</t>
        </is>
      </c>
      <c r="B556" s="1" t="n">
        <v>45883.63638888889</v>
      </c>
      <c r="C556" s="1" t="n">
        <v>45929</v>
      </c>
      <c r="D556" t="inlineStr">
        <is>
          <t>VÄSTERBOTTENS LÄN</t>
        </is>
      </c>
      <c r="E556" t="inlineStr">
        <is>
          <t>VILHELMINA</t>
        </is>
      </c>
      <c r="G556" t="n">
        <v>5.5</v>
      </c>
      <c r="H556" t="n">
        <v>0</v>
      </c>
      <c r="I556" t="n">
        <v>0</v>
      </c>
      <c r="J556" t="n">
        <v>0</v>
      </c>
      <c r="K556" t="n">
        <v>0</v>
      </c>
      <c r="L556" t="n">
        <v>0</v>
      </c>
      <c r="M556" t="n">
        <v>0</v>
      </c>
      <c r="N556" t="n">
        <v>0</v>
      </c>
      <c r="O556" t="n">
        <v>0</v>
      </c>
      <c r="P556" t="n">
        <v>0</v>
      </c>
      <c r="Q556" t="n">
        <v>0</v>
      </c>
      <c r="R556" s="2" t="inlineStr"/>
    </row>
    <row r="557" ht="15" customHeight="1">
      <c r="A557" t="inlineStr">
        <is>
          <t>A 38540-2025</t>
        </is>
      </c>
      <c r="B557" s="1" t="n">
        <v>45884.42768518518</v>
      </c>
      <c r="C557" s="1" t="n">
        <v>45929</v>
      </c>
      <c r="D557" t="inlineStr">
        <is>
          <t>VÄSTERBOTTENS LÄN</t>
        </is>
      </c>
      <c r="E557" t="inlineStr">
        <is>
          <t>VILHELMINA</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38543-2025</t>
        </is>
      </c>
      <c r="B558" s="1" t="n">
        <v>45884.42813657408</v>
      </c>
      <c r="C558" s="1" t="n">
        <v>45929</v>
      </c>
      <c r="D558" t="inlineStr">
        <is>
          <t>VÄSTERBOTTENS LÄN</t>
        </is>
      </c>
      <c r="E558" t="inlineStr">
        <is>
          <t>VILHELMINA</t>
        </is>
      </c>
      <c r="G558" t="n">
        <v>2.4</v>
      </c>
      <c r="H558" t="n">
        <v>0</v>
      </c>
      <c r="I558" t="n">
        <v>0</v>
      </c>
      <c r="J558" t="n">
        <v>0</v>
      </c>
      <c r="K558" t="n">
        <v>0</v>
      </c>
      <c r="L558" t="n">
        <v>0</v>
      </c>
      <c r="M558" t="n">
        <v>0</v>
      </c>
      <c r="N558" t="n">
        <v>0</v>
      </c>
      <c r="O558" t="n">
        <v>0</v>
      </c>
      <c r="P558" t="n">
        <v>0</v>
      </c>
      <c r="Q558" t="n">
        <v>0</v>
      </c>
      <c r="R558" s="2" t="inlineStr"/>
    </row>
    <row r="559" ht="15" customHeight="1">
      <c r="A559" t="inlineStr">
        <is>
          <t>A 58505-2024</t>
        </is>
      </c>
      <c r="B559" s="1" t="n">
        <v>45635</v>
      </c>
      <c r="C559" s="1" t="n">
        <v>45929</v>
      </c>
      <c r="D559" t="inlineStr">
        <is>
          <t>VÄSTERBOTTENS LÄN</t>
        </is>
      </c>
      <c r="E559" t="inlineStr">
        <is>
          <t>VILHELMINA</t>
        </is>
      </c>
      <c r="G559" t="n">
        <v>2.9</v>
      </c>
      <c r="H559" t="n">
        <v>0</v>
      </c>
      <c r="I559" t="n">
        <v>0</v>
      </c>
      <c r="J559" t="n">
        <v>0</v>
      </c>
      <c r="K559" t="n">
        <v>0</v>
      </c>
      <c r="L559" t="n">
        <v>0</v>
      </c>
      <c r="M559" t="n">
        <v>0</v>
      </c>
      <c r="N559" t="n">
        <v>0</v>
      </c>
      <c r="O559" t="n">
        <v>0</v>
      </c>
      <c r="P559" t="n">
        <v>0</v>
      </c>
      <c r="Q559" t="n">
        <v>0</v>
      </c>
      <c r="R559" s="2" t="inlineStr"/>
    </row>
    <row r="560" ht="15" customHeight="1">
      <c r="A560" t="inlineStr">
        <is>
          <t>A 27917-2024</t>
        </is>
      </c>
      <c r="B560" s="1" t="n">
        <v>45475.94844907407</v>
      </c>
      <c r="C560" s="1" t="n">
        <v>45929</v>
      </c>
      <c r="D560" t="inlineStr">
        <is>
          <t>VÄSTERBOTTENS LÄN</t>
        </is>
      </c>
      <c r="E560" t="inlineStr">
        <is>
          <t>VILHELMINA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23543-2024</t>
        </is>
      </c>
      <c r="B561" s="1" t="n">
        <v>45453</v>
      </c>
      <c r="C561" s="1" t="n">
        <v>45929</v>
      </c>
      <c r="D561" t="inlineStr">
        <is>
          <t>VÄSTERBOTTENS LÄN</t>
        </is>
      </c>
      <c r="E561" t="inlineStr">
        <is>
          <t>VILHELMINA</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40781-2023</t>
        </is>
      </c>
      <c r="B562" s="1" t="n">
        <v>45170.95747685185</v>
      </c>
      <c r="C562" s="1" t="n">
        <v>45929</v>
      </c>
      <c r="D562" t="inlineStr">
        <is>
          <t>VÄSTERBOTTENS LÄN</t>
        </is>
      </c>
      <c r="E562" t="inlineStr">
        <is>
          <t>VILHELMINA</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19600-2025</t>
        </is>
      </c>
      <c r="B563" s="1" t="n">
        <v>45770</v>
      </c>
      <c r="C563" s="1" t="n">
        <v>45929</v>
      </c>
      <c r="D563" t="inlineStr">
        <is>
          <t>VÄSTERBOTTENS LÄN</t>
        </is>
      </c>
      <c r="E563" t="inlineStr">
        <is>
          <t>VILHELMINA</t>
        </is>
      </c>
      <c r="G563" t="n">
        <v>3.7</v>
      </c>
      <c r="H563" t="n">
        <v>0</v>
      </c>
      <c r="I563" t="n">
        <v>0</v>
      </c>
      <c r="J563" t="n">
        <v>0</v>
      </c>
      <c r="K563" t="n">
        <v>0</v>
      </c>
      <c r="L563" t="n">
        <v>0</v>
      </c>
      <c r="M563" t="n">
        <v>0</v>
      </c>
      <c r="N563" t="n">
        <v>0</v>
      </c>
      <c r="O563" t="n">
        <v>0</v>
      </c>
      <c r="P563" t="n">
        <v>0</v>
      </c>
      <c r="Q563" t="n">
        <v>0</v>
      </c>
      <c r="R563" s="2" t="inlineStr"/>
    </row>
    <row r="564" ht="15" customHeight="1">
      <c r="A564" t="inlineStr">
        <is>
          <t>A 62101-2024</t>
        </is>
      </c>
      <c r="B564" s="1" t="n">
        <v>45656.51119212963</v>
      </c>
      <c r="C564" s="1" t="n">
        <v>45929</v>
      </c>
      <c r="D564" t="inlineStr">
        <is>
          <t>VÄSTERBOTTENS LÄN</t>
        </is>
      </c>
      <c r="E564" t="inlineStr">
        <is>
          <t>VILHELMINA</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237-2025</t>
        </is>
      </c>
      <c r="B565" s="1" t="n">
        <v>45660.40270833333</v>
      </c>
      <c r="C565" s="1" t="n">
        <v>45929</v>
      </c>
      <c r="D565" t="inlineStr">
        <is>
          <t>VÄSTERBOTTENS LÄN</t>
        </is>
      </c>
      <c r="E565" t="inlineStr">
        <is>
          <t>VILHELMINA</t>
        </is>
      </c>
      <c r="G565" t="n">
        <v>4.6</v>
      </c>
      <c r="H565" t="n">
        <v>0</v>
      </c>
      <c r="I565" t="n">
        <v>0</v>
      </c>
      <c r="J565" t="n">
        <v>0</v>
      </c>
      <c r="K565" t="n">
        <v>0</v>
      </c>
      <c r="L565" t="n">
        <v>0</v>
      </c>
      <c r="M565" t="n">
        <v>0</v>
      </c>
      <c r="N565" t="n">
        <v>0</v>
      </c>
      <c r="O565" t="n">
        <v>0</v>
      </c>
      <c r="P565" t="n">
        <v>0</v>
      </c>
      <c r="Q565" t="n">
        <v>0</v>
      </c>
      <c r="R565" s="2" t="inlineStr"/>
    </row>
    <row r="566" ht="15" customHeight="1">
      <c r="A566" t="inlineStr">
        <is>
          <t>A 242-2025</t>
        </is>
      </c>
      <c r="B566" s="1" t="n">
        <v>45660.41033564815</v>
      </c>
      <c r="C566" s="1" t="n">
        <v>45929</v>
      </c>
      <c r="D566" t="inlineStr">
        <is>
          <t>VÄSTERBOTTENS LÄN</t>
        </is>
      </c>
      <c r="E566" t="inlineStr">
        <is>
          <t>VILHELMINA</t>
        </is>
      </c>
      <c r="G566" t="n">
        <v>2.7</v>
      </c>
      <c r="H566" t="n">
        <v>0</v>
      </c>
      <c r="I566" t="n">
        <v>0</v>
      </c>
      <c r="J566" t="n">
        <v>0</v>
      </c>
      <c r="K566" t="n">
        <v>0</v>
      </c>
      <c r="L566" t="n">
        <v>0</v>
      </c>
      <c r="M566" t="n">
        <v>0</v>
      </c>
      <c r="N566" t="n">
        <v>0</v>
      </c>
      <c r="O566" t="n">
        <v>0</v>
      </c>
      <c r="P566" t="n">
        <v>0</v>
      </c>
      <c r="Q566" t="n">
        <v>0</v>
      </c>
      <c r="R566" s="2" t="inlineStr"/>
    </row>
    <row r="567" ht="15" customHeight="1">
      <c r="A567" t="inlineStr">
        <is>
          <t>A 296-2025</t>
        </is>
      </c>
      <c r="B567" s="1" t="n">
        <v>45660.53215277778</v>
      </c>
      <c r="C567" s="1" t="n">
        <v>45929</v>
      </c>
      <c r="D567" t="inlineStr">
        <is>
          <t>VÄSTERBOTTENS LÄN</t>
        </is>
      </c>
      <c r="E567" t="inlineStr">
        <is>
          <t>VILHELMINA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55978-2024</t>
        </is>
      </c>
      <c r="B568" s="1" t="n">
        <v>45623</v>
      </c>
      <c r="C568" s="1" t="n">
        <v>45929</v>
      </c>
      <c r="D568" t="inlineStr">
        <is>
          <t>VÄSTERBOTTENS LÄN</t>
        </is>
      </c>
      <c r="E568" t="inlineStr">
        <is>
          <t>VILHELMINA</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45972-2023</t>
        </is>
      </c>
      <c r="B569" s="1" t="n">
        <v>45195</v>
      </c>
      <c r="C569" s="1" t="n">
        <v>45929</v>
      </c>
      <c r="D569" t="inlineStr">
        <is>
          <t>VÄSTERBOTTENS LÄN</t>
        </is>
      </c>
      <c r="E569" t="inlineStr">
        <is>
          <t>VILHELMINA</t>
        </is>
      </c>
      <c r="F569" t="inlineStr">
        <is>
          <t>SCA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468-2024</t>
        </is>
      </c>
      <c r="B570" s="1" t="n">
        <v>45297</v>
      </c>
      <c r="C570" s="1" t="n">
        <v>45929</v>
      </c>
      <c r="D570" t="inlineStr">
        <is>
          <t>VÄSTERBOTTENS LÄN</t>
        </is>
      </c>
      <c r="E570" t="inlineStr">
        <is>
          <t>VILHELMINA</t>
        </is>
      </c>
      <c r="G570" t="n">
        <v>6.7</v>
      </c>
      <c r="H570" t="n">
        <v>0</v>
      </c>
      <c r="I570" t="n">
        <v>0</v>
      </c>
      <c r="J570" t="n">
        <v>0</v>
      </c>
      <c r="K570" t="n">
        <v>0</v>
      </c>
      <c r="L570" t="n">
        <v>0</v>
      </c>
      <c r="M570" t="n">
        <v>0</v>
      </c>
      <c r="N570" t="n">
        <v>0</v>
      </c>
      <c r="O570" t="n">
        <v>0</v>
      </c>
      <c r="P570" t="n">
        <v>0</v>
      </c>
      <c r="Q570" t="n">
        <v>0</v>
      </c>
      <c r="R570" s="2" t="inlineStr"/>
    </row>
    <row r="571" ht="15" customHeight="1">
      <c r="A571" t="inlineStr">
        <is>
          <t>A 21844-2024</t>
        </is>
      </c>
      <c r="B571" s="1" t="n">
        <v>45442</v>
      </c>
      <c r="C571" s="1" t="n">
        <v>45929</v>
      </c>
      <c r="D571" t="inlineStr">
        <is>
          <t>VÄSTERBOTTENS LÄN</t>
        </is>
      </c>
      <c r="E571" t="inlineStr">
        <is>
          <t>VILHELMINA</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12371-2025</t>
        </is>
      </c>
      <c r="B572" s="1" t="n">
        <v>45730</v>
      </c>
      <c r="C572" s="1" t="n">
        <v>45929</v>
      </c>
      <c r="D572" t="inlineStr">
        <is>
          <t>VÄSTERBOTTENS LÄN</t>
        </is>
      </c>
      <c r="E572" t="inlineStr">
        <is>
          <t>VILHELMINA</t>
        </is>
      </c>
      <c r="F572" t="inlineStr">
        <is>
          <t>Övriga statliga verk och myndigheter</t>
        </is>
      </c>
      <c r="G572" t="n">
        <v>37.1</v>
      </c>
      <c r="H572" t="n">
        <v>0</v>
      </c>
      <c r="I572" t="n">
        <v>0</v>
      </c>
      <c r="J572" t="n">
        <v>0</v>
      </c>
      <c r="K572" t="n">
        <v>0</v>
      </c>
      <c r="L572" t="n">
        <v>0</v>
      </c>
      <c r="M572" t="n">
        <v>0</v>
      </c>
      <c r="N572" t="n">
        <v>0</v>
      </c>
      <c r="O572" t="n">
        <v>0</v>
      </c>
      <c r="P572" t="n">
        <v>0</v>
      </c>
      <c r="Q572" t="n">
        <v>0</v>
      </c>
      <c r="R572" s="2" t="inlineStr"/>
    </row>
    <row r="573" ht="15" customHeight="1">
      <c r="A573" t="inlineStr">
        <is>
          <t>A 14993-2025</t>
        </is>
      </c>
      <c r="B573" s="1" t="n">
        <v>45743</v>
      </c>
      <c r="C573" s="1" t="n">
        <v>45929</v>
      </c>
      <c r="D573" t="inlineStr">
        <is>
          <t>VÄSTERBOTTENS LÄN</t>
        </is>
      </c>
      <c r="E573" t="inlineStr">
        <is>
          <t>VILHELMINA</t>
        </is>
      </c>
      <c r="G573" t="n">
        <v>2.1</v>
      </c>
      <c r="H573" t="n">
        <v>0</v>
      </c>
      <c r="I573" t="n">
        <v>0</v>
      </c>
      <c r="J573" t="n">
        <v>0</v>
      </c>
      <c r="K573" t="n">
        <v>0</v>
      </c>
      <c r="L573" t="n">
        <v>0</v>
      </c>
      <c r="M573" t="n">
        <v>0</v>
      </c>
      <c r="N573" t="n">
        <v>0</v>
      </c>
      <c r="O573" t="n">
        <v>0</v>
      </c>
      <c r="P573" t="n">
        <v>0</v>
      </c>
      <c r="Q573" t="n">
        <v>0</v>
      </c>
      <c r="R573" s="2" t="inlineStr"/>
    </row>
    <row r="574" ht="15" customHeight="1">
      <c r="A574" t="inlineStr">
        <is>
          <t>A 23270-2021</t>
        </is>
      </c>
      <c r="B574" s="1" t="n">
        <v>44328</v>
      </c>
      <c r="C574" s="1" t="n">
        <v>45929</v>
      </c>
      <c r="D574" t="inlineStr">
        <is>
          <t>VÄSTERBOTTENS LÄN</t>
        </is>
      </c>
      <c r="E574" t="inlineStr">
        <is>
          <t>VILHELMINA</t>
        </is>
      </c>
      <c r="F574" t="inlineStr">
        <is>
          <t>Allmännings- och besparingsskogar</t>
        </is>
      </c>
      <c r="G574" t="n">
        <v>14.7</v>
      </c>
      <c r="H574" t="n">
        <v>0</v>
      </c>
      <c r="I574" t="n">
        <v>0</v>
      </c>
      <c r="J574" t="n">
        <v>0</v>
      </c>
      <c r="K574" t="n">
        <v>0</v>
      </c>
      <c r="L574" t="n">
        <v>0</v>
      </c>
      <c r="M574" t="n">
        <v>0</v>
      </c>
      <c r="N574" t="n">
        <v>0</v>
      </c>
      <c r="O574" t="n">
        <v>0</v>
      </c>
      <c r="P574" t="n">
        <v>0</v>
      </c>
      <c r="Q574" t="n">
        <v>0</v>
      </c>
      <c r="R574" s="2" t="inlineStr"/>
    </row>
    <row r="575" ht="15" customHeight="1">
      <c r="A575" t="inlineStr">
        <is>
          <t>A 56830-2023</t>
        </is>
      </c>
      <c r="B575" s="1" t="n">
        <v>45238</v>
      </c>
      <c r="C575" s="1" t="n">
        <v>45929</v>
      </c>
      <c r="D575" t="inlineStr">
        <is>
          <t>VÄSTERBOTTENS LÄN</t>
        </is>
      </c>
      <c r="E575" t="inlineStr">
        <is>
          <t>VILHELMINA</t>
        </is>
      </c>
      <c r="F575" t="inlineStr">
        <is>
          <t>Allmännings- och besparingsskogar</t>
        </is>
      </c>
      <c r="G575" t="n">
        <v>66</v>
      </c>
      <c r="H575" t="n">
        <v>0</v>
      </c>
      <c r="I575" t="n">
        <v>0</v>
      </c>
      <c r="J575" t="n">
        <v>0</v>
      </c>
      <c r="K575" t="n">
        <v>0</v>
      </c>
      <c r="L575" t="n">
        <v>0</v>
      </c>
      <c r="M575" t="n">
        <v>0</v>
      </c>
      <c r="N575" t="n">
        <v>0</v>
      </c>
      <c r="O575" t="n">
        <v>0</v>
      </c>
      <c r="P575" t="n">
        <v>0</v>
      </c>
      <c r="Q575" t="n">
        <v>0</v>
      </c>
      <c r="R575" s="2" t="inlineStr"/>
    </row>
    <row r="576" ht="15" customHeight="1">
      <c r="A576" t="inlineStr">
        <is>
          <t>A 56847-2023</t>
        </is>
      </c>
      <c r="B576" s="1" t="n">
        <v>45238</v>
      </c>
      <c r="C576" s="1" t="n">
        <v>45929</v>
      </c>
      <c r="D576" t="inlineStr">
        <is>
          <t>VÄSTERBOTTENS LÄN</t>
        </is>
      </c>
      <c r="E576" t="inlineStr">
        <is>
          <t>VILHELMINA</t>
        </is>
      </c>
      <c r="F576" t="inlineStr">
        <is>
          <t>Allmännings- och besparingsskogar</t>
        </is>
      </c>
      <c r="G576" t="n">
        <v>41</v>
      </c>
      <c r="H576" t="n">
        <v>0</v>
      </c>
      <c r="I576" t="n">
        <v>0</v>
      </c>
      <c r="J576" t="n">
        <v>0</v>
      </c>
      <c r="K576" t="n">
        <v>0</v>
      </c>
      <c r="L576" t="n">
        <v>0</v>
      </c>
      <c r="M576" t="n">
        <v>0</v>
      </c>
      <c r="N576" t="n">
        <v>0</v>
      </c>
      <c r="O576" t="n">
        <v>0</v>
      </c>
      <c r="P576" t="n">
        <v>0</v>
      </c>
      <c r="Q576" t="n">
        <v>0</v>
      </c>
      <c r="R576" s="2" t="inlineStr"/>
    </row>
    <row r="577" ht="15" customHeight="1">
      <c r="A577" t="inlineStr">
        <is>
          <t>A 20534-2025</t>
        </is>
      </c>
      <c r="B577" s="1" t="n">
        <v>45775.61550925926</v>
      </c>
      <c r="C577" s="1" t="n">
        <v>45929</v>
      </c>
      <c r="D577" t="inlineStr">
        <is>
          <t>VÄSTERBOTTENS LÄN</t>
        </is>
      </c>
      <c r="E577" t="inlineStr">
        <is>
          <t>VILHELMINA</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56823-2023</t>
        </is>
      </c>
      <c r="B578" s="1" t="n">
        <v>45238</v>
      </c>
      <c r="C578" s="1" t="n">
        <v>45929</v>
      </c>
      <c r="D578" t="inlineStr">
        <is>
          <t>VÄSTERBOTTENS LÄN</t>
        </is>
      </c>
      <c r="E578" t="inlineStr">
        <is>
          <t>VILHELMINA</t>
        </is>
      </c>
      <c r="F578" t="inlineStr">
        <is>
          <t>Allmännings- och besparingsskogar</t>
        </is>
      </c>
      <c r="G578" t="n">
        <v>82</v>
      </c>
      <c r="H578" t="n">
        <v>0</v>
      </c>
      <c r="I578" t="n">
        <v>0</v>
      </c>
      <c r="J578" t="n">
        <v>0</v>
      </c>
      <c r="K578" t="n">
        <v>0</v>
      </c>
      <c r="L578" t="n">
        <v>0</v>
      </c>
      <c r="M578" t="n">
        <v>0</v>
      </c>
      <c r="N578" t="n">
        <v>0</v>
      </c>
      <c r="O578" t="n">
        <v>0</v>
      </c>
      <c r="P578" t="n">
        <v>0</v>
      </c>
      <c r="Q578" t="n">
        <v>0</v>
      </c>
      <c r="R578" s="2" t="inlineStr"/>
    </row>
    <row r="579" ht="15" customHeight="1">
      <c r="A579" t="inlineStr">
        <is>
          <t>A 54931-2023</t>
        </is>
      </c>
      <c r="B579" s="1" t="n">
        <v>45229</v>
      </c>
      <c r="C579" s="1" t="n">
        <v>45929</v>
      </c>
      <c r="D579" t="inlineStr">
        <is>
          <t>VÄSTERBOTTENS LÄN</t>
        </is>
      </c>
      <c r="E579" t="inlineStr">
        <is>
          <t>VILHELMINA</t>
        </is>
      </c>
      <c r="G579" t="n">
        <v>14.5</v>
      </c>
      <c r="H579" t="n">
        <v>0</v>
      </c>
      <c r="I579" t="n">
        <v>0</v>
      </c>
      <c r="J579" t="n">
        <v>0</v>
      </c>
      <c r="K579" t="n">
        <v>0</v>
      </c>
      <c r="L579" t="n">
        <v>0</v>
      </c>
      <c r="M579" t="n">
        <v>0</v>
      </c>
      <c r="N579" t="n">
        <v>0</v>
      </c>
      <c r="O579" t="n">
        <v>0</v>
      </c>
      <c r="P579" t="n">
        <v>0</v>
      </c>
      <c r="Q579" t="n">
        <v>0</v>
      </c>
      <c r="R579" s="2" t="inlineStr"/>
    </row>
    <row r="580" ht="15" customHeight="1">
      <c r="A580" t="inlineStr">
        <is>
          <t>A 42976-2024</t>
        </is>
      </c>
      <c r="B580" s="1" t="n">
        <v>45567.37387731481</v>
      </c>
      <c r="C580" s="1" t="n">
        <v>45929</v>
      </c>
      <c r="D580" t="inlineStr">
        <is>
          <t>VÄSTERBOTTENS LÄN</t>
        </is>
      </c>
      <c r="E580" t="inlineStr">
        <is>
          <t>VILHELMINA</t>
        </is>
      </c>
      <c r="F580" t="inlineStr">
        <is>
          <t>SCA</t>
        </is>
      </c>
      <c r="G580" t="n">
        <v>20.6</v>
      </c>
      <c r="H580" t="n">
        <v>0</v>
      </c>
      <c r="I580" t="n">
        <v>0</v>
      </c>
      <c r="J580" t="n">
        <v>0</v>
      </c>
      <c r="K580" t="n">
        <v>0</v>
      </c>
      <c r="L580" t="n">
        <v>0</v>
      </c>
      <c r="M580" t="n">
        <v>0</v>
      </c>
      <c r="N580" t="n">
        <v>0</v>
      </c>
      <c r="O580" t="n">
        <v>0</v>
      </c>
      <c r="P580" t="n">
        <v>0</v>
      </c>
      <c r="Q580" t="n">
        <v>0</v>
      </c>
      <c r="R580" s="2" t="inlineStr"/>
    </row>
    <row r="581" ht="15" customHeight="1">
      <c r="A581" t="inlineStr">
        <is>
          <t>A 60842-2023</t>
        </is>
      </c>
      <c r="B581" s="1" t="n">
        <v>45260.9258912037</v>
      </c>
      <c r="C581" s="1" t="n">
        <v>45929</v>
      </c>
      <c r="D581" t="inlineStr">
        <is>
          <t>VÄSTERBOTTENS LÄN</t>
        </is>
      </c>
      <c r="E581" t="inlineStr">
        <is>
          <t>VILHELMINA</t>
        </is>
      </c>
      <c r="G581" t="n">
        <v>2.9</v>
      </c>
      <c r="H581" t="n">
        <v>0</v>
      </c>
      <c r="I581" t="n">
        <v>0</v>
      </c>
      <c r="J581" t="n">
        <v>0</v>
      </c>
      <c r="K581" t="n">
        <v>0</v>
      </c>
      <c r="L581" t="n">
        <v>0</v>
      </c>
      <c r="M581" t="n">
        <v>0</v>
      </c>
      <c r="N581" t="n">
        <v>0</v>
      </c>
      <c r="O581" t="n">
        <v>0</v>
      </c>
      <c r="P581" t="n">
        <v>0</v>
      </c>
      <c r="Q581" t="n">
        <v>0</v>
      </c>
      <c r="R581" s="2" t="inlineStr"/>
    </row>
    <row r="582" ht="15" customHeight="1">
      <c r="A582" t="inlineStr">
        <is>
          <t>A 7982-2025</t>
        </is>
      </c>
      <c r="B582" s="1" t="n">
        <v>45707.46905092592</v>
      </c>
      <c r="C582" s="1" t="n">
        <v>45929</v>
      </c>
      <c r="D582" t="inlineStr">
        <is>
          <t>VÄSTERBOTTENS LÄN</t>
        </is>
      </c>
      <c r="E582" t="inlineStr">
        <is>
          <t>VILHELMINA</t>
        </is>
      </c>
      <c r="G582" t="n">
        <v>6</v>
      </c>
      <c r="H582" t="n">
        <v>0</v>
      </c>
      <c r="I582" t="n">
        <v>0</v>
      </c>
      <c r="J582" t="n">
        <v>0</v>
      </c>
      <c r="K582" t="n">
        <v>0</v>
      </c>
      <c r="L582" t="n">
        <v>0</v>
      </c>
      <c r="M582" t="n">
        <v>0</v>
      </c>
      <c r="N582" t="n">
        <v>0</v>
      </c>
      <c r="O582" t="n">
        <v>0</v>
      </c>
      <c r="P582" t="n">
        <v>0</v>
      </c>
      <c r="Q582" t="n">
        <v>0</v>
      </c>
      <c r="R582" s="2" t="inlineStr"/>
    </row>
    <row r="583" ht="15" customHeight="1">
      <c r="A583" t="inlineStr">
        <is>
          <t>A 9197-2023</t>
        </is>
      </c>
      <c r="B583" s="1" t="n">
        <v>44977</v>
      </c>
      <c r="C583" s="1" t="n">
        <v>45929</v>
      </c>
      <c r="D583" t="inlineStr">
        <is>
          <t>VÄSTERBOTTENS LÄN</t>
        </is>
      </c>
      <c r="E583" t="inlineStr">
        <is>
          <t>VILHELMINA</t>
        </is>
      </c>
      <c r="G583" t="n">
        <v>8.9</v>
      </c>
      <c r="H583" t="n">
        <v>0</v>
      </c>
      <c r="I583" t="n">
        <v>0</v>
      </c>
      <c r="J583" t="n">
        <v>0</v>
      </c>
      <c r="K583" t="n">
        <v>0</v>
      </c>
      <c r="L583" t="n">
        <v>0</v>
      </c>
      <c r="M583" t="n">
        <v>0</v>
      </c>
      <c r="N583" t="n">
        <v>0</v>
      </c>
      <c r="O583" t="n">
        <v>0</v>
      </c>
      <c r="P583" t="n">
        <v>0</v>
      </c>
      <c r="Q583" t="n">
        <v>0</v>
      </c>
      <c r="R583" s="2" t="inlineStr"/>
    </row>
    <row r="584" ht="15" customHeight="1">
      <c r="A584" t="inlineStr">
        <is>
          <t>A 15176-2022</t>
        </is>
      </c>
      <c r="B584" s="1" t="n">
        <v>44658</v>
      </c>
      <c r="C584" s="1" t="n">
        <v>45929</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12374-2025</t>
        </is>
      </c>
      <c r="B585" s="1" t="n">
        <v>45730</v>
      </c>
      <c r="C585" s="1" t="n">
        <v>45929</v>
      </c>
      <c r="D585" t="inlineStr">
        <is>
          <t>VÄSTERBOTTENS LÄN</t>
        </is>
      </c>
      <c r="E585" t="inlineStr">
        <is>
          <t>VILHELMINA</t>
        </is>
      </c>
      <c r="F585" t="inlineStr">
        <is>
          <t>Övriga statliga verk och myndigheter</t>
        </is>
      </c>
      <c r="G585" t="n">
        <v>18.7</v>
      </c>
      <c r="H585" t="n">
        <v>0</v>
      </c>
      <c r="I585" t="n">
        <v>0</v>
      </c>
      <c r="J585" t="n">
        <v>0</v>
      </c>
      <c r="K585" t="n">
        <v>0</v>
      </c>
      <c r="L585" t="n">
        <v>0</v>
      </c>
      <c r="M585" t="n">
        <v>0</v>
      </c>
      <c r="N585" t="n">
        <v>0</v>
      </c>
      <c r="O585" t="n">
        <v>0</v>
      </c>
      <c r="P585" t="n">
        <v>0</v>
      </c>
      <c r="Q585" t="n">
        <v>0</v>
      </c>
      <c r="R585" s="2" t="inlineStr"/>
    </row>
    <row r="586" ht="15" customHeight="1">
      <c r="A586" t="inlineStr">
        <is>
          <t>A 12375-2025</t>
        </is>
      </c>
      <c r="B586" s="1" t="n">
        <v>45730</v>
      </c>
      <c r="C586" s="1" t="n">
        <v>45929</v>
      </c>
      <c r="D586" t="inlineStr">
        <is>
          <t>VÄSTERBOTTENS LÄN</t>
        </is>
      </c>
      <c r="E586" t="inlineStr">
        <is>
          <t>VILHELMINA</t>
        </is>
      </c>
      <c r="F586" t="inlineStr">
        <is>
          <t>Övriga statliga verk och myndigheter</t>
        </is>
      </c>
      <c r="G586" t="n">
        <v>22.3</v>
      </c>
      <c r="H586" t="n">
        <v>0</v>
      </c>
      <c r="I586" t="n">
        <v>0</v>
      </c>
      <c r="J586" t="n">
        <v>0</v>
      </c>
      <c r="K586" t="n">
        <v>0</v>
      </c>
      <c r="L586" t="n">
        <v>0</v>
      </c>
      <c r="M586" t="n">
        <v>0</v>
      </c>
      <c r="N586" t="n">
        <v>0</v>
      </c>
      <c r="O586" t="n">
        <v>0</v>
      </c>
      <c r="P586" t="n">
        <v>0</v>
      </c>
      <c r="Q586" t="n">
        <v>0</v>
      </c>
      <c r="R586" s="2" t="inlineStr"/>
    </row>
    <row r="587" ht="15" customHeight="1">
      <c r="A587" t="inlineStr">
        <is>
          <t>A 35755-2023</t>
        </is>
      </c>
      <c r="B587" s="1" t="n">
        <v>45147.9540625</v>
      </c>
      <c r="C587" s="1" t="n">
        <v>45929</v>
      </c>
      <c r="D587" t="inlineStr">
        <is>
          <t>VÄSTERBOTTENS LÄN</t>
        </is>
      </c>
      <c r="E587" t="inlineStr">
        <is>
          <t>VILHELMINA</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36219-2023</t>
        </is>
      </c>
      <c r="B588" s="1" t="n">
        <v>45149.95310185185</v>
      </c>
      <c r="C588" s="1" t="n">
        <v>45929</v>
      </c>
      <c r="D588" t="inlineStr">
        <is>
          <t>VÄSTERBOTTENS LÄN</t>
        </is>
      </c>
      <c r="E588" t="inlineStr">
        <is>
          <t>VILHELMINA</t>
        </is>
      </c>
      <c r="F588" t="inlineStr">
        <is>
          <t>SCA</t>
        </is>
      </c>
      <c r="G588" t="n">
        <v>7.3</v>
      </c>
      <c r="H588" t="n">
        <v>0</v>
      </c>
      <c r="I588" t="n">
        <v>0</v>
      </c>
      <c r="J588" t="n">
        <v>0</v>
      </c>
      <c r="K588" t="n">
        <v>0</v>
      </c>
      <c r="L588" t="n">
        <v>0</v>
      </c>
      <c r="M588" t="n">
        <v>0</v>
      </c>
      <c r="N588" t="n">
        <v>0</v>
      </c>
      <c r="O588" t="n">
        <v>0</v>
      </c>
      <c r="P588" t="n">
        <v>0</v>
      </c>
      <c r="Q588" t="n">
        <v>0</v>
      </c>
      <c r="R588" s="2" t="inlineStr"/>
    </row>
    <row r="589" ht="15" customHeight="1">
      <c r="A589" t="inlineStr">
        <is>
          <t>A 35758-2023</t>
        </is>
      </c>
      <c r="B589" s="1" t="n">
        <v>45147.95452546296</v>
      </c>
      <c r="C589" s="1" t="n">
        <v>45929</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55688-2023</t>
        </is>
      </c>
      <c r="B590" s="1" t="n">
        <v>45232</v>
      </c>
      <c r="C590" s="1" t="n">
        <v>45929</v>
      </c>
      <c r="D590" t="inlineStr">
        <is>
          <t>VÄSTERBOTTENS LÄN</t>
        </is>
      </c>
      <c r="E590" t="inlineStr">
        <is>
          <t>VILHELMINA</t>
        </is>
      </c>
      <c r="G590" t="n">
        <v>6.4</v>
      </c>
      <c r="H590" t="n">
        <v>0</v>
      </c>
      <c r="I590" t="n">
        <v>0</v>
      </c>
      <c r="J590" t="n">
        <v>0</v>
      </c>
      <c r="K590" t="n">
        <v>0</v>
      </c>
      <c r="L590" t="n">
        <v>0</v>
      </c>
      <c r="M590" t="n">
        <v>0</v>
      </c>
      <c r="N590" t="n">
        <v>0</v>
      </c>
      <c r="O590" t="n">
        <v>0</v>
      </c>
      <c r="P590" t="n">
        <v>0</v>
      </c>
      <c r="Q590" t="n">
        <v>0</v>
      </c>
      <c r="R590" s="2" t="inlineStr"/>
    </row>
    <row r="591" ht="15" customHeight="1">
      <c r="A591" t="inlineStr">
        <is>
          <t>A 12368-2025</t>
        </is>
      </c>
      <c r="B591" s="1" t="n">
        <v>45730.37633101852</v>
      </c>
      <c r="C591" s="1" t="n">
        <v>45929</v>
      </c>
      <c r="D591" t="inlineStr">
        <is>
          <t>VÄSTERBOTTENS LÄN</t>
        </is>
      </c>
      <c r="E591" t="inlineStr">
        <is>
          <t>VILHELMINA</t>
        </is>
      </c>
      <c r="F591" t="inlineStr">
        <is>
          <t>Övriga statliga verk och myndigheter</t>
        </is>
      </c>
      <c r="G591" t="n">
        <v>14.8</v>
      </c>
      <c r="H591" t="n">
        <v>0</v>
      </c>
      <c r="I591" t="n">
        <v>0</v>
      </c>
      <c r="J591" t="n">
        <v>0</v>
      </c>
      <c r="K591" t="n">
        <v>0</v>
      </c>
      <c r="L591" t="n">
        <v>0</v>
      </c>
      <c r="M591" t="n">
        <v>0</v>
      </c>
      <c r="N591" t="n">
        <v>0</v>
      </c>
      <c r="O591" t="n">
        <v>0</v>
      </c>
      <c r="P591" t="n">
        <v>0</v>
      </c>
      <c r="Q591" t="n">
        <v>0</v>
      </c>
      <c r="R591" s="2" t="inlineStr"/>
    </row>
    <row r="592" ht="15" customHeight="1">
      <c r="A592" t="inlineStr">
        <is>
          <t>A 12373-2025</t>
        </is>
      </c>
      <c r="B592" s="1" t="n">
        <v>45730</v>
      </c>
      <c r="C592" s="1" t="n">
        <v>45929</v>
      </c>
      <c r="D592" t="inlineStr">
        <is>
          <t>VÄSTERBOTTENS LÄN</t>
        </is>
      </c>
      <c r="E592" t="inlineStr">
        <is>
          <t>VILHELMINA</t>
        </is>
      </c>
      <c r="F592" t="inlineStr">
        <is>
          <t>Övriga statliga verk och myndigheter</t>
        </is>
      </c>
      <c r="G592" t="n">
        <v>25.5</v>
      </c>
      <c r="H592" t="n">
        <v>0</v>
      </c>
      <c r="I592" t="n">
        <v>0</v>
      </c>
      <c r="J592" t="n">
        <v>0</v>
      </c>
      <c r="K592" t="n">
        <v>0</v>
      </c>
      <c r="L592" t="n">
        <v>0</v>
      </c>
      <c r="M592" t="n">
        <v>0</v>
      </c>
      <c r="N592" t="n">
        <v>0</v>
      </c>
      <c r="O592" t="n">
        <v>0</v>
      </c>
      <c r="P592" t="n">
        <v>0</v>
      </c>
      <c r="Q592" t="n">
        <v>0</v>
      </c>
      <c r="R592" s="2" t="inlineStr"/>
    </row>
    <row r="593" ht="15" customHeight="1">
      <c r="A593" t="inlineStr">
        <is>
          <t>A 60782-2023</t>
        </is>
      </c>
      <c r="B593" s="1" t="n">
        <v>45259</v>
      </c>
      <c r="C593" s="1" t="n">
        <v>45929</v>
      </c>
      <c r="D593" t="inlineStr">
        <is>
          <t>VÄSTERBOTTENS LÄN</t>
        </is>
      </c>
      <c r="E593" t="inlineStr">
        <is>
          <t>VILHELMINA</t>
        </is>
      </c>
      <c r="G593" t="n">
        <v>12.7</v>
      </c>
      <c r="H593" t="n">
        <v>0</v>
      </c>
      <c r="I593" t="n">
        <v>0</v>
      </c>
      <c r="J593" t="n">
        <v>0</v>
      </c>
      <c r="K593" t="n">
        <v>0</v>
      </c>
      <c r="L593" t="n">
        <v>0</v>
      </c>
      <c r="M593" t="n">
        <v>0</v>
      </c>
      <c r="N593" t="n">
        <v>0</v>
      </c>
      <c r="O593" t="n">
        <v>0</v>
      </c>
      <c r="P593" t="n">
        <v>0</v>
      </c>
      <c r="Q593" t="n">
        <v>0</v>
      </c>
      <c r="R593" s="2" t="inlineStr"/>
    </row>
    <row r="594" ht="15" customHeight="1">
      <c r="A594" t="inlineStr">
        <is>
          <t>A 10268-2025</t>
        </is>
      </c>
      <c r="B594" s="1" t="n">
        <v>45720</v>
      </c>
      <c r="C594" s="1" t="n">
        <v>45929</v>
      </c>
      <c r="D594" t="inlineStr">
        <is>
          <t>VÄSTERBOTTENS LÄN</t>
        </is>
      </c>
      <c r="E594" t="inlineStr">
        <is>
          <t>VILHELMINA</t>
        </is>
      </c>
      <c r="G594" t="n">
        <v>1.9</v>
      </c>
      <c r="H594" t="n">
        <v>0</v>
      </c>
      <c r="I594" t="n">
        <v>0</v>
      </c>
      <c r="J594" t="n">
        <v>0</v>
      </c>
      <c r="K594" t="n">
        <v>0</v>
      </c>
      <c r="L594" t="n">
        <v>0</v>
      </c>
      <c r="M594" t="n">
        <v>0</v>
      </c>
      <c r="N594" t="n">
        <v>0</v>
      </c>
      <c r="O594" t="n">
        <v>0</v>
      </c>
      <c r="P594" t="n">
        <v>0</v>
      </c>
      <c r="Q594" t="n">
        <v>0</v>
      </c>
      <c r="R594" s="2" t="inlineStr"/>
    </row>
    <row r="595" ht="15" customHeight="1">
      <c r="A595" t="inlineStr">
        <is>
          <t>A 61270-2022</t>
        </is>
      </c>
      <c r="B595" s="1" t="n">
        <v>44909</v>
      </c>
      <c r="C595" s="1" t="n">
        <v>45929</v>
      </c>
      <c r="D595" t="inlineStr">
        <is>
          <t>VÄSTERBOTTENS LÄN</t>
        </is>
      </c>
      <c r="E595" t="inlineStr">
        <is>
          <t>VILHELMINA</t>
        </is>
      </c>
      <c r="G595" t="n">
        <v>8.9</v>
      </c>
      <c r="H595" t="n">
        <v>0</v>
      </c>
      <c r="I595" t="n">
        <v>0</v>
      </c>
      <c r="J595" t="n">
        <v>0</v>
      </c>
      <c r="K595" t="n">
        <v>0</v>
      </c>
      <c r="L595" t="n">
        <v>0</v>
      </c>
      <c r="M595" t="n">
        <v>0</v>
      </c>
      <c r="N595" t="n">
        <v>0</v>
      </c>
      <c r="O595" t="n">
        <v>0</v>
      </c>
      <c r="P595" t="n">
        <v>0</v>
      </c>
      <c r="Q595" t="n">
        <v>0</v>
      </c>
      <c r="R595" s="2" t="inlineStr"/>
    </row>
    <row r="596" ht="15" customHeight="1">
      <c r="A596" t="inlineStr">
        <is>
          <t>A 9815-2024</t>
        </is>
      </c>
      <c r="B596" s="1" t="n">
        <v>45362.96927083333</v>
      </c>
      <c r="C596" s="1" t="n">
        <v>45929</v>
      </c>
      <c r="D596" t="inlineStr">
        <is>
          <t>VÄSTERBOTTENS LÄN</t>
        </is>
      </c>
      <c r="E596" t="inlineStr">
        <is>
          <t>VILHELMINA</t>
        </is>
      </c>
      <c r="G596" t="n">
        <v>1.3</v>
      </c>
      <c r="H596" t="n">
        <v>0</v>
      </c>
      <c r="I596" t="n">
        <v>0</v>
      </c>
      <c r="J596" t="n">
        <v>0</v>
      </c>
      <c r="K596" t="n">
        <v>0</v>
      </c>
      <c r="L596" t="n">
        <v>0</v>
      </c>
      <c r="M596" t="n">
        <v>0</v>
      </c>
      <c r="N596" t="n">
        <v>0</v>
      </c>
      <c r="O596" t="n">
        <v>0</v>
      </c>
      <c r="P596" t="n">
        <v>0</v>
      </c>
      <c r="Q596" t="n">
        <v>0</v>
      </c>
      <c r="R596" s="2" t="inlineStr"/>
    </row>
    <row r="597" ht="15" customHeight="1">
      <c r="A597" t="inlineStr">
        <is>
          <t>A 60151-2024</t>
        </is>
      </c>
      <c r="B597" s="1" t="n">
        <v>45642.61490740741</v>
      </c>
      <c r="C597" s="1" t="n">
        <v>45929</v>
      </c>
      <c r="D597" t="inlineStr">
        <is>
          <t>VÄSTERBOTTENS LÄN</t>
        </is>
      </c>
      <c r="E597" t="inlineStr">
        <is>
          <t>VILHELMINA</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8908-2023</t>
        </is>
      </c>
      <c r="B598" s="1" t="n">
        <v>44972</v>
      </c>
      <c r="C598" s="1" t="n">
        <v>45929</v>
      </c>
      <c r="D598" t="inlineStr">
        <is>
          <t>VÄSTERBOTTENS LÄN</t>
        </is>
      </c>
      <c r="E598" t="inlineStr">
        <is>
          <t>VILHELMINA</t>
        </is>
      </c>
      <c r="F598" t="inlineStr">
        <is>
          <t>Allmännings- och besparingsskogar</t>
        </is>
      </c>
      <c r="G598" t="n">
        <v>22.3</v>
      </c>
      <c r="H598" t="n">
        <v>0</v>
      </c>
      <c r="I598" t="n">
        <v>0</v>
      </c>
      <c r="J598" t="n">
        <v>0</v>
      </c>
      <c r="K598" t="n">
        <v>0</v>
      </c>
      <c r="L598" t="n">
        <v>0</v>
      </c>
      <c r="M598" t="n">
        <v>0</v>
      </c>
      <c r="N598" t="n">
        <v>0</v>
      </c>
      <c r="O598" t="n">
        <v>0</v>
      </c>
      <c r="P598" t="n">
        <v>0</v>
      </c>
      <c r="Q598" t="n">
        <v>0</v>
      </c>
      <c r="R598" s="2" t="inlineStr"/>
    </row>
    <row r="599" ht="15" customHeight="1">
      <c r="A599" t="inlineStr">
        <is>
          <t>A 60227-2022</t>
        </is>
      </c>
      <c r="B599" s="1" t="n">
        <v>44903</v>
      </c>
      <c r="C599" s="1" t="n">
        <v>45929</v>
      </c>
      <c r="D599" t="inlineStr">
        <is>
          <t>VÄSTERBOTTENS LÄN</t>
        </is>
      </c>
      <c r="E599" t="inlineStr">
        <is>
          <t>VILHELMINA</t>
        </is>
      </c>
      <c r="G599" t="n">
        <v>11</v>
      </c>
      <c r="H599" t="n">
        <v>0</v>
      </c>
      <c r="I599" t="n">
        <v>0</v>
      </c>
      <c r="J599" t="n">
        <v>0</v>
      </c>
      <c r="K599" t="n">
        <v>0</v>
      </c>
      <c r="L599" t="n">
        <v>0</v>
      </c>
      <c r="M599" t="n">
        <v>0</v>
      </c>
      <c r="N599" t="n">
        <v>0</v>
      </c>
      <c r="O599" t="n">
        <v>0</v>
      </c>
      <c r="P599" t="n">
        <v>0</v>
      </c>
      <c r="Q599" t="n">
        <v>0</v>
      </c>
      <c r="R599" s="2" t="inlineStr"/>
    </row>
    <row r="600" ht="15" customHeight="1">
      <c r="A600" t="inlineStr">
        <is>
          <t>A 10956-2023</t>
        </is>
      </c>
      <c r="B600" s="1" t="n">
        <v>44985</v>
      </c>
      <c r="C600" s="1" t="n">
        <v>45929</v>
      </c>
      <c r="D600" t="inlineStr">
        <is>
          <t>VÄSTERBOTTENS LÄN</t>
        </is>
      </c>
      <c r="E600" t="inlineStr">
        <is>
          <t>VILHELMINA</t>
        </is>
      </c>
      <c r="G600" t="n">
        <v>3.3</v>
      </c>
      <c r="H600" t="n">
        <v>0</v>
      </c>
      <c r="I600" t="n">
        <v>0</v>
      </c>
      <c r="J600" t="n">
        <v>0</v>
      </c>
      <c r="K600" t="n">
        <v>0</v>
      </c>
      <c r="L600" t="n">
        <v>0</v>
      </c>
      <c r="M600" t="n">
        <v>0</v>
      </c>
      <c r="N600" t="n">
        <v>0</v>
      </c>
      <c r="O600" t="n">
        <v>0</v>
      </c>
      <c r="P600" t="n">
        <v>0</v>
      </c>
      <c r="Q600" t="n">
        <v>0</v>
      </c>
      <c r="R600" s="2" t="inlineStr"/>
    </row>
    <row r="601" ht="15" customHeight="1">
      <c r="A601" t="inlineStr">
        <is>
          <t>A 19223-2025</t>
        </is>
      </c>
      <c r="B601" s="1" t="n">
        <v>45769</v>
      </c>
      <c r="C601" s="1" t="n">
        <v>45929</v>
      </c>
      <c r="D601" t="inlineStr">
        <is>
          <t>VÄSTERBOTTENS LÄN</t>
        </is>
      </c>
      <c r="E601" t="inlineStr">
        <is>
          <t>VILHELMINA</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6665-2021</t>
        </is>
      </c>
      <c r="B602" s="1" t="n">
        <v>44235</v>
      </c>
      <c r="C602" s="1" t="n">
        <v>45929</v>
      </c>
      <c r="D602" t="inlineStr">
        <is>
          <t>VÄSTERBOTTENS LÄN</t>
        </is>
      </c>
      <c r="E602" t="inlineStr">
        <is>
          <t>VILHELMINA</t>
        </is>
      </c>
      <c r="G602" t="n">
        <v>20</v>
      </c>
      <c r="H602" t="n">
        <v>0</v>
      </c>
      <c r="I602" t="n">
        <v>0</v>
      </c>
      <c r="J602" t="n">
        <v>0</v>
      </c>
      <c r="K602" t="n">
        <v>0</v>
      </c>
      <c r="L602" t="n">
        <v>0</v>
      </c>
      <c r="M602" t="n">
        <v>0</v>
      </c>
      <c r="N602" t="n">
        <v>0</v>
      </c>
      <c r="O602" t="n">
        <v>0</v>
      </c>
      <c r="P602" t="n">
        <v>0</v>
      </c>
      <c r="Q602" t="n">
        <v>0</v>
      </c>
      <c r="R602" s="2" t="inlineStr"/>
    </row>
    <row r="603" ht="15" customHeight="1">
      <c r="A603" t="inlineStr">
        <is>
          <t>A 22440-2025</t>
        </is>
      </c>
      <c r="B603" s="1" t="n">
        <v>45786</v>
      </c>
      <c r="C603" s="1" t="n">
        <v>45929</v>
      </c>
      <c r="D603" t="inlineStr">
        <is>
          <t>VÄSTERBOTTENS LÄN</t>
        </is>
      </c>
      <c r="E603" t="inlineStr">
        <is>
          <t>VILHELMINA</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11139-2022</t>
        </is>
      </c>
      <c r="B604" s="1" t="n">
        <v>44628</v>
      </c>
      <c r="C604" s="1" t="n">
        <v>45929</v>
      </c>
      <c r="D604" t="inlineStr">
        <is>
          <t>VÄSTERBOTTENS LÄN</t>
        </is>
      </c>
      <c r="E604" t="inlineStr">
        <is>
          <t>VILHELMINA</t>
        </is>
      </c>
      <c r="G604" t="n">
        <v>13.6</v>
      </c>
      <c r="H604" t="n">
        <v>0</v>
      </c>
      <c r="I604" t="n">
        <v>0</v>
      </c>
      <c r="J604" t="n">
        <v>0</v>
      </c>
      <c r="K604" t="n">
        <v>0</v>
      </c>
      <c r="L604" t="n">
        <v>0</v>
      </c>
      <c r="M604" t="n">
        <v>0</v>
      </c>
      <c r="N604" t="n">
        <v>0</v>
      </c>
      <c r="O604" t="n">
        <v>0</v>
      </c>
      <c r="P604" t="n">
        <v>0</v>
      </c>
      <c r="Q604" t="n">
        <v>0</v>
      </c>
      <c r="R604" s="2" t="inlineStr"/>
    </row>
    <row r="605" ht="15" customHeight="1">
      <c r="A605" t="inlineStr">
        <is>
          <t>A 48424-2023</t>
        </is>
      </c>
      <c r="B605" s="1" t="n">
        <v>45205</v>
      </c>
      <c r="C605" s="1" t="n">
        <v>45929</v>
      </c>
      <c r="D605" t="inlineStr">
        <is>
          <t>VÄSTERBOTTENS LÄN</t>
        </is>
      </c>
      <c r="E605" t="inlineStr">
        <is>
          <t>VILHELMINA</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44714-2021</t>
        </is>
      </c>
      <c r="B606" s="1" t="n">
        <v>44435</v>
      </c>
      <c r="C606" s="1" t="n">
        <v>45929</v>
      </c>
      <c r="D606" t="inlineStr">
        <is>
          <t>VÄSTERBOTTENS LÄN</t>
        </is>
      </c>
      <c r="E606" t="inlineStr">
        <is>
          <t>VILHELMINA</t>
        </is>
      </c>
      <c r="G606" t="n">
        <v>4.3</v>
      </c>
      <c r="H606" t="n">
        <v>0</v>
      </c>
      <c r="I606" t="n">
        <v>0</v>
      </c>
      <c r="J606" t="n">
        <v>0</v>
      </c>
      <c r="K606" t="n">
        <v>0</v>
      </c>
      <c r="L606" t="n">
        <v>0</v>
      </c>
      <c r="M606" t="n">
        <v>0</v>
      </c>
      <c r="N606" t="n">
        <v>0</v>
      </c>
      <c r="O606" t="n">
        <v>0</v>
      </c>
      <c r="P606" t="n">
        <v>0</v>
      </c>
      <c r="Q606" t="n">
        <v>0</v>
      </c>
      <c r="R606" s="2" t="inlineStr"/>
    </row>
    <row r="607" ht="15" customHeight="1">
      <c r="A607" t="inlineStr">
        <is>
          <t>A 40468-2021</t>
        </is>
      </c>
      <c r="B607" s="1" t="n">
        <v>44419.94174768519</v>
      </c>
      <c r="C607" s="1" t="n">
        <v>45929</v>
      </c>
      <c r="D607" t="inlineStr">
        <is>
          <t>VÄSTERBOTTENS LÄN</t>
        </is>
      </c>
      <c r="E607" t="inlineStr">
        <is>
          <t>VILHELMINA</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19221-2025</t>
        </is>
      </c>
      <c r="B608" s="1" t="n">
        <v>45769</v>
      </c>
      <c r="C608" s="1" t="n">
        <v>45929</v>
      </c>
      <c r="D608" t="inlineStr">
        <is>
          <t>VÄSTERBOTTENS LÄN</t>
        </is>
      </c>
      <c r="E608" t="inlineStr">
        <is>
          <t>VILHELMINA</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8556-2025</t>
        </is>
      </c>
      <c r="B609" s="1" t="n">
        <v>45709</v>
      </c>
      <c r="C609" s="1" t="n">
        <v>45929</v>
      </c>
      <c r="D609" t="inlineStr">
        <is>
          <t>VÄSTERBOTTENS LÄN</t>
        </is>
      </c>
      <c r="E609" t="inlineStr">
        <is>
          <t>VILHELMINA</t>
        </is>
      </c>
      <c r="G609" t="n">
        <v>1</v>
      </c>
      <c r="H609" t="n">
        <v>0</v>
      </c>
      <c r="I609" t="n">
        <v>0</v>
      </c>
      <c r="J609" t="n">
        <v>0</v>
      </c>
      <c r="K609" t="n">
        <v>0</v>
      </c>
      <c r="L609" t="n">
        <v>0</v>
      </c>
      <c r="M609" t="n">
        <v>0</v>
      </c>
      <c r="N609" t="n">
        <v>0</v>
      </c>
      <c r="O609" t="n">
        <v>0</v>
      </c>
      <c r="P609" t="n">
        <v>0</v>
      </c>
      <c r="Q609" t="n">
        <v>0</v>
      </c>
      <c r="R609" s="2" t="inlineStr"/>
    </row>
    <row r="610" ht="15" customHeight="1">
      <c r="A610" t="inlineStr">
        <is>
          <t>A 57324-2022</t>
        </is>
      </c>
      <c r="B610" s="1" t="n">
        <v>44889</v>
      </c>
      <c r="C610" s="1" t="n">
        <v>45929</v>
      </c>
      <c r="D610" t="inlineStr">
        <is>
          <t>VÄSTERBOTTENS LÄN</t>
        </is>
      </c>
      <c r="E610" t="inlineStr">
        <is>
          <t>VILHELMINA</t>
        </is>
      </c>
      <c r="G610" t="n">
        <v>1.7</v>
      </c>
      <c r="H610" t="n">
        <v>0</v>
      </c>
      <c r="I610" t="n">
        <v>0</v>
      </c>
      <c r="J610" t="n">
        <v>0</v>
      </c>
      <c r="K610" t="n">
        <v>0</v>
      </c>
      <c r="L610" t="n">
        <v>0</v>
      </c>
      <c r="M610" t="n">
        <v>0</v>
      </c>
      <c r="N610" t="n">
        <v>0</v>
      </c>
      <c r="O610" t="n">
        <v>0</v>
      </c>
      <c r="P610" t="n">
        <v>0</v>
      </c>
      <c r="Q610" t="n">
        <v>0</v>
      </c>
      <c r="R610" s="2" t="inlineStr"/>
    </row>
    <row r="611" ht="15" customHeight="1">
      <c r="A611" t="inlineStr">
        <is>
          <t>A 16720-2025</t>
        </is>
      </c>
      <c r="B611" s="1" t="n">
        <v>45754.49039351852</v>
      </c>
      <c r="C611" s="1" t="n">
        <v>45929</v>
      </c>
      <c r="D611" t="inlineStr">
        <is>
          <t>VÄSTERBOTTENS LÄN</t>
        </is>
      </c>
      <c r="E611" t="inlineStr">
        <is>
          <t>VILHELMINA</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14254-2025</t>
        </is>
      </c>
      <c r="B612" s="1" t="n">
        <v>45740.61644675926</v>
      </c>
      <c r="C612" s="1" t="n">
        <v>45929</v>
      </c>
      <c r="D612" t="inlineStr">
        <is>
          <t>VÄSTERBOTTENS LÄN</t>
        </is>
      </c>
      <c r="E612" t="inlineStr">
        <is>
          <t>VILHELMINA</t>
        </is>
      </c>
      <c r="G612" t="n">
        <v>2</v>
      </c>
      <c r="H612" t="n">
        <v>0</v>
      </c>
      <c r="I612" t="n">
        <v>0</v>
      </c>
      <c r="J612" t="n">
        <v>0</v>
      </c>
      <c r="K612" t="n">
        <v>0</v>
      </c>
      <c r="L612" t="n">
        <v>0</v>
      </c>
      <c r="M612" t="n">
        <v>0</v>
      </c>
      <c r="N612" t="n">
        <v>0</v>
      </c>
      <c r="O612" t="n">
        <v>0</v>
      </c>
      <c r="P612" t="n">
        <v>0</v>
      </c>
      <c r="Q612" t="n">
        <v>0</v>
      </c>
      <c r="R612" s="2" t="inlineStr"/>
    </row>
    <row r="613" ht="15" customHeight="1">
      <c r="A613" t="inlineStr">
        <is>
          <t>A 17307-2025</t>
        </is>
      </c>
      <c r="B613" s="1" t="n">
        <v>45756</v>
      </c>
      <c r="C613" s="1" t="n">
        <v>45929</v>
      </c>
      <c r="D613" t="inlineStr">
        <is>
          <t>VÄSTERBOTTENS LÄN</t>
        </is>
      </c>
      <c r="E613" t="inlineStr">
        <is>
          <t>VILHELMINA</t>
        </is>
      </c>
      <c r="G613" t="n">
        <v>11.2</v>
      </c>
      <c r="H613" t="n">
        <v>0</v>
      </c>
      <c r="I613" t="n">
        <v>0</v>
      </c>
      <c r="J613" t="n">
        <v>0</v>
      </c>
      <c r="K613" t="n">
        <v>0</v>
      </c>
      <c r="L613" t="n">
        <v>0</v>
      </c>
      <c r="M613" t="n">
        <v>0</v>
      </c>
      <c r="N613" t="n">
        <v>0</v>
      </c>
      <c r="O613" t="n">
        <v>0</v>
      </c>
      <c r="P613" t="n">
        <v>0</v>
      </c>
      <c r="Q613" t="n">
        <v>0</v>
      </c>
      <c r="R613" s="2" t="inlineStr"/>
    </row>
    <row r="614" ht="15" customHeight="1">
      <c r="A614" t="inlineStr">
        <is>
          <t>A 402-2023</t>
        </is>
      </c>
      <c r="B614" s="1" t="n">
        <v>44923</v>
      </c>
      <c r="C614" s="1" t="n">
        <v>45929</v>
      </c>
      <c r="D614" t="inlineStr">
        <is>
          <t>VÄSTERBOTTENS LÄN</t>
        </is>
      </c>
      <c r="E614" t="inlineStr">
        <is>
          <t>VILHELMINA</t>
        </is>
      </c>
      <c r="G614" t="n">
        <v>14.7</v>
      </c>
      <c r="H614" t="n">
        <v>0</v>
      </c>
      <c r="I614" t="n">
        <v>0</v>
      </c>
      <c r="J614" t="n">
        <v>0</v>
      </c>
      <c r="K614" t="n">
        <v>0</v>
      </c>
      <c r="L614" t="n">
        <v>0</v>
      </c>
      <c r="M614" t="n">
        <v>0</v>
      </c>
      <c r="N614" t="n">
        <v>0</v>
      </c>
      <c r="O614" t="n">
        <v>0</v>
      </c>
      <c r="P614" t="n">
        <v>0</v>
      </c>
      <c r="Q614" t="n">
        <v>0</v>
      </c>
      <c r="R614" s="2" t="inlineStr"/>
    </row>
    <row r="615" ht="15" customHeight="1">
      <c r="A615" t="inlineStr">
        <is>
          <t>A 35006-2023</t>
        </is>
      </c>
      <c r="B615" s="1" t="n">
        <v>45142.95103009259</v>
      </c>
      <c r="C615" s="1" t="n">
        <v>45929</v>
      </c>
      <c r="D615" t="inlineStr">
        <is>
          <t>VÄSTERBOTTENS LÄN</t>
        </is>
      </c>
      <c r="E615" t="inlineStr">
        <is>
          <t>VILHELMINA</t>
        </is>
      </c>
      <c r="F615" t="inlineStr">
        <is>
          <t>SCA</t>
        </is>
      </c>
      <c r="G615" t="n">
        <v>11.6</v>
      </c>
      <c r="H615" t="n">
        <v>0</v>
      </c>
      <c r="I615" t="n">
        <v>0</v>
      </c>
      <c r="J615" t="n">
        <v>0</v>
      </c>
      <c r="K615" t="n">
        <v>0</v>
      </c>
      <c r="L615" t="n">
        <v>0</v>
      </c>
      <c r="M615" t="n">
        <v>0</v>
      </c>
      <c r="N615" t="n">
        <v>0</v>
      </c>
      <c r="O615" t="n">
        <v>0</v>
      </c>
      <c r="P615" t="n">
        <v>0</v>
      </c>
      <c r="Q615" t="n">
        <v>0</v>
      </c>
      <c r="R615" s="2" t="inlineStr"/>
    </row>
    <row r="616" ht="15" customHeight="1">
      <c r="A616" t="inlineStr">
        <is>
          <t>A 252-2025</t>
        </is>
      </c>
      <c r="B616" s="1" t="n">
        <v>45660.42734953704</v>
      </c>
      <c r="C616" s="1" t="n">
        <v>45929</v>
      </c>
      <c r="D616" t="inlineStr">
        <is>
          <t>VÄSTERBOTTENS LÄN</t>
        </is>
      </c>
      <c r="E616" t="inlineStr">
        <is>
          <t>VILHELMINA</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6638-2025</t>
        </is>
      </c>
      <c r="B617" s="1" t="n">
        <v>45700</v>
      </c>
      <c r="C617" s="1" t="n">
        <v>45929</v>
      </c>
      <c r="D617" t="inlineStr">
        <is>
          <t>VÄSTERBOTTENS LÄN</t>
        </is>
      </c>
      <c r="E617" t="inlineStr">
        <is>
          <t>VILHELMINA</t>
        </is>
      </c>
      <c r="G617" t="n">
        <v>21.5</v>
      </c>
      <c r="H617" t="n">
        <v>0</v>
      </c>
      <c r="I617" t="n">
        <v>0</v>
      </c>
      <c r="J617" t="n">
        <v>0</v>
      </c>
      <c r="K617" t="n">
        <v>0</v>
      </c>
      <c r="L617" t="n">
        <v>0</v>
      </c>
      <c r="M617" t="n">
        <v>0</v>
      </c>
      <c r="N617" t="n">
        <v>0</v>
      </c>
      <c r="O617" t="n">
        <v>0</v>
      </c>
      <c r="P617" t="n">
        <v>0</v>
      </c>
      <c r="Q617" t="n">
        <v>0</v>
      </c>
      <c r="R617" s="2" t="inlineStr"/>
    </row>
    <row r="618" ht="15" customHeight="1">
      <c r="A618" t="inlineStr">
        <is>
          <t>A 210-2022</t>
        </is>
      </c>
      <c r="B618" s="1" t="n">
        <v>44564.80189814815</v>
      </c>
      <c r="C618" s="1" t="n">
        <v>45929</v>
      </c>
      <c r="D618" t="inlineStr">
        <is>
          <t>VÄSTERBOTTENS LÄN</t>
        </is>
      </c>
      <c r="E618" t="inlineStr">
        <is>
          <t>VILHELMINA</t>
        </is>
      </c>
      <c r="G618" t="n">
        <v>2</v>
      </c>
      <c r="H618" t="n">
        <v>0</v>
      </c>
      <c r="I618" t="n">
        <v>0</v>
      </c>
      <c r="J618" t="n">
        <v>0</v>
      </c>
      <c r="K618" t="n">
        <v>0</v>
      </c>
      <c r="L618" t="n">
        <v>0</v>
      </c>
      <c r="M618" t="n">
        <v>0</v>
      </c>
      <c r="N618" t="n">
        <v>0</v>
      </c>
      <c r="O618" t="n">
        <v>0</v>
      </c>
      <c r="P618" t="n">
        <v>0</v>
      </c>
      <c r="Q618" t="n">
        <v>0</v>
      </c>
      <c r="R618" s="2" t="inlineStr"/>
    </row>
    <row r="619" ht="15" customHeight="1">
      <c r="A619" t="inlineStr">
        <is>
          <t>A 36408-2023</t>
        </is>
      </c>
      <c r="B619" s="1" t="n">
        <v>45152</v>
      </c>
      <c r="C619" s="1" t="n">
        <v>45929</v>
      </c>
      <c r="D619" t="inlineStr">
        <is>
          <t>VÄSTERBOTTENS LÄN</t>
        </is>
      </c>
      <c r="E619" t="inlineStr">
        <is>
          <t>VILHELMINA</t>
        </is>
      </c>
      <c r="G619" t="n">
        <v>4.4</v>
      </c>
      <c r="H619" t="n">
        <v>0</v>
      </c>
      <c r="I619" t="n">
        <v>0</v>
      </c>
      <c r="J619" t="n">
        <v>0</v>
      </c>
      <c r="K619" t="n">
        <v>0</v>
      </c>
      <c r="L619" t="n">
        <v>0</v>
      </c>
      <c r="M619" t="n">
        <v>0</v>
      </c>
      <c r="N619" t="n">
        <v>0</v>
      </c>
      <c r="O619" t="n">
        <v>0</v>
      </c>
      <c r="P619" t="n">
        <v>0</v>
      </c>
      <c r="Q619" t="n">
        <v>0</v>
      </c>
      <c r="R619" s="2" t="inlineStr"/>
    </row>
    <row r="620" ht="15" customHeight="1">
      <c r="A620" t="inlineStr">
        <is>
          <t>A 57108-2023</t>
        </is>
      </c>
      <c r="B620" s="1" t="n">
        <v>45239</v>
      </c>
      <c r="C620" s="1" t="n">
        <v>45929</v>
      </c>
      <c r="D620" t="inlineStr">
        <is>
          <t>VÄSTERBOTTENS LÄN</t>
        </is>
      </c>
      <c r="E620" t="inlineStr">
        <is>
          <t>VILHELMINA</t>
        </is>
      </c>
      <c r="G620" t="n">
        <v>0.6</v>
      </c>
      <c r="H620" t="n">
        <v>0</v>
      </c>
      <c r="I620" t="n">
        <v>0</v>
      </c>
      <c r="J620" t="n">
        <v>0</v>
      </c>
      <c r="K620" t="n">
        <v>0</v>
      </c>
      <c r="L620" t="n">
        <v>0</v>
      </c>
      <c r="M620" t="n">
        <v>0</v>
      </c>
      <c r="N620" t="n">
        <v>0</v>
      </c>
      <c r="O620" t="n">
        <v>0</v>
      </c>
      <c r="P620" t="n">
        <v>0</v>
      </c>
      <c r="Q620" t="n">
        <v>0</v>
      </c>
      <c r="R620" s="2" t="inlineStr"/>
    </row>
    <row r="621" ht="15" customHeight="1">
      <c r="A621" t="inlineStr">
        <is>
          <t>A 38555-2024</t>
        </is>
      </c>
      <c r="B621" s="1" t="n">
        <v>45546</v>
      </c>
      <c r="C621" s="1" t="n">
        <v>45929</v>
      </c>
      <c r="D621" t="inlineStr">
        <is>
          <t>VÄSTERBOTTENS LÄN</t>
        </is>
      </c>
      <c r="E621" t="inlineStr">
        <is>
          <t>VILHELMINA</t>
        </is>
      </c>
      <c r="G621" t="n">
        <v>7.8</v>
      </c>
      <c r="H621" t="n">
        <v>0</v>
      </c>
      <c r="I621" t="n">
        <v>0</v>
      </c>
      <c r="J621" t="n">
        <v>0</v>
      </c>
      <c r="K621" t="n">
        <v>0</v>
      </c>
      <c r="L621" t="n">
        <v>0</v>
      </c>
      <c r="M621" t="n">
        <v>0</v>
      </c>
      <c r="N621" t="n">
        <v>0</v>
      </c>
      <c r="O621" t="n">
        <v>0</v>
      </c>
      <c r="P621" t="n">
        <v>0</v>
      </c>
      <c r="Q621" t="n">
        <v>0</v>
      </c>
      <c r="R621" s="2" t="inlineStr"/>
    </row>
    <row r="622" ht="15" customHeight="1">
      <c r="A622" t="inlineStr">
        <is>
          <t>A 2008-2025</t>
        </is>
      </c>
      <c r="B622" s="1" t="n">
        <v>45672.45302083333</v>
      </c>
      <c r="C622" s="1" t="n">
        <v>45929</v>
      </c>
      <c r="D622" t="inlineStr">
        <is>
          <t>VÄSTERBOTTENS LÄN</t>
        </is>
      </c>
      <c r="E622" t="inlineStr">
        <is>
          <t>VILHELMINA</t>
        </is>
      </c>
      <c r="G622" t="n">
        <v>0.7</v>
      </c>
      <c r="H622" t="n">
        <v>0</v>
      </c>
      <c r="I622" t="n">
        <v>0</v>
      </c>
      <c r="J622" t="n">
        <v>0</v>
      </c>
      <c r="K622" t="n">
        <v>0</v>
      </c>
      <c r="L622" t="n">
        <v>0</v>
      </c>
      <c r="M622" t="n">
        <v>0</v>
      </c>
      <c r="N622" t="n">
        <v>0</v>
      </c>
      <c r="O622" t="n">
        <v>0</v>
      </c>
      <c r="P622" t="n">
        <v>0</v>
      </c>
      <c r="Q622" t="n">
        <v>0</v>
      </c>
      <c r="R622" s="2" t="inlineStr"/>
    </row>
    <row r="623" ht="15" customHeight="1">
      <c r="A623" t="inlineStr">
        <is>
          <t>A 61778-2023</t>
        </is>
      </c>
      <c r="B623" s="1" t="n">
        <v>45265.95667824074</v>
      </c>
      <c r="C623" s="1" t="n">
        <v>45929</v>
      </c>
      <c r="D623" t="inlineStr">
        <is>
          <t>VÄSTERBOTTENS LÄN</t>
        </is>
      </c>
      <c r="E623" t="inlineStr">
        <is>
          <t>VILHELMINA</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29104-2024</t>
        </is>
      </c>
      <c r="B624" s="1" t="n">
        <v>45481.95178240741</v>
      </c>
      <c r="C624" s="1" t="n">
        <v>45929</v>
      </c>
      <c r="D624" t="inlineStr">
        <is>
          <t>VÄSTERBOTTENS LÄN</t>
        </is>
      </c>
      <c r="E624" t="inlineStr">
        <is>
          <t>VILHELMINA</t>
        </is>
      </c>
      <c r="F624" t="inlineStr">
        <is>
          <t>SCA</t>
        </is>
      </c>
      <c r="G624" t="n">
        <v>5.1</v>
      </c>
      <c r="H624" t="n">
        <v>0</v>
      </c>
      <c r="I624" t="n">
        <v>0</v>
      </c>
      <c r="J624" t="n">
        <v>0</v>
      </c>
      <c r="K624" t="n">
        <v>0</v>
      </c>
      <c r="L624" t="n">
        <v>0</v>
      </c>
      <c r="M624" t="n">
        <v>0</v>
      </c>
      <c r="N624" t="n">
        <v>0</v>
      </c>
      <c r="O624" t="n">
        <v>0</v>
      </c>
      <c r="P624" t="n">
        <v>0</v>
      </c>
      <c r="Q624" t="n">
        <v>0</v>
      </c>
      <c r="R624" s="2" t="inlineStr"/>
    </row>
    <row r="625" ht="15" customHeight="1">
      <c r="A625" t="inlineStr">
        <is>
          <t>A 18398-2025</t>
        </is>
      </c>
      <c r="B625" s="1" t="n">
        <v>45762.59491898148</v>
      </c>
      <c r="C625" s="1" t="n">
        <v>45929</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53034-2023</t>
        </is>
      </c>
      <c r="B626" s="1" t="n">
        <v>45226.96258101852</v>
      </c>
      <c r="C626" s="1" t="n">
        <v>45929</v>
      </c>
      <c r="D626" t="inlineStr">
        <is>
          <t>VÄSTERBOTTENS LÄN</t>
        </is>
      </c>
      <c r="E626" t="inlineStr">
        <is>
          <t>VILHELMINA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46164-2023</t>
        </is>
      </c>
      <c r="B627" s="1" t="n">
        <v>45190</v>
      </c>
      <c r="C627" s="1" t="n">
        <v>45929</v>
      </c>
      <c r="D627" t="inlineStr">
        <is>
          <t>VÄSTERBOTTENS LÄN</t>
        </is>
      </c>
      <c r="E627" t="inlineStr">
        <is>
          <t>VILHELMINA</t>
        </is>
      </c>
      <c r="G627" t="n">
        <v>6.3</v>
      </c>
      <c r="H627" t="n">
        <v>0</v>
      </c>
      <c r="I627" t="n">
        <v>0</v>
      </c>
      <c r="J627" t="n">
        <v>0</v>
      </c>
      <c r="K627" t="n">
        <v>0</v>
      </c>
      <c r="L627" t="n">
        <v>0</v>
      </c>
      <c r="M627" t="n">
        <v>0</v>
      </c>
      <c r="N627" t="n">
        <v>0</v>
      </c>
      <c r="O627" t="n">
        <v>0</v>
      </c>
      <c r="P627" t="n">
        <v>0</v>
      </c>
      <c r="Q627" t="n">
        <v>0</v>
      </c>
      <c r="R627" s="2" t="inlineStr"/>
    </row>
    <row r="628" ht="15" customHeight="1">
      <c r="A628" t="inlineStr">
        <is>
          <t>A 16721-2025</t>
        </is>
      </c>
      <c r="B628" s="1" t="n">
        <v>45754.49045138889</v>
      </c>
      <c r="C628" s="1" t="n">
        <v>45929</v>
      </c>
      <c r="D628" t="inlineStr">
        <is>
          <t>VÄSTERBOTTENS LÄN</t>
        </is>
      </c>
      <c r="E628" t="inlineStr">
        <is>
          <t>VILHELMINA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60376-2024</t>
        </is>
      </c>
      <c r="B629" s="1" t="n">
        <v>45643</v>
      </c>
      <c r="C629" s="1" t="n">
        <v>45929</v>
      </c>
      <c r="D629" t="inlineStr">
        <is>
          <t>VÄSTERBOTTENS LÄN</t>
        </is>
      </c>
      <c r="E629" t="inlineStr">
        <is>
          <t>VILHELMINA</t>
        </is>
      </c>
      <c r="F629" t="inlineStr">
        <is>
          <t>SCA</t>
        </is>
      </c>
      <c r="G629" t="n">
        <v>11.5</v>
      </c>
      <c r="H629" t="n">
        <v>0</v>
      </c>
      <c r="I629" t="n">
        <v>0</v>
      </c>
      <c r="J629" t="n">
        <v>0</v>
      </c>
      <c r="K629" t="n">
        <v>0</v>
      </c>
      <c r="L629" t="n">
        <v>0</v>
      </c>
      <c r="M629" t="n">
        <v>0</v>
      </c>
      <c r="N629" t="n">
        <v>0</v>
      </c>
      <c r="O629" t="n">
        <v>0</v>
      </c>
      <c r="P629" t="n">
        <v>0</v>
      </c>
      <c r="Q629" t="n">
        <v>0</v>
      </c>
      <c r="R629" s="2" t="inlineStr"/>
    </row>
    <row r="630" ht="15" customHeight="1">
      <c r="A630" t="inlineStr">
        <is>
          <t>A 19465-2025</t>
        </is>
      </c>
      <c r="B630" s="1" t="n">
        <v>45770</v>
      </c>
      <c r="C630" s="1" t="n">
        <v>45929</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52749-2023</t>
        </is>
      </c>
      <c r="B631" s="1" t="n">
        <v>45225.9678587963</v>
      </c>
      <c r="C631" s="1" t="n">
        <v>45929</v>
      </c>
      <c r="D631" t="inlineStr">
        <is>
          <t>VÄSTERBOTTENS LÄN</t>
        </is>
      </c>
      <c r="E631" t="inlineStr">
        <is>
          <t>VILHELMINA</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30583-2024</t>
        </is>
      </c>
      <c r="B632" s="1" t="n">
        <v>45492.96108796296</v>
      </c>
      <c r="C632" s="1" t="n">
        <v>45929</v>
      </c>
      <c r="D632" t="inlineStr">
        <is>
          <t>VÄSTERBOTTENS LÄN</t>
        </is>
      </c>
      <c r="E632" t="inlineStr">
        <is>
          <t>VILHELMINA</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21035-2025</t>
        </is>
      </c>
      <c r="B633" s="1" t="n">
        <v>45777.53157407408</v>
      </c>
      <c r="C633" s="1" t="n">
        <v>45929</v>
      </c>
      <c r="D633" t="inlineStr">
        <is>
          <t>VÄSTERBOTTENS LÄN</t>
        </is>
      </c>
      <c r="E633" t="inlineStr">
        <is>
          <t>VILHELMINA</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21069-2025</t>
        </is>
      </c>
      <c r="B634" s="1" t="n">
        <v>45777.59427083333</v>
      </c>
      <c r="C634" s="1" t="n">
        <v>45929</v>
      </c>
      <c r="D634" t="inlineStr">
        <is>
          <t>VÄSTERBOTTENS LÄN</t>
        </is>
      </c>
      <c r="E634" t="inlineStr">
        <is>
          <t>VILHELMINA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5435-2024</t>
        </is>
      </c>
      <c r="B635" s="1" t="n">
        <v>45331</v>
      </c>
      <c r="C635" s="1" t="n">
        <v>45929</v>
      </c>
      <c r="D635" t="inlineStr">
        <is>
          <t>VÄSTERBOTTENS LÄN</t>
        </is>
      </c>
      <c r="E635" t="inlineStr">
        <is>
          <t>VILHELMINA</t>
        </is>
      </c>
      <c r="G635" t="n">
        <v>6</v>
      </c>
      <c r="H635" t="n">
        <v>0</v>
      </c>
      <c r="I635" t="n">
        <v>0</v>
      </c>
      <c r="J635" t="n">
        <v>0</v>
      </c>
      <c r="K635" t="n">
        <v>0</v>
      </c>
      <c r="L635" t="n">
        <v>0</v>
      </c>
      <c r="M635" t="n">
        <v>0</v>
      </c>
      <c r="N635" t="n">
        <v>0</v>
      </c>
      <c r="O635" t="n">
        <v>0</v>
      </c>
      <c r="P635" t="n">
        <v>0</v>
      </c>
      <c r="Q635" t="n">
        <v>0</v>
      </c>
      <c r="R635" s="2" t="inlineStr"/>
    </row>
    <row r="636" ht="15" customHeight="1">
      <c r="A636" t="inlineStr">
        <is>
          <t>A 21410-2025</t>
        </is>
      </c>
      <c r="B636" s="1" t="n">
        <v>45782</v>
      </c>
      <c r="C636" s="1" t="n">
        <v>45929</v>
      </c>
      <c r="D636" t="inlineStr">
        <is>
          <t>VÄSTERBOTTENS LÄN</t>
        </is>
      </c>
      <c r="E636" t="inlineStr">
        <is>
          <t>VILHELMINA</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3745-2023</t>
        </is>
      </c>
      <c r="B637" s="1" t="n">
        <v>44949</v>
      </c>
      <c r="C637" s="1" t="n">
        <v>45929</v>
      </c>
      <c r="D637" t="inlineStr">
        <is>
          <t>VÄSTERBOTTENS LÄN</t>
        </is>
      </c>
      <c r="E637" t="inlineStr">
        <is>
          <t>VILHELMINA</t>
        </is>
      </c>
      <c r="G637" t="n">
        <v>36.6</v>
      </c>
      <c r="H637" t="n">
        <v>0</v>
      </c>
      <c r="I637" t="n">
        <v>0</v>
      </c>
      <c r="J637" t="n">
        <v>0</v>
      </c>
      <c r="K637" t="n">
        <v>0</v>
      </c>
      <c r="L637" t="n">
        <v>0</v>
      </c>
      <c r="M637" t="n">
        <v>0</v>
      </c>
      <c r="N637" t="n">
        <v>0</v>
      </c>
      <c r="O637" t="n">
        <v>0</v>
      </c>
      <c r="P637" t="n">
        <v>0</v>
      </c>
      <c r="Q637" t="n">
        <v>0</v>
      </c>
      <c r="R637" s="2" t="inlineStr"/>
    </row>
    <row r="638" ht="15" customHeight="1">
      <c r="A638" t="inlineStr">
        <is>
          <t>A 21205-2025</t>
        </is>
      </c>
      <c r="B638" s="1" t="n">
        <v>45779</v>
      </c>
      <c r="C638" s="1" t="n">
        <v>45929</v>
      </c>
      <c r="D638" t="inlineStr">
        <is>
          <t>VÄSTERBOTTENS LÄN</t>
        </is>
      </c>
      <c r="E638" t="inlineStr">
        <is>
          <t>VILHELMINA</t>
        </is>
      </c>
      <c r="F638" t="inlineStr">
        <is>
          <t>Allmännings- och besparingsskogar</t>
        </is>
      </c>
      <c r="G638" t="n">
        <v>6.2</v>
      </c>
      <c r="H638" t="n">
        <v>0</v>
      </c>
      <c r="I638" t="n">
        <v>0</v>
      </c>
      <c r="J638" t="n">
        <v>0</v>
      </c>
      <c r="K638" t="n">
        <v>0</v>
      </c>
      <c r="L638" t="n">
        <v>0</v>
      </c>
      <c r="M638" t="n">
        <v>0</v>
      </c>
      <c r="N638" t="n">
        <v>0</v>
      </c>
      <c r="O638" t="n">
        <v>0</v>
      </c>
      <c r="P638" t="n">
        <v>0</v>
      </c>
      <c r="Q638" t="n">
        <v>0</v>
      </c>
      <c r="R638" s="2" t="inlineStr"/>
    </row>
    <row r="639" ht="15" customHeight="1">
      <c r="A639" t="inlineStr">
        <is>
          <t>A 21448-2025</t>
        </is>
      </c>
      <c r="B639" s="1" t="n">
        <v>45782.55241898148</v>
      </c>
      <c r="C639" s="1" t="n">
        <v>45929</v>
      </c>
      <c r="D639" t="inlineStr">
        <is>
          <t>VÄSTERBOTTENS LÄN</t>
        </is>
      </c>
      <c r="E639" t="inlineStr">
        <is>
          <t>VILHELMINA</t>
        </is>
      </c>
      <c r="F639" t="inlineStr">
        <is>
          <t>SCA</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21204-2025</t>
        </is>
      </c>
      <c r="B640" s="1" t="n">
        <v>45779</v>
      </c>
      <c r="C640" s="1" t="n">
        <v>45929</v>
      </c>
      <c r="D640" t="inlineStr">
        <is>
          <t>VÄSTERBOTTENS LÄN</t>
        </is>
      </c>
      <c r="E640" t="inlineStr">
        <is>
          <t>VILHELMINA</t>
        </is>
      </c>
      <c r="F640" t="inlineStr">
        <is>
          <t>Allmännings- och besparingsskogar</t>
        </is>
      </c>
      <c r="G640" t="n">
        <v>0.9</v>
      </c>
      <c r="H640" t="n">
        <v>0</v>
      </c>
      <c r="I640" t="n">
        <v>0</v>
      </c>
      <c r="J640" t="n">
        <v>0</v>
      </c>
      <c r="K640" t="n">
        <v>0</v>
      </c>
      <c r="L640" t="n">
        <v>0</v>
      </c>
      <c r="M640" t="n">
        <v>0</v>
      </c>
      <c r="N640" t="n">
        <v>0</v>
      </c>
      <c r="O640" t="n">
        <v>0</v>
      </c>
      <c r="P640" t="n">
        <v>0</v>
      </c>
      <c r="Q640" t="n">
        <v>0</v>
      </c>
      <c r="R640" s="2" t="inlineStr"/>
    </row>
    <row r="641" ht="15" customHeight="1">
      <c r="A641" t="inlineStr">
        <is>
          <t>A 21924-2025</t>
        </is>
      </c>
      <c r="B641" s="1" t="n">
        <v>45784</v>
      </c>
      <c r="C641" s="1" t="n">
        <v>45929</v>
      </c>
      <c r="D641" t="inlineStr">
        <is>
          <t>VÄSTERBOTTENS LÄN</t>
        </is>
      </c>
      <c r="E641" t="inlineStr">
        <is>
          <t>VILHELMINA</t>
        </is>
      </c>
      <c r="G641" t="n">
        <v>10.2</v>
      </c>
      <c r="H641" t="n">
        <v>0</v>
      </c>
      <c r="I641" t="n">
        <v>0</v>
      </c>
      <c r="J641" t="n">
        <v>0</v>
      </c>
      <c r="K641" t="n">
        <v>0</v>
      </c>
      <c r="L641" t="n">
        <v>0</v>
      </c>
      <c r="M641" t="n">
        <v>0</v>
      </c>
      <c r="N641" t="n">
        <v>0</v>
      </c>
      <c r="O641" t="n">
        <v>0</v>
      </c>
      <c r="P641" t="n">
        <v>0</v>
      </c>
      <c r="Q641" t="n">
        <v>0</v>
      </c>
      <c r="R641" s="2" t="inlineStr"/>
    </row>
    <row r="642" ht="15" customHeight="1">
      <c r="A642" t="inlineStr">
        <is>
          <t>A 50482-2023</t>
        </is>
      </c>
      <c r="B642" s="1" t="n">
        <v>45216</v>
      </c>
      <c r="C642" s="1" t="n">
        <v>45929</v>
      </c>
      <c r="D642" t="inlineStr">
        <is>
          <t>VÄSTERBOTTENS LÄN</t>
        </is>
      </c>
      <c r="E642" t="inlineStr">
        <is>
          <t>VILHELMINA</t>
        </is>
      </c>
      <c r="G642" t="n">
        <v>3.5</v>
      </c>
      <c r="H642" t="n">
        <v>0</v>
      </c>
      <c r="I642" t="n">
        <v>0</v>
      </c>
      <c r="J642" t="n">
        <v>0</v>
      </c>
      <c r="K642" t="n">
        <v>0</v>
      </c>
      <c r="L642" t="n">
        <v>0</v>
      </c>
      <c r="M642" t="n">
        <v>0</v>
      </c>
      <c r="N642" t="n">
        <v>0</v>
      </c>
      <c r="O642" t="n">
        <v>0</v>
      </c>
      <c r="P642" t="n">
        <v>0</v>
      </c>
      <c r="Q642" t="n">
        <v>0</v>
      </c>
      <c r="R642" s="2" t="inlineStr"/>
    </row>
    <row r="643" ht="15" customHeight="1">
      <c r="A643" t="inlineStr">
        <is>
          <t>A 21999-2025</t>
        </is>
      </c>
      <c r="B643" s="1" t="n">
        <v>45784</v>
      </c>
      <c r="C643" s="1" t="n">
        <v>45929</v>
      </c>
      <c r="D643" t="inlineStr">
        <is>
          <t>VÄSTERBOTTENS LÄN</t>
        </is>
      </c>
      <c r="E643" t="inlineStr">
        <is>
          <t>VILHELMINA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21950-2025</t>
        </is>
      </c>
      <c r="B644" s="1" t="n">
        <v>45784.59418981482</v>
      </c>
      <c r="C644" s="1" t="n">
        <v>45929</v>
      </c>
      <c r="D644" t="inlineStr">
        <is>
          <t>VÄSTERBOTTENS LÄN</t>
        </is>
      </c>
      <c r="E644" t="inlineStr">
        <is>
          <t>VILHELMINA</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21623-2025</t>
        </is>
      </c>
      <c r="B645" s="1" t="n">
        <v>45783</v>
      </c>
      <c r="C645" s="1" t="n">
        <v>45929</v>
      </c>
      <c r="D645" t="inlineStr">
        <is>
          <t>VÄSTERBOTTENS LÄN</t>
        </is>
      </c>
      <c r="E645" t="inlineStr">
        <is>
          <t>VILHELMINA</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21670-2025</t>
        </is>
      </c>
      <c r="B646" s="1" t="n">
        <v>45783.46917824074</v>
      </c>
      <c r="C646" s="1" t="n">
        <v>45929</v>
      </c>
      <c r="D646" t="inlineStr">
        <is>
          <t>VÄSTERBOTTENS LÄN</t>
        </is>
      </c>
      <c r="E646" t="inlineStr">
        <is>
          <t>VILHELMINA</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21972-2025</t>
        </is>
      </c>
      <c r="B647" s="1" t="n">
        <v>45784.63592592593</v>
      </c>
      <c r="C647" s="1" t="n">
        <v>45929</v>
      </c>
      <c r="D647" t="inlineStr">
        <is>
          <t>VÄSTERBOTTENS LÄN</t>
        </is>
      </c>
      <c r="E647" t="inlineStr">
        <is>
          <t>VILHELMINA</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34809-2023</t>
        </is>
      </c>
      <c r="B648" s="1" t="n">
        <v>45140</v>
      </c>
      <c r="C648" s="1" t="n">
        <v>45929</v>
      </c>
      <c r="D648" t="inlineStr">
        <is>
          <t>VÄSTERBOTTENS LÄN</t>
        </is>
      </c>
      <c r="E648" t="inlineStr">
        <is>
          <t>VILHELMINA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22048-2025</t>
        </is>
      </c>
      <c r="B649" s="1" t="n">
        <v>45785.3443287037</v>
      </c>
      <c r="C649" s="1" t="n">
        <v>45929</v>
      </c>
      <c r="D649" t="inlineStr">
        <is>
          <t>VÄSTERBOTTENS LÄN</t>
        </is>
      </c>
      <c r="E649" t="inlineStr">
        <is>
          <t>VILHELMINA</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50505-2023</t>
        </is>
      </c>
      <c r="B650" s="1" t="n">
        <v>45216.95800925926</v>
      </c>
      <c r="C650" s="1" t="n">
        <v>45929</v>
      </c>
      <c r="D650" t="inlineStr">
        <is>
          <t>VÄSTERBOTTENS LÄN</t>
        </is>
      </c>
      <c r="E650" t="inlineStr">
        <is>
          <t>VILHELMINA</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6369-2024</t>
        </is>
      </c>
      <c r="B651" s="1" t="n">
        <v>45338</v>
      </c>
      <c r="C651" s="1" t="n">
        <v>45929</v>
      </c>
      <c r="D651" t="inlineStr">
        <is>
          <t>VÄSTERBOTTENS LÄN</t>
        </is>
      </c>
      <c r="E651" t="inlineStr">
        <is>
          <t>VILHELMINA</t>
        </is>
      </c>
      <c r="G651" t="n">
        <v>3.6</v>
      </c>
      <c r="H651" t="n">
        <v>0</v>
      </c>
      <c r="I651" t="n">
        <v>0</v>
      </c>
      <c r="J651" t="n">
        <v>0</v>
      </c>
      <c r="K651" t="n">
        <v>0</v>
      </c>
      <c r="L651" t="n">
        <v>0</v>
      </c>
      <c r="M651" t="n">
        <v>0</v>
      </c>
      <c r="N651" t="n">
        <v>0</v>
      </c>
      <c r="O651" t="n">
        <v>0</v>
      </c>
      <c r="P651" t="n">
        <v>0</v>
      </c>
      <c r="Q651" t="n">
        <v>0</v>
      </c>
      <c r="R651" s="2" t="inlineStr"/>
    </row>
    <row r="652" ht="15" customHeight="1">
      <c r="A652" t="inlineStr">
        <is>
          <t>A 1470-2021</t>
        </is>
      </c>
      <c r="B652" s="1" t="n">
        <v>44208</v>
      </c>
      <c r="C652" s="1" t="n">
        <v>45929</v>
      </c>
      <c r="D652" t="inlineStr">
        <is>
          <t>VÄSTERBOTTENS LÄN</t>
        </is>
      </c>
      <c r="E652" t="inlineStr">
        <is>
          <t>VILHELMINA</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19397-2023</t>
        </is>
      </c>
      <c r="B653" s="1" t="n">
        <v>45048</v>
      </c>
      <c r="C653" s="1" t="n">
        <v>45929</v>
      </c>
      <c r="D653" t="inlineStr">
        <is>
          <t>VÄSTERBOTTENS LÄN</t>
        </is>
      </c>
      <c r="E653" t="inlineStr">
        <is>
          <t>VILHELMINA</t>
        </is>
      </c>
      <c r="G653" t="n">
        <v>12.8</v>
      </c>
      <c r="H653" t="n">
        <v>0</v>
      </c>
      <c r="I653" t="n">
        <v>0</v>
      </c>
      <c r="J653" t="n">
        <v>0</v>
      </c>
      <c r="K653" t="n">
        <v>0</v>
      </c>
      <c r="L653" t="n">
        <v>0</v>
      </c>
      <c r="M653" t="n">
        <v>0</v>
      </c>
      <c r="N653" t="n">
        <v>0</v>
      </c>
      <c r="O653" t="n">
        <v>0</v>
      </c>
      <c r="P653" t="n">
        <v>0</v>
      </c>
      <c r="Q653" t="n">
        <v>0</v>
      </c>
      <c r="R653" s="2" t="inlineStr"/>
    </row>
    <row r="654" ht="15" customHeight="1">
      <c r="A654" t="inlineStr">
        <is>
          <t>A 33412-2023</t>
        </is>
      </c>
      <c r="B654" s="1" t="n">
        <v>45117</v>
      </c>
      <c r="C654" s="1" t="n">
        <v>45929</v>
      </c>
      <c r="D654" t="inlineStr">
        <is>
          <t>VÄSTERBOTTENS LÄN</t>
        </is>
      </c>
      <c r="E654" t="inlineStr">
        <is>
          <t>VILHELMINA</t>
        </is>
      </c>
      <c r="F654" t="inlineStr">
        <is>
          <t>Övriga Aktiebolag</t>
        </is>
      </c>
      <c r="G654" t="n">
        <v>0.3</v>
      </c>
      <c r="H654" t="n">
        <v>0</v>
      </c>
      <c r="I654" t="n">
        <v>0</v>
      </c>
      <c r="J654" t="n">
        <v>0</v>
      </c>
      <c r="K654" t="n">
        <v>0</v>
      </c>
      <c r="L654" t="n">
        <v>0</v>
      </c>
      <c r="M654" t="n">
        <v>0</v>
      </c>
      <c r="N654" t="n">
        <v>0</v>
      </c>
      <c r="O654" t="n">
        <v>0</v>
      </c>
      <c r="P654" t="n">
        <v>0</v>
      </c>
      <c r="Q654" t="n">
        <v>0</v>
      </c>
      <c r="R654" s="2" t="inlineStr"/>
    </row>
    <row r="655" ht="15" customHeight="1">
      <c r="A655" t="inlineStr">
        <is>
          <t>A 22617-2025</t>
        </is>
      </c>
      <c r="B655" s="1" t="n">
        <v>45789</v>
      </c>
      <c r="C655" s="1" t="n">
        <v>45929</v>
      </c>
      <c r="D655" t="inlineStr">
        <is>
          <t>VÄSTERBOTTENS LÄN</t>
        </is>
      </c>
      <c r="E655" t="inlineStr">
        <is>
          <t>VILHELMINA</t>
        </is>
      </c>
      <c r="F655" t="inlineStr">
        <is>
          <t>SCA</t>
        </is>
      </c>
      <c r="G655" t="n">
        <v>7.3</v>
      </c>
      <c r="H655" t="n">
        <v>0</v>
      </c>
      <c r="I655" t="n">
        <v>0</v>
      </c>
      <c r="J655" t="n">
        <v>0</v>
      </c>
      <c r="K655" t="n">
        <v>0</v>
      </c>
      <c r="L655" t="n">
        <v>0</v>
      </c>
      <c r="M655" t="n">
        <v>0</v>
      </c>
      <c r="N655" t="n">
        <v>0</v>
      </c>
      <c r="O655" t="n">
        <v>0</v>
      </c>
      <c r="P655" t="n">
        <v>0</v>
      </c>
      <c r="Q655" t="n">
        <v>0</v>
      </c>
      <c r="R655" s="2" t="inlineStr"/>
    </row>
    <row r="656" ht="15" customHeight="1">
      <c r="A656" t="inlineStr">
        <is>
          <t>A 57246-2023</t>
        </is>
      </c>
      <c r="B656" s="1" t="n">
        <v>45239</v>
      </c>
      <c r="C656" s="1" t="n">
        <v>45929</v>
      </c>
      <c r="D656" t="inlineStr">
        <is>
          <t>VÄSTERBOTTENS LÄN</t>
        </is>
      </c>
      <c r="E656" t="inlineStr">
        <is>
          <t>VILHELMINA</t>
        </is>
      </c>
      <c r="G656" t="n">
        <v>15.3</v>
      </c>
      <c r="H656" t="n">
        <v>0</v>
      </c>
      <c r="I656" t="n">
        <v>0</v>
      </c>
      <c r="J656" t="n">
        <v>0</v>
      </c>
      <c r="K656" t="n">
        <v>0</v>
      </c>
      <c r="L656" t="n">
        <v>0</v>
      </c>
      <c r="M656" t="n">
        <v>0</v>
      </c>
      <c r="N656" t="n">
        <v>0</v>
      </c>
      <c r="O656" t="n">
        <v>0</v>
      </c>
      <c r="P656" t="n">
        <v>0</v>
      </c>
      <c r="Q656" t="n">
        <v>0</v>
      </c>
      <c r="R656" s="2" t="inlineStr"/>
    </row>
    <row r="657" ht="15" customHeight="1">
      <c r="A657" t="inlineStr">
        <is>
          <t>A 56246-2023</t>
        </is>
      </c>
      <c r="B657" s="1" t="n">
        <v>45240</v>
      </c>
      <c r="C657" s="1" t="n">
        <v>45929</v>
      </c>
      <c r="D657" t="inlineStr">
        <is>
          <t>VÄSTERBOTTENS LÄN</t>
        </is>
      </c>
      <c r="E657" t="inlineStr">
        <is>
          <t>VILHELMINA</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12866-2023</t>
        </is>
      </c>
      <c r="B658" s="1" t="n">
        <v>45000</v>
      </c>
      <c r="C658" s="1" t="n">
        <v>45929</v>
      </c>
      <c r="D658" t="inlineStr">
        <is>
          <t>VÄSTERBOTTENS LÄN</t>
        </is>
      </c>
      <c r="E658" t="inlineStr">
        <is>
          <t>VILHELMINA</t>
        </is>
      </c>
      <c r="G658" t="n">
        <v>2.6</v>
      </c>
      <c r="H658" t="n">
        <v>0</v>
      </c>
      <c r="I658" t="n">
        <v>0</v>
      </c>
      <c r="J658" t="n">
        <v>0</v>
      </c>
      <c r="K658" t="n">
        <v>0</v>
      </c>
      <c r="L658" t="n">
        <v>0</v>
      </c>
      <c r="M658" t="n">
        <v>0</v>
      </c>
      <c r="N658" t="n">
        <v>0</v>
      </c>
      <c r="O658" t="n">
        <v>0</v>
      </c>
      <c r="P658" t="n">
        <v>0</v>
      </c>
      <c r="Q658" t="n">
        <v>0</v>
      </c>
      <c r="R658" s="2" t="inlineStr"/>
    </row>
    <row r="659" ht="15" customHeight="1">
      <c r="A659" t="inlineStr">
        <is>
          <t>A 72494-2021</t>
        </is>
      </c>
      <c r="B659" s="1" t="n">
        <v>44545.92059027778</v>
      </c>
      <c r="C659" s="1" t="n">
        <v>45929</v>
      </c>
      <c r="D659" t="inlineStr">
        <is>
          <t>VÄSTERBOTTENS LÄN</t>
        </is>
      </c>
      <c r="E659" t="inlineStr">
        <is>
          <t>VILHELMINA</t>
        </is>
      </c>
      <c r="G659" t="n">
        <v>4.2</v>
      </c>
      <c r="H659" t="n">
        <v>0</v>
      </c>
      <c r="I659" t="n">
        <v>0</v>
      </c>
      <c r="J659" t="n">
        <v>0</v>
      </c>
      <c r="K659" t="n">
        <v>0</v>
      </c>
      <c r="L659" t="n">
        <v>0</v>
      </c>
      <c r="M659" t="n">
        <v>0</v>
      </c>
      <c r="N659" t="n">
        <v>0</v>
      </c>
      <c r="O659" t="n">
        <v>0</v>
      </c>
      <c r="P659" t="n">
        <v>0</v>
      </c>
      <c r="Q659" t="n">
        <v>0</v>
      </c>
      <c r="R659" s="2" t="inlineStr"/>
    </row>
    <row r="660" ht="15" customHeight="1">
      <c r="A660" t="inlineStr">
        <is>
          <t>A 58207-2022</t>
        </is>
      </c>
      <c r="B660" s="1" t="n">
        <v>44901</v>
      </c>
      <c r="C660" s="1" t="n">
        <v>45929</v>
      </c>
      <c r="D660" t="inlineStr">
        <is>
          <t>VÄSTERBOTTENS LÄN</t>
        </is>
      </c>
      <c r="E660" t="inlineStr">
        <is>
          <t>VILHELMINA</t>
        </is>
      </c>
      <c r="G660" t="n">
        <v>143.2</v>
      </c>
      <c r="H660" t="n">
        <v>0</v>
      </c>
      <c r="I660" t="n">
        <v>0</v>
      </c>
      <c r="J660" t="n">
        <v>0</v>
      </c>
      <c r="K660" t="n">
        <v>0</v>
      </c>
      <c r="L660" t="n">
        <v>0</v>
      </c>
      <c r="M660" t="n">
        <v>0</v>
      </c>
      <c r="N660" t="n">
        <v>0</v>
      </c>
      <c r="O660" t="n">
        <v>0</v>
      </c>
      <c r="P660" t="n">
        <v>0</v>
      </c>
      <c r="Q660" t="n">
        <v>0</v>
      </c>
      <c r="R660" s="2" t="inlineStr"/>
    </row>
    <row r="661" ht="15" customHeight="1">
      <c r="A661" t="inlineStr">
        <is>
          <t>A 47440-2024</t>
        </is>
      </c>
      <c r="B661" s="1" t="n">
        <v>45587</v>
      </c>
      <c r="C661" s="1" t="n">
        <v>45929</v>
      </c>
      <c r="D661" t="inlineStr">
        <is>
          <t>VÄSTERBOTTENS LÄN</t>
        </is>
      </c>
      <c r="E661" t="inlineStr">
        <is>
          <t>VILHELMINA</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48088-2024</t>
        </is>
      </c>
      <c r="B662" s="1" t="n">
        <v>45589</v>
      </c>
      <c r="C662" s="1" t="n">
        <v>45929</v>
      </c>
      <c r="D662" t="inlineStr">
        <is>
          <t>VÄSTERBOTTENS LÄN</t>
        </is>
      </c>
      <c r="E662" t="inlineStr">
        <is>
          <t>VILHELMINA</t>
        </is>
      </c>
      <c r="F662" t="inlineStr">
        <is>
          <t>SCA</t>
        </is>
      </c>
      <c r="G662" t="n">
        <v>6.9</v>
      </c>
      <c r="H662" t="n">
        <v>0</v>
      </c>
      <c r="I662" t="n">
        <v>0</v>
      </c>
      <c r="J662" t="n">
        <v>0</v>
      </c>
      <c r="K662" t="n">
        <v>0</v>
      </c>
      <c r="L662" t="n">
        <v>0</v>
      </c>
      <c r="M662" t="n">
        <v>0</v>
      </c>
      <c r="N662" t="n">
        <v>0</v>
      </c>
      <c r="O662" t="n">
        <v>0</v>
      </c>
      <c r="P662" t="n">
        <v>0</v>
      </c>
      <c r="Q662" t="n">
        <v>0</v>
      </c>
      <c r="R662" s="2" t="inlineStr"/>
    </row>
    <row r="663" ht="15" customHeight="1">
      <c r="A663" t="inlineStr">
        <is>
          <t>A 39035-2024</t>
        </is>
      </c>
      <c r="B663" s="1" t="n">
        <v>45548.46918981482</v>
      </c>
      <c r="C663" s="1" t="n">
        <v>45929</v>
      </c>
      <c r="D663" t="inlineStr">
        <is>
          <t>VÄSTERBOTTENS LÄN</t>
        </is>
      </c>
      <c r="E663" t="inlineStr">
        <is>
          <t>VILHELMINA</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47548-2024</t>
        </is>
      </c>
      <c r="B664" s="1" t="n">
        <v>45587</v>
      </c>
      <c r="C664" s="1" t="n">
        <v>45929</v>
      </c>
      <c r="D664" t="inlineStr">
        <is>
          <t>VÄSTERBOTTENS LÄN</t>
        </is>
      </c>
      <c r="E664" t="inlineStr">
        <is>
          <t>VILHELMINA</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23459-2025</t>
        </is>
      </c>
      <c r="B665" s="1" t="n">
        <v>45792</v>
      </c>
      <c r="C665" s="1" t="n">
        <v>45929</v>
      </c>
      <c r="D665" t="inlineStr">
        <is>
          <t>VÄSTERBOTTENS LÄN</t>
        </is>
      </c>
      <c r="E665" t="inlineStr">
        <is>
          <t>VILHELMINA</t>
        </is>
      </c>
      <c r="F665" t="inlineStr">
        <is>
          <t>SCA</t>
        </is>
      </c>
      <c r="G665" t="n">
        <v>7.4</v>
      </c>
      <c r="H665" t="n">
        <v>0</v>
      </c>
      <c r="I665" t="n">
        <v>0</v>
      </c>
      <c r="J665" t="n">
        <v>0</v>
      </c>
      <c r="K665" t="n">
        <v>0</v>
      </c>
      <c r="L665" t="n">
        <v>0</v>
      </c>
      <c r="M665" t="n">
        <v>0</v>
      </c>
      <c r="N665" t="n">
        <v>0</v>
      </c>
      <c r="O665" t="n">
        <v>0</v>
      </c>
      <c r="P665" t="n">
        <v>0</v>
      </c>
      <c r="Q665" t="n">
        <v>0</v>
      </c>
      <c r="R665" s="2" t="inlineStr"/>
    </row>
    <row r="666" ht="15" customHeight="1">
      <c r="A666" t="inlineStr">
        <is>
          <t>A 23461-2025</t>
        </is>
      </c>
      <c r="B666" s="1" t="n">
        <v>45792</v>
      </c>
      <c r="C666" s="1" t="n">
        <v>45929</v>
      </c>
      <c r="D666" t="inlineStr">
        <is>
          <t>VÄSTERBOTTENS LÄN</t>
        </is>
      </c>
      <c r="E666" t="inlineStr">
        <is>
          <t>VILHELMINA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23281-2025</t>
        </is>
      </c>
      <c r="B667" s="1" t="n">
        <v>45791.57324074074</v>
      </c>
      <c r="C667" s="1" t="n">
        <v>45929</v>
      </c>
      <c r="D667" t="inlineStr">
        <is>
          <t>VÄSTERBOTTENS LÄN</t>
        </is>
      </c>
      <c r="E667" t="inlineStr">
        <is>
          <t>VILHELMINA</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47242-2024</t>
        </is>
      </c>
      <c r="B668" s="1" t="n">
        <v>45586</v>
      </c>
      <c r="C668" s="1" t="n">
        <v>45929</v>
      </c>
      <c r="D668" t="inlineStr">
        <is>
          <t>VÄSTERBOTTENS LÄN</t>
        </is>
      </c>
      <c r="E668" t="inlineStr">
        <is>
          <t>VILHELMINA</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248-2025</t>
        </is>
      </c>
      <c r="B669" s="1" t="n">
        <v>45660.419375</v>
      </c>
      <c r="C669" s="1" t="n">
        <v>45929</v>
      </c>
      <c r="D669" t="inlineStr">
        <is>
          <t>VÄSTERBOTTENS LÄN</t>
        </is>
      </c>
      <c r="E669" t="inlineStr">
        <is>
          <t>VILHELMINA</t>
        </is>
      </c>
      <c r="G669" t="n">
        <v>11</v>
      </c>
      <c r="H669" t="n">
        <v>0</v>
      </c>
      <c r="I669" t="n">
        <v>0</v>
      </c>
      <c r="J669" t="n">
        <v>0</v>
      </c>
      <c r="K669" t="n">
        <v>0</v>
      </c>
      <c r="L669" t="n">
        <v>0</v>
      </c>
      <c r="M669" t="n">
        <v>0</v>
      </c>
      <c r="N669" t="n">
        <v>0</v>
      </c>
      <c r="O669" t="n">
        <v>0</v>
      </c>
      <c r="P669" t="n">
        <v>0</v>
      </c>
      <c r="Q669" t="n">
        <v>0</v>
      </c>
      <c r="R669" s="2" t="inlineStr"/>
    </row>
    <row r="670" ht="15" customHeight="1">
      <c r="A670" t="inlineStr">
        <is>
          <t>A 46316-2022</t>
        </is>
      </c>
      <c r="B670" s="1" t="n">
        <v>44847</v>
      </c>
      <c r="C670" s="1" t="n">
        <v>45929</v>
      </c>
      <c r="D670" t="inlineStr">
        <is>
          <t>VÄSTERBOTTENS LÄN</t>
        </is>
      </c>
      <c r="E670" t="inlineStr">
        <is>
          <t>VILHELMINA</t>
        </is>
      </c>
      <c r="G670" t="n">
        <v>2.1</v>
      </c>
      <c r="H670" t="n">
        <v>0</v>
      </c>
      <c r="I670" t="n">
        <v>0</v>
      </c>
      <c r="J670" t="n">
        <v>0</v>
      </c>
      <c r="K670" t="n">
        <v>0</v>
      </c>
      <c r="L670" t="n">
        <v>0</v>
      </c>
      <c r="M670" t="n">
        <v>0</v>
      </c>
      <c r="N670" t="n">
        <v>0</v>
      </c>
      <c r="O670" t="n">
        <v>0</v>
      </c>
      <c r="P670" t="n">
        <v>0</v>
      </c>
      <c r="Q670" t="n">
        <v>0</v>
      </c>
      <c r="R670" s="2" t="inlineStr"/>
    </row>
    <row r="671" ht="15" customHeight="1">
      <c r="A671" t="inlineStr">
        <is>
          <t>A 23415-2025</t>
        </is>
      </c>
      <c r="B671" s="1" t="n">
        <v>45792.34643518519</v>
      </c>
      <c r="C671" s="1" t="n">
        <v>45929</v>
      </c>
      <c r="D671" t="inlineStr">
        <is>
          <t>VÄSTERBOTTENS LÄN</t>
        </is>
      </c>
      <c r="E671" t="inlineStr">
        <is>
          <t>VILHELMINA</t>
        </is>
      </c>
      <c r="F671" t="inlineStr">
        <is>
          <t>SCA</t>
        </is>
      </c>
      <c r="G671" t="n">
        <v>36.9</v>
      </c>
      <c r="H671" t="n">
        <v>0</v>
      </c>
      <c r="I671" t="n">
        <v>0</v>
      </c>
      <c r="J671" t="n">
        <v>0</v>
      </c>
      <c r="K671" t="n">
        <v>0</v>
      </c>
      <c r="L671" t="n">
        <v>0</v>
      </c>
      <c r="M671" t="n">
        <v>0</v>
      </c>
      <c r="N671" t="n">
        <v>0</v>
      </c>
      <c r="O671" t="n">
        <v>0</v>
      </c>
      <c r="P671" t="n">
        <v>0</v>
      </c>
      <c r="Q671" t="n">
        <v>0</v>
      </c>
      <c r="R671" s="2" t="inlineStr"/>
    </row>
    <row r="672" ht="15" customHeight="1">
      <c r="A672" t="inlineStr">
        <is>
          <t>A 48062-2024</t>
        </is>
      </c>
      <c r="B672" s="1" t="n">
        <v>45589</v>
      </c>
      <c r="C672" s="1" t="n">
        <v>45929</v>
      </c>
      <c r="D672" t="inlineStr">
        <is>
          <t>VÄSTERBOTTENS LÄN</t>
        </is>
      </c>
      <c r="E672" t="inlineStr">
        <is>
          <t>VILHELMINA</t>
        </is>
      </c>
      <c r="F672" t="inlineStr">
        <is>
          <t>SCA</t>
        </is>
      </c>
      <c r="G672" t="n">
        <v>6.2</v>
      </c>
      <c r="H672" t="n">
        <v>0</v>
      </c>
      <c r="I672" t="n">
        <v>0</v>
      </c>
      <c r="J672" t="n">
        <v>0</v>
      </c>
      <c r="K672" t="n">
        <v>0</v>
      </c>
      <c r="L672" t="n">
        <v>0</v>
      </c>
      <c r="M672" t="n">
        <v>0</v>
      </c>
      <c r="N672" t="n">
        <v>0</v>
      </c>
      <c r="O672" t="n">
        <v>0</v>
      </c>
      <c r="P672" t="n">
        <v>0</v>
      </c>
      <c r="Q672" t="n">
        <v>0</v>
      </c>
      <c r="R672" s="2" t="inlineStr"/>
    </row>
    <row r="673" ht="15" customHeight="1">
      <c r="A673" t="inlineStr">
        <is>
          <t>A 23406-2025</t>
        </is>
      </c>
      <c r="B673" s="1" t="n">
        <v>45792.34540509259</v>
      </c>
      <c r="C673" s="1" t="n">
        <v>45929</v>
      </c>
      <c r="D673" t="inlineStr">
        <is>
          <t>VÄSTERBOTTENS LÄN</t>
        </is>
      </c>
      <c r="E673" t="inlineStr">
        <is>
          <t>VILHELMINA</t>
        </is>
      </c>
      <c r="F673" t="inlineStr">
        <is>
          <t>SCA</t>
        </is>
      </c>
      <c r="G673" t="n">
        <v>15.4</v>
      </c>
      <c r="H673" t="n">
        <v>0</v>
      </c>
      <c r="I673" t="n">
        <v>0</v>
      </c>
      <c r="J673" t="n">
        <v>0</v>
      </c>
      <c r="K673" t="n">
        <v>0</v>
      </c>
      <c r="L673" t="n">
        <v>0</v>
      </c>
      <c r="M673" t="n">
        <v>0</v>
      </c>
      <c r="N673" t="n">
        <v>0</v>
      </c>
      <c r="O673" t="n">
        <v>0</v>
      </c>
      <c r="P673" t="n">
        <v>0</v>
      </c>
      <c r="Q673" t="n">
        <v>0</v>
      </c>
      <c r="R673" s="2" t="inlineStr"/>
    </row>
    <row r="674" ht="15" customHeight="1">
      <c r="A674" t="inlineStr">
        <is>
          <t>A 17467-2025</t>
        </is>
      </c>
      <c r="B674" s="1" t="n">
        <v>45757</v>
      </c>
      <c r="C674" s="1" t="n">
        <v>45929</v>
      </c>
      <c r="D674" t="inlineStr">
        <is>
          <t>VÄSTERBOTTENS LÄN</t>
        </is>
      </c>
      <c r="E674" t="inlineStr">
        <is>
          <t>VILHELMINA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146-2025</t>
        </is>
      </c>
      <c r="B675" s="1" t="n">
        <v>45659</v>
      </c>
      <c r="C675" s="1" t="n">
        <v>45929</v>
      </c>
      <c r="D675" t="inlineStr">
        <is>
          <t>VÄSTERBOTTENS LÄN</t>
        </is>
      </c>
      <c r="E675" t="inlineStr">
        <is>
          <t>VILHELMINA</t>
        </is>
      </c>
      <c r="F675" t="inlineStr">
        <is>
          <t>SCA</t>
        </is>
      </c>
      <c r="G675" t="n">
        <v>9.1</v>
      </c>
      <c r="H675" t="n">
        <v>0</v>
      </c>
      <c r="I675" t="n">
        <v>0</v>
      </c>
      <c r="J675" t="n">
        <v>0</v>
      </c>
      <c r="K675" t="n">
        <v>0</v>
      </c>
      <c r="L675" t="n">
        <v>0</v>
      </c>
      <c r="M675" t="n">
        <v>0</v>
      </c>
      <c r="N675" t="n">
        <v>0</v>
      </c>
      <c r="O675" t="n">
        <v>0</v>
      </c>
      <c r="P675" t="n">
        <v>0</v>
      </c>
      <c r="Q675" t="n">
        <v>0</v>
      </c>
      <c r="R675" s="2" t="inlineStr"/>
    </row>
    <row r="676" ht="15" customHeight="1">
      <c r="A676" t="inlineStr">
        <is>
          <t>A 58456-2023</t>
        </is>
      </c>
      <c r="B676" s="1" t="n">
        <v>45250.96092592592</v>
      </c>
      <c r="C676" s="1" t="n">
        <v>45929</v>
      </c>
      <c r="D676" t="inlineStr">
        <is>
          <t>VÄSTERBOTTENS LÄN</t>
        </is>
      </c>
      <c r="E676" t="inlineStr">
        <is>
          <t>VILHELMINA</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19873-2024</t>
        </is>
      </c>
      <c r="B677" s="1" t="n">
        <v>45433</v>
      </c>
      <c r="C677" s="1" t="n">
        <v>45929</v>
      </c>
      <c r="D677" t="inlineStr">
        <is>
          <t>VÄSTERBOTTENS LÄN</t>
        </is>
      </c>
      <c r="E677" t="inlineStr">
        <is>
          <t>VILHELMINA</t>
        </is>
      </c>
      <c r="G677" t="n">
        <v>8.6</v>
      </c>
      <c r="H677" t="n">
        <v>0</v>
      </c>
      <c r="I677" t="n">
        <v>0</v>
      </c>
      <c r="J677" t="n">
        <v>0</v>
      </c>
      <c r="K677" t="n">
        <v>0</v>
      </c>
      <c r="L677" t="n">
        <v>0</v>
      </c>
      <c r="M677" t="n">
        <v>0</v>
      </c>
      <c r="N677" t="n">
        <v>0</v>
      </c>
      <c r="O677" t="n">
        <v>0</v>
      </c>
      <c r="P677" t="n">
        <v>0</v>
      </c>
      <c r="Q677" t="n">
        <v>0</v>
      </c>
      <c r="R677" s="2" t="inlineStr"/>
    </row>
    <row r="678" ht="15" customHeight="1">
      <c r="A678" t="inlineStr">
        <is>
          <t>A 25308-2025</t>
        </is>
      </c>
      <c r="B678" s="1" t="n">
        <v>45800</v>
      </c>
      <c r="C678" s="1" t="n">
        <v>45929</v>
      </c>
      <c r="D678" t="inlineStr">
        <is>
          <t>VÄSTERBOTTENS LÄN</t>
        </is>
      </c>
      <c r="E678" t="inlineStr">
        <is>
          <t>VILHELMINA</t>
        </is>
      </c>
      <c r="F678" t="inlineStr">
        <is>
          <t>SCA</t>
        </is>
      </c>
      <c r="G678" t="n">
        <v>5.9</v>
      </c>
      <c r="H678" t="n">
        <v>0</v>
      </c>
      <c r="I678" t="n">
        <v>0</v>
      </c>
      <c r="J678" t="n">
        <v>0</v>
      </c>
      <c r="K678" t="n">
        <v>0</v>
      </c>
      <c r="L678" t="n">
        <v>0</v>
      </c>
      <c r="M678" t="n">
        <v>0</v>
      </c>
      <c r="N678" t="n">
        <v>0</v>
      </c>
      <c r="O678" t="n">
        <v>0</v>
      </c>
      <c r="P678" t="n">
        <v>0</v>
      </c>
      <c r="Q678" t="n">
        <v>0</v>
      </c>
      <c r="R678" s="2" t="inlineStr"/>
    </row>
    <row r="679" ht="15" customHeight="1">
      <c r="A679" t="inlineStr">
        <is>
          <t>A 23412-2025</t>
        </is>
      </c>
      <c r="B679" s="1" t="n">
        <v>45792.34596064815</v>
      </c>
      <c r="C679" s="1" t="n">
        <v>45929</v>
      </c>
      <c r="D679" t="inlineStr">
        <is>
          <t>VÄSTERBOTTENS LÄN</t>
        </is>
      </c>
      <c r="E679" t="inlineStr">
        <is>
          <t>VILHELMINA</t>
        </is>
      </c>
      <c r="F679" t="inlineStr">
        <is>
          <t>SCA</t>
        </is>
      </c>
      <c r="G679" t="n">
        <v>10.1</v>
      </c>
      <c r="H679" t="n">
        <v>0</v>
      </c>
      <c r="I679" t="n">
        <v>0</v>
      </c>
      <c r="J679" t="n">
        <v>0</v>
      </c>
      <c r="K679" t="n">
        <v>0</v>
      </c>
      <c r="L679" t="n">
        <v>0</v>
      </c>
      <c r="M679" t="n">
        <v>0</v>
      </c>
      <c r="N679" t="n">
        <v>0</v>
      </c>
      <c r="O679" t="n">
        <v>0</v>
      </c>
      <c r="P679" t="n">
        <v>0</v>
      </c>
      <c r="Q679" t="n">
        <v>0</v>
      </c>
      <c r="R679" s="2" t="inlineStr"/>
    </row>
    <row r="680" ht="15" customHeight="1">
      <c r="A680" t="inlineStr">
        <is>
          <t>A 60549-2022</t>
        </is>
      </c>
      <c r="B680" s="1" t="n">
        <v>44911.51318287037</v>
      </c>
      <c r="C680" s="1" t="n">
        <v>45929</v>
      </c>
      <c r="D680" t="inlineStr">
        <is>
          <t>VÄSTERBOTTENS LÄN</t>
        </is>
      </c>
      <c r="E680" t="inlineStr">
        <is>
          <t>VILHELMINA</t>
        </is>
      </c>
      <c r="G680" t="n">
        <v>3.8</v>
      </c>
      <c r="H680" t="n">
        <v>0</v>
      </c>
      <c r="I680" t="n">
        <v>0</v>
      </c>
      <c r="J680" t="n">
        <v>0</v>
      </c>
      <c r="K680" t="n">
        <v>0</v>
      </c>
      <c r="L680" t="n">
        <v>0</v>
      </c>
      <c r="M680" t="n">
        <v>0</v>
      </c>
      <c r="N680" t="n">
        <v>0</v>
      </c>
      <c r="O680" t="n">
        <v>0</v>
      </c>
      <c r="P680" t="n">
        <v>0</v>
      </c>
      <c r="Q680" t="n">
        <v>0</v>
      </c>
      <c r="R680" s="2" t="inlineStr"/>
    </row>
    <row r="681" ht="15" customHeight="1">
      <c r="A681" t="inlineStr">
        <is>
          <t>A 10548-2022</t>
        </is>
      </c>
      <c r="B681" s="1" t="n">
        <v>44623</v>
      </c>
      <c r="C681" s="1" t="n">
        <v>45929</v>
      </c>
      <c r="D681" t="inlineStr">
        <is>
          <t>VÄSTERBOTTENS LÄN</t>
        </is>
      </c>
      <c r="E681" t="inlineStr">
        <is>
          <t>VILHELMINA</t>
        </is>
      </c>
      <c r="F681" t="inlineStr">
        <is>
          <t>SCA</t>
        </is>
      </c>
      <c r="G681" t="n">
        <v>11.5</v>
      </c>
      <c r="H681" t="n">
        <v>0</v>
      </c>
      <c r="I681" t="n">
        <v>0</v>
      </c>
      <c r="J681" t="n">
        <v>0</v>
      </c>
      <c r="K681" t="n">
        <v>0</v>
      </c>
      <c r="L681" t="n">
        <v>0</v>
      </c>
      <c r="M681" t="n">
        <v>0</v>
      </c>
      <c r="N681" t="n">
        <v>0</v>
      </c>
      <c r="O681" t="n">
        <v>0</v>
      </c>
      <c r="P681" t="n">
        <v>0</v>
      </c>
      <c r="Q681" t="n">
        <v>0</v>
      </c>
      <c r="R681" s="2" t="inlineStr"/>
    </row>
    <row r="682" ht="15" customHeight="1">
      <c r="A682" t="inlineStr">
        <is>
          <t>A 23826-2025</t>
        </is>
      </c>
      <c r="B682" s="1" t="n">
        <v>45793.59461805555</v>
      </c>
      <c r="C682" s="1" t="n">
        <v>45929</v>
      </c>
      <c r="D682" t="inlineStr">
        <is>
          <t>VÄSTERBOTTENS LÄN</t>
        </is>
      </c>
      <c r="E682" t="inlineStr">
        <is>
          <t>VILHELMINA</t>
        </is>
      </c>
      <c r="F682" t="inlineStr">
        <is>
          <t>SCA</t>
        </is>
      </c>
      <c r="G682" t="n">
        <v>5.9</v>
      </c>
      <c r="H682" t="n">
        <v>0</v>
      </c>
      <c r="I682" t="n">
        <v>0</v>
      </c>
      <c r="J682" t="n">
        <v>0</v>
      </c>
      <c r="K682" t="n">
        <v>0</v>
      </c>
      <c r="L682" t="n">
        <v>0</v>
      </c>
      <c r="M682" t="n">
        <v>0</v>
      </c>
      <c r="N682" t="n">
        <v>0</v>
      </c>
      <c r="O682" t="n">
        <v>0</v>
      </c>
      <c r="P682" t="n">
        <v>0</v>
      </c>
      <c r="Q682" t="n">
        <v>0</v>
      </c>
      <c r="R682" s="2" t="inlineStr"/>
    </row>
    <row r="683" ht="15" customHeight="1">
      <c r="A683" t="inlineStr">
        <is>
          <t>A 61048-2022</t>
        </is>
      </c>
      <c r="B683" s="1" t="n">
        <v>44914</v>
      </c>
      <c r="C683" s="1" t="n">
        <v>45929</v>
      </c>
      <c r="D683" t="inlineStr">
        <is>
          <t>VÄSTERBOTTENS LÄN</t>
        </is>
      </c>
      <c r="E683" t="inlineStr">
        <is>
          <t>VILHELMINA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35760-2023</t>
        </is>
      </c>
      <c r="B684" s="1" t="n">
        <v>45147</v>
      </c>
      <c r="C684" s="1" t="n">
        <v>45929</v>
      </c>
      <c r="D684" t="inlineStr">
        <is>
          <t>VÄSTERBOTTENS LÄN</t>
        </is>
      </c>
      <c r="E684" t="inlineStr">
        <is>
          <t>VILHELMINA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12229-2022</t>
        </is>
      </c>
      <c r="B685" s="1" t="n">
        <v>44637</v>
      </c>
      <c r="C685" s="1" t="n">
        <v>45929</v>
      </c>
      <c r="D685" t="inlineStr">
        <is>
          <t>VÄSTERBOTTENS LÄN</t>
        </is>
      </c>
      <c r="E685" t="inlineStr">
        <is>
          <t>VILHELMINA</t>
        </is>
      </c>
      <c r="G685" t="n">
        <v>5</v>
      </c>
      <c r="H685" t="n">
        <v>0</v>
      </c>
      <c r="I685" t="n">
        <v>0</v>
      </c>
      <c r="J685" t="n">
        <v>0</v>
      </c>
      <c r="K685" t="n">
        <v>0</v>
      </c>
      <c r="L685" t="n">
        <v>0</v>
      </c>
      <c r="M685" t="n">
        <v>0</v>
      </c>
      <c r="N685" t="n">
        <v>0</v>
      </c>
      <c r="O685" t="n">
        <v>0</v>
      </c>
      <c r="P685" t="n">
        <v>0</v>
      </c>
      <c r="Q685" t="n">
        <v>0</v>
      </c>
      <c r="R685" s="2" t="inlineStr"/>
    </row>
    <row r="686" ht="15" customHeight="1">
      <c r="A686" t="inlineStr">
        <is>
          <t>A 45007-2024</t>
        </is>
      </c>
      <c r="B686" s="1" t="n">
        <v>45575.49100694444</v>
      </c>
      <c r="C686" s="1" t="n">
        <v>45929</v>
      </c>
      <c r="D686" t="inlineStr">
        <is>
          <t>VÄSTERBOTTENS LÄN</t>
        </is>
      </c>
      <c r="E686" t="inlineStr">
        <is>
          <t>VILHELMINA</t>
        </is>
      </c>
      <c r="F686" t="inlineStr">
        <is>
          <t>SCA</t>
        </is>
      </c>
      <c r="G686" t="n">
        <v>14.8</v>
      </c>
      <c r="H686" t="n">
        <v>0</v>
      </c>
      <c r="I686" t="n">
        <v>0</v>
      </c>
      <c r="J686" t="n">
        <v>0</v>
      </c>
      <c r="K686" t="n">
        <v>0</v>
      </c>
      <c r="L686" t="n">
        <v>0</v>
      </c>
      <c r="M686" t="n">
        <v>0</v>
      </c>
      <c r="N686" t="n">
        <v>0</v>
      </c>
      <c r="O686" t="n">
        <v>0</v>
      </c>
      <c r="P686" t="n">
        <v>0</v>
      </c>
      <c r="Q686" t="n">
        <v>0</v>
      </c>
      <c r="R686" s="2" t="inlineStr"/>
    </row>
    <row r="687" ht="15" customHeight="1">
      <c r="A687" t="inlineStr">
        <is>
          <t>A 2382-2023</t>
        </is>
      </c>
      <c r="B687" s="1" t="n">
        <v>44942</v>
      </c>
      <c r="C687" s="1" t="n">
        <v>45929</v>
      </c>
      <c r="D687" t="inlineStr">
        <is>
          <t>VÄSTERBOTTENS LÄN</t>
        </is>
      </c>
      <c r="E687" t="inlineStr">
        <is>
          <t>VILHELMINA</t>
        </is>
      </c>
      <c r="G687" t="n">
        <v>29.7</v>
      </c>
      <c r="H687" t="n">
        <v>0</v>
      </c>
      <c r="I687" t="n">
        <v>0</v>
      </c>
      <c r="J687" t="n">
        <v>0</v>
      </c>
      <c r="K687" t="n">
        <v>0</v>
      </c>
      <c r="L687" t="n">
        <v>0</v>
      </c>
      <c r="M687" t="n">
        <v>0</v>
      </c>
      <c r="N687" t="n">
        <v>0</v>
      </c>
      <c r="O687" t="n">
        <v>0</v>
      </c>
      <c r="P687" t="n">
        <v>0</v>
      </c>
      <c r="Q687" t="n">
        <v>0</v>
      </c>
      <c r="R687" s="2" t="inlineStr"/>
    </row>
    <row r="688" ht="15" customHeight="1">
      <c r="A688" t="inlineStr">
        <is>
          <t>A 70849-2021</t>
        </is>
      </c>
      <c r="B688" s="1" t="n">
        <v>44532</v>
      </c>
      <c r="C688" s="1" t="n">
        <v>45929</v>
      </c>
      <c r="D688" t="inlineStr">
        <is>
          <t>VÄSTERBOTTENS LÄN</t>
        </is>
      </c>
      <c r="E688" t="inlineStr">
        <is>
          <t>VILHELMINA</t>
        </is>
      </c>
      <c r="G688" t="n">
        <v>21.4</v>
      </c>
      <c r="H688" t="n">
        <v>0</v>
      </c>
      <c r="I688" t="n">
        <v>0</v>
      </c>
      <c r="J688" t="n">
        <v>0</v>
      </c>
      <c r="K688" t="n">
        <v>0</v>
      </c>
      <c r="L688" t="n">
        <v>0</v>
      </c>
      <c r="M688" t="n">
        <v>0</v>
      </c>
      <c r="N688" t="n">
        <v>0</v>
      </c>
      <c r="O688" t="n">
        <v>0</v>
      </c>
      <c r="P688" t="n">
        <v>0</v>
      </c>
      <c r="Q688" t="n">
        <v>0</v>
      </c>
      <c r="R688" s="2" t="inlineStr"/>
    </row>
    <row r="689" ht="15" customHeight="1">
      <c r="A689" t="inlineStr">
        <is>
          <t>A 23764-2025</t>
        </is>
      </c>
      <c r="B689" s="1" t="n">
        <v>45793</v>
      </c>
      <c r="C689" s="1" t="n">
        <v>45929</v>
      </c>
      <c r="D689" t="inlineStr">
        <is>
          <t>VÄSTERBOTTENS LÄN</t>
        </is>
      </c>
      <c r="E689" t="inlineStr">
        <is>
          <t>VILHELMINA</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33319-2024</t>
        </is>
      </c>
      <c r="B690" s="1" t="n">
        <v>45518</v>
      </c>
      <c r="C690" s="1" t="n">
        <v>45929</v>
      </c>
      <c r="D690" t="inlineStr">
        <is>
          <t>VÄSTERBOTTENS LÄN</t>
        </is>
      </c>
      <c r="E690" t="inlineStr">
        <is>
          <t>VILHELMINA</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38674-2023</t>
        </is>
      </c>
      <c r="B691" s="1" t="n">
        <v>45162.94335648148</v>
      </c>
      <c r="C691" s="1" t="n">
        <v>45929</v>
      </c>
      <c r="D691" t="inlineStr">
        <is>
          <t>VÄSTERBOTTENS LÄN</t>
        </is>
      </c>
      <c r="E691" t="inlineStr">
        <is>
          <t>VILHELMINA</t>
        </is>
      </c>
      <c r="F691" t="inlineStr">
        <is>
          <t>SCA</t>
        </is>
      </c>
      <c r="G691" t="n">
        <v>4.7</v>
      </c>
      <c r="H691" t="n">
        <v>0</v>
      </c>
      <c r="I691" t="n">
        <v>0</v>
      </c>
      <c r="J691" t="n">
        <v>0</v>
      </c>
      <c r="K691" t="n">
        <v>0</v>
      </c>
      <c r="L691" t="n">
        <v>0</v>
      </c>
      <c r="M691" t="n">
        <v>0</v>
      </c>
      <c r="N691" t="n">
        <v>0</v>
      </c>
      <c r="O691" t="n">
        <v>0</v>
      </c>
      <c r="P691" t="n">
        <v>0</v>
      </c>
      <c r="Q691" t="n">
        <v>0</v>
      </c>
      <c r="R691" s="2" t="inlineStr"/>
    </row>
    <row r="692" ht="15" customHeight="1">
      <c r="A692" t="inlineStr">
        <is>
          <t>A 63218-2021</t>
        </is>
      </c>
      <c r="B692" s="1" t="n">
        <v>44505</v>
      </c>
      <c r="C692" s="1" t="n">
        <v>45929</v>
      </c>
      <c r="D692" t="inlineStr">
        <is>
          <t>VÄSTERBOTTENS LÄN</t>
        </is>
      </c>
      <c r="E692" t="inlineStr">
        <is>
          <t>VILHELMINA</t>
        </is>
      </c>
      <c r="G692" t="n">
        <v>6.8</v>
      </c>
      <c r="H692" t="n">
        <v>0</v>
      </c>
      <c r="I692" t="n">
        <v>0</v>
      </c>
      <c r="J692" t="n">
        <v>0</v>
      </c>
      <c r="K692" t="n">
        <v>0</v>
      </c>
      <c r="L692" t="n">
        <v>0</v>
      </c>
      <c r="M692" t="n">
        <v>0</v>
      </c>
      <c r="N692" t="n">
        <v>0</v>
      </c>
      <c r="O692" t="n">
        <v>0</v>
      </c>
      <c r="P692" t="n">
        <v>0</v>
      </c>
      <c r="Q692" t="n">
        <v>0</v>
      </c>
      <c r="R692" s="2" t="inlineStr"/>
    </row>
    <row r="693" ht="15" customHeight="1">
      <c r="A693" t="inlineStr">
        <is>
          <t>A 11544-2023</t>
        </is>
      </c>
      <c r="B693" s="1" t="n">
        <v>44993.94818287037</v>
      </c>
      <c r="C693" s="1" t="n">
        <v>45929</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23686-2025</t>
        </is>
      </c>
      <c r="B694" s="1" t="n">
        <v>45793</v>
      </c>
      <c r="C694" s="1" t="n">
        <v>45929</v>
      </c>
      <c r="D694" t="inlineStr">
        <is>
          <t>VÄSTERBOTTENS LÄN</t>
        </is>
      </c>
      <c r="E694" t="inlineStr">
        <is>
          <t>VILHELMINA</t>
        </is>
      </c>
      <c r="F694" t="inlineStr">
        <is>
          <t>SCA</t>
        </is>
      </c>
      <c r="G694" t="n">
        <v>5.3</v>
      </c>
      <c r="H694" t="n">
        <v>0</v>
      </c>
      <c r="I694" t="n">
        <v>0</v>
      </c>
      <c r="J694" t="n">
        <v>0</v>
      </c>
      <c r="K694" t="n">
        <v>0</v>
      </c>
      <c r="L694" t="n">
        <v>0</v>
      </c>
      <c r="M694" t="n">
        <v>0</v>
      </c>
      <c r="N694" t="n">
        <v>0</v>
      </c>
      <c r="O694" t="n">
        <v>0</v>
      </c>
      <c r="P694" t="n">
        <v>0</v>
      </c>
      <c r="Q694" t="n">
        <v>0</v>
      </c>
      <c r="R694" s="2" t="inlineStr"/>
    </row>
    <row r="695" ht="15" customHeight="1">
      <c r="A695" t="inlineStr">
        <is>
          <t>A 58377-2021</t>
        </is>
      </c>
      <c r="B695" s="1" t="n">
        <v>44488</v>
      </c>
      <c r="C695" s="1" t="n">
        <v>45929</v>
      </c>
      <c r="D695" t="inlineStr">
        <is>
          <t>VÄSTERBOTTENS LÄN</t>
        </is>
      </c>
      <c r="E695" t="inlineStr">
        <is>
          <t>VILHELMINA</t>
        </is>
      </c>
      <c r="G695" t="n">
        <v>1.5</v>
      </c>
      <c r="H695" t="n">
        <v>0</v>
      </c>
      <c r="I695" t="n">
        <v>0</v>
      </c>
      <c r="J695" t="n">
        <v>0</v>
      </c>
      <c r="K695" t="n">
        <v>0</v>
      </c>
      <c r="L695" t="n">
        <v>0</v>
      </c>
      <c r="M695" t="n">
        <v>0</v>
      </c>
      <c r="N695" t="n">
        <v>0</v>
      </c>
      <c r="O695" t="n">
        <v>0</v>
      </c>
      <c r="P695" t="n">
        <v>0</v>
      </c>
      <c r="Q695" t="n">
        <v>0</v>
      </c>
      <c r="R695" s="2" t="inlineStr"/>
    </row>
    <row r="696" ht="15" customHeight="1">
      <c r="A696" t="inlineStr">
        <is>
          <t>A 36215-2023</t>
        </is>
      </c>
      <c r="B696" s="1" t="n">
        <v>45149.95266203704</v>
      </c>
      <c r="C696" s="1" t="n">
        <v>45929</v>
      </c>
      <c r="D696" t="inlineStr">
        <is>
          <t>VÄSTERBOTTENS LÄN</t>
        </is>
      </c>
      <c r="E696" t="inlineStr">
        <is>
          <t>VILHELMINA</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15326-2024</t>
        </is>
      </c>
      <c r="B697" s="1" t="n">
        <v>45400</v>
      </c>
      <c r="C697" s="1" t="n">
        <v>45929</v>
      </c>
      <c r="D697" t="inlineStr">
        <is>
          <t>VÄSTERBOTTENS LÄN</t>
        </is>
      </c>
      <c r="E697" t="inlineStr">
        <is>
          <t>VILHELMINA</t>
        </is>
      </c>
      <c r="G697" t="n">
        <v>4.7</v>
      </c>
      <c r="H697" t="n">
        <v>0</v>
      </c>
      <c r="I697" t="n">
        <v>0</v>
      </c>
      <c r="J697" t="n">
        <v>0</v>
      </c>
      <c r="K697" t="n">
        <v>0</v>
      </c>
      <c r="L697" t="n">
        <v>0</v>
      </c>
      <c r="M697" t="n">
        <v>0</v>
      </c>
      <c r="N697" t="n">
        <v>0</v>
      </c>
      <c r="O697" t="n">
        <v>0</v>
      </c>
      <c r="P697" t="n">
        <v>0</v>
      </c>
      <c r="Q697" t="n">
        <v>0</v>
      </c>
      <c r="R697" s="2" t="inlineStr"/>
    </row>
    <row r="698" ht="15" customHeight="1">
      <c r="A698" t="inlineStr">
        <is>
          <t>A 43791-2024</t>
        </is>
      </c>
      <c r="B698" s="1" t="n">
        <v>45571</v>
      </c>
      <c r="C698" s="1" t="n">
        <v>45929</v>
      </c>
      <c r="D698" t="inlineStr">
        <is>
          <t>VÄSTERBOTTENS LÄN</t>
        </is>
      </c>
      <c r="E698" t="inlineStr">
        <is>
          <t>VILHELMINA</t>
        </is>
      </c>
      <c r="G698" t="n">
        <v>30.3</v>
      </c>
      <c r="H698" t="n">
        <v>0</v>
      </c>
      <c r="I698" t="n">
        <v>0</v>
      </c>
      <c r="J698" t="n">
        <v>0</v>
      </c>
      <c r="K698" t="n">
        <v>0</v>
      </c>
      <c r="L698" t="n">
        <v>0</v>
      </c>
      <c r="M698" t="n">
        <v>0</v>
      </c>
      <c r="N698" t="n">
        <v>0</v>
      </c>
      <c r="O698" t="n">
        <v>0</v>
      </c>
      <c r="P698" t="n">
        <v>0</v>
      </c>
      <c r="Q698" t="n">
        <v>0</v>
      </c>
      <c r="R698" s="2" t="inlineStr"/>
    </row>
    <row r="699" ht="15" customHeight="1">
      <c r="A699" t="inlineStr">
        <is>
          <t>A 43792-2024</t>
        </is>
      </c>
      <c r="B699" s="1" t="n">
        <v>45571</v>
      </c>
      <c r="C699" s="1" t="n">
        <v>45929</v>
      </c>
      <c r="D699" t="inlineStr">
        <is>
          <t>VÄSTERBOTTENS LÄN</t>
        </is>
      </c>
      <c r="E699" t="inlineStr">
        <is>
          <t>VILHELMINA</t>
        </is>
      </c>
      <c r="G699" t="n">
        <v>25.3</v>
      </c>
      <c r="H699" t="n">
        <v>0</v>
      </c>
      <c r="I699" t="n">
        <v>0</v>
      </c>
      <c r="J699" t="n">
        <v>0</v>
      </c>
      <c r="K699" t="n">
        <v>0</v>
      </c>
      <c r="L699" t="n">
        <v>0</v>
      </c>
      <c r="M699" t="n">
        <v>0</v>
      </c>
      <c r="N699" t="n">
        <v>0</v>
      </c>
      <c r="O699" t="n">
        <v>0</v>
      </c>
      <c r="P699" t="n">
        <v>0</v>
      </c>
      <c r="Q699" t="n">
        <v>0</v>
      </c>
      <c r="R699" s="2" t="inlineStr"/>
    </row>
    <row r="700" ht="15" customHeight="1">
      <c r="A700" t="inlineStr">
        <is>
          <t>A 36376-2023</t>
        </is>
      </c>
      <c r="B700" s="1" t="n">
        <v>45152</v>
      </c>
      <c r="C700" s="1" t="n">
        <v>45929</v>
      </c>
      <c r="D700" t="inlineStr">
        <is>
          <t>VÄSTERBOTTENS LÄN</t>
        </is>
      </c>
      <c r="E700" t="inlineStr">
        <is>
          <t>VILHELMINA</t>
        </is>
      </c>
      <c r="G700" t="n">
        <v>12.7</v>
      </c>
      <c r="H700" t="n">
        <v>0</v>
      </c>
      <c r="I700" t="n">
        <v>0</v>
      </c>
      <c r="J700" t="n">
        <v>0</v>
      </c>
      <c r="K700" t="n">
        <v>0</v>
      </c>
      <c r="L700" t="n">
        <v>0</v>
      </c>
      <c r="M700" t="n">
        <v>0</v>
      </c>
      <c r="N700" t="n">
        <v>0</v>
      </c>
      <c r="O700" t="n">
        <v>0</v>
      </c>
      <c r="P700" t="n">
        <v>0</v>
      </c>
      <c r="Q700" t="n">
        <v>0</v>
      </c>
      <c r="R700" s="2" t="inlineStr"/>
    </row>
    <row r="701" ht="15" customHeight="1">
      <c r="A701" t="inlineStr">
        <is>
          <t>A 30575-2024</t>
        </is>
      </c>
      <c r="B701" s="1" t="n">
        <v>45492.95818287037</v>
      </c>
      <c r="C701" s="1" t="n">
        <v>45929</v>
      </c>
      <c r="D701" t="inlineStr">
        <is>
          <t>VÄSTERBOTTENS LÄN</t>
        </is>
      </c>
      <c r="E701" t="inlineStr">
        <is>
          <t>VILHELMINA</t>
        </is>
      </c>
      <c r="F701" t="inlineStr">
        <is>
          <t>SCA</t>
        </is>
      </c>
      <c r="G701" t="n">
        <v>6.5</v>
      </c>
      <c r="H701" t="n">
        <v>0</v>
      </c>
      <c r="I701" t="n">
        <v>0</v>
      </c>
      <c r="J701" t="n">
        <v>0</v>
      </c>
      <c r="K701" t="n">
        <v>0</v>
      </c>
      <c r="L701" t="n">
        <v>0</v>
      </c>
      <c r="M701" t="n">
        <v>0</v>
      </c>
      <c r="N701" t="n">
        <v>0</v>
      </c>
      <c r="O701" t="n">
        <v>0</v>
      </c>
      <c r="P701" t="n">
        <v>0</v>
      </c>
      <c r="Q701" t="n">
        <v>0</v>
      </c>
      <c r="R701" s="2" t="inlineStr"/>
    </row>
    <row r="702" ht="15" customHeight="1">
      <c r="A702" t="inlineStr">
        <is>
          <t>A 30578-2024</t>
        </is>
      </c>
      <c r="B702" s="1" t="n">
        <v>45492.95939814814</v>
      </c>
      <c r="C702" s="1" t="n">
        <v>45929</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30580-2024</t>
        </is>
      </c>
      <c r="B703" s="1" t="n">
        <v>45492.95981481481</v>
      </c>
      <c r="C703" s="1" t="n">
        <v>45929</v>
      </c>
      <c r="D703" t="inlineStr">
        <is>
          <t>VÄSTERBOTTENS LÄN</t>
        </is>
      </c>
      <c r="E703" t="inlineStr">
        <is>
          <t>VILHELMINA</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72153-2021</t>
        </is>
      </c>
      <c r="B704" s="1" t="n">
        <v>44543</v>
      </c>
      <c r="C704" s="1" t="n">
        <v>45929</v>
      </c>
      <c r="D704" t="inlineStr">
        <is>
          <t>VÄSTERBOTTENS LÄN</t>
        </is>
      </c>
      <c r="E704" t="inlineStr">
        <is>
          <t>VILHELMINA</t>
        </is>
      </c>
      <c r="G704" t="n">
        <v>6.7</v>
      </c>
      <c r="H704" t="n">
        <v>0</v>
      </c>
      <c r="I704" t="n">
        <v>0</v>
      </c>
      <c r="J704" t="n">
        <v>0</v>
      </c>
      <c r="K704" t="n">
        <v>0</v>
      </c>
      <c r="L704" t="n">
        <v>0</v>
      </c>
      <c r="M704" t="n">
        <v>0</v>
      </c>
      <c r="N704" t="n">
        <v>0</v>
      </c>
      <c r="O704" t="n">
        <v>0</v>
      </c>
      <c r="P704" t="n">
        <v>0</v>
      </c>
      <c r="Q704" t="n">
        <v>0</v>
      </c>
      <c r="R704" s="2" t="inlineStr"/>
    </row>
    <row r="705" ht="15" customHeight="1">
      <c r="A705" t="inlineStr">
        <is>
          <t>A 35983-2023</t>
        </is>
      </c>
      <c r="B705" s="1" t="n">
        <v>45148.96185185185</v>
      </c>
      <c r="C705" s="1" t="n">
        <v>45929</v>
      </c>
      <c r="D705" t="inlineStr">
        <is>
          <t>VÄSTERBOTTENS LÄN</t>
        </is>
      </c>
      <c r="E705" t="inlineStr">
        <is>
          <t>VILHELMINA</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23536-2024</t>
        </is>
      </c>
      <c r="B706" s="1" t="n">
        <v>45453.95199074074</v>
      </c>
      <c r="C706" s="1" t="n">
        <v>45929</v>
      </c>
      <c r="D706" t="inlineStr">
        <is>
          <t>VÄSTERBOTTENS LÄN</t>
        </is>
      </c>
      <c r="E706" t="inlineStr">
        <is>
          <t>VILHELMINA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24224-2025</t>
        </is>
      </c>
      <c r="B707" s="1" t="n">
        <v>45797</v>
      </c>
      <c r="C707" s="1" t="n">
        <v>45929</v>
      </c>
      <c r="D707" t="inlineStr">
        <is>
          <t>VÄSTERBOTTENS LÄN</t>
        </is>
      </c>
      <c r="E707" t="inlineStr">
        <is>
          <t>VILHELMINA</t>
        </is>
      </c>
      <c r="G707" t="n">
        <v>27.2</v>
      </c>
      <c r="H707" t="n">
        <v>0</v>
      </c>
      <c r="I707" t="n">
        <v>0</v>
      </c>
      <c r="J707" t="n">
        <v>0</v>
      </c>
      <c r="K707" t="n">
        <v>0</v>
      </c>
      <c r="L707" t="n">
        <v>0</v>
      </c>
      <c r="M707" t="n">
        <v>0</v>
      </c>
      <c r="N707" t="n">
        <v>0</v>
      </c>
      <c r="O707" t="n">
        <v>0</v>
      </c>
      <c r="P707" t="n">
        <v>0</v>
      </c>
      <c r="Q707" t="n">
        <v>0</v>
      </c>
      <c r="R707" s="2" t="inlineStr"/>
    </row>
    <row r="708" ht="15" customHeight="1">
      <c r="A708" t="inlineStr">
        <is>
          <t>A 24988-2025</t>
        </is>
      </c>
      <c r="B708" s="1" t="n">
        <v>45799</v>
      </c>
      <c r="C708" s="1" t="n">
        <v>45929</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66917-2021</t>
        </is>
      </c>
      <c r="B709" s="1" t="n">
        <v>44522</v>
      </c>
      <c r="C709" s="1" t="n">
        <v>45929</v>
      </c>
      <c r="D709" t="inlineStr">
        <is>
          <t>VÄSTERBOTTENS LÄN</t>
        </is>
      </c>
      <c r="E709" t="inlineStr">
        <is>
          <t>VILHELMINA</t>
        </is>
      </c>
      <c r="F709" t="inlineStr">
        <is>
          <t>Allmännings- och besparingsskogar</t>
        </is>
      </c>
      <c r="G709" t="n">
        <v>11.7</v>
      </c>
      <c r="H709" t="n">
        <v>0</v>
      </c>
      <c r="I709" t="n">
        <v>0</v>
      </c>
      <c r="J709" t="n">
        <v>0</v>
      </c>
      <c r="K709" t="n">
        <v>0</v>
      </c>
      <c r="L709" t="n">
        <v>0</v>
      </c>
      <c r="M709" t="n">
        <v>0</v>
      </c>
      <c r="N709" t="n">
        <v>0</v>
      </c>
      <c r="O709" t="n">
        <v>0</v>
      </c>
      <c r="P709" t="n">
        <v>0</v>
      </c>
      <c r="Q709" t="n">
        <v>0</v>
      </c>
      <c r="R709" s="2" t="inlineStr"/>
    </row>
    <row r="710" ht="15" customHeight="1">
      <c r="A710" t="inlineStr">
        <is>
          <t>A 25180-2025</t>
        </is>
      </c>
      <c r="B710" s="1" t="n">
        <v>45800.44892361111</v>
      </c>
      <c r="C710" s="1" t="n">
        <v>45929</v>
      </c>
      <c r="D710" t="inlineStr">
        <is>
          <t>VÄSTERBOTTENS LÄN</t>
        </is>
      </c>
      <c r="E710" t="inlineStr">
        <is>
          <t>VILHELMINA</t>
        </is>
      </c>
      <c r="F710" t="inlineStr">
        <is>
          <t>SCA</t>
        </is>
      </c>
      <c r="G710" t="n">
        <v>10.8</v>
      </c>
      <c r="H710" t="n">
        <v>0</v>
      </c>
      <c r="I710" t="n">
        <v>0</v>
      </c>
      <c r="J710" t="n">
        <v>0</v>
      </c>
      <c r="K710" t="n">
        <v>0</v>
      </c>
      <c r="L710" t="n">
        <v>0</v>
      </c>
      <c r="M710" t="n">
        <v>0</v>
      </c>
      <c r="N710" t="n">
        <v>0</v>
      </c>
      <c r="O710" t="n">
        <v>0</v>
      </c>
      <c r="P710" t="n">
        <v>0</v>
      </c>
      <c r="Q710" t="n">
        <v>0</v>
      </c>
      <c r="R710" s="2" t="inlineStr"/>
    </row>
    <row r="711" ht="15" customHeight="1">
      <c r="A711" t="inlineStr">
        <is>
          <t>A 17587-2024</t>
        </is>
      </c>
      <c r="B711" s="1" t="n">
        <v>45415.94033564815</v>
      </c>
      <c r="C711" s="1" t="n">
        <v>45929</v>
      </c>
      <c r="D711" t="inlineStr">
        <is>
          <t>VÄSTERBOTTENS LÄN</t>
        </is>
      </c>
      <c r="E711" t="inlineStr">
        <is>
          <t>VILHELMINA</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24870-2025</t>
        </is>
      </c>
      <c r="B712" s="1" t="n">
        <v>45799.49025462963</v>
      </c>
      <c r="C712" s="1" t="n">
        <v>45929</v>
      </c>
      <c r="D712" t="inlineStr">
        <is>
          <t>VÄSTERBOTTENS LÄN</t>
        </is>
      </c>
      <c r="E712" t="inlineStr">
        <is>
          <t>VILHELMINA</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25239-2025</t>
        </is>
      </c>
      <c r="B713" s="1" t="n">
        <v>45800</v>
      </c>
      <c r="C713" s="1" t="n">
        <v>45929</v>
      </c>
      <c r="D713" t="inlineStr">
        <is>
          <t>VÄSTERBOTTENS LÄN</t>
        </is>
      </c>
      <c r="E713" t="inlineStr">
        <is>
          <t>VILHELMINA</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25309-2025</t>
        </is>
      </c>
      <c r="B714" s="1" t="n">
        <v>45800.57380787037</v>
      </c>
      <c r="C714" s="1" t="n">
        <v>45929</v>
      </c>
      <c r="D714" t="inlineStr">
        <is>
          <t>VÄSTERBOTTENS LÄN</t>
        </is>
      </c>
      <c r="E714" t="inlineStr">
        <is>
          <t>VILHELMINA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46318-2022</t>
        </is>
      </c>
      <c r="B715" s="1" t="n">
        <v>44847</v>
      </c>
      <c r="C715" s="1" t="n">
        <v>45929</v>
      </c>
      <c r="D715" t="inlineStr">
        <is>
          <t>VÄSTERBOTTENS LÄN</t>
        </is>
      </c>
      <c r="E715" t="inlineStr">
        <is>
          <t>VILHELMINA</t>
        </is>
      </c>
      <c r="G715" t="n">
        <v>11.7</v>
      </c>
      <c r="H715" t="n">
        <v>0</v>
      </c>
      <c r="I715" t="n">
        <v>0</v>
      </c>
      <c r="J715" t="n">
        <v>0</v>
      </c>
      <c r="K715" t="n">
        <v>0</v>
      </c>
      <c r="L715" t="n">
        <v>0</v>
      </c>
      <c r="M715" t="n">
        <v>0</v>
      </c>
      <c r="N715" t="n">
        <v>0</v>
      </c>
      <c r="O715" t="n">
        <v>0</v>
      </c>
      <c r="P715" t="n">
        <v>0</v>
      </c>
      <c r="Q715" t="n">
        <v>0</v>
      </c>
      <c r="R715" s="2" t="inlineStr"/>
    </row>
    <row r="716" ht="15" customHeight="1">
      <c r="A716" t="inlineStr">
        <is>
          <t>A 24871-2025</t>
        </is>
      </c>
      <c r="B716" s="1" t="n">
        <v>45799.49028935185</v>
      </c>
      <c r="C716" s="1" t="n">
        <v>45929</v>
      </c>
      <c r="D716" t="inlineStr">
        <is>
          <t>VÄSTERBOTTENS LÄN</t>
        </is>
      </c>
      <c r="E716" t="inlineStr">
        <is>
          <t>VILHELMINA</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37322-2022</t>
        </is>
      </c>
      <c r="B717" s="1" t="n">
        <v>44806</v>
      </c>
      <c r="C717" s="1" t="n">
        <v>45929</v>
      </c>
      <c r="D717" t="inlineStr">
        <is>
          <t>VÄSTERBOTTENS LÄN</t>
        </is>
      </c>
      <c r="E717" t="inlineStr">
        <is>
          <t>VILHELMINA</t>
        </is>
      </c>
      <c r="F717" t="inlineStr">
        <is>
          <t>Övriga statliga verk och myndigheter</t>
        </is>
      </c>
      <c r="G717" t="n">
        <v>15.4</v>
      </c>
      <c r="H717" t="n">
        <v>0</v>
      </c>
      <c r="I717" t="n">
        <v>0</v>
      </c>
      <c r="J717" t="n">
        <v>0</v>
      </c>
      <c r="K717" t="n">
        <v>0</v>
      </c>
      <c r="L717" t="n">
        <v>0</v>
      </c>
      <c r="M717" t="n">
        <v>0</v>
      </c>
      <c r="N717" t="n">
        <v>0</v>
      </c>
      <c r="O717" t="n">
        <v>0</v>
      </c>
      <c r="P717" t="n">
        <v>0</v>
      </c>
      <c r="Q717" t="n">
        <v>0</v>
      </c>
      <c r="R717" s="2" t="inlineStr"/>
    </row>
    <row r="718" ht="15" customHeight="1">
      <c r="A718" t="inlineStr">
        <is>
          <t>A 25062-2025</t>
        </is>
      </c>
      <c r="B718" s="1" t="n">
        <v>45799.69844907407</v>
      </c>
      <c r="C718" s="1" t="n">
        <v>45929</v>
      </c>
      <c r="D718" t="inlineStr">
        <is>
          <t>VÄSTERBOTTENS LÄN</t>
        </is>
      </c>
      <c r="E718" t="inlineStr">
        <is>
          <t>VILHELMINA</t>
        </is>
      </c>
      <c r="F718" t="inlineStr">
        <is>
          <t>SCA</t>
        </is>
      </c>
      <c r="G718" t="n">
        <v>4.7</v>
      </c>
      <c r="H718" t="n">
        <v>0</v>
      </c>
      <c r="I718" t="n">
        <v>0</v>
      </c>
      <c r="J718" t="n">
        <v>0</v>
      </c>
      <c r="K718" t="n">
        <v>0</v>
      </c>
      <c r="L718" t="n">
        <v>0</v>
      </c>
      <c r="M718" t="n">
        <v>0</v>
      </c>
      <c r="N718" t="n">
        <v>0</v>
      </c>
      <c r="O718" t="n">
        <v>0</v>
      </c>
      <c r="P718" t="n">
        <v>0</v>
      </c>
      <c r="Q718" t="n">
        <v>0</v>
      </c>
      <c r="R718" s="2" t="inlineStr"/>
    </row>
    <row r="719" ht="15" customHeight="1">
      <c r="A719" t="inlineStr">
        <is>
          <t>A 25176-2025</t>
        </is>
      </c>
      <c r="B719" s="1" t="n">
        <v>45800.44840277778</v>
      </c>
      <c r="C719" s="1" t="n">
        <v>45929</v>
      </c>
      <c r="D719" t="inlineStr">
        <is>
          <t>VÄSTERBOTTENS LÄN</t>
        </is>
      </c>
      <c r="E719" t="inlineStr">
        <is>
          <t>VILHELMINA</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25524-2025</t>
        </is>
      </c>
      <c r="B720" s="1" t="n">
        <v>45803.38644675926</v>
      </c>
      <c r="C720" s="1" t="n">
        <v>45929</v>
      </c>
      <c r="D720" t="inlineStr">
        <is>
          <t>VÄSTERBOTTENS LÄN</t>
        </is>
      </c>
      <c r="E720" t="inlineStr">
        <is>
          <t>VILHELMINA</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25770-2025</t>
        </is>
      </c>
      <c r="B721" s="1" t="n">
        <v>45804.3449537037</v>
      </c>
      <c r="C721" s="1" t="n">
        <v>45929</v>
      </c>
      <c r="D721" t="inlineStr">
        <is>
          <t>VÄSTERBOTTENS LÄN</t>
        </is>
      </c>
      <c r="E721" t="inlineStr">
        <is>
          <t>VILHELMINA</t>
        </is>
      </c>
      <c r="F721" t="inlineStr">
        <is>
          <t>SCA</t>
        </is>
      </c>
      <c r="G721" t="n">
        <v>7.9</v>
      </c>
      <c r="H721" t="n">
        <v>0</v>
      </c>
      <c r="I721" t="n">
        <v>0</v>
      </c>
      <c r="J721" t="n">
        <v>0</v>
      </c>
      <c r="K721" t="n">
        <v>0</v>
      </c>
      <c r="L721" t="n">
        <v>0</v>
      </c>
      <c r="M721" t="n">
        <v>0</v>
      </c>
      <c r="N721" t="n">
        <v>0</v>
      </c>
      <c r="O721" t="n">
        <v>0</v>
      </c>
      <c r="P721" t="n">
        <v>0</v>
      </c>
      <c r="Q721" t="n">
        <v>0</v>
      </c>
      <c r="R721" s="2" t="inlineStr"/>
    </row>
    <row r="722" ht="15" customHeight="1">
      <c r="A722" t="inlineStr">
        <is>
          <t>A 25942-2025</t>
        </is>
      </c>
      <c r="B722" s="1" t="n">
        <v>45804.59461805555</v>
      </c>
      <c r="C722" s="1" t="n">
        <v>45929</v>
      </c>
      <c r="D722" t="inlineStr">
        <is>
          <t>VÄSTERBOTTENS LÄN</t>
        </is>
      </c>
      <c r="E722" t="inlineStr">
        <is>
          <t>VILHELMINA</t>
        </is>
      </c>
      <c r="F722" t="inlineStr">
        <is>
          <t>SCA</t>
        </is>
      </c>
      <c r="G722" t="n">
        <v>6.2</v>
      </c>
      <c r="H722" t="n">
        <v>0</v>
      </c>
      <c r="I722" t="n">
        <v>0</v>
      </c>
      <c r="J722" t="n">
        <v>0</v>
      </c>
      <c r="K722" t="n">
        <v>0</v>
      </c>
      <c r="L722" t="n">
        <v>0</v>
      </c>
      <c r="M722" t="n">
        <v>0</v>
      </c>
      <c r="N722" t="n">
        <v>0</v>
      </c>
      <c r="O722" t="n">
        <v>0</v>
      </c>
      <c r="P722" t="n">
        <v>0</v>
      </c>
      <c r="Q722" t="n">
        <v>0</v>
      </c>
      <c r="R722" s="2" t="inlineStr"/>
    </row>
    <row r="723" ht="15" customHeight="1">
      <c r="A723" t="inlineStr">
        <is>
          <t>A 46908-2024</t>
        </is>
      </c>
      <c r="B723" s="1" t="n">
        <v>45583</v>
      </c>
      <c r="C723" s="1" t="n">
        <v>45929</v>
      </c>
      <c r="D723" t="inlineStr">
        <is>
          <t>VÄSTERBOTTENS LÄN</t>
        </is>
      </c>
      <c r="E723" t="inlineStr">
        <is>
          <t>VILHELMINA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59003-2024</t>
        </is>
      </c>
      <c r="B724" s="1" t="n">
        <v>45636</v>
      </c>
      <c r="C724" s="1" t="n">
        <v>45929</v>
      </c>
      <c r="D724" t="inlineStr">
        <is>
          <t>VÄSTERBOTTENS LÄN</t>
        </is>
      </c>
      <c r="E724" t="inlineStr">
        <is>
          <t>VILHELMINA</t>
        </is>
      </c>
      <c r="F724" t="inlineStr">
        <is>
          <t>Allmännings- och besparingsskogar</t>
        </is>
      </c>
      <c r="G724" t="n">
        <v>21.8</v>
      </c>
      <c r="H724" t="n">
        <v>0</v>
      </c>
      <c r="I724" t="n">
        <v>0</v>
      </c>
      <c r="J724" t="n">
        <v>0</v>
      </c>
      <c r="K724" t="n">
        <v>0</v>
      </c>
      <c r="L724" t="n">
        <v>0</v>
      </c>
      <c r="M724" t="n">
        <v>0</v>
      </c>
      <c r="N724" t="n">
        <v>0</v>
      </c>
      <c r="O724" t="n">
        <v>0</v>
      </c>
      <c r="P724" t="n">
        <v>0</v>
      </c>
      <c r="Q724" t="n">
        <v>0</v>
      </c>
      <c r="R724" s="2" t="inlineStr"/>
    </row>
    <row r="725" ht="15" customHeight="1">
      <c r="A725" t="inlineStr">
        <is>
          <t>A 56627-2024</t>
        </is>
      </c>
      <c r="B725" s="1" t="n">
        <v>45625</v>
      </c>
      <c r="C725" s="1" t="n">
        <v>45929</v>
      </c>
      <c r="D725" t="inlineStr">
        <is>
          <t>VÄSTERBOTTENS LÄN</t>
        </is>
      </c>
      <c r="E725" t="inlineStr">
        <is>
          <t>VILHELMINA</t>
        </is>
      </c>
      <c r="F725" t="inlineStr">
        <is>
          <t>Allmännings- och besparingsskogar</t>
        </is>
      </c>
      <c r="G725" t="n">
        <v>21.5</v>
      </c>
      <c r="H725" t="n">
        <v>0</v>
      </c>
      <c r="I725" t="n">
        <v>0</v>
      </c>
      <c r="J725" t="n">
        <v>0</v>
      </c>
      <c r="K725" t="n">
        <v>0</v>
      </c>
      <c r="L725" t="n">
        <v>0</v>
      </c>
      <c r="M725" t="n">
        <v>0</v>
      </c>
      <c r="N725" t="n">
        <v>0</v>
      </c>
      <c r="O725" t="n">
        <v>0</v>
      </c>
      <c r="P725" t="n">
        <v>0</v>
      </c>
      <c r="Q725" t="n">
        <v>0</v>
      </c>
      <c r="R725" s="2" t="inlineStr"/>
    </row>
    <row r="726" ht="15" customHeight="1">
      <c r="A726" t="inlineStr">
        <is>
          <t>A 26098-2025</t>
        </is>
      </c>
      <c r="B726" s="1" t="n">
        <v>45805</v>
      </c>
      <c r="C726" s="1" t="n">
        <v>45929</v>
      </c>
      <c r="D726" t="inlineStr">
        <is>
          <t>VÄSTERBOTTENS LÄN</t>
        </is>
      </c>
      <c r="E726" t="inlineStr">
        <is>
          <t>VILHELMINA</t>
        </is>
      </c>
      <c r="F726" t="inlineStr">
        <is>
          <t>Övriga statliga verk och myndigheter</t>
        </is>
      </c>
      <c r="G726" t="n">
        <v>5.4</v>
      </c>
      <c r="H726" t="n">
        <v>0</v>
      </c>
      <c r="I726" t="n">
        <v>0</v>
      </c>
      <c r="J726" t="n">
        <v>0</v>
      </c>
      <c r="K726" t="n">
        <v>0</v>
      </c>
      <c r="L726" t="n">
        <v>0</v>
      </c>
      <c r="M726" t="n">
        <v>0</v>
      </c>
      <c r="N726" t="n">
        <v>0</v>
      </c>
      <c r="O726" t="n">
        <v>0</v>
      </c>
      <c r="P726" t="n">
        <v>0</v>
      </c>
      <c r="Q726" t="n">
        <v>0</v>
      </c>
      <c r="R726" s="2" t="inlineStr"/>
    </row>
    <row r="727" ht="15" customHeight="1">
      <c r="A727" t="inlineStr">
        <is>
          <t>A 27355-2023</t>
        </is>
      </c>
      <c r="B727" s="1" t="n">
        <v>45096</v>
      </c>
      <c r="C727" s="1" t="n">
        <v>45929</v>
      </c>
      <c r="D727" t="inlineStr">
        <is>
          <t>VÄSTERBOTTENS LÄN</t>
        </is>
      </c>
      <c r="E727" t="inlineStr">
        <is>
          <t>VILHELMINA</t>
        </is>
      </c>
      <c r="G727" t="n">
        <v>2.6</v>
      </c>
      <c r="H727" t="n">
        <v>0</v>
      </c>
      <c r="I727" t="n">
        <v>0</v>
      </c>
      <c r="J727" t="n">
        <v>0</v>
      </c>
      <c r="K727" t="n">
        <v>0</v>
      </c>
      <c r="L727" t="n">
        <v>0</v>
      </c>
      <c r="M727" t="n">
        <v>0</v>
      </c>
      <c r="N727" t="n">
        <v>0</v>
      </c>
      <c r="O727" t="n">
        <v>0</v>
      </c>
      <c r="P727" t="n">
        <v>0</v>
      </c>
      <c r="Q727" t="n">
        <v>0</v>
      </c>
      <c r="R727" s="2" t="inlineStr"/>
    </row>
    <row r="728" ht="15" customHeight="1">
      <c r="A728" t="inlineStr">
        <is>
          <t>A 59018-2024</t>
        </is>
      </c>
      <c r="B728" s="1" t="n">
        <v>45636</v>
      </c>
      <c r="C728" s="1" t="n">
        <v>45929</v>
      </c>
      <c r="D728" t="inlineStr">
        <is>
          <t>VÄSTERBOTTENS LÄN</t>
        </is>
      </c>
      <c r="E728" t="inlineStr">
        <is>
          <t>VILHELMINA</t>
        </is>
      </c>
      <c r="F728" t="inlineStr">
        <is>
          <t>Allmännings- och besparingsskogar</t>
        </is>
      </c>
      <c r="G728" t="n">
        <v>13.9</v>
      </c>
      <c r="H728" t="n">
        <v>0</v>
      </c>
      <c r="I728" t="n">
        <v>0</v>
      </c>
      <c r="J728" t="n">
        <v>0</v>
      </c>
      <c r="K728" t="n">
        <v>0</v>
      </c>
      <c r="L728" t="n">
        <v>0</v>
      </c>
      <c r="M728" t="n">
        <v>0</v>
      </c>
      <c r="N728" t="n">
        <v>0</v>
      </c>
      <c r="O728" t="n">
        <v>0</v>
      </c>
      <c r="P728" t="n">
        <v>0</v>
      </c>
      <c r="Q728" t="n">
        <v>0</v>
      </c>
      <c r="R728" s="2" t="inlineStr"/>
    </row>
    <row r="729" ht="15" customHeight="1">
      <c r="A729" t="inlineStr">
        <is>
          <t>A 58946-2024</t>
        </is>
      </c>
      <c r="B729" s="1" t="n">
        <v>45636.55063657407</v>
      </c>
      <c r="C729" s="1" t="n">
        <v>45929</v>
      </c>
      <c r="D729" t="inlineStr">
        <is>
          <t>VÄSTERBOTTENS LÄN</t>
        </is>
      </c>
      <c r="E729" t="inlineStr">
        <is>
          <t>VILHELMINA</t>
        </is>
      </c>
      <c r="F729" t="inlineStr">
        <is>
          <t>Kommuner</t>
        </is>
      </c>
      <c r="G729" t="n">
        <v>4.9</v>
      </c>
      <c r="H729" t="n">
        <v>0</v>
      </c>
      <c r="I729" t="n">
        <v>0</v>
      </c>
      <c r="J729" t="n">
        <v>0</v>
      </c>
      <c r="K729" t="n">
        <v>0</v>
      </c>
      <c r="L729" t="n">
        <v>0</v>
      </c>
      <c r="M729" t="n">
        <v>0</v>
      </c>
      <c r="N729" t="n">
        <v>0</v>
      </c>
      <c r="O729" t="n">
        <v>0</v>
      </c>
      <c r="P729" t="n">
        <v>0</v>
      </c>
      <c r="Q729" t="n">
        <v>0</v>
      </c>
      <c r="R729" s="2" t="inlineStr"/>
    </row>
    <row r="730" ht="15" customHeight="1">
      <c r="A730" t="inlineStr">
        <is>
          <t>A 58999-2024</t>
        </is>
      </c>
      <c r="B730" s="1" t="n">
        <v>45636</v>
      </c>
      <c r="C730" s="1" t="n">
        <v>45929</v>
      </c>
      <c r="D730" t="inlineStr">
        <is>
          <t>VÄSTERBOTTENS LÄN</t>
        </is>
      </c>
      <c r="E730" t="inlineStr">
        <is>
          <t>VILHELMINA</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8652-2023</t>
        </is>
      </c>
      <c r="B731" s="1" t="n">
        <v>44977.98401620371</v>
      </c>
      <c r="C731" s="1" t="n">
        <v>45929</v>
      </c>
      <c r="D731" t="inlineStr">
        <is>
          <t>VÄSTERBOTTENS LÄN</t>
        </is>
      </c>
      <c r="E731" t="inlineStr">
        <is>
          <t>VILHELMINA</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8653-2023</t>
        </is>
      </c>
      <c r="B732" s="1" t="n">
        <v>44977</v>
      </c>
      <c r="C732" s="1" t="n">
        <v>45929</v>
      </c>
      <c r="D732" t="inlineStr">
        <is>
          <t>VÄSTERBOTTENS LÄN</t>
        </is>
      </c>
      <c r="E732" t="inlineStr">
        <is>
          <t>VILHELMINA</t>
        </is>
      </c>
      <c r="F732" t="inlineStr">
        <is>
          <t>SCA</t>
        </is>
      </c>
      <c r="G732" t="n">
        <v>7.9</v>
      </c>
      <c r="H732" t="n">
        <v>0</v>
      </c>
      <c r="I732" t="n">
        <v>0</v>
      </c>
      <c r="J732" t="n">
        <v>0</v>
      </c>
      <c r="K732" t="n">
        <v>0</v>
      </c>
      <c r="L732" t="n">
        <v>0</v>
      </c>
      <c r="M732" t="n">
        <v>0</v>
      </c>
      <c r="N732" t="n">
        <v>0</v>
      </c>
      <c r="O732" t="n">
        <v>0</v>
      </c>
      <c r="P732" t="n">
        <v>0</v>
      </c>
      <c r="Q732" t="n">
        <v>0</v>
      </c>
      <c r="R732" s="2" t="inlineStr"/>
    </row>
    <row r="733" ht="15" customHeight="1">
      <c r="A733" t="inlineStr">
        <is>
          <t>A 5955-2023</t>
        </is>
      </c>
      <c r="B733" s="1" t="n">
        <v>44963.93989583333</v>
      </c>
      <c r="C733" s="1" t="n">
        <v>45929</v>
      </c>
      <c r="D733" t="inlineStr">
        <is>
          <t>VÄSTERBOTTENS LÄN</t>
        </is>
      </c>
      <c r="E733" t="inlineStr">
        <is>
          <t>VILHELMINA</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56629-2024</t>
        </is>
      </c>
      <c r="B734" s="1" t="n">
        <v>45625</v>
      </c>
      <c r="C734" s="1" t="n">
        <v>45929</v>
      </c>
      <c r="D734" t="inlineStr">
        <is>
          <t>VÄSTERBOTTENS LÄN</t>
        </is>
      </c>
      <c r="E734" t="inlineStr">
        <is>
          <t>VILHELMINA</t>
        </is>
      </c>
      <c r="F734" t="inlineStr">
        <is>
          <t>Allmännings- och besparingsskogar</t>
        </is>
      </c>
      <c r="G734" t="n">
        <v>19.7</v>
      </c>
      <c r="H734" t="n">
        <v>0</v>
      </c>
      <c r="I734" t="n">
        <v>0</v>
      </c>
      <c r="J734" t="n">
        <v>0</v>
      </c>
      <c r="K734" t="n">
        <v>0</v>
      </c>
      <c r="L734" t="n">
        <v>0</v>
      </c>
      <c r="M734" t="n">
        <v>0</v>
      </c>
      <c r="N734" t="n">
        <v>0</v>
      </c>
      <c r="O734" t="n">
        <v>0</v>
      </c>
      <c r="P734" t="n">
        <v>0</v>
      </c>
      <c r="Q734" t="n">
        <v>0</v>
      </c>
      <c r="R734" s="2" t="inlineStr"/>
    </row>
    <row r="735" ht="15" customHeight="1">
      <c r="A735" t="inlineStr">
        <is>
          <t>A 56624-2024</t>
        </is>
      </c>
      <c r="B735" s="1" t="n">
        <v>45625</v>
      </c>
      <c r="C735" s="1" t="n">
        <v>45929</v>
      </c>
      <c r="D735" t="inlineStr">
        <is>
          <t>VÄSTERBOTTENS LÄN</t>
        </is>
      </c>
      <c r="E735" t="inlineStr">
        <is>
          <t>VILHELMINA</t>
        </is>
      </c>
      <c r="F735" t="inlineStr">
        <is>
          <t>Allmännings- och besparingsskogar</t>
        </is>
      </c>
      <c r="G735" t="n">
        <v>17.8</v>
      </c>
      <c r="H735" t="n">
        <v>0</v>
      </c>
      <c r="I735" t="n">
        <v>0</v>
      </c>
      <c r="J735" t="n">
        <v>0</v>
      </c>
      <c r="K735" t="n">
        <v>0</v>
      </c>
      <c r="L735" t="n">
        <v>0</v>
      </c>
      <c r="M735" t="n">
        <v>0</v>
      </c>
      <c r="N735" t="n">
        <v>0</v>
      </c>
      <c r="O735" t="n">
        <v>0</v>
      </c>
      <c r="P735" t="n">
        <v>0</v>
      </c>
      <c r="Q735" t="n">
        <v>0</v>
      </c>
      <c r="R735" s="2" t="inlineStr"/>
    </row>
    <row r="736" ht="15" customHeight="1">
      <c r="A736" t="inlineStr">
        <is>
          <t>A 59011-2024</t>
        </is>
      </c>
      <c r="B736" s="1" t="n">
        <v>45636</v>
      </c>
      <c r="C736" s="1" t="n">
        <v>45929</v>
      </c>
      <c r="D736" t="inlineStr">
        <is>
          <t>VÄSTERBOTTENS LÄN</t>
        </is>
      </c>
      <c r="E736" t="inlineStr">
        <is>
          <t>VILHELMINA</t>
        </is>
      </c>
      <c r="F736" t="inlineStr">
        <is>
          <t>Allmännings- och besparingsskogar</t>
        </is>
      </c>
      <c r="G736" t="n">
        <v>35.2</v>
      </c>
      <c r="H736" t="n">
        <v>0</v>
      </c>
      <c r="I736" t="n">
        <v>0</v>
      </c>
      <c r="J736" t="n">
        <v>0</v>
      </c>
      <c r="K736" t="n">
        <v>0</v>
      </c>
      <c r="L736" t="n">
        <v>0</v>
      </c>
      <c r="M736" t="n">
        <v>0</v>
      </c>
      <c r="N736" t="n">
        <v>0</v>
      </c>
      <c r="O736" t="n">
        <v>0</v>
      </c>
      <c r="P736" t="n">
        <v>0</v>
      </c>
      <c r="Q736" t="n">
        <v>0</v>
      </c>
      <c r="R736" s="2" t="inlineStr"/>
    </row>
    <row r="737" ht="15" customHeight="1">
      <c r="A737" t="inlineStr">
        <is>
          <t>A 47010-2024</t>
        </is>
      </c>
      <c r="B737" s="1" t="n">
        <v>45586</v>
      </c>
      <c r="C737" s="1" t="n">
        <v>45929</v>
      </c>
      <c r="D737" t="inlineStr">
        <is>
          <t>VÄSTERBOTTENS LÄN</t>
        </is>
      </c>
      <c r="E737" t="inlineStr">
        <is>
          <t>VILHELMINA</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21345-2024</t>
        </is>
      </c>
      <c r="B738" s="1" t="n">
        <v>45440.92866898148</v>
      </c>
      <c r="C738" s="1" t="n">
        <v>45929</v>
      </c>
      <c r="D738" t="inlineStr">
        <is>
          <t>VÄSTERBOTTENS LÄN</t>
        </is>
      </c>
      <c r="E738" t="inlineStr">
        <is>
          <t>VILHELMINA</t>
        </is>
      </c>
      <c r="G738" t="n">
        <v>3</v>
      </c>
      <c r="H738" t="n">
        <v>0</v>
      </c>
      <c r="I738" t="n">
        <v>0</v>
      </c>
      <c r="J738" t="n">
        <v>0</v>
      </c>
      <c r="K738" t="n">
        <v>0</v>
      </c>
      <c r="L738" t="n">
        <v>0</v>
      </c>
      <c r="M738" t="n">
        <v>0</v>
      </c>
      <c r="N738" t="n">
        <v>0</v>
      </c>
      <c r="O738" t="n">
        <v>0</v>
      </c>
      <c r="P738" t="n">
        <v>0</v>
      </c>
      <c r="Q738" t="n">
        <v>0</v>
      </c>
      <c r="R738" s="2" t="inlineStr"/>
    </row>
    <row r="739" ht="15" customHeight="1">
      <c r="A739" t="inlineStr">
        <is>
          <t>A 34135-2024</t>
        </is>
      </c>
      <c r="B739" s="1" t="n">
        <v>45524.35605324074</v>
      </c>
      <c r="C739" s="1" t="n">
        <v>45929</v>
      </c>
      <c r="D739" t="inlineStr">
        <is>
          <t>VÄSTERBOTTENS LÄN</t>
        </is>
      </c>
      <c r="E739" t="inlineStr">
        <is>
          <t>VILHELMINA</t>
        </is>
      </c>
      <c r="F739" t="inlineStr">
        <is>
          <t>Sveaskog</t>
        </is>
      </c>
      <c r="G739" t="n">
        <v>5.7</v>
      </c>
      <c r="H739" t="n">
        <v>0</v>
      </c>
      <c r="I739" t="n">
        <v>0</v>
      </c>
      <c r="J739" t="n">
        <v>0</v>
      </c>
      <c r="K739" t="n">
        <v>0</v>
      </c>
      <c r="L739" t="n">
        <v>0</v>
      </c>
      <c r="M739" t="n">
        <v>0</v>
      </c>
      <c r="N739" t="n">
        <v>0</v>
      </c>
      <c r="O739" t="n">
        <v>0</v>
      </c>
      <c r="P739" t="n">
        <v>0</v>
      </c>
      <c r="Q739" t="n">
        <v>0</v>
      </c>
      <c r="R739" s="2" t="inlineStr"/>
    </row>
    <row r="740" ht="15" customHeight="1">
      <c r="A740" t="inlineStr">
        <is>
          <t>A 42478-2024</t>
        </is>
      </c>
      <c r="B740" s="1" t="n">
        <v>45565.4912962963</v>
      </c>
      <c r="C740" s="1" t="n">
        <v>45929</v>
      </c>
      <c r="D740" t="inlineStr">
        <is>
          <t>VÄSTERBOTTENS LÄN</t>
        </is>
      </c>
      <c r="E740" t="inlineStr">
        <is>
          <t>VILHELMINA</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8859-2023</t>
        </is>
      </c>
      <c r="B741" s="1" t="n">
        <v>44978</v>
      </c>
      <c r="C741" s="1" t="n">
        <v>45929</v>
      </c>
      <c r="D741" t="inlineStr">
        <is>
          <t>VÄSTERBOTTENS LÄN</t>
        </is>
      </c>
      <c r="E741" t="inlineStr">
        <is>
          <t>VILHELMINA</t>
        </is>
      </c>
      <c r="G741" t="n">
        <v>6.3</v>
      </c>
      <c r="H741" t="n">
        <v>0</v>
      </c>
      <c r="I741" t="n">
        <v>0</v>
      </c>
      <c r="J741" t="n">
        <v>0</v>
      </c>
      <c r="K741" t="n">
        <v>0</v>
      </c>
      <c r="L741" t="n">
        <v>0</v>
      </c>
      <c r="M741" t="n">
        <v>0</v>
      </c>
      <c r="N741" t="n">
        <v>0</v>
      </c>
      <c r="O741" t="n">
        <v>0</v>
      </c>
      <c r="P741" t="n">
        <v>0</v>
      </c>
      <c r="Q741" t="n">
        <v>0</v>
      </c>
      <c r="R741" s="2" t="inlineStr"/>
    </row>
    <row r="742" ht="15" customHeight="1">
      <c r="A742" t="inlineStr">
        <is>
          <t>A 26722-2025</t>
        </is>
      </c>
      <c r="B742" s="1" t="n">
        <v>45810</v>
      </c>
      <c r="C742" s="1" t="n">
        <v>45929</v>
      </c>
      <c r="D742" t="inlineStr">
        <is>
          <t>VÄSTERBOTTENS LÄN</t>
        </is>
      </c>
      <c r="E742" t="inlineStr">
        <is>
          <t>VILHELMINA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58749-2023</t>
        </is>
      </c>
      <c r="B743" s="1" t="n">
        <v>45251.92947916667</v>
      </c>
      <c r="C743" s="1" t="n">
        <v>45929</v>
      </c>
      <c r="D743" t="inlineStr">
        <is>
          <t>VÄSTERBOTTENS LÄN</t>
        </is>
      </c>
      <c r="E743" t="inlineStr">
        <is>
          <t>VILHELMINA</t>
        </is>
      </c>
      <c r="G743" t="n">
        <v>2.8</v>
      </c>
      <c r="H743" t="n">
        <v>0</v>
      </c>
      <c r="I743" t="n">
        <v>0</v>
      </c>
      <c r="J743" t="n">
        <v>0</v>
      </c>
      <c r="K743" t="n">
        <v>0</v>
      </c>
      <c r="L743" t="n">
        <v>0</v>
      </c>
      <c r="M743" t="n">
        <v>0</v>
      </c>
      <c r="N743" t="n">
        <v>0</v>
      </c>
      <c r="O743" t="n">
        <v>0</v>
      </c>
      <c r="P743" t="n">
        <v>0</v>
      </c>
      <c r="Q743" t="n">
        <v>0</v>
      </c>
      <c r="R743" s="2" t="inlineStr"/>
    </row>
    <row r="744" ht="15" customHeight="1">
      <c r="A744" t="inlineStr">
        <is>
          <t>A 26744-2025</t>
        </is>
      </c>
      <c r="B744" s="1" t="n">
        <v>45810.53185185185</v>
      </c>
      <c r="C744" s="1" t="n">
        <v>45929</v>
      </c>
      <c r="D744" t="inlineStr">
        <is>
          <t>VÄSTERBOTTENS LÄN</t>
        </is>
      </c>
      <c r="E744" t="inlineStr">
        <is>
          <t>VILHELMINA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26790-2025</t>
        </is>
      </c>
      <c r="B745" s="1" t="n">
        <v>45810.59417824074</v>
      </c>
      <c r="C745" s="1" t="n">
        <v>45929</v>
      </c>
      <c r="D745" t="inlineStr">
        <is>
          <t>VÄSTERBOTTENS LÄN</t>
        </is>
      </c>
      <c r="E745" t="inlineStr">
        <is>
          <t>VILHELMINA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26745-2025</t>
        </is>
      </c>
      <c r="B746" s="1" t="n">
        <v>45810.53188657408</v>
      </c>
      <c r="C746" s="1" t="n">
        <v>45929</v>
      </c>
      <c r="D746" t="inlineStr">
        <is>
          <t>VÄSTERBOTTENS LÄN</t>
        </is>
      </c>
      <c r="E746" t="inlineStr">
        <is>
          <t>VILHELMINA</t>
        </is>
      </c>
      <c r="F746" t="inlineStr">
        <is>
          <t>SCA</t>
        </is>
      </c>
      <c r="G746" t="n">
        <v>0.3</v>
      </c>
      <c r="H746" t="n">
        <v>0</v>
      </c>
      <c r="I746" t="n">
        <v>0</v>
      </c>
      <c r="J746" t="n">
        <v>0</v>
      </c>
      <c r="K746" t="n">
        <v>0</v>
      </c>
      <c r="L746" t="n">
        <v>0</v>
      </c>
      <c r="M746" t="n">
        <v>0</v>
      </c>
      <c r="N746" t="n">
        <v>0</v>
      </c>
      <c r="O746" t="n">
        <v>0</v>
      </c>
      <c r="P746" t="n">
        <v>0</v>
      </c>
      <c r="Q746" t="n">
        <v>0</v>
      </c>
      <c r="R746" s="2" t="inlineStr"/>
    </row>
    <row r="747" ht="15" customHeight="1">
      <c r="A747" t="inlineStr">
        <is>
          <t>A 38361-2023</t>
        </is>
      </c>
      <c r="B747" s="1" t="n">
        <v>45161.94315972222</v>
      </c>
      <c r="C747" s="1" t="n">
        <v>45929</v>
      </c>
      <c r="D747" t="inlineStr">
        <is>
          <t>VÄSTERBOTTENS LÄN</t>
        </is>
      </c>
      <c r="E747" t="inlineStr">
        <is>
          <t>VILHELMINA</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58824-2024</t>
        </is>
      </c>
      <c r="B748" s="1" t="n">
        <v>45636.36488425926</v>
      </c>
      <c r="C748" s="1" t="n">
        <v>45929</v>
      </c>
      <c r="D748" t="inlineStr">
        <is>
          <t>VÄSTERBOTTENS LÄN</t>
        </is>
      </c>
      <c r="E748" t="inlineStr">
        <is>
          <t>VILHELMINA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60377-2024</t>
        </is>
      </c>
      <c r="B749" s="1" t="n">
        <v>45643</v>
      </c>
      <c r="C749" s="1" t="n">
        <v>45929</v>
      </c>
      <c r="D749" t="inlineStr">
        <is>
          <t>VÄSTERBOTTENS LÄN</t>
        </is>
      </c>
      <c r="E749" t="inlineStr">
        <is>
          <t>VILHELMINA</t>
        </is>
      </c>
      <c r="F749" t="inlineStr">
        <is>
          <t>SCA</t>
        </is>
      </c>
      <c r="G749" t="n">
        <v>16.2</v>
      </c>
      <c r="H749" t="n">
        <v>0</v>
      </c>
      <c r="I749" t="n">
        <v>0</v>
      </c>
      <c r="J749" t="n">
        <v>0</v>
      </c>
      <c r="K749" t="n">
        <v>0</v>
      </c>
      <c r="L749" t="n">
        <v>0</v>
      </c>
      <c r="M749" t="n">
        <v>0</v>
      </c>
      <c r="N749" t="n">
        <v>0</v>
      </c>
      <c r="O749" t="n">
        <v>0</v>
      </c>
      <c r="P749" t="n">
        <v>0</v>
      </c>
      <c r="Q749" t="n">
        <v>0</v>
      </c>
      <c r="R749" s="2" t="inlineStr"/>
    </row>
    <row r="750" ht="15" customHeight="1">
      <c r="A750" t="inlineStr">
        <is>
          <t>A 61953-2024</t>
        </is>
      </c>
      <c r="B750" s="1" t="n">
        <v>45653.5150462963</v>
      </c>
      <c r="C750" s="1" t="n">
        <v>45929</v>
      </c>
      <c r="D750" t="inlineStr">
        <is>
          <t>VÄSTERBOTTENS LÄN</t>
        </is>
      </c>
      <c r="E750" t="inlineStr">
        <is>
          <t>VILHELMINA</t>
        </is>
      </c>
      <c r="F750" t="inlineStr">
        <is>
          <t>Kommuner</t>
        </is>
      </c>
      <c r="G750" t="n">
        <v>10.2</v>
      </c>
      <c r="H750" t="n">
        <v>0</v>
      </c>
      <c r="I750" t="n">
        <v>0</v>
      </c>
      <c r="J750" t="n">
        <v>0</v>
      </c>
      <c r="K750" t="n">
        <v>0</v>
      </c>
      <c r="L750" t="n">
        <v>0</v>
      </c>
      <c r="M750" t="n">
        <v>0</v>
      </c>
      <c r="N750" t="n">
        <v>0</v>
      </c>
      <c r="O750" t="n">
        <v>0</v>
      </c>
      <c r="P750" t="n">
        <v>0</v>
      </c>
      <c r="Q750" t="n">
        <v>0</v>
      </c>
      <c r="R750" s="2" t="inlineStr"/>
    </row>
    <row r="751" ht="15" customHeight="1">
      <c r="A751" t="inlineStr">
        <is>
          <t>A 62100-2024</t>
        </is>
      </c>
      <c r="B751" s="1" t="n">
        <v>45656</v>
      </c>
      <c r="C751" s="1" t="n">
        <v>45929</v>
      </c>
      <c r="D751" t="inlineStr">
        <is>
          <t>VÄSTERBOTTENS LÄN</t>
        </is>
      </c>
      <c r="E751" t="inlineStr">
        <is>
          <t>VILHELMINA</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15062-2024</t>
        </is>
      </c>
      <c r="B752" s="1" t="n">
        <v>45399</v>
      </c>
      <c r="C752" s="1" t="n">
        <v>45929</v>
      </c>
      <c r="D752" t="inlineStr">
        <is>
          <t>VÄSTERBOTTENS LÄN</t>
        </is>
      </c>
      <c r="E752" t="inlineStr">
        <is>
          <t>VILHELMINA</t>
        </is>
      </c>
      <c r="G752" t="n">
        <v>1.7</v>
      </c>
      <c r="H752" t="n">
        <v>0</v>
      </c>
      <c r="I752" t="n">
        <v>0</v>
      </c>
      <c r="J752" t="n">
        <v>0</v>
      </c>
      <c r="K752" t="n">
        <v>0</v>
      </c>
      <c r="L752" t="n">
        <v>0</v>
      </c>
      <c r="M752" t="n">
        <v>0</v>
      </c>
      <c r="N752" t="n">
        <v>0</v>
      </c>
      <c r="O752" t="n">
        <v>0</v>
      </c>
      <c r="P752" t="n">
        <v>0</v>
      </c>
      <c r="Q752" t="n">
        <v>0</v>
      </c>
      <c r="R752" s="2" t="inlineStr"/>
    </row>
    <row r="753" ht="15" customHeight="1">
      <c r="A753" t="inlineStr">
        <is>
          <t>A 15066-2024</t>
        </is>
      </c>
      <c r="B753" s="1" t="n">
        <v>45399</v>
      </c>
      <c r="C753" s="1" t="n">
        <v>45929</v>
      </c>
      <c r="D753" t="inlineStr">
        <is>
          <t>VÄSTERBOTTENS LÄN</t>
        </is>
      </c>
      <c r="E753" t="inlineStr">
        <is>
          <t>VILHELMINA</t>
        </is>
      </c>
      <c r="G753" t="n">
        <v>4.6</v>
      </c>
      <c r="H753" t="n">
        <v>0</v>
      </c>
      <c r="I753" t="n">
        <v>0</v>
      </c>
      <c r="J753" t="n">
        <v>0</v>
      </c>
      <c r="K753" t="n">
        <v>0</v>
      </c>
      <c r="L753" t="n">
        <v>0</v>
      </c>
      <c r="M753" t="n">
        <v>0</v>
      </c>
      <c r="N753" t="n">
        <v>0</v>
      </c>
      <c r="O753" t="n">
        <v>0</v>
      </c>
      <c r="P753" t="n">
        <v>0</v>
      </c>
      <c r="Q753" t="n">
        <v>0</v>
      </c>
      <c r="R753" s="2" t="inlineStr"/>
    </row>
    <row r="754" ht="15" customHeight="1">
      <c r="A754" t="inlineStr">
        <is>
          <t>A 8229-2022</t>
        </is>
      </c>
      <c r="B754" s="1" t="n">
        <v>44609</v>
      </c>
      <c r="C754" s="1" t="n">
        <v>45929</v>
      </c>
      <c r="D754" t="inlineStr">
        <is>
          <t>VÄSTERBOTTENS LÄN</t>
        </is>
      </c>
      <c r="E754" t="inlineStr">
        <is>
          <t>VILHELMINA</t>
        </is>
      </c>
      <c r="F754" t="inlineStr">
        <is>
          <t>SCA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31496-2023</t>
        </is>
      </c>
      <c r="B755" s="1" t="n">
        <v>45114.94138888889</v>
      </c>
      <c r="C755" s="1" t="n">
        <v>45929</v>
      </c>
      <c r="D755" t="inlineStr">
        <is>
          <t>VÄSTERBOTTENS LÄN</t>
        </is>
      </c>
      <c r="E755" t="inlineStr">
        <is>
          <t>VILHELMINA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15786-2025</t>
        </is>
      </c>
      <c r="B756" s="1" t="n">
        <v>45748.62240740741</v>
      </c>
      <c r="C756" s="1" t="n">
        <v>45929</v>
      </c>
      <c r="D756" t="inlineStr">
        <is>
          <t>VÄSTERBOTTENS LÄN</t>
        </is>
      </c>
      <c r="E756" t="inlineStr">
        <is>
          <t>VILHELMINA</t>
        </is>
      </c>
      <c r="G756" t="n">
        <v>1.1</v>
      </c>
      <c r="H756" t="n">
        <v>0</v>
      </c>
      <c r="I756" t="n">
        <v>0</v>
      </c>
      <c r="J756" t="n">
        <v>0</v>
      </c>
      <c r="K756" t="n">
        <v>0</v>
      </c>
      <c r="L756" t="n">
        <v>0</v>
      </c>
      <c r="M756" t="n">
        <v>0</v>
      </c>
      <c r="N756" t="n">
        <v>0</v>
      </c>
      <c r="O756" t="n">
        <v>0</v>
      </c>
      <c r="P756" t="n">
        <v>0</v>
      </c>
      <c r="Q756" t="n">
        <v>0</v>
      </c>
      <c r="R756" s="2" t="inlineStr"/>
    </row>
    <row r="757" ht="15" customHeight="1">
      <c r="A757" t="inlineStr">
        <is>
          <t>A 45593-2024</t>
        </is>
      </c>
      <c r="B757" s="1" t="n">
        <v>45579</v>
      </c>
      <c r="C757" s="1" t="n">
        <v>45929</v>
      </c>
      <c r="D757" t="inlineStr">
        <is>
          <t>VÄSTERBOTTENS LÄN</t>
        </is>
      </c>
      <c r="E757" t="inlineStr">
        <is>
          <t>VILHELMINA</t>
        </is>
      </c>
      <c r="G757" t="n">
        <v>0.9</v>
      </c>
      <c r="H757" t="n">
        <v>0</v>
      </c>
      <c r="I757" t="n">
        <v>0</v>
      </c>
      <c r="J757" t="n">
        <v>0</v>
      </c>
      <c r="K757" t="n">
        <v>0</v>
      </c>
      <c r="L757" t="n">
        <v>0</v>
      </c>
      <c r="M757" t="n">
        <v>0</v>
      </c>
      <c r="N757" t="n">
        <v>0</v>
      </c>
      <c r="O757" t="n">
        <v>0</v>
      </c>
      <c r="P757" t="n">
        <v>0</v>
      </c>
      <c r="Q757" t="n">
        <v>0</v>
      </c>
      <c r="R757" s="2" t="inlineStr"/>
    </row>
    <row r="758" ht="15" customHeight="1">
      <c r="A758" t="inlineStr">
        <is>
          <t>A 49221-2024</t>
        </is>
      </c>
      <c r="B758" s="1" t="n">
        <v>45595.41166666667</v>
      </c>
      <c r="C758" s="1" t="n">
        <v>45929</v>
      </c>
      <c r="D758" t="inlineStr">
        <is>
          <t>VÄSTERBOTTENS LÄN</t>
        </is>
      </c>
      <c r="E758" t="inlineStr">
        <is>
          <t>VILHELMINA</t>
        </is>
      </c>
      <c r="G758" t="n">
        <v>11.4</v>
      </c>
      <c r="H758" t="n">
        <v>0</v>
      </c>
      <c r="I758" t="n">
        <v>0</v>
      </c>
      <c r="J758" t="n">
        <v>0</v>
      </c>
      <c r="K758" t="n">
        <v>0</v>
      </c>
      <c r="L758" t="n">
        <v>0</v>
      </c>
      <c r="M758" t="n">
        <v>0</v>
      </c>
      <c r="N758" t="n">
        <v>0</v>
      </c>
      <c r="O758" t="n">
        <v>0</v>
      </c>
      <c r="P758" t="n">
        <v>0</v>
      </c>
      <c r="Q758" t="n">
        <v>0</v>
      </c>
      <c r="R758" s="2" t="inlineStr"/>
    </row>
    <row r="759" ht="15" customHeight="1">
      <c r="A759" t="inlineStr">
        <is>
          <t>A 49246-2024</t>
        </is>
      </c>
      <c r="B759" s="1" t="n">
        <v>45595.4618287037</v>
      </c>
      <c r="C759" s="1" t="n">
        <v>45929</v>
      </c>
      <c r="D759" t="inlineStr">
        <is>
          <t>VÄSTERBOTTENS LÄN</t>
        </is>
      </c>
      <c r="E759" t="inlineStr">
        <is>
          <t>VILHELMINA</t>
        </is>
      </c>
      <c r="G759" t="n">
        <v>0.9</v>
      </c>
      <c r="H759" t="n">
        <v>0</v>
      </c>
      <c r="I759" t="n">
        <v>0</v>
      </c>
      <c r="J759" t="n">
        <v>0</v>
      </c>
      <c r="K759" t="n">
        <v>0</v>
      </c>
      <c r="L759" t="n">
        <v>0</v>
      </c>
      <c r="M759" t="n">
        <v>0</v>
      </c>
      <c r="N759" t="n">
        <v>0</v>
      </c>
      <c r="O759" t="n">
        <v>0</v>
      </c>
      <c r="P759" t="n">
        <v>0</v>
      </c>
      <c r="Q759" t="n">
        <v>0</v>
      </c>
      <c r="R759" s="2" t="inlineStr"/>
    </row>
    <row r="760" ht="15" customHeight="1">
      <c r="A760" t="inlineStr">
        <is>
          <t>A 27601-2025</t>
        </is>
      </c>
      <c r="B760" s="1" t="n">
        <v>45813.52791666667</v>
      </c>
      <c r="C760" s="1" t="n">
        <v>45929</v>
      </c>
      <c r="D760" t="inlineStr">
        <is>
          <t>VÄSTERBOTTENS LÄN</t>
        </is>
      </c>
      <c r="E760" t="inlineStr">
        <is>
          <t>VILHELMINA</t>
        </is>
      </c>
      <c r="F760" t="inlineStr">
        <is>
          <t>Övriga statliga verk och myndigheter</t>
        </is>
      </c>
      <c r="G760" t="n">
        <v>36.5</v>
      </c>
      <c r="H760" t="n">
        <v>0</v>
      </c>
      <c r="I760" t="n">
        <v>0</v>
      </c>
      <c r="J760" t="n">
        <v>0</v>
      </c>
      <c r="K760" t="n">
        <v>0</v>
      </c>
      <c r="L760" t="n">
        <v>0</v>
      </c>
      <c r="M760" t="n">
        <v>0</v>
      </c>
      <c r="N760" t="n">
        <v>0</v>
      </c>
      <c r="O760" t="n">
        <v>0</v>
      </c>
      <c r="P760" t="n">
        <v>0</v>
      </c>
      <c r="Q760" t="n">
        <v>0</v>
      </c>
      <c r="R760" s="2" t="inlineStr"/>
    </row>
    <row r="761" ht="15" customHeight="1">
      <c r="A761" t="inlineStr">
        <is>
          <t>A 27945-2025</t>
        </is>
      </c>
      <c r="B761" s="1" t="n">
        <v>45817</v>
      </c>
      <c r="C761" s="1" t="n">
        <v>45929</v>
      </c>
      <c r="D761" t="inlineStr">
        <is>
          <t>VÄSTERBOTTENS LÄN</t>
        </is>
      </c>
      <c r="E761" t="inlineStr">
        <is>
          <t>VILHELMINA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40505-2024</t>
        </is>
      </c>
      <c r="B762" s="1" t="n">
        <v>45555.57373842593</v>
      </c>
      <c r="C762" s="1" t="n">
        <v>45929</v>
      </c>
      <c r="D762" t="inlineStr">
        <is>
          <t>VÄSTERBOTTENS LÄN</t>
        </is>
      </c>
      <c r="E762" t="inlineStr">
        <is>
          <t>VILHELMINA</t>
        </is>
      </c>
      <c r="G762" t="n">
        <v>0.3</v>
      </c>
      <c r="H762" t="n">
        <v>0</v>
      </c>
      <c r="I762" t="n">
        <v>0</v>
      </c>
      <c r="J762" t="n">
        <v>0</v>
      </c>
      <c r="K762" t="n">
        <v>0</v>
      </c>
      <c r="L762" t="n">
        <v>0</v>
      </c>
      <c r="M762" t="n">
        <v>0</v>
      </c>
      <c r="N762" t="n">
        <v>0</v>
      </c>
      <c r="O762" t="n">
        <v>0</v>
      </c>
      <c r="P762" t="n">
        <v>0</v>
      </c>
      <c r="Q762" t="n">
        <v>0</v>
      </c>
      <c r="R762" s="2" t="inlineStr"/>
    </row>
    <row r="763" ht="15" customHeight="1">
      <c r="A763" t="inlineStr">
        <is>
          <t>A 39677-2024</t>
        </is>
      </c>
      <c r="B763" s="1" t="n">
        <v>45552</v>
      </c>
      <c r="C763" s="1" t="n">
        <v>45929</v>
      </c>
      <c r="D763" t="inlineStr">
        <is>
          <t>VÄSTERBOTTENS LÄN</t>
        </is>
      </c>
      <c r="E763" t="inlineStr">
        <is>
          <t>VILHELMINA</t>
        </is>
      </c>
      <c r="F763" t="inlineStr">
        <is>
          <t>SCA</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21965-2025</t>
        </is>
      </c>
      <c r="B764" s="1" t="n">
        <v>45784</v>
      </c>
      <c r="C764" s="1" t="n">
        <v>45929</v>
      </c>
      <c r="D764" t="inlineStr">
        <is>
          <t>VÄSTERBOTTENS LÄN</t>
        </is>
      </c>
      <c r="E764" t="inlineStr">
        <is>
          <t>VILHELMINA</t>
        </is>
      </c>
      <c r="G764" t="n">
        <v>7.4</v>
      </c>
      <c r="H764" t="n">
        <v>0</v>
      </c>
      <c r="I764" t="n">
        <v>0</v>
      </c>
      <c r="J764" t="n">
        <v>0</v>
      </c>
      <c r="K764" t="n">
        <v>0</v>
      </c>
      <c r="L764" t="n">
        <v>0</v>
      </c>
      <c r="M764" t="n">
        <v>0</v>
      </c>
      <c r="N764" t="n">
        <v>0</v>
      </c>
      <c r="O764" t="n">
        <v>0</v>
      </c>
      <c r="P764" t="n">
        <v>0</v>
      </c>
      <c r="Q764" t="n">
        <v>0</v>
      </c>
      <c r="R764" s="2" t="inlineStr"/>
    </row>
    <row r="765" ht="15" customHeight="1">
      <c r="A765" t="inlineStr">
        <is>
          <t>A 28019-2025</t>
        </is>
      </c>
      <c r="B765" s="1" t="n">
        <v>45817.61545138889</v>
      </c>
      <c r="C765" s="1" t="n">
        <v>45929</v>
      </c>
      <c r="D765" t="inlineStr">
        <is>
          <t>VÄSTERBOTTENS LÄN</t>
        </is>
      </c>
      <c r="E765" t="inlineStr">
        <is>
          <t>VILHELMINA</t>
        </is>
      </c>
      <c r="F765" t="inlineStr">
        <is>
          <t>SCA</t>
        </is>
      </c>
      <c r="G765" t="n">
        <v>5</v>
      </c>
      <c r="H765" t="n">
        <v>0</v>
      </c>
      <c r="I765" t="n">
        <v>0</v>
      </c>
      <c r="J765" t="n">
        <v>0</v>
      </c>
      <c r="K765" t="n">
        <v>0</v>
      </c>
      <c r="L765" t="n">
        <v>0</v>
      </c>
      <c r="M765" t="n">
        <v>0</v>
      </c>
      <c r="N765" t="n">
        <v>0</v>
      </c>
      <c r="O765" t="n">
        <v>0</v>
      </c>
      <c r="P765" t="n">
        <v>0</v>
      </c>
      <c r="Q765" t="n">
        <v>0</v>
      </c>
      <c r="R765" s="2" t="inlineStr"/>
    </row>
    <row r="766" ht="15" customHeight="1">
      <c r="A766" t="inlineStr">
        <is>
          <t>A 65133-2021</t>
        </is>
      </c>
      <c r="B766" s="1" t="n">
        <v>44515</v>
      </c>
      <c r="C766" s="1" t="n">
        <v>45929</v>
      </c>
      <c r="D766" t="inlineStr">
        <is>
          <t>VÄSTERBOTTENS LÄN</t>
        </is>
      </c>
      <c r="E766" t="inlineStr">
        <is>
          <t>VILHELMINA</t>
        </is>
      </c>
      <c r="G766" t="n">
        <v>16.4</v>
      </c>
      <c r="H766" t="n">
        <v>0</v>
      </c>
      <c r="I766" t="n">
        <v>0</v>
      </c>
      <c r="J766" t="n">
        <v>0</v>
      </c>
      <c r="K766" t="n">
        <v>0</v>
      </c>
      <c r="L766" t="n">
        <v>0</v>
      </c>
      <c r="M766" t="n">
        <v>0</v>
      </c>
      <c r="N766" t="n">
        <v>0</v>
      </c>
      <c r="O766" t="n">
        <v>0</v>
      </c>
      <c r="P766" t="n">
        <v>0</v>
      </c>
      <c r="Q766" t="n">
        <v>0</v>
      </c>
      <c r="R766" s="2" t="inlineStr"/>
    </row>
    <row r="767" ht="15" customHeight="1">
      <c r="A767" t="inlineStr">
        <is>
          <t>A 27943-2025</t>
        </is>
      </c>
      <c r="B767" s="1" t="n">
        <v>45817.51078703703</v>
      </c>
      <c r="C767" s="1" t="n">
        <v>45929</v>
      </c>
      <c r="D767" t="inlineStr">
        <is>
          <t>VÄSTERBOTTENS LÄN</t>
        </is>
      </c>
      <c r="E767" t="inlineStr">
        <is>
          <t>VILHELMINA</t>
        </is>
      </c>
      <c r="F767" t="inlineStr">
        <is>
          <t>SCA</t>
        </is>
      </c>
      <c r="G767" t="n">
        <v>4.4</v>
      </c>
      <c r="H767" t="n">
        <v>0</v>
      </c>
      <c r="I767" t="n">
        <v>0</v>
      </c>
      <c r="J767" t="n">
        <v>0</v>
      </c>
      <c r="K767" t="n">
        <v>0</v>
      </c>
      <c r="L767" t="n">
        <v>0</v>
      </c>
      <c r="M767" t="n">
        <v>0</v>
      </c>
      <c r="N767" t="n">
        <v>0</v>
      </c>
      <c r="O767" t="n">
        <v>0</v>
      </c>
      <c r="P767" t="n">
        <v>0</v>
      </c>
      <c r="Q767" t="n">
        <v>0</v>
      </c>
      <c r="R767" s="2" t="inlineStr"/>
    </row>
    <row r="768" ht="15" customHeight="1">
      <c r="A768" t="inlineStr">
        <is>
          <t>A 27952-2025</t>
        </is>
      </c>
      <c r="B768" s="1" t="n">
        <v>45817.53157407408</v>
      </c>
      <c r="C768" s="1" t="n">
        <v>45929</v>
      </c>
      <c r="D768" t="inlineStr">
        <is>
          <t>VÄSTERBOTTENS LÄN</t>
        </is>
      </c>
      <c r="E768" t="inlineStr">
        <is>
          <t>VILHELMINA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13030-2025</t>
        </is>
      </c>
      <c r="B769" s="1" t="n">
        <v>45734</v>
      </c>
      <c r="C769" s="1" t="n">
        <v>45929</v>
      </c>
      <c r="D769" t="inlineStr">
        <is>
          <t>VÄSTERBOTTENS LÄN</t>
        </is>
      </c>
      <c r="E769" t="inlineStr">
        <is>
          <t>VILHELMINA</t>
        </is>
      </c>
      <c r="G769" t="n">
        <v>13.9</v>
      </c>
      <c r="H769" t="n">
        <v>0</v>
      </c>
      <c r="I769" t="n">
        <v>0</v>
      </c>
      <c r="J769" t="n">
        <v>0</v>
      </c>
      <c r="K769" t="n">
        <v>0</v>
      </c>
      <c r="L769" t="n">
        <v>0</v>
      </c>
      <c r="M769" t="n">
        <v>0</v>
      </c>
      <c r="N769" t="n">
        <v>0</v>
      </c>
      <c r="O769" t="n">
        <v>0</v>
      </c>
      <c r="P769" t="n">
        <v>0</v>
      </c>
      <c r="Q769" t="n">
        <v>0</v>
      </c>
      <c r="R769" s="2" t="inlineStr"/>
    </row>
    <row r="770" ht="15" customHeight="1">
      <c r="A770" t="inlineStr">
        <is>
          <t>A 38364-2023</t>
        </is>
      </c>
      <c r="B770" s="1" t="n">
        <v>45161</v>
      </c>
      <c r="C770" s="1" t="n">
        <v>45929</v>
      </c>
      <c r="D770" t="inlineStr">
        <is>
          <t>VÄSTERBOTTENS LÄN</t>
        </is>
      </c>
      <c r="E770" t="inlineStr">
        <is>
          <t>VILHELMINA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28016-2025</t>
        </is>
      </c>
      <c r="B771" s="1" t="n">
        <v>45817.61506944444</v>
      </c>
      <c r="C771" s="1" t="n">
        <v>45929</v>
      </c>
      <c r="D771" t="inlineStr">
        <is>
          <t>VÄSTERBOTTENS LÄN</t>
        </is>
      </c>
      <c r="E771" t="inlineStr">
        <is>
          <t>VILHELMINA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28050-2025</t>
        </is>
      </c>
      <c r="B772" s="1" t="n">
        <v>45817.65658564815</v>
      </c>
      <c r="C772" s="1" t="n">
        <v>45929</v>
      </c>
      <c r="D772" t="inlineStr">
        <is>
          <t>VÄSTERBOTTENS LÄN</t>
        </is>
      </c>
      <c r="E772" t="inlineStr">
        <is>
          <t>VILHELMINA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28144-2025</t>
        </is>
      </c>
      <c r="B773" s="1" t="n">
        <v>45818</v>
      </c>
      <c r="C773" s="1" t="n">
        <v>45929</v>
      </c>
      <c r="D773" t="inlineStr">
        <is>
          <t>VÄSTERBOTTENS LÄN</t>
        </is>
      </c>
      <c r="E773" t="inlineStr">
        <is>
          <t>VILHELMINA</t>
        </is>
      </c>
      <c r="F773" t="inlineStr">
        <is>
          <t>SCA</t>
        </is>
      </c>
      <c r="G773" t="n">
        <v>10.8</v>
      </c>
      <c r="H773" t="n">
        <v>0</v>
      </c>
      <c r="I773" t="n">
        <v>0</v>
      </c>
      <c r="J773" t="n">
        <v>0</v>
      </c>
      <c r="K773" t="n">
        <v>0</v>
      </c>
      <c r="L773" t="n">
        <v>0</v>
      </c>
      <c r="M773" t="n">
        <v>0</v>
      </c>
      <c r="N773" t="n">
        <v>0</v>
      </c>
      <c r="O773" t="n">
        <v>0</v>
      </c>
      <c r="P773" t="n">
        <v>0</v>
      </c>
      <c r="Q773" t="n">
        <v>0</v>
      </c>
      <c r="R773" s="2" t="inlineStr"/>
    </row>
    <row r="774" ht="15" customHeight="1">
      <c r="A774" t="inlineStr">
        <is>
          <t>A 18564-2022</t>
        </is>
      </c>
      <c r="B774" s="1" t="n">
        <v>44686</v>
      </c>
      <c r="C774" s="1" t="n">
        <v>45929</v>
      </c>
      <c r="D774" t="inlineStr">
        <is>
          <t>VÄSTERBOTTENS LÄN</t>
        </is>
      </c>
      <c r="E774" t="inlineStr">
        <is>
          <t>VILHELMINA</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28071-2025</t>
        </is>
      </c>
      <c r="B775" s="1" t="n">
        <v>45817.67755787037</v>
      </c>
      <c r="C775" s="1" t="n">
        <v>45929</v>
      </c>
      <c r="D775" t="inlineStr">
        <is>
          <t>VÄSTERBOTTENS LÄN</t>
        </is>
      </c>
      <c r="E775" t="inlineStr">
        <is>
          <t>VILHELMINA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28897-2025</t>
        </is>
      </c>
      <c r="B776" s="1" t="n">
        <v>45820.6360300926</v>
      </c>
      <c r="C776" s="1" t="n">
        <v>45929</v>
      </c>
      <c r="D776" t="inlineStr">
        <is>
          <t>VÄSTERBOTTENS LÄN</t>
        </is>
      </c>
      <c r="E776" t="inlineStr">
        <is>
          <t>VILHELMINA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29203-2025</t>
        </is>
      </c>
      <c r="B777" s="1" t="n">
        <v>45823</v>
      </c>
      <c r="C777" s="1" t="n">
        <v>45929</v>
      </c>
      <c r="D777" t="inlineStr">
        <is>
          <t>VÄSTERBOTTENS LÄN</t>
        </is>
      </c>
      <c r="E777" t="inlineStr">
        <is>
          <t>VILHELMINA</t>
        </is>
      </c>
      <c r="G777" t="n">
        <v>2.3</v>
      </c>
      <c r="H777" t="n">
        <v>0</v>
      </c>
      <c r="I777" t="n">
        <v>0</v>
      </c>
      <c r="J777" t="n">
        <v>0</v>
      </c>
      <c r="K777" t="n">
        <v>0</v>
      </c>
      <c r="L777" t="n">
        <v>0</v>
      </c>
      <c r="M777" t="n">
        <v>0</v>
      </c>
      <c r="N777" t="n">
        <v>0</v>
      </c>
      <c r="O777" t="n">
        <v>0</v>
      </c>
      <c r="P777" t="n">
        <v>0</v>
      </c>
      <c r="Q777" t="n">
        <v>0</v>
      </c>
      <c r="R777" s="2" t="inlineStr"/>
    </row>
    <row r="778" ht="15" customHeight="1">
      <c r="A778" t="inlineStr">
        <is>
          <t>A 29120-2025</t>
        </is>
      </c>
      <c r="B778" s="1" t="n">
        <v>45821</v>
      </c>
      <c r="C778" s="1" t="n">
        <v>45929</v>
      </c>
      <c r="D778" t="inlineStr">
        <is>
          <t>VÄSTERBOTTENS LÄN</t>
        </is>
      </c>
      <c r="E778" t="inlineStr">
        <is>
          <t>VILHELMINA</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29234-2025</t>
        </is>
      </c>
      <c r="B779" s="1" t="n">
        <v>45824.34478009259</v>
      </c>
      <c r="C779" s="1" t="n">
        <v>45929</v>
      </c>
      <c r="D779" t="inlineStr">
        <is>
          <t>VÄSTERBOTTENS LÄN</t>
        </is>
      </c>
      <c r="E779" t="inlineStr">
        <is>
          <t>VILHELMINA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32925-2024</t>
        </is>
      </c>
      <c r="B780" s="1" t="n">
        <v>45516.95302083333</v>
      </c>
      <c r="C780" s="1" t="n">
        <v>45929</v>
      </c>
      <c r="D780" t="inlineStr">
        <is>
          <t>VÄSTERBOTTENS LÄN</t>
        </is>
      </c>
      <c r="E780" t="inlineStr">
        <is>
          <t>VILHELMINA</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32926-2024</t>
        </is>
      </c>
      <c r="B781" s="1" t="n">
        <v>45516.95311342592</v>
      </c>
      <c r="C781" s="1" t="n">
        <v>45929</v>
      </c>
      <c r="D781" t="inlineStr">
        <is>
          <t>VÄSTERBOTTENS LÄN</t>
        </is>
      </c>
      <c r="E781" t="inlineStr">
        <is>
          <t>VILHELMINA</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29468-2025</t>
        </is>
      </c>
      <c r="B782" s="1" t="n">
        <v>45824.69888888889</v>
      </c>
      <c r="C782" s="1" t="n">
        <v>45929</v>
      </c>
      <c r="D782" t="inlineStr">
        <is>
          <t>VÄSTERBOTTENS LÄN</t>
        </is>
      </c>
      <c r="E782" t="inlineStr">
        <is>
          <t>VILHELMINA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44505-2024</t>
        </is>
      </c>
      <c r="B783" s="1" t="n">
        <v>45574.40974537037</v>
      </c>
      <c r="C783" s="1" t="n">
        <v>45929</v>
      </c>
      <c r="D783" t="inlineStr">
        <is>
          <t>VÄSTERBOTTENS LÄN</t>
        </is>
      </c>
      <c r="E783" t="inlineStr">
        <is>
          <t>VILHELMINA</t>
        </is>
      </c>
      <c r="G783" t="n">
        <v>15.5</v>
      </c>
      <c r="H783" t="n">
        <v>0</v>
      </c>
      <c r="I783" t="n">
        <v>0</v>
      </c>
      <c r="J783" t="n">
        <v>0</v>
      </c>
      <c r="K783" t="n">
        <v>0</v>
      </c>
      <c r="L783" t="n">
        <v>0</v>
      </c>
      <c r="M783" t="n">
        <v>0</v>
      </c>
      <c r="N783" t="n">
        <v>0</v>
      </c>
      <c r="O783" t="n">
        <v>0</v>
      </c>
      <c r="P783" t="n">
        <v>0</v>
      </c>
      <c r="Q783" t="n">
        <v>0</v>
      </c>
      <c r="R783" s="2" t="inlineStr"/>
    </row>
    <row r="784" ht="15" customHeight="1">
      <c r="A784" t="inlineStr">
        <is>
          <t>A 55714-2023</t>
        </is>
      </c>
      <c r="B784" s="1" t="n">
        <v>45232</v>
      </c>
      <c r="C784" s="1" t="n">
        <v>45929</v>
      </c>
      <c r="D784" t="inlineStr">
        <is>
          <t>VÄSTERBOTTENS LÄN</t>
        </is>
      </c>
      <c r="E784" t="inlineStr">
        <is>
          <t>VILHELMINA</t>
        </is>
      </c>
      <c r="G784" t="n">
        <v>1.8</v>
      </c>
      <c r="H784" t="n">
        <v>0</v>
      </c>
      <c r="I784" t="n">
        <v>0</v>
      </c>
      <c r="J784" t="n">
        <v>0</v>
      </c>
      <c r="K784" t="n">
        <v>0</v>
      </c>
      <c r="L784" t="n">
        <v>0</v>
      </c>
      <c r="M784" t="n">
        <v>0</v>
      </c>
      <c r="N784" t="n">
        <v>0</v>
      </c>
      <c r="O784" t="n">
        <v>0</v>
      </c>
      <c r="P784" t="n">
        <v>0</v>
      </c>
      <c r="Q784" t="n">
        <v>0</v>
      </c>
      <c r="R784" s="2" t="inlineStr"/>
    </row>
    <row r="785" ht="15" customHeight="1">
      <c r="A785" t="inlineStr">
        <is>
          <t>A 29466-2025</t>
        </is>
      </c>
      <c r="B785" s="1" t="n">
        <v>45824.69865740741</v>
      </c>
      <c r="C785" s="1" t="n">
        <v>45929</v>
      </c>
      <c r="D785" t="inlineStr">
        <is>
          <t>VÄSTERBOTTENS LÄN</t>
        </is>
      </c>
      <c r="E785" t="inlineStr">
        <is>
          <t>VILHELMINA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29940-2025</t>
        </is>
      </c>
      <c r="B786" s="1" t="n">
        <v>45826.45104166667</v>
      </c>
      <c r="C786" s="1" t="n">
        <v>45929</v>
      </c>
      <c r="D786" t="inlineStr">
        <is>
          <t>VÄSTERBOTTENS LÄN</t>
        </is>
      </c>
      <c r="E786" t="inlineStr">
        <is>
          <t>VILHELMINA</t>
        </is>
      </c>
      <c r="F786" t="inlineStr">
        <is>
          <t>Sveaskog</t>
        </is>
      </c>
      <c r="G786" t="n">
        <v>11.6</v>
      </c>
      <c r="H786" t="n">
        <v>0</v>
      </c>
      <c r="I786" t="n">
        <v>0</v>
      </c>
      <c r="J786" t="n">
        <v>0</v>
      </c>
      <c r="K786" t="n">
        <v>0</v>
      </c>
      <c r="L786" t="n">
        <v>0</v>
      </c>
      <c r="M786" t="n">
        <v>0</v>
      </c>
      <c r="N786" t="n">
        <v>0</v>
      </c>
      <c r="O786" t="n">
        <v>0</v>
      </c>
      <c r="P786" t="n">
        <v>0</v>
      </c>
      <c r="Q786" t="n">
        <v>0</v>
      </c>
      <c r="R786" s="2" t="inlineStr"/>
    </row>
    <row r="787" ht="15" customHeight="1">
      <c r="A787" t="inlineStr">
        <is>
          <t>A 45673-2023</t>
        </is>
      </c>
      <c r="B787" s="1" t="n">
        <v>45194</v>
      </c>
      <c r="C787" s="1" t="n">
        <v>45929</v>
      </c>
      <c r="D787" t="inlineStr">
        <is>
          <t>VÄSTERBOTTENS LÄN</t>
        </is>
      </c>
      <c r="E787" t="inlineStr">
        <is>
          <t>VILHELMINA</t>
        </is>
      </c>
      <c r="G787" t="n">
        <v>13.4</v>
      </c>
      <c r="H787" t="n">
        <v>0</v>
      </c>
      <c r="I787" t="n">
        <v>0</v>
      </c>
      <c r="J787" t="n">
        <v>0</v>
      </c>
      <c r="K787" t="n">
        <v>0</v>
      </c>
      <c r="L787" t="n">
        <v>0</v>
      </c>
      <c r="M787" t="n">
        <v>0</v>
      </c>
      <c r="N787" t="n">
        <v>0</v>
      </c>
      <c r="O787" t="n">
        <v>0</v>
      </c>
      <c r="P787" t="n">
        <v>0</v>
      </c>
      <c r="Q787" t="n">
        <v>0</v>
      </c>
      <c r="R787" s="2" t="inlineStr"/>
    </row>
    <row r="788" ht="15" customHeight="1">
      <c r="A788" t="inlineStr">
        <is>
          <t>A 29942-2025</t>
        </is>
      </c>
      <c r="B788" s="1" t="n">
        <v>45826.45702546297</v>
      </c>
      <c r="C788" s="1" t="n">
        <v>45929</v>
      </c>
      <c r="D788" t="inlineStr">
        <is>
          <t>VÄSTERBOTTENS LÄN</t>
        </is>
      </c>
      <c r="E788" t="inlineStr">
        <is>
          <t>VILHELMINA</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8578-2025</t>
        </is>
      </c>
      <c r="B789" s="1" t="n">
        <v>45709</v>
      </c>
      <c r="C789" s="1" t="n">
        <v>45929</v>
      </c>
      <c r="D789" t="inlineStr">
        <is>
          <t>VÄSTERBOTTENS LÄN</t>
        </is>
      </c>
      <c r="E789" t="inlineStr">
        <is>
          <t>VILHELMINA</t>
        </is>
      </c>
      <c r="G789" t="n">
        <v>3.5</v>
      </c>
      <c r="H789" t="n">
        <v>0</v>
      </c>
      <c r="I789" t="n">
        <v>0</v>
      </c>
      <c r="J789" t="n">
        <v>0</v>
      </c>
      <c r="K789" t="n">
        <v>0</v>
      </c>
      <c r="L789" t="n">
        <v>0</v>
      </c>
      <c r="M789" t="n">
        <v>0</v>
      </c>
      <c r="N789" t="n">
        <v>0</v>
      </c>
      <c r="O789" t="n">
        <v>0</v>
      </c>
      <c r="P789" t="n">
        <v>0</v>
      </c>
      <c r="Q789" t="n">
        <v>0</v>
      </c>
      <c r="R789" s="2" t="inlineStr"/>
    </row>
    <row r="790" ht="15" customHeight="1">
      <c r="A790" t="inlineStr">
        <is>
          <t>A 60090-2020</t>
        </is>
      </c>
      <c r="B790" s="1" t="n">
        <v>44151</v>
      </c>
      <c r="C790" s="1" t="n">
        <v>45929</v>
      </c>
      <c r="D790" t="inlineStr">
        <is>
          <t>VÄSTERBOTTENS LÄN</t>
        </is>
      </c>
      <c r="E790" t="inlineStr">
        <is>
          <t>VILHELMINA</t>
        </is>
      </c>
      <c r="G790" t="n">
        <v>9</v>
      </c>
      <c r="H790" t="n">
        <v>0</v>
      </c>
      <c r="I790" t="n">
        <v>0</v>
      </c>
      <c r="J790" t="n">
        <v>0</v>
      </c>
      <c r="K790" t="n">
        <v>0</v>
      </c>
      <c r="L790" t="n">
        <v>0</v>
      </c>
      <c r="M790" t="n">
        <v>0</v>
      </c>
      <c r="N790" t="n">
        <v>0</v>
      </c>
      <c r="O790" t="n">
        <v>0</v>
      </c>
      <c r="P790" t="n">
        <v>0</v>
      </c>
      <c r="Q790" t="n">
        <v>0</v>
      </c>
      <c r="R790" s="2" t="inlineStr"/>
    </row>
    <row r="791" ht="15" customHeight="1">
      <c r="A791" t="inlineStr">
        <is>
          <t>A 46392-2024</t>
        </is>
      </c>
      <c r="B791" s="1" t="n">
        <v>45582</v>
      </c>
      <c r="C791" s="1" t="n">
        <v>45929</v>
      </c>
      <c r="D791" t="inlineStr">
        <is>
          <t>VÄSTERBOTTENS LÄN</t>
        </is>
      </c>
      <c r="E791" t="inlineStr">
        <is>
          <t>VILHELMINA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30553-2025</t>
        </is>
      </c>
      <c r="B792" s="1" t="n">
        <v>45831.38579861111</v>
      </c>
      <c r="C792" s="1" t="n">
        <v>45929</v>
      </c>
      <c r="D792" t="inlineStr">
        <is>
          <t>VÄSTERBOTTENS LÄN</t>
        </is>
      </c>
      <c r="E792" t="inlineStr">
        <is>
          <t>VILHELMINA</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12118-2024</t>
        </is>
      </c>
      <c r="B793" s="1" t="n">
        <v>45376</v>
      </c>
      <c r="C793" s="1" t="n">
        <v>45929</v>
      </c>
      <c r="D793" t="inlineStr">
        <is>
          <t>VÄSTERBOTTENS LÄN</t>
        </is>
      </c>
      <c r="E793" t="inlineStr">
        <is>
          <t>VILHELMINA</t>
        </is>
      </c>
      <c r="G793" t="n">
        <v>3.6</v>
      </c>
      <c r="H793" t="n">
        <v>0</v>
      </c>
      <c r="I793" t="n">
        <v>0</v>
      </c>
      <c r="J793" t="n">
        <v>0</v>
      </c>
      <c r="K793" t="n">
        <v>0</v>
      </c>
      <c r="L793" t="n">
        <v>0</v>
      </c>
      <c r="M793" t="n">
        <v>0</v>
      </c>
      <c r="N793" t="n">
        <v>0</v>
      </c>
      <c r="O793" t="n">
        <v>0</v>
      </c>
      <c r="P793" t="n">
        <v>0</v>
      </c>
      <c r="Q793" t="n">
        <v>0</v>
      </c>
      <c r="R793" s="2" t="inlineStr"/>
    </row>
    <row r="794" ht="15" customHeight="1">
      <c r="A794" t="inlineStr">
        <is>
          <t>A 37937-2023</t>
        </is>
      </c>
      <c r="B794" s="1" t="n">
        <v>45159</v>
      </c>
      <c r="C794" s="1" t="n">
        <v>45929</v>
      </c>
      <c r="D794" t="inlineStr">
        <is>
          <t>VÄSTERBOTTENS LÄN</t>
        </is>
      </c>
      <c r="E794" t="inlineStr">
        <is>
          <t>VILHELMINA</t>
        </is>
      </c>
      <c r="G794" t="n">
        <v>2.2</v>
      </c>
      <c r="H794" t="n">
        <v>0</v>
      </c>
      <c r="I794" t="n">
        <v>0</v>
      </c>
      <c r="J794" t="n">
        <v>0</v>
      </c>
      <c r="K794" t="n">
        <v>0</v>
      </c>
      <c r="L794" t="n">
        <v>0</v>
      </c>
      <c r="M794" t="n">
        <v>0</v>
      </c>
      <c r="N794" t="n">
        <v>0</v>
      </c>
      <c r="O794" t="n">
        <v>0</v>
      </c>
      <c r="P794" t="n">
        <v>0</v>
      </c>
      <c r="Q794" t="n">
        <v>0</v>
      </c>
      <c r="R794" s="2" t="inlineStr"/>
    </row>
    <row r="795" ht="15" customHeight="1">
      <c r="A795" t="inlineStr">
        <is>
          <t>A 30746-2025</t>
        </is>
      </c>
      <c r="B795" s="1" t="n">
        <v>45831.58256944444</v>
      </c>
      <c r="C795" s="1" t="n">
        <v>45929</v>
      </c>
      <c r="D795" t="inlineStr">
        <is>
          <t>VÄSTERBOTTENS LÄN</t>
        </is>
      </c>
      <c r="E795" t="inlineStr">
        <is>
          <t>VILHELMINA</t>
        </is>
      </c>
      <c r="G795" t="n">
        <v>5.7</v>
      </c>
      <c r="H795" t="n">
        <v>0</v>
      </c>
      <c r="I795" t="n">
        <v>0</v>
      </c>
      <c r="J795" t="n">
        <v>0</v>
      </c>
      <c r="K795" t="n">
        <v>0</v>
      </c>
      <c r="L795" t="n">
        <v>0</v>
      </c>
      <c r="M795" t="n">
        <v>0</v>
      </c>
      <c r="N795" t="n">
        <v>0</v>
      </c>
      <c r="O795" t="n">
        <v>0</v>
      </c>
      <c r="P795" t="n">
        <v>0</v>
      </c>
      <c r="Q795" t="n">
        <v>0</v>
      </c>
      <c r="R795" s="2" t="inlineStr"/>
    </row>
    <row r="796" ht="15" customHeight="1">
      <c r="A796" t="inlineStr">
        <is>
          <t>A 29722-2024</t>
        </is>
      </c>
      <c r="B796" s="1" t="n">
        <v>45485</v>
      </c>
      <c r="C796" s="1" t="n">
        <v>45929</v>
      </c>
      <c r="D796" t="inlineStr">
        <is>
          <t>VÄSTERBOTTENS LÄN</t>
        </is>
      </c>
      <c r="E796" t="inlineStr">
        <is>
          <t>VILHELMINA</t>
        </is>
      </c>
      <c r="G796" t="n">
        <v>2.5</v>
      </c>
      <c r="H796" t="n">
        <v>0</v>
      </c>
      <c r="I796" t="n">
        <v>0</v>
      </c>
      <c r="J796" t="n">
        <v>0</v>
      </c>
      <c r="K796" t="n">
        <v>0</v>
      </c>
      <c r="L796" t="n">
        <v>0</v>
      </c>
      <c r="M796" t="n">
        <v>0</v>
      </c>
      <c r="N796" t="n">
        <v>0</v>
      </c>
      <c r="O796" t="n">
        <v>0</v>
      </c>
      <c r="P796" t="n">
        <v>0</v>
      </c>
      <c r="Q796" t="n">
        <v>0</v>
      </c>
      <c r="R796" s="2" t="inlineStr"/>
    </row>
    <row r="797" ht="15" customHeight="1">
      <c r="A797" t="inlineStr">
        <is>
          <t>A 31724-2025</t>
        </is>
      </c>
      <c r="B797" s="1" t="n">
        <v>45834</v>
      </c>
      <c r="C797" s="1" t="n">
        <v>45929</v>
      </c>
      <c r="D797" t="inlineStr">
        <is>
          <t>VÄSTERBOTTENS LÄN</t>
        </is>
      </c>
      <c r="E797" t="inlineStr">
        <is>
          <t>VILHELMINA</t>
        </is>
      </c>
      <c r="G797" t="n">
        <v>19.7</v>
      </c>
      <c r="H797" t="n">
        <v>0</v>
      </c>
      <c r="I797" t="n">
        <v>0</v>
      </c>
      <c r="J797" t="n">
        <v>0</v>
      </c>
      <c r="K797" t="n">
        <v>0</v>
      </c>
      <c r="L797" t="n">
        <v>0</v>
      </c>
      <c r="M797" t="n">
        <v>0</v>
      </c>
      <c r="N797" t="n">
        <v>0</v>
      </c>
      <c r="O797" t="n">
        <v>0</v>
      </c>
      <c r="P797" t="n">
        <v>0</v>
      </c>
      <c r="Q797" t="n">
        <v>0</v>
      </c>
      <c r="R797" s="2" t="inlineStr"/>
    </row>
    <row r="798" ht="15" customHeight="1">
      <c r="A798" t="inlineStr">
        <is>
          <t>A 31730-2025</t>
        </is>
      </c>
      <c r="B798" s="1" t="n">
        <v>45834</v>
      </c>
      <c r="C798" s="1" t="n">
        <v>45929</v>
      </c>
      <c r="D798" t="inlineStr">
        <is>
          <t>VÄSTERBOTTENS LÄN</t>
        </is>
      </c>
      <c r="E798" t="inlineStr">
        <is>
          <t>VILHELMINA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31307-2025</t>
        </is>
      </c>
      <c r="B799" s="1" t="n">
        <v>45833</v>
      </c>
      <c r="C799" s="1" t="n">
        <v>45929</v>
      </c>
      <c r="D799" t="inlineStr">
        <is>
          <t>VÄSTERBOTTENS LÄN</t>
        </is>
      </c>
      <c r="E799" t="inlineStr">
        <is>
          <t>VILHELMINA</t>
        </is>
      </c>
      <c r="G799" t="n">
        <v>9.9</v>
      </c>
      <c r="H799" t="n">
        <v>0</v>
      </c>
      <c r="I799" t="n">
        <v>0</v>
      </c>
      <c r="J799" t="n">
        <v>0</v>
      </c>
      <c r="K799" t="n">
        <v>0</v>
      </c>
      <c r="L799" t="n">
        <v>0</v>
      </c>
      <c r="M799" t="n">
        <v>0</v>
      </c>
      <c r="N799" t="n">
        <v>0</v>
      </c>
      <c r="O799" t="n">
        <v>0</v>
      </c>
      <c r="P799" t="n">
        <v>0</v>
      </c>
      <c r="Q799" t="n">
        <v>0</v>
      </c>
      <c r="R799" s="2" t="inlineStr"/>
    </row>
    <row r="800" ht="15" customHeight="1">
      <c r="A800" t="inlineStr">
        <is>
          <t>A 31485-2025</t>
        </is>
      </c>
      <c r="B800" s="1" t="n">
        <v>45833</v>
      </c>
      <c r="C800" s="1" t="n">
        <v>45929</v>
      </c>
      <c r="D800" t="inlineStr">
        <is>
          <t>VÄSTERBOTTENS LÄN</t>
        </is>
      </c>
      <c r="E800" t="inlineStr">
        <is>
          <t>VILHELMINA</t>
        </is>
      </c>
      <c r="G800" t="n">
        <v>2.8</v>
      </c>
      <c r="H800" t="n">
        <v>0</v>
      </c>
      <c r="I800" t="n">
        <v>0</v>
      </c>
      <c r="J800" t="n">
        <v>0</v>
      </c>
      <c r="K800" t="n">
        <v>0</v>
      </c>
      <c r="L800" t="n">
        <v>0</v>
      </c>
      <c r="M800" t="n">
        <v>0</v>
      </c>
      <c r="N800" t="n">
        <v>0</v>
      </c>
      <c r="O800" t="n">
        <v>0</v>
      </c>
      <c r="P800" t="n">
        <v>0</v>
      </c>
      <c r="Q800" t="n">
        <v>0</v>
      </c>
      <c r="R800" s="2" t="inlineStr"/>
    </row>
    <row r="801" ht="15" customHeight="1">
      <c r="A801" t="inlineStr">
        <is>
          <t>A 31733-2025</t>
        </is>
      </c>
      <c r="B801" s="1" t="n">
        <v>45834.47035879629</v>
      </c>
      <c r="C801" s="1" t="n">
        <v>45929</v>
      </c>
      <c r="D801" t="inlineStr">
        <is>
          <t>VÄSTERBOTTENS LÄN</t>
        </is>
      </c>
      <c r="E801" t="inlineStr">
        <is>
          <t>VILHELMINA</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31308-2025</t>
        </is>
      </c>
      <c r="B802" s="1" t="n">
        <v>45833</v>
      </c>
      <c r="C802" s="1" t="n">
        <v>45929</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19401-2023</t>
        </is>
      </c>
      <c r="B803" s="1" t="n">
        <v>45048</v>
      </c>
      <c r="C803" s="1" t="n">
        <v>45929</v>
      </c>
      <c r="D803" t="inlineStr">
        <is>
          <t>VÄSTERBOTTENS LÄN</t>
        </is>
      </c>
      <c r="E803" t="inlineStr">
        <is>
          <t>VILHELMINA</t>
        </is>
      </c>
      <c r="G803" t="n">
        <v>5.4</v>
      </c>
      <c r="H803" t="n">
        <v>0</v>
      </c>
      <c r="I803" t="n">
        <v>0</v>
      </c>
      <c r="J803" t="n">
        <v>0</v>
      </c>
      <c r="K803" t="n">
        <v>0</v>
      </c>
      <c r="L803" t="n">
        <v>0</v>
      </c>
      <c r="M803" t="n">
        <v>0</v>
      </c>
      <c r="N803" t="n">
        <v>0</v>
      </c>
      <c r="O803" t="n">
        <v>0</v>
      </c>
      <c r="P803" t="n">
        <v>0</v>
      </c>
      <c r="Q803" t="n">
        <v>0</v>
      </c>
      <c r="R803" s="2" t="inlineStr"/>
    </row>
    <row r="804" ht="15" customHeight="1">
      <c r="A804" t="inlineStr">
        <is>
          <t>A 57470-2024</t>
        </is>
      </c>
      <c r="B804" s="1" t="n">
        <v>45630</v>
      </c>
      <c r="C804" s="1" t="n">
        <v>45929</v>
      </c>
      <c r="D804" t="inlineStr">
        <is>
          <t>VÄSTERBOTTENS LÄN</t>
        </is>
      </c>
      <c r="E804" t="inlineStr">
        <is>
          <t>VILHELMINA</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23360-2025</t>
        </is>
      </c>
      <c r="B805" s="1" t="n">
        <v>45791</v>
      </c>
      <c r="C805" s="1" t="n">
        <v>45929</v>
      </c>
      <c r="D805" t="inlineStr">
        <is>
          <t>VÄSTERBOTTENS LÄN</t>
        </is>
      </c>
      <c r="E805" t="inlineStr">
        <is>
          <t>VILHELMINA</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31095-2024</t>
        </is>
      </c>
      <c r="B806" s="1" t="n">
        <v>45502</v>
      </c>
      <c r="C806" s="1" t="n">
        <v>45929</v>
      </c>
      <c r="D806" t="inlineStr">
        <is>
          <t>VÄSTERBOTTENS LÄN</t>
        </is>
      </c>
      <c r="E806" t="inlineStr">
        <is>
          <t>VILHELMINA</t>
        </is>
      </c>
      <c r="G806" t="n">
        <v>4.7</v>
      </c>
      <c r="H806" t="n">
        <v>0</v>
      </c>
      <c r="I806" t="n">
        <v>0</v>
      </c>
      <c r="J806" t="n">
        <v>0</v>
      </c>
      <c r="K806" t="n">
        <v>0</v>
      </c>
      <c r="L806" t="n">
        <v>0</v>
      </c>
      <c r="M806" t="n">
        <v>0</v>
      </c>
      <c r="N806" t="n">
        <v>0</v>
      </c>
      <c r="O806" t="n">
        <v>0</v>
      </c>
      <c r="P806" t="n">
        <v>0</v>
      </c>
      <c r="Q806" t="n">
        <v>0</v>
      </c>
      <c r="R806" s="2" t="inlineStr"/>
    </row>
    <row r="807" ht="15" customHeight="1">
      <c r="A807" t="inlineStr">
        <is>
          <t>A 33142-2025</t>
        </is>
      </c>
      <c r="B807" s="1" t="n">
        <v>45840</v>
      </c>
      <c r="C807" s="1" t="n">
        <v>45929</v>
      </c>
      <c r="D807" t="inlineStr">
        <is>
          <t>VÄSTERBOTTENS LÄN</t>
        </is>
      </c>
      <c r="E807" t="inlineStr">
        <is>
          <t>VILHELMINA</t>
        </is>
      </c>
      <c r="G807" t="n">
        <v>15.2</v>
      </c>
      <c r="H807" t="n">
        <v>0</v>
      </c>
      <c r="I807" t="n">
        <v>0</v>
      </c>
      <c r="J807" t="n">
        <v>0</v>
      </c>
      <c r="K807" t="n">
        <v>0</v>
      </c>
      <c r="L807" t="n">
        <v>0</v>
      </c>
      <c r="M807" t="n">
        <v>0</v>
      </c>
      <c r="N807" t="n">
        <v>0</v>
      </c>
      <c r="O807" t="n">
        <v>0</v>
      </c>
      <c r="P807" t="n">
        <v>0</v>
      </c>
      <c r="Q807" t="n">
        <v>0</v>
      </c>
      <c r="R807" s="2" t="inlineStr"/>
    </row>
    <row r="808" ht="15" customHeight="1">
      <c r="A808" t="inlineStr">
        <is>
          <t>A 32947-2025</t>
        </is>
      </c>
      <c r="B808" s="1" t="n">
        <v>45839</v>
      </c>
      <c r="C808" s="1" t="n">
        <v>45929</v>
      </c>
      <c r="D808" t="inlineStr">
        <is>
          <t>VÄSTERBOTTENS LÄN</t>
        </is>
      </c>
      <c r="E808" t="inlineStr">
        <is>
          <t>VILHELMINA</t>
        </is>
      </c>
      <c r="G808" t="n">
        <v>19.1</v>
      </c>
      <c r="H808" t="n">
        <v>0</v>
      </c>
      <c r="I808" t="n">
        <v>0</v>
      </c>
      <c r="J808" t="n">
        <v>0</v>
      </c>
      <c r="K808" t="n">
        <v>0</v>
      </c>
      <c r="L808" t="n">
        <v>0</v>
      </c>
      <c r="M808" t="n">
        <v>0</v>
      </c>
      <c r="N808" t="n">
        <v>0</v>
      </c>
      <c r="O808" t="n">
        <v>0</v>
      </c>
      <c r="P808" t="n">
        <v>0</v>
      </c>
      <c r="Q808" t="n">
        <v>0</v>
      </c>
      <c r="R808" s="2" t="inlineStr"/>
    </row>
    <row r="809" ht="15" customHeight="1">
      <c r="A809" t="inlineStr">
        <is>
          <t>A 33319-2025</t>
        </is>
      </c>
      <c r="B809" s="1" t="n">
        <v>45841</v>
      </c>
      <c r="C809" s="1" t="n">
        <v>45929</v>
      </c>
      <c r="D809" t="inlineStr">
        <is>
          <t>VÄSTERBOTTENS LÄN</t>
        </is>
      </c>
      <c r="E809" t="inlineStr">
        <is>
          <t>VILHELMINA</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33320-2025</t>
        </is>
      </c>
      <c r="B810" s="1" t="n">
        <v>45841.34461805555</v>
      </c>
      <c r="C810" s="1" t="n">
        <v>45929</v>
      </c>
      <c r="D810" t="inlineStr">
        <is>
          <t>VÄSTERBOTTENS LÄN</t>
        </is>
      </c>
      <c r="E810" t="inlineStr">
        <is>
          <t>VILHELMINA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7777-2024</t>
        </is>
      </c>
      <c r="B811" s="1" t="n">
        <v>45349</v>
      </c>
      <c r="C811" s="1" t="n">
        <v>45929</v>
      </c>
      <c r="D811" t="inlineStr">
        <is>
          <t>VÄSTERBOTTENS LÄN</t>
        </is>
      </c>
      <c r="E811" t="inlineStr">
        <is>
          <t>VILHELMINA</t>
        </is>
      </c>
      <c r="G811" t="n">
        <v>7</v>
      </c>
      <c r="H811" t="n">
        <v>0</v>
      </c>
      <c r="I811" t="n">
        <v>0</v>
      </c>
      <c r="J811" t="n">
        <v>0</v>
      </c>
      <c r="K811" t="n">
        <v>0</v>
      </c>
      <c r="L811" t="n">
        <v>0</v>
      </c>
      <c r="M811" t="n">
        <v>0</v>
      </c>
      <c r="N811" t="n">
        <v>0</v>
      </c>
      <c r="O811" t="n">
        <v>0</v>
      </c>
      <c r="P811" t="n">
        <v>0</v>
      </c>
      <c r="Q811" t="n">
        <v>0</v>
      </c>
      <c r="R811" s="2" t="inlineStr"/>
    </row>
    <row r="812" ht="15" customHeight="1">
      <c r="A812" t="inlineStr">
        <is>
          <t>A 33641-2025</t>
        </is>
      </c>
      <c r="B812" s="1" t="n">
        <v>45841.65045138889</v>
      </c>
      <c r="C812" s="1" t="n">
        <v>45929</v>
      </c>
      <c r="D812" t="inlineStr">
        <is>
          <t>VÄSTERBOTTENS LÄN</t>
        </is>
      </c>
      <c r="E812" t="inlineStr">
        <is>
          <t>VILHELMINA</t>
        </is>
      </c>
      <c r="G812" t="n">
        <v>7.3</v>
      </c>
      <c r="H812" t="n">
        <v>0</v>
      </c>
      <c r="I812" t="n">
        <v>0</v>
      </c>
      <c r="J812" t="n">
        <v>0</v>
      </c>
      <c r="K812" t="n">
        <v>0</v>
      </c>
      <c r="L812" t="n">
        <v>0</v>
      </c>
      <c r="M812" t="n">
        <v>0</v>
      </c>
      <c r="N812" t="n">
        <v>0</v>
      </c>
      <c r="O812" t="n">
        <v>0</v>
      </c>
      <c r="P812" t="n">
        <v>0</v>
      </c>
      <c r="Q812" t="n">
        <v>0</v>
      </c>
      <c r="R812" s="2" t="inlineStr"/>
    </row>
    <row r="813" ht="15" customHeight="1">
      <c r="A813" t="inlineStr">
        <is>
          <t>A 48470-2023</t>
        </is>
      </c>
      <c r="B813" s="1" t="n">
        <v>45206.95747685185</v>
      </c>
      <c r="C813" s="1" t="n">
        <v>45929</v>
      </c>
      <c r="D813" t="inlineStr">
        <is>
          <t>VÄSTERBOTTENS LÄN</t>
        </is>
      </c>
      <c r="E813" t="inlineStr">
        <is>
          <t>VILHELMINA</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34413-2025</t>
        </is>
      </c>
      <c r="B814" s="1" t="n">
        <v>45845</v>
      </c>
      <c r="C814" s="1" t="n">
        <v>45929</v>
      </c>
      <c r="D814" t="inlineStr">
        <is>
          <t>VÄSTERBOTTENS LÄN</t>
        </is>
      </c>
      <c r="E814" t="inlineStr">
        <is>
          <t>VILHELMINA</t>
        </is>
      </c>
      <c r="G814" t="n">
        <v>6.8</v>
      </c>
      <c r="H814" t="n">
        <v>0</v>
      </c>
      <c r="I814" t="n">
        <v>0</v>
      </c>
      <c r="J814" t="n">
        <v>0</v>
      </c>
      <c r="K814" t="n">
        <v>0</v>
      </c>
      <c r="L814" t="n">
        <v>0</v>
      </c>
      <c r="M814" t="n">
        <v>0</v>
      </c>
      <c r="N814" t="n">
        <v>0</v>
      </c>
      <c r="O814" t="n">
        <v>0</v>
      </c>
      <c r="P814" t="n">
        <v>0</v>
      </c>
      <c r="Q814" t="n">
        <v>0</v>
      </c>
      <c r="R814" s="2" t="inlineStr"/>
    </row>
    <row r="815" ht="15" customHeight="1">
      <c r="A815" t="inlineStr">
        <is>
          <t>A 39138-2025</t>
        </is>
      </c>
      <c r="B815" s="1" t="n">
        <v>45888.59435185185</v>
      </c>
      <c r="C815" s="1" t="n">
        <v>45929</v>
      </c>
      <c r="D815" t="inlineStr">
        <is>
          <t>VÄSTERBOTTENS LÄN</t>
        </is>
      </c>
      <c r="E815" t="inlineStr">
        <is>
          <t>VILHELMINA</t>
        </is>
      </c>
      <c r="G815" t="n">
        <v>6.7</v>
      </c>
      <c r="H815" t="n">
        <v>0</v>
      </c>
      <c r="I815" t="n">
        <v>0</v>
      </c>
      <c r="J815" t="n">
        <v>0</v>
      </c>
      <c r="K815" t="n">
        <v>0</v>
      </c>
      <c r="L815" t="n">
        <v>0</v>
      </c>
      <c r="M815" t="n">
        <v>0</v>
      </c>
      <c r="N815" t="n">
        <v>0</v>
      </c>
      <c r="O815" t="n">
        <v>0</v>
      </c>
      <c r="P815" t="n">
        <v>0</v>
      </c>
      <c r="Q815" t="n">
        <v>0</v>
      </c>
      <c r="R815" s="2" t="inlineStr"/>
    </row>
    <row r="816" ht="15" customHeight="1">
      <c r="A816" t="inlineStr">
        <is>
          <t>A 13829-2025</t>
        </is>
      </c>
      <c r="B816" s="1" t="n">
        <v>45737</v>
      </c>
      <c r="C816" s="1" t="n">
        <v>45929</v>
      </c>
      <c r="D816" t="inlineStr">
        <is>
          <t>VÄSTERBOTTENS LÄN</t>
        </is>
      </c>
      <c r="E816" t="inlineStr">
        <is>
          <t>VILHELMINA</t>
        </is>
      </c>
      <c r="F816" t="inlineStr">
        <is>
          <t>Övriga statliga verk och myndigheter</t>
        </is>
      </c>
      <c r="G816" t="n">
        <v>39.7</v>
      </c>
      <c r="H816" t="n">
        <v>0</v>
      </c>
      <c r="I816" t="n">
        <v>0</v>
      </c>
      <c r="J816" t="n">
        <v>0</v>
      </c>
      <c r="K816" t="n">
        <v>0</v>
      </c>
      <c r="L816" t="n">
        <v>0</v>
      </c>
      <c r="M816" t="n">
        <v>0</v>
      </c>
      <c r="N816" t="n">
        <v>0</v>
      </c>
      <c r="O816" t="n">
        <v>0</v>
      </c>
      <c r="P816" t="n">
        <v>0</v>
      </c>
      <c r="Q816" t="n">
        <v>0</v>
      </c>
      <c r="R816" s="2" t="inlineStr"/>
    </row>
    <row r="817" ht="15" customHeight="1">
      <c r="A817" t="inlineStr">
        <is>
          <t>A 34253-2025</t>
        </is>
      </c>
      <c r="B817" s="1" t="n">
        <v>45845</v>
      </c>
      <c r="C817" s="1" t="n">
        <v>45929</v>
      </c>
      <c r="D817" t="inlineStr">
        <is>
          <t>VÄSTERBOTTENS LÄN</t>
        </is>
      </c>
      <c r="E817" t="inlineStr">
        <is>
          <t>VILHELMINA</t>
        </is>
      </c>
      <c r="G817" t="n">
        <v>14.3</v>
      </c>
      <c r="H817" t="n">
        <v>0</v>
      </c>
      <c r="I817" t="n">
        <v>0</v>
      </c>
      <c r="J817" t="n">
        <v>0</v>
      </c>
      <c r="K817" t="n">
        <v>0</v>
      </c>
      <c r="L817" t="n">
        <v>0</v>
      </c>
      <c r="M817" t="n">
        <v>0</v>
      </c>
      <c r="N817" t="n">
        <v>0</v>
      </c>
      <c r="O817" t="n">
        <v>0</v>
      </c>
      <c r="P817" t="n">
        <v>0</v>
      </c>
      <c r="Q817" t="n">
        <v>0</v>
      </c>
      <c r="R817" s="2" t="inlineStr"/>
    </row>
    <row r="818" ht="15" customHeight="1">
      <c r="A818" t="inlineStr">
        <is>
          <t>A 5403-2025</t>
        </is>
      </c>
      <c r="B818" s="1" t="n">
        <v>45692.64475694444</v>
      </c>
      <c r="C818" s="1" t="n">
        <v>45929</v>
      </c>
      <c r="D818" t="inlineStr">
        <is>
          <t>VÄSTERBOTTENS LÄN</t>
        </is>
      </c>
      <c r="E818" t="inlineStr">
        <is>
          <t>VILHELMINA</t>
        </is>
      </c>
      <c r="F818" t="inlineStr">
        <is>
          <t>Kommuner</t>
        </is>
      </c>
      <c r="G818" t="n">
        <v>14.9</v>
      </c>
      <c r="H818" t="n">
        <v>0</v>
      </c>
      <c r="I818" t="n">
        <v>0</v>
      </c>
      <c r="J818" t="n">
        <v>0</v>
      </c>
      <c r="K818" t="n">
        <v>0</v>
      </c>
      <c r="L818" t="n">
        <v>0</v>
      </c>
      <c r="M818" t="n">
        <v>0</v>
      </c>
      <c r="N818" t="n">
        <v>0</v>
      </c>
      <c r="O818" t="n">
        <v>0</v>
      </c>
      <c r="P818" t="n">
        <v>0</v>
      </c>
      <c r="Q818" t="n">
        <v>0</v>
      </c>
      <c r="R818" s="2" t="inlineStr"/>
    </row>
    <row r="819" ht="15" customHeight="1">
      <c r="A819" t="inlineStr">
        <is>
          <t>A 39320-2025</t>
        </is>
      </c>
      <c r="B819" s="1" t="n">
        <v>45889.46940972222</v>
      </c>
      <c r="C819" s="1" t="n">
        <v>45929</v>
      </c>
      <c r="D819" t="inlineStr">
        <is>
          <t>VÄSTERBOTTENS LÄN</t>
        </is>
      </c>
      <c r="E819" t="inlineStr">
        <is>
          <t>VILHELMINA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39571-2025</t>
        </is>
      </c>
      <c r="B820" s="1" t="n">
        <v>45890.49021990741</v>
      </c>
      <c r="C820" s="1" t="n">
        <v>45929</v>
      </c>
      <c r="D820" t="inlineStr">
        <is>
          <t>VÄSTERBOTTENS LÄN</t>
        </is>
      </c>
      <c r="E820" t="inlineStr">
        <is>
          <t>VILHELMINA</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39533-2025</t>
        </is>
      </c>
      <c r="B821" s="1" t="n">
        <v>45890.44863425926</v>
      </c>
      <c r="C821" s="1" t="n">
        <v>45929</v>
      </c>
      <c r="D821" t="inlineStr">
        <is>
          <t>VÄSTERBOTTENS LÄN</t>
        </is>
      </c>
      <c r="E821" t="inlineStr">
        <is>
          <t>VILHELMINA</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34569-2025</t>
        </is>
      </c>
      <c r="B822" s="1" t="n">
        <v>45847.58480324074</v>
      </c>
      <c r="C822" s="1" t="n">
        <v>45929</v>
      </c>
      <c r="D822" t="inlineStr">
        <is>
          <t>VÄSTERBOTTENS LÄN</t>
        </is>
      </c>
      <c r="E822" t="inlineStr">
        <is>
          <t>VILHELMINA</t>
        </is>
      </c>
      <c r="G822" t="n">
        <v>5.3</v>
      </c>
      <c r="H822" t="n">
        <v>0</v>
      </c>
      <c r="I822" t="n">
        <v>0</v>
      </c>
      <c r="J822" t="n">
        <v>0</v>
      </c>
      <c r="K822" t="n">
        <v>0</v>
      </c>
      <c r="L822" t="n">
        <v>0</v>
      </c>
      <c r="M822" t="n">
        <v>0</v>
      </c>
      <c r="N822" t="n">
        <v>0</v>
      </c>
      <c r="O822" t="n">
        <v>0</v>
      </c>
      <c r="P822" t="n">
        <v>0</v>
      </c>
      <c r="Q822" t="n">
        <v>0</v>
      </c>
      <c r="R822" s="2" t="inlineStr"/>
    </row>
    <row r="823" ht="15" customHeight="1">
      <c r="A823" t="inlineStr">
        <is>
          <t>A 34542-2025</t>
        </is>
      </c>
      <c r="B823" s="1" t="n">
        <v>45847.53211805555</v>
      </c>
      <c r="C823" s="1" t="n">
        <v>45929</v>
      </c>
      <c r="D823" t="inlineStr">
        <is>
          <t>VÄSTERBOTTENS LÄN</t>
        </is>
      </c>
      <c r="E823" t="inlineStr">
        <is>
          <t>VILHELMINA</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54459-2024</t>
        </is>
      </c>
      <c r="B824" s="1" t="n">
        <v>45617</v>
      </c>
      <c r="C824" s="1" t="n">
        <v>45929</v>
      </c>
      <c r="D824" t="inlineStr">
        <is>
          <t>VÄSTERBOTTENS LÄN</t>
        </is>
      </c>
      <c r="E824" t="inlineStr">
        <is>
          <t>VILHELMINA</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34563-2025</t>
        </is>
      </c>
      <c r="B825" s="1" t="n">
        <v>45847.57950231482</v>
      </c>
      <c r="C825" s="1" t="n">
        <v>45929</v>
      </c>
      <c r="D825" t="inlineStr">
        <is>
          <t>VÄSTERBOTTENS LÄN</t>
        </is>
      </c>
      <c r="E825" t="inlineStr">
        <is>
          <t>VILHELMINA</t>
        </is>
      </c>
      <c r="G825" t="n">
        <v>20.6</v>
      </c>
      <c r="H825" t="n">
        <v>0</v>
      </c>
      <c r="I825" t="n">
        <v>0</v>
      </c>
      <c r="J825" t="n">
        <v>0</v>
      </c>
      <c r="K825" t="n">
        <v>0</v>
      </c>
      <c r="L825" t="n">
        <v>0</v>
      </c>
      <c r="M825" t="n">
        <v>0</v>
      </c>
      <c r="N825" t="n">
        <v>0</v>
      </c>
      <c r="O825" t="n">
        <v>0</v>
      </c>
      <c r="P825" t="n">
        <v>0</v>
      </c>
      <c r="Q825" t="n">
        <v>0</v>
      </c>
      <c r="R825" s="2" t="inlineStr"/>
    </row>
    <row r="826" ht="15" customHeight="1">
      <c r="A826" t="inlineStr">
        <is>
          <t>A 39558-2025</t>
        </is>
      </c>
      <c r="B826" s="1" t="n">
        <v>45890.46978009259</v>
      </c>
      <c r="C826" s="1" t="n">
        <v>45929</v>
      </c>
      <c r="D826" t="inlineStr">
        <is>
          <t>VÄSTERBOTTENS LÄN</t>
        </is>
      </c>
      <c r="E826" t="inlineStr">
        <is>
          <t>VILHELMINA</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46177-2023</t>
        </is>
      </c>
      <c r="B827" s="1" t="n">
        <v>45190</v>
      </c>
      <c r="C827" s="1" t="n">
        <v>45929</v>
      </c>
      <c r="D827" t="inlineStr">
        <is>
          <t>VÄSTERBOTTENS LÄN</t>
        </is>
      </c>
      <c r="E827" t="inlineStr">
        <is>
          <t>VILHELMINA</t>
        </is>
      </c>
      <c r="F827" t="inlineStr">
        <is>
          <t>Övriga Aktiebolag</t>
        </is>
      </c>
      <c r="G827" t="n">
        <v>7.7</v>
      </c>
      <c r="H827" t="n">
        <v>0</v>
      </c>
      <c r="I827" t="n">
        <v>0</v>
      </c>
      <c r="J827" t="n">
        <v>0</v>
      </c>
      <c r="K827" t="n">
        <v>0</v>
      </c>
      <c r="L827" t="n">
        <v>0</v>
      </c>
      <c r="M827" t="n">
        <v>0</v>
      </c>
      <c r="N827" t="n">
        <v>0</v>
      </c>
      <c r="O827" t="n">
        <v>0</v>
      </c>
      <c r="P827" t="n">
        <v>0</v>
      </c>
      <c r="Q827" t="n">
        <v>0</v>
      </c>
      <c r="R827" s="2" t="inlineStr"/>
    </row>
    <row r="828" ht="15" customHeight="1">
      <c r="A828" t="inlineStr">
        <is>
          <t>A 20846-2025</t>
        </is>
      </c>
      <c r="B828" s="1" t="n">
        <v>45777</v>
      </c>
      <c r="C828" s="1" t="n">
        <v>45929</v>
      </c>
      <c r="D828" t="inlineStr">
        <is>
          <t>VÄSTERBOTTENS LÄN</t>
        </is>
      </c>
      <c r="E828" t="inlineStr">
        <is>
          <t>VILHELMINA</t>
        </is>
      </c>
      <c r="G828" t="n">
        <v>19.1</v>
      </c>
      <c r="H828" t="n">
        <v>0</v>
      </c>
      <c r="I828" t="n">
        <v>0</v>
      </c>
      <c r="J828" t="n">
        <v>0</v>
      </c>
      <c r="K828" t="n">
        <v>0</v>
      </c>
      <c r="L828" t="n">
        <v>0</v>
      </c>
      <c r="M828" t="n">
        <v>0</v>
      </c>
      <c r="N828" t="n">
        <v>0</v>
      </c>
      <c r="O828" t="n">
        <v>0</v>
      </c>
      <c r="P828" t="n">
        <v>0</v>
      </c>
      <c r="Q828" t="n">
        <v>0</v>
      </c>
      <c r="R828" s="2" t="inlineStr"/>
    </row>
    <row r="829" ht="15" customHeight="1">
      <c r="A829" t="inlineStr">
        <is>
          <t>A 39378-2025</t>
        </is>
      </c>
      <c r="B829" s="1" t="n">
        <v>45889.59453703704</v>
      </c>
      <c r="C829" s="1" t="n">
        <v>45929</v>
      </c>
      <c r="D829" t="inlineStr">
        <is>
          <t>VÄSTERBOTTENS LÄN</t>
        </is>
      </c>
      <c r="E829" t="inlineStr">
        <is>
          <t>VILHELMINA</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39534-2025</t>
        </is>
      </c>
      <c r="B830" s="1" t="n">
        <v>45890.44875</v>
      </c>
      <c r="C830" s="1" t="n">
        <v>45929</v>
      </c>
      <c r="D830" t="inlineStr">
        <is>
          <t>VÄSTERBOTTENS LÄN</t>
        </is>
      </c>
      <c r="E830" t="inlineStr">
        <is>
          <t>VILHELMINA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51826-2023</t>
        </is>
      </c>
      <c r="B831" s="1" t="n">
        <v>45222.9678125</v>
      </c>
      <c r="C831" s="1" t="n">
        <v>45929</v>
      </c>
      <c r="D831" t="inlineStr">
        <is>
          <t>VÄSTERBOTTENS LÄN</t>
        </is>
      </c>
      <c r="E831" t="inlineStr">
        <is>
          <t>VILHELMINA</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40220-2025</t>
        </is>
      </c>
      <c r="B832" s="1" t="n">
        <v>45894</v>
      </c>
      <c r="C832" s="1" t="n">
        <v>45929</v>
      </c>
      <c r="D832" t="inlineStr">
        <is>
          <t>VÄSTERBOTTENS LÄN</t>
        </is>
      </c>
      <c r="E832" t="inlineStr">
        <is>
          <t>VILHELMINA</t>
        </is>
      </c>
      <c r="G832" t="n">
        <v>4.6</v>
      </c>
      <c r="H832" t="n">
        <v>0</v>
      </c>
      <c r="I832" t="n">
        <v>0</v>
      </c>
      <c r="J832" t="n">
        <v>0</v>
      </c>
      <c r="K832" t="n">
        <v>0</v>
      </c>
      <c r="L832" t="n">
        <v>0</v>
      </c>
      <c r="M832" t="n">
        <v>0</v>
      </c>
      <c r="N832" t="n">
        <v>0</v>
      </c>
      <c r="O832" t="n">
        <v>0</v>
      </c>
      <c r="P832" t="n">
        <v>0</v>
      </c>
      <c r="Q832" t="n">
        <v>0</v>
      </c>
      <c r="R832" s="2" t="inlineStr"/>
    </row>
    <row r="833" ht="15" customHeight="1">
      <c r="A833" t="inlineStr">
        <is>
          <t>A 18394-2025</t>
        </is>
      </c>
      <c r="B833" s="1" t="n">
        <v>45762</v>
      </c>
      <c r="C833" s="1" t="n">
        <v>45929</v>
      </c>
      <c r="D833" t="inlineStr">
        <is>
          <t>VÄSTERBOTTENS LÄN</t>
        </is>
      </c>
      <c r="E833" t="inlineStr">
        <is>
          <t>VILHELMINA</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20524-2024</t>
        </is>
      </c>
      <c r="B834" s="1" t="n">
        <v>45435.94567129629</v>
      </c>
      <c r="C834" s="1" t="n">
        <v>45929</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50494-2023</t>
        </is>
      </c>
      <c r="B835" s="1" t="n">
        <v>45216.95604166666</v>
      </c>
      <c r="C835" s="1" t="n">
        <v>45929</v>
      </c>
      <c r="D835" t="inlineStr">
        <is>
          <t>VÄSTERBOTTENS LÄN</t>
        </is>
      </c>
      <c r="E835" t="inlineStr">
        <is>
          <t>VILHELMINA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40196-2025</t>
        </is>
      </c>
      <c r="B836" s="1" t="n">
        <v>45894.65951388889</v>
      </c>
      <c r="C836" s="1" t="n">
        <v>45929</v>
      </c>
      <c r="D836" t="inlineStr">
        <is>
          <t>VÄSTERBOTTENS LÄN</t>
        </is>
      </c>
      <c r="E836" t="inlineStr">
        <is>
          <t>VILHELMINA</t>
        </is>
      </c>
      <c r="G836" t="n">
        <v>23.3</v>
      </c>
      <c r="H836" t="n">
        <v>0</v>
      </c>
      <c r="I836" t="n">
        <v>0</v>
      </c>
      <c r="J836" t="n">
        <v>0</v>
      </c>
      <c r="K836" t="n">
        <v>0</v>
      </c>
      <c r="L836" t="n">
        <v>0</v>
      </c>
      <c r="M836" t="n">
        <v>0</v>
      </c>
      <c r="N836" t="n">
        <v>0</v>
      </c>
      <c r="O836" t="n">
        <v>0</v>
      </c>
      <c r="P836" t="n">
        <v>0</v>
      </c>
      <c r="Q836" t="n">
        <v>0</v>
      </c>
      <c r="R836" s="2" t="inlineStr"/>
    </row>
    <row r="837" ht="15" customHeight="1">
      <c r="A837" t="inlineStr">
        <is>
          <t>A 40144-2025</t>
        </is>
      </c>
      <c r="B837" s="1" t="n">
        <v>45894.57322916666</v>
      </c>
      <c r="C837" s="1" t="n">
        <v>45929</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8566-2025</t>
        </is>
      </c>
      <c r="B838" s="1" t="n">
        <v>45709</v>
      </c>
      <c r="C838" s="1" t="n">
        <v>45929</v>
      </c>
      <c r="D838" t="inlineStr">
        <is>
          <t>VÄSTERBOTTENS LÄN</t>
        </is>
      </c>
      <c r="E838" t="inlineStr">
        <is>
          <t>VILHELMINA</t>
        </is>
      </c>
      <c r="G838" t="n">
        <v>10.5</v>
      </c>
      <c r="H838" t="n">
        <v>0</v>
      </c>
      <c r="I838" t="n">
        <v>0</v>
      </c>
      <c r="J838" t="n">
        <v>0</v>
      </c>
      <c r="K838" t="n">
        <v>0</v>
      </c>
      <c r="L838" t="n">
        <v>0</v>
      </c>
      <c r="M838" t="n">
        <v>0</v>
      </c>
      <c r="N838" t="n">
        <v>0</v>
      </c>
      <c r="O838" t="n">
        <v>0</v>
      </c>
      <c r="P838" t="n">
        <v>0</v>
      </c>
      <c r="Q838" t="n">
        <v>0</v>
      </c>
      <c r="R838" s="2" t="inlineStr"/>
    </row>
    <row r="839" ht="15" customHeight="1">
      <c r="A839" t="inlineStr">
        <is>
          <t>A 8585-2025</t>
        </is>
      </c>
      <c r="B839" s="1" t="n">
        <v>45709</v>
      </c>
      <c r="C839" s="1" t="n">
        <v>45929</v>
      </c>
      <c r="D839" t="inlineStr">
        <is>
          <t>VÄSTERBOTTENS LÄN</t>
        </is>
      </c>
      <c r="E839" t="inlineStr">
        <is>
          <t>VILHELMINA</t>
        </is>
      </c>
      <c r="G839" t="n">
        <v>3.4</v>
      </c>
      <c r="H839" t="n">
        <v>0</v>
      </c>
      <c r="I839" t="n">
        <v>0</v>
      </c>
      <c r="J839" t="n">
        <v>0</v>
      </c>
      <c r="K839" t="n">
        <v>0</v>
      </c>
      <c r="L839" t="n">
        <v>0</v>
      </c>
      <c r="M839" t="n">
        <v>0</v>
      </c>
      <c r="N839" t="n">
        <v>0</v>
      </c>
      <c r="O839" t="n">
        <v>0</v>
      </c>
      <c r="P839" t="n">
        <v>0</v>
      </c>
      <c r="Q839" t="n">
        <v>0</v>
      </c>
      <c r="R839" s="2" t="inlineStr"/>
    </row>
    <row r="840" ht="15" customHeight="1">
      <c r="A840" t="inlineStr">
        <is>
          <t>A 19585-2024</t>
        </is>
      </c>
      <c r="B840" s="1" t="n">
        <v>45429</v>
      </c>
      <c r="C840" s="1" t="n">
        <v>45929</v>
      </c>
      <c r="D840" t="inlineStr">
        <is>
          <t>VÄSTERBOTTENS LÄN</t>
        </is>
      </c>
      <c r="E840" t="inlineStr">
        <is>
          <t>VILHELMINA</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34805-2023</t>
        </is>
      </c>
      <c r="B841" s="1" t="n">
        <v>45140</v>
      </c>
      <c r="C841" s="1" t="n">
        <v>45929</v>
      </c>
      <c r="D841" t="inlineStr">
        <is>
          <t>VÄSTERBOTTENS LÄN</t>
        </is>
      </c>
      <c r="E841" t="inlineStr">
        <is>
          <t>VILHELMINA</t>
        </is>
      </c>
      <c r="G841" t="n">
        <v>4.3</v>
      </c>
      <c r="H841" t="n">
        <v>0</v>
      </c>
      <c r="I841" t="n">
        <v>0</v>
      </c>
      <c r="J841" t="n">
        <v>0</v>
      </c>
      <c r="K841" t="n">
        <v>0</v>
      </c>
      <c r="L841" t="n">
        <v>0</v>
      </c>
      <c r="M841" t="n">
        <v>0</v>
      </c>
      <c r="N841" t="n">
        <v>0</v>
      </c>
      <c r="O841" t="n">
        <v>0</v>
      </c>
      <c r="P841" t="n">
        <v>0</v>
      </c>
      <c r="Q841" t="n">
        <v>0</v>
      </c>
      <c r="R841" s="2" t="inlineStr"/>
    </row>
    <row r="842" ht="15" customHeight="1">
      <c r="A842" t="inlineStr">
        <is>
          <t>A 69621-2020</t>
        </is>
      </c>
      <c r="B842" s="1" t="n">
        <v>44195</v>
      </c>
      <c r="C842" s="1" t="n">
        <v>45929</v>
      </c>
      <c r="D842" t="inlineStr">
        <is>
          <t>VÄSTERBOTTENS LÄN</t>
        </is>
      </c>
      <c r="E842" t="inlineStr">
        <is>
          <t>VILHELMINA</t>
        </is>
      </c>
      <c r="G842" t="n">
        <v>2.9</v>
      </c>
      <c r="H842" t="n">
        <v>0</v>
      </c>
      <c r="I842" t="n">
        <v>0</v>
      </c>
      <c r="J842" t="n">
        <v>0</v>
      </c>
      <c r="K842" t="n">
        <v>0</v>
      </c>
      <c r="L842" t="n">
        <v>0</v>
      </c>
      <c r="M842" t="n">
        <v>0</v>
      </c>
      <c r="N842" t="n">
        <v>0</v>
      </c>
      <c r="O842" t="n">
        <v>0</v>
      </c>
      <c r="P842" t="n">
        <v>0</v>
      </c>
      <c r="Q842" t="n">
        <v>0</v>
      </c>
      <c r="R842" s="2" t="inlineStr"/>
    </row>
    <row r="843" ht="15" customHeight="1">
      <c r="A843" t="inlineStr">
        <is>
          <t>A 31449-2024</t>
        </is>
      </c>
      <c r="B843" s="1" t="n">
        <v>45505.9299537037</v>
      </c>
      <c r="C843" s="1" t="n">
        <v>45929</v>
      </c>
      <c r="D843" t="inlineStr">
        <is>
          <t>VÄSTERBOTTENS LÄN</t>
        </is>
      </c>
      <c r="E843" t="inlineStr">
        <is>
          <t>VILHELMINA</t>
        </is>
      </c>
      <c r="G843" t="n">
        <v>3.5</v>
      </c>
      <c r="H843" t="n">
        <v>0</v>
      </c>
      <c r="I843" t="n">
        <v>0</v>
      </c>
      <c r="J843" t="n">
        <v>0</v>
      </c>
      <c r="K843" t="n">
        <v>0</v>
      </c>
      <c r="L843" t="n">
        <v>0</v>
      </c>
      <c r="M843" t="n">
        <v>0</v>
      </c>
      <c r="N843" t="n">
        <v>0</v>
      </c>
      <c r="O843" t="n">
        <v>0</v>
      </c>
      <c r="P843" t="n">
        <v>0</v>
      </c>
      <c r="Q843" t="n">
        <v>0</v>
      </c>
      <c r="R843" s="2" t="inlineStr"/>
    </row>
    <row r="844" ht="15" customHeight="1">
      <c r="A844" t="inlineStr">
        <is>
          <t>A 51825-2023</t>
        </is>
      </c>
      <c r="B844" s="1" t="n">
        <v>45222</v>
      </c>
      <c r="C844" s="1" t="n">
        <v>45929</v>
      </c>
      <c r="D844" t="inlineStr">
        <is>
          <t>VÄSTERBOTTENS LÄN</t>
        </is>
      </c>
      <c r="E844" t="inlineStr">
        <is>
          <t>VILHELMINA</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9162-2022</t>
        </is>
      </c>
      <c r="B845" s="1" t="n">
        <v>44615</v>
      </c>
      <c r="C845" s="1" t="n">
        <v>45929</v>
      </c>
      <c r="D845" t="inlineStr">
        <is>
          <t>VÄSTERBOTTENS LÄN</t>
        </is>
      </c>
      <c r="E845" t="inlineStr">
        <is>
          <t>VILHELMINA</t>
        </is>
      </c>
      <c r="G845" t="n">
        <v>7.2</v>
      </c>
      <c r="H845" t="n">
        <v>0</v>
      </c>
      <c r="I845" t="n">
        <v>0</v>
      </c>
      <c r="J845" t="n">
        <v>0</v>
      </c>
      <c r="K845" t="n">
        <v>0</v>
      </c>
      <c r="L845" t="n">
        <v>0</v>
      </c>
      <c r="M845" t="n">
        <v>0</v>
      </c>
      <c r="N845" t="n">
        <v>0</v>
      </c>
      <c r="O845" t="n">
        <v>0</v>
      </c>
      <c r="P845" t="n">
        <v>0</v>
      </c>
      <c r="Q845" t="n">
        <v>0</v>
      </c>
      <c r="R845" s="2" t="inlineStr"/>
    </row>
    <row r="846" ht="15" customHeight="1">
      <c r="A846" t="inlineStr">
        <is>
          <t>A 20591-2025</t>
        </is>
      </c>
      <c r="B846" s="1" t="n">
        <v>45775</v>
      </c>
      <c r="C846" s="1" t="n">
        <v>45929</v>
      </c>
      <c r="D846" t="inlineStr">
        <is>
          <t>VÄSTERBOTTENS LÄN</t>
        </is>
      </c>
      <c r="E846" t="inlineStr">
        <is>
          <t>VILHELMINA</t>
        </is>
      </c>
      <c r="F846" t="inlineStr">
        <is>
          <t>SCA</t>
        </is>
      </c>
      <c r="G846" t="n">
        <v>27.4</v>
      </c>
      <c r="H846" t="n">
        <v>0</v>
      </c>
      <c r="I846" t="n">
        <v>0</v>
      </c>
      <c r="J846" t="n">
        <v>0</v>
      </c>
      <c r="K846" t="n">
        <v>0</v>
      </c>
      <c r="L846" t="n">
        <v>0</v>
      </c>
      <c r="M846" t="n">
        <v>0</v>
      </c>
      <c r="N846" t="n">
        <v>0</v>
      </c>
      <c r="O846" t="n">
        <v>0</v>
      </c>
      <c r="P846" t="n">
        <v>0</v>
      </c>
      <c r="Q846" t="n">
        <v>0</v>
      </c>
      <c r="R846" s="2" t="inlineStr"/>
    </row>
    <row r="847" ht="15" customHeight="1">
      <c r="A847" t="inlineStr">
        <is>
          <t>A 33636-2021</t>
        </is>
      </c>
      <c r="B847" s="1" t="n">
        <v>44378</v>
      </c>
      <c r="C847" s="1" t="n">
        <v>45929</v>
      </c>
      <c r="D847" t="inlineStr">
        <is>
          <t>VÄSTERBOTTENS LÄN</t>
        </is>
      </c>
      <c r="E847" t="inlineStr">
        <is>
          <t>VILHELMINA</t>
        </is>
      </c>
      <c r="G847" t="n">
        <v>1.6</v>
      </c>
      <c r="H847" t="n">
        <v>0</v>
      </c>
      <c r="I847" t="n">
        <v>0</v>
      </c>
      <c r="J847" t="n">
        <v>0</v>
      </c>
      <c r="K847" t="n">
        <v>0</v>
      </c>
      <c r="L847" t="n">
        <v>0</v>
      </c>
      <c r="M847" t="n">
        <v>0</v>
      </c>
      <c r="N847" t="n">
        <v>0</v>
      </c>
      <c r="O847" t="n">
        <v>0</v>
      </c>
      <c r="P847" t="n">
        <v>0</v>
      </c>
      <c r="Q847" t="n">
        <v>0</v>
      </c>
      <c r="R847" s="2" t="inlineStr"/>
    </row>
    <row r="848" ht="15" customHeight="1">
      <c r="A848" t="inlineStr">
        <is>
          <t>A 35984-2023</t>
        </is>
      </c>
      <c r="B848" s="1" t="n">
        <v>45148.96195601852</v>
      </c>
      <c r="C848" s="1" t="n">
        <v>45929</v>
      </c>
      <c r="D848" t="inlineStr">
        <is>
          <t>VÄSTERBOTTENS LÄN</t>
        </is>
      </c>
      <c r="E848" t="inlineStr">
        <is>
          <t>VILHELMINA</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35753-2023</t>
        </is>
      </c>
      <c r="B849" s="1" t="n">
        <v>45147.95390046296</v>
      </c>
      <c r="C849" s="1" t="n">
        <v>45929</v>
      </c>
      <c r="D849" t="inlineStr">
        <is>
          <t>VÄSTERBOTTENS LÄN</t>
        </is>
      </c>
      <c r="E849" t="inlineStr">
        <is>
          <t>VILHELMINA</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52746-2023</t>
        </is>
      </c>
      <c r="B850" s="1" t="n">
        <v>45225.96753472222</v>
      </c>
      <c r="C850" s="1" t="n">
        <v>45929</v>
      </c>
      <c r="D850" t="inlineStr">
        <is>
          <t>VÄSTERBOTTENS LÄN</t>
        </is>
      </c>
      <c r="E850" t="inlineStr">
        <is>
          <t>VILHELMINA</t>
        </is>
      </c>
      <c r="F850" t="inlineStr">
        <is>
          <t>SCA</t>
        </is>
      </c>
      <c r="G850" t="n">
        <v>10.4</v>
      </c>
      <c r="H850" t="n">
        <v>0</v>
      </c>
      <c r="I850" t="n">
        <v>0</v>
      </c>
      <c r="J850" t="n">
        <v>0</v>
      </c>
      <c r="K850" t="n">
        <v>0</v>
      </c>
      <c r="L850" t="n">
        <v>0</v>
      </c>
      <c r="M850" t="n">
        <v>0</v>
      </c>
      <c r="N850" t="n">
        <v>0</v>
      </c>
      <c r="O850" t="n">
        <v>0</v>
      </c>
      <c r="P850" t="n">
        <v>0</v>
      </c>
      <c r="Q850" t="n">
        <v>0</v>
      </c>
      <c r="R850" s="2" t="inlineStr"/>
    </row>
    <row r="851" ht="15" customHeight="1">
      <c r="A851" t="inlineStr">
        <is>
          <t>A 55326-2023</t>
        </is>
      </c>
      <c r="B851" s="1" t="n">
        <v>45237.97364583334</v>
      </c>
      <c r="C851" s="1" t="n">
        <v>45929</v>
      </c>
      <c r="D851" t="inlineStr">
        <is>
          <t>VÄSTERBOTTENS LÄN</t>
        </is>
      </c>
      <c r="E851" t="inlineStr">
        <is>
          <t>VILHELMINA</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27918-2022</t>
        </is>
      </c>
      <c r="B852" s="1" t="n">
        <v>44743.94145833333</v>
      </c>
      <c r="C852" s="1" t="n">
        <v>45929</v>
      </c>
      <c r="D852" t="inlineStr">
        <is>
          <t>VÄSTERBOTTENS LÄN</t>
        </is>
      </c>
      <c r="E852" t="inlineStr">
        <is>
          <t>VILHELMINA</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15805-2025</t>
        </is>
      </c>
      <c r="B853" s="1" t="n">
        <v>45748</v>
      </c>
      <c r="C853" s="1" t="n">
        <v>45929</v>
      </c>
      <c r="D853" t="inlineStr">
        <is>
          <t>VÄSTERBOTTENS LÄN</t>
        </is>
      </c>
      <c r="E853" t="inlineStr">
        <is>
          <t>VILHELMINA</t>
        </is>
      </c>
      <c r="G853" t="n">
        <v>1.4</v>
      </c>
      <c r="H853" t="n">
        <v>0</v>
      </c>
      <c r="I853" t="n">
        <v>0</v>
      </c>
      <c r="J853" t="n">
        <v>0</v>
      </c>
      <c r="K853" t="n">
        <v>0</v>
      </c>
      <c r="L853" t="n">
        <v>0</v>
      </c>
      <c r="M853" t="n">
        <v>0</v>
      </c>
      <c r="N853" t="n">
        <v>0</v>
      </c>
      <c r="O853" t="n">
        <v>0</v>
      </c>
      <c r="P853" t="n">
        <v>0</v>
      </c>
      <c r="Q853" t="n">
        <v>0</v>
      </c>
      <c r="R853" s="2" t="inlineStr"/>
    </row>
    <row r="854" ht="15" customHeight="1">
      <c r="A854" t="inlineStr">
        <is>
          <t>A 58833-2023</t>
        </is>
      </c>
      <c r="B854" s="1" t="n">
        <v>45248</v>
      </c>
      <c r="C854" s="1" t="n">
        <v>45929</v>
      </c>
      <c r="D854" t="inlineStr">
        <is>
          <t>VÄSTERBOTTENS LÄN</t>
        </is>
      </c>
      <c r="E854" t="inlineStr">
        <is>
          <t>VILHELMINA</t>
        </is>
      </c>
      <c r="G854" t="n">
        <v>1.5</v>
      </c>
      <c r="H854" t="n">
        <v>0</v>
      </c>
      <c r="I854" t="n">
        <v>0</v>
      </c>
      <c r="J854" t="n">
        <v>0</v>
      </c>
      <c r="K854" t="n">
        <v>0</v>
      </c>
      <c r="L854" t="n">
        <v>0</v>
      </c>
      <c r="M854" t="n">
        <v>0</v>
      </c>
      <c r="N854" t="n">
        <v>0</v>
      </c>
      <c r="O854" t="n">
        <v>0</v>
      </c>
      <c r="P854" t="n">
        <v>0</v>
      </c>
      <c r="Q854" t="n">
        <v>0</v>
      </c>
      <c r="R854" s="2" t="inlineStr"/>
    </row>
    <row r="855" ht="15" customHeight="1">
      <c r="A855" t="inlineStr">
        <is>
          <t>A 60035-2023</t>
        </is>
      </c>
      <c r="B855" s="1" t="n">
        <v>45254</v>
      </c>
      <c r="C855" s="1" t="n">
        <v>45929</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45672-2023</t>
        </is>
      </c>
      <c r="B856" s="1" t="n">
        <v>45194</v>
      </c>
      <c r="C856" s="1" t="n">
        <v>45929</v>
      </c>
      <c r="D856" t="inlineStr">
        <is>
          <t>VÄSTERBOTTENS LÄN</t>
        </is>
      </c>
      <c r="E856" t="inlineStr">
        <is>
          <t>VILHELMINA</t>
        </is>
      </c>
      <c r="G856" t="n">
        <v>1.5</v>
      </c>
      <c r="H856" t="n">
        <v>0</v>
      </c>
      <c r="I856" t="n">
        <v>0</v>
      </c>
      <c r="J856" t="n">
        <v>0</v>
      </c>
      <c r="K856" t="n">
        <v>0</v>
      </c>
      <c r="L856" t="n">
        <v>0</v>
      </c>
      <c r="M856" t="n">
        <v>0</v>
      </c>
      <c r="N856" t="n">
        <v>0</v>
      </c>
      <c r="O856" t="n">
        <v>0</v>
      </c>
      <c r="P856" t="n">
        <v>0</v>
      </c>
      <c r="Q856" t="n">
        <v>0</v>
      </c>
      <c r="R856" s="2" t="inlineStr"/>
    </row>
    <row r="857" ht="15" customHeight="1">
      <c r="A857" t="inlineStr">
        <is>
          <t>A 28486-2022</t>
        </is>
      </c>
      <c r="B857" s="1" t="n">
        <v>44747</v>
      </c>
      <c r="C857" s="1" t="n">
        <v>45929</v>
      </c>
      <c r="D857" t="inlineStr">
        <is>
          <t>VÄSTERBOTTENS LÄN</t>
        </is>
      </c>
      <c r="E857" t="inlineStr">
        <is>
          <t>VILHELMINA</t>
        </is>
      </c>
      <c r="F857" t="inlineStr">
        <is>
          <t>SCA</t>
        </is>
      </c>
      <c r="G857" t="n">
        <v>7.9</v>
      </c>
      <c r="H857" t="n">
        <v>0</v>
      </c>
      <c r="I857" t="n">
        <v>0</v>
      </c>
      <c r="J857" t="n">
        <v>0</v>
      </c>
      <c r="K857" t="n">
        <v>0</v>
      </c>
      <c r="L857" t="n">
        <v>0</v>
      </c>
      <c r="M857" t="n">
        <v>0</v>
      </c>
      <c r="N857" t="n">
        <v>0</v>
      </c>
      <c r="O857" t="n">
        <v>0</v>
      </c>
      <c r="P857" t="n">
        <v>0</v>
      </c>
      <c r="Q857" t="n">
        <v>0</v>
      </c>
      <c r="R857" s="2" t="inlineStr"/>
    </row>
    <row r="858" ht="15" customHeight="1">
      <c r="A858" t="inlineStr">
        <is>
          <t>A 26663-2023</t>
        </is>
      </c>
      <c r="B858" s="1" t="n">
        <v>45092.94042824074</v>
      </c>
      <c r="C858" s="1" t="n">
        <v>45929</v>
      </c>
      <c r="D858" t="inlineStr">
        <is>
          <t>VÄSTERBOTTENS LÄN</t>
        </is>
      </c>
      <c r="E858" t="inlineStr">
        <is>
          <t>VILHELMINA</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63877-2023</t>
        </is>
      </c>
      <c r="B859" s="1" t="n">
        <v>45278</v>
      </c>
      <c r="C859" s="1" t="n">
        <v>45929</v>
      </c>
      <c r="D859" t="inlineStr">
        <is>
          <t>VÄSTERBOTTENS LÄN</t>
        </is>
      </c>
      <c r="E859" t="inlineStr">
        <is>
          <t>VILHELMINA</t>
        </is>
      </c>
      <c r="G859" t="n">
        <v>1.2</v>
      </c>
      <c r="H859" t="n">
        <v>0</v>
      </c>
      <c r="I859" t="n">
        <v>0</v>
      </c>
      <c r="J859" t="n">
        <v>0</v>
      </c>
      <c r="K859" t="n">
        <v>0</v>
      </c>
      <c r="L859" t="n">
        <v>0</v>
      </c>
      <c r="M859" t="n">
        <v>0</v>
      </c>
      <c r="N859" t="n">
        <v>0</v>
      </c>
      <c r="O859" t="n">
        <v>0</v>
      </c>
      <c r="P859" t="n">
        <v>0</v>
      </c>
      <c r="Q859" t="n">
        <v>0</v>
      </c>
      <c r="R859" s="2" t="inlineStr"/>
    </row>
    <row r="860" ht="15" customHeight="1">
      <c r="A860" t="inlineStr">
        <is>
          <t>A 48472-2023</t>
        </is>
      </c>
      <c r="B860" s="1" t="n">
        <v>45206.95761574074</v>
      </c>
      <c r="C860" s="1" t="n">
        <v>45929</v>
      </c>
      <c r="D860" t="inlineStr">
        <is>
          <t>VÄSTERBOTTENS LÄN</t>
        </is>
      </c>
      <c r="E860" t="inlineStr">
        <is>
          <t>VILHELMINA</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43637-2023</t>
        </is>
      </c>
      <c r="B861" s="1" t="n">
        <v>45186.51590277778</v>
      </c>
      <c r="C861" s="1" t="n">
        <v>45929</v>
      </c>
      <c r="D861" t="inlineStr">
        <is>
          <t>VÄSTERBOTTENS LÄN</t>
        </is>
      </c>
      <c r="E861" t="inlineStr">
        <is>
          <t>VILHELMINA</t>
        </is>
      </c>
      <c r="G861" t="n">
        <v>3.3</v>
      </c>
      <c r="H861" t="n">
        <v>0</v>
      </c>
      <c r="I861" t="n">
        <v>0</v>
      </c>
      <c r="J861" t="n">
        <v>0</v>
      </c>
      <c r="K861" t="n">
        <v>0</v>
      </c>
      <c r="L861" t="n">
        <v>0</v>
      </c>
      <c r="M861" t="n">
        <v>0</v>
      </c>
      <c r="N861" t="n">
        <v>0</v>
      </c>
      <c r="O861" t="n">
        <v>0</v>
      </c>
      <c r="P861" t="n">
        <v>0</v>
      </c>
      <c r="Q861" t="n">
        <v>0</v>
      </c>
      <c r="R861" s="2" t="inlineStr"/>
    </row>
    <row r="862" ht="15" customHeight="1">
      <c r="A862" t="inlineStr">
        <is>
          <t>A 16608-2024</t>
        </is>
      </c>
      <c r="B862" s="1" t="n">
        <v>45408</v>
      </c>
      <c r="C862" s="1" t="n">
        <v>45929</v>
      </c>
      <c r="D862" t="inlineStr">
        <is>
          <t>VÄSTERBOTTENS LÄN</t>
        </is>
      </c>
      <c r="E862" t="inlineStr">
        <is>
          <t>VILHELMINA</t>
        </is>
      </c>
      <c r="G862" t="n">
        <v>17.5</v>
      </c>
      <c r="H862" t="n">
        <v>0</v>
      </c>
      <c r="I862" t="n">
        <v>0</v>
      </c>
      <c r="J862" t="n">
        <v>0</v>
      </c>
      <c r="K862" t="n">
        <v>0</v>
      </c>
      <c r="L862" t="n">
        <v>0</v>
      </c>
      <c r="M862" t="n">
        <v>0</v>
      </c>
      <c r="N862" t="n">
        <v>0</v>
      </c>
      <c r="O862" t="n">
        <v>0</v>
      </c>
      <c r="P862" t="n">
        <v>0</v>
      </c>
      <c r="Q862" t="n">
        <v>0</v>
      </c>
      <c r="R862" s="2" t="inlineStr"/>
    </row>
    <row r="863" ht="15" customHeight="1">
      <c r="A863" t="inlineStr">
        <is>
          <t>A 26381-2024</t>
        </is>
      </c>
      <c r="B863" s="1" t="n">
        <v>45469</v>
      </c>
      <c r="C863" s="1" t="n">
        <v>45929</v>
      </c>
      <c r="D863" t="inlineStr">
        <is>
          <t>VÄSTERBOTTENS LÄN</t>
        </is>
      </c>
      <c r="E863" t="inlineStr">
        <is>
          <t>VILHELMINA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47483-2023</t>
        </is>
      </c>
      <c r="B864" s="1" t="n">
        <v>45202.9413425926</v>
      </c>
      <c r="C864" s="1" t="n">
        <v>45929</v>
      </c>
      <c r="D864" t="inlineStr">
        <is>
          <t>VÄSTERBOTTENS LÄN</t>
        </is>
      </c>
      <c r="E864" t="inlineStr">
        <is>
          <t>VILHELMINA</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12990-2025</t>
        </is>
      </c>
      <c r="B865" s="1" t="n">
        <v>45734</v>
      </c>
      <c r="C865" s="1" t="n">
        <v>45929</v>
      </c>
      <c r="D865" t="inlineStr">
        <is>
          <t>VÄSTERBOTTENS LÄN</t>
        </is>
      </c>
      <c r="E865" t="inlineStr">
        <is>
          <t>VILHELMINA</t>
        </is>
      </c>
      <c r="G865" t="n">
        <v>11.2</v>
      </c>
      <c r="H865" t="n">
        <v>0</v>
      </c>
      <c r="I865" t="n">
        <v>0</v>
      </c>
      <c r="J865" t="n">
        <v>0</v>
      </c>
      <c r="K865" t="n">
        <v>0</v>
      </c>
      <c r="L865" t="n">
        <v>0</v>
      </c>
      <c r="M865" t="n">
        <v>0</v>
      </c>
      <c r="N865" t="n">
        <v>0</v>
      </c>
      <c r="O865" t="n">
        <v>0</v>
      </c>
      <c r="P865" t="n">
        <v>0</v>
      </c>
      <c r="Q865" t="n">
        <v>0</v>
      </c>
      <c r="R865" s="2" t="inlineStr"/>
    </row>
    <row r="866" ht="15" customHeight="1">
      <c r="A866" t="inlineStr">
        <is>
          <t>A 17186-2025</t>
        </is>
      </c>
      <c r="B866" s="1" t="n">
        <v>45756</v>
      </c>
      <c r="C866" s="1" t="n">
        <v>45929</v>
      </c>
      <c r="D866" t="inlineStr">
        <is>
          <t>VÄSTERBOTTENS LÄN</t>
        </is>
      </c>
      <c r="E866" t="inlineStr">
        <is>
          <t>VILHELMINA</t>
        </is>
      </c>
      <c r="F866" t="inlineStr">
        <is>
          <t>SCA</t>
        </is>
      </c>
      <c r="G866" t="n">
        <v>12.3</v>
      </c>
      <c r="H866" t="n">
        <v>0</v>
      </c>
      <c r="I866" t="n">
        <v>0</v>
      </c>
      <c r="J866" t="n">
        <v>0</v>
      </c>
      <c r="K866" t="n">
        <v>0</v>
      </c>
      <c r="L866" t="n">
        <v>0</v>
      </c>
      <c r="M866" t="n">
        <v>0</v>
      </c>
      <c r="N866" t="n">
        <v>0</v>
      </c>
      <c r="O866" t="n">
        <v>0</v>
      </c>
      <c r="P866" t="n">
        <v>0</v>
      </c>
      <c r="Q866" t="n">
        <v>0</v>
      </c>
      <c r="R866" s="2" t="inlineStr"/>
    </row>
    <row r="867" ht="15" customHeight="1">
      <c r="A867" t="inlineStr">
        <is>
          <t>A 17302-2025</t>
        </is>
      </c>
      <c r="B867" s="1" t="n">
        <v>45756</v>
      </c>
      <c r="C867" s="1" t="n">
        <v>45929</v>
      </c>
      <c r="D867" t="inlineStr">
        <is>
          <t>VÄSTERBOTTENS LÄN</t>
        </is>
      </c>
      <c r="E867" t="inlineStr">
        <is>
          <t>VILHELMINA</t>
        </is>
      </c>
      <c r="G867" t="n">
        <v>6.6</v>
      </c>
      <c r="H867" t="n">
        <v>0</v>
      </c>
      <c r="I867" t="n">
        <v>0</v>
      </c>
      <c r="J867" t="n">
        <v>0</v>
      </c>
      <c r="K867" t="n">
        <v>0</v>
      </c>
      <c r="L867" t="n">
        <v>0</v>
      </c>
      <c r="M867" t="n">
        <v>0</v>
      </c>
      <c r="N867" t="n">
        <v>0</v>
      </c>
      <c r="O867" t="n">
        <v>0</v>
      </c>
      <c r="P867" t="n">
        <v>0</v>
      </c>
      <c r="Q867" t="n">
        <v>0</v>
      </c>
      <c r="R867" s="2" t="inlineStr"/>
    </row>
    <row r="868" ht="15" customHeight="1">
      <c r="A868" t="inlineStr">
        <is>
          <t>A 17314-2025</t>
        </is>
      </c>
      <c r="B868" s="1" t="n">
        <v>45756</v>
      </c>
      <c r="C868" s="1" t="n">
        <v>45929</v>
      </c>
      <c r="D868" t="inlineStr">
        <is>
          <t>VÄSTERBOTTENS LÄN</t>
        </is>
      </c>
      <c r="E868" t="inlineStr">
        <is>
          <t>VILHELMINA</t>
        </is>
      </c>
      <c r="G868" t="n">
        <v>3.4</v>
      </c>
      <c r="H868" t="n">
        <v>0</v>
      </c>
      <c r="I868" t="n">
        <v>0</v>
      </c>
      <c r="J868" t="n">
        <v>0</v>
      </c>
      <c r="K868" t="n">
        <v>0</v>
      </c>
      <c r="L868" t="n">
        <v>0</v>
      </c>
      <c r="M868" t="n">
        <v>0</v>
      </c>
      <c r="N868" t="n">
        <v>0</v>
      </c>
      <c r="O868" t="n">
        <v>0</v>
      </c>
      <c r="P868" t="n">
        <v>0</v>
      </c>
      <c r="Q868" t="n">
        <v>0</v>
      </c>
      <c r="R868" s="2" t="inlineStr"/>
    </row>
    <row r="869" ht="15" customHeight="1">
      <c r="A869" t="inlineStr">
        <is>
          <t>A 8215-2023</t>
        </is>
      </c>
      <c r="B869" s="1" t="n">
        <v>44971</v>
      </c>
      <c r="C869" s="1" t="n">
        <v>45929</v>
      </c>
      <c r="D869" t="inlineStr">
        <is>
          <t>VÄSTERBOTTENS LÄN</t>
        </is>
      </c>
      <c r="E869" t="inlineStr">
        <is>
          <t>VILHELMINA</t>
        </is>
      </c>
      <c r="G869" t="n">
        <v>0.8</v>
      </c>
      <c r="H869" t="n">
        <v>0</v>
      </c>
      <c r="I869" t="n">
        <v>0</v>
      </c>
      <c r="J869" t="n">
        <v>0</v>
      </c>
      <c r="K869" t="n">
        <v>0</v>
      </c>
      <c r="L869" t="n">
        <v>0</v>
      </c>
      <c r="M869" t="n">
        <v>0</v>
      </c>
      <c r="N869" t="n">
        <v>0</v>
      </c>
      <c r="O869" t="n">
        <v>0</v>
      </c>
      <c r="P869" t="n">
        <v>0</v>
      </c>
      <c r="Q869" t="n">
        <v>0</v>
      </c>
      <c r="R869" s="2" t="inlineStr"/>
    </row>
    <row r="870" ht="15" customHeight="1">
      <c r="A870" t="inlineStr">
        <is>
          <t>A 48754-2021</t>
        </is>
      </c>
      <c r="B870" s="1" t="n">
        <v>44452</v>
      </c>
      <c r="C870" s="1" t="n">
        <v>45929</v>
      </c>
      <c r="D870" t="inlineStr">
        <is>
          <t>VÄSTERBOTTENS LÄN</t>
        </is>
      </c>
      <c r="E870" t="inlineStr">
        <is>
          <t>VILHELMINA</t>
        </is>
      </c>
      <c r="G870" t="n">
        <v>5.6</v>
      </c>
      <c r="H870" t="n">
        <v>0</v>
      </c>
      <c r="I870" t="n">
        <v>0</v>
      </c>
      <c r="J870" t="n">
        <v>0</v>
      </c>
      <c r="K870" t="n">
        <v>0</v>
      </c>
      <c r="L870" t="n">
        <v>0</v>
      </c>
      <c r="M870" t="n">
        <v>0</v>
      </c>
      <c r="N870" t="n">
        <v>0</v>
      </c>
      <c r="O870" t="n">
        <v>0</v>
      </c>
      <c r="P870" t="n">
        <v>0</v>
      </c>
      <c r="Q870" t="n">
        <v>0</v>
      </c>
      <c r="R870" s="2" t="inlineStr"/>
    </row>
    <row r="871" ht="15" customHeight="1">
      <c r="A871" t="inlineStr">
        <is>
          <t>A 48756-2021</t>
        </is>
      </c>
      <c r="B871" s="1" t="n">
        <v>44452</v>
      </c>
      <c r="C871" s="1" t="n">
        <v>45929</v>
      </c>
      <c r="D871" t="inlineStr">
        <is>
          <t>VÄSTERBOTTENS LÄN</t>
        </is>
      </c>
      <c r="E871" t="inlineStr">
        <is>
          <t>VILHELMINA</t>
        </is>
      </c>
      <c r="G871" t="n">
        <v>13.3</v>
      </c>
      <c r="H871" t="n">
        <v>0</v>
      </c>
      <c r="I871" t="n">
        <v>0</v>
      </c>
      <c r="J871" t="n">
        <v>0</v>
      </c>
      <c r="K871" t="n">
        <v>0</v>
      </c>
      <c r="L871" t="n">
        <v>0</v>
      </c>
      <c r="M871" t="n">
        <v>0</v>
      </c>
      <c r="N871" t="n">
        <v>0</v>
      </c>
      <c r="O871" t="n">
        <v>0</v>
      </c>
      <c r="P871" t="n">
        <v>0</v>
      </c>
      <c r="Q871" t="n">
        <v>0</v>
      </c>
      <c r="R871" s="2" t="inlineStr"/>
    </row>
    <row r="872" ht="15" customHeight="1">
      <c r="A872" t="inlineStr">
        <is>
          <t>A 20510-2024</t>
        </is>
      </c>
      <c r="B872" s="1" t="n">
        <v>45435.94324074074</v>
      </c>
      <c r="C872" s="1" t="n">
        <v>45929</v>
      </c>
      <c r="D872" t="inlineStr">
        <is>
          <t>VÄSTERBOTTENS LÄN</t>
        </is>
      </c>
      <c r="E872" t="inlineStr">
        <is>
          <t>VILHELMINA</t>
        </is>
      </c>
      <c r="F872" t="inlineStr">
        <is>
          <t>SCA</t>
        </is>
      </c>
      <c r="G872" t="n">
        <v>7.7</v>
      </c>
      <c r="H872" t="n">
        <v>0</v>
      </c>
      <c r="I872" t="n">
        <v>0</v>
      </c>
      <c r="J872" t="n">
        <v>0</v>
      </c>
      <c r="K872" t="n">
        <v>0</v>
      </c>
      <c r="L872" t="n">
        <v>0</v>
      </c>
      <c r="M872" t="n">
        <v>0</v>
      </c>
      <c r="N872" t="n">
        <v>0</v>
      </c>
      <c r="O872" t="n">
        <v>0</v>
      </c>
      <c r="P872" t="n">
        <v>0</v>
      </c>
      <c r="Q872" t="n">
        <v>0</v>
      </c>
      <c r="R872" s="2" t="inlineStr"/>
    </row>
    <row r="873" ht="15" customHeight="1">
      <c r="A873" t="inlineStr">
        <is>
          <t>A 20523-2024</t>
        </is>
      </c>
      <c r="B873" s="1" t="n">
        <v>45435.94553240741</v>
      </c>
      <c r="C873" s="1" t="n">
        <v>45929</v>
      </c>
      <c r="D873" t="inlineStr">
        <is>
          <t>VÄSTERBOTTENS LÄN</t>
        </is>
      </c>
      <c r="E873" t="inlineStr">
        <is>
          <t>VILHELMINA</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32455-2024</t>
        </is>
      </c>
      <c r="B874" s="1" t="n">
        <v>45512.95870370371</v>
      </c>
      <c r="C874" s="1" t="n">
        <v>45929</v>
      </c>
      <c r="D874" t="inlineStr">
        <is>
          <t>VÄSTERBOTTENS LÄN</t>
        </is>
      </c>
      <c r="E874" t="inlineStr">
        <is>
          <t>VILHELMINA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26553-2023</t>
        </is>
      </c>
      <c r="B875" s="1" t="n">
        <v>45089</v>
      </c>
      <c r="C875" s="1" t="n">
        <v>45929</v>
      </c>
      <c r="D875" t="inlineStr">
        <is>
          <t>VÄSTERBOTTENS LÄN</t>
        </is>
      </c>
      <c r="E875" t="inlineStr">
        <is>
          <t>VILHELMINA</t>
        </is>
      </c>
      <c r="G875" t="n">
        <v>5.5</v>
      </c>
      <c r="H875" t="n">
        <v>0</v>
      </c>
      <c r="I875" t="n">
        <v>0</v>
      </c>
      <c r="J875" t="n">
        <v>0</v>
      </c>
      <c r="K875" t="n">
        <v>0</v>
      </c>
      <c r="L875" t="n">
        <v>0</v>
      </c>
      <c r="M875" t="n">
        <v>0</v>
      </c>
      <c r="N875" t="n">
        <v>0</v>
      </c>
      <c r="O875" t="n">
        <v>0</v>
      </c>
      <c r="P875" t="n">
        <v>0</v>
      </c>
      <c r="Q875" t="n">
        <v>0</v>
      </c>
      <c r="R875" s="2" t="inlineStr"/>
    </row>
    <row r="876" ht="15" customHeight="1">
      <c r="A876" t="inlineStr">
        <is>
          <t>A 41484-2022</t>
        </is>
      </c>
      <c r="B876" s="1" t="n">
        <v>44826</v>
      </c>
      <c r="C876" s="1" t="n">
        <v>45929</v>
      </c>
      <c r="D876" t="inlineStr">
        <is>
          <t>VÄSTERBOTTENS LÄN</t>
        </is>
      </c>
      <c r="E876" t="inlineStr">
        <is>
          <t>VILHELMINA</t>
        </is>
      </c>
      <c r="F876" t="inlineStr">
        <is>
          <t>SCA</t>
        </is>
      </c>
      <c r="G876" t="n">
        <v>18.1</v>
      </c>
      <c r="H876" t="n">
        <v>0</v>
      </c>
      <c r="I876" t="n">
        <v>0</v>
      </c>
      <c r="J876" t="n">
        <v>0</v>
      </c>
      <c r="K876" t="n">
        <v>0</v>
      </c>
      <c r="L876" t="n">
        <v>0</v>
      </c>
      <c r="M876" t="n">
        <v>0</v>
      </c>
      <c r="N876" t="n">
        <v>0</v>
      </c>
      <c r="O876" t="n">
        <v>0</v>
      </c>
      <c r="P876" t="n">
        <v>0</v>
      </c>
      <c r="Q876" t="n">
        <v>0</v>
      </c>
      <c r="R876" s="2" t="inlineStr"/>
    </row>
    <row r="877" ht="15" customHeight="1">
      <c r="A877" t="inlineStr">
        <is>
          <t>A 47253-2022</t>
        </is>
      </c>
      <c r="B877" s="1" t="n">
        <v>44852</v>
      </c>
      <c r="C877" s="1" t="n">
        <v>45929</v>
      </c>
      <c r="D877" t="inlineStr">
        <is>
          <t>VÄSTERBOTTENS LÄN</t>
        </is>
      </c>
      <c r="E877" t="inlineStr">
        <is>
          <t>VILHELMINA</t>
        </is>
      </c>
      <c r="F877" t="inlineStr">
        <is>
          <t>SCA</t>
        </is>
      </c>
      <c r="G877" t="n">
        <v>0.3</v>
      </c>
      <c r="H877" t="n">
        <v>0</v>
      </c>
      <c r="I877" t="n">
        <v>0</v>
      </c>
      <c r="J877" t="n">
        <v>0</v>
      </c>
      <c r="K877" t="n">
        <v>0</v>
      </c>
      <c r="L877" t="n">
        <v>0</v>
      </c>
      <c r="M877" t="n">
        <v>0</v>
      </c>
      <c r="N877" t="n">
        <v>0</v>
      </c>
      <c r="O877" t="n">
        <v>0</v>
      </c>
      <c r="P877" t="n">
        <v>0</v>
      </c>
      <c r="Q877" t="n">
        <v>0</v>
      </c>
      <c r="R877" s="2" t="inlineStr"/>
    </row>
    <row r="878" ht="15" customHeight="1">
      <c r="A878" t="inlineStr">
        <is>
          <t>A 47011-2024</t>
        </is>
      </c>
      <c r="B878" s="1" t="n">
        <v>45586.38592592593</v>
      </c>
      <c r="C878" s="1" t="n">
        <v>45929</v>
      </c>
      <c r="D878" t="inlineStr">
        <is>
          <t>VÄSTERBOTTENS LÄN</t>
        </is>
      </c>
      <c r="E878" t="inlineStr">
        <is>
          <t>VILHELMINA</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35412-2024</t>
        </is>
      </c>
      <c r="B879" s="1" t="n">
        <v>45531.4075</v>
      </c>
      <c r="C879" s="1" t="n">
        <v>45929</v>
      </c>
      <c r="D879" t="inlineStr">
        <is>
          <t>VÄSTERBOTTENS LÄN</t>
        </is>
      </c>
      <c r="E879" t="inlineStr">
        <is>
          <t>VILHELMINA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14961-2022</t>
        </is>
      </c>
      <c r="B880" s="1" t="n">
        <v>44657</v>
      </c>
      <c r="C880" s="1" t="n">
        <v>45929</v>
      </c>
      <c r="D880" t="inlineStr">
        <is>
          <t>VÄSTERBOTTENS LÄN</t>
        </is>
      </c>
      <c r="E880" t="inlineStr">
        <is>
          <t>VILHELMINA</t>
        </is>
      </c>
      <c r="G880" t="n">
        <v>19.9</v>
      </c>
      <c r="H880" t="n">
        <v>0</v>
      </c>
      <c r="I880" t="n">
        <v>0</v>
      </c>
      <c r="J880" t="n">
        <v>0</v>
      </c>
      <c r="K880" t="n">
        <v>0</v>
      </c>
      <c r="L880" t="n">
        <v>0</v>
      </c>
      <c r="M880" t="n">
        <v>0</v>
      </c>
      <c r="N880" t="n">
        <v>0</v>
      </c>
      <c r="O880" t="n">
        <v>0</v>
      </c>
      <c r="P880" t="n">
        <v>0</v>
      </c>
      <c r="Q880" t="n">
        <v>0</v>
      </c>
      <c r="R880" s="2" t="inlineStr"/>
    </row>
    <row r="881" ht="15" customHeight="1">
      <c r="A881" t="inlineStr">
        <is>
          <t>A 44634-2024</t>
        </is>
      </c>
      <c r="B881" s="1" t="n">
        <v>45574</v>
      </c>
      <c r="C881" s="1" t="n">
        <v>45929</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66952-2021</t>
        </is>
      </c>
      <c r="B882" s="1" t="n">
        <v>44522</v>
      </c>
      <c r="C882" s="1" t="n">
        <v>45929</v>
      </c>
      <c r="D882" t="inlineStr">
        <is>
          <t>VÄSTERBOTTENS LÄN</t>
        </is>
      </c>
      <c r="E882" t="inlineStr">
        <is>
          <t>VILHELMINA</t>
        </is>
      </c>
      <c r="F882" t="inlineStr">
        <is>
          <t>Allmännings- och besparingsskogar</t>
        </is>
      </c>
      <c r="G882" t="n">
        <v>70</v>
      </c>
      <c r="H882" t="n">
        <v>0</v>
      </c>
      <c r="I882" t="n">
        <v>0</v>
      </c>
      <c r="J882" t="n">
        <v>0</v>
      </c>
      <c r="K882" t="n">
        <v>0</v>
      </c>
      <c r="L882" t="n">
        <v>0</v>
      </c>
      <c r="M882" t="n">
        <v>0</v>
      </c>
      <c r="N882" t="n">
        <v>0</v>
      </c>
      <c r="O882" t="n">
        <v>0</v>
      </c>
      <c r="P882" t="n">
        <v>0</v>
      </c>
      <c r="Q882" t="n">
        <v>0</v>
      </c>
      <c r="R882" s="2" t="inlineStr"/>
    </row>
    <row r="883" ht="15" customHeight="1">
      <c r="A883" t="inlineStr">
        <is>
          <t>A 3096-2021</t>
        </is>
      </c>
      <c r="B883" s="1" t="n">
        <v>44216.93865740741</v>
      </c>
      <c r="C883" s="1" t="n">
        <v>45929</v>
      </c>
      <c r="D883" t="inlineStr">
        <is>
          <t>VÄSTERBOTTENS LÄN</t>
        </is>
      </c>
      <c r="E883" t="inlineStr">
        <is>
          <t>VILHELMINA</t>
        </is>
      </c>
      <c r="F883" t="inlineStr">
        <is>
          <t>SCA</t>
        </is>
      </c>
      <c r="G883" t="n">
        <v>1.1</v>
      </c>
      <c r="H883" t="n">
        <v>0</v>
      </c>
      <c r="I883" t="n">
        <v>0</v>
      </c>
      <c r="J883" t="n">
        <v>0</v>
      </c>
      <c r="K883" t="n">
        <v>0</v>
      </c>
      <c r="L883" t="n">
        <v>0</v>
      </c>
      <c r="M883" t="n">
        <v>0</v>
      </c>
      <c r="N883" t="n">
        <v>0</v>
      </c>
      <c r="O883" t="n">
        <v>0</v>
      </c>
      <c r="P883" t="n">
        <v>0</v>
      </c>
      <c r="Q883" t="n">
        <v>0</v>
      </c>
      <c r="R883" s="2" t="inlineStr"/>
    </row>
    <row r="884">
      <c r="A884" t="inlineStr">
        <is>
          <t>A 26000-2023</t>
        </is>
      </c>
      <c r="B884" s="1" t="n">
        <v>45090</v>
      </c>
      <c r="C884" s="1" t="n">
        <v>45929</v>
      </c>
      <c r="D884" t="inlineStr">
        <is>
          <t>VÄSTERBOTTENS LÄN</t>
        </is>
      </c>
      <c r="E884" t="inlineStr">
        <is>
          <t>VILHELMINA</t>
        </is>
      </c>
      <c r="F884" t="inlineStr">
        <is>
          <t>SCA</t>
        </is>
      </c>
      <c r="G884" t="n">
        <v>2.8</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2025-09-29T12:17:47Z</dcterms:created>
  <dcterms:modified xmlns:dcterms="http://purl.org/dc/terms/" xmlns:xsi="http://www.w3.org/2001/XMLSchema-instance" xsi:type="dcterms:W3CDTF">2025-09-29T12:17:48Z</dcterms:modified>
</cp:coreProperties>
</file>