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45354</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45354</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45354</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45354</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45354</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45354</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45354</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45354</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45354</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45354</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45354</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45354</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45354</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45354</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45354</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45354</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45354</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45354</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45354</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45354</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45354</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45354</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45354</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45354</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45354</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45354</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45354</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45354</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45354</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45354</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45354</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45354</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45354</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45354</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45354</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48248-2023</t>
        </is>
      </c>
      <c r="B38" s="1" t="n">
        <v>45201</v>
      </c>
      <c r="C38" s="1" t="n">
        <v>45354</v>
      </c>
      <c r="D38" t="inlineStr">
        <is>
          <t>VÄSTERBOTTENS LÄN</t>
        </is>
      </c>
      <c r="E38" t="inlineStr">
        <is>
          <t>VILHELMINA</t>
        </is>
      </c>
      <c r="F38" t="inlineStr">
        <is>
          <t>Allmännings- och besparingsskogar</t>
        </is>
      </c>
      <c r="G38" t="n">
        <v>34.2</v>
      </c>
      <c r="H38" t="n">
        <v>4</v>
      </c>
      <c r="I38" t="n">
        <v>3</v>
      </c>
      <c r="J38" t="n">
        <v>11</v>
      </c>
      <c r="K38" t="n">
        <v>0</v>
      </c>
      <c r="L38" t="n">
        <v>0</v>
      </c>
      <c r="M38" t="n">
        <v>0</v>
      </c>
      <c r="N38" t="n">
        <v>0</v>
      </c>
      <c r="O38" t="n">
        <v>11</v>
      </c>
      <c r="P38" t="n">
        <v>0</v>
      </c>
      <c r="Q38" t="n">
        <v>15</v>
      </c>
      <c r="R38" s="2" t="inlineStr">
        <is>
          <t>Garnlav
Granticka
Järpe
Liten svartspik
Lunglav
Rödbrun blekspik
Skrovellav
Talltita
Tretåig hackspett
Vitgrynig nållav
Vitskaftad svartspik
Bårdlav
Gulnål
Stuplav
Tjäder</t>
        </is>
      </c>
      <c r="S38">
        <f>HYPERLINK("https://klasma.github.io/Logging_2462/artfynd/A 48248-2023 artfynd.xlsx", "A 48248-2023")</f>
        <v/>
      </c>
      <c r="T38">
        <f>HYPERLINK("https://klasma.github.io/Logging_2462/kartor/A 48248-2023 karta.png", "A 48248-2023")</f>
        <v/>
      </c>
      <c r="V38">
        <f>HYPERLINK("https://klasma.github.io/Logging_2462/klagomål/A 48248-2023 FSC-klagomål.docx", "A 48248-2023")</f>
        <v/>
      </c>
      <c r="W38">
        <f>HYPERLINK("https://klasma.github.io/Logging_2462/klagomålsmail/A 48248-2023 FSC-klagomål mail.docx", "A 48248-2023")</f>
        <v/>
      </c>
      <c r="X38">
        <f>HYPERLINK("https://klasma.github.io/Logging_2462/tillsyn/A 48248-2023 tillsynsbegäran.docx", "A 48248-2023")</f>
        <v/>
      </c>
      <c r="Y38">
        <f>HYPERLINK("https://klasma.github.io/Logging_2462/tillsynsmail/A 48248-2023 tillsynsbegäran mail.docx", "A 48248-2023")</f>
        <v/>
      </c>
      <c r="Z38">
        <f>HYPERLINK("https://klasma.github.io/Logging_2462/fåglar/A 48248-2023 prioriterade fågelarter.docx", "A 48248-2023")</f>
        <v/>
      </c>
    </row>
    <row r="39" ht="15" customHeight="1">
      <c r="A39" t="inlineStr">
        <is>
          <t>A 45775-2022</t>
        </is>
      </c>
      <c r="B39" s="1" t="n">
        <v>44838</v>
      </c>
      <c r="C39" s="1" t="n">
        <v>45354</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45354</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45354</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45354</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45354</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45354</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45354</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45354</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45354</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45354</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45354</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45354</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45354</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45354</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45354</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45354</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45354</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45354</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45354</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45354</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45354</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45354</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45354</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45354</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45354</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45354</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45354</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45354</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45354</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45354</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45354</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45354</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45354</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45354</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45354</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45354</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45354</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45354</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45354</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45354</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45354</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45354</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45354</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45354</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45354</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45354</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45354</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45354</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45354</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45354</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45354</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45354</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45354</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45354</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45354</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45354</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45354</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45354</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45354</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45354</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45354</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45354</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45354</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45354</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45354</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45354</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45354</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45354</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45354</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45354</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45354</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45354</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45354</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45354</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45354</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45354</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45354</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45354</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45354</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45354</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45354</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45354</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45354</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45354</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45354</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45354</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45354</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45354</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45354</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45354</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45354</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45354</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45354</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45354</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45354</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45354</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45354</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45354</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45354</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45354</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45354</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45354</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45354</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45354</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45354</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45354</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45354</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45354</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45354</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45354</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45354</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45354</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45354</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45354</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45354</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45354</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45354</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45354</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45354</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45354</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45354</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45354</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45354</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45354</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45354</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45354</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45354</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45354</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45354</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45354</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45354</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45354</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45354</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45354</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45354</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45354</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45354</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45354</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45354</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45354</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45354</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45354</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45354</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45354</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45354</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45354</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45354</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45354</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45354</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45354</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45354</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45354</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45354</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45354</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45354</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45354</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45354</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45354</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45354</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45354</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45354</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45354</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45354</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45354</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45354</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45354</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45354</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45354</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45354</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45354</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45354</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45354</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45354</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45354</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45354</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45354</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45354</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45354</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45354</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45354</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45354</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45354</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45354</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45354</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45354</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45354</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45354</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45354</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45354</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45354</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45354</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45354</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45354</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45354</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45354</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45354</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45354</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45354</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45354</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45354</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45354</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45354</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45354</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45354</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45354</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45354</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45354</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45354</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45354</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45354</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45354</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45354</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45354</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45354</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45354</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45354</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45354</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45354</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45354</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45354</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45354</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45354</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45354</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45354</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45354</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45354</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45354</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45354</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45354</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45354</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45354</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45354</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45354</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45354</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45354</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45354</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45354</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45354</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45354</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45354</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45354</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45354</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45354</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45354</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45354</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45354</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45354</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45354</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45354</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45354</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45354</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45354</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45354</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45354</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45354</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45354</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45354</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45354</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45354</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45354</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45354</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45354</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45354</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45354</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45354</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45354</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45354</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45354</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45354</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45354</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45354</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45354</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45354</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45354</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45354</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45354</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45354</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45354</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45354</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45354</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45354</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45354</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45354</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45354</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45354</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45354</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45354</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45354</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45354</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45354</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45354</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45354</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45354</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45354</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45354</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45354</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45354</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45354</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45354</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45354</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45354</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45354</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45354</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45354</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45354</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45354</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45354</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45354</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45354</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45354</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45354</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45354</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45354</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45354</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45354</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45354</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45354</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45354</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45354</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45354</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45354</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45354</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45354</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45354</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45354</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45354</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45354</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45354</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45354</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45354</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45354</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45354</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45354</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45354</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45354</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45354</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45354</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45354</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45354</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45354</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45354</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45354</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45354</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45354</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45354</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45354</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45354</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45354</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45354</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45354</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45354</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45354</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45354</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45354</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45354</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45354</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45354</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45354</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45354</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45354</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45354</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45354</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45354</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45354</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45354</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45354</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45354</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45354</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45354</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45354</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45354</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45354</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45354</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45354</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45354</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45354</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45354</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45354</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45354</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45354</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45354</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45354</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45354</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45354</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45354</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45354</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45354</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45354</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45354</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45354</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45354</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45354</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45354</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45354</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45354</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45354</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45354</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45354</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45354</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45354</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45354</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45354</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45354</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45354</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45354</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45354</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45354</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45354</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45354</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45354</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45354</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45354</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45354</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45354</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45354</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45354</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45354</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45354</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45354</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45354</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45354</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45354</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45354</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45354</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45354</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45354</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45354</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45354</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45354</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45354</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45354</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45354</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45354</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45354</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45354</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45354</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45354</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45354</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45354</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45354</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45354</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45354</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45354</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45354</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45354</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45354</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45354</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45354</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45354</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45354</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45354</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45354</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45354</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45354</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45354</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45354</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45354</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45354</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45354</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45354</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45354</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45354</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45354</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45354</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45354</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45354</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45354</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45354</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45354</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45354</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45354</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45354</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45354</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45354</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45354</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45354</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45354</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45354</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45354</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45354</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45354</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45354</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45354</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45354</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45354</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45354</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45354</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45354</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45354</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45354</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45354</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45354</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45354</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45354</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45354</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45354</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45354</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45354</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45354</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45354</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45354</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45354</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45354</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45354</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45354</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45354</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45354</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45354</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45354</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45354</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45354</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45354</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45354</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45354</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45354</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45354</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45354</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45354</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45354</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45354</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45354</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45354</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45354</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45354</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45354</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45354</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45354</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45354</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45354</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45354</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45354</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45354</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45354</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45354</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45354</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45354</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45354</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45354</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45354</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45354</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45354</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45354</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45354</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45354</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45354</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45354</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45354</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45354</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45354</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45354</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45354</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45354</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45354</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45354</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45354</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45354</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45354</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45354</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45354</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45354</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45354</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45354</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45354</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45354</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45354</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45354</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45354</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45354</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45354</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45354</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45354</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45354</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45354</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45354</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45354</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45354</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45354</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45354</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45354</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45354</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45354</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45354</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45354</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45354</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45354</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45354</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45354</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45354</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45354</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45354</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45354</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45354</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45354</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45354</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45354</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45354</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45354</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45354</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45354</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45354</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45354</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45354</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45354</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45354</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45354</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45354</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45354</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45354</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45354</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45354</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45354</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45354</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45354</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45354</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45354</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45354</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45354</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45354</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45354</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45354</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45354</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45354</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45354</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45354</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45354</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45354</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45354</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45354</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45354</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45354</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45354</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45354</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45354</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45354</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45354</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45354</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45354</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45354</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45354</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45354</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45354</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45354</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45354</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45354</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45354</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45354</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45354</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45354</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45354</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45354</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45354</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45354</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45354</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45354</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45354</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45354</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45354</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45354</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45354</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45354</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45354</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45354</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45354</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45354</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45354</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45354</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45354</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45354</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45354</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45354</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45354</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45354</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45354</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45354</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45354</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45354</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45354</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45354</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45354</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45354</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45354</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45354</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45354</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45354</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45354</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45354</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45354</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45354</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45354</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45354</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45354</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45354</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45354</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45354</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45354</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45354</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45354</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45354</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45354</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45354</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45354</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45354</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45354</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45354</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45354</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45354</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45354</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45354</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45354</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45354</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45354</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45354</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45354</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45354</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45354</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45354</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45354</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45354</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45354</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45354</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45354</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45354</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45354</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45354</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45354</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45354</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45354</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45354</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45354</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45354</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45354</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45354</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45354</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45354</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45354</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45354</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45354</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45354</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45354</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45354</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45354</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45354</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45354</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45354</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45354</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45354</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45354</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45354</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45354</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45354</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45354</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45354</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45354</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45354</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45354</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45354</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45354</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45354</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45354</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45354</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45354</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45354</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45354</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45354</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45354</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45354</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45354</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45354</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45354</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45354</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45354</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45354</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45354</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45354</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45354</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45354</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45354</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45354</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45354</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45354</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45354</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45354</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45354</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45354</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45354</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45354</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45354</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45354</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45354</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45354</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45354</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45354</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45354</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45354</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45354</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45354</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45354</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45354</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45354</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45354</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45354</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45354</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45354</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45354</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45354</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45354</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45354</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45354</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45354</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45354</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45354</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45354</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45354</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45354</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45354</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45354</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45354</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45354</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45354</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45354</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45354</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45354</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45354</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45354</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45354</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45354</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45354</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45354</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45354</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45354</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45354</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45354</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45354</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45354</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45354</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45354</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45354</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45354</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45354</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45354</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45354</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45354</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45354</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45354</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45354</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45354</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45354</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45354</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45354</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45354</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45354</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45354</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45354</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45354</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45354</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45354</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45354</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45354</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45354</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45354</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45354</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45354</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45354</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45354</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45354</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45354</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45354</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45354</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45354</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45354</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45354</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45354</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45354</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45354</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45354</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45354</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45354</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45354</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45354</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45354</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45354</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45354</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45354</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45354</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45354</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45354</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45354</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45354</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45354</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45354</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45354</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45354</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45354</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45354</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45354</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45354</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45354</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45354</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45354</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45354</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45354</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45354</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45354</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45354</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45354</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45354</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45354</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45354</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45354</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45354</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45354</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45354</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45354</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45354</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45354</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45354</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45354</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45354</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45354</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45354</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45354</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45354</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45354</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45354</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45354</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45354</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45354</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45354</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45354</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45354</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45354</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45354</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45354</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45354</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45354</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45354</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45354</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45354</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45354</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45354</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45354</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45354</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45354</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45354</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45354</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45354</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45354</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45354</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45354</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45354</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45354</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45354</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45354</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45354</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45354</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45354</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45354</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45354</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45354</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45354</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45354</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45354</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45354</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45354</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45354</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45354</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45354</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45354</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45354</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45354</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45354</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45354</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45354</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45354</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45354</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45354</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45354</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45354</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45354</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45354</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45354</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45354</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45354</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45354</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45354</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45354</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45354</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45354</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45354</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45354</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45354</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45354</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45354</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45354</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45354</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45354</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45354</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45354</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45354</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45354</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45354</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45354</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45354</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45354</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45354</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45354</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45354</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45354</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45354</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45354</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45354</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45354</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45354</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45354</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45354</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45354</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45354</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45354</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45354</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45354</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45354</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45354</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45354</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45354</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45354</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45354</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45354</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45354</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45354</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45354</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45354</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45354</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45354</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45354</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45354</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45354</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45354</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45354</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45354</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45354</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45354</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45354</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45354</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6358-2024</t>
        </is>
      </c>
      <c r="B1082" s="1" t="n">
        <v>45338</v>
      </c>
      <c r="C1082" s="1" t="n">
        <v>45354</v>
      </c>
      <c r="D1082" t="inlineStr">
        <is>
          <t>VÄSTERBOTTENS LÄN</t>
        </is>
      </c>
      <c r="E1082" t="inlineStr">
        <is>
          <t>VILHELMINA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6369-2024</t>
        </is>
      </c>
      <c r="B1083" s="1" t="n">
        <v>45338</v>
      </c>
      <c r="C1083" s="1" t="n">
        <v>45354</v>
      </c>
      <c r="D1083" t="inlineStr">
        <is>
          <t>VÄSTERBOTTENS LÄN</t>
        </is>
      </c>
      <c r="E1083" t="inlineStr">
        <is>
          <t>VILHELMINA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45354</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45354</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7777-2024</t>
        </is>
      </c>
      <c r="B1086" s="1" t="n">
        <v>45349</v>
      </c>
      <c r="C1086" s="1" t="n">
        <v>45354</v>
      </c>
      <c r="D1086" t="inlineStr">
        <is>
          <t>VÄSTERBOTTENS LÄN</t>
        </is>
      </c>
      <c r="E1086" t="inlineStr">
        <is>
          <t>VILHELMINA</t>
        </is>
      </c>
      <c r="G1086" t="n">
        <v>7</v>
      </c>
      <c r="H1086" t="n">
        <v>0</v>
      </c>
      <c r="I1086" t="n">
        <v>0</v>
      </c>
      <c r="J1086" t="n">
        <v>0</v>
      </c>
      <c r="K1086" t="n">
        <v>0</v>
      </c>
      <c r="L1086" t="n">
        <v>0</v>
      </c>
      <c r="M1086" t="n">
        <v>0</v>
      </c>
      <c r="N1086" t="n">
        <v>0</v>
      </c>
      <c r="O1086" t="n">
        <v>0</v>
      </c>
      <c r="P1086" t="n">
        <v>0</v>
      </c>
      <c r="Q1086" t="n">
        <v>0</v>
      </c>
      <c r="R1086" s="2" t="inlineStr"/>
    </row>
    <row r="1087">
      <c r="A1087" t="inlineStr">
        <is>
          <t>A 7762-2024</t>
        </is>
      </c>
      <c r="B1087" s="1" t="n">
        <v>45349</v>
      </c>
      <c r="C1087" s="1" t="n">
        <v>45354</v>
      </c>
      <c r="D1087" t="inlineStr">
        <is>
          <t>VÄSTERBOTTENS LÄN</t>
        </is>
      </c>
      <c r="E1087" t="inlineStr">
        <is>
          <t>VILHELMINA</t>
        </is>
      </c>
      <c r="G1087" t="n">
        <v>4.8</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2024-03-03T12:56:52Z</dcterms:created>
  <dcterms:modified xmlns:dcterms="http://purl.org/dc/terms/" xmlns:xsi="http://www.w3.org/2001/XMLSchema-instance" xsi:type="dcterms:W3CDTF">2024-03-03T12:56:53Z</dcterms:modified>
</cp:coreProperties>
</file>