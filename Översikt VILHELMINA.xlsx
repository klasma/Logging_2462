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45628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45628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45628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45628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45628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45628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45628</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45628</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45628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45628</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45628</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45628</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45628</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45628</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45628</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45628</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51906-2019</t>
        </is>
      </c>
      <c r="B21" s="1" t="n">
        <v>43741</v>
      </c>
      <c r="C21" s="1" t="n">
        <v>45628</v>
      </c>
      <c r="D21" t="inlineStr">
        <is>
          <t>VÄSTERBOTTENS LÄN</t>
        </is>
      </c>
      <c r="E21" t="inlineStr">
        <is>
          <t>VILHELMINA</t>
        </is>
      </c>
      <c r="F21" t="inlineStr">
        <is>
          <t>Allmännings- och besparingsskogar</t>
        </is>
      </c>
      <c r="G21" t="n">
        <v>20</v>
      </c>
      <c r="H21" t="n">
        <v>1</v>
      </c>
      <c r="I21" t="n">
        <v>5</v>
      </c>
      <c r="J21" t="n">
        <v>12</v>
      </c>
      <c r="K21" t="n">
        <v>6</v>
      </c>
      <c r="L21" t="n">
        <v>0</v>
      </c>
      <c r="M21" t="n">
        <v>0</v>
      </c>
      <c r="N21" t="n">
        <v>0</v>
      </c>
      <c r="O21" t="n">
        <v>18</v>
      </c>
      <c r="P21" t="n">
        <v>6</v>
      </c>
      <c r="Q21" t="n">
        <v>23</v>
      </c>
      <c r="R2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1">
        <f>HYPERLINK("https://klasma.github.io/Logging_2462/artfynd/A 51906-2019 artfynd.xlsx", "A 51906-2019")</f>
        <v/>
      </c>
      <c r="T21">
        <f>HYPERLINK("https://klasma.github.io/Logging_2462/kartor/A 51906-2019 karta.png", "A 51906-2019")</f>
        <v/>
      </c>
      <c r="V21">
        <f>HYPERLINK("https://klasma.github.io/Logging_2462/klagomål/A 51906-2019 FSC-klagomål.docx", "A 51906-2019")</f>
        <v/>
      </c>
      <c r="W21">
        <f>HYPERLINK("https://klasma.github.io/Logging_2462/klagomålsmail/A 51906-2019 FSC-klagomål mail.docx", "A 51906-2019")</f>
        <v/>
      </c>
      <c r="X21">
        <f>HYPERLINK("https://klasma.github.io/Logging_2462/tillsyn/A 51906-2019 tillsynsbegäran.docx", "A 51906-2019")</f>
        <v/>
      </c>
      <c r="Y21">
        <f>HYPERLINK("https://klasma.github.io/Logging_2462/tillsynsmail/A 51906-2019 tillsynsbegäran mail.docx", "A 51906-2019")</f>
        <v/>
      </c>
      <c r="Z21">
        <f>HYPERLINK("https://klasma.github.io/Logging_2462/fåglar/A 51906-2019 prioriterade fågelarter.docx", "A 51906-2019")</f>
        <v/>
      </c>
    </row>
    <row r="22" ht="15" customHeight="1">
      <c r="A22" t="inlineStr">
        <is>
          <t>A 63165-2020</t>
        </is>
      </c>
      <c r="B22" s="1" t="n">
        <v>44162</v>
      </c>
      <c r="C22" s="1" t="n">
        <v>45628</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6982-2023</t>
        </is>
      </c>
      <c r="B23" s="1" t="n">
        <v>44964</v>
      </c>
      <c r="C23" s="1" t="n">
        <v>45628</v>
      </c>
      <c r="D23" t="inlineStr">
        <is>
          <t>VÄSTERBOTTENS LÄN</t>
        </is>
      </c>
      <c r="E23" t="inlineStr">
        <is>
          <t>VILHELMINA</t>
        </is>
      </c>
      <c r="F23" t="inlineStr">
        <is>
          <t>Allmännings- och besparingsskogar</t>
        </is>
      </c>
      <c r="G23" t="n">
        <v>24.7</v>
      </c>
      <c r="H23" t="n">
        <v>3</v>
      </c>
      <c r="I23" t="n">
        <v>4</v>
      </c>
      <c r="J23" t="n">
        <v>17</v>
      </c>
      <c r="K23" t="n">
        <v>2</v>
      </c>
      <c r="L23" t="n">
        <v>0</v>
      </c>
      <c r="M23" t="n">
        <v>0</v>
      </c>
      <c r="N23" t="n">
        <v>0</v>
      </c>
      <c r="O23" t="n">
        <v>19</v>
      </c>
      <c r="P23" t="n">
        <v>2</v>
      </c>
      <c r="Q23" t="n">
        <v>23</v>
      </c>
      <c r="R23"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3">
        <f>HYPERLINK("https://klasma.github.io/Logging_2462/artfynd/A 6982-2023 artfynd.xlsx", "A 6982-2023")</f>
        <v/>
      </c>
      <c r="T23">
        <f>HYPERLINK("https://klasma.github.io/Logging_2462/kartor/A 6982-2023 karta.png", "A 6982-2023")</f>
        <v/>
      </c>
      <c r="V23">
        <f>HYPERLINK("https://klasma.github.io/Logging_2462/klagomål/A 6982-2023 FSC-klagomål.docx", "A 6982-2023")</f>
        <v/>
      </c>
      <c r="W23">
        <f>HYPERLINK("https://klasma.github.io/Logging_2462/klagomålsmail/A 6982-2023 FSC-klagomål mail.docx", "A 6982-2023")</f>
        <v/>
      </c>
      <c r="X23">
        <f>HYPERLINK("https://klasma.github.io/Logging_2462/tillsyn/A 6982-2023 tillsynsbegäran.docx", "A 6982-2023")</f>
        <v/>
      </c>
      <c r="Y23">
        <f>HYPERLINK("https://klasma.github.io/Logging_2462/tillsynsmail/A 6982-2023 tillsynsbegäran mail.docx", "A 6982-2023")</f>
        <v/>
      </c>
      <c r="Z23">
        <f>HYPERLINK("https://klasma.github.io/Logging_2462/fåglar/A 6982-2023 prioriterade fågelarter.docx", "A 6982-2023")</f>
        <v/>
      </c>
    </row>
    <row r="24" ht="15" customHeight="1">
      <c r="A24" t="inlineStr">
        <is>
          <t>A 36958-2023</t>
        </is>
      </c>
      <c r="B24" s="1" t="n">
        <v>45154</v>
      </c>
      <c r="C24" s="1" t="n">
        <v>45628</v>
      </c>
      <c r="D24" t="inlineStr">
        <is>
          <t>VÄSTERBOTTENS LÄN</t>
        </is>
      </c>
      <c r="E24" t="inlineStr">
        <is>
          <t>VILHELMINA</t>
        </is>
      </c>
      <c r="F24" t="inlineStr">
        <is>
          <t>SCA</t>
        </is>
      </c>
      <c r="G24" t="n">
        <v>19.9</v>
      </c>
      <c r="H24" t="n">
        <v>4</v>
      </c>
      <c r="I24" t="n">
        <v>5</v>
      </c>
      <c r="J24" t="n">
        <v>17</v>
      </c>
      <c r="K24" t="n">
        <v>1</v>
      </c>
      <c r="L24" t="n">
        <v>0</v>
      </c>
      <c r="M24" t="n">
        <v>0</v>
      </c>
      <c r="N24" t="n">
        <v>0</v>
      </c>
      <c r="O24" t="n">
        <v>18</v>
      </c>
      <c r="P24" t="n">
        <v>1</v>
      </c>
      <c r="Q24" t="n">
        <v>23</v>
      </c>
      <c r="R2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4">
        <f>HYPERLINK("https://klasma.github.io/Logging_2462/artfynd/A 36958-2023 artfynd.xlsx", "A 36958-2023")</f>
        <v/>
      </c>
      <c r="T24">
        <f>HYPERLINK("https://klasma.github.io/Logging_2462/kartor/A 36958-2023 karta.png", "A 36958-2023")</f>
        <v/>
      </c>
      <c r="V24">
        <f>HYPERLINK("https://klasma.github.io/Logging_2462/klagomål/A 36958-2023 FSC-klagomål.docx", "A 36958-2023")</f>
        <v/>
      </c>
      <c r="W24">
        <f>HYPERLINK("https://klasma.github.io/Logging_2462/klagomålsmail/A 36958-2023 FSC-klagomål mail.docx", "A 36958-2023")</f>
        <v/>
      </c>
      <c r="X24">
        <f>HYPERLINK("https://klasma.github.io/Logging_2462/tillsyn/A 36958-2023 tillsynsbegäran.docx", "A 36958-2023")</f>
        <v/>
      </c>
      <c r="Y24">
        <f>HYPERLINK("https://klasma.github.io/Logging_2462/tillsynsmail/A 36958-2023 tillsynsbegäran mail.docx", "A 36958-2023")</f>
        <v/>
      </c>
      <c r="Z24">
        <f>HYPERLINK("https://klasma.github.io/Logging_2462/fåglar/A 36958-2023 prioriterade fågelarter.docx", "A 36958-2023")</f>
        <v/>
      </c>
    </row>
    <row r="25" ht="15" customHeight="1">
      <c r="A25" t="inlineStr">
        <is>
          <t>A 11974-2021</t>
        </is>
      </c>
      <c r="B25" s="1" t="n">
        <v>44266</v>
      </c>
      <c r="C25" s="1" t="n">
        <v>45628</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13462-2022</t>
        </is>
      </c>
      <c r="B26" s="1" t="n">
        <v>44645</v>
      </c>
      <c r="C26" s="1" t="n">
        <v>45628</v>
      </c>
      <c r="D26" t="inlineStr">
        <is>
          <t>VÄSTERBOTTENS LÄN</t>
        </is>
      </c>
      <c r="E26" t="inlineStr">
        <is>
          <t>VILHELMINA</t>
        </is>
      </c>
      <c r="G26" t="n">
        <v>54.1</v>
      </c>
      <c r="H26" t="n">
        <v>7</v>
      </c>
      <c r="I26" t="n">
        <v>10</v>
      </c>
      <c r="J26" t="n">
        <v>8</v>
      </c>
      <c r="K26" t="n">
        <v>2</v>
      </c>
      <c r="L26" t="n">
        <v>0</v>
      </c>
      <c r="M26" t="n">
        <v>0</v>
      </c>
      <c r="N26" t="n">
        <v>0</v>
      </c>
      <c r="O26" t="n">
        <v>10</v>
      </c>
      <c r="P26" t="n">
        <v>2</v>
      </c>
      <c r="Q26" t="n">
        <v>22</v>
      </c>
      <c r="R2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6">
        <f>HYPERLINK("https://klasma.github.io/Logging_2462/artfynd/A 13462-2022 artfynd.xlsx", "A 13462-2022")</f>
        <v/>
      </c>
      <c r="T26">
        <f>HYPERLINK("https://klasma.github.io/Logging_2462/kartor/A 13462-2022 karta.png", "A 13462-2022")</f>
        <v/>
      </c>
      <c r="V26">
        <f>HYPERLINK("https://klasma.github.io/Logging_2462/klagomål/A 13462-2022 FSC-klagomål.docx", "A 13462-2022")</f>
        <v/>
      </c>
      <c r="W26">
        <f>HYPERLINK("https://klasma.github.io/Logging_2462/klagomålsmail/A 13462-2022 FSC-klagomål mail.docx", "A 13462-2022")</f>
        <v/>
      </c>
      <c r="X26">
        <f>HYPERLINK("https://klasma.github.io/Logging_2462/tillsyn/A 13462-2022 tillsynsbegäran.docx", "A 13462-2022")</f>
        <v/>
      </c>
      <c r="Y26">
        <f>HYPERLINK("https://klasma.github.io/Logging_2462/tillsynsmail/A 13462-2022 tillsynsbegäran mail.docx", "A 13462-2022")</f>
        <v/>
      </c>
      <c r="Z26">
        <f>HYPERLINK("https://klasma.github.io/Logging_2462/fåglar/A 13462-2022 prioriterade fågelarter.docx", "A 13462-2022")</f>
        <v/>
      </c>
    </row>
    <row r="27" ht="15" customHeight="1">
      <c r="A27" t="inlineStr">
        <is>
          <t>A 54734-2022</t>
        </is>
      </c>
      <c r="B27" s="1" t="n">
        <v>44881</v>
      </c>
      <c r="C27" s="1" t="n">
        <v>45628</v>
      </c>
      <c r="D27" t="inlineStr">
        <is>
          <t>VÄSTERBOTTENS LÄN</t>
        </is>
      </c>
      <c r="E27" t="inlineStr">
        <is>
          <t>VILHELMINA</t>
        </is>
      </c>
      <c r="G27" t="n">
        <v>19</v>
      </c>
      <c r="H27" t="n">
        <v>1</v>
      </c>
      <c r="I27" t="n">
        <v>7</v>
      </c>
      <c r="J27" t="n">
        <v>14</v>
      </c>
      <c r="K27" t="n">
        <v>1</v>
      </c>
      <c r="L27" t="n">
        <v>0</v>
      </c>
      <c r="M27" t="n">
        <v>0</v>
      </c>
      <c r="N27" t="n">
        <v>0</v>
      </c>
      <c r="O27" t="n">
        <v>15</v>
      </c>
      <c r="P27" t="n">
        <v>1</v>
      </c>
      <c r="Q27" t="n">
        <v>22</v>
      </c>
      <c r="R2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7">
        <f>HYPERLINK("https://klasma.github.io/Logging_2462/artfynd/A 54734-2022 artfynd.xlsx", "A 54734-2022")</f>
        <v/>
      </c>
      <c r="T27">
        <f>HYPERLINK("https://klasma.github.io/Logging_2462/kartor/A 54734-2022 karta.png", "A 54734-2022")</f>
        <v/>
      </c>
      <c r="V27">
        <f>HYPERLINK("https://klasma.github.io/Logging_2462/klagomål/A 54734-2022 FSC-klagomål.docx", "A 54734-2022")</f>
        <v/>
      </c>
      <c r="W27">
        <f>HYPERLINK("https://klasma.github.io/Logging_2462/klagomålsmail/A 54734-2022 FSC-klagomål mail.docx", "A 54734-2022")</f>
        <v/>
      </c>
      <c r="X27">
        <f>HYPERLINK("https://klasma.github.io/Logging_2462/tillsyn/A 54734-2022 tillsynsbegäran.docx", "A 54734-2022")</f>
        <v/>
      </c>
      <c r="Y27">
        <f>HYPERLINK("https://klasma.github.io/Logging_2462/tillsynsmail/A 54734-2022 tillsynsbegäran mail.docx", "A 54734-2022")</f>
        <v/>
      </c>
      <c r="Z27">
        <f>HYPERLINK("https://klasma.github.io/Logging_2462/fåglar/A 54734-2022 prioriterade fågelarter.docx", "A 54734-2022")</f>
        <v/>
      </c>
    </row>
    <row r="28" ht="15" customHeight="1">
      <c r="A28" t="inlineStr">
        <is>
          <t>A 33668-2023</t>
        </is>
      </c>
      <c r="B28" s="1" t="n">
        <v>45119</v>
      </c>
      <c r="C28" s="1" t="n">
        <v>45628</v>
      </c>
      <c r="D28" t="inlineStr">
        <is>
          <t>VÄSTERBOTTENS LÄN</t>
        </is>
      </c>
      <c r="E28" t="inlineStr">
        <is>
          <t>VILHELMINA</t>
        </is>
      </c>
      <c r="F28" t="inlineStr">
        <is>
          <t>Allmännings- och besparingsskogar</t>
        </is>
      </c>
      <c r="G28" t="n">
        <v>3.6</v>
      </c>
      <c r="H28" t="n">
        <v>2</v>
      </c>
      <c r="I28" t="n">
        <v>7</v>
      </c>
      <c r="J28" t="n">
        <v>12</v>
      </c>
      <c r="K28" t="n">
        <v>2</v>
      </c>
      <c r="L28" t="n">
        <v>0</v>
      </c>
      <c r="M28" t="n">
        <v>0</v>
      </c>
      <c r="N28" t="n">
        <v>0</v>
      </c>
      <c r="O28" t="n">
        <v>15</v>
      </c>
      <c r="P28" t="n">
        <v>2</v>
      </c>
      <c r="Q28" t="n">
        <v>22</v>
      </c>
      <c r="R2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8">
        <f>HYPERLINK("https://klasma.github.io/Logging_2462/artfynd/A 33668-2023 artfynd.xlsx", "A 33668-2023")</f>
        <v/>
      </c>
      <c r="T28">
        <f>HYPERLINK("https://klasma.github.io/Logging_2462/kartor/A 33668-2023 karta.png", "A 33668-2023")</f>
        <v/>
      </c>
      <c r="V28">
        <f>HYPERLINK("https://klasma.github.io/Logging_2462/klagomål/A 33668-2023 FSC-klagomål.docx", "A 33668-2023")</f>
        <v/>
      </c>
      <c r="W28">
        <f>HYPERLINK("https://klasma.github.io/Logging_2462/klagomålsmail/A 33668-2023 FSC-klagomål mail.docx", "A 33668-2023")</f>
        <v/>
      </c>
      <c r="X28">
        <f>HYPERLINK("https://klasma.github.io/Logging_2462/tillsyn/A 33668-2023 tillsynsbegäran.docx", "A 33668-2023")</f>
        <v/>
      </c>
      <c r="Y28">
        <f>HYPERLINK("https://klasma.github.io/Logging_2462/tillsynsmail/A 33668-2023 tillsynsbegäran mail.docx", "A 33668-2023")</f>
        <v/>
      </c>
      <c r="Z28">
        <f>HYPERLINK("https://klasma.github.io/Logging_2462/fåglar/A 33668-2023 prioriterade fågelarter.docx", "A 33668-2023")</f>
        <v/>
      </c>
    </row>
    <row r="29" ht="15" customHeight="1">
      <c r="A29" t="inlineStr">
        <is>
          <t>A 50028-2019</t>
        </is>
      </c>
      <c r="B29" s="1" t="n">
        <v>43731</v>
      </c>
      <c r="C29" s="1" t="n">
        <v>45628</v>
      </c>
      <c r="D29" t="inlineStr">
        <is>
          <t>VÄSTERBOTTENS LÄN</t>
        </is>
      </c>
      <c r="E29" t="inlineStr">
        <is>
          <t>VILHELMINA</t>
        </is>
      </c>
      <c r="F29" t="inlineStr">
        <is>
          <t>Allmännings- och besparingsskogar</t>
        </is>
      </c>
      <c r="G29" t="n">
        <v>20.7</v>
      </c>
      <c r="H29" t="n">
        <v>1</v>
      </c>
      <c r="I29" t="n">
        <v>4</v>
      </c>
      <c r="J29" t="n">
        <v>14</v>
      </c>
      <c r="K29" t="n">
        <v>3</v>
      </c>
      <c r="L29" t="n">
        <v>0</v>
      </c>
      <c r="M29" t="n">
        <v>0</v>
      </c>
      <c r="N29" t="n">
        <v>0</v>
      </c>
      <c r="O29" t="n">
        <v>17</v>
      </c>
      <c r="P29" t="n">
        <v>3</v>
      </c>
      <c r="Q29" t="n">
        <v>21</v>
      </c>
      <c r="R29"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9">
        <f>HYPERLINK("https://klasma.github.io/Logging_2462/artfynd/A 50028-2019 artfynd.xlsx", "A 50028-2019")</f>
        <v/>
      </c>
      <c r="T29">
        <f>HYPERLINK("https://klasma.github.io/Logging_2462/kartor/A 50028-2019 karta.png", "A 50028-2019")</f>
        <v/>
      </c>
      <c r="V29">
        <f>HYPERLINK("https://klasma.github.io/Logging_2462/klagomål/A 50028-2019 FSC-klagomål.docx", "A 50028-2019")</f>
        <v/>
      </c>
      <c r="W29">
        <f>HYPERLINK("https://klasma.github.io/Logging_2462/klagomålsmail/A 50028-2019 FSC-klagomål mail.docx", "A 50028-2019")</f>
        <v/>
      </c>
      <c r="X29">
        <f>HYPERLINK("https://klasma.github.io/Logging_2462/tillsyn/A 50028-2019 tillsynsbegäran.docx", "A 50028-2019")</f>
        <v/>
      </c>
      <c r="Y29">
        <f>HYPERLINK("https://klasma.github.io/Logging_2462/tillsynsmail/A 50028-2019 tillsynsbegäran mail.docx", "A 50028-2019")</f>
        <v/>
      </c>
      <c r="Z29">
        <f>HYPERLINK("https://klasma.github.io/Logging_2462/fåglar/A 50028-2019 prioriterade fågelarter.docx", "A 50028-2019")</f>
        <v/>
      </c>
    </row>
    <row r="30" ht="15" customHeight="1">
      <c r="A30" t="inlineStr">
        <is>
          <t>A 43595-2023</t>
        </is>
      </c>
      <c r="B30" s="1" t="n">
        <v>45181</v>
      </c>
      <c r="C30" s="1" t="n">
        <v>45628</v>
      </c>
      <c r="D30" t="inlineStr">
        <is>
          <t>VÄSTERBOTTENS LÄN</t>
        </is>
      </c>
      <c r="E30" t="inlineStr">
        <is>
          <t>VILHELMINA</t>
        </is>
      </c>
      <c r="F30" t="inlineStr">
        <is>
          <t>Övriga statliga verk och myndigheter</t>
        </is>
      </c>
      <c r="G30" t="n">
        <v>4.1</v>
      </c>
      <c r="H30" t="n">
        <v>3</v>
      </c>
      <c r="I30" t="n">
        <v>8</v>
      </c>
      <c r="J30" t="n">
        <v>9</v>
      </c>
      <c r="K30" t="n">
        <v>2</v>
      </c>
      <c r="L30" t="n">
        <v>1</v>
      </c>
      <c r="M30" t="n">
        <v>0</v>
      </c>
      <c r="N30" t="n">
        <v>0</v>
      </c>
      <c r="O30" t="n">
        <v>12</v>
      </c>
      <c r="P30" t="n">
        <v>3</v>
      </c>
      <c r="Q30" t="n">
        <v>21</v>
      </c>
      <c r="R3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0">
        <f>HYPERLINK("https://klasma.github.io/Logging_2462/artfynd/A 43595-2023 artfynd.xlsx", "A 43595-2023")</f>
        <v/>
      </c>
      <c r="T30">
        <f>HYPERLINK("https://klasma.github.io/Logging_2462/kartor/A 43595-2023 karta.png", "A 43595-2023")</f>
        <v/>
      </c>
      <c r="V30">
        <f>HYPERLINK("https://klasma.github.io/Logging_2462/klagomål/A 43595-2023 FSC-klagomål.docx", "A 43595-2023")</f>
        <v/>
      </c>
      <c r="W30">
        <f>HYPERLINK("https://klasma.github.io/Logging_2462/klagomålsmail/A 43595-2023 FSC-klagomål mail.docx", "A 43595-2023")</f>
        <v/>
      </c>
      <c r="X30">
        <f>HYPERLINK("https://klasma.github.io/Logging_2462/tillsyn/A 43595-2023 tillsynsbegäran.docx", "A 43595-2023")</f>
        <v/>
      </c>
      <c r="Y30">
        <f>HYPERLINK("https://klasma.github.io/Logging_2462/tillsynsmail/A 43595-2023 tillsynsbegäran mail.docx", "A 43595-2023")</f>
        <v/>
      </c>
      <c r="Z30">
        <f>HYPERLINK("https://klasma.github.io/Logging_2462/fåglar/A 43595-2023 prioriterade fågelarter.docx", "A 43595-2023")</f>
        <v/>
      </c>
    </row>
    <row r="31" ht="15" customHeight="1">
      <c r="A31" t="inlineStr">
        <is>
          <t>A 28669-2024</t>
        </is>
      </c>
      <c r="B31" s="1" t="n">
        <v>45478</v>
      </c>
      <c r="C31" s="1" t="n">
        <v>45628</v>
      </c>
      <c r="D31" t="inlineStr">
        <is>
          <t>VÄSTERBOTTENS LÄN</t>
        </is>
      </c>
      <c r="E31" t="inlineStr">
        <is>
          <t>VILHELMINA</t>
        </is>
      </c>
      <c r="F31" t="inlineStr">
        <is>
          <t>Allmännings- och besparingsskogar</t>
        </is>
      </c>
      <c r="G31" t="n">
        <v>16.6</v>
      </c>
      <c r="H31" t="n">
        <v>3</v>
      </c>
      <c r="I31" t="n">
        <v>7</v>
      </c>
      <c r="J31" t="n">
        <v>12</v>
      </c>
      <c r="K31" t="n">
        <v>1</v>
      </c>
      <c r="L31" t="n">
        <v>0</v>
      </c>
      <c r="M31" t="n">
        <v>0</v>
      </c>
      <c r="N31" t="n">
        <v>0</v>
      </c>
      <c r="O31" t="n">
        <v>13</v>
      </c>
      <c r="P31" t="n">
        <v>1</v>
      </c>
      <c r="Q31" t="n">
        <v>21</v>
      </c>
      <c r="R31"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1">
        <f>HYPERLINK("https://klasma.github.io/Logging_2462/artfynd/A 28669-2024 artfynd.xlsx", "A 28669-2024")</f>
        <v/>
      </c>
      <c r="T31">
        <f>HYPERLINK("https://klasma.github.io/Logging_2462/kartor/A 28669-2024 karta.png", "A 28669-2024")</f>
        <v/>
      </c>
      <c r="V31">
        <f>HYPERLINK("https://klasma.github.io/Logging_2462/klagomål/A 28669-2024 FSC-klagomål.docx", "A 28669-2024")</f>
        <v/>
      </c>
      <c r="W31">
        <f>HYPERLINK("https://klasma.github.io/Logging_2462/klagomålsmail/A 28669-2024 FSC-klagomål mail.docx", "A 28669-2024")</f>
        <v/>
      </c>
      <c r="X31">
        <f>HYPERLINK("https://klasma.github.io/Logging_2462/tillsyn/A 28669-2024 tillsynsbegäran.docx", "A 28669-2024")</f>
        <v/>
      </c>
      <c r="Y31">
        <f>HYPERLINK("https://klasma.github.io/Logging_2462/tillsynsmail/A 28669-2024 tillsynsbegäran mail.docx", "A 28669-2024")</f>
        <v/>
      </c>
      <c r="Z31">
        <f>HYPERLINK("https://klasma.github.io/Logging_2462/fåglar/A 28669-2024 prioriterade fågelarter.docx", "A 28669-2024")</f>
        <v/>
      </c>
    </row>
    <row r="32" ht="15" customHeight="1">
      <c r="A32" t="inlineStr">
        <is>
          <t>A 11282-2021</t>
        </is>
      </c>
      <c r="B32" s="1" t="n">
        <v>44263</v>
      </c>
      <c r="C32" s="1" t="n">
        <v>45628</v>
      </c>
      <c r="D32" t="inlineStr">
        <is>
          <t>VÄSTERBOTTENS LÄN</t>
        </is>
      </c>
      <c r="E32" t="inlineStr">
        <is>
          <t>VILHELMINA</t>
        </is>
      </c>
      <c r="F32" t="inlineStr">
        <is>
          <t>Allmännings- och besparingsskogar</t>
        </is>
      </c>
      <c r="G32" t="n">
        <v>5.6</v>
      </c>
      <c r="H32" t="n">
        <v>1</v>
      </c>
      <c r="I32" t="n">
        <v>9</v>
      </c>
      <c r="J32" t="n">
        <v>9</v>
      </c>
      <c r="K32" t="n">
        <v>2</v>
      </c>
      <c r="L32" t="n">
        <v>0</v>
      </c>
      <c r="M32" t="n">
        <v>0</v>
      </c>
      <c r="N32" t="n">
        <v>0</v>
      </c>
      <c r="O32" t="n">
        <v>11</v>
      </c>
      <c r="P32" t="n">
        <v>2</v>
      </c>
      <c r="Q32" t="n">
        <v>20</v>
      </c>
      <c r="R32" s="2" t="inlineStr">
        <is>
          <t>Lappticka
Rynkskinn
Doftskinn
Gammelgransskål
Garnlav
Lunglav
Rosenticka
Skrovellav
Tretåig hackspett
Ullticka
Vitgrynig nållav
Barkkornlav
Bårdlav
Gytterlav
Korallblylav
Luddlav
Skinnlav
Stuplav
Trådticka
Vedticka</t>
        </is>
      </c>
      <c r="S32">
        <f>HYPERLINK("https://klasma.github.io/Logging_2462/artfynd/A 11282-2021 artfynd.xlsx", "A 11282-2021")</f>
        <v/>
      </c>
      <c r="T32">
        <f>HYPERLINK("https://klasma.github.io/Logging_2462/kartor/A 11282-2021 karta.png", "A 11282-2021")</f>
        <v/>
      </c>
      <c r="V32">
        <f>HYPERLINK("https://klasma.github.io/Logging_2462/klagomål/A 11282-2021 FSC-klagomål.docx", "A 11282-2021")</f>
        <v/>
      </c>
      <c r="W32">
        <f>HYPERLINK("https://klasma.github.io/Logging_2462/klagomålsmail/A 11282-2021 FSC-klagomål mail.docx", "A 11282-2021")</f>
        <v/>
      </c>
      <c r="X32">
        <f>HYPERLINK("https://klasma.github.io/Logging_2462/tillsyn/A 11282-2021 tillsynsbegäran.docx", "A 11282-2021")</f>
        <v/>
      </c>
      <c r="Y32">
        <f>HYPERLINK("https://klasma.github.io/Logging_2462/tillsynsmail/A 11282-2021 tillsynsbegäran mail.docx", "A 11282-2021")</f>
        <v/>
      </c>
      <c r="Z32">
        <f>HYPERLINK("https://klasma.github.io/Logging_2462/fåglar/A 11282-2021 prioriterade fågelarter.docx", "A 11282-2021")</f>
        <v/>
      </c>
    </row>
    <row r="33" ht="15" customHeight="1">
      <c r="A33" t="inlineStr">
        <is>
          <t>A 29360-2021</t>
        </is>
      </c>
      <c r="B33" s="1" t="n">
        <v>44361</v>
      </c>
      <c r="C33" s="1" t="n">
        <v>45628</v>
      </c>
      <c r="D33" t="inlineStr">
        <is>
          <t>VÄSTERBOTTENS LÄN</t>
        </is>
      </c>
      <c r="E33" t="inlineStr">
        <is>
          <t>VILHELMINA</t>
        </is>
      </c>
      <c r="F33" t="inlineStr">
        <is>
          <t>Allmännings- och besparingsskogar</t>
        </is>
      </c>
      <c r="G33" t="n">
        <v>71.09999999999999</v>
      </c>
      <c r="H33" t="n">
        <v>1</v>
      </c>
      <c r="I33" t="n">
        <v>5</v>
      </c>
      <c r="J33" t="n">
        <v>14</v>
      </c>
      <c r="K33" t="n">
        <v>1</v>
      </c>
      <c r="L33" t="n">
        <v>0</v>
      </c>
      <c r="M33" t="n">
        <v>0</v>
      </c>
      <c r="N33" t="n">
        <v>0</v>
      </c>
      <c r="O33" t="n">
        <v>15</v>
      </c>
      <c r="P33" t="n">
        <v>1</v>
      </c>
      <c r="Q33" t="n">
        <v>20</v>
      </c>
      <c r="R33" s="2" t="inlineStr">
        <is>
          <t>Tajgaskinn
Blanksvart spiklav
Blågrå svartspik
Garnlav
Granticka
Harticka
Kortskaftad ärgspik
Lunglav
Nordtagging
Skrovellav
Smal ängssyra
Tretåig hackspett
Ullticka
Vedflamlav
Vedskivlav
Skinnlav
Stuplav
Svavelriska
Trådticka
Vedticka</t>
        </is>
      </c>
      <c r="S33">
        <f>HYPERLINK("https://klasma.github.io/Logging_2462/artfynd/A 29360-2021 artfynd.xlsx", "A 29360-2021")</f>
        <v/>
      </c>
      <c r="T33">
        <f>HYPERLINK("https://klasma.github.io/Logging_2462/kartor/A 29360-2021 karta.png", "A 29360-2021")</f>
        <v/>
      </c>
      <c r="V33">
        <f>HYPERLINK("https://klasma.github.io/Logging_2462/klagomål/A 29360-2021 FSC-klagomål.docx", "A 29360-2021")</f>
        <v/>
      </c>
      <c r="W33">
        <f>HYPERLINK("https://klasma.github.io/Logging_2462/klagomålsmail/A 29360-2021 FSC-klagomål mail.docx", "A 29360-2021")</f>
        <v/>
      </c>
      <c r="X33">
        <f>HYPERLINK("https://klasma.github.io/Logging_2462/tillsyn/A 29360-2021 tillsynsbegäran.docx", "A 29360-2021")</f>
        <v/>
      </c>
      <c r="Y33">
        <f>HYPERLINK("https://klasma.github.io/Logging_2462/tillsynsmail/A 29360-2021 tillsynsbegäran mail.docx", "A 29360-2021")</f>
        <v/>
      </c>
      <c r="Z33">
        <f>HYPERLINK("https://klasma.github.io/Logging_2462/fåglar/A 29360-2021 prioriterade fågelarter.docx", "A 29360-2021")</f>
        <v/>
      </c>
    </row>
    <row r="34" ht="15" customHeight="1">
      <c r="A34" t="inlineStr">
        <is>
          <t>A 39168-2021</t>
        </is>
      </c>
      <c r="B34" s="1" t="n">
        <v>44412</v>
      </c>
      <c r="C34" s="1" t="n">
        <v>45628</v>
      </c>
      <c r="D34" t="inlineStr">
        <is>
          <t>VÄSTERBOTTENS LÄN</t>
        </is>
      </c>
      <c r="E34" t="inlineStr">
        <is>
          <t>VILHELMINA</t>
        </is>
      </c>
      <c r="G34" t="n">
        <v>5.7</v>
      </c>
      <c r="H34" t="n">
        <v>4</v>
      </c>
      <c r="I34" t="n">
        <v>4</v>
      </c>
      <c r="J34" t="n">
        <v>14</v>
      </c>
      <c r="K34" t="n">
        <v>1</v>
      </c>
      <c r="L34" t="n">
        <v>0</v>
      </c>
      <c r="M34" t="n">
        <v>0</v>
      </c>
      <c r="N34" t="n">
        <v>0</v>
      </c>
      <c r="O34" t="n">
        <v>15</v>
      </c>
      <c r="P34" t="n">
        <v>1</v>
      </c>
      <c r="Q34" t="n">
        <v>20</v>
      </c>
      <c r="R34" s="2" t="inlineStr">
        <is>
          <t>Skuggnål
Brunpudrad nållav
Doftskinn
Gammelgransskål
Garnlav
Granticka
Gränsticka
Harticka
Rödbrun blekspik
Skogshare
Skorpgelélav
Talltita
Tretåig hackspett
Ullticka
Vitgrynig nållav
Gytterlav
Luddlav
Spindelblomster
Stuplav
Revlummer</t>
        </is>
      </c>
      <c r="S34">
        <f>HYPERLINK("https://klasma.github.io/Logging_2462/artfynd/A 39168-2021 artfynd.xlsx", "A 39168-2021")</f>
        <v/>
      </c>
      <c r="T34">
        <f>HYPERLINK("https://klasma.github.io/Logging_2462/kartor/A 39168-2021 karta.png", "A 39168-2021")</f>
        <v/>
      </c>
      <c r="V34">
        <f>HYPERLINK("https://klasma.github.io/Logging_2462/klagomål/A 39168-2021 FSC-klagomål.docx", "A 39168-2021")</f>
        <v/>
      </c>
      <c r="W34">
        <f>HYPERLINK("https://klasma.github.io/Logging_2462/klagomålsmail/A 39168-2021 FSC-klagomål mail.docx", "A 39168-2021")</f>
        <v/>
      </c>
      <c r="X34">
        <f>HYPERLINK("https://klasma.github.io/Logging_2462/tillsyn/A 39168-2021 tillsynsbegäran.docx", "A 39168-2021")</f>
        <v/>
      </c>
      <c r="Y34">
        <f>HYPERLINK("https://klasma.github.io/Logging_2462/tillsynsmail/A 39168-2021 tillsynsbegäran mail.docx", "A 39168-2021")</f>
        <v/>
      </c>
      <c r="Z34">
        <f>HYPERLINK("https://klasma.github.io/Logging_2462/fåglar/A 39168-2021 prioriterade fågelarter.docx", "A 39168-2021")</f>
        <v/>
      </c>
    </row>
    <row r="35" ht="15" customHeight="1">
      <c r="A35" t="inlineStr">
        <is>
          <t>A 19721-2023</t>
        </is>
      </c>
      <c r="B35" s="1" t="n">
        <v>45050</v>
      </c>
      <c r="C35" s="1" t="n">
        <v>45628</v>
      </c>
      <c r="D35" t="inlineStr">
        <is>
          <t>VÄSTERBOTTENS LÄN</t>
        </is>
      </c>
      <c r="E35" t="inlineStr">
        <is>
          <t>VILHELMINA</t>
        </is>
      </c>
      <c r="G35" t="n">
        <v>7.5</v>
      </c>
      <c r="H35" t="n">
        <v>3</v>
      </c>
      <c r="I35" t="n">
        <v>4</v>
      </c>
      <c r="J35" t="n">
        <v>13</v>
      </c>
      <c r="K35" t="n">
        <v>2</v>
      </c>
      <c r="L35" t="n">
        <v>0</v>
      </c>
      <c r="M35" t="n">
        <v>0</v>
      </c>
      <c r="N35" t="n">
        <v>0</v>
      </c>
      <c r="O35" t="n">
        <v>15</v>
      </c>
      <c r="P35" t="n">
        <v>2</v>
      </c>
      <c r="Q35" t="n">
        <v>20</v>
      </c>
      <c r="R35" s="2" t="inlineStr">
        <is>
          <t>Rynkskinn
Skuggnål
Brunpudrad nållav
Gammelgransskål
Garnlav
Granticka
Gränsticka
Harticka
Liten svartspik
Rödbrun blekspik
Skrovellav
Spillkråka
Tretåig hackspett
Ullticka
Vitgrynig nållav
Gulnål
Luddlav
Mörk husmossa
Stuplav
Revlummer</t>
        </is>
      </c>
      <c r="S35">
        <f>HYPERLINK("https://klasma.github.io/Logging_2462/artfynd/A 19721-2023 artfynd.xlsx", "A 19721-2023")</f>
        <v/>
      </c>
      <c r="T35">
        <f>HYPERLINK("https://klasma.github.io/Logging_2462/kartor/A 19721-2023 karta.png", "A 19721-2023")</f>
        <v/>
      </c>
      <c r="V35">
        <f>HYPERLINK("https://klasma.github.io/Logging_2462/klagomål/A 19721-2023 FSC-klagomål.docx", "A 19721-2023")</f>
        <v/>
      </c>
      <c r="W35">
        <f>HYPERLINK("https://klasma.github.io/Logging_2462/klagomålsmail/A 19721-2023 FSC-klagomål mail.docx", "A 19721-2023")</f>
        <v/>
      </c>
      <c r="X35">
        <f>HYPERLINK("https://klasma.github.io/Logging_2462/tillsyn/A 19721-2023 tillsynsbegäran.docx", "A 19721-2023")</f>
        <v/>
      </c>
      <c r="Y35">
        <f>HYPERLINK("https://klasma.github.io/Logging_2462/tillsynsmail/A 19721-2023 tillsynsbegäran mail.docx", "A 19721-2023")</f>
        <v/>
      </c>
      <c r="Z35">
        <f>HYPERLINK("https://klasma.github.io/Logging_2462/fåglar/A 19721-2023 prioriterade fågelarter.docx", "A 19721-2023")</f>
        <v/>
      </c>
    </row>
    <row r="36" ht="15" customHeight="1">
      <c r="A36" t="inlineStr">
        <is>
          <t>A 44065-2022</t>
        </is>
      </c>
      <c r="B36" s="1" t="n">
        <v>44838</v>
      </c>
      <c r="C36" s="1" t="n">
        <v>45628</v>
      </c>
      <c r="D36" t="inlineStr">
        <is>
          <t>VÄSTERBOTTENS LÄN</t>
        </is>
      </c>
      <c r="E36" t="inlineStr">
        <is>
          <t>VILHELMINA</t>
        </is>
      </c>
      <c r="F36" t="inlineStr">
        <is>
          <t>Allmännings- och besparingsskogar</t>
        </is>
      </c>
      <c r="G36" t="n">
        <v>19.3</v>
      </c>
      <c r="H36" t="n">
        <v>2</v>
      </c>
      <c r="I36" t="n">
        <v>4</v>
      </c>
      <c r="J36" t="n">
        <v>12</v>
      </c>
      <c r="K36" t="n">
        <v>3</v>
      </c>
      <c r="L36" t="n">
        <v>0</v>
      </c>
      <c r="M36" t="n">
        <v>0</v>
      </c>
      <c r="N36" t="n">
        <v>0</v>
      </c>
      <c r="O36" t="n">
        <v>15</v>
      </c>
      <c r="P36" t="n">
        <v>3</v>
      </c>
      <c r="Q36" t="n">
        <v>19</v>
      </c>
      <c r="R36" s="2" t="inlineStr">
        <is>
          <t>Grantickeporing
Ostticka
Rynkskinn
Gammelgransskål
Garnlav
Granticka
Gränsticka
Harticka
Knottrig blåslav
Rödbrun blekspik
Skogshare
Spillkråka
Tretåig hackspett
Ullticka
Vitgrynig nållav
Gulnål
Rostfläck
Stuplav
Vedticka</t>
        </is>
      </c>
      <c r="S36">
        <f>HYPERLINK("https://klasma.github.io/Logging_2462/artfynd/A 44065-2022 artfynd.xlsx", "A 44065-2022")</f>
        <v/>
      </c>
      <c r="T36">
        <f>HYPERLINK("https://klasma.github.io/Logging_2462/kartor/A 44065-2022 karta.png", "A 44065-2022")</f>
        <v/>
      </c>
      <c r="V36">
        <f>HYPERLINK("https://klasma.github.io/Logging_2462/klagomål/A 44065-2022 FSC-klagomål.docx", "A 44065-2022")</f>
        <v/>
      </c>
      <c r="W36">
        <f>HYPERLINK("https://klasma.github.io/Logging_2462/klagomålsmail/A 44065-2022 FSC-klagomål mail.docx", "A 44065-2022")</f>
        <v/>
      </c>
      <c r="X36">
        <f>HYPERLINK("https://klasma.github.io/Logging_2462/tillsyn/A 44065-2022 tillsynsbegäran.docx", "A 44065-2022")</f>
        <v/>
      </c>
      <c r="Y36">
        <f>HYPERLINK("https://klasma.github.io/Logging_2462/tillsynsmail/A 44065-2022 tillsynsbegäran mail.docx", "A 44065-2022")</f>
        <v/>
      </c>
      <c r="Z36">
        <f>HYPERLINK("https://klasma.github.io/Logging_2462/fåglar/A 44065-2022 prioriterade fågelarter.docx", "A 44065-2022")</f>
        <v/>
      </c>
    </row>
    <row r="37" ht="15" customHeight="1">
      <c r="A37" t="inlineStr">
        <is>
          <t>A 48190-2023</t>
        </is>
      </c>
      <c r="B37" s="1" t="n">
        <v>45201</v>
      </c>
      <c r="C37" s="1" t="n">
        <v>45628</v>
      </c>
      <c r="D37" t="inlineStr">
        <is>
          <t>VÄSTERBOTTENS LÄN</t>
        </is>
      </c>
      <c r="E37" t="inlineStr">
        <is>
          <t>VILHELMINA</t>
        </is>
      </c>
      <c r="F37" t="inlineStr">
        <is>
          <t>Allmännings- och besparingsskogar</t>
        </is>
      </c>
      <c r="G37" t="n">
        <v>9.199999999999999</v>
      </c>
      <c r="H37" t="n">
        <v>3</v>
      </c>
      <c r="I37" t="n">
        <v>3</v>
      </c>
      <c r="J37" t="n">
        <v>14</v>
      </c>
      <c r="K37" t="n">
        <v>2</v>
      </c>
      <c r="L37" t="n">
        <v>0</v>
      </c>
      <c r="M37" t="n">
        <v>0</v>
      </c>
      <c r="N37" t="n">
        <v>0</v>
      </c>
      <c r="O37" t="n">
        <v>16</v>
      </c>
      <c r="P37" t="n">
        <v>2</v>
      </c>
      <c r="Q37" t="n">
        <v>19</v>
      </c>
      <c r="R37" s="2" t="inlineStr">
        <is>
          <t>Liten sotlav
Tallbit
Doftskinn
Gammelgransskål
Garnlav
Granticka
Knottrig blåslav
Liten svartspik
Lunglav
Rödbrun blekspik
Skrovellav
Talltita
Tretåig hackspett
Ullticka
Vitgrynig nållav
Vitskaftad svartspik
Bårdlav
Luddlav
Stuplav</t>
        </is>
      </c>
      <c r="S37">
        <f>HYPERLINK("https://klasma.github.io/Logging_2462/artfynd/A 48190-2023 artfynd.xlsx", "A 48190-2023")</f>
        <v/>
      </c>
      <c r="T37">
        <f>HYPERLINK("https://klasma.github.io/Logging_2462/kartor/A 48190-2023 karta.png", "A 48190-2023")</f>
        <v/>
      </c>
      <c r="V37">
        <f>HYPERLINK("https://klasma.github.io/Logging_2462/klagomål/A 48190-2023 FSC-klagomål.docx", "A 48190-2023")</f>
        <v/>
      </c>
      <c r="W37">
        <f>HYPERLINK("https://klasma.github.io/Logging_2462/klagomålsmail/A 48190-2023 FSC-klagomål mail.docx", "A 48190-2023")</f>
        <v/>
      </c>
      <c r="X37">
        <f>HYPERLINK("https://klasma.github.io/Logging_2462/tillsyn/A 48190-2023 tillsynsbegäran.docx", "A 48190-2023")</f>
        <v/>
      </c>
      <c r="Y37">
        <f>HYPERLINK("https://klasma.github.io/Logging_2462/tillsynsmail/A 48190-2023 tillsynsbegäran mail.docx", "A 48190-2023")</f>
        <v/>
      </c>
      <c r="Z37">
        <f>HYPERLINK("https://klasma.github.io/Logging_2462/fåglar/A 48190-2023 prioriterade fågelarter.docx", "A 48190-2023")</f>
        <v/>
      </c>
    </row>
    <row r="38" ht="15" customHeight="1">
      <c r="A38" t="inlineStr">
        <is>
          <t>A 40737-2024</t>
        </is>
      </c>
      <c r="B38" s="1" t="n">
        <v>45558</v>
      </c>
      <c r="C38" s="1" t="n">
        <v>45628</v>
      </c>
      <c r="D38" t="inlineStr">
        <is>
          <t>VÄSTERBOTTENS LÄN</t>
        </is>
      </c>
      <c r="E38" t="inlineStr">
        <is>
          <t>VILHELMINA</t>
        </is>
      </c>
      <c r="F38" t="inlineStr">
        <is>
          <t>Allmännings- och besparingsskogar</t>
        </is>
      </c>
      <c r="G38" t="n">
        <v>10.4</v>
      </c>
      <c r="H38" t="n">
        <v>5</v>
      </c>
      <c r="I38" t="n">
        <v>2</v>
      </c>
      <c r="J38" t="n">
        <v>14</v>
      </c>
      <c r="K38" t="n">
        <v>2</v>
      </c>
      <c r="L38" t="n">
        <v>0</v>
      </c>
      <c r="M38" t="n">
        <v>0</v>
      </c>
      <c r="N38" t="n">
        <v>0</v>
      </c>
      <c r="O38" t="n">
        <v>16</v>
      </c>
      <c r="P38" t="n">
        <v>2</v>
      </c>
      <c r="Q38" t="n">
        <v>19</v>
      </c>
      <c r="R38" s="2" t="inlineStr">
        <is>
          <t>Liten sotlav
Ulltickeporing
Gammelgransskål
Garnlav
Granticka
Gränsticka
Harticka
Knottrig blåslav
Liten svartspik
Rosenticka
Skrovellav
Spillkråka
Talltita
Tretåig hackspett
Ullticka
Vitgrynig nållav
Plattlummer
Stuplav
Revlummer</t>
        </is>
      </c>
      <c r="S38">
        <f>HYPERLINK("https://klasma.github.io/Logging_2462/artfynd/A 40737-2024 artfynd.xlsx", "A 40737-2024")</f>
        <v/>
      </c>
      <c r="T38">
        <f>HYPERLINK("https://klasma.github.io/Logging_2462/kartor/A 40737-2024 karta.png", "A 40737-2024")</f>
        <v/>
      </c>
      <c r="V38">
        <f>HYPERLINK("https://klasma.github.io/Logging_2462/klagomål/A 40737-2024 FSC-klagomål.docx", "A 40737-2024")</f>
        <v/>
      </c>
      <c r="W38">
        <f>HYPERLINK("https://klasma.github.io/Logging_2462/klagomålsmail/A 40737-2024 FSC-klagomål mail.docx", "A 40737-2024")</f>
        <v/>
      </c>
      <c r="X38">
        <f>HYPERLINK("https://klasma.github.io/Logging_2462/tillsyn/A 40737-2024 tillsynsbegäran.docx", "A 40737-2024")</f>
        <v/>
      </c>
      <c r="Y38">
        <f>HYPERLINK("https://klasma.github.io/Logging_2462/tillsynsmail/A 40737-2024 tillsynsbegäran mail.docx", "A 40737-2024")</f>
        <v/>
      </c>
      <c r="Z38">
        <f>HYPERLINK("https://klasma.github.io/Logging_2462/fåglar/A 40737-2024 prioriterade fågelarter.docx", "A 40737-2024")</f>
        <v/>
      </c>
    </row>
    <row r="39" ht="15" customHeight="1">
      <c r="A39" t="inlineStr">
        <is>
          <t>A 40978-2024</t>
        </is>
      </c>
      <c r="B39" s="1" t="n">
        <v>45558</v>
      </c>
      <c r="C39" s="1" t="n">
        <v>45628</v>
      </c>
      <c r="D39" t="inlineStr">
        <is>
          <t>VÄSTERBOTTENS LÄN</t>
        </is>
      </c>
      <c r="E39" t="inlineStr">
        <is>
          <t>VILHELMINA</t>
        </is>
      </c>
      <c r="F39" t="inlineStr">
        <is>
          <t>Allmännings- och besparingsskogar</t>
        </is>
      </c>
      <c r="G39" t="n">
        <v>7.1</v>
      </c>
      <c r="H39" t="n">
        <v>4</v>
      </c>
      <c r="I39" t="n">
        <v>7</v>
      </c>
      <c r="J39" t="n">
        <v>9</v>
      </c>
      <c r="K39" t="n">
        <v>1</v>
      </c>
      <c r="L39" t="n">
        <v>0</v>
      </c>
      <c r="M39" t="n">
        <v>0</v>
      </c>
      <c r="N39" t="n">
        <v>0</v>
      </c>
      <c r="O39" t="n">
        <v>10</v>
      </c>
      <c r="P39" t="n">
        <v>1</v>
      </c>
      <c r="Q39" t="n">
        <v>19</v>
      </c>
      <c r="R39" s="2" t="inlineStr">
        <is>
          <t>Skuggnål
Garnlav
Gränsticka
Harticka
Liten svartspik
Rödbrun blekspik
Talltita
Tretåig hackspett
Ullticka
Vitgrynig nållav
Gytterlav
Mörk husmossa
Skogshakmossa
Stuplav
Svavelriska
Trådticka
Vedticka
Lavskrika
Revlummer</t>
        </is>
      </c>
      <c r="S39">
        <f>HYPERLINK("https://klasma.github.io/Logging_2462/artfynd/A 40978-2024 artfynd.xlsx", "A 40978-2024")</f>
        <v/>
      </c>
      <c r="T39">
        <f>HYPERLINK("https://klasma.github.io/Logging_2462/kartor/A 40978-2024 karta.png", "A 40978-2024")</f>
        <v/>
      </c>
      <c r="V39">
        <f>HYPERLINK("https://klasma.github.io/Logging_2462/klagomål/A 40978-2024 FSC-klagomål.docx", "A 40978-2024")</f>
        <v/>
      </c>
      <c r="W39">
        <f>HYPERLINK("https://klasma.github.io/Logging_2462/klagomålsmail/A 40978-2024 FSC-klagomål mail.docx", "A 40978-2024")</f>
        <v/>
      </c>
      <c r="X39">
        <f>HYPERLINK("https://klasma.github.io/Logging_2462/tillsyn/A 40978-2024 tillsynsbegäran.docx", "A 40978-2024")</f>
        <v/>
      </c>
      <c r="Y39">
        <f>HYPERLINK("https://klasma.github.io/Logging_2462/tillsynsmail/A 40978-2024 tillsynsbegäran mail.docx", "A 40978-2024")</f>
        <v/>
      </c>
      <c r="Z39">
        <f>HYPERLINK("https://klasma.github.io/Logging_2462/fåglar/A 40978-2024 prioriterade fågelarter.docx", "A 40978-2024")</f>
        <v/>
      </c>
    </row>
    <row r="40" ht="15" customHeight="1">
      <c r="A40" t="inlineStr">
        <is>
          <t>A 9048-2023</t>
        </is>
      </c>
      <c r="B40" s="1" t="n">
        <v>44972</v>
      </c>
      <c r="C40" s="1" t="n">
        <v>45628</v>
      </c>
      <c r="D40" t="inlineStr">
        <is>
          <t>VÄSTERBOTTENS LÄN</t>
        </is>
      </c>
      <c r="E40" t="inlineStr">
        <is>
          <t>VILHELMINA</t>
        </is>
      </c>
      <c r="F40" t="inlineStr">
        <is>
          <t>Allmännings- och besparingsskogar</t>
        </is>
      </c>
      <c r="G40" t="n">
        <v>271</v>
      </c>
      <c r="H40" t="n">
        <v>3</v>
      </c>
      <c r="I40" t="n">
        <v>4</v>
      </c>
      <c r="J40" t="n">
        <v>13</v>
      </c>
      <c r="K40" t="n">
        <v>0</v>
      </c>
      <c r="L40" t="n">
        <v>0</v>
      </c>
      <c r="M40" t="n">
        <v>0</v>
      </c>
      <c r="N40" t="n">
        <v>0</v>
      </c>
      <c r="O40" t="n">
        <v>13</v>
      </c>
      <c r="P40" t="n">
        <v>0</v>
      </c>
      <c r="Q40" t="n">
        <v>18</v>
      </c>
      <c r="R40" s="2" t="inlineStr">
        <is>
          <t>Garnlav
Granticka
Harticka
Koralltaggsvamp
Rosenticka
Stjärntagging
Talltita
Tretåig hackspett
Ullticka
Vedflikmossa
Vedtrappmossa
Vitgrynig nållav
Vitskaftad svartspik
Bronshjon
Trådticka
Vedticka
Ögonpyrola
Lavskrika</t>
        </is>
      </c>
      <c r="S40">
        <f>HYPERLINK("https://klasma.github.io/Logging_2462/artfynd/A 9048-2023 artfynd.xlsx", "A 9048-2023")</f>
        <v/>
      </c>
      <c r="T40">
        <f>HYPERLINK("https://klasma.github.io/Logging_2462/kartor/A 9048-2023 karta.png", "A 9048-2023")</f>
        <v/>
      </c>
      <c r="V40">
        <f>HYPERLINK("https://klasma.github.io/Logging_2462/klagomål/A 9048-2023 FSC-klagomål.docx", "A 9048-2023")</f>
        <v/>
      </c>
      <c r="W40">
        <f>HYPERLINK("https://klasma.github.io/Logging_2462/klagomålsmail/A 9048-2023 FSC-klagomål mail.docx", "A 9048-2023")</f>
        <v/>
      </c>
      <c r="X40">
        <f>HYPERLINK("https://klasma.github.io/Logging_2462/tillsyn/A 9048-2023 tillsynsbegäran.docx", "A 9048-2023")</f>
        <v/>
      </c>
      <c r="Y40">
        <f>HYPERLINK("https://klasma.github.io/Logging_2462/tillsynsmail/A 9048-2023 tillsynsbegäran mail.docx", "A 9048-2023")</f>
        <v/>
      </c>
      <c r="Z40">
        <f>HYPERLINK("https://klasma.github.io/Logging_2462/fåglar/A 9048-2023 prioriterade fågelarter.docx", "A 9048-2023")</f>
        <v/>
      </c>
    </row>
    <row r="41" ht="15" customHeight="1">
      <c r="A41" t="inlineStr">
        <is>
          <t>A 9057-2023</t>
        </is>
      </c>
      <c r="B41" s="1" t="n">
        <v>44972</v>
      </c>
      <c r="C41" s="1" t="n">
        <v>45628</v>
      </c>
      <c r="D41" t="inlineStr">
        <is>
          <t>VÄSTERBOTTENS LÄN</t>
        </is>
      </c>
      <c r="E41" t="inlineStr">
        <is>
          <t>VILHELMINA</t>
        </is>
      </c>
      <c r="F41" t="inlineStr">
        <is>
          <t>Allmännings- och besparingsskogar</t>
        </is>
      </c>
      <c r="G41" t="n">
        <v>391.6</v>
      </c>
      <c r="H41" t="n">
        <v>3</v>
      </c>
      <c r="I41" t="n">
        <v>6</v>
      </c>
      <c r="J41" t="n">
        <v>9</v>
      </c>
      <c r="K41" t="n">
        <v>3</v>
      </c>
      <c r="L41" t="n">
        <v>0</v>
      </c>
      <c r="M41" t="n">
        <v>0</v>
      </c>
      <c r="N41" t="n">
        <v>0</v>
      </c>
      <c r="O41" t="n">
        <v>12</v>
      </c>
      <c r="P41" t="n">
        <v>3</v>
      </c>
      <c r="Q41" t="n">
        <v>18</v>
      </c>
      <c r="R41" s="2" t="inlineStr">
        <is>
          <t>Ostticka
Rynkskinn
Tajgaskinn
Fjällvråk
Granticka
Gränsticka
Harticka
Rosenticka
Skrovellav
Tretåig hackspett
Ullticka
Vedflikmossa
Bårdlav
Skinnlav
Spindelblomster
Stuplav
Vedticka
Ögonpyrola</t>
        </is>
      </c>
      <c r="S41">
        <f>HYPERLINK("https://klasma.github.io/Logging_2462/artfynd/A 9057-2023 artfynd.xlsx", "A 9057-2023")</f>
        <v/>
      </c>
      <c r="T41">
        <f>HYPERLINK("https://klasma.github.io/Logging_2462/kartor/A 9057-2023 karta.png", "A 9057-2023")</f>
        <v/>
      </c>
      <c r="V41">
        <f>HYPERLINK("https://klasma.github.io/Logging_2462/klagomål/A 9057-2023 FSC-klagomål.docx", "A 9057-2023")</f>
        <v/>
      </c>
      <c r="W41">
        <f>HYPERLINK("https://klasma.github.io/Logging_2462/klagomålsmail/A 9057-2023 FSC-klagomål mail.docx", "A 9057-2023")</f>
        <v/>
      </c>
      <c r="X41">
        <f>HYPERLINK("https://klasma.github.io/Logging_2462/tillsyn/A 9057-2023 tillsynsbegäran.docx", "A 9057-2023")</f>
        <v/>
      </c>
      <c r="Y41">
        <f>HYPERLINK("https://klasma.github.io/Logging_2462/tillsynsmail/A 9057-2023 tillsynsbegäran mail.docx", "A 9057-2023")</f>
        <v/>
      </c>
      <c r="Z41">
        <f>HYPERLINK("https://klasma.github.io/Logging_2462/fåglar/A 9057-2023 prioriterade fågelarter.docx", "A 9057-2023")</f>
        <v/>
      </c>
    </row>
    <row r="42" ht="15" customHeight="1">
      <c r="A42" t="inlineStr">
        <is>
          <t>A 17055-2023</t>
        </is>
      </c>
      <c r="B42" s="1" t="n">
        <v>45030</v>
      </c>
      <c r="C42" s="1" t="n">
        <v>45628</v>
      </c>
      <c r="D42" t="inlineStr">
        <is>
          <t>VÄSTERBOTTENS LÄN</t>
        </is>
      </c>
      <c r="E42" t="inlineStr">
        <is>
          <t>VILHELMINA</t>
        </is>
      </c>
      <c r="F42" t="inlineStr">
        <is>
          <t>Allmännings- och besparingsskogar</t>
        </is>
      </c>
      <c r="G42" t="n">
        <v>17.1</v>
      </c>
      <c r="H42" t="n">
        <v>2</v>
      </c>
      <c r="I42" t="n">
        <v>2</v>
      </c>
      <c r="J42" t="n">
        <v>13</v>
      </c>
      <c r="K42" t="n">
        <v>3</v>
      </c>
      <c r="L42" t="n">
        <v>0</v>
      </c>
      <c r="M42" t="n">
        <v>0</v>
      </c>
      <c r="N42" t="n">
        <v>0</v>
      </c>
      <c r="O42" t="n">
        <v>16</v>
      </c>
      <c r="P42" t="n">
        <v>3</v>
      </c>
      <c r="Q42" t="n">
        <v>18</v>
      </c>
      <c r="R42" s="2" t="inlineStr">
        <is>
          <t>Blackticka
Grantickeporing
Tajgaskinn
Doftskinn
Gammelgransskål
Garnlav
Granticka
Gränsticka
Harticka
Järpe
Knottrig blåslav
Rosenticka
Stjärntagging
Tretåig hackspett
Ullticka
Vitgrynig nållav
Stuplav
Vedticka</t>
        </is>
      </c>
      <c r="S42">
        <f>HYPERLINK("https://klasma.github.io/Logging_2462/artfynd/A 17055-2023 artfynd.xlsx", "A 17055-2023")</f>
        <v/>
      </c>
      <c r="T42">
        <f>HYPERLINK("https://klasma.github.io/Logging_2462/kartor/A 17055-2023 karta.png", "A 17055-2023")</f>
        <v/>
      </c>
      <c r="V42">
        <f>HYPERLINK("https://klasma.github.io/Logging_2462/klagomål/A 17055-2023 FSC-klagomål.docx", "A 17055-2023")</f>
        <v/>
      </c>
      <c r="W42">
        <f>HYPERLINK("https://klasma.github.io/Logging_2462/klagomålsmail/A 17055-2023 FSC-klagomål mail.docx", "A 17055-2023")</f>
        <v/>
      </c>
      <c r="X42">
        <f>HYPERLINK("https://klasma.github.io/Logging_2462/tillsyn/A 17055-2023 tillsynsbegäran.docx", "A 17055-2023")</f>
        <v/>
      </c>
      <c r="Y42">
        <f>HYPERLINK("https://klasma.github.io/Logging_2462/tillsynsmail/A 17055-2023 tillsynsbegäran mail.docx", "A 17055-2023")</f>
        <v/>
      </c>
      <c r="Z42">
        <f>HYPERLINK("https://klasma.github.io/Logging_2462/fåglar/A 17055-2023 prioriterade fågelarter.docx", "A 17055-2023")</f>
        <v/>
      </c>
    </row>
    <row r="43" ht="15" customHeight="1">
      <c r="A43" t="inlineStr">
        <is>
          <t>A 17045-2023</t>
        </is>
      </c>
      <c r="B43" s="1" t="n">
        <v>45030</v>
      </c>
      <c r="C43" s="1" t="n">
        <v>45628</v>
      </c>
      <c r="D43" t="inlineStr">
        <is>
          <t>VÄSTERBOTTENS LÄN</t>
        </is>
      </c>
      <c r="E43" t="inlineStr">
        <is>
          <t>VILHELMINA</t>
        </is>
      </c>
      <c r="F43" t="inlineStr">
        <is>
          <t>Allmännings- och besparingsskogar</t>
        </is>
      </c>
      <c r="G43" t="n">
        <v>20</v>
      </c>
      <c r="H43" t="n">
        <v>1</v>
      </c>
      <c r="I43" t="n">
        <v>5</v>
      </c>
      <c r="J43" t="n">
        <v>11</v>
      </c>
      <c r="K43" t="n">
        <v>2</v>
      </c>
      <c r="L43" t="n">
        <v>0</v>
      </c>
      <c r="M43" t="n">
        <v>0</v>
      </c>
      <c r="N43" t="n">
        <v>0</v>
      </c>
      <c r="O43" t="n">
        <v>13</v>
      </c>
      <c r="P43" t="n">
        <v>2</v>
      </c>
      <c r="Q43" t="n">
        <v>18</v>
      </c>
      <c r="R43" s="2" t="inlineStr">
        <is>
          <t>Grantickeporing
Rynkskinn
Brunpudrad nållav
Doftskinn
Gammelgransskål
Garnlav
Granticka
Gränsticka
Harticka
Knottrig blåslav
Skrovellav
Tretåig hackspett
Vitgrynig nållav
Bårdlav
Luddlav
Stuplav
Trådticka
Ögonpyrola</t>
        </is>
      </c>
      <c r="S43">
        <f>HYPERLINK("https://klasma.github.io/Logging_2462/artfynd/A 17045-2023 artfynd.xlsx", "A 17045-2023")</f>
        <v/>
      </c>
      <c r="T43">
        <f>HYPERLINK("https://klasma.github.io/Logging_2462/kartor/A 17045-2023 karta.png", "A 17045-2023")</f>
        <v/>
      </c>
      <c r="V43">
        <f>HYPERLINK("https://klasma.github.io/Logging_2462/klagomål/A 17045-2023 FSC-klagomål.docx", "A 17045-2023")</f>
        <v/>
      </c>
      <c r="W43">
        <f>HYPERLINK("https://klasma.github.io/Logging_2462/klagomålsmail/A 17045-2023 FSC-klagomål mail.docx", "A 17045-2023")</f>
        <v/>
      </c>
      <c r="X43">
        <f>HYPERLINK("https://klasma.github.io/Logging_2462/tillsyn/A 17045-2023 tillsynsbegäran.docx", "A 17045-2023")</f>
        <v/>
      </c>
      <c r="Y43">
        <f>HYPERLINK("https://klasma.github.io/Logging_2462/tillsynsmail/A 17045-2023 tillsynsbegäran mail.docx", "A 17045-2023")</f>
        <v/>
      </c>
      <c r="Z43">
        <f>HYPERLINK("https://klasma.github.io/Logging_2462/fåglar/A 17045-2023 prioriterade fågelarter.docx", "A 17045-2023")</f>
        <v/>
      </c>
    </row>
    <row r="44" ht="15" customHeight="1">
      <c r="A44" t="inlineStr">
        <is>
          <t>A 48248-2023</t>
        </is>
      </c>
      <c r="B44" s="1" t="n">
        <v>45201</v>
      </c>
      <c r="C44" s="1" t="n">
        <v>45628</v>
      </c>
      <c r="D44" t="inlineStr">
        <is>
          <t>VÄSTERBOTTENS LÄN</t>
        </is>
      </c>
      <c r="E44" t="inlineStr">
        <is>
          <t>VILHELMINA</t>
        </is>
      </c>
      <c r="F44" t="inlineStr">
        <is>
          <t>Allmännings- och besparingsskogar</t>
        </is>
      </c>
      <c r="G44" t="n">
        <v>34.2</v>
      </c>
      <c r="H44" t="n">
        <v>7</v>
      </c>
      <c r="I44" t="n">
        <v>3</v>
      </c>
      <c r="J44" t="n">
        <v>11</v>
      </c>
      <c r="K44" t="n">
        <v>1</v>
      </c>
      <c r="L44" t="n">
        <v>0</v>
      </c>
      <c r="M44" t="n">
        <v>0</v>
      </c>
      <c r="N44" t="n">
        <v>0</v>
      </c>
      <c r="O44" t="n">
        <v>12</v>
      </c>
      <c r="P44" t="n">
        <v>1</v>
      </c>
      <c r="Q44" t="n">
        <v>18</v>
      </c>
      <c r="R44" s="2" t="inlineStr">
        <is>
          <t>Tallbit
Garnlav
Granticka
Järpe
Liten svartspik
Lunglav
Rödbrun blekspik
Skrovellav
Talltita
Tretåig hackspett
Vitgrynig nållav
Vitskaftad svartspik
Bårdlav
Gulnål
Stuplav
Lavskrika
Sparvuggla
Tjäder</t>
        </is>
      </c>
      <c r="S44">
        <f>HYPERLINK("https://klasma.github.io/Logging_2462/artfynd/A 48248-2023 artfynd.xlsx", "A 48248-2023")</f>
        <v/>
      </c>
      <c r="T44">
        <f>HYPERLINK("https://klasma.github.io/Logging_2462/kartor/A 48248-2023 karta.png", "A 48248-2023")</f>
        <v/>
      </c>
      <c r="V44">
        <f>HYPERLINK("https://klasma.github.io/Logging_2462/klagomål/A 48248-2023 FSC-klagomål.docx", "A 48248-2023")</f>
        <v/>
      </c>
      <c r="W44">
        <f>HYPERLINK("https://klasma.github.io/Logging_2462/klagomålsmail/A 48248-2023 FSC-klagomål mail.docx", "A 48248-2023")</f>
        <v/>
      </c>
      <c r="X44">
        <f>HYPERLINK("https://klasma.github.io/Logging_2462/tillsyn/A 48248-2023 tillsynsbegäran.docx", "A 48248-2023")</f>
        <v/>
      </c>
      <c r="Y44">
        <f>HYPERLINK("https://klasma.github.io/Logging_2462/tillsynsmail/A 48248-2023 tillsynsbegäran mail.docx", "A 48248-2023")</f>
        <v/>
      </c>
      <c r="Z44">
        <f>HYPERLINK("https://klasma.github.io/Logging_2462/fåglar/A 48248-2023 prioriterade fågelarter.docx", "A 48248-2023")</f>
        <v/>
      </c>
    </row>
    <row r="45" ht="15" customHeight="1">
      <c r="A45" t="inlineStr">
        <is>
          <t>A 28687-2024</t>
        </is>
      </c>
      <c r="B45" s="1" t="n">
        <v>45478</v>
      </c>
      <c r="C45" s="1" t="n">
        <v>45628</v>
      </c>
      <c r="D45" t="inlineStr">
        <is>
          <t>VÄSTERBOTTENS LÄN</t>
        </is>
      </c>
      <c r="E45" t="inlineStr">
        <is>
          <t>VILHELMINA</t>
        </is>
      </c>
      <c r="F45" t="inlineStr">
        <is>
          <t>Allmännings- och besparingsskogar</t>
        </is>
      </c>
      <c r="G45" t="n">
        <v>7.1</v>
      </c>
      <c r="H45" t="n">
        <v>4</v>
      </c>
      <c r="I45" t="n">
        <v>6</v>
      </c>
      <c r="J45" t="n">
        <v>11</v>
      </c>
      <c r="K45" t="n">
        <v>0</v>
      </c>
      <c r="L45" t="n">
        <v>0</v>
      </c>
      <c r="M45" t="n">
        <v>0</v>
      </c>
      <c r="N45" t="n">
        <v>0</v>
      </c>
      <c r="O45" t="n">
        <v>11</v>
      </c>
      <c r="P45" t="n">
        <v>0</v>
      </c>
      <c r="Q45" t="n">
        <v>18</v>
      </c>
      <c r="R45" s="2" t="inlineStr">
        <is>
          <t>Brunpudrad nållav
Doftskinn
Gammelgransskål
Garnlav
Gränsticka
Liten svartspik
Rödbrun blekspik
Skrovellav
Talltita
Tretåig hackspett
Vitgrynig nållav
Gulnål
Luddlav
Mörk husmossa
Sotlav
Spindelblomster
Stuplav
Revlummer</t>
        </is>
      </c>
      <c r="S45">
        <f>HYPERLINK("https://klasma.github.io/Logging_2462/artfynd/A 28687-2024 artfynd.xlsx", "A 28687-2024")</f>
        <v/>
      </c>
      <c r="T45">
        <f>HYPERLINK("https://klasma.github.io/Logging_2462/kartor/A 28687-2024 karta.png", "A 28687-2024")</f>
        <v/>
      </c>
      <c r="V45">
        <f>HYPERLINK("https://klasma.github.io/Logging_2462/klagomål/A 28687-2024 FSC-klagomål.docx", "A 28687-2024")</f>
        <v/>
      </c>
      <c r="W45">
        <f>HYPERLINK("https://klasma.github.io/Logging_2462/klagomålsmail/A 28687-2024 FSC-klagomål mail.docx", "A 28687-2024")</f>
        <v/>
      </c>
      <c r="X45">
        <f>HYPERLINK("https://klasma.github.io/Logging_2462/tillsyn/A 28687-2024 tillsynsbegäran.docx", "A 28687-2024")</f>
        <v/>
      </c>
      <c r="Y45">
        <f>HYPERLINK("https://klasma.github.io/Logging_2462/tillsynsmail/A 28687-2024 tillsynsbegäran mail.docx", "A 28687-2024")</f>
        <v/>
      </c>
      <c r="Z45">
        <f>HYPERLINK("https://klasma.github.io/Logging_2462/fåglar/A 28687-2024 prioriterade fågelarter.docx", "A 28687-2024")</f>
        <v/>
      </c>
    </row>
    <row r="46" ht="15" customHeight="1">
      <c r="A46" t="inlineStr">
        <is>
          <t>A 42064-2024</t>
        </is>
      </c>
      <c r="B46" s="1" t="n">
        <v>45561</v>
      </c>
      <c r="C46" s="1" t="n">
        <v>45628</v>
      </c>
      <c r="D46" t="inlineStr">
        <is>
          <t>VÄSTERBOTTENS LÄN</t>
        </is>
      </c>
      <c r="E46" t="inlineStr">
        <is>
          <t>VILHELMINA</t>
        </is>
      </c>
      <c r="G46" t="n">
        <v>37.2</v>
      </c>
      <c r="H46" t="n">
        <v>3</v>
      </c>
      <c r="I46" t="n">
        <v>2</v>
      </c>
      <c r="J46" t="n">
        <v>15</v>
      </c>
      <c r="K46" t="n">
        <v>1</v>
      </c>
      <c r="L46" t="n">
        <v>0</v>
      </c>
      <c r="M46" t="n">
        <v>0</v>
      </c>
      <c r="N46" t="n">
        <v>0</v>
      </c>
      <c r="O46" t="n">
        <v>16</v>
      </c>
      <c r="P46" t="n">
        <v>1</v>
      </c>
      <c r="Q46" t="n">
        <v>18</v>
      </c>
      <c r="R46" s="2" t="inlineStr">
        <is>
          <t>Ulltickeporing
Blanksvart spiklav
Gammelgransskål
Garnlav
Granticka
Harticka
Järpe
Kortskaftad ärgspik
Leptoporus mollis
Rosenticka
Skogshare
Skrovellav
Talltita
Tretåig hackspett
Ullticka
Vitgrynig nållav
Korallblylav
Luddlav</t>
        </is>
      </c>
      <c r="S46">
        <f>HYPERLINK("https://klasma.github.io/Logging_2462/artfynd/A 42064-2024 artfynd.xlsx", "A 42064-2024")</f>
        <v/>
      </c>
      <c r="T46">
        <f>HYPERLINK("https://klasma.github.io/Logging_2462/kartor/A 42064-2024 karta.png", "A 42064-2024")</f>
        <v/>
      </c>
      <c r="V46">
        <f>HYPERLINK("https://klasma.github.io/Logging_2462/klagomål/A 42064-2024 FSC-klagomål.docx", "A 42064-2024")</f>
        <v/>
      </c>
      <c r="W46">
        <f>HYPERLINK("https://klasma.github.io/Logging_2462/klagomålsmail/A 42064-2024 FSC-klagomål mail.docx", "A 42064-2024")</f>
        <v/>
      </c>
      <c r="X46">
        <f>HYPERLINK("https://klasma.github.io/Logging_2462/tillsyn/A 42064-2024 tillsynsbegäran.docx", "A 42064-2024")</f>
        <v/>
      </c>
      <c r="Y46">
        <f>HYPERLINK("https://klasma.github.io/Logging_2462/tillsynsmail/A 42064-2024 tillsynsbegäran mail.docx", "A 42064-2024")</f>
        <v/>
      </c>
      <c r="Z46">
        <f>HYPERLINK("https://klasma.github.io/Logging_2462/fåglar/A 42064-2024 prioriterade fågelarter.docx", "A 42064-2024")</f>
        <v/>
      </c>
    </row>
    <row r="47" ht="15" customHeight="1">
      <c r="A47" t="inlineStr">
        <is>
          <t>A 66998-2021</t>
        </is>
      </c>
      <c r="B47" s="1" t="n">
        <v>44522</v>
      </c>
      <c r="C47" s="1" t="n">
        <v>45628</v>
      </c>
      <c r="D47" t="inlineStr">
        <is>
          <t>VÄSTERBOTTENS LÄN</t>
        </is>
      </c>
      <c r="E47" t="inlineStr">
        <is>
          <t>VILHELMINA</t>
        </is>
      </c>
      <c r="F47" t="inlineStr">
        <is>
          <t>Allmännings- och besparingsskogar</t>
        </is>
      </c>
      <c r="G47" t="n">
        <v>573.2</v>
      </c>
      <c r="H47" t="n">
        <v>0</v>
      </c>
      <c r="I47" t="n">
        <v>1</v>
      </c>
      <c r="J47" t="n">
        <v>12</v>
      </c>
      <c r="K47" t="n">
        <v>4</v>
      </c>
      <c r="L47" t="n">
        <v>0</v>
      </c>
      <c r="M47" t="n">
        <v>0</v>
      </c>
      <c r="N47" t="n">
        <v>0</v>
      </c>
      <c r="O47" t="n">
        <v>16</v>
      </c>
      <c r="P47" t="n">
        <v>4</v>
      </c>
      <c r="Q47" t="n">
        <v>17</v>
      </c>
      <c r="R47" s="2" t="inlineStr">
        <is>
          <t>Lappticka
Ostticka
Rynkskinn
Tajgaskinn
Brunpudrad nållav
Doftskinn
Gammelgransskål
Garnlav
Gränsticka
Harticka
Knottrig blåslav
Rosenticka
Rödbrun blekspik
Ullticka
Urnlav
Vitskaftad svartspik
Sotlav</t>
        </is>
      </c>
      <c r="S47">
        <f>HYPERLINK("https://klasma.github.io/Logging_2462/artfynd/A 66998-2021 artfynd.xlsx", "A 66998-2021")</f>
        <v/>
      </c>
      <c r="T47">
        <f>HYPERLINK("https://klasma.github.io/Logging_2462/kartor/A 66998-2021 karta.png", "A 66998-2021")</f>
        <v/>
      </c>
      <c r="V47">
        <f>HYPERLINK("https://klasma.github.io/Logging_2462/klagomål/A 66998-2021 FSC-klagomål.docx", "A 66998-2021")</f>
        <v/>
      </c>
      <c r="W47">
        <f>HYPERLINK("https://klasma.github.io/Logging_2462/klagomålsmail/A 66998-2021 FSC-klagomål mail.docx", "A 66998-2021")</f>
        <v/>
      </c>
      <c r="X47">
        <f>HYPERLINK("https://klasma.github.io/Logging_2462/tillsyn/A 66998-2021 tillsynsbegäran.docx", "A 66998-2021")</f>
        <v/>
      </c>
      <c r="Y47">
        <f>HYPERLINK("https://klasma.github.io/Logging_2462/tillsynsmail/A 66998-2021 tillsynsbegäran mail.docx", "A 66998-2021")</f>
        <v/>
      </c>
    </row>
    <row r="48" ht="15" customHeight="1">
      <c r="A48" t="inlineStr">
        <is>
          <t>A 48227-2023</t>
        </is>
      </c>
      <c r="B48" s="1" t="n">
        <v>45201</v>
      </c>
      <c r="C48" s="1" t="n">
        <v>45628</v>
      </c>
      <c r="D48" t="inlineStr">
        <is>
          <t>VÄSTERBOTTENS LÄN</t>
        </is>
      </c>
      <c r="E48" t="inlineStr">
        <is>
          <t>VILHELMINA</t>
        </is>
      </c>
      <c r="F48" t="inlineStr">
        <is>
          <t>Allmännings- och besparingsskogar</t>
        </is>
      </c>
      <c r="G48" t="n">
        <v>7.9</v>
      </c>
      <c r="H48" t="n">
        <v>4</v>
      </c>
      <c r="I48" t="n">
        <v>1</v>
      </c>
      <c r="J48" t="n">
        <v>13</v>
      </c>
      <c r="K48" t="n">
        <v>2</v>
      </c>
      <c r="L48" t="n">
        <v>0</v>
      </c>
      <c r="M48" t="n">
        <v>0</v>
      </c>
      <c r="N48" t="n">
        <v>0</v>
      </c>
      <c r="O48" t="n">
        <v>15</v>
      </c>
      <c r="P48" t="n">
        <v>2</v>
      </c>
      <c r="Q48" t="n">
        <v>17</v>
      </c>
      <c r="R48" s="2" t="inlineStr">
        <is>
          <t>Liten sotlav
Rynkskinn
Gammelgransskål
Garnlav
Granticka
Gränsticka
Harticka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49183-2023</t>
        </is>
      </c>
      <c r="B49" s="1" t="n">
        <v>45205</v>
      </c>
      <c r="C49" s="1" t="n">
        <v>45628</v>
      </c>
      <c r="D49" t="inlineStr">
        <is>
          <t>VÄSTERBOTTENS LÄN</t>
        </is>
      </c>
      <c r="E49" t="inlineStr">
        <is>
          <t>VILHELMINA</t>
        </is>
      </c>
      <c r="F49" t="inlineStr">
        <is>
          <t>Allmännings- och besparingsskogar</t>
        </is>
      </c>
      <c r="G49" t="n">
        <v>32.9</v>
      </c>
      <c r="H49" t="n">
        <v>3</v>
      </c>
      <c r="I49" t="n">
        <v>4</v>
      </c>
      <c r="J49" t="n">
        <v>12</v>
      </c>
      <c r="K49" t="n">
        <v>0</v>
      </c>
      <c r="L49" t="n">
        <v>0</v>
      </c>
      <c r="M49" t="n">
        <v>0</v>
      </c>
      <c r="N49" t="n">
        <v>0</v>
      </c>
      <c r="O49" t="n">
        <v>12</v>
      </c>
      <c r="P49" t="n">
        <v>0</v>
      </c>
      <c r="Q49" t="n">
        <v>17</v>
      </c>
      <c r="R49" s="2" t="inlineStr">
        <is>
          <t>Doftskinn
Garnlav
Granticka
Gränsticka
Leptoporus mollis
Rosenticka
Rödbrun blekspik
Skogshare
Skrovellav
Talltita
Tretåig hackspett
Ullticka
Rostfläck
Stuplav
Trådticka
Vedticka
Lavskrika</t>
        </is>
      </c>
      <c r="S49">
        <f>HYPERLINK("https://klasma.github.io/Logging_2462/artfynd/A 49183-2023 artfynd.xlsx", "A 49183-2023")</f>
        <v/>
      </c>
      <c r="T49">
        <f>HYPERLINK("https://klasma.github.io/Logging_2462/kartor/A 49183-2023 karta.png", "A 49183-2023")</f>
        <v/>
      </c>
      <c r="V49">
        <f>HYPERLINK("https://klasma.github.io/Logging_2462/klagomål/A 49183-2023 FSC-klagomål.docx", "A 49183-2023")</f>
        <v/>
      </c>
      <c r="W49">
        <f>HYPERLINK("https://klasma.github.io/Logging_2462/klagomålsmail/A 49183-2023 FSC-klagomål mail.docx", "A 49183-2023")</f>
        <v/>
      </c>
      <c r="X49">
        <f>HYPERLINK("https://klasma.github.io/Logging_2462/tillsyn/A 49183-2023 tillsynsbegäran.docx", "A 49183-2023")</f>
        <v/>
      </c>
      <c r="Y49">
        <f>HYPERLINK("https://klasma.github.io/Logging_2462/tillsynsmail/A 49183-2023 tillsynsbegäran mail.docx", "A 49183-2023")</f>
        <v/>
      </c>
      <c r="Z49">
        <f>HYPERLINK("https://klasma.github.io/Logging_2462/fåglar/A 49183-2023 prioriterade fågelarter.docx", "A 49183-2023")</f>
        <v/>
      </c>
    </row>
    <row r="50" ht="15" customHeight="1">
      <c r="A50" t="inlineStr">
        <is>
          <t>A 30573-2024</t>
        </is>
      </c>
      <c r="B50" s="1" t="n">
        <v>45493</v>
      </c>
      <c r="C50" s="1" t="n">
        <v>45628</v>
      </c>
      <c r="D50" t="inlineStr">
        <is>
          <t>VÄSTERBOTTENS LÄN</t>
        </is>
      </c>
      <c r="E50" t="inlineStr">
        <is>
          <t>VILHELMINA</t>
        </is>
      </c>
      <c r="F50" t="inlineStr">
        <is>
          <t>SCA</t>
        </is>
      </c>
      <c r="G50" t="n">
        <v>5.8</v>
      </c>
      <c r="H50" t="n">
        <v>2</v>
      </c>
      <c r="I50" t="n">
        <v>3</v>
      </c>
      <c r="J50" t="n">
        <v>12</v>
      </c>
      <c r="K50" t="n">
        <v>1</v>
      </c>
      <c r="L50" t="n">
        <v>0</v>
      </c>
      <c r="M50" t="n">
        <v>0</v>
      </c>
      <c r="N50" t="n">
        <v>0</v>
      </c>
      <c r="O50" t="n">
        <v>13</v>
      </c>
      <c r="P50" t="n">
        <v>1</v>
      </c>
      <c r="Q50" t="n">
        <v>17</v>
      </c>
      <c r="R50" s="2" t="inlineStr">
        <is>
          <t>Ulltickeporing
Garnlav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40936-2024</t>
        </is>
      </c>
      <c r="B51" s="1" t="n">
        <v>45558</v>
      </c>
      <c r="C51" s="1" t="n">
        <v>45628</v>
      </c>
      <c r="D51" t="inlineStr">
        <is>
          <t>VÄSTERBOTTENS LÄN</t>
        </is>
      </c>
      <c r="E51" t="inlineStr">
        <is>
          <t>VILHELMINA</t>
        </is>
      </c>
      <c r="F51" t="inlineStr">
        <is>
          <t>Allmännings- och besparingsskogar</t>
        </is>
      </c>
      <c r="G51" t="n">
        <v>12.7</v>
      </c>
      <c r="H51" t="n">
        <v>3</v>
      </c>
      <c r="I51" t="n">
        <v>3</v>
      </c>
      <c r="J51" t="n">
        <v>12</v>
      </c>
      <c r="K51" t="n">
        <v>1</v>
      </c>
      <c r="L51" t="n">
        <v>0</v>
      </c>
      <c r="M51" t="n">
        <v>0</v>
      </c>
      <c r="N51" t="n">
        <v>0</v>
      </c>
      <c r="O51" t="n">
        <v>13</v>
      </c>
      <c r="P51" t="n">
        <v>1</v>
      </c>
      <c r="Q51" t="n">
        <v>17</v>
      </c>
      <c r="R51" s="2" t="inlineStr">
        <is>
          <t>Ostticka
Gammelgransskål
Garnlav
Granticka
Harticka
Leptoporus mollis
Lunglav
Rosenticka
Skrovellav
Talltita
Tretåig hackspett
Vitgrynig nållav
Vitskaftad svartspik
Bårdlav
Luddlav
Stuplav
Lavskrika</t>
        </is>
      </c>
      <c r="S51">
        <f>HYPERLINK("https://klasma.github.io/Logging_2462/artfynd/A 40936-2024 artfynd.xlsx", "A 40936-2024")</f>
        <v/>
      </c>
      <c r="T51">
        <f>HYPERLINK("https://klasma.github.io/Logging_2462/kartor/A 40936-2024 karta.png", "A 40936-2024")</f>
        <v/>
      </c>
      <c r="V51">
        <f>HYPERLINK("https://klasma.github.io/Logging_2462/klagomål/A 40936-2024 FSC-klagomål.docx", "A 40936-2024")</f>
        <v/>
      </c>
      <c r="W51">
        <f>HYPERLINK("https://klasma.github.io/Logging_2462/klagomålsmail/A 40936-2024 FSC-klagomål mail.docx", "A 40936-2024")</f>
        <v/>
      </c>
      <c r="X51">
        <f>HYPERLINK("https://klasma.github.io/Logging_2462/tillsyn/A 40936-2024 tillsynsbegäran.docx", "A 40936-2024")</f>
        <v/>
      </c>
      <c r="Y51">
        <f>HYPERLINK("https://klasma.github.io/Logging_2462/tillsynsmail/A 40936-2024 tillsynsbegäran mail.docx", "A 40936-2024")</f>
        <v/>
      </c>
      <c r="Z51">
        <f>HYPERLINK("https://klasma.github.io/Logging_2462/fåglar/A 40936-2024 prioriterade fågelarter.docx", "A 40936-2024")</f>
        <v/>
      </c>
    </row>
    <row r="52" ht="15" customHeight="1">
      <c r="A52" t="inlineStr">
        <is>
          <t>A 46776-2024</t>
        </is>
      </c>
      <c r="B52" s="1" t="n">
        <v>45583</v>
      </c>
      <c r="C52" s="1" t="n">
        <v>45628</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66026-2019</t>
        </is>
      </c>
      <c r="B53" s="1" t="n">
        <v>43805</v>
      </c>
      <c r="C53" s="1" t="n">
        <v>45628</v>
      </c>
      <c r="D53" t="inlineStr">
        <is>
          <t>VÄSTERBOTTENS LÄN</t>
        </is>
      </c>
      <c r="E53" t="inlineStr">
        <is>
          <t>VILHELMINA</t>
        </is>
      </c>
      <c r="F53" t="inlineStr">
        <is>
          <t>Kommuner</t>
        </is>
      </c>
      <c r="G53" t="n">
        <v>7.2</v>
      </c>
      <c r="H53" t="n">
        <v>2</v>
      </c>
      <c r="I53" t="n">
        <v>3</v>
      </c>
      <c r="J53" t="n">
        <v>11</v>
      </c>
      <c r="K53" t="n">
        <v>1</v>
      </c>
      <c r="L53" t="n">
        <v>0</v>
      </c>
      <c r="M53" t="n">
        <v>0</v>
      </c>
      <c r="N53" t="n">
        <v>0</v>
      </c>
      <c r="O53" t="n">
        <v>12</v>
      </c>
      <c r="P53" t="n">
        <v>1</v>
      </c>
      <c r="Q53" t="n">
        <v>16</v>
      </c>
      <c r="R53" s="2" t="inlineStr">
        <is>
          <t>Liten sotlav
Doftskinn
Gammelgransskål
Garnlav
Granticka
Gränsticka
Knottrig blåslav
Rödbrun blekspik
Skrovellav
Tretåig hackspett
Ullticka
Vitgrynig nållav
Gulnål
Stuplav
Vedticka
Kungsfågel</t>
        </is>
      </c>
      <c r="S53">
        <f>HYPERLINK("https://klasma.github.io/Logging_2462/artfynd/A 66026-2019 artfynd.xlsx", "A 66026-2019")</f>
        <v/>
      </c>
      <c r="T53">
        <f>HYPERLINK("https://klasma.github.io/Logging_2462/kartor/A 66026-2019 karta.png", "A 66026-2019")</f>
        <v/>
      </c>
      <c r="V53">
        <f>HYPERLINK("https://klasma.github.io/Logging_2462/klagomål/A 66026-2019 FSC-klagomål.docx", "A 66026-2019")</f>
        <v/>
      </c>
      <c r="W53">
        <f>HYPERLINK("https://klasma.github.io/Logging_2462/klagomålsmail/A 66026-2019 FSC-klagomål mail.docx", "A 66026-2019")</f>
        <v/>
      </c>
      <c r="X53">
        <f>HYPERLINK("https://klasma.github.io/Logging_2462/tillsyn/A 66026-2019 tillsynsbegäran.docx", "A 66026-2019")</f>
        <v/>
      </c>
      <c r="Y53">
        <f>HYPERLINK("https://klasma.github.io/Logging_2462/tillsynsmail/A 66026-2019 tillsynsbegäran mail.docx", "A 66026-2019")</f>
        <v/>
      </c>
      <c r="Z53">
        <f>HYPERLINK("https://klasma.github.io/Logging_2462/fåglar/A 66026-2019 prioriterade fågelarter.docx", "A 66026-2019")</f>
        <v/>
      </c>
    </row>
    <row r="54" ht="15" customHeight="1">
      <c r="A54" t="inlineStr">
        <is>
          <t>A 26628-2020</t>
        </is>
      </c>
      <c r="B54" s="1" t="n">
        <v>43987</v>
      </c>
      <c r="C54" s="1" t="n">
        <v>45628</v>
      </c>
      <c r="D54" t="inlineStr">
        <is>
          <t>VÄSTERBOTTENS LÄN</t>
        </is>
      </c>
      <c r="E54" t="inlineStr">
        <is>
          <t>VILHELMINA</t>
        </is>
      </c>
      <c r="F54" t="inlineStr">
        <is>
          <t>SCA</t>
        </is>
      </c>
      <c r="G54" t="n">
        <v>8.9</v>
      </c>
      <c r="H54" t="n">
        <v>3</v>
      </c>
      <c r="I54" t="n">
        <v>5</v>
      </c>
      <c r="J54" t="n">
        <v>9</v>
      </c>
      <c r="K54" t="n">
        <v>1</v>
      </c>
      <c r="L54" t="n">
        <v>0</v>
      </c>
      <c r="M54" t="n">
        <v>0</v>
      </c>
      <c r="N54" t="n">
        <v>0</v>
      </c>
      <c r="O54" t="n">
        <v>10</v>
      </c>
      <c r="P54" t="n">
        <v>1</v>
      </c>
      <c r="Q54" t="n">
        <v>16</v>
      </c>
      <c r="R54" s="2" t="inlineStr">
        <is>
          <t>Skuggnål
Garnlav
Granticka
Gränsticka
Liten svartspik
Lunglav
Rödbrun blekspik
Talltita
Tretåig hackspett
Vitgrynig nållav
Bårdlav
Luddlav
Mörk husmossa
Stuplav
Vedticka
Revlummer</t>
        </is>
      </c>
      <c r="S54">
        <f>HYPERLINK("https://klasma.github.io/Logging_2462/artfynd/A 26628-2020 artfynd.xlsx", "A 26628-2020")</f>
        <v/>
      </c>
      <c r="T54">
        <f>HYPERLINK("https://klasma.github.io/Logging_2462/kartor/A 26628-2020 karta.png", "A 26628-2020")</f>
        <v/>
      </c>
      <c r="V54">
        <f>HYPERLINK("https://klasma.github.io/Logging_2462/klagomål/A 26628-2020 FSC-klagomål.docx", "A 26628-2020")</f>
        <v/>
      </c>
      <c r="W54">
        <f>HYPERLINK("https://klasma.github.io/Logging_2462/klagomålsmail/A 26628-2020 FSC-klagomål mail.docx", "A 26628-2020")</f>
        <v/>
      </c>
      <c r="X54">
        <f>HYPERLINK("https://klasma.github.io/Logging_2462/tillsyn/A 26628-2020 tillsynsbegäran.docx", "A 26628-2020")</f>
        <v/>
      </c>
      <c r="Y54">
        <f>HYPERLINK("https://klasma.github.io/Logging_2462/tillsynsmail/A 26628-2020 tillsynsbegäran mail.docx", "A 26628-2020")</f>
        <v/>
      </c>
      <c r="Z54">
        <f>HYPERLINK("https://klasma.github.io/Logging_2462/fåglar/A 26628-2020 prioriterade fågelarter.docx", "A 26628-2020")</f>
        <v/>
      </c>
    </row>
    <row r="55" ht="15" customHeight="1">
      <c r="A55" t="inlineStr">
        <is>
          <t>A 35082-2020</t>
        </is>
      </c>
      <c r="B55" s="1" t="n">
        <v>44039</v>
      </c>
      <c r="C55" s="1" t="n">
        <v>45628</v>
      </c>
      <c r="D55" t="inlineStr">
        <is>
          <t>VÄSTERBOTTENS LÄN</t>
        </is>
      </c>
      <c r="E55" t="inlineStr">
        <is>
          <t>VILHELMINA</t>
        </is>
      </c>
      <c r="F55" t="inlineStr">
        <is>
          <t>SCA</t>
        </is>
      </c>
      <c r="G55" t="n">
        <v>8.9</v>
      </c>
      <c r="H55" t="n">
        <v>3</v>
      </c>
      <c r="I55" t="n">
        <v>5</v>
      </c>
      <c r="J55" t="n">
        <v>9</v>
      </c>
      <c r="K55" t="n">
        <v>1</v>
      </c>
      <c r="L55" t="n">
        <v>0</v>
      </c>
      <c r="M55" t="n">
        <v>0</v>
      </c>
      <c r="N55" t="n">
        <v>0</v>
      </c>
      <c r="O55" t="n">
        <v>10</v>
      </c>
      <c r="P55" t="n">
        <v>1</v>
      </c>
      <c r="Q55" t="n">
        <v>16</v>
      </c>
      <c r="R55" s="2" t="inlineStr">
        <is>
          <t>Skuggnål
Garnlav
Granticka
Gränsticka
Liten svartspik
Lunglav
Rödbrun blekspik
Talltita
Tretåig hackspett
Vitgrynig nållav
Bårdlav
Luddlav
Mörk husmossa
Stuplav
Vedticka
Revlummer</t>
        </is>
      </c>
      <c r="S55">
        <f>HYPERLINK("https://klasma.github.io/Logging_2462/artfynd/A 35082-2020 artfynd.xlsx", "A 35082-2020")</f>
        <v/>
      </c>
      <c r="T55">
        <f>HYPERLINK("https://klasma.github.io/Logging_2462/kartor/A 35082-2020 karta.png", "A 35082-2020")</f>
        <v/>
      </c>
      <c r="V55">
        <f>HYPERLINK("https://klasma.github.io/Logging_2462/klagomål/A 35082-2020 FSC-klagomål.docx", "A 35082-2020")</f>
        <v/>
      </c>
      <c r="W55">
        <f>HYPERLINK("https://klasma.github.io/Logging_2462/klagomålsmail/A 35082-2020 FSC-klagomål mail.docx", "A 35082-2020")</f>
        <v/>
      </c>
      <c r="X55">
        <f>HYPERLINK("https://klasma.github.io/Logging_2462/tillsyn/A 35082-2020 tillsynsbegäran.docx", "A 35082-2020")</f>
        <v/>
      </c>
      <c r="Y55">
        <f>HYPERLINK("https://klasma.github.io/Logging_2462/tillsynsmail/A 35082-2020 tillsynsbegäran mail.docx", "A 35082-2020")</f>
        <v/>
      </c>
      <c r="Z55">
        <f>HYPERLINK("https://klasma.github.io/Logging_2462/fåglar/A 35082-2020 prioriterade fågelarter.docx", "A 35082-2020")</f>
        <v/>
      </c>
    </row>
    <row r="56" ht="15" customHeight="1">
      <c r="A56" t="inlineStr">
        <is>
          <t>A 20418-2023</t>
        </is>
      </c>
      <c r="B56" s="1" t="n">
        <v>45054</v>
      </c>
      <c r="C56" s="1" t="n">
        <v>45628</v>
      </c>
      <c r="D56" t="inlineStr">
        <is>
          <t>VÄSTERBOTTENS LÄN</t>
        </is>
      </c>
      <c r="E56" t="inlineStr">
        <is>
          <t>VILHELMINA</t>
        </is>
      </c>
      <c r="F56" t="inlineStr">
        <is>
          <t>Övriga statliga verk och myndigheter</t>
        </is>
      </c>
      <c r="G56" t="n">
        <v>10.2</v>
      </c>
      <c r="H56" t="n">
        <v>1</v>
      </c>
      <c r="I56" t="n">
        <v>3</v>
      </c>
      <c r="J56" t="n">
        <v>12</v>
      </c>
      <c r="K56" t="n">
        <v>1</v>
      </c>
      <c r="L56" t="n">
        <v>0</v>
      </c>
      <c r="M56" t="n">
        <v>0</v>
      </c>
      <c r="N56" t="n">
        <v>0</v>
      </c>
      <c r="O56" t="n">
        <v>13</v>
      </c>
      <c r="P56" t="n">
        <v>1</v>
      </c>
      <c r="Q56" t="n">
        <v>16</v>
      </c>
      <c r="R56" s="2" t="inlineStr">
        <is>
          <t>Liten sotlav
Gammelgransskål
Garnlav
Granticka
Gränsticka
Harticka
Lunglav
Rosenticka
Skrovellav
Tretåig hackspett
Ullticka
Vitgrynig nållav
Vitskaftad svartspik
Bårdlav
Mörk husmossa
Vedticka</t>
        </is>
      </c>
      <c r="S56">
        <f>HYPERLINK("https://klasma.github.io/Logging_2462/artfynd/A 20418-2023 artfynd.xlsx", "A 20418-2023")</f>
        <v/>
      </c>
      <c r="T56">
        <f>HYPERLINK("https://klasma.github.io/Logging_2462/kartor/A 20418-2023 karta.png", "A 20418-2023")</f>
        <v/>
      </c>
      <c r="V56">
        <f>HYPERLINK("https://klasma.github.io/Logging_2462/klagomål/A 20418-2023 FSC-klagomål.docx", "A 20418-2023")</f>
        <v/>
      </c>
      <c r="W56">
        <f>HYPERLINK("https://klasma.github.io/Logging_2462/klagomålsmail/A 20418-2023 FSC-klagomål mail.docx", "A 20418-2023")</f>
        <v/>
      </c>
      <c r="X56">
        <f>HYPERLINK("https://klasma.github.io/Logging_2462/tillsyn/A 20418-2023 tillsynsbegäran.docx", "A 20418-2023")</f>
        <v/>
      </c>
      <c r="Y56">
        <f>HYPERLINK("https://klasma.github.io/Logging_2462/tillsynsmail/A 20418-2023 tillsynsbegäran mail.docx", "A 20418-2023")</f>
        <v/>
      </c>
      <c r="Z56">
        <f>HYPERLINK("https://klasma.github.io/Logging_2462/fåglar/A 20418-2023 prioriterade fågelarter.docx", "A 20418-2023")</f>
        <v/>
      </c>
    </row>
    <row r="57" ht="15" customHeight="1">
      <c r="A57" t="inlineStr">
        <is>
          <t>A 31199-2023</t>
        </is>
      </c>
      <c r="B57" s="1" t="n">
        <v>45113</v>
      </c>
      <c r="C57" s="1" t="n">
        <v>45628</v>
      </c>
      <c r="D57" t="inlineStr">
        <is>
          <t>VÄSTERBOTTENS LÄN</t>
        </is>
      </c>
      <c r="E57" t="inlineStr">
        <is>
          <t>VILHELMINA</t>
        </is>
      </c>
      <c r="F57" t="inlineStr">
        <is>
          <t>SCA</t>
        </is>
      </c>
      <c r="G57" t="n">
        <v>9.800000000000001</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31199-2023 artfynd.xlsx", "A 31199-2023")</f>
        <v/>
      </c>
      <c r="T57">
        <f>HYPERLINK("https://klasma.github.io/Logging_2462/kartor/A 31199-2023 karta.png", "A 31199-2023")</f>
        <v/>
      </c>
      <c r="V57">
        <f>HYPERLINK("https://klasma.github.io/Logging_2462/klagomål/A 31199-2023 FSC-klagomål.docx", "A 31199-2023")</f>
        <v/>
      </c>
      <c r="W57">
        <f>HYPERLINK("https://klasma.github.io/Logging_2462/klagomålsmail/A 31199-2023 FSC-klagomål mail.docx", "A 31199-2023")</f>
        <v/>
      </c>
      <c r="X57">
        <f>HYPERLINK("https://klasma.github.io/Logging_2462/tillsyn/A 31199-2023 tillsynsbegäran.docx", "A 31199-2023")</f>
        <v/>
      </c>
      <c r="Y57">
        <f>HYPERLINK("https://klasma.github.io/Logging_2462/tillsynsmail/A 31199-2023 tillsynsbegäran mail.docx", "A 31199-2023")</f>
        <v/>
      </c>
      <c r="Z57">
        <f>HYPERLINK("https://klasma.github.io/Logging_2462/fåglar/A 31199-2023 prioriterade fågelarter.docx", "A 31199-2023")</f>
        <v/>
      </c>
    </row>
    <row r="58" ht="15" customHeight="1">
      <c r="A58" t="inlineStr">
        <is>
          <t>A 48244-2023</t>
        </is>
      </c>
      <c r="B58" s="1" t="n">
        <v>45201</v>
      </c>
      <c r="C58" s="1" t="n">
        <v>45628</v>
      </c>
      <c r="D58" t="inlineStr">
        <is>
          <t>VÄSTERBOTTENS LÄN</t>
        </is>
      </c>
      <c r="E58" t="inlineStr">
        <is>
          <t>VILHELMINA</t>
        </is>
      </c>
      <c r="F58" t="inlineStr">
        <is>
          <t>Allmännings- och besparingsskogar</t>
        </is>
      </c>
      <c r="G58" t="n">
        <v>19.8</v>
      </c>
      <c r="H58" t="n">
        <v>5</v>
      </c>
      <c r="I58" t="n">
        <v>3</v>
      </c>
      <c r="J58" t="n">
        <v>9</v>
      </c>
      <c r="K58" t="n">
        <v>3</v>
      </c>
      <c r="L58" t="n">
        <v>0</v>
      </c>
      <c r="M58" t="n">
        <v>0</v>
      </c>
      <c r="N58" t="n">
        <v>0</v>
      </c>
      <c r="O58" t="n">
        <v>12</v>
      </c>
      <c r="P58" t="n">
        <v>3</v>
      </c>
      <c r="Q58" t="n">
        <v>16</v>
      </c>
      <c r="R58" s="2" t="inlineStr">
        <is>
          <t>Doftticka
Grantickeporing
Tallbit
Garnlav
Granticka
Lunglav
Nordlig nållav
Skrovellav
Talltita
Tretåig hackspett
Ullticka
Vitgrynig nållav
Luddlav
Stuplav
Trådticka
Lavskrika</t>
        </is>
      </c>
      <c r="S58">
        <f>HYPERLINK("https://klasma.github.io/Logging_2462/artfynd/A 48244-2023 artfynd.xlsx", "A 48244-2023")</f>
        <v/>
      </c>
      <c r="T58">
        <f>HYPERLINK("https://klasma.github.io/Logging_2462/kartor/A 48244-2023 karta.png", "A 48244-2023")</f>
        <v/>
      </c>
      <c r="V58">
        <f>HYPERLINK("https://klasma.github.io/Logging_2462/klagomål/A 48244-2023 FSC-klagomål.docx", "A 48244-2023")</f>
        <v/>
      </c>
      <c r="W58">
        <f>HYPERLINK("https://klasma.github.io/Logging_2462/klagomålsmail/A 48244-2023 FSC-klagomål mail.docx", "A 48244-2023")</f>
        <v/>
      </c>
      <c r="X58">
        <f>HYPERLINK("https://klasma.github.io/Logging_2462/tillsyn/A 48244-2023 tillsynsbegäran.docx", "A 48244-2023")</f>
        <v/>
      </c>
      <c r="Y58">
        <f>HYPERLINK("https://klasma.github.io/Logging_2462/tillsynsmail/A 48244-2023 tillsynsbegäran mail.docx", "A 48244-2023")</f>
        <v/>
      </c>
      <c r="Z58">
        <f>HYPERLINK("https://klasma.github.io/Logging_2462/fåglar/A 48244-2023 prioriterade fågelarter.docx", "A 48244-2023")</f>
        <v/>
      </c>
    </row>
    <row r="59" ht="15" customHeight="1">
      <c r="A59" t="inlineStr">
        <is>
          <t>A 47881-2020</t>
        </is>
      </c>
      <c r="B59" s="1" t="n">
        <v>44095</v>
      </c>
      <c r="C59" s="1" t="n">
        <v>45628</v>
      </c>
      <c r="D59" t="inlineStr">
        <is>
          <t>VÄSTERBOTTENS LÄN</t>
        </is>
      </c>
      <c r="E59" t="inlineStr">
        <is>
          <t>VILHELMINA</t>
        </is>
      </c>
      <c r="F59" t="inlineStr">
        <is>
          <t>Allmännings- och besparingsskogar</t>
        </is>
      </c>
      <c r="G59" t="n">
        <v>19.8</v>
      </c>
      <c r="H59" t="n">
        <v>2</v>
      </c>
      <c r="I59" t="n">
        <v>5</v>
      </c>
      <c r="J59" t="n">
        <v>8</v>
      </c>
      <c r="K59" t="n">
        <v>2</v>
      </c>
      <c r="L59" t="n">
        <v>0</v>
      </c>
      <c r="M59" t="n">
        <v>0</v>
      </c>
      <c r="N59" t="n">
        <v>0</v>
      </c>
      <c r="O59" t="n">
        <v>10</v>
      </c>
      <c r="P59" t="n">
        <v>2</v>
      </c>
      <c r="Q59" t="n">
        <v>15</v>
      </c>
      <c r="R59" s="2" t="inlineStr">
        <is>
          <t>Rynkskinn
Tajgaskinn
Doftskinn
Granticka
Gränsticka
Harticka
Knottrig blåslav
Skrovellav
Tretåig hackspett
Ullticka
Bårdlav
Luddlav
Spindelblomster
Stuplav
Vedticka</t>
        </is>
      </c>
      <c r="S59">
        <f>HYPERLINK("https://klasma.github.io/Logging_2462/artfynd/A 47881-2020 artfynd.xlsx", "A 47881-2020")</f>
        <v/>
      </c>
      <c r="T59">
        <f>HYPERLINK("https://klasma.github.io/Logging_2462/kartor/A 47881-2020 karta.png", "A 47881-2020")</f>
        <v/>
      </c>
      <c r="V59">
        <f>HYPERLINK("https://klasma.github.io/Logging_2462/klagomål/A 47881-2020 FSC-klagomål.docx", "A 47881-2020")</f>
        <v/>
      </c>
      <c r="W59">
        <f>HYPERLINK("https://klasma.github.io/Logging_2462/klagomålsmail/A 47881-2020 FSC-klagomål mail.docx", "A 47881-2020")</f>
        <v/>
      </c>
      <c r="X59">
        <f>HYPERLINK("https://klasma.github.io/Logging_2462/tillsyn/A 47881-2020 tillsynsbegäran.docx", "A 47881-2020")</f>
        <v/>
      </c>
      <c r="Y59">
        <f>HYPERLINK("https://klasma.github.io/Logging_2462/tillsynsmail/A 47881-2020 tillsynsbegäran mail.docx", "A 47881-2020")</f>
        <v/>
      </c>
      <c r="Z59">
        <f>HYPERLINK("https://klasma.github.io/Logging_2462/fåglar/A 47881-2020 prioriterade fågelarter.docx", "A 47881-2020")</f>
        <v/>
      </c>
    </row>
    <row r="60" ht="15" customHeight="1">
      <c r="A60" t="inlineStr">
        <is>
          <t>A 54843-2021</t>
        </is>
      </c>
      <c r="B60" s="1" t="n">
        <v>44474</v>
      </c>
      <c r="C60" s="1" t="n">
        <v>45628</v>
      </c>
      <c r="D60" t="inlineStr">
        <is>
          <t>VÄSTERBOTTENS LÄN</t>
        </is>
      </c>
      <c r="E60" t="inlineStr">
        <is>
          <t>VILHELMINA</t>
        </is>
      </c>
      <c r="F60" t="inlineStr">
        <is>
          <t>Sveaskog</t>
        </is>
      </c>
      <c r="G60" t="n">
        <v>11.3</v>
      </c>
      <c r="H60" t="n">
        <v>4</v>
      </c>
      <c r="I60" t="n">
        <v>2</v>
      </c>
      <c r="J60" t="n">
        <v>9</v>
      </c>
      <c r="K60" t="n">
        <v>3</v>
      </c>
      <c r="L60" t="n">
        <v>0</v>
      </c>
      <c r="M60" t="n">
        <v>0</v>
      </c>
      <c r="N60" t="n">
        <v>0</v>
      </c>
      <c r="O60" t="n">
        <v>12</v>
      </c>
      <c r="P60" t="n">
        <v>3</v>
      </c>
      <c r="Q60" t="n">
        <v>15</v>
      </c>
      <c r="R60" s="2" t="inlineStr">
        <is>
          <t>Grantickeporing
Ostticka
Ulltickeporing
Gammelgransskål
Garnlav
Granticka
Rosenticka
Spillkråka
Talltita
Tretåig hackspett
Ullticka
Vitgrynig nållav
Skinnlav
Trådticka
Revlummer</t>
        </is>
      </c>
      <c r="S60">
        <f>HYPERLINK("https://klasma.github.io/Logging_2462/artfynd/A 54843-2021 artfynd.xlsx", "A 54843-2021")</f>
        <v/>
      </c>
      <c r="T60">
        <f>HYPERLINK("https://klasma.github.io/Logging_2462/kartor/A 54843-2021 karta.png", "A 54843-2021")</f>
        <v/>
      </c>
      <c r="V60">
        <f>HYPERLINK("https://klasma.github.io/Logging_2462/klagomål/A 54843-2021 FSC-klagomål.docx", "A 54843-2021")</f>
        <v/>
      </c>
      <c r="W60">
        <f>HYPERLINK("https://klasma.github.io/Logging_2462/klagomålsmail/A 54843-2021 FSC-klagomål mail.docx", "A 54843-2021")</f>
        <v/>
      </c>
      <c r="X60">
        <f>HYPERLINK("https://klasma.github.io/Logging_2462/tillsyn/A 54843-2021 tillsynsbegäran.docx", "A 54843-2021")</f>
        <v/>
      </c>
      <c r="Y60">
        <f>HYPERLINK("https://klasma.github.io/Logging_2462/tillsynsmail/A 54843-2021 tillsynsbegäran mail.docx", "A 54843-2021")</f>
        <v/>
      </c>
      <c r="Z60">
        <f>HYPERLINK("https://klasma.github.io/Logging_2462/fåglar/A 54843-2021 prioriterade fågelarter.docx", "A 54843-2021")</f>
        <v/>
      </c>
    </row>
    <row r="61" ht="15" customHeight="1">
      <c r="A61" t="inlineStr">
        <is>
          <t>A 15049-2024</t>
        </is>
      </c>
      <c r="B61" s="1" t="n">
        <v>45399</v>
      </c>
      <c r="C61" s="1" t="n">
        <v>45628</v>
      </c>
      <c r="D61" t="inlineStr">
        <is>
          <t>VÄSTERBOTTENS LÄN</t>
        </is>
      </c>
      <c r="E61" t="inlineStr">
        <is>
          <t>VILHELMINA</t>
        </is>
      </c>
      <c r="F61" t="inlineStr">
        <is>
          <t>SCA</t>
        </is>
      </c>
      <c r="G61" t="n">
        <v>4.6</v>
      </c>
      <c r="H61" t="n">
        <v>2</v>
      </c>
      <c r="I61" t="n">
        <v>4</v>
      </c>
      <c r="J61" t="n">
        <v>9</v>
      </c>
      <c r="K61" t="n">
        <v>1</v>
      </c>
      <c r="L61" t="n">
        <v>0</v>
      </c>
      <c r="M61" t="n">
        <v>0</v>
      </c>
      <c r="N61" t="n">
        <v>0</v>
      </c>
      <c r="O61" t="n">
        <v>10</v>
      </c>
      <c r="P61" t="n">
        <v>1</v>
      </c>
      <c r="Q61" t="n">
        <v>15</v>
      </c>
      <c r="R61" s="2" t="inlineStr">
        <is>
          <t>Liten sotlav
Gammelgransskål
Garnlav
Gränsticka
Harticka
Liten svartspik
Lunglav
Skrovellav
Tretåig hackspett
Ullticka
Bårdlav
Luddlav
Stuplav
Trådticka
Tjäder</t>
        </is>
      </c>
      <c r="S61">
        <f>HYPERLINK("https://klasma.github.io/Logging_2462/artfynd/A 15049-2024 artfynd.xlsx", "A 15049-2024")</f>
        <v/>
      </c>
      <c r="T61">
        <f>HYPERLINK("https://klasma.github.io/Logging_2462/kartor/A 15049-2024 karta.png", "A 15049-2024")</f>
        <v/>
      </c>
      <c r="V61">
        <f>HYPERLINK("https://klasma.github.io/Logging_2462/klagomål/A 15049-2024 FSC-klagomål.docx", "A 15049-2024")</f>
        <v/>
      </c>
      <c r="W61">
        <f>HYPERLINK("https://klasma.github.io/Logging_2462/klagomålsmail/A 15049-2024 FSC-klagomål mail.docx", "A 15049-2024")</f>
        <v/>
      </c>
      <c r="X61">
        <f>HYPERLINK("https://klasma.github.io/Logging_2462/tillsyn/A 15049-2024 tillsynsbegäran.docx", "A 15049-2024")</f>
        <v/>
      </c>
      <c r="Y61">
        <f>HYPERLINK("https://klasma.github.io/Logging_2462/tillsynsmail/A 15049-2024 tillsynsbegäran mail.docx", "A 15049-2024")</f>
        <v/>
      </c>
      <c r="Z61">
        <f>HYPERLINK("https://klasma.github.io/Logging_2462/fåglar/A 15049-2024 prioriterade fågelarter.docx", "A 15049-2024")</f>
        <v/>
      </c>
    </row>
    <row r="62" ht="15" customHeight="1">
      <c r="A62" t="inlineStr">
        <is>
          <t>A 28796-2024</t>
        </is>
      </c>
      <c r="B62" s="1" t="n">
        <v>45478</v>
      </c>
      <c r="C62" s="1" t="n">
        <v>45628</v>
      </c>
      <c r="D62" t="inlineStr">
        <is>
          <t>VÄSTERBOTTENS LÄN</t>
        </is>
      </c>
      <c r="E62" t="inlineStr">
        <is>
          <t>VILHELMINA</t>
        </is>
      </c>
      <c r="G62" t="n">
        <v>20.1</v>
      </c>
      <c r="H62" t="n">
        <v>3</v>
      </c>
      <c r="I62" t="n">
        <v>2</v>
      </c>
      <c r="J62" t="n">
        <v>10</v>
      </c>
      <c r="K62" t="n">
        <v>2</v>
      </c>
      <c r="L62" t="n">
        <v>0</v>
      </c>
      <c r="M62" t="n">
        <v>0</v>
      </c>
      <c r="N62" t="n">
        <v>0</v>
      </c>
      <c r="O62" t="n">
        <v>12</v>
      </c>
      <c r="P62" t="n">
        <v>2</v>
      </c>
      <c r="Q62" t="n">
        <v>15</v>
      </c>
      <c r="R62" s="2" t="inlineStr">
        <is>
          <t>Rynkskinn
Ulltickeporing
Garnlav
Granticka
Gränsticka
Harticka
Leptoporus mollis
Lunglav
Rosenticka
Talltita
Tretåig hackspett
Ullticka
Blodticka
Trådticka
Tjäder</t>
        </is>
      </c>
      <c r="S62">
        <f>HYPERLINK("https://klasma.github.io/Logging_2462/artfynd/A 28796-2024 artfynd.xlsx", "A 28796-2024")</f>
        <v/>
      </c>
      <c r="T62">
        <f>HYPERLINK("https://klasma.github.io/Logging_2462/kartor/A 28796-2024 karta.png", "A 28796-2024")</f>
        <v/>
      </c>
      <c r="V62">
        <f>HYPERLINK("https://klasma.github.io/Logging_2462/klagomål/A 28796-2024 FSC-klagomål.docx", "A 28796-2024")</f>
        <v/>
      </c>
      <c r="W62">
        <f>HYPERLINK("https://klasma.github.io/Logging_2462/klagomålsmail/A 28796-2024 FSC-klagomål mail.docx", "A 28796-2024")</f>
        <v/>
      </c>
      <c r="X62">
        <f>HYPERLINK("https://klasma.github.io/Logging_2462/tillsyn/A 28796-2024 tillsynsbegäran.docx", "A 28796-2024")</f>
        <v/>
      </c>
      <c r="Y62">
        <f>HYPERLINK("https://klasma.github.io/Logging_2462/tillsynsmail/A 28796-2024 tillsynsbegäran mail.docx", "A 28796-2024")</f>
        <v/>
      </c>
      <c r="Z62">
        <f>HYPERLINK("https://klasma.github.io/Logging_2462/fåglar/A 28796-2024 prioriterade fågelarter.docx", "A 28796-2024")</f>
        <v/>
      </c>
    </row>
    <row r="63" ht="15" customHeight="1">
      <c r="A63" t="inlineStr">
        <is>
          <t>A 40735-2024</t>
        </is>
      </c>
      <c r="B63" s="1" t="n">
        <v>45558</v>
      </c>
      <c r="C63" s="1" t="n">
        <v>45628</v>
      </c>
      <c r="D63" t="inlineStr">
        <is>
          <t>VÄSTERBOTTENS LÄN</t>
        </is>
      </c>
      <c r="E63" t="inlineStr">
        <is>
          <t>VILHELMINA</t>
        </is>
      </c>
      <c r="F63" t="inlineStr">
        <is>
          <t>Allmännings- och besparingsskogar</t>
        </is>
      </c>
      <c r="G63" t="n">
        <v>6.7</v>
      </c>
      <c r="H63" t="n">
        <v>4</v>
      </c>
      <c r="I63" t="n">
        <v>3</v>
      </c>
      <c r="J63" t="n">
        <v>8</v>
      </c>
      <c r="K63" t="n">
        <v>2</v>
      </c>
      <c r="L63" t="n">
        <v>0</v>
      </c>
      <c r="M63" t="n">
        <v>0</v>
      </c>
      <c r="N63" t="n">
        <v>0</v>
      </c>
      <c r="O63" t="n">
        <v>10</v>
      </c>
      <c r="P63" t="n">
        <v>2</v>
      </c>
      <c r="Q63" t="n">
        <v>15</v>
      </c>
      <c r="R63" s="2" t="inlineStr">
        <is>
          <t>Ostticka
Rynkskinn
Doftskinn
Garnlav
Gränsticka
Harticka
Rosenticka
Talltita
Tretåig hackspett
Ullticka
Mörk husmossa
Stuplav
Vedticka
Lavskrika
Revlummer</t>
        </is>
      </c>
      <c r="S63">
        <f>HYPERLINK("https://klasma.github.io/Logging_2462/artfynd/A 40735-2024 artfynd.xlsx", "A 40735-2024")</f>
        <v/>
      </c>
      <c r="T63">
        <f>HYPERLINK("https://klasma.github.io/Logging_2462/kartor/A 40735-2024 karta.png", "A 40735-2024")</f>
        <v/>
      </c>
      <c r="V63">
        <f>HYPERLINK("https://klasma.github.io/Logging_2462/klagomål/A 40735-2024 FSC-klagomål.docx", "A 40735-2024")</f>
        <v/>
      </c>
      <c r="W63">
        <f>HYPERLINK("https://klasma.github.io/Logging_2462/klagomålsmail/A 40735-2024 FSC-klagomål mail.docx", "A 40735-2024")</f>
        <v/>
      </c>
      <c r="X63">
        <f>HYPERLINK("https://klasma.github.io/Logging_2462/tillsyn/A 40735-2024 tillsynsbegäran.docx", "A 40735-2024")</f>
        <v/>
      </c>
      <c r="Y63">
        <f>HYPERLINK("https://klasma.github.io/Logging_2462/tillsynsmail/A 40735-2024 tillsynsbegäran mail.docx", "A 40735-2024")</f>
        <v/>
      </c>
      <c r="Z63">
        <f>HYPERLINK("https://klasma.github.io/Logging_2462/fåglar/A 40735-2024 prioriterade fågelarter.docx", "A 40735-2024")</f>
        <v/>
      </c>
    </row>
    <row r="64" ht="15" customHeight="1">
      <c r="A64" t="inlineStr">
        <is>
          <t>A 45775-2022</t>
        </is>
      </c>
      <c r="B64" s="1" t="n">
        <v>44838</v>
      </c>
      <c r="C64" s="1" t="n">
        <v>45628</v>
      </c>
      <c r="D64" t="inlineStr">
        <is>
          <t>VÄSTERBOTTENS LÄN</t>
        </is>
      </c>
      <c r="E64" t="inlineStr">
        <is>
          <t>VILHELMINA</t>
        </is>
      </c>
      <c r="F64" t="inlineStr">
        <is>
          <t>Allmännings- och besparingsskogar</t>
        </is>
      </c>
      <c r="G64" t="n">
        <v>22.9</v>
      </c>
      <c r="H64" t="n">
        <v>2</v>
      </c>
      <c r="I64" t="n">
        <v>6</v>
      </c>
      <c r="J64" t="n">
        <v>8</v>
      </c>
      <c r="K64" t="n">
        <v>0</v>
      </c>
      <c r="L64" t="n">
        <v>0</v>
      </c>
      <c r="M64" t="n">
        <v>0</v>
      </c>
      <c r="N64" t="n">
        <v>0</v>
      </c>
      <c r="O64" t="n">
        <v>8</v>
      </c>
      <c r="P64" t="n">
        <v>0</v>
      </c>
      <c r="Q64" t="n">
        <v>14</v>
      </c>
      <c r="R64" s="2" t="inlineStr">
        <is>
          <t>Brunpudrad nållav
Garnlav
Järpe
Knottrig blåslav
Skrovellav
Talltita
Ullticka
Vitgrynig nållav
Bårdlav
Korallblylav
Luddlav
Skinnlav
Stuplav
Vedticka</t>
        </is>
      </c>
      <c r="S64">
        <f>HYPERLINK("https://klasma.github.io/Logging_2462/artfynd/A 45775-2022 artfynd.xlsx", "A 45775-2022")</f>
        <v/>
      </c>
      <c r="T64">
        <f>HYPERLINK("https://klasma.github.io/Logging_2462/kartor/A 45775-2022 karta.png", "A 45775-2022")</f>
        <v/>
      </c>
      <c r="V64">
        <f>HYPERLINK("https://klasma.github.io/Logging_2462/klagomål/A 45775-2022 FSC-klagomål.docx", "A 45775-2022")</f>
        <v/>
      </c>
      <c r="W64">
        <f>HYPERLINK("https://klasma.github.io/Logging_2462/klagomålsmail/A 45775-2022 FSC-klagomål mail.docx", "A 45775-2022")</f>
        <v/>
      </c>
      <c r="X64">
        <f>HYPERLINK("https://klasma.github.io/Logging_2462/tillsyn/A 45775-2022 tillsynsbegäran.docx", "A 45775-2022")</f>
        <v/>
      </c>
      <c r="Y64">
        <f>HYPERLINK("https://klasma.github.io/Logging_2462/tillsynsmail/A 45775-2022 tillsynsbegäran mail.docx", "A 45775-2022")</f>
        <v/>
      </c>
      <c r="Z64">
        <f>HYPERLINK("https://klasma.github.io/Logging_2462/fåglar/A 45775-2022 prioriterade fågelarter.docx", "A 45775-2022")</f>
        <v/>
      </c>
    </row>
    <row r="65" ht="15" customHeight="1">
      <c r="A65" t="inlineStr">
        <is>
          <t>A 3140-2023</t>
        </is>
      </c>
      <c r="B65" s="1" t="n">
        <v>44945</v>
      </c>
      <c r="C65" s="1" t="n">
        <v>45628</v>
      </c>
      <c r="D65" t="inlineStr">
        <is>
          <t>VÄSTERBOTTENS LÄN</t>
        </is>
      </c>
      <c r="E65" t="inlineStr">
        <is>
          <t>VILHELMINA</t>
        </is>
      </c>
      <c r="F65" t="inlineStr">
        <is>
          <t>Allmännings- och besparingsskogar</t>
        </is>
      </c>
      <c r="G65" t="n">
        <v>20.9</v>
      </c>
      <c r="H65" t="n">
        <v>3</v>
      </c>
      <c r="I65" t="n">
        <v>2</v>
      </c>
      <c r="J65" t="n">
        <v>12</v>
      </c>
      <c r="K65" t="n">
        <v>0</v>
      </c>
      <c r="L65" t="n">
        <v>0</v>
      </c>
      <c r="M65" t="n">
        <v>0</v>
      </c>
      <c r="N65" t="n">
        <v>0</v>
      </c>
      <c r="O65" t="n">
        <v>12</v>
      </c>
      <c r="P65" t="n">
        <v>0</v>
      </c>
      <c r="Q65" t="n">
        <v>14</v>
      </c>
      <c r="R65" s="2" t="inlineStr">
        <is>
          <t>Blanksvart spiklav
Blågrå svartspik
Gammelgransskål
Garnlav
Knottrig blåslav
Liten svartspik
Reliktbock
Spillkråka
Talltita
Tretåig hackspett
Vedflamlav
Vitgrynig nållav
Bårdlav
Stuplav</t>
        </is>
      </c>
      <c r="S65">
        <f>HYPERLINK("https://klasma.github.io/Logging_2462/artfynd/A 3140-2023 artfynd.xlsx", "A 3140-2023")</f>
        <v/>
      </c>
      <c r="T65">
        <f>HYPERLINK("https://klasma.github.io/Logging_2462/kartor/A 3140-2023 karta.png", "A 3140-2023")</f>
        <v/>
      </c>
      <c r="V65">
        <f>HYPERLINK("https://klasma.github.io/Logging_2462/klagomål/A 3140-2023 FSC-klagomål.docx", "A 3140-2023")</f>
        <v/>
      </c>
      <c r="W65">
        <f>HYPERLINK("https://klasma.github.io/Logging_2462/klagomålsmail/A 3140-2023 FSC-klagomål mail.docx", "A 3140-2023")</f>
        <v/>
      </c>
      <c r="X65">
        <f>HYPERLINK("https://klasma.github.io/Logging_2462/tillsyn/A 3140-2023 tillsynsbegäran.docx", "A 3140-2023")</f>
        <v/>
      </c>
      <c r="Y65">
        <f>HYPERLINK("https://klasma.github.io/Logging_2462/tillsynsmail/A 3140-2023 tillsynsbegäran mail.docx", "A 3140-2023")</f>
        <v/>
      </c>
      <c r="Z65">
        <f>HYPERLINK("https://klasma.github.io/Logging_2462/fåglar/A 3140-2023 prioriterade fågelarter.docx", "A 3140-2023")</f>
        <v/>
      </c>
    </row>
    <row r="66" ht="15" customHeight="1">
      <c r="A66" t="inlineStr">
        <is>
          <t>A 37775-2023</t>
        </is>
      </c>
      <c r="B66" s="1" t="n">
        <v>45156</v>
      </c>
      <c r="C66" s="1" t="n">
        <v>45628</v>
      </c>
      <c r="D66" t="inlineStr">
        <is>
          <t>VÄSTERBOTTENS LÄN</t>
        </is>
      </c>
      <c r="E66" t="inlineStr">
        <is>
          <t>VILHELMINA</t>
        </is>
      </c>
      <c r="G66" t="n">
        <v>39.4</v>
      </c>
      <c r="H66" t="n">
        <v>3</v>
      </c>
      <c r="I66" t="n">
        <v>3</v>
      </c>
      <c r="J66" t="n">
        <v>11</v>
      </c>
      <c r="K66" t="n">
        <v>0</v>
      </c>
      <c r="L66" t="n">
        <v>0</v>
      </c>
      <c r="M66" t="n">
        <v>0</v>
      </c>
      <c r="N66" t="n">
        <v>0</v>
      </c>
      <c r="O66" t="n">
        <v>11</v>
      </c>
      <c r="P66" t="n">
        <v>0</v>
      </c>
      <c r="Q66" t="n">
        <v>14</v>
      </c>
      <c r="R66" s="2" t="inlineStr">
        <is>
          <t>Brunpudrad nållav
Gammelgransskål
Garnlav
Granticka
Harticka
Rosenticka
Rödbrun blekspik
Talltita
Tretåig hackspett
Ullticka
Vitgrynig nållav
Gulnål
Plattlummer
Vedticka</t>
        </is>
      </c>
      <c r="S66">
        <f>HYPERLINK("https://klasma.github.io/Logging_2462/artfynd/A 37775-2023 artfynd.xlsx", "A 37775-2023")</f>
        <v/>
      </c>
      <c r="T66">
        <f>HYPERLINK("https://klasma.github.io/Logging_2462/kartor/A 37775-2023 karta.png", "A 37775-2023")</f>
        <v/>
      </c>
      <c r="V66">
        <f>HYPERLINK("https://klasma.github.io/Logging_2462/klagomål/A 37775-2023 FSC-klagomål.docx", "A 37775-2023")</f>
        <v/>
      </c>
      <c r="W66">
        <f>HYPERLINK("https://klasma.github.io/Logging_2462/klagomålsmail/A 37775-2023 FSC-klagomål mail.docx", "A 37775-2023")</f>
        <v/>
      </c>
      <c r="X66">
        <f>HYPERLINK("https://klasma.github.io/Logging_2462/tillsyn/A 37775-2023 tillsynsbegäran.docx", "A 37775-2023")</f>
        <v/>
      </c>
      <c r="Y66">
        <f>HYPERLINK("https://klasma.github.io/Logging_2462/tillsynsmail/A 37775-2023 tillsynsbegäran mail.docx", "A 37775-2023")</f>
        <v/>
      </c>
      <c r="Z66">
        <f>HYPERLINK("https://klasma.github.io/Logging_2462/fåglar/A 37775-2023 prioriterade fågelarter.docx", "A 37775-2023")</f>
        <v/>
      </c>
    </row>
    <row r="67" ht="15" customHeight="1">
      <c r="A67" t="inlineStr">
        <is>
          <t>A 26656-2024</t>
        </is>
      </c>
      <c r="B67" s="1" t="n">
        <v>45470</v>
      </c>
      <c r="C67" s="1" t="n">
        <v>45628</v>
      </c>
      <c r="D67" t="inlineStr">
        <is>
          <t>VÄSTERBOTTENS LÄN</t>
        </is>
      </c>
      <c r="E67" t="inlineStr">
        <is>
          <t>VILHELMINA</t>
        </is>
      </c>
      <c r="F67" t="inlineStr">
        <is>
          <t>SCA</t>
        </is>
      </c>
      <c r="G67" t="n">
        <v>3.9</v>
      </c>
      <c r="H67" t="n">
        <v>1</v>
      </c>
      <c r="I67" t="n">
        <v>7</v>
      </c>
      <c r="J67" t="n">
        <v>6</v>
      </c>
      <c r="K67" t="n">
        <v>1</v>
      </c>
      <c r="L67" t="n">
        <v>0</v>
      </c>
      <c r="M67" t="n">
        <v>0</v>
      </c>
      <c r="N67" t="n">
        <v>0</v>
      </c>
      <c r="O67" t="n">
        <v>7</v>
      </c>
      <c r="P67" t="n">
        <v>1</v>
      </c>
      <c r="Q67" t="n">
        <v>14</v>
      </c>
      <c r="R67" s="2" t="inlineStr">
        <is>
          <t>Rynkskinn
Garnlav
Gränsticka
Lunglav
Rosenticka
Spillkråka
Ullticka
Gulnål
Kornig nållav
Luddlav
Mörk husmossa
Skinnlav
Stuplav
Vedticka</t>
        </is>
      </c>
      <c r="S67">
        <f>HYPERLINK("https://klasma.github.io/Logging_2462/artfynd/A 26656-2024 artfynd.xlsx", "A 26656-2024")</f>
        <v/>
      </c>
      <c r="T67">
        <f>HYPERLINK("https://klasma.github.io/Logging_2462/kartor/A 26656-2024 karta.png", "A 26656-2024")</f>
        <v/>
      </c>
      <c r="V67">
        <f>HYPERLINK("https://klasma.github.io/Logging_2462/klagomål/A 26656-2024 FSC-klagomål.docx", "A 26656-2024")</f>
        <v/>
      </c>
      <c r="W67">
        <f>HYPERLINK("https://klasma.github.io/Logging_2462/klagomålsmail/A 26656-2024 FSC-klagomål mail.docx", "A 26656-2024")</f>
        <v/>
      </c>
      <c r="X67">
        <f>HYPERLINK("https://klasma.github.io/Logging_2462/tillsyn/A 26656-2024 tillsynsbegäran.docx", "A 26656-2024")</f>
        <v/>
      </c>
      <c r="Y67">
        <f>HYPERLINK("https://klasma.github.io/Logging_2462/tillsynsmail/A 26656-2024 tillsynsbegäran mail.docx", "A 26656-2024")</f>
        <v/>
      </c>
      <c r="Z67">
        <f>HYPERLINK("https://klasma.github.io/Logging_2462/fåglar/A 26656-2024 prioriterade fågelarter.docx", "A 26656-2024")</f>
        <v/>
      </c>
    </row>
    <row r="68" ht="15" customHeight="1">
      <c r="A68" t="inlineStr">
        <is>
          <t>A 45782-2022</t>
        </is>
      </c>
      <c r="B68" s="1" t="n">
        <v>44838</v>
      </c>
      <c r="C68" s="1" t="n">
        <v>45628</v>
      </c>
      <c r="D68" t="inlineStr">
        <is>
          <t>VÄSTERBOTTENS LÄN</t>
        </is>
      </c>
      <c r="E68" t="inlineStr">
        <is>
          <t>VILHELMINA</t>
        </is>
      </c>
      <c r="F68" t="inlineStr">
        <is>
          <t>Allmännings- och besparingsskogar</t>
        </is>
      </c>
      <c r="G68" t="n">
        <v>16.2</v>
      </c>
      <c r="H68" t="n">
        <v>1</v>
      </c>
      <c r="I68" t="n">
        <v>1</v>
      </c>
      <c r="J68" t="n">
        <v>11</v>
      </c>
      <c r="K68" t="n">
        <v>1</v>
      </c>
      <c r="L68" t="n">
        <v>0</v>
      </c>
      <c r="M68" t="n">
        <v>0</v>
      </c>
      <c r="N68" t="n">
        <v>0</v>
      </c>
      <c r="O68" t="n">
        <v>12</v>
      </c>
      <c r="P68" t="n">
        <v>1</v>
      </c>
      <c r="Q68" t="n">
        <v>13</v>
      </c>
      <c r="R68" s="2" t="inlineStr">
        <is>
          <t>Tajgaskinn
Brunpudrad nållav
Doftskinn
Garnlav
Granticka
Gränsticka
Harticka
Knottrig blåslav
Rödbrun blekspik
Tretåig hackspett
Vitgrynig nållav
Vitskaftad svartspik
Kornig nållav</t>
        </is>
      </c>
      <c r="S68">
        <f>HYPERLINK("https://klasma.github.io/Logging_2462/artfynd/A 45782-2022 artfynd.xlsx", "A 45782-2022")</f>
        <v/>
      </c>
      <c r="T68">
        <f>HYPERLINK("https://klasma.github.io/Logging_2462/kartor/A 45782-2022 karta.png", "A 45782-2022")</f>
        <v/>
      </c>
      <c r="V68">
        <f>HYPERLINK("https://klasma.github.io/Logging_2462/klagomål/A 45782-2022 FSC-klagomål.docx", "A 45782-2022")</f>
        <v/>
      </c>
      <c r="W68">
        <f>HYPERLINK("https://klasma.github.io/Logging_2462/klagomålsmail/A 45782-2022 FSC-klagomål mail.docx", "A 45782-2022")</f>
        <v/>
      </c>
      <c r="X68">
        <f>HYPERLINK("https://klasma.github.io/Logging_2462/tillsyn/A 45782-2022 tillsynsbegäran.docx", "A 45782-2022")</f>
        <v/>
      </c>
      <c r="Y68">
        <f>HYPERLINK("https://klasma.github.io/Logging_2462/tillsynsmail/A 45782-2022 tillsynsbegäran mail.docx", "A 45782-2022")</f>
        <v/>
      </c>
      <c r="Z68">
        <f>HYPERLINK("https://klasma.github.io/Logging_2462/fåglar/A 45782-2022 prioriterade fågelarter.docx", "A 45782-2022")</f>
        <v/>
      </c>
    </row>
    <row r="69" ht="15" customHeight="1">
      <c r="A69" t="inlineStr">
        <is>
          <t>A 15051-2024</t>
        </is>
      </c>
      <c r="B69" s="1" t="n">
        <v>45399</v>
      </c>
      <c r="C69" s="1" t="n">
        <v>45628</v>
      </c>
      <c r="D69" t="inlineStr">
        <is>
          <t>VÄSTERBOTTENS LÄN</t>
        </is>
      </c>
      <c r="E69" t="inlineStr">
        <is>
          <t>VILHELMINA</t>
        </is>
      </c>
      <c r="F69" t="inlineStr">
        <is>
          <t>SCA</t>
        </is>
      </c>
      <c r="G69" t="n">
        <v>8.300000000000001</v>
      </c>
      <c r="H69" t="n">
        <v>1</v>
      </c>
      <c r="I69" t="n">
        <v>1</v>
      </c>
      <c r="J69" t="n">
        <v>11</v>
      </c>
      <c r="K69" t="n">
        <v>1</v>
      </c>
      <c r="L69" t="n">
        <v>0</v>
      </c>
      <c r="M69" t="n">
        <v>0</v>
      </c>
      <c r="N69" t="n">
        <v>0</v>
      </c>
      <c r="O69" t="n">
        <v>12</v>
      </c>
      <c r="P69" t="n">
        <v>1</v>
      </c>
      <c r="Q69" t="n">
        <v>13</v>
      </c>
      <c r="R69" s="2" t="inlineStr">
        <is>
          <t>Rynkskinn
Gammelgransskål
Garnlav
Granticka
Gränsticka
Harticka
Liten svartspik
Rosenticka
Tretåig hackspett
Ullticka
Vitgrynig nållav
Vitskaftad svartspik
Trådticka</t>
        </is>
      </c>
      <c r="S69">
        <f>HYPERLINK("https://klasma.github.io/Logging_2462/artfynd/A 15051-2024 artfynd.xlsx", "A 15051-2024")</f>
        <v/>
      </c>
      <c r="T69">
        <f>HYPERLINK("https://klasma.github.io/Logging_2462/kartor/A 15051-2024 karta.png", "A 15051-2024")</f>
        <v/>
      </c>
      <c r="V69">
        <f>HYPERLINK("https://klasma.github.io/Logging_2462/klagomål/A 15051-2024 FSC-klagomål.docx", "A 15051-2024")</f>
        <v/>
      </c>
      <c r="W69">
        <f>HYPERLINK("https://klasma.github.io/Logging_2462/klagomålsmail/A 15051-2024 FSC-klagomål mail.docx", "A 15051-2024")</f>
        <v/>
      </c>
      <c r="X69">
        <f>HYPERLINK("https://klasma.github.io/Logging_2462/tillsyn/A 15051-2024 tillsynsbegäran.docx", "A 15051-2024")</f>
        <v/>
      </c>
      <c r="Y69">
        <f>HYPERLINK("https://klasma.github.io/Logging_2462/tillsynsmail/A 15051-2024 tillsynsbegäran mail.docx", "A 15051-2024")</f>
        <v/>
      </c>
      <c r="Z69">
        <f>HYPERLINK("https://klasma.github.io/Logging_2462/fåglar/A 15051-2024 prioriterade fågelarter.docx", "A 15051-2024")</f>
        <v/>
      </c>
    </row>
    <row r="70" ht="15" customHeight="1">
      <c r="A70" t="inlineStr">
        <is>
          <t>A 28705-2024</t>
        </is>
      </c>
      <c r="B70" s="1" t="n">
        <v>45478</v>
      </c>
      <c r="C70" s="1" t="n">
        <v>45628</v>
      </c>
      <c r="D70" t="inlineStr">
        <is>
          <t>VÄSTERBOTTENS LÄN</t>
        </is>
      </c>
      <c r="E70" t="inlineStr">
        <is>
          <t>VILHELMINA</t>
        </is>
      </c>
      <c r="F70" t="inlineStr">
        <is>
          <t>Allmännings- och besparingsskogar</t>
        </is>
      </c>
      <c r="G70" t="n">
        <v>6.9</v>
      </c>
      <c r="H70" t="n">
        <v>2</v>
      </c>
      <c r="I70" t="n">
        <v>3</v>
      </c>
      <c r="J70" t="n">
        <v>9</v>
      </c>
      <c r="K70" t="n">
        <v>1</v>
      </c>
      <c r="L70" t="n">
        <v>0</v>
      </c>
      <c r="M70" t="n">
        <v>0</v>
      </c>
      <c r="N70" t="n">
        <v>0</v>
      </c>
      <c r="O70" t="n">
        <v>10</v>
      </c>
      <c r="P70" t="n">
        <v>1</v>
      </c>
      <c r="Q70" t="n">
        <v>13</v>
      </c>
      <c r="R70" s="2" t="inlineStr">
        <is>
          <t>Skuggnål
Gammelgransskål
Garnlav
Granticka
Gränsticka
Leptoporus mollis
Lunglav
Skrovellav
Spillkråka
Tretåig hackspett
Luddlav
Stuplav
Vedticka</t>
        </is>
      </c>
      <c r="S70">
        <f>HYPERLINK("https://klasma.github.io/Logging_2462/artfynd/A 28705-2024 artfynd.xlsx", "A 28705-2024")</f>
        <v/>
      </c>
      <c r="T70">
        <f>HYPERLINK("https://klasma.github.io/Logging_2462/kartor/A 28705-2024 karta.png", "A 28705-2024")</f>
        <v/>
      </c>
      <c r="V70">
        <f>HYPERLINK("https://klasma.github.io/Logging_2462/klagomål/A 28705-2024 FSC-klagomål.docx", "A 28705-2024")</f>
        <v/>
      </c>
      <c r="W70">
        <f>HYPERLINK("https://klasma.github.io/Logging_2462/klagomålsmail/A 28705-2024 FSC-klagomål mail.docx", "A 28705-2024")</f>
        <v/>
      </c>
      <c r="X70">
        <f>HYPERLINK("https://klasma.github.io/Logging_2462/tillsyn/A 28705-2024 tillsynsbegäran.docx", "A 28705-2024")</f>
        <v/>
      </c>
      <c r="Y70">
        <f>HYPERLINK("https://klasma.github.io/Logging_2462/tillsynsmail/A 28705-2024 tillsynsbegäran mail.docx", "A 28705-2024")</f>
        <v/>
      </c>
      <c r="Z70">
        <f>HYPERLINK("https://klasma.github.io/Logging_2462/fåglar/A 28705-2024 prioriterade fågelarter.docx", "A 28705-2024")</f>
        <v/>
      </c>
    </row>
    <row r="71" ht="15" customHeight="1">
      <c r="A71" t="inlineStr">
        <is>
          <t>A 48034-2020</t>
        </is>
      </c>
      <c r="B71" s="1" t="n">
        <v>44095</v>
      </c>
      <c r="C71" s="1" t="n">
        <v>45628</v>
      </c>
      <c r="D71" t="inlineStr">
        <is>
          <t>VÄSTERBOTTENS LÄN</t>
        </is>
      </c>
      <c r="E71" t="inlineStr">
        <is>
          <t>VILHELMINA</t>
        </is>
      </c>
      <c r="F71" t="inlineStr">
        <is>
          <t>Allmännings- och besparingsskogar</t>
        </is>
      </c>
      <c r="G71" t="n">
        <v>19.9</v>
      </c>
      <c r="H71" t="n">
        <v>1</v>
      </c>
      <c r="I71" t="n">
        <v>1</v>
      </c>
      <c r="J71" t="n">
        <v>9</v>
      </c>
      <c r="K71" t="n">
        <v>2</v>
      </c>
      <c r="L71" t="n">
        <v>0</v>
      </c>
      <c r="M71" t="n">
        <v>0</v>
      </c>
      <c r="N71" t="n">
        <v>0</v>
      </c>
      <c r="O71" t="n">
        <v>11</v>
      </c>
      <c r="P71" t="n">
        <v>2</v>
      </c>
      <c r="Q71" t="n">
        <v>12</v>
      </c>
      <c r="R71" s="2" t="inlineStr">
        <is>
          <t>Lappticka
Ostticka
Garnlav
Granticka
Gränsticka
Harticka
Knottrig blåslav
Rosenticka
Skrovellav
Tretåig hackspett
Ullticka
Stuplav</t>
        </is>
      </c>
      <c r="S71">
        <f>HYPERLINK("https://klasma.github.io/Logging_2462/artfynd/A 48034-2020 artfynd.xlsx", "A 48034-2020")</f>
        <v/>
      </c>
      <c r="T71">
        <f>HYPERLINK("https://klasma.github.io/Logging_2462/kartor/A 48034-2020 karta.png", "A 48034-2020")</f>
        <v/>
      </c>
      <c r="V71">
        <f>HYPERLINK("https://klasma.github.io/Logging_2462/klagomål/A 48034-2020 FSC-klagomål.docx", "A 48034-2020")</f>
        <v/>
      </c>
      <c r="W71">
        <f>HYPERLINK("https://klasma.github.io/Logging_2462/klagomålsmail/A 48034-2020 FSC-klagomål mail.docx", "A 48034-2020")</f>
        <v/>
      </c>
      <c r="X71">
        <f>HYPERLINK("https://klasma.github.io/Logging_2462/tillsyn/A 48034-2020 tillsynsbegäran.docx", "A 48034-2020")</f>
        <v/>
      </c>
      <c r="Y71">
        <f>HYPERLINK("https://klasma.github.io/Logging_2462/tillsynsmail/A 48034-2020 tillsynsbegäran mail.docx", "A 48034-2020")</f>
        <v/>
      </c>
      <c r="Z71">
        <f>HYPERLINK("https://klasma.github.io/Logging_2462/fåglar/A 48034-2020 prioriterade fågelarter.docx", "A 48034-2020")</f>
        <v/>
      </c>
    </row>
    <row r="72" ht="15" customHeight="1">
      <c r="A72" t="inlineStr">
        <is>
          <t>A 12014-2021</t>
        </is>
      </c>
      <c r="B72" s="1" t="n">
        <v>44266</v>
      </c>
      <c r="C72" s="1" t="n">
        <v>45628</v>
      </c>
      <c r="D72" t="inlineStr">
        <is>
          <t>VÄSTERBOTTENS LÄN</t>
        </is>
      </c>
      <c r="E72" t="inlineStr">
        <is>
          <t>VILHELMINA</t>
        </is>
      </c>
      <c r="G72" t="n">
        <v>14.1</v>
      </c>
      <c r="H72" t="n">
        <v>2</v>
      </c>
      <c r="I72" t="n">
        <v>6</v>
      </c>
      <c r="J72" t="n">
        <v>5</v>
      </c>
      <c r="K72" t="n">
        <v>1</v>
      </c>
      <c r="L72" t="n">
        <v>0</v>
      </c>
      <c r="M72" t="n">
        <v>0</v>
      </c>
      <c r="N72" t="n">
        <v>0</v>
      </c>
      <c r="O72" t="n">
        <v>6</v>
      </c>
      <c r="P72" t="n">
        <v>1</v>
      </c>
      <c r="Q72" t="n">
        <v>12</v>
      </c>
      <c r="R72" s="2" t="inlineStr">
        <is>
          <t>Rödskaftad svartspik
Garnlav
Lunglav
Skrovellav
Talltita
Tretåig hackspett
Bårdlav
Kornig nållav
Luddlav
Mörkhövdad spiklav
Skinnlav
Stuplav</t>
        </is>
      </c>
      <c r="S72">
        <f>HYPERLINK("https://klasma.github.io/Logging_2462/artfynd/A 12014-2021 artfynd.xlsx", "A 12014-2021")</f>
        <v/>
      </c>
      <c r="T72">
        <f>HYPERLINK("https://klasma.github.io/Logging_2462/kartor/A 12014-2021 karta.png", "A 12014-2021")</f>
        <v/>
      </c>
      <c r="V72">
        <f>HYPERLINK("https://klasma.github.io/Logging_2462/klagomål/A 12014-2021 FSC-klagomål.docx", "A 12014-2021")</f>
        <v/>
      </c>
      <c r="W72">
        <f>HYPERLINK("https://klasma.github.io/Logging_2462/klagomålsmail/A 12014-2021 FSC-klagomål mail.docx", "A 12014-2021")</f>
        <v/>
      </c>
      <c r="X72">
        <f>HYPERLINK("https://klasma.github.io/Logging_2462/tillsyn/A 12014-2021 tillsynsbegäran.docx", "A 12014-2021")</f>
        <v/>
      </c>
      <c r="Y72">
        <f>HYPERLINK("https://klasma.github.io/Logging_2462/tillsynsmail/A 12014-2021 tillsynsbegäran mail.docx", "A 12014-2021")</f>
        <v/>
      </c>
      <c r="Z72">
        <f>HYPERLINK("https://klasma.github.io/Logging_2462/fåglar/A 12014-2021 prioriterade fågelarter.docx", "A 12014-2021")</f>
        <v/>
      </c>
    </row>
    <row r="73" ht="15" customHeight="1">
      <c r="A73" t="inlineStr">
        <is>
          <t>A 45743-2022</t>
        </is>
      </c>
      <c r="B73" s="1" t="n">
        <v>44838</v>
      </c>
      <c r="C73" s="1" t="n">
        <v>45628</v>
      </c>
      <c r="D73" t="inlineStr">
        <is>
          <t>VÄSTERBOTTENS LÄN</t>
        </is>
      </c>
      <c r="E73" t="inlineStr">
        <is>
          <t>VILHELMINA</t>
        </is>
      </c>
      <c r="F73" t="inlineStr">
        <is>
          <t>Allmännings- och besparingsskogar</t>
        </is>
      </c>
      <c r="G73" t="n">
        <v>6.9</v>
      </c>
      <c r="H73" t="n">
        <v>1</v>
      </c>
      <c r="I73" t="n">
        <v>3</v>
      </c>
      <c r="J73" t="n">
        <v>9</v>
      </c>
      <c r="K73" t="n">
        <v>0</v>
      </c>
      <c r="L73" t="n">
        <v>0</v>
      </c>
      <c r="M73" t="n">
        <v>0</v>
      </c>
      <c r="N73" t="n">
        <v>0</v>
      </c>
      <c r="O73" t="n">
        <v>9</v>
      </c>
      <c r="P73" t="n">
        <v>0</v>
      </c>
      <c r="Q73" t="n">
        <v>12</v>
      </c>
      <c r="R73" s="2" t="inlineStr">
        <is>
          <t>Brunpudrad nållav
Garnlav
Gränsticka
Harticka
Lunglav
Rödbrun blekspik
Skrovellav
Tretåig hackspett
Vitgrynig nållav
Gytterlav
Luddlav
Stuplav</t>
        </is>
      </c>
      <c r="S73">
        <f>HYPERLINK("https://klasma.github.io/Logging_2462/artfynd/A 45743-2022 artfynd.xlsx", "A 45743-2022")</f>
        <v/>
      </c>
      <c r="T73">
        <f>HYPERLINK("https://klasma.github.io/Logging_2462/kartor/A 45743-2022 karta.png", "A 45743-2022")</f>
        <v/>
      </c>
      <c r="V73">
        <f>HYPERLINK("https://klasma.github.io/Logging_2462/klagomål/A 45743-2022 FSC-klagomål.docx", "A 45743-2022")</f>
        <v/>
      </c>
      <c r="W73">
        <f>HYPERLINK("https://klasma.github.io/Logging_2462/klagomålsmail/A 45743-2022 FSC-klagomål mail.docx", "A 45743-2022")</f>
        <v/>
      </c>
      <c r="X73">
        <f>HYPERLINK("https://klasma.github.io/Logging_2462/tillsyn/A 45743-2022 tillsynsbegäran.docx", "A 45743-2022")</f>
        <v/>
      </c>
      <c r="Y73">
        <f>HYPERLINK("https://klasma.github.io/Logging_2462/tillsynsmail/A 45743-2022 tillsynsbegäran mail.docx", "A 45743-2022")</f>
        <v/>
      </c>
      <c r="Z73">
        <f>HYPERLINK("https://klasma.github.io/Logging_2462/fåglar/A 45743-2022 prioriterade fågelarter.docx", "A 45743-2022")</f>
        <v/>
      </c>
    </row>
    <row r="74" ht="15" customHeight="1">
      <c r="A74" t="inlineStr">
        <is>
          <t>A 33664-2023</t>
        </is>
      </c>
      <c r="B74" s="1" t="n">
        <v>45119</v>
      </c>
      <c r="C74" s="1" t="n">
        <v>45628</v>
      </c>
      <c r="D74" t="inlineStr">
        <is>
          <t>VÄSTERBOTTENS LÄN</t>
        </is>
      </c>
      <c r="E74" t="inlineStr">
        <is>
          <t>VILHELMINA</t>
        </is>
      </c>
      <c r="F74" t="inlineStr">
        <is>
          <t>Allmännings- och besparingsskogar</t>
        </is>
      </c>
      <c r="G74" t="n">
        <v>1.7</v>
      </c>
      <c r="H74" t="n">
        <v>0</v>
      </c>
      <c r="I74" t="n">
        <v>4</v>
      </c>
      <c r="J74" t="n">
        <v>7</v>
      </c>
      <c r="K74" t="n">
        <v>1</v>
      </c>
      <c r="L74" t="n">
        <v>0</v>
      </c>
      <c r="M74" t="n">
        <v>0</v>
      </c>
      <c r="N74" t="n">
        <v>0</v>
      </c>
      <c r="O74" t="n">
        <v>8</v>
      </c>
      <c r="P74" t="n">
        <v>1</v>
      </c>
      <c r="Q74" t="n">
        <v>12</v>
      </c>
      <c r="R74" s="2" t="inlineStr">
        <is>
          <t>Aspfjädermossa
Garnlav
Granticka
Gränsticka
Skrovellav
Stjärntagging
Ullticka
Vitgrynig nållav
Bårdlav
Kransrams
Stuplav
Vedticka</t>
        </is>
      </c>
      <c r="S74">
        <f>HYPERLINK("https://klasma.github.io/Logging_2462/artfynd/A 33664-2023 artfynd.xlsx", "A 33664-2023")</f>
        <v/>
      </c>
      <c r="T74">
        <f>HYPERLINK("https://klasma.github.io/Logging_2462/kartor/A 33664-2023 karta.png", "A 33664-2023")</f>
        <v/>
      </c>
      <c r="V74">
        <f>HYPERLINK("https://klasma.github.io/Logging_2462/klagomål/A 33664-2023 FSC-klagomål.docx", "A 33664-2023")</f>
        <v/>
      </c>
      <c r="W74">
        <f>HYPERLINK("https://klasma.github.io/Logging_2462/klagomålsmail/A 33664-2023 FSC-klagomål mail.docx", "A 33664-2023")</f>
        <v/>
      </c>
      <c r="X74">
        <f>HYPERLINK("https://klasma.github.io/Logging_2462/tillsyn/A 33664-2023 tillsynsbegäran.docx", "A 33664-2023")</f>
        <v/>
      </c>
      <c r="Y74">
        <f>HYPERLINK("https://klasma.github.io/Logging_2462/tillsynsmail/A 33664-2023 tillsynsbegäran mail.docx", "A 33664-2023")</f>
        <v/>
      </c>
    </row>
    <row r="75" ht="15" customHeight="1">
      <c r="A75" t="inlineStr">
        <is>
          <t>A 48216-2023</t>
        </is>
      </c>
      <c r="B75" s="1" t="n">
        <v>45201</v>
      </c>
      <c r="C75" s="1" t="n">
        <v>45628</v>
      </c>
      <c r="D75" t="inlineStr">
        <is>
          <t>VÄSTERBOTTENS LÄN</t>
        </is>
      </c>
      <c r="E75" t="inlineStr">
        <is>
          <t>VILHELMINA</t>
        </is>
      </c>
      <c r="F75" t="inlineStr">
        <is>
          <t>Allmännings- och besparingsskogar</t>
        </is>
      </c>
      <c r="G75" t="n">
        <v>22.2</v>
      </c>
      <c r="H75" t="n">
        <v>3</v>
      </c>
      <c r="I75" t="n">
        <v>2</v>
      </c>
      <c r="J75" t="n">
        <v>8</v>
      </c>
      <c r="K75" t="n">
        <v>1</v>
      </c>
      <c r="L75" t="n">
        <v>0</v>
      </c>
      <c r="M75" t="n">
        <v>0</v>
      </c>
      <c r="N75" t="n">
        <v>0</v>
      </c>
      <c r="O75" t="n">
        <v>9</v>
      </c>
      <c r="P75" t="n">
        <v>1</v>
      </c>
      <c r="Q75" t="n">
        <v>12</v>
      </c>
      <c r="R75" s="2" t="inlineStr">
        <is>
          <t>Ostticka
Doftskinn
Garnlav
Granticka
Rosenticka
Talltita
Tretåig hackspett
Ullticka
Vitgrynig nållav
Trådticka
Vedticka
Lavskrika</t>
        </is>
      </c>
      <c r="S75">
        <f>HYPERLINK("https://klasma.github.io/Logging_2462/artfynd/A 48216-2023 artfynd.xlsx", "A 48216-2023")</f>
        <v/>
      </c>
      <c r="T75">
        <f>HYPERLINK("https://klasma.github.io/Logging_2462/kartor/A 48216-2023 karta.png", "A 48216-2023")</f>
        <v/>
      </c>
      <c r="V75">
        <f>HYPERLINK("https://klasma.github.io/Logging_2462/klagomål/A 48216-2023 FSC-klagomål.docx", "A 48216-2023")</f>
        <v/>
      </c>
      <c r="W75">
        <f>HYPERLINK("https://klasma.github.io/Logging_2462/klagomålsmail/A 48216-2023 FSC-klagomål mail.docx", "A 48216-2023")</f>
        <v/>
      </c>
      <c r="X75">
        <f>HYPERLINK("https://klasma.github.io/Logging_2462/tillsyn/A 48216-2023 tillsynsbegäran.docx", "A 48216-2023")</f>
        <v/>
      </c>
      <c r="Y75">
        <f>HYPERLINK("https://klasma.github.io/Logging_2462/tillsynsmail/A 48216-2023 tillsynsbegäran mail.docx", "A 48216-2023")</f>
        <v/>
      </c>
      <c r="Z75">
        <f>HYPERLINK("https://klasma.github.io/Logging_2462/fåglar/A 48216-2023 prioriterade fågelarter.docx", "A 48216-2023")</f>
        <v/>
      </c>
    </row>
    <row r="76" ht="15" customHeight="1">
      <c r="A76" t="inlineStr">
        <is>
          <t>A 22161-2024</t>
        </is>
      </c>
      <c r="B76" s="1" t="n">
        <v>45443</v>
      </c>
      <c r="C76" s="1" t="n">
        <v>45628</v>
      </c>
      <c r="D76" t="inlineStr">
        <is>
          <t>VÄSTERBOTTENS LÄN</t>
        </is>
      </c>
      <c r="E76" t="inlineStr">
        <is>
          <t>VILHELMINA</t>
        </is>
      </c>
      <c r="F76" t="inlineStr">
        <is>
          <t>Allmännings- och besparingsskogar</t>
        </is>
      </c>
      <c r="G76" t="n">
        <v>11.2</v>
      </c>
      <c r="H76" t="n">
        <v>3</v>
      </c>
      <c r="I76" t="n">
        <v>1</v>
      </c>
      <c r="J76" t="n">
        <v>10</v>
      </c>
      <c r="K76" t="n">
        <v>0</v>
      </c>
      <c r="L76" t="n">
        <v>0</v>
      </c>
      <c r="M76" t="n">
        <v>0</v>
      </c>
      <c r="N76" t="n">
        <v>0</v>
      </c>
      <c r="O76" t="n">
        <v>10</v>
      </c>
      <c r="P76" t="n">
        <v>0</v>
      </c>
      <c r="Q76" t="n">
        <v>12</v>
      </c>
      <c r="R76" s="2" t="inlineStr">
        <is>
          <t>Brunpudrad nållav
Garnlav
Granticka
Gränsticka
Harticka
Järpe
Knottrig blåslav
Liten svartspik
Tretåig hackspett
Vitgrynig nållav
Vedticka
Revlummer</t>
        </is>
      </c>
      <c r="S76">
        <f>HYPERLINK("https://klasma.github.io/Logging_2462/artfynd/A 22161-2024 artfynd.xlsx", "A 22161-2024")</f>
        <v/>
      </c>
      <c r="T76">
        <f>HYPERLINK("https://klasma.github.io/Logging_2462/kartor/A 22161-2024 karta.png", "A 22161-2024")</f>
        <v/>
      </c>
      <c r="V76">
        <f>HYPERLINK("https://klasma.github.io/Logging_2462/klagomål/A 22161-2024 FSC-klagomål.docx", "A 22161-2024")</f>
        <v/>
      </c>
      <c r="W76">
        <f>HYPERLINK("https://klasma.github.io/Logging_2462/klagomålsmail/A 22161-2024 FSC-klagomål mail.docx", "A 22161-2024")</f>
        <v/>
      </c>
      <c r="X76">
        <f>HYPERLINK("https://klasma.github.io/Logging_2462/tillsyn/A 22161-2024 tillsynsbegäran.docx", "A 22161-2024")</f>
        <v/>
      </c>
      <c r="Y76">
        <f>HYPERLINK("https://klasma.github.io/Logging_2462/tillsynsmail/A 22161-2024 tillsynsbegäran mail.docx", "A 22161-2024")</f>
        <v/>
      </c>
      <c r="Z76">
        <f>HYPERLINK("https://klasma.github.io/Logging_2462/fåglar/A 22161-2024 prioriterade fågelarter.docx", "A 22161-2024")</f>
        <v/>
      </c>
    </row>
    <row r="77" ht="15" customHeight="1">
      <c r="A77" t="inlineStr">
        <is>
          <t>A 40984-2024</t>
        </is>
      </c>
      <c r="B77" s="1" t="n">
        <v>45558</v>
      </c>
      <c r="C77" s="1" t="n">
        <v>45628</v>
      </c>
      <c r="D77" t="inlineStr">
        <is>
          <t>VÄSTERBOTTENS LÄN</t>
        </is>
      </c>
      <c r="E77" t="inlineStr">
        <is>
          <t>VILHELMINA</t>
        </is>
      </c>
      <c r="F77" t="inlineStr">
        <is>
          <t>Allmännings- och besparingsskogar</t>
        </is>
      </c>
      <c r="G77" t="n">
        <v>12.3</v>
      </c>
      <c r="H77" t="n">
        <v>2</v>
      </c>
      <c r="I77" t="n">
        <v>3</v>
      </c>
      <c r="J77" t="n">
        <v>8</v>
      </c>
      <c r="K77" t="n">
        <v>0</v>
      </c>
      <c r="L77" t="n">
        <v>0</v>
      </c>
      <c r="M77" t="n">
        <v>0</v>
      </c>
      <c r="N77" t="n">
        <v>0</v>
      </c>
      <c r="O77" t="n">
        <v>8</v>
      </c>
      <c r="P77" t="n">
        <v>0</v>
      </c>
      <c r="Q77" t="n">
        <v>12</v>
      </c>
      <c r="R77" s="2" t="inlineStr">
        <is>
          <t>Gammelgransskål
Garnlav
Granticka
Gränsticka
Harticka
Skrovellav
Talltita
Ullticka
Bårdlav
Luddlav
Stuplav
Lavskrika</t>
        </is>
      </c>
      <c r="S77">
        <f>HYPERLINK("https://klasma.github.io/Logging_2462/artfynd/A 40984-2024 artfynd.xlsx", "A 40984-2024")</f>
        <v/>
      </c>
      <c r="T77">
        <f>HYPERLINK("https://klasma.github.io/Logging_2462/kartor/A 40984-2024 karta.png", "A 40984-2024")</f>
        <v/>
      </c>
      <c r="V77">
        <f>HYPERLINK("https://klasma.github.io/Logging_2462/klagomål/A 40984-2024 FSC-klagomål.docx", "A 40984-2024")</f>
        <v/>
      </c>
      <c r="W77">
        <f>HYPERLINK("https://klasma.github.io/Logging_2462/klagomålsmail/A 40984-2024 FSC-klagomål mail.docx", "A 40984-2024")</f>
        <v/>
      </c>
      <c r="X77">
        <f>HYPERLINK("https://klasma.github.io/Logging_2462/tillsyn/A 40984-2024 tillsynsbegäran.docx", "A 40984-2024")</f>
        <v/>
      </c>
      <c r="Y77">
        <f>HYPERLINK("https://klasma.github.io/Logging_2462/tillsynsmail/A 40984-2024 tillsynsbegäran mail.docx", "A 40984-2024")</f>
        <v/>
      </c>
      <c r="Z77">
        <f>HYPERLINK("https://klasma.github.io/Logging_2462/fåglar/A 40984-2024 prioriterade fågelarter.docx", "A 40984-2024")</f>
        <v/>
      </c>
    </row>
    <row r="78" ht="15" customHeight="1">
      <c r="A78" t="inlineStr">
        <is>
          <t>A 60592-2019</t>
        </is>
      </c>
      <c r="B78" s="1" t="n">
        <v>43781</v>
      </c>
      <c r="C78" s="1" t="n">
        <v>45628</v>
      </c>
      <c r="D78" t="inlineStr">
        <is>
          <t>VÄSTERBOTTENS LÄN</t>
        </is>
      </c>
      <c r="E78" t="inlineStr">
        <is>
          <t>VILHELMINA</t>
        </is>
      </c>
      <c r="F78" t="inlineStr">
        <is>
          <t>Holmen skog AB</t>
        </is>
      </c>
      <c r="G78" t="n">
        <v>26.7</v>
      </c>
      <c r="H78" t="n">
        <v>1</v>
      </c>
      <c r="I78" t="n">
        <v>2</v>
      </c>
      <c r="J78" t="n">
        <v>9</v>
      </c>
      <c r="K78" t="n">
        <v>0</v>
      </c>
      <c r="L78" t="n">
        <v>0</v>
      </c>
      <c r="M78" t="n">
        <v>0</v>
      </c>
      <c r="N78" t="n">
        <v>0</v>
      </c>
      <c r="O78" t="n">
        <v>9</v>
      </c>
      <c r="P78" t="n">
        <v>0</v>
      </c>
      <c r="Q78" t="n">
        <v>11</v>
      </c>
      <c r="R78" s="2" t="inlineStr">
        <is>
          <t>Brunpudrad nållav
Gammelgransskål
Garnlav
Granticka
Gränsticka
Knottrig blåslav
Lunglav
Tretåig hackspett
Vitgrynig nållav
Luddlav
Stuplav</t>
        </is>
      </c>
      <c r="S78">
        <f>HYPERLINK("https://klasma.github.io/Logging_2462/artfynd/A 60592-2019 artfynd.xlsx", "A 60592-2019")</f>
        <v/>
      </c>
      <c r="T78">
        <f>HYPERLINK("https://klasma.github.io/Logging_2462/kartor/A 60592-2019 karta.png", "A 60592-2019")</f>
        <v/>
      </c>
      <c r="V78">
        <f>HYPERLINK("https://klasma.github.io/Logging_2462/klagomål/A 60592-2019 FSC-klagomål.docx", "A 60592-2019")</f>
        <v/>
      </c>
      <c r="W78">
        <f>HYPERLINK("https://klasma.github.io/Logging_2462/klagomålsmail/A 60592-2019 FSC-klagomål mail.docx", "A 60592-2019")</f>
        <v/>
      </c>
      <c r="X78">
        <f>HYPERLINK("https://klasma.github.io/Logging_2462/tillsyn/A 60592-2019 tillsynsbegäran.docx", "A 60592-2019")</f>
        <v/>
      </c>
      <c r="Y78">
        <f>HYPERLINK("https://klasma.github.io/Logging_2462/tillsynsmail/A 60592-2019 tillsynsbegäran mail.docx", "A 60592-2019")</f>
        <v/>
      </c>
      <c r="Z78">
        <f>HYPERLINK("https://klasma.github.io/Logging_2462/fåglar/A 60592-2019 prioriterade fågelarter.docx", "A 60592-2019")</f>
        <v/>
      </c>
    </row>
    <row r="79" ht="15" customHeight="1">
      <c r="A79" t="inlineStr">
        <is>
          <t>A 6658-2021</t>
        </is>
      </c>
      <c r="B79" s="1" t="n">
        <v>44235</v>
      </c>
      <c r="C79" s="1" t="n">
        <v>45628</v>
      </c>
      <c r="D79" t="inlineStr">
        <is>
          <t>VÄSTERBOTTENS LÄN</t>
        </is>
      </c>
      <c r="E79" t="inlineStr">
        <is>
          <t>VILHELMINA</t>
        </is>
      </c>
      <c r="G79" t="n">
        <v>6.7</v>
      </c>
      <c r="H79" t="n">
        <v>3</v>
      </c>
      <c r="I79" t="n">
        <v>1</v>
      </c>
      <c r="J79" t="n">
        <v>8</v>
      </c>
      <c r="K79" t="n">
        <v>1</v>
      </c>
      <c r="L79" t="n">
        <v>0</v>
      </c>
      <c r="M79" t="n">
        <v>0</v>
      </c>
      <c r="N79" t="n">
        <v>0</v>
      </c>
      <c r="O79" t="n">
        <v>9</v>
      </c>
      <c r="P79" t="n">
        <v>1</v>
      </c>
      <c r="Q79" t="n">
        <v>11</v>
      </c>
      <c r="R79" s="2" t="inlineStr">
        <is>
          <t>Rynkskinn
Barrviolspindling
Garnlav
Granticka
Harticka
Skrovellav
Stjärntagging
Talltita
Tretåig hackspett
Vedticka
Lavskrika</t>
        </is>
      </c>
      <c r="S79">
        <f>HYPERLINK("https://klasma.github.io/Logging_2462/artfynd/A 6658-2021 artfynd.xlsx", "A 6658-2021")</f>
        <v/>
      </c>
      <c r="T79">
        <f>HYPERLINK("https://klasma.github.io/Logging_2462/kartor/A 6658-2021 karta.png", "A 6658-2021")</f>
        <v/>
      </c>
      <c r="V79">
        <f>HYPERLINK("https://klasma.github.io/Logging_2462/klagomål/A 6658-2021 FSC-klagomål.docx", "A 6658-2021")</f>
        <v/>
      </c>
      <c r="W79">
        <f>HYPERLINK("https://klasma.github.io/Logging_2462/klagomålsmail/A 6658-2021 FSC-klagomål mail.docx", "A 6658-2021")</f>
        <v/>
      </c>
      <c r="X79">
        <f>HYPERLINK("https://klasma.github.io/Logging_2462/tillsyn/A 6658-2021 tillsynsbegäran.docx", "A 6658-2021")</f>
        <v/>
      </c>
      <c r="Y79">
        <f>HYPERLINK("https://klasma.github.io/Logging_2462/tillsynsmail/A 6658-2021 tillsynsbegäran mail.docx", "A 6658-2021")</f>
        <v/>
      </c>
      <c r="Z79">
        <f>HYPERLINK("https://klasma.github.io/Logging_2462/fåglar/A 6658-2021 prioriterade fågelarter.docx", "A 6658-2021")</f>
        <v/>
      </c>
    </row>
    <row r="80" ht="15" customHeight="1">
      <c r="A80" t="inlineStr">
        <is>
          <t>A 29392-2021</t>
        </is>
      </c>
      <c r="B80" s="1" t="n">
        <v>44361</v>
      </c>
      <c r="C80" s="1" t="n">
        <v>45628</v>
      </c>
      <c r="D80" t="inlineStr">
        <is>
          <t>VÄSTERBOTTENS LÄN</t>
        </is>
      </c>
      <c r="E80" t="inlineStr">
        <is>
          <t>VILHELMINA</t>
        </is>
      </c>
      <c r="F80" t="inlineStr">
        <is>
          <t>Allmännings- och besparingsskogar</t>
        </is>
      </c>
      <c r="G80" t="n">
        <v>275</v>
      </c>
      <c r="H80" t="n">
        <v>1</v>
      </c>
      <c r="I80" t="n">
        <v>5</v>
      </c>
      <c r="J80" t="n">
        <v>6</v>
      </c>
      <c r="K80" t="n">
        <v>0</v>
      </c>
      <c r="L80" t="n">
        <v>0</v>
      </c>
      <c r="M80" t="n">
        <v>0</v>
      </c>
      <c r="N80" t="n">
        <v>0</v>
      </c>
      <c r="O80" t="n">
        <v>6</v>
      </c>
      <c r="P80" t="n">
        <v>0</v>
      </c>
      <c r="Q80" t="n">
        <v>11</v>
      </c>
      <c r="R80" s="2" t="inlineStr">
        <is>
          <t>Brunpudrad nållav
Rödbrun blekspik
Skrovellav
Svartvit flugsnappare
Vitgrynig nållav
Vitskaftad svartspik
Bårdlav
Gulnål
Gytterlav
Källmossor
Mörk husmossa</t>
        </is>
      </c>
      <c r="S80">
        <f>HYPERLINK("https://klasma.github.io/Logging_2462/artfynd/A 29392-2021 artfynd.xlsx", "A 29392-2021")</f>
        <v/>
      </c>
      <c r="T80">
        <f>HYPERLINK("https://klasma.github.io/Logging_2462/kartor/A 29392-2021 karta.png", "A 29392-2021")</f>
        <v/>
      </c>
      <c r="V80">
        <f>HYPERLINK("https://klasma.github.io/Logging_2462/klagomål/A 29392-2021 FSC-klagomål.docx", "A 29392-2021")</f>
        <v/>
      </c>
      <c r="W80">
        <f>HYPERLINK("https://klasma.github.io/Logging_2462/klagomålsmail/A 29392-2021 FSC-klagomål mail.docx", "A 29392-2021")</f>
        <v/>
      </c>
      <c r="X80">
        <f>HYPERLINK("https://klasma.github.io/Logging_2462/tillsyn/A 29392-2021 tillsynsbegäran.docx", "A 29392-2021")</f>
        <v/>
      </c>
      <c r="Y80">
        <f>HYPERLINK("https://klasma.github.io/Logging_2462/tillsynsmail/A 29392-2021 tillsynsbegäran mail.docx", "A 29392-2021")</f>
        <v/>
      </c>
      <c r="Z80">
        <f>HYPERLINK("https://klasma.github.io/Logging_2462/fåglar/A 29392-2021 prioriterade fågelarter.docx", "A 29392-2021")</f>
        <v/>
      </c>
    </row>
    <row r="81" ht="15" customHeight="1">
      <c r="A81" t="inlineStr">
        <is>
          <t>A 33672-2023</t>
        </is>
      </c>
      <c r="B81" s="1" t="n">
        <v>45119</v>
      </c>
      <c r="C81" s="1" t="n">
        <v>45628</v>
      </c>
      <c r="D81" t="inlineStr">
        <is>
          <t>VÄSTERBOTTENS LÄN</t>
        </is>
      </c>
      <c r="E81" t="inlineStr">
        <is>
          <t>VILHELMINA</t>
        </is>
      </c>
      <c r="F81" t="inlineStr">
        <is>
          <t>Allmännings- och besparingsskogar</t>
        </is>
      </c>
      <c r="G81" t="n">
        <v>28.7</v>
      </c>
      <c r="H81" t="n">
        <v>1</v>
      </c>
      <c r="I81" t="n">
        <v>1</v>
      </c>
      <c r="J81" t="n">
        <v>8</v>
      </c>
      <c r="K81" t="n">
        <v>2</v>
      </c>
      <c r="L81" t="n">
        <v>0</v>
      </c>
      <c r="M81" t="n">
        <v>0</v>
      </c>
      <c r="N81" t="n">
        <v>0</v>
      </c>
      <c r="O81" t="n">
        <v>10</v>
      </c>
      <c r="P81" t="n">
        <v>2</v>
      </c>
      <c r="Q81" t="n">
        <v>11</v>
      </c>
      <c r="R81" s="2" t="inlineStr">
        <is>
          <t>Finporing
Ostticka
Doftskinn
Garnlav
Granticka
Harticka
Leptoporus mollis
Rosenticka
Tretåig hackspett
Ullticka
Trådticka</t>
        </is>
      </c>
      <c r="S81">
        <f>HYPERLINK("https://klasma.github.io/Logging_2462/artfynd/A 33672-2023 artfynd.xlsx", "A 33672-2023")</f>
        <v/>
      </c>
      <c r="T81">
        <f>HYPERLINK("https://klasma.github.io/Logging_2462/kartor/A 33672-2023 karta.png", "A 33672-2023")</f>
        <v/>
      </c>
      <c r="V81">
        <f>HYPERLINK("https://klasma.github.io/Logging_2462/klagomål/A 33672-2023 FSC-klagomål.docx", "A 33672-2023")</f>
        <v/>
      </c>
      <c r="W81">
        <f>HYPERLINK("https://klasma.github.io/Logging_2462/klagomålsmail/A 33672-2023 FSC-klagomål mail.docx", "A 33672-2023")</f>
        <v/>
      </c>
      <c r="X81">
        <f>HYPERLINK("https://klasma.github.io/Logging_2462/tillsyn/A 33672-2023 tillsynsbegäran.docx", "A 33672-2023")</f>
        <v/>
      </c>
      <c r="Y81">
        <f>HYPERLINK("https://klasma.github.io/Logging_2462/tillsynsmail/A 33672-2023 tillsynsbegäran mail.docx", "A 33672-2023")</f>
        <v/>
      </c>
      <c r="Z81">
        <f>HYPERLINK("https://klasma.github.io/Logging_2462/fåglar/A 33672-2023 prioriterade fågelarter.docx", "A 33672-2023")</f>
        <v/>
      </c>
    </row>
    <row r="82" ht="15" customHeight="1">
      <c r="A82" t="inlineStr">
        <is>
          <t>A 48247-2023</t>
        </is>
      </c>
      <c r="B82" s="1" t="n">
        <v>45201</v>
      </c>
      <c r="C82" s="1" t="n">
        <v>45628</v>
      </c>
      <c r="D82" t="inlineStr">
        <is>
          <t>VÄSTERBOTTENS LÄN</t>
        </is>
      </c>
      <c r="E82" t="inlineStr">
        <is>
          <t>VILHELMINA</t>
        </is>
      </c>
      <c r="F82" t="inlineStr">
        <is>
          <t>Allmännings- och besparingsskogar</t>
        </is>
      </c>
      <c r="G82" t="n">
        <v>29.7</v>
      </c>
      <c r="H82" t="n">
        <v>1</v>
      </c>
      <c r="I82" t="n">
        <v>0</v>
      </c>
      <c r="J82" t="n">
        <v>10</v>
      </c>
      <c r="K82" t="n">
        <v>1</v>
      </c>
      <c r="L82" t="n">
        <v>0</v>
      </c>
      <c r="M82" t="n">
        <v>0</v>
      </c>
      <c r="N82" t="n">
        <v>0</v>
      </c>
      <c r="O82" t="n">
        <v>11</v>
      </c>
      <c r="P82" t="n">
        <v>1</v>
      </c>
      <c r="Q82" t="n">
        <v>11</v>
      </c>
      <c r="R82" s="2" t="inlineStr">
        <is>
          <t>Liten sotlav
Gammelgransskål
Garnlav
Granticka
Harticka
Knottrig blåslav
Liten svartspik
Rödbrun blekspik
Tretåig hackspett
Ullticka
Vitgrynig nållav</t>
        </is>
      </c>
      <c r="S82">
        <f>HYPERLINK("https://klasma.github.io/Logging_2462/artfynd/A 48247-2023 artfynd.xlsx", "A 48247-2023")</f>
        <v/>
      </c>
      <c r="T82">
        <f>HYPERLINK("https://klasma.github.io/Logging_2462/kartor/A 48247-2023 karta.png", "A 48247-2023")</f>
        <v/>
      </c>
      <c r="V82">
        <f>HYPERLINK("https://klasma.github.io/Logging_2462/klagomål/A 48247-2023 FSC-klagomål.docx", "A 48247-2023")</f>
        <v/>
      </c>
      <c r="W82">
        <f>HYPERLINK("https://klasma.github.io/Logging_2462/klagomålsmail/A 48247-2023 FSC-klagomål mail.docx", "A 48247-2023")</f>
        <v/>
      </c>
      <c r="X82">
        <f>HYPERLINK("https://klasma.github.io/Logging_2462/tillsyn/A 48247-2023 tillsynsbegäran.docx", "A 48247-2023")</f>
        <v/>
      </c>
      <c r="Y82">
        <f>HYPERLINK("https://klasma.github.io/Logging_2462/tillsynsmail/A 48247-2023 tillsynsbegäran mail.docx", "A 48247-2023")</f>
        <v/>
      </c>
      <c r="Z82">
        <f>HYPERLINK("https://klasma.github.io/Logging_2462/fåglar/A 48247-2023 prioriterade fågelarter.docx", "A 48247-2023")</f>
        <v/>
      </c>
    </row>
    <row r="83" ht="15" customHeight="1">
      <c r="A83" t="inlineStr">
        <is>
          <t>A 49141-2023</t>
        </is>
      </c>
      <c r="B83" s="1" t="n">
        <v>45205</v>
      </c>
      <c r="C83" s="1" t="n">
        <v>45628</v>
      </c>
      <c r="D83" t="inlineStr">
        <is>
          <t>VÄSTERBOTTENS LÄN</t>
        </is>
      </c>
      <c r="E83" t="inlineStr">
        <is>
          <t>VILHELMINA</t>
        </is>
      </c>
      <c r="F83" t="inlineStr">
        <is>
          <t>Allmännings- och besparingsskogar</t>
        </is>
      </c>
      <c r="G83" t="n">
        <v>8.1</v>
      </c>
      <c r="H83" t="n">
        <v>2</v>
      </c>
      <c r="I83" t="n">
        <v>1</v>
      </c>
      <c r="J83" t="n">
        <v>10</v>
      </c>
      <c r="K83" t="n">
        <v>0</v>
      </c>
      <c r="L83" t="n">
        <v>0</v>
      </c>
      <c r="M83" t="n">
        <v>0</v>
      </c>
      <c r="N83" t="n">
        <v>0</v>
      </c>
      <c r="O83" t="n">
        <v>10</v>
      </c>
      <c r="P83" t="n">
        <v>0</v>
      </c>
      <c r="Q83" t="n">
        <v>11</v>
      </c>
      <c r="R83" s="2" t="inlineStr">
        <is>
          <t>Garnlav
Granticka
Liten svartspik
Lunglav
Skrovellav
Talltita
Tretåig hackspett
Ullticka
Vitgrynig nållav
Vitskaftad svartspik
Trådticka</t>
        </is>
      </c>
      <c r="S83">
        <f>HYPERLINK("https://klasma.github.io/Logging_2462/artfynd/A 49141-2023 artfynd.xlsx", "A 49141-2023")</f>
        <v/>
      </c>
      <c r="T83">
        <f>HYPERLINK("https://klasma.github.io/Logging_2462/kartor/A 49141-2023 karta.png", "A 49141-2023")</f>
        <v/>
      </c>
      <c r="V83">
        <f>HYPERLINK("https://klasma.github.io/Logging_2462/klagomål/A 49141-2023 FSC-klagomål.docx", "A 49141-2023")</f>
        <v/>
      </c>
      <c r="W83">
        <f>HYPERLINK("https://klasma.github.io/Logging_2462/klagomålsmail/A 49141-2023 FSC-klagomål mail.docx", "A 49141-2023")</f>
        <v/>
      </c>
      <c r="X83">
        <f>HYPERLINK("https://klasma.github.io/Logging_2462/tillsyn/A 49141-2023 tillsynsbegäran.docx", "A 49141-2023")</f>
        <v/>
      </c>
      <c r="Y83">
        <f>HYPERLINK("https://klasma.github.io/Logging_2462/tillsynsmail/A 49141-2023 tillsynsbegäran mail.docx", "A 49141-2023")</f>
        <v/>
      </c>
      <c r="Z83">
        <f>HYPERLINK("https://klasma.github.io/Logging_2462/fåglar/A 49141-2023 prioriterade fågelarter.docx", "A 49141-2023")</f>
        <v/>
      </c>
    </row>
    <row r="84" ht="15" customHeight="1">
      <c r="A84" t="inlineStr">
        <is>
          <t>A 7762-2024</t>
        </is>
      </c>
      <c r="B84" s="1" t="n">
        <v>45349</v>
      </c>
      <c r="C84" s="1" t="n">
        <v>45628</v>
      </c>
      <c r="D84" t="inlineStr">
        <is>
          <t>VÄSTERBOTTENS LÄN</t>
        </is>
      </c>
      <c r="E84" t="inlineStr">
        <is>
          <t>VILHELMINA</t>
        </is>
      </c>
      <c r="G84" t="n">
        <v>4.8</v>
      </c>
      <c r="H84" t="n">
        <v>3</v>
      </c>
      <c r="I84" t="n">
        <v>2</v>
      </c>
      <c r="J84" t="n">
        <v>9</v>
      </c>
      <c r="K84" t="n">
        <v>0</v>
      </c>
      <c r="L84" t="n">
        <v>0</v>
      </c>
      <c r="M84" t="n">
        <v>0</v>
      </c>
      <c r="N84" t="n">
        <v>0</v>
      </c>
      <c r="O84" t="n">
        <v>9</v>
      </c>
      <c r="P84" t="n">
        <v>0</v>
      </c>
      <c r="Q84" t="n">
        <v>11</v>
      </c>
      <c r="R84" s="2" t="inlineStr">
        <is>
          <t>Gammelgransskål
Garnlav
Granticka
Järpe
Skogshare
Skrovellav
Talltita
Tretåig hackspett
Vitgrynig nållav
Korallblylav
Luddlav</t>
        </is>
      </c>
      <c r="S84">
        <f>HYPERLINK("https://klasma.github.io/Logging_2462/artfynd/A 7762-2024 artfynd.xlsx", "A 7762-2024")</f>
        <v/>
      </c>
      <c r="T84">
        <f>HYPERLINK("https://klasma.github.io/Logging_2462/kartor/A 7762-2024 karta.png", "A 7762-2024")</f>
        <v/>
      </c>
      <c r="V84">
        <f>HYPERLINK("https://klasma.github.io/Logging_2462/klagomål/A 7762-2024 FSC-klagomål.docx", "A 7762-2024")</f>
        <v/>
      </c>
      <c r="W84">
        <f>HYPERLINK("https://klasma.github.io/Logging_2462/klagomålsmail/A 7762-2024 FSC-klagomål mail.docx", "A 7762-2024")</f>
        <v/>
      </c>
      <c r="X84">
        <f>HYPERLINK("https://klasma.github.io/Logging_2462/tillsyn/A 7762-2024 tillsynsbegäran.docx", "A 7762-2024")</f>
        <v/>
      </c>
      <c r="Y84">
        <f>HYPERLINK("https://klasma.github.io/Logging_2462/tillsynsmail/A 7762-2024 tillsynsbegäran mail.docx", "A 7762-2024")</f>
        <v/>
      </c>
      <c r="Z84">
        <f>HYPERLINK("https://klasma.github.io/Logging_2462/fåglar/A 7762-2024 prioriterade fågelarter.docx", "A 7762-2024")</f>
        <v/>
      </c>
    </row>
    <row r="85" ht="15" customHeight="1">
      <c r="A85" t="inlineStr">
        <is>
          <t>A 40876-2024</t>
        </is>
      </c>
      <c r="B85" s="1" t="n">
        <v>45558</v>
      </c>
      <c r="C85" s="1" t="n">
        <v>45628</v>
      </c>
      <c r="D85" t="inlineStr">
        <is>
          <t>VÄSTERBOTTENS LÄN</t>
        </is>
      </c>
      <c r="E85" t="inlineStr">
        <is>
          <t>VILHELMINA</t>
        </is>
      </c>
      <c r="F85" t="inlineStr">
        <is>
          <t>Allmännings- och besparingsskogar</t>
        </is>
      </c>
      <c r="G85" t="n">
        <v>18.8</v>
      </c>
      <c r="H85" t="n">
        <v>2</v>
      </c>
      <c r="I85" t="n">
        <v>4</v>
      </c>
      <c r="J85" t="n">
        <v>5</v>
      </c>
      <c r="K85" t="n">
        <v>1</v>
      </c>
      <c r="L85" t="n">
        <v>0</v>
      </c>
      <c r="M85" t="n">
        <v>0</v>
      </c>
      <c r="N85" t="n">
        <v>0</v>
      </c>
      <c r="O85" t="n">
        <v>6</v>
      </c>
      <c r="P85" t="n">
        <v>1</v>
      </c>
      <c r="Q85" t="n">
        <v>11</v>
      </c>
      <c r="R85" s="2" t="inlineStr">
        <is>
          <t>Smalskaftslav
Garnlav
Lunglav
Skrovellav
Talltita
Vitgrynig nållav
Bårdlav
Gulnål
Luddlav
Stuplav
Lavskrika</t>
        </is>
      </c>
      <c r="S85">
        <f>HYPERLINK("https://klasma.github.io/Logging_2462/artfynd/A 40876-2024 artfynd.xlsx", "A 40876-2024")</f>
        <v/>
      </c>
      <c r="T85">
        <f>HYPERLINK("https://klasma.github.io/Logging_2462/kartor/A 40876-2024 karta.png", "A 40876-2024")</f>
        <v/>
      </c>
      <c r="V85">
        <f>HYPERLINK("https://klasma.github.io/Logging_2462/klagomål/A 40876-2024 FSC-klagomål.docx", "A 40876-2024")</f>
        <v/>
      </c>
      <c r="W85">
        <f>HYPERLINK("https://klasma.github.io/Logging_2462/klagomålsmail/A 40876-2024 FSC-klagomål mail.docx", "A 40876-2024")</f>
        <v/>
      </c>
      <c r="X85">
        <f>HYPERLINK("https://klasma.github.io/Logging_2462/tillsyn/A 40876-2024 tillsynsbegäran.docx", "A 40876-2024")</f>
        <v/>
      </c>
      <c r="Y85">
        <f>HYPERLINK("https://klasma.github.io/Logging_2462/tillsynsmail/A 40876-2024 tillsynsbegäran mail.docx", "A 40876-2024")</f>
        <v/>
      </c>
      <c r="Z85">
        <f>HYPERLINK("https://klasma.github.io/Logging_2462/fåglar/A 40876-2024 prioriterade fågelarter.docx", "A 40876-2024")</f>
        <v/>
      </c>
    </row>
    <row r="86" ht="15" customHeight="1">
      <c r="A86" t="inlineStr">
        <is>
          <t>A 50025-2019</t>
        </is>
      </c>
      <c r="B86" s="1" t="n">
        <v>43731</v>
      </c>
      <c r="C86" s="1" t="n">
        <v>45628</v>
      </c>
      <c r="D86" t="inlineStr">
        <is>
          <t>VÄSTERBOTTENS LÄN</t>
        </is>
      </c>
      <c r="E86" t="inlineStr">
        <is>
          <t>VILHELMINA</t>
        </is>
      </c>
      <c r="F86" t="inlineStr">
        <is>
          <t>Allmännings- och besparingsskogar</t>
        </is>
      </c>
      <c r="G86" t="n">
        <v>18.1</v>
      </c>
      <c r="H86" t="n">
        <v>0</v>
      </c>
      <c r="I86" t="n">
        <v>2</v>
      </c>
      <c r="J86" t="n">
        <v>5</v>
      </c>
      <c r="K86" t="n">
        <v>3</v>
      </c>
      <c r="L86" t="n">
        <v>0</v>
      </c>
      <c r="M86" t="n">
        <v>0</v>
      </c>
      <c r="N86" t="n">
        <v>0</v>
      </c>
      <c r="O86" t="n">
        <v>8</v>
      </c>
      <c r="P86" t="n">
        <v>3</v>
      </c>
      <c r="Q86" t="n">
        <v>10</v>
      </c>
      <c r="R86" s="2" t="inlineStr">
        <is>
          <t>Laxporing
Rynkskinn
Tajgaskinn
Granticka
Harticka
Knottrig blåslav
Rosenticka
Ullticka
Trådticka
Vedticka</t>
        </is>
      </c>
      <c r="S86">
        <f>HYPERLINK("https://klasma.github.io/Logging_2462/artfynd/A 50025-2019 artfynd.xlsx", "A 50025-2019")</f>
        <v/>
      </c>
      <c r="T86">
        <f>HYPERLINK("https://klasma.github.io/Logging_2462/kartor/A 50025-2019 karta.png", "A 50025-2019")</f>
        <v/>
      </c>
      <c r="V86">
        <f>HYPERLINK("https://klasma.github.io/Logging_2462/klagomål/A 50025-2019 FSC-klagomål.docx", "A 50025-2019")</f>
        <v/>
      </c>
      <c r="W86">
        <f>HYPERLINK("https://klasma.github.io/Logging_2462/klagomålsmail/A 50025-2019 FSC-klagomål mail.docx", "A 50025-2019")</f>
        <v/>
      </c>
      <c r="X86">
        <f>HYPERLINK("https://klasma.github.io/Logging_2462/tillsyn/A 50025-2019 tillsynsbegäran.docx", "A 50025-2019")</f>
        <v/>
      </c>
      <c r="Y86">
        <f>HYPERLINK("https://klasma.github.io/Logging_2462/tillsynsmail/A 50025-2019 tillsynsbegäran mail.docx", "A 50025-2019")</f>
        <v/>
      </c>
    </row>
    <row r="87" ht="15" customHeight="1">
      <c r="A87" t="inlineStr">
        <is>
          <t>A 17204-2022</t>
        </is>
      </c>
      <c r="B87" s="1" t="n">
        <v>44678</v>
      </c>
      <c r="C87" s="1" t="n">
        <v>45628</v>
      </c>
      <c r="D87" t="inlineStr">
        <is>
          <t>VÄSTERBOTTENS LÄN</t>
        </is>
      </c>
      <c r="E87" t="inlineStr">
        <is>
          <t>VILHELMINA</t>
        </is>
      </c>
      <c r="G87" t="n">
        <v>21.5</v>
      </c>
      <c r="H87" t="n">
        <v>1</v>
      </c>
      <c r="I87" t="n">
        <v>1</v>
      </c>
      <c r="J87" t="n">
        <v>9</v>
      </c>
      <c r="K87" t="n">
        <v>0</v>
      </c>
      <c r="L87" t="n">
        <v>0</v>
      </c>
      <c r="M87" t="n">
        <v>0</v>
      </c>
      <c r="N87" t="n">
        <v>0</v>
      </c>
      <c r="O87" t="n">
        <v>9</v>
      </c>
      <c r="P87" t="n">
        <v>0</v>
      </c>
      <c r="Q87" t="n">
        <v>10</v>
      </c>
      <c r="R87" s="2" t="inlineStr">
        <is>
          <t>Gammelgransskål
Garnlav
Granticka
Harticka
Rosenticka
Skrovellav
Tretåig hackspett
Ullticka
Vitgrynig nållav
Luddlav</t>
        </is>
      </c>
      <c r="S87">
        <f>HYPERLINK("https://klasma.github.io/Logging_2462/artfynd/A 17204-2022 artfynd.xlsx", "A 17204-2022")</f>
        <v/>
      </c>
      <c r="T87">
        <f>HYPERLINK("https://klasma.github.io/Logging_2462/kartor/A 17204-2022 karta.png", "A 17204-2022")</f>
        <v/>
      </c>
      <c r="V87">
        <f>HYPERLINK("https://klasma.github.io/Logging_2462/klagomål/A 17204-2022 FSC-klagomål.docx", "A 17204-2022")</f>
        <v/>
      </c>
      <c r="W87">
        <f>HYPERLINK("https://klasma.github.io/Logging_2462/klagomålsmail/A 17204-2022 FSC-klagomål mail.docx", "A 17204-2022")</f>
        <v/>
      </c>
      <c r="X87">
        <f>HYPERLINK("https://klasma.github.io/Logging_2462/tillsyn/A 17204-2022 tillsynsbegäran.docx", "A 17204-2022")</f>
        <v/>
      </c>
      <c r="Y87">
        <f>HYPERLINK("https://klasma.github.io/Logging_2462/tillsynsmail/A 17204-2022 tillsynsbegäran mail.docx", "A 17204-2022")</f>
        <v/>
      </c>
      <c r="Z87">
        <f>HYPERLINK("https://klasma.github.io/Logging_2462/fåglar/A 17204-2022 prioriterade fågelarter.docx", "A 17204-2022")</f>
        <v/>
      </c>
    </row>
    <row r="88" ht="15" customHeight="1">
      <c r="A88" t="inlineStr">
        <is>
          <t>A 6963-2023</t>
        </is>
      </c>
      <c r="B88" s="1" t="n">
        <v>44964</v>
      </c>
      <c r="C88" s="1" t="n">
        <v>45628</v>
      </c>
      <c r="D88" t="inlineStr">
        <is>
          <t>VÄSTERBOTTENS LÄN</t>
        </is>
      </c>
      <c r="E88" t="inlineStr">
        <is>
          <t>VILHELMINA</t>
        </is>
      </c>
      <c r="F88" t="inlineStr">
        <is>
          <t>Allmännings- och besparingsskogar</t>
        </is>
      </c>
      <c r="G88" t="n">
        <v>8</v>
      </c>
      <c r="H88" t="n">
        <v>2</v>
      </c>
      <c r="I88" t="n">
        <v>2</v>
      </c>
      <c r="J88" t="n">
        <v>8</v>
      </c>
      <c r="K88" t="n">
        <v>0</v>
      </c>
      <c r="L88" t="n">
        <v>0</v>
      </c>
      <c r="M88" t="n">
        <v>0</v>
      </c>
      <c r="N88" t="n">
        <v>0</v>
      </c>
      <c r="O88" t="n">
        <v>8</v>
      </c>
      <c r="P88" t="n">
        <v>0</v>
      </c>
      <c r="Q88" t="n">
        <v>10</v>
      </c>
      <c r="R88" s="2" t="inlineStr">
        <is>
          <t>Gammelgransskål
Garnlav
Granticka
Knottrig blåslav
Skrovellav
Tretåig hackspett
Vitgrynig nållav
Vitskaftad svartspik
Mörk husmossa
Spindelblomster</t>
        </is>
      </c>
      <c r="S88">
        <f>HYPERLINK("https://klasma.github.io/Logging_2462/artfynd/A 6963-2023 artfynd.xlsx", "A 6963-2023")</f>
        <v/>
      </c>
      <c r="T88">
        <f>HYPERLINK("https://klasma.github.io/Logging_2462/kartor/A 6963-2023 karta.png", "A 6963-2023")</f>
        <v/>
      </c>
      <c r="V88">
        <f>HYPERLINK("https://klasma.github.io/Logging_2462/klagomål/A 6963-2023 FSC-klagomål.docx", "A 6963-2023")</f>
        <v/>
      </c>
      <c r="W88">
        <f>HYPERLINK("https://klasma.github.io/Logging_2462/klagomålsmail/A 6963-2023 FSC-klagomål mail.docx", "A 6963-2023")</f>
        <v/>
      </c>
      <c r="X88">
        <f>HYPERLINK("https://klasma.github.io/Logging_2462/tillsyn/A 6963-2023 tillsynsbegäran.docx", "A 6963-2023")</f>
        <v/>
      </c>
      <c r="Y88">
        <f>HYPERLINK("https://klasma.github.io/Logging_2462/tillsynsmail/A 6963-2023 tillsynsbegäran mail.docx", "A 6963-2023")</f>
        <v/>
      </c>
      <c r="Z88">
        <f>HYPERLINK("https://klasma.github.io/Logging_2462/fåglar/A 6963-2023 prioriterade fågelarter.docx", "A 6963-2023")</f>
        <v/>
      </c>
    </row>
    <row r="89" ht="15" customHeight="1">
      <c r="A89" t="inlineStr">
        <is>
          <t>A 6969-2023</t>
        </is>
      </c>
      <c r="B89" s="1" t="n">
        <v>44964</v>
      </c>
      <c r="C89" s="1" t="n">
        <v>45628</v>
      </c>
      <c r="D89" t="inlineStr">
        <is>
          <t>VÄSTERBOTTENS LÄN</t>
        </is>
      </c>
      <c r="E89" t="inlineStr">
        <is>
          <t>VILHELMINA</t>
        </is>
      </c>
      <c r="F89" t="inlineStr">
        <is>
          <t>Allmännings- och besparingsskogar</t>
        </is>
      </c>
      <c r="G89" t="n">
        <v>21.8</v>
      </c>
      <c r="H89" t="n">
        <v>0</v>
      </c>
      <c r="I89" t="n">
        <v>3</v>
      </c>
      <c r="J89" t="n">
        <v>7</v>
      </c>
      <c r="K89" t="n">
        <v>0</v>
      </c>
      <c r="L89" t="n">
        <v>0</v>
      </c>
      <c r="M89" t="n">
        <v>0</v>
      </c>
      <c r="N89" t="n">
        <v>0</v>
      </c>
      <c r="O89" t="n">
        <v>7</v>
      </c>
      <c r="P89" t="n">
        <v>0</v>
      </c>
      <c r="Q89" t="n">
        <v>10</v>
      </c>
      <c r="R89" s="2" t="inlineStr">
        <is>
          <t>Brunpudrad nållav
Garnlav
Granticka
Rosenticka
Rödbrun blekspik
Skrovellav
Ullticka
Gulnål
Mörk husmossa
Stuplav</t>
        </is>
      </c>
      <c r="S89">
        <f>HYPERLINK("https://klasma.github.io/Logging_2462/artfynd/A 6969-2023 artfynd.xlsx", "A 6969-2023")</f>
        <v/>
      </c>
      <c r="T89">
        <f>HYPERLINK("https://klasma.github.io/Logging_2462/kartor/A 6969-2023 karta.png", "A 6969-2023")</f>
        <v/>
      </c>
      <c r="V89">
        <f>HYPERLINK("https://klasma.github.io/Logging_2462/klagomål/A 6969-2023 FSC-klagomål.docx", "A 6969-2023")</f>
        <v/>
      </c>
      <c r="W89">
        <f>HYPERLINK("https://klasma.github.io/Logging_2462/klagomålsmail/A 6969-2023 FSC-klagomål mail.docx", "A 6969-2023")</f>
        <v/>
      </c>
      <c r="X89">
        <f>HYPERLINK("https://klasma.github.io/Logging_2462/tillsyn/A 6969-2023 tillsynsbegäran.docx", "A 6969-2023")</f>
        <v/>
      </c>
      <c r="Y89">
        <f>HYPERLINK("https://klasma.github.io/Logging_2462/tillsynsmail/A 6969-2023 tillsynsbegäran mail.docx", "A 6969-2023")</f>
        <v/>
      </c>
    </row>
    <row r="90" ht="15" customHeight="1">
      <c r="A90" t="inlineStr">
        <is>
          <t>A 48183-2023</t>
        </is>
      </c>
      <c r="B90" s="1" t="n">
        <v>45201</v>
      </c>
      <c r="C90" s="1" t="n">
        <v>45628</v>
      </c>
      <c r="D90" t="inlineStr">
        <is>
          <t>VÄSTERBOTTENS LÄN</t>
        </is>
      </c>
      <c r="E90" t="inlineStr">
        <is>
          <t>VILHELMINA</t>
        </is>
      </c>
      <c r="F90" t="inlineStr">
        <is>
          <t>Allmännings- och besparingsskogar</t>
        </is>
      </c>
      <c r="G90" t="n">
        <v>17.3</v>
      </c>
      <c r="H90" t="n">
        <v>1</v>
      </c>
      <c r="I90" t="n">
        <v>3</v>
      </c>
      <c r="J90" t="n">
        <v>7</v>
      </c>
      <c r="K90" t="n">
        <v>0</v>
      </c>
      <c r="L90" t="n">
        <v>0</v>
      </c>
      <c r="M90" t="n">
        <v>0</v>
      </c>
      <c r="N90" t="n">
        <v>0</v>
      </c>
      <c r="O90" t="n">
        <v>7</v>
      </c>
      <c r="P90" t="n">
        <v>0</v>
      </c>
      <c r="Q90" t="n">
        <v>10</v>
      </c>
      <c r="R90" s="2" t="inlineStr">
        <is>
          <t>Garnlav
Granticka
Liten svartspik
Lunglav
Skrovellav
Tretåig hackspett
Vitgrynig nållav
Luddlav
Skinnlav
Stuplav</t>
        </is>
      </c>
      <c r="S90">
        <f>HYPERLINK("https://klasma.github.io/Logging_2462/artfynd/A 48183-2023 artfynd.xlsx", "A 48183-2023")</f>
        <v/>
      </c>
      <c r="T90">
        <f>HYPERLINK("https://klasma.github.io/Logging_2462/kartor/A 48183-2023 karta.png", "A 48183-2023")</f>
        <v/>
      </c>
      <c r="V90">
        <f>HYPERLINK("https://klasma.github.io/Logging_2462/klagomål/A 48183-2023 FSC-klagomål.docx", "A 48183-2023")</f>
        <v/>
      </c>
      <c r="W90">
        <f>HYPERLINK("https://klasma.github.io/Logging_2462/klagomålsmail/A 48183-2023 FSC-klagomål mail.docx", "A 48183-2023")</f>
        <v/>
      </c>
      <c r="X90">
        <f>HYPERLINK("https://klasma.github.io/Logging_2462/tillsyn/A 48183-2023 tillsynsbegäran.docx", "A 48183-2023")</f>
        <v/>
      </c>
      <c r="Y90">
        <f>HYPERLINK("https://klasma.github.io/Logging_2462/tillsynsmail/A 48183-2023 tillsynsbegäran mail.docx", "A 48183-2023")</f>
        <v/>
      </c>
      <c r="Z90">
        <f>HYPERLINK("https://klasma.github.io/Logging_2462/fåglar/A 48183-2023 prioriterade fågelarter.docx", "A 48183-2023")</f>
        <v/>
      </c>
    </row>
    <row r="91" ht="15" customHeight="1">
      <c r="A91" t="inlineStr">
        <is>
          <t>A 49174-2023</t>
        </is>
      </c>
      <c r="B91" s="1" t="n">
        <v>45205</v>
      </c>
      <c r="C91" s="1" t="n">
        <v>45628</v>
      </c>
      <c r="D91" t="inlineStr">
        <is>
          <t>VÄSTERBOTTENS LÄN</t>
        </is>
      </c>
      <c r="E91" t="inlineStr">
        <is>
          <t>VILHELMINA</t>
        </is>
      </c>
      <c r="F91" t="inlineStr">
        <is>
          <t>Allmännings- och besparingsskogar</t>
        </is>
      </c>
      <c r="G91" t="n">
        <v>22.5</v>
      </c>
      <c r="H91" t="n">
        <v>2</v>
      </c>
      <c r="I91" t="n">
        <v>1</v>
      </c>
      <c r="J91" t="n">
        <v>7</v>
      </c>
      <c r="K91" t="n">
        <v>1</v>
      </c>
      <c r="L91" t="n">
        <v>0</v>
      </c>
      <c r="M91" t="n">
        <v>0</v>
      </c>
      <c r="N91" t="n">
        <v>0</v>
      </c>
      <c r="O91" t="n">
        <v>8</v>
      </c>
      <c r="P91" t="n">
        <v>1</v>
      </c>
      <c r="Q91" t="n">
        <v>10</v>
      </c>
      <c r="R91" s="2" t="inlineStr">
        <is>
          <t>Ostticka
Gammelgransskål
Garnlav
Harticka
Lunglav
Skrovellav
Tretåig hackspett
Ullticka
Stuplav
Tjäder</t>
        </is>
      </c>
      <c r="S91">
        <f>HYPERLINK("https://klasma.github.io/Logging_2462/artfynd/A 49174-2023 artfynd.xlsx", "A 49174-2023")</f>
        <v/>
      </c>
      <c r="T91">
        <f>HYPERLINK("https://klasma.github.io/Logging_2462/kartor/A 49174-2023 karta.png", "A 49174-2023")</f>
        <v/>
      </c>
      <c r="V91">
        <f>HYPERLINK("https://klasma.github.io/Logging_2462/klagomål/A 49174-2023 FSC-klagomål.docx", "A 49174-2023")</f>
        <v/>
      </c>
      <c r="W91">
        <f>HYPERLINK("https://klasma.github.io/Logging_2462/klagomålsmail/A 49174-2023 FSC-klagomål mail.docx", "A 49174-2023")</f>
        <v/>
      </c>
      <c r="X91">
        <f>HYPERLINK("https://klasma.github.io/Logging_2462/tillsyn/A 49174-2023 tillsynsbegäran.docx", "A 49174-2023")</f>
        <v/>
      </c>
      <c r="Y91">
        <f>HYPERLINK("https://klasma.github.io/Logging_2462/tillsynsmail/A 49174-2023 tillsynsbegäran mail.docx", "A 49174-2023")</f>
        <v/>
      </c>
      <c r="Z91">
        <f>HYPERLINK("https://klasma.github.io/Logging_2462/fåglar/A 49174-2023 prioriterade fågelarter.docx", "A 49174-2023")</f>
        <v/>
      </c>
    </row>
    <row r="92" ht="15" customHeight="1">
      <c r="A92" t="inlineStr">
        <is>
          <t>A 56840-2023</t>
        </is>
      </c>
      <c r="B92" s="1" t="n">
        <v>45238</v>
      </c>
      <c r="C92" s="1" t="n">
        <v>45628</v>
      </c>
      <c r="D92" t="inlineStr">
        <is>
          <t>VÄSTERBOTTENS LÄN</t>
        </is>
      </c>
      <c r="E92" t="inlineStr">
        <is>
          <t>VILHELMINA</t>
        </is>
      </c>
      <c r="F92" t="inlineStr">
        <is>
          <t>Allmännings- och besparingsskogar</t>
        </is>
      </c>
      <c r="G92" t="n">
        <v>55.3</v>
      </c>
      <c r="H92" t="n">
        <v>0</v>
      </c>
      <c r="I92" t="n">
        <v>1</v>
      </c>
      <c r="J92" t="n">
        <v>7</v>
      </c>
      <c r="K92" t="n">
        <v>2</v>
      </c>
      <c r="L92" t="n">
        <v>0</v>
      </c>
      <c r="M92" t="n">
        <v>0</v>
      </c>
      <c r="N92" t="n">
        <v>0</v>
      </c>
      <c r="O92" t="n">
        <v>9</v>
      </c>
      <c r="P92" t="n">
        <v>2</v>
      </c>
      <c r="Q92" t="n">
        <v>10</v>
      </c>
      <c r="R92" s="2" t="inlineStr">
        <is>
          <t>Kristallticka
Tajgaskinn
Doftskinn
Gammelgransskål
Granticka
Gränsticka
Harticka
Rosenticka
Skrovellav
Sotlav</t>
        </is>
      </c>
      <c r="S92">
        <f>HYPERLINK("https://klasma.github.io/Logging_2462/artfynd/A 56840-2023 artfynd.xlsx", "A 56840-2023")</f>
        <v/>
      </c>
      <c r="T92">
        <f>HYPERLINK("https://klasma.github.io/Logging_2462/kartor/A 56840-2023 karta.png", "A 56840-2023")</f>
        <v/>
      </c>
      <c r="V92">
        <f>HYPERLINK("https://klasma.github.io/Logging_2462/klagomål/A 56840-2023 FSC-klagomål.docx", "A 56840-2023")</f>
        <v/>
      </c>
      <c r="W92">
        <f>HYPERLINK("https://klasma.github.io/Logging_2462/klagomålsmail/A 56840-2023 FSC-klagomål mail.docx", "A 56840-2023")</f>
        <v/>
      </c>
      <c r="X92">
        <f>HYPERLINK("https://klasma.github.io/Logging_2462/tillsyn/A 56840-2023 tillsynsbegäran.docx", "A 56840-2023")</f>
        <v/>
      </c>
      <c r="Y92">
        <f>HYPERLINK("https://klasma.github.io/Logging_2462/tillsynsmail/A 56840-2023 tillsynsbegäran mail.docx", "A 56840-2023")</f>
        <v/>
      </c>
    </row>
    <row r="93" ht="15" customHeight="1">
      <c r="A93" t="inlineStr">
        <is>
          <t>A 15047-2024</t>
        </is>
      </c>
      <c r="B93" s="1" t="n">
        <v>45399</v>
      </c>
      <c r="C93" s="1" t="n">
        <v>45628</v>
      </c>
      <c r="D93" t="inlineStr">
        <is>
          <t>VÄSTERBOTTENS LÄN</t>
        </is>
      </c>
      <c r="E93" t="inlineStr">
        <is>
          <t>VILHELMINA</t>
        </is>
      </c>
      <c r="F93" t="inlineStr">
        <is>
          <t>Övriga statliga verk och myndigheter</t>
        </is>
      </c>
      <c r="G93" t="n">
        <v>1.3</v>
      </c>
      <c r="H93" t="n">
        <v>3</v>
      </c>
      <c r="I93" t="n">
        <v>2</v>
      </c>
      <c r="J93" t="n">
        <v>7</v>
      </c>
      <c r="K93" t="n">
        <v>0</v>
      </c>
      <c r="L93" t="n">
        <v>0</v>
      </c>
      <c r="M93" t="n">
        <v>0</v>
      </c>
      <c r="N93" t="n">
        <v>0</v>
      </c>
      <c r="O93" t="n">
        <v>7</v>
      </c>
      <c r="P93" t="n">
        <v>0</v>
      </c>
      <c r="Q93" t="n">
        <v>10</v>
      </c>
      <c r="R93" s="2" t="inlineStr">
        <is>
          <t>Gammelgransskål
Garnlav
Knottrig blåslav
Liten svartspik
Rödvingetrast
Tretåig hackspett
Vitgrynig nållav
Bårdlav
Luddlav
Orre</t>
        </is>
      </c>
      <c r="S93">
        <f>HYPERLINK("https://klasma.github.io/Logging_2462/artfynd/A 15047-2024 artfynd.xlsx", "A 15047-2024")</f>
        <v/>
      </c>
      <c r="T93">
        <f>HYPERLINK("https://klasma.github.io/Logging_2462/kartor/A 15047-2024 karta.png", "A 15047-2024")</f>
        <v/>
      </c>
      <c r="V93">
        <f>HYPERLINK("https://klasma.github.io/Logging_2462/klagomål/A 15047-2024 FSC-klagomål.docx", "A 15047-2024")</f>
        <v/>
      </c>
      <c r="W93">
        <f>HYPERLINK("https://klasma.github.io/Logging_2462/klagomålsmail/A 15047-2024 FSC-klagomål mail.docx", "A 15047-2024")</f>
        <v/>
      </c>
      <c r="X93">
        <f>HYPERLINK("https://klasma.github.io/Logging_2462/tillsyn/A 15047-2024 tillsynsbegäran.docx", "A 15047-2024")</f>
        <v/>
      </c>
      <c r="Y93">
        <f>HYPERLINK("https://klasma.github.io/Logging_2462/tillsynsmail/A 15047-2024 tillsynsbegäran mail.docx", "A 15047-2024")</f>
        <v/>
      </c>
      <c r="Z93">
        <f>HYPERLINK("https://klasma.github.io/Logging_2462/fåglar/A 15047-2024 prioriterade fågelarter.docx", "A 15047-2024")</f>
        <v/>
      </c>
    </row>
    <row r="94" ht="15" customHeight="1">
      <c r="A94" t="inlineStr">
        <is>
          <t>A 15048-2024</t>
        </is>
      </c>
      <c r="B94" s="1" t="n">
        <v>45399</v>
      </c>
      <c r="C94" s="1" t="n">
        <v>45628</v>
      </c>
      <c r="D94" t="inlineStr">
        <is>
          <t>VÄSTERBOTTENS LÄN</t>
        </is>
      </c>
      <c r="E94" t="inlineStr">
        <is>
          <t>VILHELMINA</t>
        </is>
      </c>
      <c r="F94" t="inlineStr">
        <is>
          <t>SCA</t>
        </is>
      </c>
      <c r="G94" t="n">
        <v>4</v>
      </c>
      <c r="H94" t="n">
        <v>1</v>
      </c>
      <c r="I94" t="n">
        <v>1</v>
      </c>
      <c r="J94" t="n">
        <v>9</v>
      </c>
      <c r="K94" t="n">
        <v>0</v>
      </c>
      <c r="L94" t="n">
        <v>0</v>
      </c>
      <c r="M94" t="n">
        <v>0</v>
      </c>
      <c r="N94" t="n">
        <v>0</v>
      </c>
      <c r="O94" t="n">
        <v>9</v>
      </c>
      <c r="P94" t="n">
        <v>0</v>
      </c>
      <c r="Q94" t="n">
        <v>10</v>
      </c>
      <c r="R94" s="2" t="inlineStr">
        <is>
          <t>Gammelgransskål
Garnlav
Granticka
Gränsticka
Harticka
Knottrig blåslav
Liten svartspik
Tretåig hackspett
Vitgrynig nållav
Stuplav</t>
        </is>
      </c>
      <c r="S94">
        <f>HYPERLINK("https://klasma.github.io/Logging_2462/artfynd/A 15048-2024 artfynd.xlsx", "A 15048-2024")</f>
        <v/>
      </c>
      <c r="T94">
        <f>HYPERLINK("https://klasma.github.io/Logging_2462/kartor/A 15048-2024 karta.png", "A 15048-2024")</f>
        <v/>
      </c>
      <c r="V94">
        <f>HYPERLINK("https://klasma.github.io/Logging_2462/klagomål/A 15048-2024 FSC-klagomål.docx", "A 15048-2024")</f>
        <v/>
      </c>
      <c r="W94">
        <f>HYPERLINK("https://klasma.github.io/Logging_2462/klagomålsmail/A 15048-2024 FSC-klagomål mail.docx", "A 15048-2024")</f>
        <v/>
      </c>
      <c r="X94">
        <f>HYPERLINK("https://klasma.github.io/Logging_2462/tillsyn/A 15048-2024 tillsynsbegäran.docx", "A 15048-2024")</f>
        <v/>
      </c>
      <c r="Y94">
        <f>HYPERLINK("https://klasma.github.io/Logging_2462/tillsynsmail/A 15048-2024 tillsynsbegäran mail.docx", "A 15048-2024")</f>
        <v/>
      </c>
      <c r="Z94">
        <f>HYPERLINK("https://klasma.github.io/Logging_2462/fåglar/A 15048-2024 prioriterade fågelarter.docx", "A 15048-2024")</f>
        <v/>
      </c>
    </row>
    <row r="95" ht="15" customHeight="1">
      <c r="A95" t="inlineStr">
        <is>
          <t>A 25571-2024</t>
        </is>
      </c>
      <c r="B95" s="1" t="n">
        <v>45463</v>
      </c>
      <c r="C95" s="1" t="n">
        <v>45628</v>
      </c>
      <c r="D95" t="inlineStr">
        <is>
          <t>VÄSTERBOTTENS LÄN</t>
        </is>
      </c>
      <c r="E95" t="inlineStr">
        <is>
          <t>VILHELMINA</t>
        </is>
      </c>
      <c r="F95" t="inlineStr">
        <is>
          <t>Sveaskog</t>
        </is>
      </c>
      <c r="G95" t="n">
        <v>8.300000000000001</v>
      </c>
      <c r="H95" t="n">
        <v>0</v>
      </c>
      <c r="I95" t="n">
        <v>0</v>
      </c>
      <c r="J95" t="n">
        <v>8</v>
      </c>
      <c r="K95" t="n">
        <v>2</v>
      </c>
      <c r="L95" t="n">
        <v>0</v>
      </c>
      <c r="M95" t="n">
        <v>0</v>
      </c>
      <c r="N95" t="n">
        <v>0</v>
      </c>
      <c r="O95" t="n">
        <v>10</v>
      </c>
      <c r="P95" t="n">
        <v>2</v>
      </c>
      <c r="Q95" t="n">
        <v>10</v>
      </c>
      <c r="R95" s="2" t="inlineStr">
        <is>
          <t>Blackticka
Rynkskinn
Garnlav
Granticka
Kandelabersvamp
Kolflarnlav
Koralltaggsvamp
Oljetagging
Skrovellav
Stjärntagging</t>
        </is>
      </c>
      <c r="S95">
        <f>HYPERLINK("https://klasma.github.io/Logging_2462/artfynd/A 25571-2024 artfynd.xlsx", "A 25571-2024")</f>
        <v/>
      </c>
      <c r="T95">
        <f>HYPERLINK("https://klasma.github.io/Logging_2462/kartor/A 25571-2024 karta.png", "A 25571-2024")</f>
        <v/>
      </c>
      <c r="V95">
        <f>HYPERLINK("https://klasma.github.io/Logging_2462/klagomål/A 25571-2024 FSC-klagomål.docx", "A 25571-2024")</f>
        <v/>
      </c>
      <c r="W95">
        <f>HYPERLINK("https://klasma.github.io/Logging_2462/klagomålsmail/A 25571-2024 FSC-klagomål mail.docx", "A 25571-2024")</f>
        <v/>
      </c>
      <c r="X95">
        <f>HYPERLINK("https://klasma.github.io/Logging_2462/tillsyn/A 25571-2024 tillsynsbegäran.docx", "A 25571-2024")</f>
        <v/>
      </c>
      <c r="Y95">
        <f>HYPERLINK("https://klasma.github.io/Logging_2462/tillsynsmail/A 25571-2024 tillsynsbegäran mail.docx", "A 25571-2024")</f>
        <v/>
      </c>
    </row>
    <row r="96" ht="15" customHeight="1">
      <c r="A96" t="inlineStr">
        <is>
          <t>A 28701-2024</t>
        </is>
      </c>
      <c r="B96" s="1" t="n">
        <v>45478</v>
      </c>
      <c r="C96" s="1" t="n">
        <v>45628</v>
      </c>
      <c r="D96" t="inlineStr">
        <is>
          <t>VÄSTERBOTTENS LÄN</t>
        </is>
      </c>
      <c r="E96" t="inlineStr">
        <is>
          <t>VILHELMINA</t>
        </is>
      </c>
      <c r="F96" t="inlineStr">
        <is>
          <t>Allmännings- och besparingsskogar</t>
        </is>
      </c>
      <c r="G96" t="n">
        <v>4.3</v>
      </c>
      <c r="H96" t="n">
        <v>1</v>
      </c>
      <c r="I96" t="n">
        <v>3</v>
      </c>
      <c r="J96" t="n">
        <v>6</v>
      </c>
      <c r="K96" t="n">
        <v>1</v>
      </c>
      <c r="L96" t="n">
        <v>0</v>
      </c>
      <c r="M96" t="n">
        <v>0</v>
      </c>
      <c r="N96" t="n">
        <v>0</v>
      </c>
      <c r="O96" t="n">
        <v>7</v>
      </c>
      <c r="P96" t="n">
        <v>1</v>
      </c>
      <c r="Q96" t="n">
        <v>10</v>
      </c>
      <c r="R96" s="2" t="inlineStr">
        <is>
          <t>Grantickeporing
Gammelgransskål
Garnlav
Granticka
Skrovellav
Tretåig hackspett
Vitgrynig nållav
Bårdlav
Luddlav
Stuplav</t>
        </is>
      </c>
      <c r="S96">
        <f>HYPERLINK("https://klasma.github.io/Logging_2462/artfynd/A 28701-2024 artfynd.xlsx", "A 28701-2024")</f>
        <v/>
      </c>
      <c r="T96">
        <f>HYPERLINK("https://klasma.github.io/Logging_2462/kartor/A 28701-2024 karta.png", "A 28701-2024")</f>
        <v/>
      </c>
      <c r="V96">
        <f>HYPERLINK("https://klasma.github.io/Logging_2462/klagomål/A 28701-2024 FSC-klagomål.docx", "A 28701-2024")</f>
        <v/>
      </c>
      <c r="W96">
        <f>HYPERLINK("https://klasma.github.io/Logging_2462/klagomålsmail/A 28701-2024 FSC-klagomål mail.docx", "A 28701-2024")</f>
        <v/>
      </c>
      <c r="X96">
        <f>HYPERLINK("https://klasma.github.io/Logging_2462/tillsyn/A 28701-2024 tillsynsbegäran.docx", "A 28701-2024")</f>
        <v/>
      </c>
      <c r="Y96">
        <f>HYPERLINK("https://klasma.github.io/Logging_2462/tillsynsmail/A 28701-2024 tillsynsbegäran mail.docx", "A 28701-2024")</f>
        <v/>
      </c>
      <c r="Z96">
        <f>HYPERLINK("https://klasma.github.io/Logging_2462/fåglar/A 28701-2024 prioriterade fågelarter.docx", "A 28701-2024")</f>
        <v/>
      </c>
    </row>
    <row r="97" ht="15" customHeight="1">
      <c r="A97" t="inlineStr">
        <is>
          <t>A 28662-2024</t>
        </is>
      </c>
      <c r="B97" s="1" t="n">
        <v>45478</v>
      </c>
      <c r="C97" s="1" t="n">
        <v>45628</v>
      </c>
      <c r="D97" t="inlineStr">
        <is>
          <t>VÄSTERBOTTENS LÄN</t>
        </is>
      </c>
      <c r="E97" t="inlineStr">
        <is>
          <t>VILHELMINA</t>
        </is>
      </c>
      <c r="F97" t="inlineStr">
        <is>
          <t>Allmännings- och besparingsskogar</t>
        </is>
      </c>
      <c r="G97" t="n">
        <v>2.2</v>
      </c>
      <c r="H97" t="n">
        <v>3</v>
      </c>
      <c r="I97" t="n">
        <v>2</v>
      </c>
      <c r="J97" t="n">
        <v>7</v>
      </c>
      <c r="K97" t="n">
        <v>0</v>
      </c>
      <c r="L97" t="n">
        <v>0</v>
      </c>
      <c r="M97" t="n">
        <v>0</v>
      </c>
      <c r="N97" t="n">
        <v>0</v>
      </c>
      <c r="O97" t="n">
        <v>7</v>
      </c>
      <c r="P97" t="n">
        <v>0</v>
      </c>
      <c r="Q97" t="n">
        <v>10</v>
      </c>
      <c r="R97" s="2" t="inlineStr">
        <is>
          <t>Garnlav
Granticka
Liten svartspik
Skrovellav
Talltita
Tretåig hackspett
Vitgrynig nållav
Gytterlav
Luddlav
Lopplummer</t>
        </is>
      </c>
      <c r="S97">
        <f>HYPERLINK("https://klasma.github.io/Logging_2462/artfynd/A 28662-2024 artfynd.xlsx", "A 28662-2024")</f>
        <v/>
      </c>
      <c r="T97">
        <f>HYPERLINK("https://klasma.github.io/Logging_2462/kartor/A 28662-2024 karta.png", "A 28662-2024")</f>
        <v/>
      </c>
      <c r="V97">
        <f>HYPERLINK("https://klasma.github.io/Logging_2462/klagomål/A 28662-2024 FSC-klagomål.docx", "A 28662-2024")</f>
        <v/>
      </c>
      <c r="W97">
        <f>HYPERLINK("https://klasma.github.io/Logging_2462/klagomålsmail/A 28662-2024 FSC-klagomål mail.docx", "A 28662-2024")</f>
        <v/>
      </c>
      <c r="X97">
        <f>HYPERLINK("https://klasma.github.io/Logging_2462/tillsyn/A 28662-2024 tillsynsbegäran.docx", "A 28662-2024")</f>
        <v/>
      </c>
      <c r="Y97">
        <f>HYPERLINK("https://klasma.github.io/Logging_2462/tillsynsmail/A 28662-2024 tillsynsbegäran mail.docx", "A 28662-2024")</f>
        <v/>
      </c>
      <c r="Z97">
        <f>HYPERLINK("https://klasma.github.io/Logging_2462/fåglar/A 28662-2024 prioriterade fågelarter.docx", "A 28662-2024")</f>
        <v/>
      </c>
    </row>
    <row r="98" ht="15" customHeight="1">
      <c r="A98" t="inlineStr">
        <is>
          <t>A 40958-2024</t>
        </is>
      </c>
      <c r="B98" s="1" t="n">
        <v>45558</v>
      </c>
      <c r="C98" s="1" t="n">
        <v>45628</v>
      </c>
      <c r="D98" t="inlineStr">
        <is>
          <t>VÄSTERBOTTENS LÄN</t>
        </is>
      </c>
      <c r="E98" t="inlineStr">
        <is>
          <t>VILHELMINA</t>
        </is>
      </c>
      <c r="F98" t="inlineStr">
        <is>
          <t>Allmännings- och besparingsskogar</t>
        </is>
      </c>
      <c r="G98" t="n">
        <v>7.1</v>
      </c>
      <c r="H98" t="n">
        <v>2</v>
      </c>
      <c r="I98" t="n">
        <v>4</v>
      </c>
      <c r="J98" t="n">
        <v>6</v>
      </c>
      <c r="K98" t="n">
        <v>0</v>
      </c>
      <c r="L98" t="n">
        <v>0</v>
      </c>
      <c r="M98" t="n">
        <v>0</v>
      </c>
      <c r="N98" t="n">
        <v>0</v>
      </c>
      <c r="O98" t="n">
        <v>6</v>
      </c>
      <c r="P98" t="n">
        <v>0</v>
      </c>
      <c r="Q98" t="n">
        <v>10</v>
      </c>
      <c r="R98" s="2" t="inlineStr">
        <is>
          <t>Garnlav
Gränsticka
Järpe
Skrovellav
Tretåig hackspett
Vitgrynig nållav
Bårdlav
Luddlav
Mörk husmossa
Stuplav</t>
        </is>
      </c>
      <c r="S98">
        <f>HYPERLINK("https://klasma.github.io/Logging_2462/artfynd/A 40958-2024 artfynd.xlsx", "A 40958-2024")</f>
        <v/>
      </c>
      <c r="T98">
        <f>HYPERLINK("https://klasma.github.io/Logging_2462/kartor/A 40958-2024 karta.png", "A 40958-2024")</f>
        <v/>
      </c>
      <c r="V98">
        <f>HYPERLINK("https://klasma.github.io/Logging_2462/klagomål/A 40958-2024 FSC-klagomål.docx", "A 40958-2024")</f>
        <v/>
      </c>
      <c r="W98">
        <f>HYPERLINK("https://klasma.github.io/Logging_2462/klagomålsmail/A 40958-2024 FSC-klagomål mail.docx", "A 40958-2024")</f>
        <v/>
      </c>
      <c r="X98">
        <f>HYPERLINK("https://klasma.github.io/Logging_2462/tillsyn/A 40958-2024 tillsynsbegäran.docx", "A 40958-2024")</f>
        <v/>
      </c>
      <c r="Y98">
        <f>HYPERLINK("https://klasma.github.io/Logging_2462/tillsynsmail/A 40958-2024 tillsynsbegäran mail.docx", "A 40958-2024")</f>
        <v/>
      </c>
      <c r="Z98">
        <f>HYPERLINK("https://klasma.github.io/Logging_2462/fåglar/A 40958-2024 prioriterade fågelarter.docx", "A 40958-2024")</f>
        <v/>
      </c>
    </row>
    <row r="99" ht="15" customHeight="1">
      <c r="A99" t="inlineStr">
        <is>
          <t>A 25504-2020</t>
        </is>
      </c>
      <c r="B99" s="1" t="n">
        <v>43983</v>
      </c>
      <c r="C99" s="1" t="n">
        <v>45628</v>
      </c>
      <c r="D99" t="inlineStr">
        <is>
          <t>VÄSTERBOTTENS LÄN</t>
        </is>
      </c>
      <c r="E99" t="inlineStr">
        <is>
          <t>VILHELMINA</t>
        </is>
      </c>
      <c r="F99" t="inlineStr">
        <is>
          <t>Allmännings- och besparingsskogar</t>
        </is>
      </c>
      <c r="G99" t="n">
        <v>18.6</v>
      </c>
      <c r="H99" t="n">
        <v>2</v>
      </c>
      <c r="I99" t="n">
        <v>2</v>
      </c>
      <c r="J99" t="n">
        <v>7</v>
      </c>
      <c r="K99" t="n">
        <v>0</v>
      </c>
      <c r="L99" t="n">
        <v>0</v>
      </c>
      <c r="M99" t="n">
        <v>0</v>
      </c>
      <c r="N99" t="n">
        <v>0</v>
      </c>
      <c r="O99" t="n">
        <v>7</v>
      </c>
      <c r="P99" t="n">
        <v>0</v>
      </c>
      <c r="Q99" t="n">
        <v>9</v>
      </c>
      <c r="R99" s="2" t="inlineStr">
        <is>
          <t>Gammelgransskål
Garnlav
Granticka
Gränsticka
Knottrig blåslav
Lappmes
Ullticka
Bårdlav
Spindelblomster</t>
        </is>
      </c>
      <c r="S99">
        <f>HYPERLINK("https://klasma.github.io/Logging_2462/artfynd/A 25504-2020 artfynd.xlsx", "A 25504-2020")</f>
        <v/>
      </c>
      <c r="T99">
        <f>HYPERLINK("https://klasma.github.io/Logging_2462/kartor/A 25504-2020 karta.png", "A 25504-2020")</f>
        <v/>
      </c>
      <c r="V99">
        <f>HYPERLINK("https://klasma.github.io/Logging_2462/klagomål/A 25504-2020 FSC-klagomål.docx", "A 25504-2020")</f>
        <v/>
      </c>
      <c r="W99">
        <f>HYPERLINK("https://klasma.github.io/Logging_2462/klagomålsmail/A 25504-2020 FSC-klagomål mail.docx", "A 25504-2020")</f>
        <v/>
      </c>
      <c r="X99">
        <f>HYPERLINK("https://klasma.github.io/Logging_2462/tillsyn/A 25504-2020 tillsynsbegäran.docx", "A 25504-2020")</f>
        <v/>
      </c>
      <c r="Y99">
        <f>HYPERLINK("https://klasma.github.io/Logging_2462/tillsynsmail/A 25504-2020 tillsynsbegäran mail.docx", "A 25504-2020")</f>
        <v/>
      </c>
      <c r="Z99">
        <f>HYPERLINK("https://klasma.github.io/Logging_2462/fåglar/A 25504-2020 prioriterade fågelarter.docx", "A 25504-2020")</f>
        <v/>
      </c>
    </row>
    <row r="100" ht="15" customHeight="1">
      <c r="A100" t="inlineStr">
        <is>
          <t>A 172-2021</t>
        </is>
      </c>
      <c r="B100" s="1" t="n">
        <v>44199</v>
      </c>
      <c r="C100" s="1" t="n">
        <v>45628</v>
      </c>
      <c r="D100" t="inlineStr">
        <is>
          <t>VÄSTERBOTTENS LÄN</t>
        </is>
      </c>
      <c r="E100" t="inlineStr">
        <is>
          <t>VILHELMINA</t>
        </is>
      </c>
      <c r="G100" t="n">
        <v>16.6</v>
      </c>
      <c r="H100" t="n">
        <v>4</v>
      </c>
      <c r="I100" t="n">
        <v>0</v>
      </c>
      <c r="J100" t="n">
        <v>8</v>
      </c>
      <c r="K100" t="n">
        <v>0</v>
      </c>
      <c r="L100" t="n">
        <v>0</v>
      </c>
      <c r="M100" t="n">
        <v>0</v>
      </c>
      <c r="N100" t="n">
        <v>0</v>
      </c>
      <c r="O100" t="n">
        <v>8</v>
      </c>
      <c r="P100" t="n">
        <v>0</v>
      </c>
      <c r="Q100" t="n">
        <v>9</v>
      </c>
      <c r="R100" s="2" t="inlineStr">
        <is>
          <t>Gammelgransskål
Garnlav
Granticka
Höstlåsbräken
Talltita
Tretåig hackspett
Ullticka
Vitgrynig nållav
Orre</t>
        </is>
      </c>
      <c r="S100">
        <f>HYPERLINK("https://klasma.github.io/Logging_2462/artfynd/A 172-2021 artfynd.xlsx", "A 172-2021")</f>
        <v/>
      </c>
      <c r="T100">
        <f>HYPERLINK("https://klasma.github.io/Logging_2462/kartor/A 172-2021 karta.png", "A 172-2021")</f>
        <v/>
      </c>
      <c r="V100">
        <f>HYPERLINK("https://klasma.github.io/Logging_2462/klagomål/A 172-2021 FSC-klagomål.docx", "A 172-2021")</f>
        <v/>
      </c>
      <c r="W100">
        <f>HYPERLINK("https://klasma.github.io/Logging_2462/klagomålsmail/A 172-2021 FSC-klagomål mail.docx", "A 172-2021")</f>
        <v/>
      </c>
      <c r="X100">
        <f>HYPERLINK("https://klasma.github.io/Logging_2462/tillsyn/A 172-2021 tillsynsbegäran.docx", "A 172-2021")</f>
        <v/>
      </c>
      <c r="Y100">
        <f>HYPERLINK("https://klasma.github.io/Logging_2462/tillsynsmail/A 172-2021 tillsynsbegäran mail.docx", "A 172-2021")</f>
        <v/>
      </c>
      <c r="Z100">
        <f>HYPERLINK("https://klasma.github.io/Logging_2462/fåglar/A 172-2021 prioriterade fågelarter.docx", "A 172-2021")</f>
        <v/>
      </c>
    </row>
    <row r="101" ht="15" customHeight="1">
      <c r="A101" t="inlineStr">
        <is>
          <t>A 29245-2020</t>
        </is>
      </c>
      <c r="B101" s="1" t="n">
        <v>44000</v>
      </c>
      <c r="C101" s="1" t="n">
        <v>45628</v>
      </c>
      <c r="D101" t="inlineStr">
        <is>
          <t>VÄSTERBOTTENS LÄN</t>
        </is>
      </c>
      <c r="E101" t="inlineStr">
        <is>
          <t>VILHELMINA</t>
        </is>
      </c>
      <c r="G101" t="n">
        <v>53</v>
      </c>
      <c r="H101" t="n">
        <v>5</v>
      </c>
      <c r="I101" t="n">
        <v>0</v>
      </c>
      <c r="J101" t="n">
        <v>4</v>
      </c>
      <c r="K101" t="n">
        <v>2</v>
      </c>
      <c r="L101" t="n">
        <v>0</v>
      </c>
      <c r="M101" t="n">
        <v>0</v>
      </c>
      <c r="N101" t="n">
        <v>0</v>
      </c>
      <c r="O101" t="n">
        <v>6</v>
      </c>
      <c r="P101" t="n">
        <v>2</v>
      </c>
      <c r="Q101" t="n">
        <v>8</v>
      </c>
      <c r="R101" s="2" t="inlineStr">
        <is>
          <t>Hussvala
Knärot
Garnlav
Granticka
Knottrig blåslav
Tretåig hackspett
Orre
Fläcknycklar</t>
        </is>
      </c>
      <c r="S101">
        <f>HYPERLINK("https://klasma.github.io/Logging_2462/artfynd/A 29245-2020 artfynd.xlsx", "A 29245-2020")</f>
        <v/>
      </c>
      <c r="T101">
        <f>HYPERLINK("https://klasma.github.io/Logging_2462/kartor/A 29245-2020 karta.png", "A 29245-2020")</f>
        <v/>
      </c>
      <c r="U101">
        <f>HYPERLINK("https://klasma.github.io/Logging_2462/knärot/A 29245-2020 karta knärot.png", "A 29245-2020")</f>
        <v/>
      </c>
      <c r="V101">
        <f>HYPERLINK("https://klasma.github.io/Logging_2462/klagomål/A 29245-2020 FSC-klagomål.docx", "A 29245-2020")</f>
        <v/>
      </c>
      <c r="W101">
        <f>HYPERLINK("https://klasma.github.io/Logging_2462/klagomålsmail/A 29245-2020 FSC-klagomål mail.docx", "A 29245-2020")</f>
        <v/>
      </c>
      <c r="X101">
        <f>HYPERLINK("https://klasma.github.io/Logging_2462/tillsyn/A 29245-2020 tillsynsbegäran.docx", "A 29245-2020")</f>
        <v/>
      </c>
      <c r="Y101">
        <f>HYPERLINK("https://klasma.github.io/Logging_2462/tillsynsmail/A 29245-2020 tillsynsbegäran mail.docx", "A 29245-2020")</f>
        <v/>
      </c>
      <c r="Z101">
        <f>HYPERLINK("https://klasma.github.io/Logging_2462/fåglar/A 29245-2020 prioriterade fågelarter.docx", "A 29245-2020")</f>
        <v/>
      </c>
    </row>
    <row r="102" ht="15" customHeight="1">
      <c r="A102" t="inlineStr">
        <is>
          <t>A 2196-2021</t>
        </is>
      </c>
      <c r="B102" s="1" t="n">
        <v>44211</v>
      </c>
      <c r="C102" s="1" t="n">
        <v>45628</v>
      </c>
      <c r="D102" t="inlineStr">
        <is>
          <t>VÄSTERBOTTENS LÄN</t>
        </is>
      </c>
      <c r="E102" t="inlineStr">
        <is>
          <t>VILHELMINA</t>
        </is>
      </c>
      <c r="F102" t="inlineStr">
        <is>
          <t>Allmännings- och besparingsskogar</t>
        </is>
      </c>
      <c r="G102" t="n">
        <v>20.3</v>
      </c>
      <c r="H102" t="n">
        <v>0</v>
      </c>
      <c r="I102" t="n">
        <v>0</v>
      </c>
      <c r="J102" t="n">
        <v>5</v>
      </c>
      <c r="K102" t="n">
        <v>3</v>
      </c>
      <c r="L102" t="n">
        <v>0</v>
      </c>
      <c r="M102" t="n">
        <v>0</v>
      </c>
      <c r="N102" t="n">
        <v>0</v>
      </c>
      <c r="O102" t="n">
        <v>8</v>
      </c>
      <c r="P102" t="n">
        <v>3</v>
      </c>
      <c r="Q102" t="n">
        <v>8</v>
      </c>
      <c r="R102" s="2" t="inlineStr">
        <is>
          <t>Lappticka
Rynkskinn
Tajgaskinn
Doftskinn
Gränsticka
Rosenticka
Skrovellav
Ullticka</t>
        </is>
      </c>
      <c r="S102">
        <f>HYPERLINK("https://klasma.github.io/Logging_2462/artfynd/A 2196-2021 artfynd.xlsx", "A 2196-2021")</f>
        <v/>
      </c>
      <c r="T102">
        <f>HYPERLINK("https://klasma.github.io/Logging_2462/kartor/A 2196-2021 karta.png", "A 2196-2021")</f>
        <v/>
      </c>
      <c r="V102">
        <f>HYPERLINK("https://klasma.github.io/Logging_2462/klagomål/A 2196-2021 FSC-klagomål.docx", "A 2196-2021")</f>
        <v/>
      </c>
      <c r="W102">
        <f>HYPERLINK("https://klasma.github.io/Logging_2462/klagomålsmail/A 2196-2021 FSC-klagomål mail.docx", "A 2196-2021")</f>
        <v/>
      </c>
      <c r="X102">
        <f>HYPERLINK("https://klasma.github.io/Logging_2462/tillsyn/A 2196-2021 tillsynsbegäran.docx", "A 2196-2021")</f>
        <v/>
      </c>
      <c r="Y102">
        <f>HYPERLINK("https://klasma.github.io/Logging_2462/tillsynsmail/A 2196-2021 tillsynsbegäran mail.docx", "A 2196-2021")</f>
        <v/>
      </c>
    </row>
    <row r="103" ht="15" customHeight="1">
      <c r="A103" t="inlineStr">
        <is>
          <t>A 36220-2023</t>
        </is>
      </c>
      <c r="B103" s="1" t="n">
        <v>45149</v>
      </c>
      <c r="C103" s="1" t="n">
        <v>45628</v>
      </c>
      <c r="D103" t="inlineStr">
        <is>
          <t>VÄSTERBOTTENS LÄN</t>
        </is>
      </c>
      <c r="E103" t="inlineStr">
        <is>
          <t>VILHELMINA</t>
        </is>
      </c>
      <c r="F103" t="inlineStr">
        <is>
          <t>SCA</t>
        </is>
      </c>
      <c r="G103" t="n">
        <v>3.8</v>
      </c>
      <c r="H103" t="n">
        <v>2</v>
      </c>
      <c r="I103" t="n">
        <v>2</v>
      </c>
      <c r="J103" t="n">
        <v>6</v>
      </c>
      <c r="K103" t="n">
        <v>0</v>
      </c>
      <c r="L103" t="n">
        <v>0</v>
      </c>
      <c r="M103" t="n">
        <v>0</v>
      </c>
      <c r="N103" t="n">
        <v>0</v>
      </c>
      <c r="O103" t="n">
        <v>6</v>
      </c>
      <c r="P103" t="n">
        <v>0</v>
      </c>
      <c r="Q103" t="n">
        <v>8</v>
      </c>
      <c r="R103" s="2" t="inlineStr">
        <is>
          <t>Garnlav
Lunglav
Rödbrun blekspik
Skrovellav
Talltita
Tretåig hackspett
Korallblylav
Stuplav</t>
        </is>
      </c>
      <c r="S103">
        <f>HYPERLINK("https://klasma.github.io/Logging_2462/artfynd/A 36220-2023 artfynd.xlsx", "A 36220-2023")</f>
        <v/>
      </c>
      <c r="T103">
        <f>HYPERLINK("https://klasma.github.io/Logging_2462/kartor/A 36220-2023 karta.png", "A 36220-2023")</f>
        <v/>
      </c>
      <c r="V103">
        <f>HYPERLINK("https://klasma.github.io/Logging_2462/klagomål/A 36220-2023 FSC-klagomål.docx", "A 36220-2023")</f>
        <v/>
      </c>
      <c r="W103">
        <f>HYPERLINK("https://klasma.github.io/Logging_2462/klagomålsmail/A 36220-2023 FSC-klagomål mail.docx", "A 36220-2023")</f>
        <v/>
      </c>
      <c r="X103">
        <f>HYPERLINK("https://klasma.github.io/Logging_2462/tillsyn/A 36220-2023 tillsynsbegäran.docx", "A 36220-2023")</f>
        <v/>
      </c>
      <c r="Y103">
        <f>HYPERLINK("https://klasma.github.io/Logging_2462/tillsynsmail/A 36220-2023 tillsynsbegäran mail.docx", "A 36220-2023")</f>
        <v/>
      </c>
      <c r="Z103">
        <f>HYPERLINK("https://klasma.github.io/Logging_2462/fåglar/A 36220-2023 prioriterade fågelarter.docx", "A 36220-2023")</f>
        <v/>
      </c>
    </row>
    <row r="104" ht="15" customHeight="1">
      <c r="A104" t="inlineStr">
        <is>
          <t>A 26657-2024</t>
        </is>
      </c>
      <c r="B104" s="1" t="n">
        <v>45470</v>
      </c>
      <c r="C104" s="1" t="n">
        <v>45628</v>
      </c>
      <c r="D104" t="inlineStr">
        <is>
          <t>VÄSTERBOTTENS LÄN</t>
        </is>
      </c>
      <c r="E104" t="inlineStr">
        <is>
          <t>VILHELMINA</t>
        </is>
      </c>
      <c r="F104" t="inlineStr">
        <is>
          <t>SCA</t>
        </is>
      </c>
      <c r="G104" t="n">
        <v>16.4</v>
      </c>
      <c r="H104" t="n">
        <v>0</v>
      </c>
      <c r="I104" t="n">
        <v>1</v>
      </c>
      <c r="J104" t="n">
        <v>6</v>
      </c>
      <c r="K104" t="n">
        <v>1</v>
      </c>
      <c r="L104" t="n">
        <v>0</v>
      </c>
      <c r="M104" t="n">
        <v>0</v>
      </c>
      <c r="N104" t="n">
        <v>0</v>
      </c>
      <c r="O104" t="n">
        <v>7</v>
      </c>
      <c r="P104" t="n">
        <v>1</v>
      </c>
      <c r="Q104" t="n">
        <v>8</v>
      </c>
      <c r="R104" s="2" t="inlineStr">
        <is>
          <t>Rynkskinn
Garnlav
Granticka
Lunglav
Rosenticka
Ullticka
Vitgrynig nållav
Stor aspticka</t>
        </is>
      </c>
      <c r="S104">
        <f>HYPERLINK("https://klasma.github.io/Logging_2462/artfynd/A 26657-2024 artfynd.xlsx", "A 26657-2024")</f>
        <v/>
      </c>
      <c r="T104">
        <f>HYPERLINK("https://klasma.github.io/Logging_2462/kartor/A 26657-2024 karta.png", "A 26657-2024")</f>
        <v/>
      </c>
      <c r="V104">
        <f>HYPERLINK("https://klasma.github.io/Logging_2462/klagomål/A 26657-2024 FSC-klagomål.docx", "A 26657-2024")</f>
        <v/>
      </c>
      <c r="W104">
        <f>HYPERLINK("https://klasma.github.io/Logging_2462/klagomålsmail/A 26657-2024 FSC-klagomål mail.docx", "A 26657-2024")</f>
        <v/>
      </c>
      <c r="X104">
        <f>HYPERLINK("https://klasma.github.io/Logging_2462/tillsyn/A 26657-2024 tillsynsbegäran.docx", "A 26657-2024")</f>
        <v/>
      </c>
      <c r="Y104">
        <f>HYPERLINK("https://klasma.github.io/Logging_2462/tillsynsmail/A 26657-2024 tillsynsbegäran mail.docx", "A 26657-2024")</f>
        <v/>
      </c>
    </row>
    <row r="105" ht="15" customHeight="1">
      <c r="A105" t="inlineStr">
        <is>
          <t>A 28799-2024</t>
        </is>
      </c>
      <c r="B105" s="1" t="n">
        <v>45478</v>
      </c>
      <c r="C105" s="1" t="n">
        <v>45628</v>
      </c>
      <c r="D105" t="inlineStr">
        <is>
          <t>VÄSTERBOTTENS LÄN</t>
        </is>
      </c>
      <c r="E105" t="inlineStr">
        <is>
          <t>VILHELMINA</t>
        </is>
      </c>
      <c r="G105" t="n">
        <v>7.4</v>
      </c>
      <c r="H105" t="n">
        <v>1</v>
      </c>
      <c r="I105" t="n">
        <v>1</v>
      </c>
      <c r="J105" t="n">
        <v>5</v>
      </c>
      <c r="K105" t="n">
        <v>2</v>
      </c>
      <c r="L105" t="n">
        <v>0</v>
      </c>
      <c r="M105" t="n">
        <v>0</v>
      </c>
      <c r="N105" t="n">
        <v>0</v>
      </c>
      <c r="O105" t="n">
        <v>7</v>
      </c>
      <c r="P105" t="n">
        <v>2</v>
      </c>
      <c r="Q105" t="n">
        <v>8</v>
      </c>
      <c r="R105" s="2" t="inlineStr">
        <is>
          <t>Rynkskinn
Ulltickeporing
Garnlav
Granticka
Harticka
Tretåig hackspett
Ullticka
Stuplav</t>
        </is>
      </c>
      <c r="S105">
        <f>HYPERLINK("https://klasma.github.io/Logging_2462/artfynd/A 28799-2024 artfynd.xlsx", "A 28799-2024")</f>
        <v/>
      </c>
      <c r="T105">
        <f>HYPERLINK("https://klasma.github.io/Logging_2462/kartor/A 28799-2024 karta.png", "A 28799-2024")</f>
        <v/>
      </c>
      <c r="V105">
        <f>HYPERLINK("https://klasma.github.io/Logging_2462/klagomål/A 28799-2024 FSC-klagomål.docx", "A 28799-2024")</f>
        <v/>
      </c>
      <c r="W105">
        <f>HYPERLINK("https://klasma.github.io/Logging_2462/klagomålsmail/A 28799-2024 FSC-klagomål mail.docx", "A 28799-2024")</f>
        <v/>
      </c>
      <c r="X105">
        <f>HYPERLINK("https://klasma.github.io/Logging_2462/tillsyn/A 28799-2024 tillsynsbegäran.docx", "A 28799-2024")</f>
        <v/>
      </c>
      <c r="Y105">
        <f>HYPERLINK("https://klasma.github.io/Logging_2462/tillsynsmail/A 28799-2024 tillsynsbegäran mail.docx", "A 28799-2024")</f>
        <v/>
      </c>
      <c r="Z105">
        <f>HYPERLINK("https://klasma.github.io/Logging_2462/fåglar/A 28799-2024 prioriterade fågelarter.docx", "A 28799-2024")</f>
        <v/>
      </c>
    </row>
    <row r="106" ht="15" customHeight="1">
      <c r="A106" t="inlineStr">
        <is>
          <t>A 30810-2024</t>
        </is>
      </c>
      <c r="B106" s="1" t="n">
        <v>45497</v>
      </c>
      <c r="C106" s="1" t="n">
        <v>45628</v>
      </c>
      <c r="D106" t="inlineStr">
        <is>
          <t>VÄSTERBOTTENS LÄN</t>
        </is>
      </c>
      <c r="E106" t="inlineStr">
        <is>
          <t>VILHELMINA</t>
        </is>
      </c>
      <c r="G106" t="n">
        <v>24.7</v>
      </c>
      <c r="H106" t="n">
        <v>3</v>
      </c>
      <c r="I106" t="n">
        <v>1</v>
      </c>
      <c r="J106" t="n">
        <v>6</v>
      </c>
      <c r="K106" t="n">
        <v>0</v>
      </c>
      <c r="L106" t="n">
        <v>0</v>
      </c>
      <c r="M106" t="n">
        <v>0</v>
      </c>
      <c r="N106" t="n">
        <v>0</v>
      </c>
      <c r="O106" t="n">
        <v>6</v>
      </c>
      <c r="P106" t="n">
        <v>0</v>
      </c>
      <c r="Q106" t="n">
        <v>8</v>
      </c>
      <c r="R106" s="2" t="inlineStr">
        <is>
          <t>Garnlav
Granticka
Harticka
Spillkråka
Tretåig hackspett
Ullticka
Vedticka
Lavskrika</t>
        </is>
      </c>
      <c r="S106">
        <f>HYPERLINK("https://klasma.github.io/Logging_2462/artfynd/A 30810-2024 artfynd.xlsx", "A 30810-2024")</f>
        <v/>
      </c>
      <c r="T106">
        <f>HYPERLINK("https://klasma.github.io/Logging_2462/kartor/A 30810-2024 karta.png", "A 30810-2024")</f>
        <v/>
      </c>
      <c r="V106">
        <f>HYPERLINK("https://klasma.github.io/Logging_2462/klagomål/A 30810-2024 FSC-klagomål.docx", "A 30810-2024")</f>
        <v/>
      </c>
      <c r="W106">
        <f>HYPERLINK("https://klasma.github.io/Logging_2462/klagomålsmail/A 30810-2024 FSC-klagomål mail.docx", "A 30810-2024")</f>
        <v/>
      </c>
      <c r="X106">
        <f>HYPERLINK("https://klasma.github.io/Logging_2462/tillsyn/A 30810-2024 tillsynsbegäran.docx", "A 30810-2024")</f>
        <v/>
      </c>
      <c r="Y106">
        <f>HYPERLINK("https://klasma.github.io/Logging_2462/tillsynsmail/A 30810-2024 tillsynsbegäran mail.docx", "A 30810-2024")</f>
        <v/>
      </c>
      <c r="Z106">
        <f>HYPERLINK("https://klasma.github.io/Logging_2462/fåglar/A 30810-2024 prioriterade fågelarter.docx", "A 30810-2024")</f>
        <v/>
      </c>
    </row>
    <row r="107" ht="15" customHeight="1">
      <c r="A107" t="inlineStr">
        <is>
          <t>A 31884-2024</t>
        </is>
      </c>
      <c r="B107" s="1" t="n">
        <v>45510</v>
      </c>
      <c r="C107" s="1" t="n">
        <v>45628</v>
      </c>
      <c r="D107" t="inlineStr">
        <is>
          <t>VÄSTERBOTTENS LÄN</t>
        </is>
      </c>
      <c r="E107" t="inlineStr">
        <is>
          <t>VILHELMINA</t>
        </is>
      </c>
      <c r="F107" t="inlineStr">
        <is>
          <t>SCA</t>
        </is>
      </c>
      <c r="G107" t="n">
        <v>1.6</v>
      </c>
      <c r="H107" t="n">
        <v>2</v>
      </c>
      <c r="I107" t="n">
        <v>2</v>
      </c>
      <c r="J107" t="n">
        <v>6</v>
      </c>
      <c r="K107" t="n">
        <v>0</v>
      </c>
      <c r="L107" t="n">
        <v>0</v>
      </c>
      <c r="M107" t="n">
        <v>0</v>
      </c>
      <c r="N107" t="n">
        <v>0</v>
      </c>
      <c r="O107" t="n">
        <v>6</v>
      </c>
      <c r="P107" t="n">
        <v>0</v>
      </c>
      <c r="Q107" t="n">
        <v>8</v>
      </c>
      <c r="R107" s="2" t="inlineStr">
        <is>
          <t>Garnlav
Granticka
Kolflarnlav
Oljetagging
Skogshare
Spillkråka
Korallblylav
Spindelblomster</t>
        </is>
      </c>
      <c r="S107">
        <f>HYPERLINK("https://klasma.github.io/Logging_2462/artfynd/A 31884-2024 artfynd.xlsx", "A 31884-2024")</f>
        <v/>
      </c>
      <c r="T107">
        <f>HYPERLINK("https://klasma.github.io/Logging_2462/kartor/A 31884-2024 karta.png", "A 31884-2024")</f>
        <v/>
      </c>
      <c r="V107">
        <f>HYPERLINK("https://klasma.github.io/Logging_2462/klagomål/A 31884-2024 FSC-klagomål.docx", "A 31884-2024")</f>
        <v/>
      </c>
      <c r="W107">
        <f>HYPERLINK("https://klasma.github.io/Logging_2462/klagomålsmail/A 31884-2024 FSC-klagomål mail.docx", "A 31884-2024")</f>
        <v/>
      </c>
      <c r="X107">
        <f>HYPERLINK("https://klasma.github.io/Logging_2462/tillsyn/A 31884-2024 tillsynsbegäran.docx", "A 31884-2024")</f>
        <v/>
      </c>
      <c r="Y107">
        <f>HYPERLINK("https://klasma.github.io/Logging_2462/tillsynsmail/A 31884-2024 tillsynsbegäran mail.docx", "A 31884-2024")</f>
        <v/>
      </c>
      <c r="Z107">
        <f>HYPERLINK("https://klasma.github.io/Logging_2462/fåglar/A 31884-2024 prioriterade fågelarter.docx", "A 31884-2024")</f>
        <v/>
      </c>
    </row>
    <row r="108" ht="15" customHeight="1">
      <c r="A108" t="inlineStr">
        <is>
          <t>A 40918-2024</t>
        </is>
      </c>
      <c r="B108" s="1" t="n">
        <v>45558</v>
      </c>
      <c r="C108" s="1" t="n">
        <v>45628</v>
      </c>
      <c r="D108" t="inlineStr">
        <is>
          <t>VÄSTERBOTTENS LÄN</t>
        </is>
      </c>
      <c r="E108" t="inlineStr">
        <is>
          <t>VILHELMINA</t>
        </is>
      </c>
      <c r="F108" t="inlineStr">
        <is>
          <t>Allmännings- och besparingsskogar</t>
        </is>
      </c>
      <c r="G108" t="n">
        <v>13.9</v>
      </c>
      <c r="H108" t="n">
        <v>1</v>
      </c>
      <c r="I108" t="n">
        <v>2</v>
      </c>
      <c r="J108" t="n">
        <v>6</v>
      </c>
      <c r="K108" t="n">
        <v>0</v>
      </c>
      <c r="L108" t="n">
        <v>0</v>
      </c>
      <c r="M108" t="n">
        <v>0</v>
      </c>
      <c r="N108" t="n">
        <v>0</v>
      </c>
      <c r="O108" t="n">
        <v>6</v>
      </c>
      <c r="P108" t="n">
        <v>0</v>
      </c>
      <c r="Q108" t="n">
        <v>8</v>
      </c>
      <c r="R108" s="2" t="inlineStr">
        <is>
          <t>Garnlav
Granticka
Harticka
Rosenticka
Tretåig hackspett
Vitgrynig nållav
Mörk husmossa
Vedticka</t>
        </is>
      </c>
      <c r="S108">
        <f>HYPERLINK("https://klasma.github.io/Logging_2462/artfynd/A 40918-2024 artfynd.xlsx", "A 40918-2024")</f>
        <v/>
      </c>
      <c r="T108">
        <f>HYPERLINK("https://klasma.github.io/Logging_2462/kartor/A 40918-2024 karta.png", "A 40918-2024")</f>
        <v/>
      </c>
      <c r="V108">
        <f>HYPERLINK("https://klasma.github.io/Logging_2462/klagomål/A 40918-2024 FSC-klagomål.docx", "A 40918-2024")</f>
        <v/>
      </c>
      <c r="W108">
        <f>HYPERLINK("https://klasma.github.io/Logging_2462/klagomålsmail/A 40918-2024 FSC-klagomål mail.docx", "A 40918-2024")</f>
        <v/>
      </c>
      <c r="X108">
        <f>HYPERLINK("https://klasma.github.io/Logging_2462/tillsyn/A 40918-2024 tillsynsbegäran.docx", "A 40918-2024")</f>
        <v/>
      </c>
      <c r="Y108">
        <f>HYPERLINK("https://klasma.github.io/Logging_2462/tillsynsmail/A 40918-2024 tillsynsbegäran mail.docx", "A 40918-2024")</f>
        <v/>
      </c>
      <c r="Z108">
        <f>HYPERLINK("https://klasma.github.io/Logging_2462/fåglar/A 40918-2024 prioriterade fågelarter.docx", "A 40918-2024")</f>
        <v/>
      </c>
    </row>
    <row r="109" ht="15" customHeight="1">
      <c r="A109" t="inlineStr">
        <is>
          <t>A 37271-2019</t>
        </is>
      </c>
      <c r="B109" s="1" t="n">
        <v>43677</v>
      </c>
      <c r="C109" s="1" t="n">
        <v>45628</v>
      </c>
      <c r="D109" t="inlineStr">
        <is>
          <t>VÄSTERBOTTENS LÄN</t>
        </is>
      </c>
      <c r="E109" t="inlineStr">
        <is>
          <t>VILHELMINA</t>
        </is>
      </c>
      <c r="F109" t="inlineStr">
        <is>
          <t>Holmen skog AB</t>
        </is>
      </c>
      <c r="G109" t="n">
        <v>5</v>
      </c>
      <c r="H109" t="n">
        <v>1</v>
      </c>
      <c r="I109" t="n">
        <v>0</v>
      </c>
      <c r="J109" t="n">
        <v>7</v>
      </c>
      <c r="K109" t="n">
        <v>0</v>
      </c>
      <c r="L109" t="n">
        <v>0</v>
      </c>
      <c r="M109" t="n">
        <v>0</v>
      </c>
      <c r="N109" t="n">
        <v>0</v>
      </c>
      <c r="O109" t="n">
        <v>7</v>
      </c>
      <c r="P109" t="n">
        <v>0</v>
      </c>
      <c r="Q109" t="n">
        <v>7</v>
      </c>
      <c r="R109" s="2" t="inlineStr">
        <is>
          <t>Gammelgransskål
Garnlav
Granticka
Gränsticka
Harticka
Tretåig hackspett
Vitgrynig nållav</t>
        </is>
      </c>
      <c r="S109">
        <f>HYPERLINK("https://klasma.github.io/Logging_2462/artfynd/A 37271-2019 artfynd.xlsx", "A 37271-2019")</f>
        <v/>
      </c>
      <c r="T109">
        <f>HYPERLINK("https://klasma.github.io/Logging_2462/kartor/A 37271-2019 karta.png", "A 37271-2019")</f>
        <v/>
      </c>
      <c r="V109">
        <f>HYPERLINK("https://klasma.github.io/Logging_2462/klagomål/A 37271-2019 FSC-klagomål.docx", "A 37271-2019")</f>
        <v/>
      </c>
      <c r="W109">
        <f>HYPERLINK("https://klasma.github.io/Logging_2462/klagomålsmail/A 37271-2019 FSC-klagomål mail.docx", "A 37271-2019")</f>
        <v/>
      </c>
      <c r="X109">
        <f>HYPERLINK("https://klasma.github.io/Logging_2462/tillsyn/A 37271-2019 tillsynsbegäran.docx", "A 37271-2019")</f>
        <v/>
      </c>
      <c r="Y109">
        <f>HYPERLINK("https://klasma.github.io/Logging_2462/tillsynsmail/A 37271-2019 tillsynsbegäran mail.docx", "A 37271-2019")</f>
        <v/>
      </c>
      <c r="Z109">
        <f>HYPERLINK("https://klasma.github.io/Logging_2462/fåglar/A 37271-2019 prioriterade fågelarter.docx", "A 37271-2019")</f>
        <v/>
      </c>
    </row>
    <row r="110" ht="15" customHeight="1">
      <c r="A110" t="inlineStr">
        <is>
          <t>A 15852-2022</t>
        </is>
      </c>
      <c r="B110" s="1" t="n">
        <v>44664</v>
      </c>
      <c r="C110" s="1" t="n">
        <v>45628</v>
      </c>
      <c r="D110" t="inlineStr">
        <is>
          <t>VÄSTERBOTTENS LÄN</t>
        </is>
      </c>
      <c r="E110" t="inlineStr">
        <is>
          <t>VILHELMINA</t>
        </is>
      </c>
      <c r="G110" t="n">
        <v>9.300000000000001</v>
      </c>
      <c r="H110" t="n">
        <v>1</v>
      </c>
      <c r="I110" t="n">
        <v>2</v>
      </c>
      <c r="J110" t="n">
        <v>5</v>
      </c>
      <c r="K110" t="n">
        <v>0</v>
      </c>
      <c r="L110" t="n">
        <v>0</v>
      </c>
      <c r="M110" t="n">
        <v>0</v>
      </c>
      <c r="N110" t="n">
        <v>0</v>
      </c>
      <c r="O110" t="n">
        <v>5</v>
      </c>
      <c r="P110" t="n">
        <v>0</v>
      </c>
      <c r="Q110" t="n">
        <v>7</v>
      </c>
      <c r="R110" s="2" t="inlineStr">
        <is>
          <t>Granticka
Harticka
Lunglav
Skrovellav
Ullticka
Spindelblomster
Stuplav</t>
        </is>
      </c>
      <c r="S110">
        <f>HYPERLINK("https://klasma.github.io/Logging_2462/artfynd/A 15852-2022 artfynd.xlsx", "A 15852-2022")</f>
        <v/>
      </c>
      <c r="T110">
        <f>HYPERLINK("https://klasma.github.io/Logging_2462/kartor/A 15852-2022 karta.png", "A 15852-2022")</f>
        <v/>
      </c>
      <c r="V110">
        <f>HYPERLINK("https://klasma.github.io/Logging_2462/klagomål/A 15852-2022 FSC-klagomål.docx", "A 15852-2022")</f>
        <v/>
      </c>
      <c r="W110">
        <f>HYPERLINK("https://klasma.github.io/Logging_2462/klagomålsmail/A 15852-2022 FSC-klagomål mail.docx", "A 15852-2022")</f>
        <v/>
      </c>
      <c r="X110">
        <f>HYPERLINK("https://klasma.github.io/Logging_2462/tillsyn/A 15852-2022 tillsynsbegäran.docx", "A 15852-2022")</f>
        <v/>
      </c>
      <c r="Y110">
        <f>HYPERLINK("https://klasma.github.io/Logging_2462/tillsynsmail/A 15852-2022 tillsynsbegäran mail.docx", "A 15852-2022")</f>
        <v/>
      </c>
    </row>
    <row r="111" ht="15" customHeight="1">
      <c r="A111" t="inlineStr">
        <is>
          <t>A 24829-2023</t>
        </is>
      </c>
      <c r="B111" s="1" t="n">
        <v>45084</v>
      </c>
      <c r="C111" s="1" t="n">
        <v>45628</v>
      </c>
      <c r="D111" t="inlineStr">
        <is>
          <t>VÄSTERBOTTENS LÄN</t>
        </is>
      </c>
      <c r="E111" t="inlineStr">
        <is>
          <t>VILHELMINA</t>
        </is>
      </c>
      <c r="F111" t="inlineStr">
        <is>
          <t>SCA</t>
        </is>
      </c>
      <c r="G111" t="n">
        <v>15.1</v>
      </c>
      <c r="H111" t="n">
        <v>2</v>
      </c>
      <c r="I111" t="n">
        <v>1</v>
      </c>
      <c r="J111" t="n">
        <v>6</v>
      </c>
      <c r="K111" t="n">
        <v>0</v>
      </c>
      <c r="L111" t="n">
        <v>0</v>
      </c>
      <c r="M111" t="n">
        <v>0</v>
      </c>
      <c r="N111" t="n">
        <v>0</v>
      </c>
      <c r="O111" t="n">
        <v>6</v>
      </c>
      <c r="P111" t="n">
        <v>0</v>
      </c>
      <c r="Q111" t="n">
        <v>7</v>
      </c>
      <c r="R111" s="2" t="inlineStr">
        <is>
          <t>Garnlav
Granticka
Harticka
Lunglav
Spillkråka
Tretåig hackspett
Luddlav</t>
        </is>
      </c>
      <c r="S111">
        <f>HYPERLINK("https://klasma.github.io/Logging_2462/artfynd/A 24829-2023 artfynd.xlsx", "A 24829-2023")</f>
        <v/>
      </c>
      <c r="T111">
        <f>HYPERLINK("https://klasma.github.io/Logging_2462/kartor/A 24829-2023 karta.png", "A 24829-2023")</f>
        <v/>
      </c>
      <c r="V111">
        <f>HYPERLINK("https://klasma.github.io/Logging_2462/klagomål/A 24829-2023 FSC-klagomål.docx", "A 24829-2023")</f>
        <v/>
      </c>
      <c r="W111">
        <f>HYPERLINK("https://klasma.github.io/Logging_2462/klagomålsmail/A 24829-2023 FSC-klagomål mail.docx", "A 24829-2023")</f>
        <v/>
      </c>
      <c r="X111">
        <f>HYPERLINK("https://klasma.github.io/Logging_2462/tillsyn/A 24829-2023 tillsynsbegäran.docx", "A 24829-2023")</f>
        <v/>
      </c>
      <c r="Y111">
        <f>HYPERLINK("https://klasma.github.io/Logging_2462/tillsynsmail/A 24829-2023 tillsynsbegäran mail.docx", "A 24829-2023")</f>
        <v/>
      </c>
      <c r="Z111">
        <f>HYPERLINK("https://klasma.github.io/Logging_2462/fåglar/A 24829-2023 prioriterade fågelarter.docx", "A 24829-2023")</f>
        <v/>
      </c>
    </row>
    <row r="112" ht="15" customHeight="1">
      <c r="A112" t="inlineStr">
        <is>
          <t>A 34091-2023</t>
        </is>
      </c>
      <c r="B112" s="1" t="n">
        <v>45125</v>
      </c>
      <c r="C112" s="1" t="n">
        <v>45628</v>
      </c>
      <c r="D112" t="inlineStr">
        <is>
          <t>VÄSTERBOTTENS LÄN</t>
        </is>
      </c>
      <c r="E112" t="inlineStr">
        <is>
          <t>VILHELMINA</t>
        </is>
      </c>
      <c r="G112" t="n">
        <v>18.4</v>
      </c>
      <c r="H112" t="n">
        <v>1</v>
      </c>
      <c r="I112" t="n">
        <v>1</v>
      </c>
      <c r="J112" t="n">
        <v>6</v>
      </c>
      <c r="K112" t="n">
        <v>0</v>
      </c>
      <c r="L112" t="n">
        <v>0</v>
      </c>
      <c r="M112" t="n">
        <v>0</v>
      </c>
      <c r="N112" t="n">
        <v>0</v>
      </c>
      <c r="O112" t="n">
        <v>6</v>
      </c>
      <c r="P112" t="n">
        <v>0</v>
      </c>
      <c r="Q112" t="n">
        <v>7</v>
      </c>
      <c r="R112" s="2" t="inlineStr">
        <is>
          <t>Doftskinn
Garnlav
Granticka
Gränsticka
Skrovellav
Tretåig hackspett
Trådticka</t>
        </is>
      </c>
      <c r="S112">
        <f>HYPERLINK("https://klasma.github.io/Logging_2462/artfynd/A 34091-2023 artfynd.xlsx", "A 34091-2023")</f>
        <v/>
      </c>
      <c r="T112">
        <f>HYPERLINK("https://klasma.github.io/Logging_2462/kartor/A 34091-2023 karta.png", "A 34091-2023")</f>
        <v/>
      </c>
      <c r="V112">
        <f>HYPERLINK("https://klasma.github.io/Logging_2462/klagomål/A 34091-2023 FSC-klagomål.docx", "A 34091-2023")</f>
        <v/>
      </c>
      <c r="W112">
        <f>HYPERLINK("https://klasma.github.io/Logging_2462/klagomålsmail/A 34091-2023 FSC-klagomål mail.docx", "A 34091-2023")</f>
        <v/>
      </c>
      <c r="X112">
        <f>HYPERLINK("https://klasma.github.io/Logging_2462/tillsyn/A 34091-2023 tillsynsbegäran.docx", "A 34091-2023")</f>
        <v/>
      </c>
      <c r="Y112">
        <f>HYPERLINK("https://klasma.github.io/Logging_2462/tillsynsmail/A 34091-2023 tillsynsbegäran mail.docx", "A 34091-2023")</f>
        <v/>
      </c>
      <c r="Z112">
        <f>HYPERLINK("https://klasma.github.io/Logging_2462/fåglar/A 34091-2023 prioriterade fågelarter.docx", "A 34091-2023")</f>
        <v/>
      </c>
    </row>
    <row r="113" ht="15" customHeight="1">
      <c r="A113" t="inlineStr">
        <is>
          <t>A 34418-2023</t>
        </is>
      </c>
      <c r="B113" s="1" t="n">
        <v>45132</v>
      </c>
      <c r="C113" s="1" t="n">
        <v>45628</v>
      </c>
      <c r="D113" t="inlineStr">
        <is>
          <t>VÄSTERBOTTENS LÄN</t>
        </is>
      </c>
      <c r="E113" t="inlineStr">
        <is>
          <t>VILHELMINA</t>
        </is>
      </c>
      <c r="F113" t="inlineStr">
        <is>
          <t>Allmännings- och besparingsskogar</t>
        </is>
      </c>
      <c r="G113" t="n">
        <v>18.3</v>
      </c>
      <c r="H113" t="n">
        <v>1</v>
      </c>
      <c r="I113" t="n">
        <v>0</v>
      </c>
      <c r="J113" t="n">
        <v>6</v>
      </c>
      <c r="K113" t="n">
        <v>1</v>
      </c>
      <c r="L113" t="n">
        <v>0</v>
      </c>
      <c r="M113" t="n">
        <v>0</v>
      </c>
      <c r="N113" t="n">
        <v>0</v>
      </c>
      <c r="O113" t="n">
        <v>7</v>
      </c>
      <c r="P113" t="n">
        <v>1</v>
      </c>
      <c r="Q113" t="n">
        <v>7</v>
      </c>
      <c r="R113" s="2" t="inlineStr">
        <is>
          <t>Ostticka
Gammelgransskål
Garnlav
Gränsticka
Knottrig blåslav
Rödbrun blekspik
Tretåig hackspett</t>
        </is>
      </c>
      <c r="S113">
        <f>HYPERLINK("https://klasma.github.io/Logging_2462/artfynd/A 34418-2023 artfynd.xlsx", "A 34418-2023")</f>
        <v/>
      </c>
      <c r="T113">
        <f>HYPERLINK("https://klasma.github.io/Logging_2462/kartor/A 34418-2023 karta.png", "A 34418-2023")</f>
        <v/>
      </c>
      <c r="V113">
        <f>HYPERLINK("https://klasma.github.io/Logging_2462/klagomål/A 34418-2023 FSC-klagomål.docx", "A 34418-2023")</f>
        <v/>
      </c>
      <c r="W113">
        <f>HYPERLINK("https://klasma.github.io/Logging_2462/klagomålsmail/A 34418-2023 FSC-klagomål mail.docx", "A 34418-2023")</f>
        <v/>
      </c>
      <c r="X113">
        <f>HYPERLINK("https://klasma.github.io/Logging_2462/tillsyn/A 34418-2023 tillsynsbegäran.docx", "A 34418-2023")</f>
        <v/>
      </c>
      <c r="Y113">
        <f>HYPERLINK("https://klasma.github.io/Logging_2462/tillsynsmail/A 34418-2023 tillsynsbegäran mail.docx", "A 34418-2023")</f>
        <v/>
      </c>
      <c r="Z113">
        <f>HYPERLINK("https://klasma.github.io/Logging_2462/fåglar/A 34418-2023 prioriterade fågelarter.docx", "A 34418-2023")</f>
        <v/>
      </c>
    </row>
    <row r="114" ht="15" customHeight="1">
      <c r="A114" t="inlineStr">
        <is>
          <t>A 25564-2024</t>
        </is>
      </c>
      <c r="B114" s="1" t="n">
        <v>45463</v>
      </c>
      <c r="C114" s="1" t="n">
        <v>45628</v>
      </c>
      <c r="D114" t="inlineStr">
        <is>
          <t>VÄSTERBOTTENS LÄN</t>
        </is>
      </c>
      <c r="E114" t="inlineStr">
        <is>
          <t>VILHELMINA</t>
        </is>
      </c>
      <c r="F114" t="inlineStr">
        <is>
          <t>Sveaskog</t>
        </is>
      </c>
      <c r="G114" t="n">
        <v>4.2</v>
      </c>
      <c r="H114" t="n">
        <v>1</v>
      </c>
      <c r="I114" t="n">
        <v>1</v>
      </c>
      <c r="J114" t="n">
        <v>6</v>
      </c>
      <c r="K114" t="n">
        <v>0</v>
      </c>
      <c r="L114" t="n">
        <v>0</v>
      </c>
      <c r="M114" t="n">
        <v>0</v>
      </c>
      <c r="N114" t="n">
        <v>0</v>
      </c>
      <c r="O114" t="n">
        <v>6</v>
      </c>
      <c r="P114" t="n">
        <v>0</v>
      </c>
      <c r="Q114" t="n">
        <v>7</v>
      </c>
      <c r="R114" s="2" t="inlineStr">
        <is>
          <t>Gammelgransskål
Garnlav
Kandelabersvamp
Koralltaggsvamp
Tretåig hackspett
Vedtrappmossa
Blodticka</t>
        </is>
      </c>
      <c r="S114">
        <f>HYPERLINK("https://klasma.github.io/Logging_2462/artfynd/A 25564-2024 artfynd.xlsx", "A 25564-2024")</f>
        <v/>
      </c>
      <c r="T114">
        <f>HYPERLINK("https://klasma.github.io/Logging_2462/kartor/A 25564-2024 karta.png", "A 25564-2024")</f>
        <v/>
      </c>
      <c r="V114">
        <f>HYPERLINK("https://klasma.github.io/Logging_2462/klagomål/A 25564-2024 FSC-klagomål.docx", "A 25564-2024")</f>
        <v/>
      </c>
      <c r="W114">
        <f>HYPERLINK("https://klasma.github.io/Logging_2462/klagomålsmail/A 25564-2024 FSC-klagomål mail.docx", "A 25564-2024")</f>
        <v/>
      </c>
      <c r="X114">
        <f>HYPERLINK("https://klasma.github.io/Logging_2462/tillsyn/A 25564-2024 tillsynsbegäran.docx", "A 25564-2024")</f>
        <v/>
      </c>
      <c r="Y114">
        <f>HYPERLINK("https://klasma.github.io/Logging_2462/tillsynsmail/A 25564-2024 tillsynsbegäran mail.docx", "A 25564-2024")</f>
        <v/>
      </c>
      <c r="Z114">
        <f>HYPERLINK("https://klasma.github.io/Logging_2462/fåglar/A 25564-2024 prioriterade fågelarter.docx", "A 25564-2024")</f>
        <v/>
      </c>
    </row>
    <row r="115" ht="15" customHeight="1">
      <c r="A115" t="inlineStr">
        <is>
          <t>A 40733-2024</t>
        </is>
      </c>
      <c r="B115" s="1" t="n">
        <v>45558</v>
      </c>
      <c r="C115" s="1" t="n">
        <v>45628</v>
      </c>
      <c r="D115" t="inlineStr">
        <is>
          <t>VÄSTERBOTTENS LÄN</t>
        </is>
      </c>
      <c r="E115" t="inlineStr">
        <is>
          <t>VILHELMINA</t>
        </is>
      </c>
      <c r="F115" t="inlineStr">
        <is>
          <t>Allmännings- och besparingsskogar</t>
        </is>
      </c>
      <c r="G115" t="n">
        <v>7</v>
      </c>
      <c r="H115" t="n">
        <v>1</v>
      </c>
      <c r="I115" t="n">
        <v>2</v>
      </c>
      <c r="J115" t="n">
        <v>5</v>
      </c>
      <c r="K115" t="n">
        <v>0</v>
      </c>
      <c r="L115" t="n">
        <v>0</v>
      </c>
      <c r="M115" t="n">
        <v>0</v>
      </c>
      <c r="N115" t="n">
        <v>0</v>
      </c>
      <c r="O115" t="n">
        <v>5</v>
      </c>
      <c r="P115" t="n">
        <v>0</v>
      </c>
      <c r="Q115" t="n">
        <v>7</v>
      </c>
      <c r="R115" s="2" t="inlineStr">
        <is>
          <t>Garnlav
Granticka
Gränsticka
Skrovellav
Tretåig hackspett
Mörk husmossa
Stuplav</t>
        </is>
      </c>
      <c r="S115">
        <f>HYPERLINK("https://klasma.github.io/Logging_2462/artfynd/A 40733-2024 artfynd.xlsx", "A 40733-2024")</f>
        <v/>
      </c>
      <c r="T115">
        <f>HYPERLINK("https://klasma.github.io/Logging_2462/kartor/A 40733-2024 karta.png", "A 40733-2024")</f>
        <v/>
      </c>
      <c r="V115">
        <f>HYPERLINK("https://klasma.github.io/Logging_2462/klagomål/A 40733-2024 FSC-klagomål.docx", "A 40733-2024")</f>
        <v/>
      </c>
      <c r="W115">
        <f>HYPERLINK("https://klasma.github.io/Logging_2462/klagomålsmail/A 40733-2024 FSC-klagomål mail.docx", "A 40733-2024")</f>
        <v/>
      </c>
      <c r="X115">
        <f>HYPERLINK("https://klasma.github.io/Logging_2462/tillsyn/A 40733-2024 tillsynsbegäran.docx", "A 40733-2024")</f>
        <v/>
      </c>
      <c r="Y115">
        <f>HYPERLINK("https://klasma.github.io/Logging_2462/tillsynsmail/A 40733-2024 tillsynsbegäran mail.docx", "A 40733-2024")</f>
        <v/>
      </c>
      <c r="Z115">
        <f>HYPERLINK("https://klasma.github.io/Logging_2462/fåglar/A 40733-2024 prioriterade fågelarter.docx", "A 40733-2024")</f>
        <v/>
      </c>
    </row>
    <row r="116" ht="15" customHeight="1">
      <c r="A116" t="inlineStr">
        <is>
          <t>A 49135-2023</t>
        </is>
      </c>
      <c r="B116" s="1" t="n">
        <v>45205</v>
      </c>
      <c r="C116" s="1" t="n">
        <v>45628</v>
      </c>
      <c r="D116" t="inlineStr">
        <is>
          <t>VÄSTERBOTTENS LÄN</t>
        </is>
      </c>
      <c r="E116" t="inlineStr">
        <is>
          <t>VILHELMINA</t>
        </is>
      </c>
      <c r="F116" t="inlineStr">
        <is>
          <t>Allmännings- och besparingsskogar</t>
        </is>
      </c>
      <c r="G116" t="n">
        <v>5.1</v>
      </c>
      <c r="H116" t="n">
        <v>1</v>
      </c>
      <c r="I116" t="n">
        <v>1</v>
      </c>
      <c r="J116" t="n">
        <v>5</v>
      </c>
      <c r="K116" t="n">
        <v>0</v>
      </c>
      <c r="L116" t="n">
        <v>0</v>
      </c>
      <c r="M116" t="n">
        <v>0</v>
      </c>
      <c r="N116" t="n">
        <v>0</v>
      </c>
      <c r="O116" t="n">
        <v>5</v>
      </c>
      <c r="P116" t="n">
        <v>0</v>
      </c>
      <c r="Q116" t="n">
        <v>6</v>
      </c>
      <c r="R116" s="2" t="inlineStr">
        <is>
          <t>Blanksvart spiklav
Blågrå svartspik
Garnlav
Skrovellav
Tretåig hackspett
Skinnlav</t>
        </is>
      </c>
      <c r="S116">
        <f>HYPERLINK("https://klasma.github.io/Logging_2462/artfynd/A 49135-2023 artfynd.xlsx", "A 49135-2023")</f>
        <v/>
      </c>
      <c r="T116">
        <f>HYPERLINK("https://klasma.github.io/Logging_2462/kartor/A 49135-2023 karta.png", "A 49135-2023")</f>
        <v/>
      </c>
      <c r="V116">
        <f>HYPERLINK("https://klasma.github.io/Logging_2462/klagomål/A 49135-2023 FSC-klagomål.docx", "A 49135-2023")</f>
        <v/>
      </c>
      <c r="W116">
        <f>HYPERLINK("https://klasma.github.io/Logging_2462/klagomålsmail/A 49135-2023 FSC-klagomål mail.docx", "A 49135-2023")</f>
        <v/>
      </c>
      <c r="X116">
        <f>HYPERLINK("https://klasma.github.io/Logging_2462/tillsyn/A 49135-2023 tillsynsbegäran.docx", "A 49135-2023")</f>
        <v/>
      </c>
      <c r="Y116">
        <f>HYPERLINK("https://klasma.github.io/Logging_2462/tillsynsmail/A 49135-2023 tillsynsbegäran mail.docx", "A 49135-2023")</f>
        <v/>
      </c>
      <c r="Z116">
        <f>HYPERLINK("https://klasma.github.io/Logging_2462/fåglar/A 49135-2023 prioriterade fågelarter.docx", "A 49135-2023")</f>
        <v/>
      </c>
    </row>
    <row r="117" ht="15" customHeight="1">
      <c r="A117" t="inlineStr">
        <is>
          <t>A 49977-2023</t>
        </is>
      </c>
      <c r="B117" s="1" t="n">
        <v>45208</v>
      </c>
      <c r="C117" s="1" t="n">
        <v>45628</v>
      </c>
      <c r="D117" t="inlineStr">
        <is>
          <t>VÄSTERBOTTENS LÄN</t>
        </is>
      </c>
      <c r="E117" t="inlineStr">
        <is>
          <t>VILHELMINA</t>
        </is>
      </c>
      <c r="F117" t="inlineStr">
        <is>
          <t>Övriga statliga verk och myndigheter</t>
        </is>
      </c>
      <c r="G117" t="n">
        <v>8.1</v>
      </c>
      <c r="H117" t="n">
        <v>1</v>
      </c>
      <c r="I117" t="n">
        <v>2</v>
      </c>
      <c r="J117" t="n">
        <v>4</v>
      </c>
      <c r="K117" t="n">
        <v>0</v>
      </c>
      <c r="L117" t="n">
        <v>0</v>
      </c>
      <c r="M117" t="n">
        <v>0</v>
      </c>
      <c r="N117" t="n">
        <v>0</v>
      </c>
      <c r="O117" t="n">
        <v>4</v>
      </c>
      <c r="P117" t="n">
        <v>0</v>
      </c>
      <c r="Q117" t="n">
        <v>6</v>
      </c>
      <c r="R117" s="2" t="inlineStr">
        <is>
          <t>Leptoporus mollis
Skrovellav
Tretåig hackspett
Vitgrynig nållav
Bårdlav
Fjällig taggsvamp s.str.</t>
        </is>
      </c>
      <c r="S117">
        <f>HYPERLINK("https://klasma.github.io/Logging_2462/artfynd/A 49977-2023 artfynd.xlsx", "A 49977-2023")</f>
        <v/>
      </c>
      <c r="T117">
        <f>HYPERLINK("https://klasma.github.io/Logging_2462/kartor/A 49977-2023 karta.png", "A 49977-2023")</f>
        <v/>
      </c>
      <c r="V117">
        <f>HYPERLINK("https://klasma.github.io/Logging_2462/klagomål/A 49977-2023 FSC-klagomål.docx", "A 49977-2023")</f>
        <v/>
      </c>
      <c r="W117">
        <f>HYPERLINK("https://klasma.github.io/Logging_2462/klagomålsmail/A 49977-2023 FSC-klagomål mail.docx", "A 49977-2023")</f>
        <v/>
      </c>
      <c r="X117">
        <f>HYPERLINK("https://klasma.github.io/Logging_2462/tillsyn/A 49977-2023 tillsynsbegäran.docx", "A 49977-2023")</f>
        <v/>
      </c>
      <c r="Y117">
        <f>HYPERLINK("https://klasma.github.io/Logging_2462/tillsynsmail/A 49977-2023 tillsynsbegäran mail.docx", "A 49977-2023")</f>
        <v/>
      </c>
      <c r="Z117">
        <f>HYPERLINK("https://klasma.github.io/Logging_2462/fåglar/A 49977-2023 prioriterade fågelarter.docx", "A 49977-2023")</f>
        <v/>
      </c>
    </row>
    <row r="118" ht="15" customHeight="1">
      <c r="A118" t="inlineStr">
        <is>
          <t>A 38550-2024</t>
        </is>
      </c>
      <c r="B118" s="1" t="n">
        <v>45546</v>
      </c>
      <c r="C118" s="1" t="n">
        <v>45628</v>
      </c>
      <c r="D118" t="inlineStr">
        <is>
          <t>VÄSTERBOTTENS LÄN</t>
        </is>
      </c>
      <c r="E118" t="inlineStr">
        <is>
          <t>VILHELMINA</t>
        </is>
      </c>
      <c r="G118" t="n">
        <v>4.6</v>
      </c>
      <c r="H118" t="n">
        <v>1</v>
      </c>
      <c r="I118" t="n">
        <v>1</v>
      </c>
      <c r="J118" t="n">
        <v>5</v>
      </c>
      <c r="K118" t="n">
        <v>0</v>
      </c>
      <c r="L118" t="n">
        <v>0</v>
      </c>
      <c r="M118" t="n">
        <v>0</v>
      </c>
      <c r="N118" t="n">
        <v>0</v>
      </c>
      <c r="O118" t="n">
        <v>5</v>
      </c>
      <c r="P118" t="n">
        <v>0</v>
      </c>
      <c r="Q118" t="n">
        <v>6</v>
      </c>
      <c r="R118" s="2" t="inlineStr">
        <is>
          <t>Garnlav
Granticka
Harticka
Tretåig hackspett
Ullticka
Stuplav</t>
        </is>
      </c>
      <c r="S118">
        <f>HYPERLINK("https://klasma.github.io/Logging_2462/artfynd/A 38550-2024 artfynd.xlsx", "A 38550-2024")</f>
        <v/>
      </c>
      <c r="T118">
        <f>HYPERLINK("https://klasma.github.io/Logging_2462/kartor/A 38550-2024 karta.png", "A 38550-2024")</f>
        <v/>
      </c>
      <c r="V118">
        <f>HYPERLINK("https://klasma.github.io/Logging_2462/klagomål/A 38550-2024 FSC-klagomål.docx", "A 38550-2024")</f>
        <v/>
      </c>
      <c r="W118">
        <f>HYPERLINK("https://klasma.github.io/Logging_2462/klagomålsmail/A 38550-2024 FSC-klagomål mail.docx", "A 38550-2024")</f>
        <v/>
      </c>
      <c r="X118">
        <f>HYPERLINK("https://klasma.github.io/Logging_2462/tillsyn/A 38550-2024 tillsynsbegäran.docx", "A 38550-2024")</f>
        <v/>
      </c>
      <c r="Y118">
        <f>HYPERLINK("https://klasma.github.io/Logging_2462/tillsynsmail/A 38550-2024 tillsynsbegäran mail.docx", "A 38550-2024")</f>
        <v/>
      </c>
      <c r="Z118">
        <f>HYPERLINK("https://klasma.github.io/Logging_2462/fåglar/A 38550-2024 prioriterade fågelarter.docx", "A 38550-2024")</f>
        <v/>
      </c>
    </row>
    <row r="119" ht="15" customHeight="1">
      <c r="A119" t="inlineStr">
        <is>
          <t>A 38540-2024</t>
        </is>
      </c>
      <c r="B119" s="1" t="n">
        <v>45546</v>
      </c>
      <c r="C119" s="1" t="n">
        <v>45628</v>
      </c>
      <c r="D119" t="inlineStr">
        <is>
          <t>VÄSTERBOTTENS LÄN</t>
        </is>
      </c>
      <c r="E119" t="inlineStr">
        <is>
          <t>VILHELMINA</t>
        </is>
      </c>
      <c r="G119" t="n">
        <v>2.7</v>
      </c>
      <c r="H119" t="n">
        <v>1</v>
      </c>
      <c r="I119" t="n">
        <v>1</v>
      </c>
      <c r="J119" t="n">
        <v>4</v>
      </c>
      <c r="K119" t="n">
        <v>1</v>
      </c>
      <c r="L119" t="n">
        <v>0</v>
      </c>
      <c r="M119" t="n">
        <v>0</v>
      </c>
      <c r="N119" t="n">
        <v>0</v>
      </c>
      <c r="O119" t="n">
        <v>5</v>
      </c>
      <c r="P119" t="n">
        <v>1</v>
      </c>
      <c r="Q119" t="n">
        <v>6</v>
      </c>
      <c r="R119" s="2" t="inlineStr">
        <is>
          <t>Rynkskinn
Doftskinn
Gammelgransskål
Granticka
Tretåig hackspett
Skogshakmossa</t>
        </is>
      </c>
      <c r="S119">
        <f>HYPERLINK("https://klasma.github.io/Logging_2462/artfynd/A 38540-2024 artfynd.xlsx", "A 38540-2024")</f>
        <v/>
      </c>
      <c r="T119">
        <f>HYPERLINK("https://klasma.github.io/Logging_2462/kartor/A 38540-2024 karta.png", "A 38540-2024")</f>
        <v/>
      </c>
      <c r="V119">
        <f>HYPERLINK("https://klasma.github.io/Logging_2462/klagomål/A 38540-2024 FSC-klagomål.docx", "A 38540-2024")</f>
        <v/>
      </c>
      <c r="W119">
        <f>HYPERLINK("https://klasma.github.io/Logging_2462/klagomålsmail/A 38540-2024 FSC-klagomål mail.docx", "A 38540-2024")</f>
        <v/>
      </c>
      <c r="X119">
        <f>HYPERLINK("https://klasma.github.io/Logging_2462/tillsyn/A 38540-2024 tillsynsbegäran.docx", "A 38540-2024")</f>
        <v/>
      </c>
      <c r="Y119">
        <f>HYPERLINK("https://klasma.github.io/Logging_2462/tillsynsmail/A 38540-2024 tillsynsbegäran mail.docx", "A 38540-2024")</f>
        <v/>
      </c>
      <c r="Z119">
        <f>HYPERLINK("https://klasma.github.io/Logging_2462/fåglar/A 38540-2024 prioriterade fågelarter.docx", "A 38540-2024")</f>
        <v/>
      </c>
    </row>
    <row r="120" ht="15" customHeight="1">
      <c r="A120" t="inlineStr">
        <is>
          <t>A 26888-2019</t>
        </is>
      </c>
      <c r="B120" s="1" t="n">
        <v>43608</v>
      </c>
      <c r="C120" s="1" t="n">
        <v>45628</v>
      </c>
      <c r="D120" t="inlineStr">
        <is>
          <t>VÄSTERBOTTENS LÄN</t>
        </is>
      </c>
      <c r="E120" t="inlineStr">
        <is>
          <t>VILHELMINA</t>
        </is>
      </c>
      <c r="G120" t="n">
        <v>22</v>
      </c>
      <c r="H120" t="n">
        <v>1</v>
      </c>
      <c r="I120" t="n">
        <v>0</v>
      </c>
      <c r="J120" t="n">
        <v>4</v>
      </c>
      <c r="K120" t="n">
        <v>1</v>
      </c>
      <c r="L120" t="n">
        <v>0</v>
      </c>
      <c r="M120" t="n">
        <v>0</v>
      </c>
      <c r="N120" t="n">
        <v>0</v>
      </c>
      <c r="O120" t="n">
        <v>5</v>
      </c>
      <c r="P120" t="n">
        <v>1</v>
      </c>
      <c r="Q120" t="n">
        <v>5</v>
      </c>
      <c r="R120" s="2" t="inlineStr">
        <is>
          <t>Rynkskinn
Garnlav
Granticka
Tretåig hackspett
Ullticka</t>
        </is>
      </c>
      <c r="S120">
        <f>HYPERLINK("https://klasma.github.io/Logging_2462/artfynd/A 26888-2019 artfynd.xlsx", "A 26888-2019")</f>
        <v/>
      </c>
      <c r="T120">
        <f>HYPERLINK("https://klasma.github.io/Logging_2462/kartor/A 26888-2019 karta.png", "A 26888-2019")</f>
        <v/>
      </c>
      <c r="V120">
        <f>HYPERLINK("https://klasma.github.io/Logging_2462/klagomål/A 26888-2019 FSC-klagomål.docx", "A 26888-2019")</f>
        <v/>
      </c>
      <c r="W120">
        <f>HYPERLINK("https://klasma.github.io/Logging_2462/klagomålsmail/A 26888-2019 FSC-klagomål mail.docx", "A 26888-2019")</f>
        <v/>
      </c>
      <c r="X120">
        <f>HYPERLINK("https://klasma.github.io/Logging_2462/tillsyn/A 26888-2019 tillsynsbegäran.docx", "A 26888-2019")</f>
        <v/>
      </c>
      <c r="Y120">
        <f>HYPERLINK("https://klasma.github.io/Logging_2462/tillsynsmail/A 26888-2019 tillsynsbegäran mail.docx", "A 26888-2019")</f>
        <v/>
      </c>
      <c r="Z120">
        <f>HYPERLINK("https://klasma.github.io/Logging_2462/fåglar/A 26888-2019 prioriterade fågelarter.docx", "A 26888-2019")</f>
        <v/>
      </c>
    </row>
    <row r="121" ht="15" customHeight="1">
      <c r="A121" t="inlineStr">
        <is>
          <t>A 48237-2019</t>
        </is>
      </c>
      <c r="B121" s="1" t="n">
        <v>43726</v>
      </c>
      <c r="C121" s="1" t="n">
        <v>45628</v>
      </c>
      <c r="D121" t="inlineStr">
        <is>
          <t>VÄSTERBOTTENS LÄN</t>
        </is>
      </c>
      <c r="E121" t="inlineStr">
        <is>
          <t>VILHELMINA</t>
        </is>
      </c>
      <c r="G121" t="n">
        <v>9</v>
      </c>
      <c r="H121" t="n">
        <v>0</v>
      </c>
      <c r="I121" t="n">
        <v>3</v>
      </c>
      <c r="J121" t="n">
        <v>2</v>
      </c>
      <c r="K121" t="n">
        <v>0</v>
      </c>
      <c r="L121" t="n">
        <v>0</v>
      </c>
      <c r="M121" t="n">
        <v>0</v>
      </c>
      <c r="N121" t="n">
        <v>0</v>
      </c>
      <c r="O121" t="n">
        <v>2</v>
      </c>
      <c r="P121" t="n">
        <v>0</v>
      </c>
      <c r="Q121" t="n">
        <v>5</v>
      </c>
      <c r="R121" s="2" t="inlineStr">
        <is>
          <t>Lunglav
Skrovellav
Bårdlav
Skinnlav
Stuplav</t>
        </is>
      </c>
      <c r="S121">
        <f>HYPERLINK("https://klasma.github.io/Logging_2462/artfynd/A 48237-2019 artfynd.xlsx", "A 48237-2019")</f>
        <v/>
      </c>
      <c r="T121">
        <f>HYPERLINK("https://klasma.github.io/Logging_2462/kartor/A 48237-2019 karta.png", "A 48237-2019")</f>
        <v/>
      </c>
      <c r="V121">
        <f>HYPERLINK("https://klasma.github.io/Logging_2462/klagomål/A 48237-2019 FSC-klagomål.docx", "A 48237-2019")</f>
        <v/>
      </c>
      <c r="W121">
        <f>HYPERLINK("https://klasma.github.io/Logging_2462/klagomålsmail/A 48237-2019 FSC-klagomål mail.docx", "A 48237-2019")</f>
        <v/>
      </c>
      <c r="X121">
        <f>HYPERLINK("https://klasma.github.io/Logging_2462/tillsyn/A 48237-2019 tillsynsbegäran.docx", "A 48237-2019")</f>
        <v/>
      </c>
      <c r="Y121">
        <f>HYPERLINK("https://klasma.github.io/Logging_2462/tillsynsmail/A 48237-2019 tillsynsbegäran mail.docx", "A 48237-2019")</f>
        <v/>
      </c>
    </row>
    <row r="122" ht="15" customHeight="1">
      <c r="A122" t="inlineStr">
        <is>
          <t>A 8255-2022</t>
        </is>
      </c>
      <c r="B122" s="1" t="n">
        <v>44609</v>
      </c>
      <c r="C122" s="1" t="n">
        <v>45628</v>
      </c>
      <c r="D122" t="inlineStr">
        <is>
          <t>VÄSTERBOTTENS LÄN</t>
        </is>
      </c>
      <c r="E122" t="inlineStr">
        <is>
          <t>VILHELMINA</t>
        </is>
      </c>
      <c r="G122" t="n">
        <v>15.7</v>
      </c>
      <c r="H122" t="n">
        <v>0</v>
      </c>
      <c r="I122" t="n">
        <v>1</v>
      </c>
      <c r="J122" t="n">
        <v>4</v>
      </c>
      <c r="K122" t="n">
        <v>0</v>
      </c>
      <c r="L122" t="n">
        <v>0</v>
      </c>
      <c r="M122" t="n">
        <v>0</v>
      </c>
      <c r="N122" t="n">
        <v>0</v>
      </c>
      <c r="O122" t="n">
        <v>4</v>
      </c>
      <c r="P122" t="n">
        <v>0</v>
      </c>
      <c r="Q122" t="n">
        <v>5</v>
      </c>
      <c r="R122" s="2" t="inlineStr">
        <is>
          <t>Gammelgransskål
Granticka
Rosenticka
Skrovellav
Trådticka</t>
        </is>
      </c>
      <c r="S122">
        <f>HYPERLINK("https://klasma.github.io/Logging_2462/artfynd/A 8255-2022 artfynd.xlsx", "A 8255-2022")</f>
        <v/>
      </c>
      <c r="T122">
        <f>HYPERLINK("https://klasma.github.io/Logging_2462/kartor/A 8255-2022 karta.png", "A 8255-2022")</f>
        <v/>
      </c>
      <c r="V122">
        <f>HYPERLINK("https://klasma.github.io/Logging_2462/klagomål/A 8255-2022 FSC-klagomål.docx", "A 8255-2022")</f>
        <v/>
      </c>
      <c r="W122">
        <f>HYPERLINK("https://klasma.github.io/Logging_2462/klagomålsmail/A 8255-2022 FSC-klagomål mail.docx", "A 8255-2022")</f>
        <v/>
      </c>
      <c r="X122">
        <f>HYPERLINK("https://klasma.github.io/Logging_2462/tillsyn/A 8255-2022 tillsynsbegäran.docx", "A 8255-2022")</f>
        <v/>
      </c>
      <c r="Y122">
        <f>HYPERLINK("https://klasma.github.io/Logging_2462/tillsynsmail/A 8255-2022 tillsynsbegäran mail.docx", "A 8255-2022")</f>
        <v/>
      </c>
    </row>
    <row r="123" ht="15" customHeight="1">
      <c r="A123" t="inlineStr">
        <is>
          <t>A 19727-2023</t>
        </is>
      </c>
      <c r="B123" s="1" t="n">
        <v>45050</v>
      </c>
      <c r="C123" s="1" t="n">
        <v>45628</v>
      </c>
      <c r="D123" t="inlineStr">
        <is>
          <t>VÄSTERBOTTENS LÄN</t>
        </is>
      </c>
      <c r="E123" t="inlineStr">
        <is>
          <t>VILHELMINA</t>
        </is>
      </c>
      <c r="G123" t="n">
        <v>11.9</v>
      </c>
      <c r="H123" t="n">
        <v>2</v>
      </c>
      <c r="I123" t="n">
        <v>0</v>
      </c>
      <c r="J123" t="n">
        <v>5</v>
      </c>
      <c r="K123" t="n">
        <v>0</v>
      </c>
      <c r="L123" t="n">
        <v>0</v>
      </c>
      <c r="M123" t="n">
        <v>0</v>
      </c>
      <c r="N123" t="n">
        <v>0</v>
      </c>
      <c r="O123" t="n">
        <v>5</v>
      </c>
      <c r="P123" t="n">
        <v>0</v>
      </c>
      <c r="Q123" t="n">
        <v>5</v>
      </c>
      <c r="R123" s="2" t="inlineStr">
        <is>
          <t>Gammelgransskål
Garnlav
Harticka
Spillkråka
Tretåig hackspett</t>
        </is>
      </c>
      <c r="S123">
        <f>HYPERLINK("https://klasma.github.io/Logging_2462/artfynd/A 19727-2023 artfynd.xlsx", "A 19727-2023")</f>
        <v/>
      </c>
      <c r="T123">
        <f>HYPERLINK("https://klasma.github.io/Logging_2462/kartor/A 19727-2023 karta.png", "A 19727-2023")</f>
        <v/>
      </c>
      <c r="V123">
        <f>HYPERLINK("https://klasma.github.io/Logging_2462/klagomål/A 19727-2023 FSC-klagomål.docx", "A 19727-2023")</f>
        <v/>
      </c>
      <c r="W123">
        <f>HYPERLINK("https://klasma.github.io/Logging_2462/klagomålsmail/A 19727-2023 FSC-klagomål mail.docx", "A 19727-2023")</f>
        <v/>
      </c>
      <c r="X123">
        <f>HYPERLINK("https://klasma.github.io/Logging_2462/tillsyn/A 19727-2023 tillsynsbegäran.docx", "A 19727-2023")</f>
        <v/>
      </c>
      <c r="Y123">
        <f>HYPERLINK("https://klasma.github.io/Logging_2462/tillsynsmail/A 19727-2023 tillsynsbegäran mail.docx", "A 19727-2023")</f>
        <v/>
      </c>
      <c r="Z123">
        <f>HYPERLINK("https://klasma.github.io/Logging_2462/fåglar/A 19727-2023 prioriterade fågelarter.docx", "A 19727-2023")</f>
        <v/>
      </c>
    </row>
    <row r="124" ht="15" customHeight="1">
      <c r="A124" t="inlineStr">
        <is>
          <t>A 29234-2020</t>
        </is>
      </c>
      <c r="B124" s="1" t="n">
        <v>44000</v>
      </c>
      <c r="C124" s="1" t="n">
        <v>45628</v>
      </c>
      <c r="D124" t="inlineStr">
        <is>
          <t>VÄSTERBOTTENS LÄN</t>
        </is>
      </c>
      <c r="E124" t="inlineStr">
        <is>
          <t>VILHELMINA</t>
        </is>
      </c>
      <c r="F124" t="inlineStr">
        <is>
          <t>Allmännings- och besparingsskogar</t>
        </is>
      </c>
      <c r="G124" t="n">
        <v>14.1</v>
      </c>
      <c r="H124" t="n">
        <v>0</v>
      </c>
      <c r="I124" t="n">
        <v>1</v>
      </c>
      <c r="J124" t="n">
        <v>3</v>
      </c>
      <c r="K124" t="n">
        <v>0</v>
      </c>
      <c r="L124" t="n">
        <v>0</v>
      </c>
      <c r="M124" t="n">
        <v>0</v>
      </c>
      <c r="N124" t="n">
        <v>0</v>
      </c>
      <c r="O124" t="n">
        <v>3</v>
      </c>
      <c r="P124" t="n">
        <v>0</v>
      </c>
      <c r="Q124" t="n">
        <v>4</v>
      </c>
      <c r="R124" s="2" t="inlineStr">
        <is>
          <t>Garnlav
Granticka
Gränsticka
Stuplav</t>
        </is>
      </c>
      <c r="S124">
        <f>HYPERLINK("https://klasma.github.io/Logging_2462/artfynd/A 29234-2020 artfynd.xlsx", "A 29234-2020")</f>
        <v/>
      </c>
      <c r="T124">
        <f>HYPERLINK("https://klasma.github.io/Logging_2462/kartor/A 29234-2020 karta.png", "A 29234-2020")</f>
        <v/>
      </c>
      <c r="V124">
        <f>HYPERLINK("https://klasma.github.io/Logging_2462/klagomål/A 29234-2020 FSC-klagomål.docx", "A 29234-2020")</f>
        <v/>
      </c>
      <c r="W124">
        <f>HYPERLINK("https://klasma.github.io/Logging_2462/klagomålsmail/A 29234-2020 FSC-klagomål mail.docx", "A 29234-2020")</f>
        <v/>
      </c>
      <c r="X124">
        <f>HYPERLINK("https://klasma.github.io/Logging_2462/tillsyn/A 29234-2020 tillsynsbegäran.docx", "A 29234-2020")</f>
        <v/>
      </c>
      <c r="Y124">
        <f>HYPERLINK("https://klasma.github.io/Logging_2462/tillsynsmail/A 29234-2020 tillsynsbegäran mail.docx", "A 29234-2020")</f>
        <v/>
      </c>
    </row>
    <row r="125" ht="15" customHeight="1">
      <c r="A125" t="inlineStr">
        <is>
          <t>A 900-2021</t>
        </is>
      </c>
      <c r="B125" s="1" t="n">
        <v>44206</v>
      </c>
      <c r="C125" s="1" t="n">
        <v>45628</v>
      </c>
      <c r="D125" t="inlineStr">
        <is>
          <t>VÄSTERBOTTENS LÄN</t>
        </is>
      </c>
      <c r="E125" t="inlineStr">
        <is>
          <t>VILHELMINA</t>
        </is>
      </c>
      <c r="F125" t="inlineStr">
        <is>
          <t>SCA</t>
        </is>
      </c>
      <c r="G125" t="n">
        <v>2.3</v>
      </c>
      <c r="H125" t="n">
        <v>0</v>
      </c>
      <c r="I125" t="n">
        <v>3</v>
      </c>
      <c r="J125" t="n">
        <v>1</v>
      </c>
      <c r="K125" t="n">
        <v>0</v>
      </c>
      <c r="L125" t="n">
        <v>0</v>
      </c>
      <c r="M125" t="n">
        <v>0</v>
      </c>
      <c r="N125" t="n">
        <v>0</v>
      </c>
      <c r="O125" t="n">
        <v>1</v>
      </c>
      <c r="P125" t="n">
        <v>0</v>
      </c>
      <c r="Q125" t="n">
        <v>4</v>
      </c>
      <c r="R125" s="2" t="inlineStr">
        <is>
          <t>Lunglav
Bårdlav
Strutbräken
Stuplav</t>
        </is>
      </c>
      <c r="S125">
        <f>HYPERLINK("https://klasma.github.io/Logging_2462/artfynd/A 900-2021 artfynd.xlsx", "A 900-2021")</f>
        <v/>
      </c>
      <c r="T125">
        <f>HYPERLINK("https://klasma.github.io/Logging_2462/kartor/A 900-2021 karta.png", "A 900-2021")</f>
        <v/>
      </c>
      <c r="V125">
        <f>HYPERLINK("https://klasma.github.io/Logging_2462/klagomål/A 900-2021 FSC-klagomål.docx", "A 900-2021")</f>
        <v/>
      </c>
      <c r="W125">
        <f>HYPERLINK("https://klasma.github.io/Logging_2462/klagomålsmail/A 900-2021 FSC-klagomål mail.docx", "A 900-2021")</f>
        <v/>
      </c>
      <c r="X125">
        <f>HYPERLINK("https://klasma.github.io/Logging_2462/tillsyn/A 900-2021 tillsynsbegäran.docx", "A 900-2021")</f>
        <v/>
      </c>
      <c r="Y125">
        <f>HYPERLINK("https://klasma.github.io/Logging_2462/tillsynsmail/A 900-2021 tillsynsbegäran mail.docx", "A 900-2021")</f>
        <v/>
      </c>
    </row>
    <row r="126" ht="15" customHeight="1">
      <c r="A126" t="inlineStr">
        <is>
          <t>A 31198-2023</t>
        </is>
      </c>
      <c r="B126" s="1" t="n">
        <v>45113</v>
      </c>
      <c r="C126" s="1" t="n">
        <v>45628</v>
      </c>
      <c r="D126" t="inlineStr">
        <is>
          <t>VÄSTERBOTTENS LÄN</t>
        </is>
      </c>
      <c r="E126" t="inlineStr">
        <is>
          <t>VILHELMINA</t>
        </is>
      </c>
      <c r="F126" t="inlineStr">
        <is>
          <t>SCA</t>
        </is>
      </c>
      <c r="G126" t="n">
        <v>4.2</v>
      </c>
      <c r="H126" t="n">
        <v>1</v>
      </c>
      <c r="I126" t="n">
        <v>0</v>
      </c>
      <c r="J126" t="n">
        <v>4</v>
      </c>
      <c r="K126" t="n">
        <v>0</v>
      </c>
      <c r="L126" t="n">
        <v>0</v>
      </c>
      <c r="M126" t="n">
        <v>0</v>
      </c>
      <c r="N126" t="n">
        <v>0</v>
      </c>
      <c r="O126" t="n">
        <v>4</v>
      </c>
      <c r="P126" t="n">
        <v>0</v>
      </c>
      <c r="Q126" t="n">
        <v>4</v>
      </c>
      <c r="R126" s="2" t="inlineStr">
        <is>
          <t>Garnlav
Knottrig blåslav
Tretåig hackspett
Vitgrynig nållav</t>
        </is>
      </c>
      <c r="S126">
        <f>HYPERLINK("https://klasma.github.io/Logging_2462/artfynd/A 31198-2023 artfynd.xlsx", "A 31198-2023")</f>
        <v/>
      </c>
      <c r="T126">
        <f>HYPERLINK("https://klasma.github.io/Logging_2462/kartor/A 31198-2023 karta.png", "A 31198-2023")</f>
        <v/>
      </c>
      <c r="V126">
        <f>HYPERLINK("https://klasma.github.io/Logging_2462/klagomål/A 31198-2023 FSC-klagomål.docx", "A 31198-2023")</f>
        <v/>
      </c>
      <c r="W126">
        <f>HYPERLINK("https://klasma.github.io/Logging_2462/klagomålsmail/A 31198-2023 FSC-klagomål mail.docx", "A 31198-2023")</f>
        <v/>
      </c>
      <c r="X126">
        <f>HYPERLINK("https://klasma.github.io/Logging_2462/tillsyn/A 31198-2023 tillsynsbegäran.docx", "A 31198-2023")</f>
        <v/>
      </c>
      <c r="Y126">
        <f>HYPERLINK("https://klasma.github.io/Logging_2462/tillsynsmail/A 31198-2023 tillsynsbegäran mail.docx", "A 31198-2023")</f>
        <v/>
      </c>
      <c r="Z126">
        <f>HYPERLINK("https://klasma.github.io/Logging_2462/fåglar/A 31198-2023 prioriterade fågelarter.docx", "A 31198-2023")</f>
        <v/>
      </c>
    </row>
    <row r="127" ht="15" customHeight="1">
      <c r="A127" t="inlineStr">
        <is>
          <t>A 44382-2023</t>
        </is>
      </c>
      <c r="B127" s="1" t="n">
        <v>45189</v>
      </c>
      <c r="C127" s="1" t="n">
        <v>45628</v>
      </c>
      <c r="D127" t="inlineStr">
        <is>
          <t>VÄSTERBOTTENS LÄN</t>
        </is>
      </c>
      <c r="E127" t="inlineStr">
        <is>
          <t>VILHELMINA</t>
        </is>
      </c>
      <c r="F127" t="inlineStr">
        <is>
          <t>SCA</t>
        </is>
      </c>
      <c r="G127" t="n">
        <v>2.8</v>
      </c>
      <c r="H127" t="n">
        <v>1</v>
      </c>
      <c r="I127" t="n">
        <v>1</v>
      </c>
      <c r="J127" t="n">
        <v>3</v>
      </c>
      <c r="K127" t="n">
        <v>0</v>
      </c>
      <c r="L127" t="n">
        <v>0</v>
      </c>
      <c r="M127" t="n">
        <v>0</v>
      </c>
      <c r="N127" t="n">
        <v>0</v>
      </c>
      <c r="O127" t="n">
        <v>3</v>
      </c>
      <c r="P127" t="n">
        <v>0</v>
      </c>
      <c r="Q127" t="n">
        <v>4</v>
      </c>
      <c r="R127" s="2" t="inlineStr">
        <is>
          <t>Garnlav
Lunglav
Talltita
Stuplav</t>
        </is>
      </c>
      <c r="S127">
        <f>HYPERLINK("https://klasma.github.io/Logging_2462/artfynd/A 44382-2023 artfynd.xlsx", "A 44382-2023")</f>
        <v/>
      </c>
      <c r="T127">
        <f>HYPERLINK("https://klasma.github.io/Logging_2462/kartor/A 44382-2023 karta.png", "A 44382-2023")</f>
        <v/>
      </c>
      <c r="V127">
        <f>HYPERLINK("https://klasma.github.io/Logging_2462/klagomål/A 44382-2023 FSC-klagomål.docx", "A 44382-2023")</f>
        <v/>
      </c>
      <c r="W127">
        <f>HYPERLINK("https://klasma.github.io/Logging_2462/klagomålsmail/A 44382-2023 FSC-klagomål mail.docx", "A 44382-2023")</f>
        <v/>
      </c>
      <c r="X127">
        <f>HYPERLINK("https://klasma.github.io/Logging_2462/tillsyn/A 44382-2023 tillsynsbegäran.docx", "A 44382-2023")</f>
        <v/>
      </c>
      <c r="Y127">
        <f>HYPERLINK("https://klasma.github.io/Logging_2462/tillsynsmail/A 44382-2023 tillsynsbegäran mail.docx", "A 44382-2023")</f>
        <v/>
      </c>
      <c r="Z127">
        <f>HYPERLINK("https://klasma.github.io/Logging_2462/fåglar/A 44382-2023 prioriterade fågelarter.docx", "A 44382-2023")</f>
        <v/>
      </c>
    </row>
    <row r="128" ht="15" customHeight="1">
      <c r="A128" t="inlineStr">
        <is>
          <t>A 40736-2024</t>
        </is>
      </c>
      <c r="B128" s="1" t="n">
        <v>45558</v>
      </c>
      <c r="C128" s="1" t="n">
        <v>45628</v>
      </c>
      <c r="D128" t="inlineStr">
        <is>
          <t>VÄSTERBOTTENS LÄN</t>
        </is>
      </c>
      <c r="E128" t="inlineStr">
        <is>
          <t>VILHELMINA</t>
        </is>
      </c>
      <c r="F128" t="inlineStr">
        <is>
          <t>Allmännings- och besparingsskogar</t>
        </is>
      </c>
      <c r="G128" t="n">
        <v>284.2</v>
      </c>
      <c r="H128" t="n">
        <v>0</v>
      </c>
      <c r="I128" t="n">
        <v>0</v>
      </c>
      <c r="J128" t="n">
        <v>4</v>
      </c>
      <c r="K128" t="n">
        <v>0</v>
      </c>
      <c r="L128" t="n">
        <v>0</v>
      </c>
      <c r="M128" t="n">
        <v>0</v>
      </c>
      <c r="N128" t="n">
        <v>0</v>
      </c>
      <c r="O128" t="n">
        <v>4</v>
      </c>
      <c r="P128" t="n">
        <v>0</v>
      </c>
      <c r="Q128" t="n">
        <v>4</v>
      </c>
      <c r="R128" s="2" t="inlineStr">
        <is>
          <t>Gammelgransskål
Granticka
Knottrig blåslav
Rödbrun blekspik</t>
        </is>
      </c>
      <c r="S128">
        <f>HYPERLINK("https://klasma.github.io/Logging_2462/artfynd/A 40736-2024 artfynd.xlsx", "A 40736-2024")</f>
        <v/>
      </c>
      <c r="T128">
        <f>HYPERLINK("https://klasma.github.io/Logging_2462/kartor/A 40736-2024 karta.png", "A 40736-2024")</f>
        <v/>
      </c>
      <c r="V128">
        <f>HYPERLINK("https://klasma.github.io/Logging_2462/klagomål/A 40736-2024 FSC-klagomål.docx", "A 40736-2024")</f>
        <v/>
      </c>
      <c r="W128">
        <f>HYPERLINK("https://klasma.github.io/Logging_2462/klagomålsmail/A 40736-2024 FSC-klagomål mail.docx", "A 40736-2024")</f>
        <v/>
      </c>
      <c r="X128">
        <f>HYPERLINK("https://klasma.github.io/Logging_2462/tillsyn/A 40736-2024 tillsynsbegäran.docx", "A 40736-2024")</f>
        <v/>
      </c>
      <c r="Y128">
        <f>HYPERLINK("https://klasma.github.io/Logging_2462/tillsynsmail/A 40736-2024 tillsynsbegäran mail.docx", "A 40736-2024")</f>
        <v/>
      </c>
    </row>
    <row r="129" ht="15" customHeight="1">
      <c r="A129" t="inlineStr">
        <is>
          <t>A 63164-2020</t>
        </is>
      </c>
      <c r="B129" s="1" t="n">
        <v>44162</v>
      </c>
      <c r="C129" s="1" t="n">
        <v>45628</v>
      </c>
      <c r="D129" t="inlineStr">
        <is>
          <t>VÄSTERBOTTENS LÄN</t>
        </is>
      </c>
      <c r="E129" t="inlineStr">
        <is>
          <t>VILHELMINA</t>
        </is>
      </c>
      <c r="F129" t="inlineStr">
        <is>
          <t>SCA</t>
        </is>
      </c>
      <c r="G129" t="n">
        <v>5.9</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HYPERLINK("https://klasma.github.io/Logging_2462/artfynd/A 63164-2020 artfynd.xlsx", "A 63164-2020")</f>
        <v/>
      </c>
      <c r="T129">
        <f>HYPERLINK("https://klasma.github.io/Logging_2462/kartor/A 63164-2020 karta.png", "A 63164-2020")</f>
        <v/>
      </c>
      <c r="V129">
        <f>HYPERLINK("https://klasma.github.io/Logging_2462/klagomål/A 63164-2020 FSC-klagomål.docx", "A 63164-2020")</f>
        <v/>
      </c>
      <c r="W129">
        <f>HYPERLINK("https://klasma.github.io/Logging_2462/klagomålsmail/A 63164-2020 FSC-klagomål mail.docx", "A 63164-2020")</f>
        <v/>
      </c>
      <c r="X129">
        <f>HYPERLINK("https://klasma.github.io/Logging_2462/tillsyn/A 63164-2020 tillsynsbegäran.docx", "A 63164-2020")</f>
        <v/>
      </c>
      <c r="Y129">
        <f>HYPERLINK("https://klasma.github.io/Logging_2462/tillsynsmail/A 63164-2020 tillsynsbegäran mail.docx", "A 63164-2020")</f>
        <v/>
      </c>
      <c r="Z129">
        <f>HYPERLINK("https://klasma.github.io/Logging_2462/fåglar/A 63164-2020 prioriterade fågelarter.docx", "A 63164-2020")</f>
        <v/>
      </c>
    </row>
    <row r="130" ht="15" customHeight="1">
      <c r="A130" t="inlineStr">
        <is>
          <t>A 34718-2021</t>
        </is>
      </c>
      <c r="B130" s="1" t="n">
        <v>44382</v>
      </c>
      <c r="C130" s="1" t="n">
        <v>45628</v>
      </c>
      <c r="D130" t="inlineStr">
        <is>
          <t>VÄSTERBOTTENS LÄN</t>
        </is>
      </c>
      <c r="E130" t="inlineStr">
        <is>
          <t>VILHELMINA</t>
        </is>
      </c>
      <c r="F130" t="inlineStr">
        <is>
          <t>Allmännings- och besparingsskogar</t>
        </is>
      </c>
      <c r="G130" t="n">
        <v>8</v>
      </c>
      <c r="H130" t="n">
        <v>0</v>
      </c>
      <c r="I130" t="n">
        <v>0</v>
      </c>
      <c r="J130" t="n">
        <v>3</v>
      </c>
      <c r="K130" t="n">
        <v>0</v>
      </c>
      <c r="L130" t="n">
        <v>0</v>
      </c>
      <c r="M130" t="n">
        <v>0</v>
      </c>
      <c r="N130" t="n">
        <v>0</v>
      </c>
      <c r="O130" t="n">
        <v>3</v>
      </c>
      <c r="P130" t="n">
        <v>0</v>
      </c>
      <c r="Q130" t="n">
        <v>3</v>
      </c>
      <c r="R130" s="2" t="inlineStr">
        <is>
          <t>Garnlav
Granticka
Gränsticka</t>
        </is>
      </c>
      <c r="S130">
        <f>HYPERLINK("https://klasma.github.io/Logging_2462/artfynd/A 34718-2021 artfynd.xlsx", "A 34718-2021")</f>
        <v/>
      </c>
      <c r="T130">
        <f>HYPERLINK("https://klasma.github.io/Logging_2462/kartor/A 34718-2021 karta.png", "A 34718-2021")</f>
        <v/>
      </c>
      <c r="V130">
        <f>HYPERLINK("https://klasma.github.io/Logging_2462/klagomål/A 34718-2021 FSC-klagomål.docx", "A 34718-2021")</f>
        <v/>
      </c>
      <c r="W130">
        <f>HYPERLINK("https://klasma.github.io/Logging_2462/klagomålsmail/A 34718-2021 FSC-klagomål mail.docx", "A 34718-2021")</f>
        <v/>
      </c>
      <c r="X130">
        <f>HYPERLINK("https://klasma.github.io/Logging_2462/tillsyn/A 34718-2021 tillsynsbegäran.docx", "A 34718-2021")</f>
        <v/>
      </c>
      <c r="Y130">
        <f>HYPERLINK("https://klasma.github.io/Logging_2462/tillsynsmail/A 34718-2021 tillsynsbegäran mail.docx", "A 34718-2021")</f>
        <v/>
      </c>
    </row>
    <row r="131" ht="15" customHeight="1">
      <c r="A131" t="inlineStr">
        <is>
          <t>A 40687-2021</t>
        </is>
      </c>
      <c r="B131" s="1" t="n">
        <v>44420</v>
      </c>
      <c r="C131" s="1" t="n">
        <v>45628</v>
      </c>
      <c r="D131" t="inlineStr">
        <is>
          <t>VÄSTERBOTTENS LÄN</t>
        </is>
      </c>
      <c r="E131" t="inlineStr">
        <is>
          <t>VILHELMINA</t>
        </is>
      </c>
      <c r="G131" t="n">
        <v>5.4</v>
      </c>
      <c r="H131" t="n">
        <v>1</v>
      </c>
      <c r="I131" t="n">
        <v>1</v>
      </c>
      <c r="J131" t="n">
        <v>2</v>
      </c>
      <c r="K131" t="n">
        <v>0</v>
      </c>
      <c r="L131" t="n">
        <v>0</v>
      </c>
      <c r="M131" t="n">
        <v>0</v>
      </c>
      <c r="N131" t="n">
        <v>0</v>
      </c>
      <c r="O131" t="n">
        <v>2</v>
      </c>
      <c r="P131" t="n">
        <v>0</v>
      </c>
      <c r="Q131" t="n">
        <v>3</v>
      </c>
      <c r="R131" s="2" t="inlineStr">
        <is>
          <t>Garnlav
Granticka
Spindelblomster</t>
        </is>
      </c>
      <c r="S131">
        <f>HYPERLINK("https://klasma.github.io/Logging_2462/artfynd/A 40687-2021 artfynd.xlsx", "A 40687-2021")</f>
        <v/>
      </c>
      <c r="T131">
        <f>HYPERLINK("https://klasma.github.io/Logging_2462/kartor/A 40687-2021 karta.png", "A 40687-2021")</f>
        <v/>
      </c>
      <c r="V131">
        <f>HYPERLINK("https://klasma.github.io/Logging_2462/klagomål/A 40687-2021 FSC-klagomål.docx", "A 40687-2021")</f>
        <v/>
      </c>
      <c r="W131">
        <f>HYPERLINK("https://klasma.github.io/Logging_2462/klagomålsmail/A 40687-2021 FSC-klagomål mail.docx", "A 40687-2021")</f>
        <v/>
      </c>
      <c r="X131">
        <f>HYPERLINK("https://klasma.github.io/Logging_2462/tillsyn/A 40687-2021 tillsynsbegäran.docx", "A 40687-2021")</f>
        <v/>
      </c>
      <c r="Y131">
        <f>HYPERLINK("https://klasma.github.io/Logging_2462/tillsynsmail/A 40687-2021 tillsynsbegäran mail.docx", "A 40687-2021")</f>
        <v/>
      </c>
    </row>
    <row r="132" ht="15" customHeight="1">
      <c r="A132" t="inlineStr">
        <is>
          <t>A 65382-2021</t>
        </is>
      </c>
      <c r="B132" s="1" t="n">
        <v>44515</v>
      </c>
      <c r="C132" s="1" t="n">
        <v>45628</v>
      </c>
      <c r="D132" t="inlineStr">
        <is>
          <t>VÄSTERBOTTENS LÄN</t>
        </is>
      </c>
      <c r="E132" t="inlineStr">
        <is>
          <t>VILHELMINA</t>
        </is>
      </c>
      <c r="G132" t="n">
        <v>10.7</v>
      </c>
      <c r="H132" t="n">
        <v>0</v>
      </c>
      <c r="I132" t="n">
        <v>0</v>
      </c>
      <c r="J132" t="n">
        <v>2</v>
      </c>
      <c r="K132" t="n">
        <v>1</v>
      </c>
      <c r="L132" t="n">
        <v>0</v>
      </c>
      <c r="M132" t="n">
        <v>0</v>
      </c>
      <c r="N132" t="n">
        <v>0</v>
      </c>
      <c r="O132" t="n">
        <v>3</v>
      </c>
      <c r="P132" t="n">
        <v>1</v>
      </c>
      <c r="Q132" t="n">
        <v>3</v>
      </c>
      <c r="R132" s="2" t="inlineStr">
        <is>
          <t>Rynkskinn
Lunglav
Rosenticka</t>
        </is>
      </c>
      <c r="S132">
        <f>HYPERLINK("https://klasma.github.io/Logging_2462/artfynd/A 65382-2021 artfynd.xlsx", "A 65382-2021")</f>
        <v/>
      </c>
      <c r="T132">
        <f>HYPERLINK("https://klasma.github.io/Logging_2462/kartor/A 65382-2021 karta.png", "A 65382-2021")</f>
        <v/>
      </c>
      <c r="V132">
        <f>HYPERLINK("https://klasma.github.io/Logging_2462/klagomål/A 65382-2021 FSC-klagomål.docx", "A 65382-2021")</f>
        <v/>
      </c>
      <c r="W132">
        <f>HYPERLINK("https://klasma.github.io/Logging_2462/klagomålsmail/A 65382-2021 FSC-klagomål mail.docx", "A 65382-2021")</f>
        <v/>
      </c>
      <c r="X132">
        <f>HYPERLINK("https://klasma.github.io/Logging_2462/tillsyn/A 65382-2021 tillsynsbegäran.docx", "A 65382-2021")</f>
        <v/>
      </c>
      <c r="Y132">
        <f>HYPERLINK("https://klasma.github.io/Logging_2462/tillsynsmail/A 65382-2021 tillsynsbegäran mail.docx", "A 65382-2021")</f>
        <v/>
      </c>
    </row>
    <row r="133" ht="15" customHeight="1">
      <c r="A133" t="inlineStr">
        <is>
          <t>A 25503-2022</t>
        </is>
      </c>
      <c r="B133" s="1" t="n">
        <v>44732</v>
      </c>
      <c r="C133" s="1" t="n">
        <v>45628</v>
      </c>
      <c r="D133" t="inlineStr">
        <is>
          <t>VÄSTERBOTTENS LÄN</t>
        </is>
      </c>
      <c r="E133" t="inlineStr">
        <is>
          <t>VILHELMINA</t>
        </is>
      </c>
      <c r="G133" t="n">
        <v>1.9</v>
      </c>
      <c r="H133" t="n">
        <v>0</v>
      </c>
      <c r="I133" t="n">
        <v>3</v>
      </c>
      <c r="J133" t="n">
        <v>0</v>
      </c>
      <c r="K133" t="n">
        <v>0</v>
      </c>
      <c r="L133" t="n">
        <v>0</v>
      </c>
      <c r="M133" t="n">
        <v>0</v>
      </c>
      <c r="N133" t="n">
        <v>0</v>
      </c>
      <c r="O133" t="n">
        <v>0</v>
      </c>
      <c r="P133" t="n">
        <v>0</v>
      </c>
      <c r="Q133" t="n">
        <v>3</v>
      </c>
      <c r="R133" s="2" t="inlineStr">
        <is>
          <t>Gulnål
Skinnlav
Stuplav</t>
        </is>
      </c>
      <c r="S133">
        <f>HYPERLINK("https://klasma.github.io/Logging_2462/artfynd/A 25503-2022 artfynd.xlsx", "A 25503-2022")</f>
        <v/>
      </c>
      <c r="T133">
        <f>HYPERLINK("https://klasma.github.io/Logging_2462/kartor/A 25503-2022 karta.png", "A 25503-2022")</f>
        <v/>
      </c>
      <c r="V133">
        <f>HYPERLINK("https://klasma.github.io/Logging_2462/klagomål/A 25503-2022 FSC-klagomål.docx", "A 25503-2022")</f>
        <v/>
      </c>
      <c r="W133">
        <f>HYPERLINK("https://klasma.github.io/Logging_2462/klagomålsmail/A 25503-2022 FSC-klagomål mail.docx", "A 25503-2022")</f>
        <v/>
      </c>
      <c r="X133">
        <f>HYPERLINK("https://klasma.github.io/Logging_2462/tillsyn/A 25503-2022 tillsynsbegäran.docx", "A 25503-2022")</f>
        <v/>
      </c>
      <c r="Y133">
        <f>HYPERLINK("https://klasma.github.io/Logging_2462/tillsynsmail/A 25503-2022 tillsynsbegäran mail.docx", "A 25503-2022")</f>
        <v/>
      </c>
    </row>
    <row r="134" ht="15" customHeight="1">
      <c r="A134" t="inlineStr">
        <is>
          <t>A 9157-2023</t>
        </is>
      </c>
      <c r="B134" s="1" t="n">
        <v>44972</v>
      </c>
      <c r="C134" s="1" t="n">
        <v>45628</v>
      </c>
      <c r="D134" t="inlineStr">
        <is>
          <t>VÄSTERBOTTENS LÄN</t>
        </is>
      </c>
      <c r="E134" t="inlineStr">
        <is>
          <t>VILHELMINA</t>
        </is>
      </c>
      <c r="F134" t="inlineStr">
        <is>
          <t>Allmännings- och besparingsskogar</t>
        </is>
      </c>
      <c r="G134" t="n">
        <v>408.3</v>
      </c>
      <c r="H134" t="n">
        <v>0</v>
      </c>
      <c r="I134" t="n">
        <v>0</v>
      </c>
      <c r="J134" t="n">
        <v>3</v>
      </c>
      <c r="K134" t="n">
        <v>0</v>
      </c>
      <c r="L134" t="n">
        <v>0</v>
      </c>
      <c r="M134" t="n">
        <v>0</v>
      </c>
      <c r="N134" t="n">
        <v>0</v>
      </c>
      <c r="O134" t="n">
        <v>3</v>
      </c>
      <c r="P134" t="n">
        <v>0</v>
      </c>
      <c r="Q134" t="n">
        <v>3</v>
      </c>
      <c r="R134" s="2" t="inlineStr">
        <is>
          <t>Garnlav
Granticka
Harticka</t>
        </is>
      </c>
      <c r="S134">
        <f>HYPERLINK("https://klasma.github.io/Logging_2462/artfynd/A 9157-2023 artfynd.xlsx", "A 9157-2023")</f>
        <v/>
      </c>
      <c r="T134">
        <f>HYPERLINK("https://klasma.github.io/Logging_2462/kartor/A 9157-2023 karta.png", "A 9157-2023")</f>
        <v/>
      </c>
      <c r="V134">
        <f>HYPERLINK("https://klasma.github.io/Logging_2462/klagomål/A 9157-2023 FSC-klagomål.docx", "A 9157-2023")</f>
        <v/>
      </c>
      <c r="W134">
        <f>HYPERLINK("https://klasma.github.io/Logging_2462/klagomålsmail/A 9157-2023 FSC-klagomål mail.docx", "A 9157-2023")</f>
        <v/>
      </c>
      <c r="X134">
        <f>HYPERLINK("https://klasma.github.io/Logging_2462/tillsyn/A 9157-2023 tillsynsbegäran.docx", "A 9157-2023")</f>
        <v/>
      </c>
      <c r="Y134">
        <f>HYPERLINK("https://klasma.github.io/Logging_2462/tillsynsmail/A 9157-2023 tillsynsbegäran mail.docx", "A 9157-2023")</f>
        <v/>
      </c>
    </row>
    <row r="135" ht="15" customHeight="1">
      <c r="A135" t="inlineStr">
        <is>
          <t>A 54609-2023</t>
        </is>
      </c>
      <c r="B135" s="1" t="n">
        <v>45233</v>
      </c>
      <c r="C135" s="1" t="n">
        <v>45628</v>
      </c>
      <c r="D135" t="inlineStr">
        <is>
          <t>VÄSTERBOTTENS LÄN</t>
        </is>
      </c>
      <c r="E135" t="inlineStr">
        <is>
          <t>VILHELMINA</t>
        </is>
      </c>
      <c r="F135" t="inlineStr">
        <is>
          <t>SCA</t>
        </is>
      </c>
      <c r="G135" t="n">
        <v>3.3</v>
      </c>
      <c r="H135" t="n">
        <v>3</v>
      </c>
      <c r="I135" t="n">
        <v>0</v>
      </c>
      <c r="J135" t="n">
        <v>2</v>
      </c>
      <c r="K135" t="n">
        <v>0</v>
      </c>
      <c r="L135" t="n">
        <v>0</v>
      </c>
      <c r="M135" t="n">
        <v>0</v>
      </c>
      <c r="N135" t="n">
        <v>0</v>
      </c>
      <c r="O135" t="n">
        <v>2</v>
      </c>
      <c r="P135" t="n">
        <v>0</v>
      </c>
      <c r="Q135" t="n">
        <v>3</v>
      </c>
      <c r="R135" s="2" t="inlineStr">
        <is>
          <t>Buskskvätta
Svartvit flugsnappare
Gråspett</t>
        </is>
      </c>
      <c r="S135">
        <f>HYPERLINK("https://klasma.github.io/Logging_2462/artfynd/A 54609-2023 artfynd.xlsx", "A 54609-2023")</f>
        <v/>
      </c>
      <c r="T135">
        <f>HYPERLINK("https://klasma.github.io/Logging_2462/kartor/A 54609-2023 karta.png", "A 54609-2023")</f>
        <v/>
      </c>
      <c r="V135">
        <f>HYPERLINK("https://klasma.github.io/Logging_2462/klagomål/A 54609-2023 FSC-klagomål.docx", "A 54609-2023")</f>
        <v/>
      </c>
      <c r="W135">
        <f>HYPERLINK("https://klasma.github.io/Logging_2462/klagomålsmail/A 54609-2023 FSC-klagomål mail.docx", "A 54609-2023")</f>
        <v/>
      </c>
      <c r="X135">
        <f>HYPERLINK("https://klasma.github.io/Logging_2462/tillsyn/A 54609-2023 tillsynsbegäran.docx", "A 54609-2023")</f>
        <v/>
      </c>
      <c r="Y135">
        <f>HYPERLINK("https://klasma.github.io/Logging_2462/tillsynsmail/A 54609-2023 tillsynsbegäran mail.docx", "A 54609-2023")</f>
        <v/>
      </c>
      <c r="Z135">
        <f>HYPERLINK("https://klasma.github.io/Logging_2462/fåglar/A 54609-2023 prioriterade fågelarter.docx", "A 54609-2023")</f>
        <v/>
      </c>
    </row>
    <row r="136" ht="15" customHeight="1">
      <c r="A136" t="inlineStr">
        <is>
          <t>A 32456-2024</t>
        </is>
      </c>
      <c r="B136" s="1" t="n">
        <v>45513</v>
      </c>
      <c r="C136" s="1" t="n">
        <v>45628</v>
      </c>
      <c r="D136" t="inlineStr">
        <is>
          <t>VÄSTERBOTTENS LÄN</t>
        </is>
      </c>
      <c r="E136" t="inlineStr">
        <is>
          <t>VILHELMINA</t>
        </is>
      </c>
      <c r="F136" t="inlineStr">
        <is>
          <t>SCA</t>
        </is>
      </c>
      <c r="G136" t="n">
        <v>10.5</v>
      </c>
      <c r="H136" t="n">
        <v>1</v>
      </c>
      <c r="I136" t="n">
        <v>1</v>
      </c>
      <c r="J136" t="n">
        <v>2</v>
      </c>
      <c r="K136" t="n">
        <v>0</v>
      </c>
      <c r="L136" t="n">
        <v>0</v>
      </c>
      <c r="M136" t="n">
        <v>0</v>
      </c>
      <c r="N136" t="n">
        <v>0</v>
      </c>
      <c r="O136" t="n">
        <v>2</v>
      </c>
      <c r="P136" t="n">
        <v>0</v>
      </c>
      <c r="Q136" t="n">
        <v>3</v>
      </c>
      <c r="R136" s="2" t="inlineStr">
        <is>
          <t>Granticka
Gränsticka
Lappranunkel</t>
        </is>
      </c>
      <c r="S136">
        <f>HYPERLINK("https://klasma.github.io/Logging_2462/artfynd/A 32456-2024 artfynd.xlsx", "A 32456-2024")</f>
        <v/>
      </c>
      <c r="T136">
        <f>HYPERLINK("https://klasma.github.io/Logging_2462/kartor/A 32456-2024 karta.png", "A 32456-2024")</f>
        <v/>
      </c>
      <c r="V136">
        <f>HYPERLINK("https://klasma.github.io/Logging_2462/klagomål/A 32456-2024 FSC-klagomål.docx", "A 32456-2024")</f>
        <v/>
      </c>
      <c r="W136">
        <f>HYPERLINK("https://klasma.github.io/Logging_2462/klagomålsmail/A 32456-2024 FSC-klagomål mail.docx", "A 32456-2024")</f>
        <v/>
      </c>
      <c r="X136">
        <f>HYPERLINK("https://klasma.github.io/Logging_2462/tillsyn/A 32456-2024 tillsynsbegäran.docx", "A 32456-2024")</f>
        <v/>
      </c>
      <c r="Y136">
        <f>HYPERLINK("https://klasma.github.io/Logging_2462/tillsynsmail/A 32456-2024 tillsynsbegäran mail.docx", "A 32456-2024")</f>
        <v/>
      </c>
    </row>
    <row r="137" ht="15" customHeight="1">
      <c r="A137" t="inlineStr">
        <is>
          <t>A 38534-2024</t>
        </is>
      </c>
      <c r="B137" s="1" t="n">
        <v>45546</v>
      </c>
      <c r="C137" s="1" t="n">
        <v>45628</v>
      </c>
      <c r="D137" t="inlineStr">
        <is>
          <t>VÄSTERBOTTENS LÄN</t>
        </is>
      </c>
      <c r="E137" t="inlineStr">
        <is>
          <t>VILHELMINA</t>
        </is>
      </c>
      <c r="G137" t="n">
        <v>10.5</v>
      </c>
      <c r="H137" t="n">
        <v>1</v>
      </c>
      <c r="I137" t="n">
        <v>1</v>
      </c>
      <c r="J137" t="n">
        <v>2</v>
      </c>
      <c r="K137" t="n">
        <v>0</v>
      </c>
      <c r="L137" t="n">
        <v>0</v>
      </c>
      <c r="M137" t="n">
        <v>0</v>
      </c>
      <c r="N137" t="n">
        <v>0</v>
      </c>
      <c r="O137" t="n">
        <v>2</v>
      </c>
      <c r="P137" t="n">
        <v>0</v>
      </c>
      <c r="Q137" t="n">
        <v>3</v>
      </c>
      <c r="R137" s="2" t="inlineStr">
        <is>
          <t>Tretåig hackspett
Ullticka
Trådticka</t>
        </is>
      </c>
      <c r="S137">
        <f>HYPERLINK("https://klasma.github.io/Logging_2462/artfynd/A 38534-2024 artfynd.xlsx", "A 38534-2024")</f>
        <v/>
      </c>
      <c r="T137">
        <f>HYPERLINK("https://klasma.github.io/Logging_2462/kartor/A 38534-2024 karta.png", "A 38534-2024")</f>
        <v/>
      </c>
      <c r="V137">
        <f>HYPERLINK("https://klasma.github.io/Logging_2462/klagomål/A 38534-2024 FSC-klagomål.docx", "A 38534-2024")</f>
        <v/>
      </c>
      <c r="W137">
        <f>HYPERLINK("https://klasma.github.io/Logging_2462/klagomålsmail/A 38534-2024 FSC-klagomål mail.docx", "A 38534-2024")</f>
        <v/>
      </c>
      <c r="X137">
        <f>HYPERLINK("https://klasma.github.io/Logging_2462/tillsyn/A 38534-2024 tillsynsbegäran.docx", "A 38534-2024")</f>
        <v/>
      </c>
      <c r="Y137">
        <f>HYPERLINK("https://klasma.github.io/Logging_2462/tillsynsmail/A 38534-2024 tillsynsbegäran mail.docx", "A 38534-2024")</f>
        <v/>
      </c>
      <c r="Z137">
        <f>HYPERLINK("https://klasma.github.io/Logging_2462/fåglar/A 38534-2024 prioriterade fågelarter.docx", "A 38534-2024")</f>
        <v/>
      </c>
    </row>
    <row r="138" ht="15" customHeight="1">
      <c r="A138" t="inlineStr">
        <is>
          <t>A 54780-2024</t>
        </is>
      </c>
      <c r="B138" s="1" t="n">
        <v>45618</v>
      </c>
      <c r="C138" s="1" t="n">
        <v>45628</v>
      </c>
      <c r="D138" t="inlineStr">
        <is>
          <t>VÄSTERBOTTENS LÄN</t>
        </is>
      </c>
      <c r="E138" t="inlineStr">
        <is>
          <t>VILHELMINA</t>
        </is>
      </c>
      <c r="F138" t="inlineStr">
        <is>
          <t>SCA</t>
        </is>
      </c>
      <c r="G138" t="n">
        <v>8.199999999999999</v>
      </c>
      <c r="H138" t="n">
        <v>0</v>
      </c>
      <c r="I138" t="n">
        <v>0</v>
      </c>
      <c r="J138" t="n">
        <v>3</v>
      </c>
      <c r="K138" t="n">
        <v>0</v>
      </c>
      <c r="L138" t="n">
        <v>0</v>
      </c>
      <c r="M138" t="n">
        <v>0</v>
      </c>
      <c r="N138" t="n">
        <v>0</v>
      </c>
      <c r="O138" t="n">
        <v>3</v>
      </c>
      <c r="P138" t="n">
        <v>0</v>
      </c>
      <c r="Q138" t="n">
        <v>3</v>
      </c>
      <c r="R138" s="2" t="inlineStr">
        <is>
          <t>Gammelgransskål
Rosenticka
Tallticka</t>
        </is>
      </c>
      <c r="S138">
        <f>HYPERLINK("https://klasma.github.io/Logging_2462/artfynd/A 54780-2024 artfynd.xlsx", "A 54780-2024")</f>
        <v/>
      </c>
      <c r="T138">
        <f>HYPERLINK("https://klasma.github.io/Logging_2462/kartor/A 54780-2024 karta.png", "A 54780-2024")</f>
        <v/>
      </c>
      <c r="V138">
        <f>HYPERLINK("https://klasma.github.io/Logging_2462/klagomål/A 54780-2024 FSC-klagomål.docx", "A 54780-2024")</f>
        <v/>
      </c>
      <c r="W138">
        <f>HYPERLINK("https://klasma.github.io/Logging_2462/klagomålsmail/A 54780-2024 FSC-klagomål mail.docx", "A 54780-2024")</f>
        <v/>
      </c>
      <c r="X138">
        <f>HYPERLINK("https://klasma.github.io/Logging_2462/tillsyn/A 54780-2024 tillsynsbegäran.docx", "A 54780-2024")</f>
        <v/>
      </c>
      <c r="Y138">
        <f>HYPERLINK("https://klasma.github.io/Logging_2462/tillsynsmail/A 54780-2024 tillsynsbegäran mail.docx", "A 54780-2024")</f>
        <v/>
      </c>
    </row>
    <row r="139" ht="15" customHeight="1">
      <c r="A139" t="inlineStr">
        <is>
          <t>A 34784-2019</t>
        </is>
      </c>
      <c r="B139" s="1" t="n">
        <v>43658</v>
      </c>
      <c r="C139" s="1" t="n">
        <v>45628</v>
      </c>
      <c r="D139" t="inlineStr">
        <is>
          <t>VÄSTERBOTTENS LÄN</t>
        </is>
      </c>
      <c r="E139" t="inlineStr">
        <is>
          <t>VILHELMINA</t>
        </is>
      </c>
      <c r="F139" t="inlineStr">
        <is>
          <t>Sveaskog</t>
        </is>
      </c>
      <c r="G139" t="n">
        <v>1.8</v>
      </c>
      <c r="H139" t="n">
        <v>0</v>
      </c>
      <c r="I139" t="n">
        <v>0</v>
      </c>
      <c r="J139" t="n">
        <v>2</v>
      </c>
      <c r="K139" t="n">
        <v>0</v>
      </c>
      <c r="L139" t="n">
        <v>0</v>
      </c>
      <c r="M139" t="n">
        <v>0</v>
      </c>
      <c r="N139" t="n">
        <v>0</v>
      </c>
      <c r="O139" t="n">
        <v>2</v>
      </c>
      <c r="P139" t="n">
        <v>0</v>
      </c>
      <c r="Q139" t="n">
        <v>2</v>
      </c>
      <c r="R139" s="2" t="inlineStr">
        <is>
          <t>Granticka
Tallticka</t>
        </is>
      </c>
      <c r="S139">
        <f>HYPERLINK("https://klasma.github.io/Logging_2462/artfynd/A 34784-2019 artfynd.xlsx", "A 34784-2019")</f>
        <v/>
      </c>
      <c r="T139">
        <f>HYPERLINK("https://klasma.github.io/Logging_2462/kartor/A 34784-2019 karta.png", "A 34784-2019")</f>
        <v/>
      </c>
      <c r="V139">
        <f>HYPERLINK("https://klasma.github.io/Logging_2462/klagomål/A 34784-2019 FSC-klagomål.docx", "A 34784-2019")</f>
        <v/>
      </c>
      <c r="W139">
        <f>HYPERLINK("https://klasma.github.io/Logging_2462/klagomålsmail/A 34784-2019 FSC-klagomål mail.docx", "A 34784-2019")</f>
        <v/>
      </c>
      <c r="X139">
        <f>HYPERLINK("https://klasma.github.io/Logging_2462/tillsyn/A 34784-2019 tillsynsbegäran.docx", "A 34784-2019")</f>
        <v/>
      </c>
      <c r="Y139">
        <f>HYPERLINK("https://klasma.github.io/Logging_2462/tillsynsmail/A 34784-2019 tillsynsbegäran mail.docx", "A 34784-2019")</f>
        <v/>
      </c>
    </row>
    <row r="140" ht="15" customHeight="1">
      <c r="A140" t="inlineStr">
        <is>
          <t>A 50020-2019</t>
        </is>
      </c>
      <c r="B140" s="1" t="n">
        <v>43731</v>
      </c>
      <c r="C140" s="1" t="n">
        <v>45628</v>
      </c>
      <c r="D140" t="inlineStr">
        <is>
          <t>VÄSTERBOTTENS LÄN</t>
        </is>
      </c>
      <c r="E140" t="inlineStr">
        <is>
          <t>VILHELMINA</t>
        </is>
      </c>
      <c r="F140" t="inlineStr">
        <is>
          <t>Allmännings- och besparingsskogar</t>
        </is>
      </c>
      <c r="G140" t="n">
        <v>4</v>
      </c>
      <c r="H140" t="n">
        <v>0</v>
      </c>
      <c r="I140" t="n">
        <v>0</v>
      </c>
      <c r="J140" t="n">
        <v>2</v>
      </c>
      <c r="K140" t="n">
        <v>0</v>
      </c>
      <c r="L140" t="n">
        <v>0</v>
      </c>
      <c r="M140" t="n">
        <v>0</v>
      </c>
      <c r="N140" t="n">
        <v>0</v>
      </c>
      <c r="O140" t="n">
        <v>2</v>
      </c>
      <c r="P140" t="n">
        <v>0</v>
      </c>
      <c r="Q140" t="n">
        <v>2</v>
      </c>
      <c r="R140" s="2" t="inlineStr">
        <is>
          <t>Harticka
Rödbrun blekspik</t>
        </is>
      </c>
      <c r="S140">
        <f>HYPERLINK("https://klasma.github.io/Logging_2462/artfynd/A 50020-2019 artfynd.xlsx", "A 50020-2019")</f>
        <v/>
      </c>
      <c r="T140">
        <f>HYPERLINK("https://klasma.github.io/Logging_2462/kartor/A 50020-2019 karta.png", "A 50020-2019")</f>
        <v/>
      </c>
      <c r="V140">
        <f>HYPERLINK("https://klasma.github.io/Logging_2462/klagomål/A 50020-2019 FSC-klagomål.docx", "A 50020-2019")</f>
        <v/>
      </c>
      <c r="W140">
        <f>HYPERLINK("https://klasma.github.io/Logging_2462/klagomålsmail/A 50020-2019 FSC-klagomål mail.docx", "A 50020-2019")</f>
        <v/>
      </c>
      <c r="X140">
        <f>HYPERLINK("https://klasma.github.io/Logging_2462/tillsyn/A 50020-2019 tillsynsbegäran.docx", "A 50020-2019")</f>
        <v/>
      </c>
      <c r="Y140">
        <f>HYPERLINK("https://klasma.github.io/Logging_2462/tillsynsmail/A 50020-2019 tillsynsbegäran mail.docx", "A 50020-2019")</f>
        <v/>
      </c>
    </row>
    <row r="141" ht="15" customHeight="1">
      <c r="A141" t="inlineStr">
        <is>
          <t>A 17776-2020</t>
        </is>
      </c>
      <c r="B141" s="1" t="n">
        <v>43923</v>
      </c>
      <c r="C141" s="1" t="n">
        <v>45628</v>
      </c>
      <c r="D141" t="inlineStr">
        <is>
          <t>VÄSTERBOTTENS LÄN</t>
        </is>
      </c>
      <c r="E141" t="inlineStr">
        <is>
          <t>VILHELMINA</t>
        </is>
      </c>
      <c r="F141" t="inlineStr">
        <is>
          <t>Allmännings- och besparingsskogar</t>
        </is>
      </c>
      <c r="G141" t="n">
        <v>1</v>
      </c>
      <c r="H141" t="n">
        <v>0</v>
      </c>
      <c r="I141" t="n">
        <v>0</v>
      </c>
      <c r="J141" t="n">
        <v>2</v>
      </c>
      <c r="K141" t="n">
        <v>0</v>
      </c>
      <c r="L141" t="n">
        <v>0</v>
      </c>
      <c r="M141" t="n">
        <v>0</v>
      </c>
      <c r="N141" t="n">
        <v>0</v>
      </c>
      <c r="O141" t="n">
        <v>2</v>
      </c>
      <c r="P141" t="n">
        <v>0</v>
      </c>
      <c r="Q141" t="n">
        <v>2</v>
      </c>
      <c r="R141" s="2" t="inlineStr">
        <is>
          <t>Lunglav
Skrovellav</t>
        </is>
      </c>
      <c r="S141">
        <f>HYPERLINK("https://klasma.github.io/Logging_2462/artfynd/A 17776-2020 artfynd.xlsx", "A 17776-2020")</f>
        <v/>
      </c>
      <c r="T141">
        <f>HYPERLINK("https://klasma.github.io/Logging_2462/kartor/A 17776-2020 karta.png", "A 17776-2020")</f>
        <v/>
      </c>
      <c r="V141">
        <f>HYPERLINK("https://klasma.github.io/Logging_2462/klagomål/A 17776-2020 FSC-klagomål.docx", "A 17776-2020")</f>
        <v/>
      </c>
      <c r="W141">
        <f>HYPERLINK("https://klasma.github.io/Logging_2462/klagomålsmail/A 17776-2020 FSC-klagomål mail.docx", "A 17776-2020")</f>
        <v/>
      </c>
      <c r="X141">
        <f>HYPERLINK("https://klasma.github.io/Logging_2462/tillsyn/A 17776-2020 tillsynsbegäran.docx", "A 17776-2020")</f>
        <v/>
      </c>
      <c r="Y141">
        <f>HYPERLINK("https://klasma.github.io/Logging_2462/tillsynsmail/A 17776-2020 tillsynsbegäran mail.docx", "A 17776-2020")</f>
        <v/>
      </c>
    </row>
    <row r="142" ht="15" customHeight="1">
      <c r="A142" t="inlineStr">
        <is>
          <t>A 17910-2020</t>
        </is>
      </c>
      <c r="B142" s="1" t="n">
        <v>43924</v>
      </c>
      <c r="C142" s="1" t="n">
        <v>45628</v>
      </c>
      <c r="D142" t="inlineStr">
        <is>
          <t>VÄSTERBOTTENS LÄN</t>
        </is>
      </c>
      <c r="E142" t="inlineStr">
        <is>
          <t>VILHELMINA</t>
        </is>
      </c>
      <c r="F142" t="inlineStr">
        <is>
          <t>SCA</t>
        </is>
      </c>
      <c r="G142" t="n">
        <v>6.8</v>
      </c>
      <c r="H142" t="n">
        <v>0</v>
      </c>
      <c r="I142" t="n">
        <v>0</v>
      </c>
      <c r="J142" t="n">
        <v>2</v>
      </c>
      <c r="K142" t="n">
        <v>0</v>
      </c>
      <c r="L142" t="n">
        <v>0</v>
      </c>
      <c r="M142" t="n">
        <v>0</v>
      </c>
      <c r="N142" t="n">
        <v>0</v>
      </c>
      <c r="O142" t="n">
        <v>2</v>
      </c>
      <c r="P142" t="n">
        <v>0</v>
      </c>
      <c r="Q142" t="n">
        <v>2</v>
      </c>
      <c r="R142" s="2" t="inlineStr">
        <is>
          <t>Lunglav
Skrovellav</t>
        </is>
      </c>
      <c r="S142">
        <f>HYPERLINK("https://klasma.github.io/Logging_2462/artfynd/A 17910-2020 artfynd.xlsx", "A 17910-2020")</f>
        <v/>
      </c>
      <c r="T142">
        <f>HYPERLINK("https://klasma.github.io/Logging_2462/kartor/A 17910-2020 karta.png", "A 17910-2020")</f>
        <v/>
      </c>
      <c r="V142">
        <f>HYPERLINK("https://klasma.github.io/Logging_2462/klagomål/A 17910-2020 FSC-klagomål.docx", "A 17910-2020")</f>
        <v/>
      </c>
      <c r="W142">
        <f>HYPERLINK("https://klasma.github.io/Logging_2462/klagomålsmail/A 17910-2020 FSC-klagomål mail.docx", "A 17910-2020")</f>
        <v/>
      </c>
      <c r="X142">
        <f>HYPERLINK("https://klasma.github.io/Logging_2462/tillsyn/A 17910-2020 tillsynsbegäran.docx", "A 17910-2020")</f>
        <v/>
      </c>
      <c r="Y142">
        <f>HYPERLINK("https://klasma.github.io/Logging_2462/tillsynsmail/A 17910-2020 tillsynsbegäran mail.docx", "A 17910-2020")</f>
        <v/>
      </c>
    </row>
    <row r="143" ht="15" customHeight="1">
      <c r="A143" t="inlineStr">
        <is>
          <t>A 69626-2020</t>
        </is>
      </c>
      <c r="B143" s="1" t="n">
        <v>44195</v>
      </c>
      <c r="C143" s="1" t="n">
        <v>45628</v>
      </c>
      <c r="D143" t="inlineStr">
        <is>
          <t>VÄSTERBOTTENS LÄN</t>
        </is>
      </c>
      <c r="E143" t="inlineStr">
        <is>
          <t>VILHELMINA</t>
        </is>
      </c>
      <c r="G143" t="n">
        <v>10.2</v>
      </c>
      <c r="H143" t="n">
        <v>2</v>
      </c>
      <c r="I143" t="n">
        <v>0</v>
      </c>
      <c r="J143" t="n">
        <v>2</v>
      </c>
      <c r="K143" t="n">
        <v>0</v>
      </c>
      <c r="L143" t="n">
        <v>0</v>
      </c>
      <c r="M143" t="n">
        <v>0</v>
      </c>
      <c r="N143" t="n">
        <v>0</v>
      </c>
      <c r="O143" t="n">
        <v>2</v>
      </c>
      <c r="P143" t="n">
        <v>0</v>
      </c>
      <c r="Q143" t="n">
        <v>2</v>
      </c>
      <c r="R143" s="2" t="inlineStr">
        <is>
          <t>Duvhök
Tretåig hackspett</t>
        </is>
      </c>
      <c r="S143">
        <f>HYPERLINK("https://klasma.github.io/Logging_2462/artfynd/A 69626-2020 artfynd.xlsx", "A 69626-2020")</f>
        <v/>
      </c>
      <c r="T143">
        <f>HYPERLINK("https://klasma.github.io/Logging_2462/kartor/A 69626-2020 karta.png", "A 69626-2020")</f>
        <v/>
      </c>
      <c r="V143">
        <f>HYPERLINK("https://klasma.github.io/Logging_2462/klagomål/A 69626-2020 FSC-klagomål.docx", "A 69626-2020")</f>
        <v/>
      </c>
      <c r="W143">
        <f>HYPERLINK("https://klasma.github.io/Logging_2462/klagomålsmail/A 69626-2020 FSC-klagomål mail.docx", "A 69626-2020")</f>
        <v/>
      </c>
      <c r="X143">
        <f>HYPERLINK("https://klasma.github.io/Logging_2462/tillsyn/A 69626-2020 tillsynsbegäran.docx", "A 69626-2020")</f>
        <v/>
      </c>
      <c r="Y143">
        <f>HYPERLINK("https://klasma.github.io/Logging_2462/tillsynsmail/A 69626-2020 tillsynsbegäran mail.docx", "A 69626-2020")</f>
        <v/>
      </c>
      <c r="Z143">
        <f>HYPERLINK("https://klasma.github.io/Logging_2462/fåglar/A 69626-2020 prioriterade fågelarter.docx", "A 69626-2020")</f>
        <v/>
      </c>
    </row>
    <row r="144" ht="15" customHeight="1">
      <c r="A144" t="inlineStr">
        <is>
          <t>A 6704-2021</t>
        </is>
      </c>
      <c r="B144" s="1" t="n">
        <v>44235</v>
      </c>
      <c r="C144" s="1" t="n">
        <v>45628</v>
      </c>
      <c r="D144" t="inlineStr">
        <is>
          <t>VÄSTERBOTTENS LÄN</t>
        </is>
      </c>
      <c r="E144" t="inlineStr">
        <is>
          <t>VILHELMINA</t>
        </is>
      </c>
      <c r="G144" t="n">
        <v>14.5</v>
      </c>
      <c r="H144" t="n">
        <v>1</v>
      </c>
      <c r="I144" t="n">
        <v>1</v>
      </c>
      <c r="J144" t="n">
        <v>1</v>
      </c>
      <c r="K144" t="n">
        <v>0</v>
      </c>
      <c r="L144" t="n">
        <v>0</v>
      </c>
      <c r="M144" t="n">
        <v>0</v>
      </c>
      <c r="N144" t="n">
        <v>0</v>
      </c>
      <c r="O144" t="n">
        <v>1</v>
      </c>
      <c r="P144" t="n">
        <v>0</v>
      </c>
      <c r="Q144" t="n">
        <v>2</v>
      </c>
      <c r="R144" s="2" t="inlineStr">
        <is>
          <t>Tretåig hackspett
Trådticka</t>
        </is>
      </c>
      <c r="S144">
        <f>HYPERLINK("https://klasma.github.io/Logging_2462/artfynd/A 6704-2021 artfynd.xlsx", "A 6704-2021")</f>
        <v/>
      </c>
      <c r="T144">
        <f>HYPERLINK("https://klasma.github.io/Logging_2462/kartor/A 6704-2021 karta.png", "A 6704-2021")</f>
        <v/>
      </c>
      <c r="V144">
        <f>HYPERLINK("https://klasma.github.io/Logging_2462/klagomål/A 6704-2021 FSC-klagomål.docx", "A 6704-2021")</f>
        <v/>
      </c>
      <c r="W144">
        <f>HYPERLINK("https://klasma.github.io/Logging_2462/klagomålsmail/A 6704-2021 FSC-klagomål mail.docx", "A 6704-2021")</f>
        <v/>
      </c>
      <c r="X144">
        <f>HYPERLINK("https://klasma.github.io/Logging_2462/tillsyn/A 6704-2021 tillsynsbegäran.docx", "A 6704-2021")</f>
        <v/>
      </c>
      <c r="Y144">
        <f>HYPERLINK("https://klasma.github.io/Logging_2462/tillsynsmail/A 6704-2021 tillsynsbegäran mail.docx", "A 6704-2021")</f>
        <v/>
      </c>
      <c r="Z144">
        <f>HYPERLINK("https://klasma.github.io/Logging_2462/fåglar/A 6704-2021 prioriterade fågelarter.docx", "A 6704-2021")</f>
        <v/>
      </c>
    </row>
    <row r="145" ht="15" customHeight="1">
      <c r="A145" t="inlineStr">
        <is>
          <t>A 11980-2021</t>
        </is>
      </c>
      <c r="B145" s="1" t="n">
        <v>44266</v>
      </c>
      <c r="C145" s="1" t="n">
        <v>45628</v>
      </c>
      <c r="D145" t="inlineStr">
        <is>
          <t>VÄSTERBOTTENS LÄN</t>
        </is>
      </c>
      <c r="E145" t="inlineStr">
        <is>
          <t>VILHELMINA</t>
        </is>
      </c>
      <c r="F145" t="inlineStr">
        <is>
          <t>Allmännings- och besparingsskogar</t>
        </is>
      </c>
      <c r="G145" t="n">
        <v>4.1</v>
      </c>
      <c r="H145" t="n">
        <v>0</v>
      </c>
      <c r="I145" t="n">
        <v>1</v>
      </c>
      <c r="J145" t="n">
        <v>1</v>
      </c>
      <c r="K145" t="n">
        <v>0</v>
      </c>
      <c r="L145" t="n">
        <v>0</v>
      </c>
      <c r="M145" t="n">
        <v>0</v>
      </c>
      <c r="N145" t="n">
        <v>0</v>
      </c>
      <c r="O145" t="n">
        <v>1</v>
      </c>
      <c r="P145" t="n">
        <v>0</v>
      </c>
      <c r="Q145" t="n">
        <v>2</v>
      </c>
      <c r="R145" s="2" t="inlineStr">
        <is>
          <t>Skrovellav
Stuplav</t>
        </is>
      </c>
      <c r="S145">
        <f>HYPERLINK("https://klasma.github.io/Logging_2462/artfynd/A 11980-2021 artfynd.xlsx", "A 11980-2021")</f>
        <v/>
      </c>
      <c r="T145">
        <f>HYPERLINK("https://klasma.github.io/Logging_2462/kartor/A 11980-2021 karta.png", "A 11980-2021")</f>
        <v/>
      </c>
      <c r="V145">
        <f>HYPERLINK("https://klasma.github.io/Logging_2462/klagomål/A 11980-2021 FSC-klagomål.docx", "A 11980-2021")</f>
        <v/>
      </c>
      <c r="W145">
        <f>HYPERLINK("https://klasma.github.io/Logging_2462/klagomålsmail/A 11980-2021 FSC-klagomål mail.docx", "A 11980-2021")</f>
        <v/>
      </c>
      <c r="X145">
        <f>HYPERLINK("https://klasma.github.io/Logging_2462/tillsyn/A 11980-2021 tillsynsbegäran.docx", "A 11980-2021")</f>
        <v/>
      </c>
      <c r="Y145">
        <f>HYPERLINK("https://klasma.github.io/Logging_2462/tillsynsmail/A 11980-2021 tillsynsbegäran mail.docx", "A 11980-2021")</f>
        <v/>
      </c>
    </row>
    <row r="146" ht="15" customHeight="1">
      <c r="A146" t="inlineStr">
        <is>
          <t>A 19234-2021</t>
        </is>
      </c>
      <c r="B146" s="1" t="n">
        <v>44309</v>
      </c>
      <c r="C146" s="1" t="n">
        <v>45628</v>
      </c>
      <c r="D146" t="inlineStr">
        <is>
          <t>VÄSTERBOTTENS LÄN</t>
        </is>
      </c>
      <c r="E146" t="inlineStr">
        <is>
          <t>VILHELMINA</t>
        </is>
      </c>
      <c r="F146" t="inlineStr">
        <is>
          <t>Övriga Aktiebolag</t>
        </is>
      </c>
      <c r="G146" t="n">
        <v>12</v>
      </c>
      <c r="H146" t="n">
        <v>0</v>
      </c>
      <c r="I146" t="n">
        <v>0</v>
      </c>
      <c r="J146" t="n">
        <v>2</v>
      </c>
      <c r="K146" t="n">
        <v>0</v>
      </c>
      <c r="L146" t="n">
        <v>0</v>
      </c>
      <c r="M146" t="n">
        <v>0</v>
      </c>
      <c r="N146" t="n">
        <v>0</v>
      </c>
      <c r="O146" t="n">
        <v>2</v>
      </c>
      <c r="P146" t="n">
        <v>0</v>
      </c>
      <c r="Q146" t="n">
        <v>2</v>
      </c>
      <c r="R146" s="2" t="inlineStr">
        <is>
          <t>Granticka
Harticka</t>
        </is>
      </c>
      <c r="S146">
        <f>HYPERLINK("https://klasma.github.io/Logging_2462/artfynd/A 19234-2021 artfynd.xlsx", "A 19234-2021")</f>
        <v/>
      </c>
      <c r="T146">
        <f>HYPERLINK("https://klasma.github.io/Logging_2462/kartor/A 19234-2021 karta.png", "A 19234-2021")</f>
        <v/>
      </c>
      <c r="V146">
        <f>HYPERLINK("https://klasma.github.io/Logging_2462/klagomål/A 19234-2021 FSC-klagomål.docx", "A 19234-2021")</f>
        <v/>
      </c>
      <c r="W146">
        <f>HYPERLINK("https://klasma.github.io/Logging_2462/klagomålsmail/A 19234-2021 FSC-klagomål mail.docx", "A 19234-2021")</f>
        <v/>
      </c>
      <c r="X146">
        <f>HYPERLINK("https://klasma.github.io/Logging_2462/tillsyn/A 19234-2021 tillsynsbegäran.docx", "A 19234-2021")</f>
        <v/>
      </c>
      <c r="Y146">
        <f>HYPERLINK("https://klasma.github.io/Logging_2462/tillsynsmail/A 19234-2021 tillsynsbegäran mail.docx", "A 19234-2021")</f>
        <v/>
      </c>
    </row>
    <row r="147" ht="15" customHeight="1">
      <c r="A147" t="inlineStr">
        <is>
          <t>A 37785-2021</t>
        </is>
      </c>
      <c r="B147" s="1" t="n">
        <v>44401</v>
      </c>
      <c r="C147" s="1" t="n">
        <v>45628</v>
      </c>
      <c r="D147" t="inlineStr">
        <is>
          <t>VÄSTERBOTTENS LÄN</t>
        </is>
      </c>
      <c r="E147" t="inlineStr">
        <is>
          <t>VILHELMINA</t>
        </is>
      </c>
      <c r="G147" t="n">
        <v>51.5</v>
      </c>
      <c r="H147" t="n">
        <v>1</v>
      </c>
      <c r="I147" t="n">
        <v>0</v>
      </c>
      <c r="J147" t="n">
        <v>1</v>
      </c>
      <c r="K147" t="n">
        <v>0</v>
      </c>
      <c r="L147" t="n">
        <v>0</v>
      </c>
      <c r="M147" t="n">
        <v>0</v>
      </c>
      <c r="N147" t="n">
        <v>0</v>
      </c>
      <c r="O147" t="n">
        <v>1</v>
      </c>
      <c r="P147" t="n">
        <v>0</v>
      </c>
      <c r="Q147" t="n">
        <v>2</v>
      </c>
      <c r="R147" s="2" t="inlineStr">
        <is>
          <t>Ullticka
Fläcknycklar</t>
        </is>
      </c>
      <c r="S147">
        <f>HYPERLINK("https://klasma.github.io/Logging_2462/artfynd/A 37785-2021 artfynd.xlsx", "A 37785-2021")</f>
        <v/>
      </c>
      <c r="T147">
        <f>HYPERLINK("https://klasma.github.io/Logging_2462/kartor/A 37785-2021 karta.png", "A 37785-2021")</f>
        <v/>
      </c>
      <c r="V147">
        <f>HYPERLINK("https://klasma.github.io/Logging_2462/klagomål/A 37785-2021 FSC-klagomål.docx", "A 37785-2021")</f>
        <v/>
      </c>
      <c r="W147">
        <f>HYPERLINK("https://klasma.github.io/Logging_2462/klagomålsmail/A 37785-2021 FSC-klagomål mail.docx", "A 37785-2021")</f>
        <v/>
      </c>
      <c r="X147">
        <f>HYPERLINK("https://klasma.github.io/Logging_2462/tillsyn/A 37785-2021 tillsynsbegäran.docx", "A 37785-2021")</f>
        <v/>
      </c>
      <c r="Y147">
        <f>HYPERLINK("https://klasma.github.io/Logging_2462/tillsynsmail/A 37785-2021 tillsynsbegäran mail.docx", "A 37785-2021")</f>
        <v/>
      </c>
    </row>
    <row r="148" ht="15" customHeight="1">
      <c r="A148" t="inlineStr">
        <is>
          <t>A 65586-2021</t>
        </is>
      </c>
      <c r="B148" s="1" t="n">
        <v>44518</v>
      </c>
      <c r="C148" s="1" t="n">
        <v>45628</v>
      </c>
      <c r="D148" t="inlineStr">
        <is>
          <t>VÄSTERBOTTENS LÄN</t>
        </is>
      </c>
      <c r="E148" t="inlineStr">
        <is>
          <t>VILHELMINA</t>
        </is>
      </c>
      <c r="G148" t="n">
        <v>38</v>
      </c>
      <c r="H148" t="n">
        <v>2</v>
      </c>
      <c r="I148" t="n">
        <v>0</v>
      </c>
      <c r="J148" t="n">
        <v>1</v>
      </c>
      <c r="K148" t="n">
        <v>1</v>
      </c>
      <c r="L148" t="n">
        <v>0</v>
      </c>
      <c r="M148" t="n">
        <v>0</v>
      </c>
      <c r="N148" t="n">
        <v>0</v>
      </c>
      <c r="O148" t="n">
        <v>2</v>
      </c>
      <c r="P148" t="n">
        <v>1</v>
      </c>
      <c r="Q148" t="n">
        <v>2</v>
      </c>
      <c r="R148" s="2" t="inlineStr">
        <is>
          <t>Lappuggla
Tretåig hackspett</t>
        </is>
      </c>
      <c r="S148">
        <f>HYPERLINK("https://klasma.github.io/Logging_2462/artfynd/A 65586-2021 artfynd.xlsx", "A 65586-2021")</f>
        <v/>
      </c>
      <c r="T148">
        <f>HYPERLINK("https://klasma.github.io/Logging_2462/kartor/A 65586-2021 karta.png", "A 65586-2021")</f>
        <v/>
      </c>
      <c r="V148">
        <f>HYPERLINK("https://klasma.github.io/Logging_2462/klagomål/A 65586-2021 FSC-klagomål.docx", "A 65586-2021")</f>
        <v/>
      </c>
      <c r="W148">
        <f>HYPERLINK("https://klasma.github.io/Logging_2462/klagomålsmail/A 65586-2021 FSC-klagomål mail.docx", "A 65586-2021")</f>
        <v/>
      </c>
      <c r="X148">
        <f>HYPERLINK("https://klasma.github.io/Logging_2462/tillsyn/A 65586-2021 tillsynsbegäran.docx", "A 65586-2021")</f>
        <v/>
      </c>
      <c r="Y148">
        <f>HYPERLINK("https://klasma.github.io/Logging_2462/tillsynsmail/A 65586-2021 tillsynsbegäran mail.docx", "A 65586-2021")</f>
        <v/>
      </c>
      <c r="Z148">
        <f>HYPERLINK("https://klasma.github.io/Logging_2462/fåglar/A 65586-2021 prioriterade fågelarter.docx", "A 65586-2021")</f>
        <v/>
      </c>
    </row>
    <row r="149" ht="15" customHeight="1">
      <c r="A149" t="inlineStr">
        <is>
          <t>A 69023-2021</t>
        </is>
      </c>
      <c r="B149" s="1" t="n">
        <v>44529</v>
      </c>
      <c r="C149" s="1" t="n">
        <v>45628</v>
      </c>
      <c r="D149" t="inlineStr">
        <is>
          <t>VÄSTERBOTTENS LÄN</t>
        </is>
      </c>
      <c r="E149" t="inlineStr">
        <is>
          <t>VILHELMINA</t>
        </is>
      </c>
      <c r="G149" t="n">
        <v>88</v>
      </c>
      <c r="H149" t="n">
        <v>0</v>
      </c>
      <c r="I149" t="n">
        <v>0</v>
      </c>
      <c r="J149" t="n">
        <v>2</v>
      </c>
      <c r="K149" t="n">
        <v>0</v>
      </c>
      <c r="L149" t="n">
        <v>0</v>
      </c>
      <c r="M149" t="n">
        <v>0</v>
      </c>
      <c r="N149" t="n">
        <v>0</v>
      </c>
      <c r="O149" t="n">
        <v>2</v>
      </c>
      <c r="P149" t="n">
        <v>0</v>
      </c>
      <c r="Q149" t="n">
        <v>2</v>
      </c>
      <c r="R149" s="2" t="inlineStr">
        <is>
          <t>Garnlav
Lunglav</t>
        </is>
      </c>
      <c r="S149">
        <f>HYPERLINK("https://klasma.github.io/Logging_2462/artfynd/A 69023-2021 artfynd.xlsx", "A 69023-2021")</f>
        <v/>
      </c>
      <c r="T149">
        <f>HYPERLINK("https://klasma.github.io/Logging_2462/kartor/A 69023-2021 karta.png", "A 69023-2021")</f>
        <v/>
      </c>
      <c r="V149">
        <f>HYPERLINK("https://klasma.github.io/Logging_2462/klagomål/A 69023-2021 FSC-klagomål.docx", "A 69023-2021")</f>
        <v/>
      </c>
      <c r="W149">
        <f>HYPERLINK("https://klasma.github.io/Logging_2462/klagomålsmail/A 69023-2021 FSC-klagomål mail.docx", "A 69023-2021")</f>
        <v/>
      </c>
      <c r="X149">
        <f>HYPERLINK("https://klasma.github.io/Logging_2462/tillsyn/A 69023-2021 tillsynsbegäran.docx", "A 69023-2021")</f>
        <v/>
      </c>
      <c r="Y149">
        <f>HYPERLINK("https://klasma.github.io/Logging_2462/tillsynsmail/A 69023-2021 tillsynsbegäran mail.docx", "A 69023-2021")</f>
        <v/>
      </c>
    </row>
    <row r="150" ht="15" customHeight="1">
      <c r="A150" t="inlineStr">
        <is>
          <t>A 13604-2022</t>
        </is>
      </c>
      <c r="B150" s="1" t="n">
        <v>44648</v>
      </c>
      <c r="C150" s="1" t="n">
        <v>45628</v>
      </c>
      <c r="D150" t="inlineStr">
        <is>
          <t>VÄSTERBOTTENS LÄN</t>
        </is>
      </c>
      <c r="E150" t="inlineStr">
        <is>
          <t>VILHELMINA</t>
        </is>
      </c>
      <c r="G150" t="n">
        <v>17.4</v>
      </c>
      <c r="H150" t="n">
        <v>1</v>
      </c>
      <c r="I150" t="n">
        <v>1</v>
      </c>
      <c r="J150" t="n">
        <v>0</v>
      </c>
      <c r="K150" t="n">
        <v>0</v>
      </c>
      <c r="L150" t="n">
        <v>0</v>
      </c>
      <c r="M150" t="n">
        <v>0</v>
      </c>
      <c r="N150" t="n">
        <v>0</v>
      </c>
      <c r="O150" t="n">
        <v>0</v>
      </c>
      <c r="P150" t="n">
        <v>0</v>
      </c>
      <c r="Q150" t="n">
        <v>2</v>
      </c>
      <c r="R150" s="2" t="inlineStr">
        <is>
          <t>Maskfingersvamp
Fläcknycklar</t>
        </is>
      </c>
      <c r="S150">
        <f>HYPERLINK("https://klasma.github.io/Logging_2462/artfynd/A 13604-2022 artfynd.xlsx", "A 13604-2022")</f>
        <v/>
      </c>
      <c r="T150">
        <f>HYPERLINK("https://klasma.github.io/Logging_2462/kartor/A 13604-2022 karta.png", "A 13604-2022")</f>
        <v/>
      </c>
      <c r="V150">
        <f>HYPERLINK("https://klasma.github.io/Logging_2462/klagomål/A 13604-2022 FSC-klagomål.docx", "A 13604-2022")</f>
        <v/>
      </c>
      <c r="W150">
        <f>HYPERLINK("https://klasma.github.io/Logging_2462/klagomålsmail/A 13604-2022 FSC-klagomål mail.docx", "A 13604-2022")</f>
        <v/>
      </c>
      <c r="X150">
        <f>HYPERLINK("https://klasma.github.io/Logging_2462/tillsyn/A 13604-2022 tillsynsbegäran.docx", "A 13604-2022")</f>
        <v/>
      </c>
      <c r="Y150">
        <f>HYPERLINK("https://klasma.github.io/Logging_2462/tillsynsmail/A 13604-2022 tillsynsbegäran mail.docx", "A 13604-2022")</f>
        <v/>
      </c>
    </row>
    <row r="151" ht="15" customHeight="1">
      <c r="A151" t="inlineStr">
        <is>
          <t>A 32253-2022</t>
        </is>
      </c>
      <c r="B151" s="1" t="n">
        <v>44781</v>
      </c>
      <c r="C151" s="1" t="n">
        <v>45628</v>
      </c>
      <c r="D151" t="inlineStr">
        <is>
          <t>VÄSTERBOTTENS LÄN</t>
        </is>
      </c>
      <c r="E151" t="inlineStr">
        <is>
          <t>VILHELMINA</t>
        </is>
      </c>
      <c r="G151" t="n">
        <v>10.8</v>
      </c>
      <c r="H151" t="n">
        <v>0</v>
      </c>
      <c r="I151" t="n">
        <v>0</v>
      </c>
      <c r="J151" t="n">
        <v>1</v>
      </c>
      <c r="K151" t="n">
        <v>1</v>
      </c>
      <c r="L151" t="n">
        <v>0</v>
      </c>
      <c r="M151" t="n">
        <v>0</v>
      </c>
      <c r="N151" t="n">
        <v>0</v>
      </c>
      <c r="O151" t="n">
        <v>2</v>
      </c>
      <c r="P151" t="n">
        <v>1</v>
      </c>
      <c r="Q151" t="n">
        <v>2</v>
      </c>
      <c r="R151" s="2" t="inlineStr">
        <is>
          <t>Ostticka
Garnlav</t>
        </is>
      </c>
      <c r="S151">
        <f>HYPERLINK("https://klasma.github.io/Logging_2462/artfynd/A 32253-2022 artfynd.xlsx", "A 32253-2022")</f>
        <v/>
      </c>
      <c r="T151">
        <f>HYPERLINK("https://klasma.github.io/Logging_2462/kartor/A 32253-2022 karta.png", "A 32253-2022")</f>
        <v/>
      </c>
      <c r="V151">
        <f>HYPERLINK("https://klasma.github.io/Logging_2462/klagomål/A 32253-2022 FSC-klagomål.docx", "A 32253-2022")</f>
        <v/>
      </c>
      <c r="W151">
        <f>HYPERLINK("https://klasma.github.io/Logging_2462/klagomålsmail/A 32253-2022 FSC-klagomål mail.docx", "A 32253-2022")</f>
        <v/>
      </c>
      <c r="X151">
        <f>HYPERLINK("https://klasma.github.io/Logging_2462/tillsyn/A 32253-2022 tillsynsbegäran.docx", "A 32253-2022")</f>
        <v/>
      </c>
      <c r="Y151">
        <f>HYPERLINK("https://klasma.github.io/Logging_2462/tillsynsmail/A 32253-2022 tillsynsbegäran mail.docx", "A 32253-2022")</f>
        <v/>
      </c>
    </row>
    <row r="152" ht="15" customHeight="1">
      <c r="A152" t="inlineStr">
        <is>
          <t>A 28013-2023</t>
        </is>
      </c>
      <c r="B152" s="1" t="n">
        <v>45098</v>
      </c>
      <c r="C152" s="1" t="n">
        <v>45628</v>
      </c>
      <c r="D152" t="inlineStr">
        <is>
          <t>VÄSTERBOTTENS LÄN</t>
        </is>
      </c>
      <c r="E152" t="inlineStr">
        <is>
          <t>VILHELMINA</t>
        </is>
      </c>
      <c r="F152" t="inlineStr">
        <is>
          <t>SCA</t>
        </is>
      </c>
      <c r="G152" t="n">
        <v>7.8</v>
      </c>
      <c r="H152" t="n">
        <v>0</v>
      </c>
      <c r="I152" t="n">
        <v>0</v>
      </c>
      <c r="J152" t="n">
        <v>1</v>
      </c>
      <c r="K152" t="n">
        <v>1</v>
      </c>
      <c r="L152" t="n">
        <v>0</v>
      </c>
      <c r="M152" t="n">
        <v>0</v>
      </c>
      <c r="N152" t="n">
        <v>0</v>
      </c>
      <c r="O152" t="n">
        <v>2</v>
      </c>
      <c r="P152" t="n">
        <v>1</v>
      </c>
      <c r="Q152" t="n">
        <v>2</v>
      </c>
      <c r="R152" s="2" t="inlineStr">
        <is>
          <t>Tajgaskinn
Granticka</t>
        </is>
      </c>
      <c r="S152">
        <f>HYPERLINK("https://klasma.github.io/Logging_2462/artfynd/A 28013-2023 artfynd.xlsx", "A 28013-2023")</f>
        <v/>
      </c>
      <c r="T152">
        <f>HYPERLINK("https://klasma.github.io/Logging_2462/kartor/A 28013-2023 karta.png", "A 28013-2023")</f>
        <v/>
      </c>
      <c r="V152">
        <f>HYPERLINK("https://klasma.github.io/Logging_2462/klagomål/A 28013-2023 FSC-klagomål.docx", "A 28013-2023")</f>
        <v/>
      </c>
      <c r="W152">
        <f>HYPERLINK("https://klasma.github.io/Logging_2462/klagomålsmail/A 28013-2023 FSC-klagomål mail.docx", "A 28013-2023")</f>
        <v/>
      </c>
      <c r="X152">
        <f>HYPERLINK("https://klasma.github.io/Logging_2462/tillsyn/A 28013-2023 tillsynsbegäran.docx", "A 28013-2023")</f>
        <v/>
      </c>
      <c r="Y152">
        <f>HYPERLINK("https://klasma.github.io/Logging_2462/tillsynsmail/A 28013-2023 tillsynsbegäran mail.docx", "A 28013-2023")</f>
        <v/>
      </c>
    </row>
    <row r="153" ht="15" customHeight="1">
      <c r="A153" t="inlineStr">
        <is>
          <t>A 28012-2023</t>
        </is>
      </c>
      <c r="B153" s="1" t="n">
        <v>45098</v>
      </c>
      <c r="C153" s="1" t="n">
        <v>45628</v>
      </c>
      <c r="D153" t="inlineStr">
        <is>
          <t>VÄSTERBOTTENS LÄN</t>
        </is>
      </c>
      <c r="E153" t="inlineStr">
        <is>
          <t>VILHELMINA</t>
        </is>
      </c>
      <c r="F153" t="inlineStr">
        <is>
          <t>SCA</t>
        </is>
      </c>
      <c r="G153" t="n">
        <v>1.7</v>
      </c>
      <c r="H153" t="n">
        <v>1</v>
      </c>
      <c r="I153" t="n">
        <v>0</v>
      </c>
      <c r="J153" t="n">
        <v>2</v>
      </c>
      <c r="K153" t="n">
        <v>0</v>
      </c>
      <c r="L153" t="n">
        <v>0</v>
      </c>
      <c r="M153" t="n">
        <v>0</v>
      </c>
      <c r="N153" t="n">
        <v>0</v>
      </c>
      <c r="O153" t="n">
        <v>2</v>
      </c>
      <c r="P153" t="n">
        <v>0</v>
      </c>
      <c r="Q153" t="n">
        <v>2</v>
      </c>
      <c r="R153" s="2" t="inlineStr">
        <is>
          <t>Garnlav
Tretåig hackspett</t>
        </is>
      </c>
      <c r="S153">
        <f>HYPERLINK("https://klasma.github.io/Logging_2462/artfynd/A 28012-2023 artfynd.xlsx", "A 28012-2023")</f>
        <v/>
      </c>
      <c r="T153">
        <f>HYPERLINK("https://klasma.github.io/Logging_2462/kartor/A 28012-2023 karta.png", "A 28012-2023")</f>
        <v/>
      </c>
      <c r="V153">
        <f>HYPERLINK("https://klasma.github.io/Logging_2462/klagomål/A 28012-2023 FSC-klagomål.docx", "A 28012-2023")</f>
        <v/>
      </c>
      <c r="W153">
        <f>HYPERLINK("https://klasma.github.io/Logging_2462/klagomålsmail/A 28012-2023 FSC-klagomål mail.docx", "A 28012-2023")</f>
        <v/>
      </c>
      <c r="X153">
        <f>HYPERLINK("https://klasma.github.io/Logging_2462/tillsyn/A 28012-2023 tillsynsbegäran.docx", "A 28012-2023")</f>
        <v/>
      </c>
      <c r="Y153">
        <f>HYPERLINK("https://klasma.github.io/Logging_2462/tillsynsmail/A 28012-2023 tillsynsbegäran mail.docx", "A 28012-2023")</f>
        <v/>
      </c>
      <c r="Z153">
        <f>HYPERLINK("https://klasma.github.io/Logging_2462/fåglar/A 28012-2023 prioriterade fågelarter.docx", "A 28012-2023")</f>
        <v/>
      </c>
    </row>
    <row r="154" ht="15" customHeight="1">
      <c r="A154" t="inlineStr">
        <is>
          <t>A 30717-2023</t>
        </is>
      </c>
      <c r="B154" s="1" t="n">
        <v>45112</v>
      </c>
      <c r="C154" s="1" t="n">
        <v>45628</v>
      </c>
      <c r="D154" t="inlineStr">
        <is>
          <t>VÄSTERBOTTENS LÄN</t>
        </is>
      </c>
      <c r="E154" t="inlineStr">
        <is>
          <t>VILHELMINA</t>
        </is>
      </c>
      <c r="G154" t="n">
        <v>22.7</v>
      </c>
      <c r="H154" t="n">
        <v>0</v>
      </c>
      <c r="I154" t="n">
        <v>0</v>
      </c>
      <c r="J154" t="n">
        <v>2</v>
      </c>
      <c r="K154" t="n">
        <v>0</v>
      </c>
      <c r="L154" t="n">
        <v>0</v>
      </c>
      <c r="M154" t="n">
        <v>0</v>
      </c>
      <c r="N154" t="n">
        <v>0</v>
      </c>
      <c r="O154" t="n">
        <v>2</v>
      </c>
      <c r="P154" t="n">
        <v>0</v>
      </c>
      <c r="Q154" t="n">
        <v>2</v>
      </c>
      <c r="R154" s="2" t="inlineStr">
        <is>
          <t>Garnlav
Ullticka</t>
        </is>
      </c>
      <c r="S154">
        <f>HYPERLINK("https://klasma.github.io/Logging_2462/artfynd/A 30717-2023 artfynd.xlsx", "A 30717-2023")</f>
        <v/>
      </c>
      <c r="T154">
        <f>HYPERLINK("https://klasma.github.io/Logging_2462/kartor/A 30717-2023 karta.png", "A 30717-2023")</f>
        <v/>
      </c>
      <c r="V154">
        <f>HYPERLINK("https://klasma.github.io/Logging_2462/klagomål/A 30717-2023 FSC-klagomål.docx", "A 30717-2023")</f>
        <v/>
      </c>
      <c r="W154">
        <f>HYPERLINK("https://klasma.github.io/Logging_2462/klagomålsmail/A 30717-2023 FSC-klagomål mail.docx", "A 30717-2023")</f>
        <v/>
      </c>
      <c r="X154">
        <f>HYPERLINK("https://klasma.github.io/Logging_2462/tillsyn/A 30717-2023 tillsynsbegäran.docx", "A 30717-2023")</f>
        <v/>
      </c>
      <c r="Y154">
        <f>HYPERLINK("https://klasma.github.io/Logging_2462/tillsynsmail/A 30717-2023 tillsynsbegäran mail.docx", "A 30717-2023")</f>
        <v/>
      </c>
    </row>
    <row r="155" ht="15" customHeight="1">
      <c r="A155" t="inlineStr">
        <is>
          <t>A 34089-2023</t>
        </is>
      </c>
      <c r="B155" s="1" t="n">
        <v>45125</v>
      </c>
      <c r="C155" s="1" t="n">
        <v>45628</v>
      </c>
      <c r="D155" t="inlineStr">
        <is>
          <t>VÄSTERBOTTENS LÄN</t>
        </is>
      </c>
      <c r="E155" t="inlineStr">
        <is>
          <t>VILHELMINA</t>
        </is>
      </c>
      <c r="G155" t="n">
        <v>24.1</v>
      </c>
      <c r="H155" t="n">
        <v>1</v>
      </c>
      <c r="I155" t="n">
        <v>0</v>
      </c>
      <c r="J155" t="n">
        <v>2</v>
      </c>
      <c r="K155" t="n">
        <v>0</v>
      </c>
      <c r="L155" t="n">
        <v>0</v>
      </c>
      <c r="M155" t="n">
        <v>0</v>
      </c>
      <c r="N155" t="n">
        <v>0</v>
      </c>
      <c r="O155" t="n">
        <v>2</v>
      </c>
      <c r="P155" t="n">
        <v>0</v>
      </c>
      <c r="Q155" t="n">
        <v>2</v>
      </c>
      <c r="R155" s="2" t="inlineStr">
        <is>
          <t>Garnlav
Tretåig hackspett</t>
        </is>
      </c>
      <c r="S155">
        <f>HYPERLINK("https://klasma.github.io/Logging_2462/artfynd/A 34089-2023 artfynd.xlsx", "A 34089-2023")</f>
        <v/>
      </c>
      <c r="T155">
        <f>HYPERLINK("https://klasma.github.io/Logging_2462/kartor/A 34089-2023 karta.png", "A 34089-2023")</f>
        <v/>
      </c>
      <c r="V155">
        <f>HYPERLINK("https://klasma.github.io/Logging_2462/klagomål/A 34089-2023 FSC-klagomål.docx", "A 34089-2023")</f>
        <v/>
      </c>
      <c r="W155">
        <f>HYPERLINK("https://klasma.github.io/Logging_2462/klagomålsmail/A 34089-2023 FSC-klagomål mail.docx", "A 34089-2023")</f>
        <v/>
      </c>
      <c r="X155">
        <f>HYPERLINK("https://klasma.github.io/Logging_2462/tillsyn/A 34089-2023 tillsynsbegäran.docx", "A 34089-2023")</f>
        <v/>
      </c>
      <c r="Y155">
        <f>HYPERLINK("https://klasma.github.io/Logging_2462/tillsynsmail/A 34089-2023 tillsynsbegäran mail.docx", "A 34089-2023")</f>
        <v/>
      </c>
      <c r="Z155">
        <f>HYPERLINK("https://klasma.github.io/Logging_2462/fåglar/A 34089-2023 prioriterade fågelarter.docx", "A 34089-2023")</f>
        <v/>
      </c>
    </row>
    <row r="156" ht="15" customHeight="1">
      <c r="A156" t="inlineStr">
        <is>
          <t>A 64030-2023</t>
        </is>
      </c>
      <c r="B156" s="1" t="n">
        <v>45278</v>
      </c>
      <c r="C156" s="1" t="n">
        <v>45628</v>
      </c>
      <c r="D156" t="inlineStr">
        <is>
          <t>VÄSTERBOTTENS LÄN</t>
        </is>
      </c>
      <c r="E156" t="inlineStr">
        <is>
          <t>VILHELMINA</t>
        </is>
      </c>
      <c r="F156" t="inlineStr">
        <is>
          <t>SCA</t>
        </is>
      </c>
      <c r="G156" t="n">
        <v>1.7</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HYPERLINK("https://klasma.github.io/Logging_2462/artfynd/A 64030-2023 artfynd.xlsx", "A 64030-2023")</f>
        <v/>
      </c>
      <c r="T156">
        <f>HYPERLINK("https://klasma.github.io/Logging_2462/kartor/A 64030-2023 karta.png", "A 64030-2023")</f>
        <v/>
      </c>
      <c r="V156">
        <f>HYPERLINK("https://klasma.github.io/Logging_2462/klagomål/A 64030-2023 FSC-klagomål.docx", "A 64030-2023")</f>
        <v/>
      </c>
      <c r="W156">
        <f>HYPERLINK("https://klasma.github.io/Logging_2462/klagomålsmail/A 64030-2023 FSC-klagomål mail.docx", "A 64030-2023")</f>
        <v/>
      </c>
      <c r="X156">
        <f>HYPERLINK("https://klasma.github.io/Logging_2462/tillsyn/A 64030-2023 tillsynsbegäran.docx", "A 64030-2023")</f>
        <v/>
      </c>
      <c r="Y156">
        <f>HYPERLINK("https://klasma.github.io/Logging_2462/tillsynsmail/A 64030-2023 tillsynsbegäran mail.docx", "A 64030-2023")</f>
        <v/>
      </c>
      <c r="Z156">
        <f>HYPERLINK("https://klasma.github.io/Logging_2462/fåglar/A 64030-2023 prioriterade fågelarter.docx", "A 64030-2023")</f>
        <v/>
      </c>
    </row>
    <row r="157" ht="15" customHeight="1">
      <c r="A157" t="inlineStr">
        <is>
          <t>A 14020-2024</t>
        </is>
      </c>
      <c r="B157" s="1" t="n">
        <v>45392</v>
      </c>
      <c r="C157" s="1" t="n">
        <v>45628</v>
      </c>
      <c r="D157" t="inlineStr">
        <is>
          <t>VÄSTERBOTTENS LÄN</t>
        </is>
      </c>
      <c r="E157" t="inlineStr">
        <is>
          <t>VILHELMINA</t>
        </is>
      </c>
      <c r="G157" t="n">
        <v>7.3</v>
      </c>
      <c r="H157" t="n">
        <v>0</v>
      </c>
      <c r="I157" t="n">
        <v>0</v>
      </c>
      <c r="J157" t="n">
        <v>2</v>
      </c>
      <c r="K157" t="n">
        <v>0</v>
      </c>
      <c r="L157" t="n">
        <v>0</v>
      </c>
      <c r="M157" t="n">
        <v>0</v>
      </c>
      <c r="N157" t="n">
        <v>0</v>
      </c>
      <c r="O157" t="n">
        <v>2</v>
      </c>
      <c r="P157" t="n">
        <v>0</v>
      </c>
      <c r="Q157" t="n">
        <v>2</v>
      </c>
      <c r="R157" s="2" t="inlineStr">
        <is>
          <t>Doftskinn
Garnlav</t>
        </is>
      </c>
      <c r="S157">
        <f>HYPERLINK("https://klasma.github.io/Logging_2462/artfynd/A 14020-2024 artfynd.xlsx", "A 14020-2024")</f>
        <v/>
      </c>
      <c r="T157">
        <f>HYPERLINK("https://klasma.github.io/Logging_2462/kartor/A 14020-2024 karta.png", "A 14020-2024")</f>
        <v/>
      </c>
      <c r="V157">
        <f>HYPERLINK("https://klasma.github.io/Logging_2462/klagomål/A 14020-2024 FSC-klagomål.docx", "A 14020-2024")</f>
        <v/>
      </c>
      <c r="W157">
        <f>HYPERLINK("https://klasma.github.io/Logging_2462/klagomålsmail/A 14020-2024 FSC-klagomål mail.docx", "A 14020-2024")</f>
        <v/>
      </c>
      <c r="X157">
        <f>HYPERLINK("https://klasma.github.io/Logging_2462/tillsyn/A 14020-2024 tillsynsbegäran.docx", "A 14020-2024")</f>
        <v/>
      </c>
      <c r="Y157">
        <f>HYPERLINK("https://klasma.github.io/Logging_2462/tillsynsmail/A 14020-2024 tillsynsbegäran mail.docx", "A 14020-2024")</f>
        <v/>
      </c>
    </row>
    <row r="158" ht="15" customHeight="1">
      <c r="A158" t="inlineStr">
        <is>
          <t>A 29072-2024</t>
        </is>
      </c>
      <c r="B158" s="1" t="n">
        <v>45481</v>
      </c>
      <c r="C158" s="1" t="n">
        <v>45628</v>
      </c>
      <c r="D158" t="inlineStr">
        <is>
          <t>VÄSTERBOTTENS LÄN</t>
        </is>
      </c>
      <c r="E158" t="inlineStr">
        <is>
          <t>VILHELMINA</t>
        </is>
      </c>
      <c r="G158" t="n">
        <v>17.2</v>
      </c>
      <c r="H158" t="n">
        <v>0</v>
      </c>
      <c r="I158" t="n">
        <v>0</v>
      </c>
      <c r="J158" t="n">
        <v>1</v>
      </c>
      <c r="K158" t="n">
        <v>1</v>
      </c>
      <c r="L158" t="n">
        <v>0</v>
      </c>
      <c r="M158" t="n">
        <v>0</v>
      </c>
      <c r="N158" t="n">
        <v>0</v>
      </c>
      <c r="O158" t="n">
        <v>2</v>
      </c>
      <c r="P158" t="n">
        <v>1</v>
      </c>
      <c r="Q158" t="n">
        <v>2</v>
      </c>
      <c r="R158" s="2" t="inlineStr">
        <is>
          <t>Rynkskinn
Harticka</t>
        </is>
      </c>
      <c r="S158">
        <f>HYPERLINK("https://klasma.github.io/Logging_2462/artfynd/A 29072-2024 artfynd.xlsx", "A 29072-2024")</f>
        <v/>
      </c>
      <c r="T158">
        <f>HYPERLINK("https://klasma.github.io/Logging_2462/kartor/A 29072-2024 karta.png", "A 29072-2024")</f>
        <v/>
      </c>
      <c r="V158">
        <f>HYPERLINK("https://klasma.github.io/Logging_2462/klagomål/A 29072-2024 FSC-klagomål.docx", "A 29072-2024")</f>
        <v/>
      </c>
      <c r="W158">
        <f>HYPERLINK("https://klasma.github.io/Logging_2462/klagomålsmail/A 29072-2024 FSC-klagomål mail.docx", "A 29072-2024")</f>
        <v/>
      </c>
      <c r="X158">
        <f>HYPERLINK("https://klasma.github.io/Logging_2462/tillsyn/A 29072-2024 tillsynsbegäran.docx", "A 29072-2024")</f>
        <v/>
      </c>
      <c r="Y158">
        <f>HYPERLINK("https://klasma.github.io/Logging_2462/tillsynsmail/A 29072-2024 tillsynsbegäran mail.docx", "A 29072-2024")</f>
        <v/>
      </c>
    </row>
    <row r="159" ht="15" customHeight="1">
      <c r="A159" t="inlineStr">
        <is>
          <t>A 30345-2024</t>
        </is>
      </c>
      <c r="B159" s="1" t="n">
        <v>45491</v>
      </c>
      <c r="C159" s="1" t="n">
        <v>45628</v>
      </c>
      <c r="D159" t="inlineStr">
        <is>
          <t>VÄSTERBOTTENS LÄN</t>
        </is>
      </c>
      <c r="E159" t="inlineStr">
        <is>
          <t>VILHELMINA</t>
        </is>
      </c>
      <c r="F159" t="inlineStr">
        <is>
          <t>SCA</t>
        </is>
      </c>
      <c r="G159" t="n">
        <v>4.1</v>
      </c>
      <c r="H159" t="n">
        <v>1</v>
      </c>
      <c r="I159" t="n">
        <v>1</v>
      </c>
      <c r="J159" t="n">
        <v>1</v>
      </c>
      <c r="K159" t="n">
        <v>0</v>
      </c>
      <c r="L159" t="n">
        <v>0</v>
      </c>
      <c r="M159" t="n">
        <v>0</v>
      </c>
      <c r="N159" t="n">
        <v>0</v>
      </c>
      <c r="O159" t="n">
        <v>1</v>
      </c>
      <c r="P159" t="n">
        <v>0</v>
      </c>
      <c r="Q159" t="n">
        <v>2</v>
      </c>
      <c r="R159" s="2" t="inlineStr">
        <is>
          <t>Tretåig hackspett
Stuplav</t>
        </is>
      </c>
      <c r="S159">
        <f>HYPERLINK("https://klasma.github.io/Logging_2462/artfynd/A 30345-2024 artfynd.xlsx", "A 30345-2024")</f>
        <v/>
      </c>
      <c r="T159">
        <f>HYPERLINK("https://klasma.github.io/Logging_2462/kartor/A 30345-2024 karta.png", "A 30345-2024")</f>
        <v/>
      </c>
      <c r="V159">
        <f>HYPERLINK("https://klasma.github.io/Logging_2462/klagomål/A 30345-2024 FSC-klagomål.docx", "A 30345-2024")</f>
        <v/>
      </c>
      <c r="W159">
        <f>HYPERLINK("https://klasma.github.io/Logging_2462/klagomålsmail/A 30345-2024 FSC-klagomål mail.docx", "A 30345-2024")</f>
        <v/>
      </c>
      <c r="X159">
        <f>HYPERLINK("https://klasma.github.io/Logging_2462/tillsyn/A 30345-2024 tillsynsbegäran.docx", "A 30345-2024")</f>
        <v/>
      </c>
      <c r="Y159">
        <f>HYPERLINK("https://klasma.github.io/Logging_2462/tillsynsmail/A 30345-2024 tillsynsbegäran mail.docx", "A 30345-2024")</f>
        <v/>
      </c>
      <c r="Z159">
        <f>HYPERLINK("https://klasma.github.io/Logging_2462/fåglar/A 30345-2024 prioriterade fågelarter.docx", "A 30345-2024")</f>
        <v/>
      </c>
    </row>
    <row r="160" ht="15" customHeight="1">
      <c r="A160" t="inlineStr">
        <is>
          <t>A 32705-2024</t>
        </is>
      </c>
      <c r="B160" s="1" t="n">
        <v>45516</v>
      </c>
      <c r="C160" s="1" t="n">
        <v>45628</v>
      </c>
      <c r="D160" t="inlineStr">
        <is>
          <t>VÄSTERBOTTENS LÄN</t>
        </is>
      </c>
      <c r="E160" t="inlineStr">
        <is>
          <t>VILHELMINA</t>
        </is>
      </c>
      <c r="G160" t="n">
        <v>10.8</v>
      </c>
      <c r="H160" t="n">
        <v>1</v>
      </c>
      <c r="I160" t="n">
        <v>0</v>
      </c>
      <c r="J160" t="n">
        <v>2</v>
      </c>
      <c r="K160" t="n">
        <v>0</v>
      </c>
      <c r="L160" t="n">
        <v>0</v>
      </c>
      <c r="M160" t="n">
        <v>0</v>
      </c>
      <c r="N160" t="n">
        <v>0</v>
      </c>
      <c r="O160" t="n">
        <v>2</v>
      </c>
      <c r="P160" t="n">
        <v>0</v>
      </c>
      <c r="Q160" t="n">
        <v>2</v>
      </c>
      <c r="R160" s="2" t="inlineStr">
        <is>
          <t>Garnlav
Tretåig hackspett</t>
        </is>
      </c>
      <c r="S160">
        <f>HYPERLINK("https://klasma.github.io/Logging_2462/artfynd/A 32705-2024 artfynd.xlsx", "A 32705-2024")</f>
        <v/>
      </c>
      <c r="T160">
        <f>HYPERLINK("https://klasma.github.io/Logging_2462/kartor/A 32705-2024 karta.png", "A 32705-2024")</f>
        <v/>
      </c>
      <c r="V160">
        <f>HYPERLINK("https://klasma.github.io/Logging_2462/klagomål/A 32705-2024 FSC-klagomål.docx", "A 32705-2024")</f>
        <v/>
      </c>
      <c r="W160">
        <f>HYPERLINK("https://klasma.github.io/Logging_2462/klagomålsmail/A 32705-2024 FSC-klagomål mail.docx", "A 32705-2024")</f>
        <v/>
      </c>
      <c r="X160">
        <f>HYPERLINK("https://klasma.github.io/Logging_2462/tillsyn/A 32705-2024 tillsynsbegäran.docx", "A 32705-2024")</f>
        <v/>
      </c>
      <c r="Y160">
        <f>HYPERLINK("https://klasma.github.io/Logging_2462/tillsynsmail/A 32705-2024 tillsynsbegäran mail.docx", "A 32705-2024")</f>
        <v/>
      </c>
      <c r="Z160">
        <f>HYPERLINK("https://klasma.github.io/Logging_2462/fåglar/A 32705-2024 prioriterade fågelarter.docx", "A 32705-2024")</f>
        <v/>
      </c>
    </row>
    <row r="161" ht="15" customHeight="1">
      <c r="A161" t="inlineStr">
        <is>
          <t>A 37513-2024</t>
        </is>
      </c>
      <c r="B161" s="1" t="n">
        <v>45541</v>
      </c>
      <c r="C161" s="1" t="n">
        <v>45628</v>
      </c>
      <c r="D161" t="inlineStr">
        <is>
          <t>VÄSTERBOTTENS LÄN</t>
        </is>
      </c>
      <c r="E161" t="inlineStr">
        <is>
          <t>VILHELMINA</t>
        </is>
      </c>
      <c r="F161" t="inlineStr">
        <is>
          <t>SCA</t>
        </is>
      </c>
      <c r="G161" t="n">
        <v>3.4</v>
      </c>
      <c r="H161" t="n">
        <v>0</v>
      </c>
      <c r="I161" t="n">
        <v>0</v>
      </c>
      <c r="J161" t="n">
        <v>2</v>
      </c>
      <c r="K161" t="n">
        <v>0</v>
      </c>
      <c r="L161" t="n">
        <v>0</v>
      </c>
      <c r="M161" t="n">
        <v>0</v>
      </c>
      <c r="N161" t="n">
        <v>0</v>
      </c>
      <c r="O161" t="n">
        <v>2</v>
      </c>
      <c r="P161" t="n">
        <v>0</v>
      </c>
      <c r="Q161" t="n">
        <v>2</v>
      </c>
      <c r="R161" s="2" t="inlineStr">
        <is>
          <t>Rosenticka
Ullticka</t>
        </is>
      </c>
      <c r="S161">
        <f>HYPERLINK("https://klasma.github.io/Logging_2462/artfynd/A 37513-2024 artfynd.xlsx", "A 37513-2024")</f>
        <v/>
      </c>
      <c r="T161">
        <f>HYPERLINK("https://klasma.github.io/Logging_2462/kartor/A 37513-2024 karta.png", "A 37513-2024")</f>
        <v/>
      </c>
      <c r="V161">
        <f>HYPERLINK("https://klasma.github.io/Logging_2462/klagomål/A 37513-2024 FSC-klagomål.docx", "A 37513-2024")</f>
        <v/>
      </c>
      <c r="W161">
        <f>HYPERLINK("https://klasma.github.io/Logging_2462/klagomålsmail/A 37513-2024 FSC-klagomål mail.docx", "A 37513-2024")</f>
        <v/>
      </c>
      <c r="X161">
        <f>HYPERLINK("https://klasma.github.io/Logging_2462/tillsyn/A 37513-2024 tillsynsbegäran.docx", "A 37513-2024")</f>
        <v/>
      </c>
      <c r="Y161">
        <f>HYPERLINK("https://klasma.github.io/Logging_2462/tillsynsmail/A 37513-2024 tillsynsbegäran mail.docx", "A 37513-2024")</f>
        <v/>
      </c>
    </row>
    <row r="162" ht="15" customHeight="1">
      <c r="A162" t="inlineStr">
        <is>
          <t>A 38207-2024</t>
        </is>
      </c>
      <c r="B162" s="1" t="n">
        <v>45545</v>
      </c>
      <c r="C162" s="1" t="n">
        <v>45628</v>
      </c>
      <c r="D162" t="inlineStr">
        <is>
          <t>VÄSTERBOTTENS LÄN</t>
        </is>
      </c>
      <c r="E162" t="inlineStr">
        <is>
          <t>VILHELMINA</t>
        </is>
      </c>
      <c r="F162" t="inlineStr">
        <is>
          <t>Sveaskog</t>
        </is>
      </c>
      <c r="G162" t="n">
        <v>4</v>
      </c>
      <c r="H162" t="n">
        <v>0</v>
      </c>
      <c r="I162" t="n">
        <v>0</v>
      </c>
      <c r="J162" t="n">
        <v>2</v>
      </c>
      <c r="K162" t="n">
        <v>0</v>
      </c>
      <c r="L162" t="n">
        <v>0</v>
      </c>
      <c r="M162" t="n">
        <v>0</v>
      </c>
      <c r="N162" t="n">
        <v>0</v>
      </c>
      <c r="O162" t="n">
        <v>2</v>
      </c>
      <c r="P162" t="n">
        <v>0</v>
      </c>
      <c r="Q162" t="n">
        <v>2</v>
      </c>
      <c r="R162" s="2" t="inlineStr">
        <is>
          <t>Garnlav
Gränsticka</t>
        </is>
      </c>
      <c r="S162">
        <f>HYPERLINK("https://klasma.github.io/Logging_2462/artfynd/A 38207-2024 artfynd.xlsx", "A 38207-2024")</f>
        <v/>
      </c>
      <c r="T162">
        <f>HYPERLINK("https://klasma.github.io/Logging_2462/kartor/A 38207-2024 karta.png", "A 38207-2024")</f>
        <v/>
      </c>
      <c r="V162">
        <f>HYPERLINK("https://klasma.github.io/Logging_2462/klagomål/A 38207-2024 FSC-klagomål.docx", "A 38207-2024")</f>
        <v/>
      </c>
      <c r="W162">
        <f>HYPERLINK("https://klasma.github.io/Logging_2462/klagomålsmail/A 38207-2024 FSC-klagomål mail.docx", "A 38207-2024")</f>
        <v/>
      </c>
      <c r="X162">
        <f>HYPERLINK("https://klasma.github.io/Logging_2462/tillsyn/A 38207-2024 tillsynsbegäran.docx", "A 38207-2024")</f>
        <v/>
      </c>
      <c r="Y162">
        <f>HYPERLINK("https://klasma.github.io/Logging_2462/tillsynsmail/A 38207-2024 tillsynsbegäran mail.docx", "A 38207-2024")</f>
        <v/>
      </c>
    </row>
    <row r="163" ht="15" customHeight="1">
      <c r="A163" t="inlineStr">
        <is>
          <t>A 40718-2024</t>
        </is>
      </c>
      <c r="B163" s="1" t="n">
        <v>45558</v>
      </c>
      <c r="C163" s="1" t="n">
        <v>45628</v>
      </c>
      <c r="D163" t="inlineStr">
        <is>
          <t>VÄSTERBOTTENS LÄN</t>
        </is>
      </c>
      <c r="E163" t="inlineStr">
        <is>
          <t>VILHELMINA</t>
        </is>
      </c>
      <c r="F163" t="inlineStr">
        <is>
          <t>Allmännings- och besparingsskogar</t>
        </is>
      </c>
      <c r="G163" t="n">
        <v>2.8</v>
      </c>
      <c r="H163" t="n">
        <v>1</v>
      </c>
      <c r="I163" t="n">
        <v>0</v>
      </c>
      <c r="J163" t="n">
        <v>2</v>
      </c>
      <c r="K163" t="n">
        <v>0</v>
      </c>
      <c r="L163" t="n">
        <v>0</v>
      </c>
      <c r="M163" t="n">
        <v>0</v>
      </c>
      <c r="N163" t="n">
        <v>0</v>
      </c>
      <c r="O163" t="n">
        <v>2</v>
      </c>
      <c r="P163" t="n">
        <v>0</v>
      </c>
      <c r="Q163" t="n">
        <v>2</v>
      </c>
      <c r="R163" s="2" t="inlineStr">
        <is>
          <t>Garnlav
Järpe</t>
        </is>
      </c>
      <c r="S163">
        <f>HYPERLINK("https://klasma.github.io/Logging_2462/artfynd/A 40718-2024 artfynd.xlsx", "A 40718-2024")</f>
        <v/>
      </c>
      <c r="T163">
        <f>HYPERLINK("https://klasma.github.io/Logging_2462/kartor/A 40718-2024 karta.png", "A 40718-2024")</f>
        <v/>
      </c>
      <c r="V163">
        <f>HYPERLINK("https://klasma.github.io/Logging_2462/klagomål/A 40718-2024 FSC-klagomål.docx", "A 40718-2024")</f>
        <v/>
      </c>
      <c r="W163">
        <f>HYPERLINK("https://klasma.github.io/Logging_2462/klagomålsmail/A 40718-2024 FSC-klagomål mail.docx", "A 40718-2024")</f>
        <v/>
      </c>
      <c r="X163">
        <f>HYPERLINK("https://klasma.github.io/Logging_2462/tillsyn/A 40718-2024 tillsynsbegäran.docx", "A 40718-2024")</f>
        <v/>
      </c>
      <c r="Y163">
        <f>HYPERLINK("https://klasma.github.io/Logging_2462/tillsynsmail/A 40718-2024 tillsynsbegäran mail.docx", "A 40718-2024")</f>
        <v/>
      </c>
      <c r="Z163">
        <f>HYPERLINK("https://klasma.github.io/Logging_2462/fåglar/A 40718-2024 prioriterade fågelarter.docx", "A 40718-2024")</f>
        <v/>
      </c>
    </row>
    <row r="164" ht="15" customHeight="1">
      <c r="A164" t="inlineStr">
        <is>
          <t>A 41645-2024</t>
        </is>
      </c>
      <c r="B164" s="1" t="n">
        <v>45560</v>
      </c>
      <c r="C164" s="1" t="n">
        <v>45628</v>
      </c>
      <c r="D164" t="inlineStr">
        <is>
          <t>VÄSTERBOTTENS LÄN</t>
        </is>
      </c>
      <c r="E164" t="inlineStr">
        <is>
          <t>VILHELMINA</t>
        </is>
      </c>
      <c r="F164" t="inlineStr">
        <is>
          <t>SCA</t>
        </is>
      </c>
      <c r="G164" t="n">
        <v>10.4</v>
      </c>
      <c r="H164" t="n">
        <v>1</v>
      </c>
      <c r="I164" t="n">
        <v>1</v>
      </c>
      <c r="J164" t="n">
        <v>1</v>
      </c>
      <c r="K164" t="n">
        <v>0</v>
      </c>
      <c r="L164" t="n">
        <v>0</v>
      </c>
      <c r="M164" t="n">
        <v>0</v>
      </c>
      <c r="N164" t="n">
        <v>0</v>
      </c>
      <c r="O164" t="n">
        <v>1</v>
      </c>
      <c r="P164" t="n">
        <v>0</v>
      </c>
      <c r="Q164" t="n">
        <v>2</v>
      </c>
      <c r="R164" s="2" t="inlineStr">
        <is>
          <t>Gammelgransskål
Lappranunkel</t>
        </is>
      </c>
      <c r="S164">
        <f>HYPERLINK("https://klasma.github.io/Logging_2462/artfynd/A 41645-2024 artfynd.xlsx", "A 41645-2024")</f>
        <v/>
      </c>
      <c r="T164">
        <f>HYPERLINK("https://klasma.github.io/Logging_2462/kartor/A 41645-2024 karta.png", "A 41645-2024")</f>
        <v/>
      </c>
      <c r="V164">
        <f>HYPERLINK("https://klasma.github.io/Logging_2462/klagomål/A 41645-2024 FSC-klagomål.docx", "A 41645-2024")</f>
        <v/>
      </c>
      <c r="W164">
        <f>HYPERLINK("https://klasma.github.io/Logging_2462/klagomålsmail/A 41645-2024 FSC-klagomål mail.docx", "A 41645-2024")</f>
        <v/>
      </c>
      <c r="X164">
        <f>HYPERLINK("https://klasma.github.io/Logging_2462/tillsyn/A 41645-2024 tillsynsbegäran.docx", "A 41645-2024")</f>
        <v/>
      </c>
      <c r="Y164">
        <f>HYPERLINK("https://klasma.github.io/Logging_2462/tillsynsmail/A 41645-2024 tillsynsbegäran mail.docx", "A 41645-2024")</f>
        <v/>
      </c>
    </row>
    <row r="165" ht="15" customHeight="1">
      <c r="A165" t="inlineStr">
        <is>
          <t>A 46391-2024</t>
        </is>
      </c>
      <c r="B165" s="1" t="n">
        <v>45582</v>
      </c>
      <c r="C165" s="1" t="n">
        <v>45628</v>
      </c>
      <c r="D165" t="inlineStr">
        <is>
          <t>VÄSTERBOTTENS LÄN</t>
        </is>
      </c>
      <c r="E165" t="inlineStr">
        <is>
          <t>VILHELMINA</t>
        </is>
      </c>
      <c r="F165" t="inlineStr">
        <is>
          <t>SCA</t>
        </is>
      </c>
      <c r="G165" t="n">
        <v>23.4</v>
      </c>
      <c r="H165" t="n">
        <v>0</v>
      </c>
      <c r="I165" t="n">
        <v>0</v>
      </c>
      <c r="J165" t="n">
        <v>2</v>
      </c>
      <c r="K165" t="n">
        <v>0</v>
      </c>
      <c r="L165" t="n">
        <v>0</v>
      </c>
      <c r="M165" t="n">
        <v>0</v>
      </c>
      <c r="N165" t="n">
        <v>0</v>
      </c>
      <c r="O165" t="n">
        <v>2</v>
      </c>
      <c r="P165" t="n">
        <v>0</v>
      </c>
      <c r="Q165" t="n">
        <v>2</v>
      </c>
      <c r="R165" s="2" t="inlineStr">
        <is>
          <t>Granticka
Gränsticka</t>
        </is>
      </c>
      <c r="S165">
        <f>HYPERLINK("https://klasma.github.io/Logging_2462/artfynd/A 46391-2024 artfynd.xlsx", "A 46391-2024")</f>
        <v/>
      </c>
      <c r="T165">
        <f>HYPERLINK("https://klasma.github.io/Logging_2462/kartor/A 46391-2024 karta.png", "A 46391-2024")</f>
        <v/>
      </c>
      <c r="V165">
        <f>HYPERLINK("https://klasma.github.io/Logging_2462/klagomål/A 46391-2024 FSC-klagomål.docx", "A 46391-2024")</f>
        <v/>
      </c>
      <c r="W165">
        <f>HYPERLINK("https://klasma.github.io/Logging_2462/klagomålsmail/A 46391-2024 FSC-klagomål mail.docx", "A 46391-2024")</f>
        <v/>
      </c>
      <c r="X165">
        <f>HYPERLINK("https://klasma.github.io/Logging_2462/tillsyn/A 46391-2024 tillsynsbegäran.docx", "A 46391-2024")</f>
        <v/>
      </c>
      <c r="Y165">
        <f>HYPERLINK("https://klasma.github.io/Logging_2462/tillsynsmail/A 46391-2024 tillsynsbegäran mail.docx", "A 46391-2024")</f>
        <v/>
      </c>
    </row>
    <row r="166" ht="15" customHeight="1">
      <c r="A166" t="inlineStr">
        <is>
          <t>A 54779-2024</t>
        </is>
      </c>
      <c r="B166" s="1" t="n">
        <v>45618</v>
      </c>
      <c r="C166" s="1" t="n">
        <v>45628</v>
      </c>
      <c r="D166" t="inlineStr">
        <is>
          <t>VÄSTERBOTTENS LÄN</t>
        </is>
      </c>
      <c r="E166" t="inlineStr">
        <is>
          <t>VILHELMINA</t>
        </is>
      </c>
      <c r="F166" t="inlineStr">
        <is>
          <t>SCA</t>
        </is>
      </c>
      <c r="G166" t="n">
        <v>10.3</v>
      </c>
      <c r="H166" t="n">
        <v>0</v>
      </c>
      <c r="I166" t="n">
        <v>0</v>
      </c>
      <c r="J166" t="n">
        <v>2</v>
      </c>
      <c r="K166" t="n">
        <v>0</v>
      </c>
      <c r="L166" t="n">
        <v>0</v>
      </c>
      <c r="M166" t="n">
        <v>0</v>
      </c>
      <c r="N166" t="n">
        <v>0</v>
      </c>
      <c r="O166" t="n">
        <v>2</v>
      </c>
      <c r="P166" t="n">
        <v>0</v>
      </c>
      <c r="Q166" t="n">
        <v>2</v>
      </c>
      <c r="R166" s="2" t="inlineStr">
        <is>
          <t>Gammelgransskål
Harticka</t>
        </is>
      </c>
      <c r="S166">
        <f>HYPERLINK("https://klasma.github.io/Logging_2462/artfynd/A 54779-2024 artfynd.xlsx", "A 54779-2024")</f>
        <v/>
      </c>
      <c r="T166">
        <f>HYPERLINK("https://klasma.github.io/Logging_2462/kartor/A 54779-2024 karta.png", "A 54779-2024")</f>
        <v/>
      </c>
      <c r="V166">
        <f>HYPERLINK("https://klasma.github.io/Logging_2462/klagomål/A 54779-2024 FSC-klagomål.docx", "A 54779-2024")</f>
        <v/>
      </c>
      <c r="W166">
        <f>HYPERLINK("https://klasma.github.io/Logging_2462/klagomålsmail/A 54779-2024 FSC-klagomål mail.docx", "A 54779-2024")</f>
        <v/>
      </c>
      <c r="X166">
        <f>HYPERLINK("https://klasma.github.io/Logging_2462/tillsyn/A 54779-2024 tillsynsbegäran.docx", "A 54779-2024")</f>
        <v/>
      </c>
      <c r="Y166">
        <f>HYPERLINK("https://klasma.github.io/Logging_2462/tillsynsmail/A 54779-2024 tillsynsbegäran mail.docx", "A 54779-2024")</f>
        <v/>
      </c>
    </row>
    <row r="167" ht="15" customHeight="1">
      <c r="A167" t="inlineStr">
        <is>
          <t>A 51774-2019</t>
        </is>
      </c>
      <c r="B167" s="1" t="n">
        <v>43741</v>
      </c>
      <c r="C167" s="1" t="n">
        <v>45628</v>
      </c>
      <c r="D167" t="inlineStr">
        <is>
          <t>VÄSTERBOTTENS LÄN</t>
        </is>
      </c>
      <c r="E167" t="inlineStr">
        <is>
          <t>VILHELMINA</t>
        </is>
      </c>
      <c r="F167" t="inlineStr">
        <is>
          <t>Allmännings- och besparingsskogar</t>
        </is>
      </c>
      <c r="G167" t="n">
        <v>19.9</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51774-2019 artfynd.xlsx", "A 51774-2019")</f>
        <v/>
      </c>
      <c r="T167">
        <f>HYPERLINK("https://klasma.github.io/Logging_2462/kartor/A 51774-2019 karta.png", "A 51774-2019")</f>
        <v/>
      </c>
      <c r="V167">
        <f>HYPERLINK("https://klasma.github.io/Logging_2462/klagomål/A 51774-2019 FSC-klagomål.docx", "A 51774-2019")</f>
        <v/>
      </c>
      <c r="W167">
        <f>HYPERLINK("https://klasma.github.io/Logging_2462/klagomålsmail/A 51774-2019 FSC-klagomål mail.docx", "A 51774-2019")</f>
        <v/>
      </c>
      <c r="X167">
        <f>HYPERLINK("https://klasma.github.io/Logging_2462/tillsyn/A 51774-2019 tillsynsbegäran.docx", "A 51774-2019")</f>
        <v/>
      </c>
      <c r="Y167">
        <f>HYPERLINK("https://klasma.github.io/Logging_2462/tillsynsmail/A 51774-2019 tillsynsbegäran mail.docx", "A 51774-2019")</f>
        <v/>
      </c>
      <c r="Z167">
        <f>HYPERLINK("https://klasma.github.io/Logging_2462/fåglar/A 51774-2019 prioriterade fågelarter.docx", "A 51774-2019")</f>
        <v/>
      </c>
    </row>
    <row r="168" ht="15" customHeight="1">
      <c r="A168" t="inlineStr">
        <is>
          <t>A 59424-2019</t>
        </is>
      </c>
      <c r="B168" s="1" t="n">
        <v>43775</v>
      </c>
      <c r="C168" s="1" t="n">
        <v>45628</v>
      </c>
      <c r="D168" t="inlineStr">
        <is>
          <t>VÄSTERBOTTENS LÄN</t>
        </is>
      </c>
      <c r="E168" t="inlineStr">
        <is>
          <t>VILHELMINA</t>
        </is>
      </c>
      <c r="G168" t="n">
        <v>17.4</v>
      </c>
      <c r="H168" t="n">
        <v>0</v>
      </c>
      <c r="I168" t="n">
        <v>0</v>
      </c>
      <c r="J168" t="n">
        <v>1</v>
      </c>
      <c r="K168" t="n">
        <v>0</v>
      </c>
      <c r="L168" t="n">
        <v>0</v>
      </c>
      <c r="M168" t="n">
        <v>0</v>
      </c>
      <c r="N168" t="n">
        <v>0</v>
      </c>
      <c r="O168" t="n">
        <v>1</v>
      </c>
      <c r="P168" t="n">
        <v>0</v>
      </c>
      <c r="Q168" t="n">
        <v>1</v>
      </c>
      <c r="R168" s="2" t="inlineStr">
        <is>
          <t>Granticka</t>
        </is>
      </c>
      <c r="S168">
        <f>HYPERLINK("https://klasma.github.io/Logging_2462/artfynd/A 59424-2019 artfynd.xlsx", "A 59424-2019")</f>
        <v/>
      </c>
      <c r="T168">
        <f>HYPERLINK("https://klasma.github.io/Logging_2462/kartor/A 59424-2019 karta.png", "A 59424-2019")</f>
        <v/>
      </c>
      <c r="V168">
        <f>HYPERLINK("https://klasma.github.io/Logging_2462/klagomål/A 59424-2019 FSC-klagomål.docx", "A 59424-2019")</f>
        <v/>
      </c>
      <c r="W168">
        <f>HYPERLINK("https://klasma.github.io/Logging_2462/klagomålsmail/A 59424-2019 FSC-klagomål mail.docx", "A 59424-2019")</f>
        <v/>
      </c>
      <c r="X168">
        <f>HYPERLINK("https://klasma.github.io/Logging_2462/tillsyn/A 59424-2019 tillsynsbegäran.docx", "A 59424-2019")</f>
        <v/>
      </c>
      <c r="Y168">
        <f>HYPERLINK("https://klasma.github.io/Logging_2462/tillsynsmail/A 59424-2019 tillsynsbegäran mail.docx", "A 59424-2019")</f>
        <v/>
      </c>
    </row>
    <row r="169" ht="15" customHeight="1">
      <c r="A169" t="inlineStr">
        <is>
          <t>A 220-2020</t>
        </is>
      </c>
      <c r="B169" s="1" t="n">
        <v>43833</v>
      </c>
      <c r="C169" s="1" t="n">
        <v>45628</v>
      </c>
      <c r="D169" t="inlineStr">
        <is>
          <t>VÄSTERBOTTENS LÄN</t>
        </is>
      </c>
      <c r="E169" t="inlineStr">
        <is>
          <t>VILHELMINA</t>
        </is>
      </c>
      <c r="F169" t="inlineStr">
        <is>
          <t>SCA</t>
        </is>
      </c>
      <c r="G169" t="n">
        <v>3.2</v>
      </c>
      <c r="H169" t="n">
        <v>0</v>
      </c>
      <c r="I169" t="n">
        <v>0</v>
      </c>
      <c r="J169" t="n">
        <v>1</v>
      </c>
      <c r="K169" t="n">
        <v>0</v>
      </c>
      <c r="L169" t="n">
        <v>0</v>
      </c>
      <c r="M169" t="n">
        <v>0</v>
      </c>
      <c r="N169" t="n">
        <v>0</v>
      </c>
      <c r="O169" t="n">
        <v>1</v>
      </c>
      <c r="P169" t="n">
        <v>0</v>
      </c>
      <c r="Q169" t="n">
        <v>1</v>
      </c>
      <c r="R169" s="2" t="inlineStr">
        <is>
          <t>Vedskivlav</t>
        </is>
      </c>
      <c r="S169">
        <f>HYPERLINK("https://klasma.github.io/Logging_2462/artfynd/A 220-2020 artfynd.xlsx", "A 220-2020")</f>
        <v/>
      </c>
      <c r="T169">
        <f>HYPERLINK("https://klasma.github.io/Logging_2462/kartor/A 220-2020 karta.png", "A 220-2020")</f>
        <v/>
      </c>
      <c r="V169">
        <f>HYPERLINK("https://klasma.github.io/Logging_2462/klagomål/A 220-2020 FSC-klagomål.docx", "A 220-2020")</f>
        <v/>
      </c>
      <c r="W169">
        <f>HYPERLINK("https://klasma.github.io/Logging_2462/klagomålsmail/A 220-2020 FSC-klagomål mail.docx", "A 220-2020")</f>
        <v/>
      </c>
      <c r="X169">
        <f>HYPERLINK("https://klasma.github.io/Logging_2462/tillsyn/A 220-2020 tillsynsbegäran.docx", "A 220-2020")</f>
        <v/>
      </c>
      <c r="Y169">
        <f>HYPERLINK("https://klasma.github.io/Logging_2462/tillsynsmail/A 220-2020 tillsynsbegäran mail.docx", "A 220-2020")</f>
        <v/>
      </c>
    </row>
    <row r="170" ht="15" customHeight="1">
      <c r="A170" t="inlineStr">
        <is>
          <t>A 546-2020</t>
        </is>
      </c>
      <c r="B170" s="1" t="n">
        <v>43837</v>
      </c>
      <c r="C170" s="1" t="n">
        <v>45628</v>
      </c>
      <c r="D170" t="inlineStr">
        <is>
          <t>VÄSTERBOTTENS LÄN</t>
        </is>
      </c>
      <c r="E170" t="inlineStr">
        <is>
          <t>VILHELMINA</t>
        </is>
      </c>
      <c r="F170" t="inlineStr">
        <is>
          <t>SCA</t>
        </is>
      </c>
      <c r="G170" t="n">
        <v>3.1</v>
      </c>
      <c r="H170" t="n">
        <v>0</v>
      </c>
      <c r="I170" t="n">
        <v>0</v>
      </c>
      <c r="J170" t="n">
        <v>1</v>
      </c>
      <c r="K170" t="n">
        <v>0</v>
      </c>
      <c r="L170" t="n">
        <v>0</v>
      </c>
      <c r="M170" t="n">
        <v>0</v>
      </c>
      <c r="N170" t="n">
        <v>0</v>
      </c>
      <c r="O170" t="n">
        <v>1</v>
      </c>
      <c r="P170" t="n">
        <v>0</v>
      </c>
      <c r="Q170" t="n">
        <v>1</v>
      </c>
      <c r="R170" s="2" t="inlineStr">
        <is>
          <t>Vedskivlav</t>
        </is>
      </c>
      <c r="S170">
        <f>HYPERLINK("https://klasma.github.io/Logging_2462/artfynd/A 546-2020 artfynd.xlsx", "A 546-2020")</f>
        <v/>
      </c>
      <c r="T170">
        <f>HYPERLINK("https://klasma.github.io/Logging_2462/kartor/A 546-2020 karta.png", "A 546-2020")</f>
        <v/>
      </c>
      <c r="V170">
        <f>HYPERLINK("https://klasma.github.io/Logging_2462/klagomål/A 546-2020 FSC-klagomål.docx", "A 546-2020")</f>
        <v/>
      </c>
      <c r="W170">
        <f>HYPERLINK("https://klasma.github.io/Logging_2462/klagomålsmail/A 546-2020 FSC-klagomål mail.docx", "A 546-2020")</f>
        <v/>
      </c>
      <c r="X170">
        <f>HYPERLINK("https://klasma.github.io/Logging_2462/tillsyn/A 546-2020 tillsynsbegäran.docx", "A 546-2020")</f>
        <v/>
      </c>
      <c r="Y170">
        <f>HYPERLINK("https://klasma.github.io/Logging_2462/tillsynsmail/A 546-2020 tillsynsbegäran mail.docx", "A 546-2020")</f>
        <v/>
      </c>
    </row>
    <row r="171" ht="15" customHeight="1">
      <c r="A171" t="inlineStr">
        <is>
          <t>A 57861-2020</t>
        </is>
      </c>
      <c r="B171" s="1" t="n">
        <v>44141</v>
      </c>
      <c r="C171" s="1" t="n">
        <v>45628</v>
      </c>
      <c r="D171" t="inlineStr">
        <is>
          <t>VÄSTERBOTTENS LÄN</t>
        </is>
      </c>
      <c r="E171" t="inlineStr">
        <is>
          <t>VILHELMINA</t>
        </is>
      </c>
      <c r="F171" t="inlineStr">
        <is>
          <t>Sveaskog</t>
        </is>
      </c>
      <c r="G171" t="n">
        <v>11.9</v>
      </c>
      <c r="H171" t="n">
        <v>0</v>
      </c>
      <c r="I171" t="n">
        <v>0</v>
      </c>
      <c r="J171" t="n">
        <v>0</v>
      </c>
      <c r="K171" t="n">
        <v>1</v>
      </c>
      <c r="L171" t="n">
        <v>0</v>
      </c>
      <c r="M171" t="n">
        <v>0</v>
      </c>
      <c r="N171" t="n">
        <v>0</v>
      </c>
      <c r="O171" t="n">
        <v>1</v>
      </c>
      <c r="P171" t="n">
        <v>1</v>
      </c>
      <c r="Q171" t="n">
        <v>1</v>
      </c>
      <c r="R171" s="2" t="inlineStr">
        <is>
          <t>Fläckporing</t>
        </is>
      </c>
      <c r="S171">
        <f>HYPERLINK("https://klasma.github.io/Logging_2462/artfynd/A 57861-2020 artfynd.xlsx", "A 57861-2020")</f>
        <v/>
      </c>
      <c r="T171">
        <f>HYPERLINK("https://klasma.github.io/Logging_2462/kartor/A 57861-2020 karta.png", "A 57861-2020")</f>
        <v/>
      </c>
      <c r="V171">
        <f>HYPERLINK("https://klasma.github.io/Logging_2462/klagomål/A 57861-2020 FSC-klagomål.docx", "A 57861-2020")</f>
        <v/>
      </c>
      <c r="W171">
        <f>HYPERLINK("https://klasma.github.io/Logging_2462/klagomålsmail/A 57861-2020 FSC-klagomål mail.docx", "A 57861-2020")</f>
        <v/>
      </c>
      <c r="X171">
        <f>HYPERLINK("https://klasma.github.io/Logging_2462/tillsyn/A 57861-2020 tillsynsbegäran.docx", "A 57861-2020")</f>
        <v/>
      </c>
      <c r="Y171">
        <f>HYPERLINK("https://klasma.github.io/Logging_2462/tillsynsmail/A 57861-2020 tillsynsbegäran mail.docx", "A 57861-2020")</f>
        <v/>
      </c>
    </row>
    <row r="172" ht="15" customHeight="1">
      <c r="A172" t="inlineStr">
        <is>
          <t>A 29376-2021</t>
        </is>
      </c>
      <c r="B172" s="1" t="n">
        <v>44361</v>
      </c>
      <c r="C172" s="1" t="n">
        <v>45628</v>
      </c>
      <c r="D172" t="inlineStr">
        <is>
          <t>VÄSTERBOTTENS LÄN</t>
        </is>
      </c>
      <c r="E172" t="inlineStr">
        <is>
          <t>VILHELMINA</t>
        </is>
      </c>
      <c r="F172" t="inlineStr">
        <is>
          <t>Allmännings- och besparingsskogar</t>
        </is>
      </c>
      <c r="G172" t="n">
        <v>110.8</v>
      </c>
      <c r="H172" t="n">
        <v>1</v>
      </c>
      <c r="I172" t="n">
        <v>0</v>
      </c>
      <c r="J172" t="n">
        <v>0</v>
      </c>
      <c r="K172" t="n">
        <v>0</v>
      </c>
      <c r="L172" t="n">
        <v>0</v>
      </c>
      <c r="M172" t="n">
        <v>0</v>
      </c>
      <c r="N172" t="n">
        <v>0</v>
      </c>
      <c r="O172" t="n">
        <v>0</v>
      </c>
      <c r="P172" t="n">
        <v>0</v>
      </c>
      <c r="Q172" t="n">
        <v>1</v>
      </c>
      <c r="R172" s="2" t="inlineStr">
        <is>
          <t>Lavskrika</t>
        </is>
      </c>
      <c r="S172">
        <f>HYPERLINK("https://klasma.github.io/Logging_2462/artfynd/A 29376-2021 artfynd.xlsx", "A 29376-2021")</f>
        <v/>
      </c>
      <c r="T172">
        <f>HYPERLINK("https://klasma.github.io/Logging_2462/kartor/A 29376-2021 karta.png", "A 29376-2021")</f>
        <v/>
      </c>
      <c r="V172">
        <f>HYPERLINK("https://klasma.github.io/Logging_2462/klagomål/A 29376-2021 FSC-klagomål.docx", "A 29376-2021")</f>
        <v/>
      </c>
      <c r="W172">
        <f>HYPERLINK("https://klasma.github.io/Logging_2462/klagomålsmail/A 29376-2021 FSC-klagomål mail.docx", "A 29376-2021")</f>
        <v/>
      </c>
      <c r="X172">
        <f>HYPERLINK("https://klasma.github.io/Logging_2462/tillsyn/A 29376-2021 tillsynsbegäran.docx", "A 29376-2021")</f>
        <v/>
      </c>
      <c r="Y172">
        <f>HYPERLINK("https://klasma.github.io/Logging_2462/tillsynsmail/A 29376-2021 tillsynsbegäran mail.docx", "A 29376-2021")</f>
        <v/>
      </c>
      <c r="Z172">
        <f>HYPERLINK("https://klasma.github.io/Logging_2462/fåglar/A 29376-2021 prioriterade fågelarter.docx", "A 29376-2021")</f>
        <v/>
      </c>
    </row>
    <row r="173" ht="15" customHeight="1">
      <c r="A173" t="inlineStr">
        <is>
          <t>A 32677-2021</t>
        </is>
      </c>
      <c r="B173" s="1" t="n">
        <v>44371</v>
      </c>
      <c r="C173" s="1" t="n">
        <v>45628</v>
      </c>
      <c r="D173" t="inlineStr">
        <is>
          <t>VÄSTERBOTTENS LÄN</t>
        </is>
      </c>
      <c r="E173" t="inlineStr">
        <is>
          <t>VILHELMINA</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32677-2021 artfynd.xlsx", "A 32677-2021")</f>
        <v/>
      </c>
      <c r="T173">
        <f>HYPERLINK("https://klasma.github.io/Logging_2462/kartor/A 32677-2021 karta.png", "A 32677-2021")</f>
        <v/>
      </c>
      <c r="V173">
        <f>HYPERLINK("https://klasma.github.io/Logging_2462/klagomål/A 32677-2021 FSC-klagomål.docx", "A 32677-2021")</f>
        <v/>
      </c>
      <c r="W173">
        <f>HYPERLINK("https://klasma.github.io/Logging_2462/klagomålsmail/A 32677-2021 FSC-klagomål mail.docx", "A 32677-2021")</f>
        <v/>
      </c>
      <c r="X173">
        <f>HYPERLINK("https://klasma.github.io/Logging_2462/tillsyn/A 32677-2021 tillsynsbegäran.docx", "A 32677-2021")</f>
        <v/>
      </c>
      <c r="Y173">
        <f>HYPERLINK("https://klasma.github.io/Logging_2462/tillsynsmail/A 32677-2021 tillsynsbegäran mail.docx", "A 32677-2021")</f>
        <v/>
      </c>
      <c r="Z173">
        <f>HYPERLINK("https://klasma.github.io/Logging_2462/fåglar/A 32677-2021 prioriterade fågelarter.docx", "A 32677-2021")</f>
        <v/>
      </c>
    </row>
    <row r="174" ht="15" customHeight="1">
      <c r="A174" t="inlineStr">
        <is>
          <t>A 55739-2021</t>
        </is>
      </c>
      <c r="B174" s="1" t="n">
        <v>44476</v>
      </c>
      <c r="C174" s="1" t="n">
        <v>45628</v>
      </c>
      <c r="D174" t="inlineStr">
        <is>
          <t>VÄSTERBOTTENS LÄN</t>
        </is>
      </c>
      <c r="E174" t="inlineStr">
        <is>
          <t>VILHELMINA</t>
        </is>
      </c>
      <c r="G174" t="n">
        <v>5.5</v>
      </c>
      <c r="H174" t="n">
        <v>0</v>
      </c>
      <c r="I174" t="n">
        <v>0</v>
      </c>
      <c r="J174" t="n">
        <v>1</v>
      </c>
      <c r="K174" t="n">
        <v>0</v>
      </c>
      <c r="L174" t="n">
        <v>0</v>
      </c>
      <c r="M174" t="n">
        <v>0</v>
      </c>
      <c r="N174" t="n">
        <v>0</v>
      </c>
      <c r="O174" t="n">
        <v>1</v>
      </c>
      <c r="P174" t="n">
        <v>0</v>
      </c>
      <c r="Q174" t="n">
        <v>1</v>
      </c>
      <c r="R174" s="2" t="inlineStr">
        <is>
          <t>Garnlav</t>
        </is>
      </c>
      <c r="S174">
        <f>HYPERLINK("https://klasma.github.io/Logging_2462/artfynd/A 55739-2021 artfynd.xlsx", "A 55739-2021")</f>
        <v/>
      </c>
      <c r="T174">
        <f>HYPERLINK("https://klasma.github.io/Logging_2462/kartor/A 55739-2021 karta.png", "A 55739-2021")</f>
        <v/>
      </c>
      <c r="V174">
        <f>HYPERLINK("https://klasma.github.io/Logging_2462/klagomål/A 55739-2021 FSC-klagomål.docx", "A 55739-2021")</f>
        <v/>
      </c>
      <c r="W174">
        <f>HYPERLINK("https://klasma.github.io/Logging_2462/klagomålsmail/A 55739-2021 FSC-klagomål mail.docx", "A 55739-2021")</f>
        <v/>
      </c>
      <c r="X174">
        <f>HYPERLINK("https://klasma.github.io/Logging_2462/tillsyn/A 55739-2021 tillsynsbegäran.docx", "A 55739-2021")</f>
        <v/>
      </c>
      <c r="Y174">
        <f>HYPERLINK("https://klasma.github.io/Logging_2462/tillsynsmail/A 55739-2021 tillsynsbegäran mail.docx", "A 55739-2021")</f>
        <v/>
      </c>
    </row>
    <row r="175" ht="15" customHeight="1">
      <c r="A175" t="inlineStr">
        <is>
          <t>A 60369-2021</t>
        </is>
      </c>
      <c r="B175" s="1" t="n">
        <v>44494</v>
      </c>
      <c r="C175" s="1" t="n">
        <v>45628</v>
      </c>
      <c r="D175" t="inlineStr">
        <is>
          <t>VÄSTERBOTTENS LÄN</t>
        </is>
      </c>
      <c r="E175" t="inlineStr">
        <is>
          <t>VILHELMINA</t>
        </is>
      </c>
      <c r="G175" t="n">
        <v>0.6</v>
      </c>
      <c r="H175" t="n">
        <v>0</v>
      </c>
      <c r="I175" t="n">
        <v>1</v>
      </c>
      <c r="J175" t="n">
        <v>0</v>
      </c>
      <c r="K175" t="n">
        <v>0</v>
      </c>
      <c r="L175" t="n">
        <v>0</v>
      </c>
      <c r="M175" t="n">
        <v>0</v>
      </c>
      <c r="N175" t="n">
        <v>0</v>
      </c>
      <c r="O175" t="n">
        <v>0</v>
      </c>
      <c r="P175" t="n">
        <v>0</v>
      </c>
      <c r="Q175" t="n">
        <v>1</v>
      </c>
      <c r="R175" s="2" t="inlineStr">
        <is>
          <t>Stuplav</t>
        </is>
      </c>
      <c r="S175">
        <f>HYPERLINK("https://klasma.github.io/Logging_2462/artfynd/A 60369-2021 artfynd.xlsx", "A 60369-2021")</f>
        <v/>
      </c>
      <c r="T175">
        <f>HYPERLINK("https://klasma.github.io/Logging_2462/kartor/A 60369-2021 karta.png", "A 60369-2021")</f>
        <v/>
      </c>
      <c r="V175">
        <f>HYPERLINK("https://klasma.github.io/Logging_2462/klagomål/A 60369-2021 FSC-klagomål.docx", "A 60369-2021")</f>
        <v/>
      </c>
      <c r="W175">
        <f>HYPERLINK("https://klasma.github.io/Logging_2462/klagomålsmail/A 60369-2021 FSC-klagomål mail.docx", "A 60369-2021")</f>
        <v/>
      </c>
      <c r="X175">
        <f>HYPERLINK("https://klasma.github.io/Logging_2462/tillsyn/A 60369-2021 tillsynsbegäran.docx", "A 60369-2021")</f>
        <v/>
      </c>
      <c r="Y175">
        <f>HYPERLINK("https://klasma.github.io/Logging_2462/tillsynsmail/A 60369-2021 tillsynsbegäran mail.docx", "A 60369-2021")</f>
        <v/>
      </c>
    </row>
    <row r="176" ht="15" customHeight="1">
      <c r="A176" t="inlineStr">
        <is>
          <t>A 66924-2021</t>
        </is>
      </c>
      <c r="B176" s="1" t="n">
        <v>44522</v>
      </c>
      <c r="C176" s="1" t="n">
        <v>45628</v>
      </c>
      <c r="D176" t="inlineStr">
        <is>
          <t>VÄSTERBOTTENS LÄN</t>
        </is>
      </c>
      <c r="E176" t="inlineStr">
        <is>
          <t>VILHELMINA</t>
        </is>
      </c>
      <c r="F176" t="inlineStr">
        <is>
          <t>Allmännings- och besparingsskogar</t>
        </is>
      </c>
      <c r="G176" t="n">
        <v>335.4</v>
      </c>
      <c r="H176" t="n">
        <v>1</v>
      </c>
      <c r="I176" t="n">
        <v>0</v>
      </c>
      <c r="J176" t="n">
        <v>1</v>
      </c>
      <c r="K176" t="n">
        <v>0</v>
      </c>
      <c r="L176" t="n">
        <v>0</v>
      </c>
      <c r="M176" t="n">
        <v>0</v>
      </c>
      <c r="N176" t="n">
        <v>0</v>
      </c>
      <c r="O176" t="n">
        <v>1</v>
      </c>
      <c r="P176" t="n">
        <v>0</v>
      </c>
      <c r="Q176" t="n">
        <v>1</v>
      </c>
      <c r="R176" s="2" t="inlineStr">
        <is>
          <t>Utter</t>
        </is>
      </c>
      <c r="S176">
        <f>HYPERLINK("https://klasma.github.io/Logging_2462/artfynd/A 66924-2021 artfynd.xlsx", "A 66924-2021")</f>
        <v/>
      </c>
      <c r="T176">
        <f>HYPERLINK("https://klasma.github.io/Logging_2462/kartor/A 66924-2021 karta.png", "A 66924-2021")</f>
        <v/>
      </c>
      <c r="V176">
        <f>HYPERLINK("https://klasma.github.io/Logging_2462/klagomål/A 66924-2021 FSC-klagomål.docx", "A 66924-2021")</f>
        <v/>
      </c>
      <c r="W176">
        <f>HYPERLINK("https://klasma.github.io/Logging_2462/klagomålsmail/A 66924-2021 FSC-klagomål mail.docx", "A 66924-2021")</f>
        <v/>
      </c>
      <c r="X176">
        <f>HYPERLINK("https://klasma.github.io/Logging_2462/tillsyn/A 66924-2021 tillsynsbegäran.docx", "A 66924-2021")</f>
        <v/>
      </c>
      <c r="Y176">
        <f>HYPERLINK("https://klasma.github.io/Logging_2462/tillsynsmail/A 66924-2021 tillsynsbegäran mail.docx", "A 66924-2021")</f>
        <v/>
      </c>
    </row>
    <row r="177" ht="15" customHeight="1">
      <c r="A177" t="inlineStr">
        <is>
          <t>A 68783-2021</t>
        </is>
      </c>
      <c r="B177" s="1" t="n">
        <v>44529</v>
      </c>
      <c r="C177" s="1" t="n">
        <v>45628</v>
      </c>
      <c r="D177" t="inlineStr">
        <is>
          <t>VÄSTERBOTTENS LÄN</t>
        </is>
      </c>
      <c r="E177" t="inlineStr">
        <is>
          <t>VILHELMINA</t>
        </is>
      </c>
      <c r="F177" t="inlineStr">
        <is>
          <t>SCA</t>
        </is>
      </c>
      <c r="G177" t="n">
        <v>7.3</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68783-2021 artfynd.xlsx", "A 68783-2021")</f>
        <v/>
      </c>
      <c r="T177">
        <f>HYPERLINK("https://klasma.github.io/Logging_2462/kartor/A 68783-2021 karta.png", "A 68783-2021")</f>
        <v/>
      </c>
      <c r="V177">
        <f>HYPERLINK("https://klasma.github.io/Logging_2462/klagomål/A 68783-2021 FSC-klagomål.docx", "A 68783-2021")</f>
        <v/>
      </c>
      <c r="W177">
        <f>HYPERLINK("https://klasma.github.io/Logging_2462/klagomålsmail/A 68783-2021 FSC-klagomål mail.docx", "A 68783-2021")</f>
        <v/>
      </c>
      <c r="X177">
        <f>HYPERLINK("https://klasma.github.io/Logging_2462/tillsyn/A 68783-2021 tillsynsbegäran.docx", "A 68783-2021")</f>
        <v/>
      </c>
      <c r="Y177">
        <f>HYPERLINK("https://klasma.github.io/Logging_2462/tillsynsmail/A 68783-2021 tillsynsbegäran mail.docx", "A 68783-2021")</f>
        <v/>
      </c>
      <c r="Z177">
        <f>HYPERLINK("https://klasma.github.io/Logging_2462/fåglar/A 68783-2021 prioriterade fågelarter.docx", "A 68783-2021")</f>
        <v/>
      </c>
    </row>
    <row r="178" ht="15" customHeight="1">
      <c r="A178" t="inlineStr">
        <is>
          <t>A 69545-2021</t>
        </is>
      </c>
      <c r="B178" s="1" t="n">
        <v>44531</v>
      </c>
      <c r="C178" s="1" t="n">
        <v>45628</v>
      </c>
      <c r="D178" t="inlineStr">
        <is>
          <t>VÄSTERBOTTENS LÄN</t>
        </is>
      </c>
      <c r="E178" t="inlineStr">
        <is>
          <t>VILHELMINA</t>
        </is>
      </c>
      <c r="F178" t="inlineStr">
        <is>
          <t>SCA</t>
        </is>
      </c>
      <c r="G178" t="n">
        <v>3.8</v>
      </c>
      <c r="H178" t="n">
        <v>0</v>
      </c>
      <c r="I178" t="n">
        <v>1</v>
      </c>
      <c r="J178" t="n">
        <v>0</v>
      </c>
      <c r="K178" t="n">
        <v>0</v>
      </c>
      <c r="L178" t="n">
        <v>0</v>
      </c>
      <c r="M178" t="n">
        <v>0</v>
      </c>
      <c r="N178" t="n">
        <v>0</v>
      </c>
      <c r="O178" t="n">
        <v>0</v>
      </c>
      <c r="P178" t="n">
        <v>0</v>
      </c>
      <c r="Q178" t="n">
        <v>1</v>
      </c>
      <c r="R178" s="2" t="inlineStr">
        <is>
          <t>Norrlandslav</t>
        </is>
      </c>
      <c r="S178">
        <f>HYPERLINK("https://klasma.github.io/Logging_2462/artfynd/A 69545-2021 artfynd.xlsx", "A 69545-2021")</f>
        <v/>
      </c>
      <c r="T178">
        <f>HYPERLINK("https://klasma.github.io/Logging_2462/kartor/A 69545-2021 karta.png", "A 69545-2021")</f>
        <v/>
      </c>
      <c r="V178">
        <f>HYPERLINK("https://klasma.github.io/Logging_2462/klagomål/A 69545-2021 FSC-klagomål.docx", "A 69545-2021")</f>
        <v/>
      </c>
      <c r="W178">
        <f>HYPERLINK("https://klasma.github.io/Logging_2462/klagomålsmail/A 69545-2021 FSC-klagomål mail.docx", "A 69545-2021")</f>
        <v/>
      </c>
      <c r="X178">
        <f>HYPERLINK("https://klasma.github.io/Logging_2462/tillsyn/A 69545-2021 tillsynsbegäran.docx", "A 69545-2021")</f>
        <v/>
      </c>
      <c r="Y178">
        <f>HYPERLINK("https://klasma.github.io/Logging_2462/tillsynsmail/A 69545-2021 tillsynsbegäran mail.docx", "A 69545-2021")</f>
        <v/>
      </c>
    </row>
    <row r="179" ht="15" customHeight="1">
      <c r="A179" t="inlineStr">
        <is>
          <t>A 69915-2021</t>
        </is>
      </c>
      <c r="B179" s="1" t="n">
        <v>44532</v>
      </c>
      <c r="C179" s="1" t="n">
        <v>45628</v>
      </c>
      <c r="D179" t="inlineStr">
        <is>
          <t>VÄSTERBOTTENS LÄN</t>
        </is>
      </c>
      <c r="E179" t="inlineStr">
        <is>
          <t>VILHELMINA</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69915-2021 artfynd.xlsx", "A 69915-2021")</f>
        <v/>
      </c>
      <c r="T179">
        <f>HYPERLINK("https://klasma.github.io/Logging_2462/kartor/A 69915-2021 karta.png", "A 69915-2021")</f>
        <v/>
      </c>
      <c r="V179">
        <f>HYPERLINK("https://klasma.github.io/Logging_2462/klagomål/A 69915-2021 FSC-klagomål.docx", "A 69915-2021")</f>
        <v/>
      </c>
      <c r="W179">
        <f>HYPERLINK("https://klasma.github.io/Logging_2462/klagomålsmail/A 69915-2021 FSC-klagomål mail.docx", "A 69915-2021")</f>
        <v/>
      </c>
      <c r="X179">
        <f>HYPERLINK("https://klasma.github.io/Logging_2462/tillsyn/A 69915-2021 tillsynsbegäran.docx", "A 69915-2021")</f>
        <v/>
      </c>
      <c r="Y179">
        <f>HYPERLINK("https://klasma.github.io/Logging_2462/tillsynsmail/A 69915-2021 tillsynsbegäran mail.docx", "A 69915-2021")</f>
        <v/>
      </c>
      <c r="Z179">
        <f>HYPERLINK("https://klasma.github.io/Logging_2462/fåglar/A 69915-2021 prioriterade fågelarter.docx", "A 69915-2021")</f>
        <v/>
      </c>
    </row>
    <row r="180" ht="15" customHeight="1">
      <c r="A180" t="inlineStr">
        <is>
          <t>A 74395-2021</t>
        </is>
      </c>
      <c r="B180" s="1" t="n">
        <v>44560</v>
      </c>
      <c r="C180" s="1" t="n">
        <v>45628</v>
      </c>
      <c r="D180" t="inlineStr">
        <is>
          <t>VÄSTERBOTTENS LÄN</t>
        </is>
      </c>
      <c r="E180" t="inlineStr">
        <is>
          <t>VILHELMINA</t>
        </is>
      </c>
      <c r="G180" t="n">
        <v>37.6</v>
      </c>
      <c r="H180" t="n">
        <v>1</v>
      </c>
      <c r="I180" t="n">
        <v>0</v>
      </c>
      <c r="J180" t="n">
        <v>1</v>
      </c>
      <c r="K180" t="n">
        <v>0</v>
      </c>
      <c r="L180" t="n">
        <v>0</v>
      </c>
      <c r="M180" t="n">
        <v>0</v>
      </c>
      <c r="N180" t="n">
        <v>0</v>
      </c>
      <c r="O180" t="n">
        <v>1</v>
      </c>
      <c r="P180" t="n">
        <v>0</v>
      </c>
      <c r="Q180" t="n">
        <v>1</v>
      </c>
      <c r="R180" s="2" t="inlineStr">
        <is>
          <t>Tretåig hackspett</t>
        </is>
      </c>
      <c r="S180">
        <f>HYPERLINK("https://klasma.github.io/Logging_2462/artfynd/A 74395-2021 artfynd.xlsx", "A 74395-2021")</f>
        <v/>
      </c>
      <c r="T180">
        <f>HYPERLINK("https://klasma.github.io/Logging_2462/kartor/A 74395-2021 karta.png", "A 74395-2021")</f>
        <v/>
      </c>
      <c r="V180">
        <f>HYPERLINK("https://klasma.github.io/Logging_2462/klagomål/A 74395-2021 FSC-klagomål.docx", "A 74395-2021")</f>
        <v/>
      </c>
      <c r="W180">
        <f>HYPERLINK("https://klasma.github.io/Logging_2462/klagomålsmail/A 74395-2021 FSC-klagomål mail.docx", "A 74395-2021")</f>
        <v/>
      </c>
      <c r="X180">
        <f>HYPERLINK("https://klasma.github.io/Logging_2462/tillsyn/A 74395-2021 tillsynsbegäran.docx", "A 74395-2021")</f>
        <v/>
      </c>
      <c r="Y180">
        <f>HYPERLINK("https://klasma.github.io/Logging_2462/tillsynsmail/A 74395-2021 tillsynsbegäran mail.docx", "A 74395-2021")</f>
        <v/>
      </c>
      <c r="Z180">
        <f>HYPERLINK("https://klasma.github.io/Logging_2462/fåglar/A 74395-2021 prioriterade fågelarter.docx", "A 74395-2021")</f>
        <v/>
      </c>
    </row>
    <row r="181" ht="15" customHeight="1">
      <c r="A181" t="inlineStr">
        <is>
          <t>A 12486-2022</t>
        </is>
      </c>
      <c r="B181" s="1" t="n">
        <v>44638</v>
      </c>
      <c r="C181" s="1" t="n">
        <v>45628</v>
      </c>
      <c r="D181" t="inlineStr">
        <is>
          <t>VÄSTERBOTTENS LÄN</t>
        </is>
      </c>
      <c r="E181" t="inlineStr">
        <is>
          <t>VILHELMINA</t>
        </is>
      </c>
      <c r="G181" t="n">
        <v>19.3</v>
      </c>
      <c r="H181" t="n">
        <v>1</v>
      </c>
      <c r="I181" t="n">
        <v>0</v>
      </c>
      <c r="J181" t="n">
        <v>1</v>
      </c>
      <c r="K181" t="n">
        <v>0</v>
      </c>
      <c r="L181" t="n">
        <v>0</v>
      </c>
      <c r="M181" t="n">
        <v>0</v>
      </c>
      <c r="N181" t="n">
        <v>0</v>
      </c>
      <c r="O181" t="n">
        <v>1</v>
      </c>
      <c r="P181" t="n">
        <v>0</v>
      </c>
      <c r="Q181" t="n">
        <v>1</v>
      </c>
      <c r="R181" s="2" t="inlineStr">
        <is>
          <t>Tretåig hackspett</t>
        </is>
      </c>
      <c r="S181">
        <f>HYPERLINK("https://klasma.github.io/Logging_2462/artfynd/A 12486-2022 artfynd.xlsx", "A 12486-2022")</f>
        <v/>
      </c>
      <c r="T181">
        <f>HYPERLINK("https://klasma.github.io/Logging_2462/kartor/A 12486-2022 karta.png", "A 12486-2022")</f>
        <v/>
      </c>
      <c r="V181">
        <f>HYPERLINK("https://klasma.github.io/Logging_2462/klagomål/A 12486-2022 FSC-klagomål.docx", "A 12486-2022")</f>
        <v/>
      </c>
      <c r="W181">
        <f>HYPERLINK("https://klasma.github.io/Logging_2462/klagomålsmail/A 12486-2022 FSC-klagomål mail.docx", "A 12486-2022")</f>
        <v/>
      </c>
      <c r="X181">
        <f>HYPERLINK("https://klasma.github.io/Logging_2462/tillsyn/A 12486-2022 tillsynsbegäran.docx", "A 12486-2022")</f>
        <v/>
      </c>
      <c r="Y181">
        <f>HYPERLINK("https://klasma.github.io/Logging_2462/tillsynsmail/A 12486-2022 tillsynsbegäran mail.docx", "A 12486-2022")</f>
        <v/>
      </c>
      <c r="Z181">
        <f>HYPERLINK("https://klasma.github.io/Logging_2462/fåglar/A 12486-2022 prioriterade fågelarter.docx", "A 12486-2022")</f>
        <v/>
      </c>
    </row>
    <row r="182" ht="15" customHeight="1">
      <c r="A182" t="inlineStr">
        <is>
          <t>A 38421-2022</t>
        </is>
      </c>
      <c r="B182" s="1" t="n">
        <v>44812</v>
      </c>
      <c r="C182" s="1" t="n">
        <v>45628</v>
      </c>
      <c r="D182" t="inlineStr">
        <is>
          <t>VÄSTERBOTTENS LÄN</t>
        </is>
      </c>
      <c r="E182" t="inlineStr">
        <is>
          <t>VILHELMINA</t>
        </is>
      </c>
      <c r="F182" t="inlineStr">
        <is>
          <t>SCA</t>
        </is>
      </c>
      <c r="G182" t="n">
        <v>3.2</v>
      </c>
      <c r="H182" t="n">
        <v>0</v>
      </c>
      <c r="I182" t="n">
        <v>0</v>
      </c>
      <c r="J182" t="n">
        <v>1</v>
      </c>
      <c r="K182" t="n">
        <v>0</v>
      </c>
      <c r="L182" t="n">
        <v>0</v>
      </c>
      <c r="M182" t="n">
        <v>0</v>
      </c>
      <c r="N182" t="n">
        <v>0</v>
      </c>
      <c r="O182" t="n">
        <v>1</v>
      </c>
      <c r="P182" t="n">
        <v>0</v>
      </c>
      <c r="Q182" t="n">
        <v>1</v>
      </c>
      <c r="R182" s="2" t="inlineStr">
        <is>
          <t>Ullticka</t>
        </is>
      </c>
      <c r="S182">
        <f>HYPERLINK("https://klasma.github.io/Logging_2462/artfynd/A 38421-2022 artfynd.xlsx", "A 38421-2022")</f>
        <v/>
      </c>
      <c r="T182">
        <f>HYPERLINK("https://klasma.github.io/Logging_2462/kartor/A 38421-2022 karta.png", "A 38421-2022")</f>
        <v/>
      </c>
      <c r="V182">
        <f>HYPERLINK("https://klasma.github.io/Logging_2462/klagomål/A 38421-2022 FSC-klagomål.docx", "A 38421-2022")</f>
        <v/>
      </c>
      <c r="W182">
        <f>HYPERLINK("https://klasma.github.io/Logging_2462/klagomålsmail/A 38421-2022 FSC-klagomål mail.docx", "A 38421-2022")</f>
        <v/>
      </c>
      <c r="X182">
        <f>HYPERLINK("https://klasma.github.io/Logging_2462/tillsyn/A 38421-2022 tillsynsbegäran.docx", "A 38421-2022")</f>
        <v/>
      </c>
      <c r="Y182">
        <f>HYPERLINK("https://klasma.github.io/Logging_2462/tillsynsmail/A 38421-2022 tillsynsbegäran mail.docx", "A 38421-2022")</f>
        <v/>
      </c>
    </row>
    <row r="183" ht="15" customHeight="1">
      <c r="A183" t="inlineStr">
        <is>
          <t>A 41483-2022</t>
        </is>
      </c>
      <c r="B183" s="1" t="n">
        <v>44827</v>
      </c>
      <c r="C183" s="1" t="n">
        <v>45628</v>
      </c>
      <c r="D183" t="inlineStr">
        <is>
          <t>VÄSTERBOTTENS LÄN</t>
        </is>
      </c>
      <c r="E183" t="inlineStr">
        <is>
          <t>VILHELMINA</t>
        </is>
      </c>
      <c r="F183" t="inlineStr">
        <is>
          <t>SCA</t>
        </is>
      </c>
      <c r="G183" t="n">
        <v>4.6</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41483-2022 artfynd.xlsx", "A 41483-2022")</f>
        <v/>
      </c>
      <c r="T183">
        <f>HYPERLINK("https://klasma.github.io/Logging_2462/kartor/A 41483-2022 karta.png", "A 41483-2022")</f>
        <v/>
      </c>
      <c r="V183">
        <f>HYPERLINK("https://klasma.github.io/Logging_2462/klagomål/A 41483-2022 FSC-klagomål.docx", "A 41483-2022")</f>
        <v/>
      </c>
      <c r="W183">
        <f>HYPERLINK("https://klasma.github.io/Logging_2462/klagomålsmail/A 41483-2022 FSC-klagomål mail.docx", "A 41483-2022")</f>
        <v/>
      </c>
      <c r="X183">
        <f>HYPERLINK("https://klasma.github.io/Logging_2462/tillsyn/A 41483-2022 tillsynsbegäran.docx", "A 41483-2022")</f>
        <v/>
      </c>
      <c r="Y183">
        <f>HYPERLINK("https://klasma.github.io/Logging_2462/tillsynsmail/A 41483-2022 tillsynsbegäran mail.docx", "A 41483-2022")</f>
        <v/>
      </c>
      <c r="Z183">
        <f>HYPERLINK("https://klasma.github.io/Logging_2462/fåglar/A 41483-2022 prioriterade fågelarter.docx", "A 41483-2022")</f>
        <v/>
      </c>
    </row>
    <row r="184" ht="15" customHeight="1">
      <c r="A184" t="inlineStr">
        <is>
          <t>A 47251-2022</t>
        </is>
      </c>
      <c r="B184" s="1" t="n">
        <v>44852</v>
      </c>
      <c r="C184" s="1" t="n">
        <v>45628</v>
      </c>
      <c r="D184" t="inlineStr">
        <is>
          <t>VÄSTERBOTTENS LÄN</t>
        </is>
      </c>
      <c r="E184" t="inlineStr">
        <is>
          <t>VILHELMINA</t>
        </is>
      </c>
      <c r="F184" t="inlineStr">
        <is>
          <t>SCA</t>
        </is>
      </c>
      <c r="G184" t="n">
        <v>16.4</v>
      </c>
      <c r="H184" t="n">
        <v>0</v>
      </c>
      <c r="I184" t="n">
        <v>0</v>
      </c>
      <c r="J184" t="n">
        <v>1</v>
      </c>
      <c r="K184" t="n">
        <v>0</v>
      </c>
      <c r="L184" t="n">
        <v>0</v>
      </c>
      <c r="M184" t="n">
        <v>0</v>
      </c>
      <c r="N184" t="n">
        <v>0</v>
      </c>
      <c r="O184" t="n">
        <v>1</v>
      </c>
      <c r="P184" t="n">
        <v>0</v>
      </c>
      <c r="Q184" t="n">
        <v>1</v>
      </c>
      <c r="R184" s="2" t="inlineStr">
        <is>
          <t>Rosenticka</t>
        </is>
      </c>
      <c r="S184">
        <f>HYPERLINK("https://klasma.github.io/Logging_2462/artfynd/A 47251-2022 artfynd.xlsx", "A 47251-2022")</f>
        <v/>
      </c>
      <c r="T184">
        <f>HYPERLINK("https://klasma.github.io/Logging_2462/kartor/A 47251-2022 karta.png", "A 47251-2022")</f>
        <v/>
      </c>
      <c r="V184">
        <f>HYPERLINK("https://klasma.github.io/Logging_2462/klagomål/A 47251-2022 FSC-klagomål.docx", "A 47251-2022")</f>
        <v/>
      </c>
      <c r="W184">
        <f>HYPERLINK("https://klasma.github.io/Logging_2462/klagomålsmail/A 47251-2022 FSC-klagomål mail.docx", "A 47251-2022")</f>
        <v/>
      </c>
      <c r="X184">
        <f>HYPERLINK("https://klasma.github.io/Logging_2462/tillsyn/A 47251-2022 tillsynsbegäran.docx", "A 47251-2022")</f>
        <v/>
      </c>
      <c r="Y184">
        <f>HYPERLINK("https://klasma.github.io/Logging_2462/tillsynsmail/A 47251-2022 tillsynsbegäran mail.docx", "A 47251-2022")</f>
        <v/>
      </c>
    </row>
    <row r="185" ht="15" customHeight="1">
      <c r="A185" t="inlineStr">
        <is>
          <t>A 6604-2023</t>
        </is>
      </c>
      <c r="B185" s="1" t="n">
        <v>44960</v>
      </c>
      <c r="C185" s="1" t="n">
        <v>45628</v>
      </c>
      <c r="D185" t="inlineStr">
        <is>
          <t>VÄSTERBOTTENS LÄN</t>
        </is>
      </c>
      <c r="E185" t="inlineStr">
        <is>
          <t>VILHELMINA</t>
        </is>
      </c>
      <c r="G185" t="n">
        <v>13.4</v>
      </c>
      <c r="H185" t="n">
        <v>0</v>
      </c>
      <c r="I185" t="n">
        <v>1</v>
      </c>
      <c r="J185" t="n">
        <v>0</v>
      </c>
      <c r="K185" t="n">
        <v>0</v>
      </c>
      <c r="L185" t="n">
        <v>0</v>
      </c>
      <c r="M185" t="n">
        <v>0</v>
      </c>
      <c r="N185" t="n">
        <v>0</v>
      </c>
      <c r="O185" t="n">
        <v>0</v>
      </c>
      <c r="P185" t="n">
        <v>0</v>
      </c>
      <c r="Q185" t="n">
        <v>1</v>
      </c>
      <c r="R185" s="2" t="inlineStr">
        <is>
          <t>Luddlav</t>
        </is>
      </c>
      <c r="S185">
        <f>HYPERLINK("https://klasma.github.io/Logging_2462/artfynd/A 6604-2023 artfynd.xlsx", "A 6604-2023")</f>
        <v/>
      </c>
      <c r="T185">
        <f>HYPERLINK("https://klasma.github.io/Logging_2462/kartor/A 6604-2023 karta.png", "A 6604-2023")</f>
        <v/>
      </c>
      <c r="V185">
        <f>HYPERLINK("https://klasma.github.io/Logging_2462/klagomål/A 6604-2023 FSC-klagomål.docx", "A 6604-2023")</f>
        <v/>
      </c>
      <c r="W185">
        <f>HYPERLINK("https://klasma.github.io/Logging_2462/klagomålsmail/A 6604-2023 FSC-klagomål mail.docx", "A 6604-2023")</f>
        <v/>
      </c>
      <c r="X185">
        <f>HYPERLINK("https://klasma.github.io/Logging_2462/tillsyn/A 6604-2023 tillsynsbegäran.docx", "A 6604-2023")</f>
        <v/>
      </c>
      <c r="Y185">
        <f>HYPERLINK("https://klasma.github.io/Logging_2462/tillsynsmail/A 6604-2023 tillsynsbegäran mail.docx", "A 6604-2023")</f>
        <v/>
      </c>
    </row>
    <row r="186" ht="15" customHeight="1">
      <c r="A186" t="inlineStr">
        <is>
          <t>A 9249-2023</t>
        </is>
      </c>
      <c r="B186" s="1" t="n">
        <v>44972</v>
      </c>
      <c r="C186" s="1" t="n">
        <v>45628</v>
      </c>
      <c r="D186" t="inlineStr">
        <is>
          <t>VÄSTERBOTTENS LÄN</t>
        </is>
      </c>
      <c r="E186" t="inlineStr">
        <is>
          <t>VILHELMINA</t>
        </is>
      </c>
      <c r="F186" t="inlineStr">
        <is>
          <t>Allmännings- och besparingsskogar</t>
        </is>
      </c>
      <c r="G186" t="n">
        <v>18</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9249-2023 artfynd.xlsx", "A 9249-2023")</f>
        <v/>
      </c>
      <c r="T186">
        <f>HYPERLINK("https://klasma.github.io/Logging_2462/kartor/A 9249-2023 karta.png", "A 9249-2023")</f>
        <v/>
      </c>
      <c r="V186">
        <f>HYPERLINK("https://klasma.github.io/Logging_2462/klagomål/A 9249-2023 FSC-klagomål.docx", "A 9249-2023")</f>
        <v/>
      </c>
      <c r="W186">
        <f>HYPERLINK("https://klasma.github.io/Logging_2462/klagomålsmail/A 9249-2023 FSC-klagomål mail.docx", "A 9249-2023")</f>
        <v/>
      </c>
      <c r="X186">
        <f>HYPERLINK("https://klasma.github.io/Logging_2462/tillsyn/A 9249-2023 tillsynsbegäran.docx", "A 9249-2023")</f>
        <v/>
      </c>
      <c r="Y186">
        <f>HYPERLINK("https://klasma.github.io/Logging_2462/tillsynsmail/A 9249-2023 tillsynsbegäran mail.docx", "A 9249-2023")</f>
        <v/>
      </c>
      <c r="Z186">
        <f>HYPERLINK("https://klasma.github.io/Logging_2462/fåglar/A 9249-2023 prioriterade fågelarter.docx", "A 9249-2023")</f>
        <v/>
      </c>
    </row>
    <row r="187" ht="15" customHeight="1">
      <c r="A187" t="inlineStr">
        <is>
          <t>A 11832-2023</t>
        </is>
      </c>
      <c r="B187" s="1" t="n">
        <v>44994</v>
      </c>
      <c r="C187" s="1" t="n">
        <v>45628</v>
      </c>
      <c r="D187" t="inlineStr">
        <is>
          <t>VÄSTERBOTTENS LÄN</t>
        </is>
      </c>
      <c r="E187" t="inlineStr">
        <is>
          <t>VILHELMINA</t>
        </is>
      </c>
      <c r="F187" t="inlineStr">
        <is>
          <t>SCA</t>
        </is>
      </c>
      <c r="G187" t="n">
        <v>6.7</v>
      </c>
      <c r="H187" t="n">
        <v>0</v>
      </c>
      <c r="I187" t="n">
        <v>0</v>
      </c>
      <c r="J187" t="n">
        <v>1</v>
      </c>
      <c r="K187" t="n">
        <v>0</v>
      </c>
      <c r="L187" t="n">
        <v>0</v>
      </c>
      <c r="M187" t="n">
        <v>0</v>
      </c>
      <c r="N187" t="n">
        <v>0</v>
      </c>
      <c r="O187" t="n">
        <v>1</v>
      </c>
      <c r="P187" t="n">
        <v>0</v>
      </c>
      <c r="Q187" t="n">
        <v>1</v>
      </c>
      <c r="R187" s="2" t="inlineStr">
        <is>
          <t>Granticka</t>
        </is>
      </c>
      <c r="S187">
        <f>HYPERLINK("https://klasma.github.io/Logging_2462/artfynd/A 11832-2023 artfynd.xlsx", "A 11832-2023")</f>
        <v/>
      </c>
      <c r="T187">
        <f>HYPERLINK("https://klasma.github.io/Logging_2462/kartor/A 11832-2023 karta.png", "A 11832-2023")</f>
        <v/>
      </c>
      <c r="V187">
        <f>HYPERLINK("https://klasma.github.io/Logging_2462/klagomål/A 11832-2023 FSC-klagomål.docx", "A 11832-2023")</f>
        <v/>
      </c>
      <c r="W187">
        <f>HYPERLINK("https://klasma.github.io/Logging_2462/klagomålsmail/A 11832-2023 FSC-klagomål mail.docx", "A 11832-2023")</f>
        <v/>
      </c>
      <c r="X187">
        <f>HYPERLINK("https://klasma.github.io/Logging_2462/tillsyn/A 11832-2023 tillsynsbegäran.docx", "A 11832-2023")</f>
        <v/>
      </c>
      <c r="Y187">
        <f>HYPERLINK("https://klasma.github.io/Logging_2462/tillsynsmail/A 11832-2023 tillsynsbegäran mail.docx", "A 11832-2023")</f>
        <v/>
      </c>
    </row>
    <row r="188" ht="15" customHeight="1">
      <c r="A188" t="inlineStr">
        <is>
          <t>A 29317-2023</t>
        </is>
      </c>
      <c r="B188" s="1" t="n">
        <v>45105</v>
      </c>
      <c r="C188" s="1" t="n">
        <v>45628</v>
      </c>
      <c r="D188" t="inlineStr">
        <is>
          <t>VÄSTERBOTTENS LÄN</t>
        </is>
      </c>
      <c r="E188" t="inlineStr">
        <is>
          <t>VILHELMINA</t>
        </is>
      </c>
      <c r="F188" t="inlineStr">
        <is>
          <t>SCA</t>
        </is>
      </c>
      <c r="G188" t="n">
        <v>18.8</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29317-2023 artfynd.xlsx", "A 29317-2023")</f>
        <v/>
      </c>
      <c r="T188">
        <f>HYPERLINK("https://klasma.github.io/Logging_2462/kartor/A 29317-2023 karta.png", "A 29317-2023")</f>
        <v/>
      </c>
      <c r="V188">
        <f>HYPERLINK("https://klasma.github.io/Logging_2462/klagomål/A 29317-2023 FSC-klagomål.docx", "A 29317-2023")</f>
        <v/>
      </c>
      <c r="W188">
        <f>HYPERLINK("https://klasma.github.io/Logging_2462/klagomålsmail/A 29317-2023 FSC-klagomål mail.docx", "A 29317-2023")</f>
        <v/>
      </c>
      <c r="X188">
        <f>HYPERLINK("https://klasma.github.io/Logging_2462/tillsyn/A 29317-2023 tillsynsbegäran.docx", "A 29317-2023")</f>
        <v/>
      </c>
      <c r="Y188">
        <f>HYPERLINK("https://klasma.github.io/Logging_2462/tillsynsmail/A 29317-2023 tillsynsbegäran mail.docx", "A 29317-2023")</f>
        <v/>
      </c>
      <c r="Z188">
        <f>HYPERLINK("https://klasma.github.io/Logging_2462/fåglar/A 29317-2023 prioriterade fågelarter.docx", "A 29317-2023")</f>
        <v/>
      </c>
    </row>
    <row r="189" ht="15" customHeight="1">
      <c r="A189" t="inlineStr">
        <is>
          <t>A 39919-2023</t>
        </is>
      </c>
      <c r="B189" s="1" t="n">
        <v>45166</v>
      </c>
      <c r="C189" s="1" t="n">
        <v>45628</v>
      </c>
      <c r="D189" t="inlineStr">
        <is>
          <t>VÄSTERBOTTENS LÄN</t>
        </is>
      </c>
      <c r="E189" t="inlineStr">
        <is>
          <t>VILHELMINA</t>
        </is>
      </c>
      <c r="G189" t="n">
        <v>22.2</v>
      </c>
      <c r="H189" t="n">
        <v>1</v>
      </c>
      <c r="I189" t="n">
        <v>0</v>
      </c>
      <c r="J189" t="n">
        <v>1</v>
      </c>
      <c r="K189" t="n">
        <v>0</v>
      </c>
      <c r="L189" t="n">
        <v>0</v>
      </c>
      <c r="M189" t="n">
        <v>0</v>
      </c>
      <c r="N189" t="n">
        <v>0</v>
      </c>
      <c r="O189" t="n">
        <v>1</v>
      </c>
      <c r="P189" t="n">
        <v>0</v>
      </c>
      <c r="Q189" t="n">
        <v>1</v>
      </c>
      <c r="R189" s="2" t="inlineStr">
        <is>
          <t>Utter</t>
        </is>
      </c>
      <c r="S189">
        <f>HYPERLINK("https://klasma.github.io/Logging_2462/artfynd/A 39919-2023 artfynd.xlsx", "A 39919-2023")</f>
        <v/>
      </c>
      <c r="T189">
        <f>HYPERLINK("https://klasma.github.io/Logging_2462/kartor/A 39919-2023 karta.png", "A 39919-2023")</f>
        <v/>
      </c>
      <c r="V189">
        <f>HYPERLINK("https://klasma.github.io/Logging_2462/klagomål/A 39919-2023 FSC-klagomål.docx", "A 39919-2023")</f>
        <v/>
      </c>
      <c r="W189">
        <f>HYPERLINK("https://klasma.github.io/Logging_2462/klagomålsmail/A 39919-2023 FSC-klagomål mail.docx", "A 39919-2023")</f>
        <v/>
      </c>
      <c r="X189">
        <f>HYPERLINK("https://klasma.github.io/Logging_2462/tillsyn/A 39919-2023 tillsynsbegäran.docx", "A 39919-2023")</f>
        <v/>
      </c>
      <c r="Y189">
        <f>HYPERLINK("https://klasma.github.io/Logging_2462/tillsynsmail/A 39919-2023 tillsynsbegäran mail.docx", "A 39919-2023")</f>
        <v/>
      </c>
    </row>
    <row r="190" ht="15" customHeight="1">
      <c r="A190" t="inlineStr">
        <is>
          <t>A 56247-2023</t>
        </is>
      </c>
      <c r="B190" s="1" t="n">
        <v>45240</v>
      </c>
      <c r="C190" s="1" t="n">
        <v>45628</v>
      </c>
      <c r="D190" t="inlineStr">
        <is>
          <t>VÄSTERBOTTENS LÄN</t>
        </is>
      </c>
      <c r="E190" t="inlineStr">
        <is>
          <t>VILHELMINA</t>
        </is>
      </c>
      <c r="F190" t="inlineStr">
        <is>
          <t>SCA</t>
        </is>
      </c>
      <c r="G190" t="n">
        <v>1.3</v>
      </c>
      <c r="H190" t="n">
        <v>0</v>
      </c>
      <c r="I190" t="n">
        <v>0</v>
      </c>
      <c r="J190" t="n">
        <v>1</v>
      </c>
      <c r="K190" t="n">
        <v>0</v>
      </c>
      <c r="L190" t="n">
        <v>0</v>
      </c>
      <c r="M190" t="n">
        <v>0</v>
      </c>
      <c r="N190" t="n">
        <v>0</v>
      </c>
      <c r="O190" t="n">
        <v>1</v>
      </c>
      <c r="P190" t="n">
        <v>0</v>
      </c>
      <c r="Q190" t="n">
        <v>1</v>
      </c>
      <c r="R190" s="2" t="inlineStr">
        <is>
          <t>Harticka</t>
        </is>
      </c>
      <c r="S190">
        <f>HYPERLINK("https://klasma.github.io/Logging_2462/artfynd/A 56247-2023 artfynd.xlsx", "A 56247-2023")</f>
        <v/>
      </c>
      <c r="T190">
        <f>HYPERLINK("https://klasma.github.io/Logging_2462/kartor/A 56247-2023 karta.png", "A 56247-2023")</f>
        <v/>
      </c>
      <c r="V190">
        <f>HYPERLINK("https://klasma.github.io/Logging_2462/klagomål/A 56247-2023 FSC-klagomål.docx", "A 56247-2023")</f>
        <v/>
      </c>
      <c r="W190">
        <f>HYPERLINK("https://klasma.github.io/Logging_2462/klagomålsmail/A 56247-2023 FSC-klagomål mail.docx", "A 56247-2023")</f>
        <v/>
      </c>
      <c r="X190">
        <f>HYPERLINK("https://klasma.github.io/Logging_2462/tillsyn/A 56247-2023 tillsynsbegäran.docx", "A 56247-2023")</f>
        <v/>
      </c>
      <c r="Y190">
        <f>HYPERLINK("https://klasma.github.io/Logging_2462/tillsynsmail/A 56247-2023 tillsynsbegäran mail.docx", "A 56247-2023")</f>
        <v/>
      </c>
    </row>
    <row r="191" ht="15" customHeight="1">
      <c r="A191" t="inlineStr">
        <is>
          <t>A 22467-2024</t>
        </is>
      </c>
      <c r="B191" s="1" t="n">
        <v>45447</v>
      </c>
      <c r="C191" s="1" t="n">
        <v>45628</v>
      </c>
      <c r="D191" t="inlineStr">
        <is>
          <t>VÄSTERBOTTENS LÄN</t>
        </is>
      </c>
      <c r="E191" t="inlineStr">
        <is>
          <t>VILHELMINA</t>
        </is>
      </c>
      <c r="F191" t="inlineStr">
        <is>
          <t>SCA</t>
        </is>
      </c>
      <c r="G191" t="n">
        <v>3.1</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22467-2024 artfynd.xlsx", "A 22467-2024")</f>
        <v/>
      </c>
      <c r="T191">
        <f>HYPERLINK("https://klasma.github.io/Logging_2462/kartor/A 22467-2024 karta.png", "A 22467-2024")</f>
        <v/>
      </c>
      <c r="V191">
        <f>HYPERLINK("https://klasma.github.io/Logging_2462/klagomål/A 22467-2024 FSC-klagomål.docx", "A 22467-2024")</f>
        <v/>
      </c>
      <c r="W191">
        <f>HYPERLINK("https://klasma.github.io/Logging_2462/klagomålsmail/A 22467-2024 FSC-klagomål mail.docx", "A 22467-2024")</f>
        <v/>
      </c>
      <c r="X191">
        <f>HYPERLINK("https://klasma.github.io/Logging_2462/tillsyn/A 22467-2024 tillsynsbegäran.docx", "A 22467-2024")</f>
        <v/>
      </c>
      <c r="Y191">
        <f>HYPERLINK("https://klasma.github.io/Logging_2462/tillsynsmail/A 22467-2024 tillsynsbegäran mail.docx", "A 22467-2024")</f>
        <v/>
      </c>
      <c r="Z191">
        <f>HYPERLINK("https://klasma.github.io/Logging_2462/fåglar/A 22467-2024 prioriterade fågelarter.docx", "A 22467-2024")</f>
        <v/>
      </c>
    </row>
    <row r="192" ht="15" customHeight="1">
      <c r="A192" t="inlineStr">
        <is>
          <t>A 22466-2024</t>
        </is>
      </c>
      <c r="B192" s="1" t="n">
        <v>45446</v>
      </c>
      <c r="C192" s="1" t="n">
        <v>45628</v>
      </c>
      <c r="D192" t="inlineStr">
        <is>
          <t>VÄSTERBOTTENS LÄN</t>
        </is>
      </c>
      <c r="E192" t="inlineStr">
        <is>
          <t>VILHELMINA</t>
        </is>
      </c>
      <c r="F192" t="inlineStr">
        <is>
          <t>SCA</t>
        </is>
      </c>
      <c r="G192" t="n">
        <v>3.9</v>
      </c>
      <c r="H192" t="n">
        <v>0</v>
      </c>
      <c r="I192" t="n">
        <v>0</v>
      </c>
      <c r="J192" t="n">
        <v>1</v>
      </c>
      <c r="K192" t="n">
        <v>0</v>
      </c>
      <c r="L192" t="n">
        <v>0</v>
      </c>
      <c r="M192" t="n">
        <v>0</v>
      </c>
      <c r="N192" t="n">
        <v>0</v>
      </c>
      <c r="O192" t="n">
        <v>1</v>
      </c>
      <c r="P192" t="n">
        <v>0</v>
      </c>
      <c r="Q192" t="n">
        <v>1</v>
      </c>
      <c r="R192" s="2" t="inlineStr">
        <is>
          <t>Ullticka</t>
        </is>
      </c>
      <c r="S192">
        <f>HYPERLINK("https://klasma.github.io/Logging_2462/artfynd/A 22466-2024 artfynd.xlsx", "A 22466-2024")</f>
        <v/>
      </c>
      <c r="T192">
        <f>HYPERLINK("https://klasma.github.io/Logging_2462/kartor/A 22466-2024 karta.png", "A 22466-2024")</f>
        <v/>
      </c>
      <c r="V192">
        <f>HYPERLINK("https://klasma.github.io/Logging_2462/klagomål/A 22466-2024 FSC-klagomål.docx", "A 22466-2024")</f>
        <v/>
      </c>
      <c r="W192">
        <f>HYPERLINK("https://klasma.github.io/Logging_2462/klagomålsmail/A 22466-2024 FSC-klagomål mail.docx", "A 22466-2024")</f>
        <v/>
      </c>
      <c r="X192">
        <f>HYPERLINK("https://klasma.github.io/Logging_2462/tillsyn/A 22466-2024 tillsynsbegäran.docx", "A 22466-2024")</f>
        <v/>
      </c>
      <c r="Y192">
        <f>HYPERLINK("https://klasma.github.io/Logging_2462/tillsynsmail/A 22466-2024 tillsynsbegäran mail.docx", "A 22466-2024")</f>
        <v/>
      </c>
    </row>
    <row r="193" ht="15" customHeight="1">
      <c r="A193" t="inlineStr">
        <is>
          <t>A 25368-2024</t>
        </is>
      </c>
      <c r="B193" s="1" t="n">
        <v>45462</v>
      </c>
      <c r="C193" s="1" t="n">
        <v>45628</v>
      </c>
      <c r="D193" t="inlineStr">
        <is>
          <t>VÄSTERBOTTENS LÄN</t>
        </is>
      </c>
      <c r="E193" t="inlineStr">
        <is>
          <t>VILHELMINA</t>
        </is>
      </c>
      <c r="F193" t="inlineStr">
        <is>
          <t>SCA</t>
        </is>
      </c>
      <c r="G193" t="n">
        <v>2.5</v>
      </c>
      <c r="H193" t="n">
        <v>1</v>
      </c>
      <c r="I193" t="n">
        <v>0</v>
      </c>
      <c r="J193" t="n">
        <v>1</v>
      </c>
      <c r="K193" t="n">
        <v>0</v>
      </c>
      <c r="L193" t="n">
        <v>0</v>
      </c>
      <c r="M193" t="n">
        <v>0</v>
      </c>
      <c r="N193" t="n">
        <v>0</v>
      </c>
      <c r="O193" t="n">
        <v>1</v>
      </c>
      <c r="P193" t="n">
        <v>0</v>
      </c>
      <c r="Q193" t="n">
        <v>1</v>
      </c>
      <c r="R193" s="2" t="inlineStr">
        <is>
          <t>Utter</t>
        </is>
      </c>
      <c r="S193">
        <f>HYPERLINK("https://klasma.github.io/Logging_2462/artfynd/A 25368-2024 artfynd.xlsx", "A 25368-2024")</f>
        <v/>
      </c>
      <c r="T193">
        <f>HYPERLINK("https://klasma.github.io/Logging_2462/kartor/A 25368-2024 karta.png", "A 25368-2024")</f>
        <v/>
      </c>
      <c r="V193">
        <f>HYPERLINK("https://klasma.github.io/Logging_2462/klagomål/A 25368-2024 FSC-klagomål.docx", "A 25368-2024")</f>
        <v/>
      </c>
      <c r="W193">
        <f>HYPERLINK("https://klasma.github.io/Logging_2462/klagomålsmail/A 25368-2024 FSC-klagomål mail.docx", "A 25368-2024")</f>
        <v/>
      </c>
      <c r="X193">
        <f>HYPERLINK("https://klasma.github.io/Logging_2462/tillsyn/A 25368-2024 tillsynsbegäran.docx", "A 25368-2024")</f>
        <v/>
      </c>
      <c r="Y193">
        <f>HYPERLINK("https://klasma.github.io/Logging_2462/tillsynsmail/A 25368-2024 tillsynsbegäran mail.docx", "A 25368-2024")</f>
        <v/>
      </c>
    </row>
    <row r="194" ht="15" customHeight="1">
      <c r="A194" t="inlineStr">
        <is>
          <t>A 33913-2024</t>
        </is>
      </c>
      <c r="B194" s="1" t="n">
        <v>45523</v>
      </c>
      <c r="C194" s="1" t="n">
        <v>45628</v>
      </c>
      <c r="D194" t="inlineStr">
        <is>
          <t>VÄSTERBOTTENS LÄN</t>
        </is>
      </c>
      <c r="E194" t="inlineStr">
        <is>
          <t>VILHELMINA</t>
        </is>
      </c>
      <c r="F194" t="inlineStr">
        <is>
          <t>SCA</t>
        </is>
      </c>
      <c r="G194" t="n">
        <v>2.4</v>
      </c>
      <c r="H194" t="n">
        <v>0</v>
      </c>
      <c r="I194" t="n">
        <v>0</v>
      </c>
      <c r="J194" t="n">
        <v>1</v>
      </c>
      <c r="K194" t="n">
        <v>0</v>
      </c>
      <c r="L194" t="n">
        <v>0</v>
      </c>
      <c r="M194" t="n">
        <v>0</v>
      </c>
      <c r="N194" t="n">
        <v>0</v>
      </c>
      <c r="O194" t="n">
        <v>1</v>
      </c>
      <c r="P194" t="n">
        <v>0</v>
      </c>
      <c r="Q194" t="n">
        <v>1</v>
      </c>
      <c r="R194" s="2" t="inlineStr">
        <is>
          <t>Lunglav</t>
        </is>
      </c>
      <c r="S194">
        <f>HYPERLINK("https://klasma.github.io/Logging_2462/artfynd/A 33913-2024 artfynd.xlsx", "A 33913-2024")</f>
        <v/>
      </c>
      <c r="T194">
        <f>HYPERLINK("https://klasma.github.io/Logging_2462/kartor/A 33913-2024 karta.png", "A 33913-2024")</f>
        <v/>
      </c>
      <c r="V194">
        <f>HYPERLINK("https://klasma.github.io/Logging_2462/klagomål/A 33913-2024 FSC-klagomål.docx", "A 33913-2024")</f>
        <v/>
      </c>
      <c r="W194">
        <f>HYPERLINK("https://klasma.github.io/Logging_2462/klagomålsmail/A 33913-2024 FSC-klagomål mail.docx", "A 33913-2024")</f>
        <v/>
      </c>
      <c r="X194">
        <f>HYPERLINK("https://klasma.github.io/Logging_2462/tillsyn/A 33913-2024 tillsynsbegäran.docx", "A 33913-2024")</f>
        <v/>
      </c>
      <c r="Y194">
        <f>HYPERLINK("https://klasma.github.io/Logging_2462/tillsynsmail/A 33913-2024 tillsynsbegäran mail.docx", "A 33913-2024")</f>
        <v/>
      </c>
    </row>
    <row r="195" ht="15" customHeight="1">
      <c r="A195" t="inlineStr">
        <is>
          <t>A 34730-2024</t>
        </is>
      </c>
      <c r="B195" s="1" t="n">
        <v>45526</v>
      </c>
      <c r="C195" s="1" t="n">
        <v>45628</v>
      </c>
      <c r="D195" t="inlineStr">
        <is>
          <t>VÄSTERBOTTENS LÄN</t>
        </is>
      </c>
      <c r="E195" t="inlineStr">
        <is>
          <t>VILHELMINA</t>
        </is>
      </c>
      <c r="G195" t="n">
        <v>19.2</v>
      </c>
      <c r="H195" t="n">
        <v>0</v>
      </c>
      <c r="I195" t="n">
        <v>0</v>
      </c>
      <c r="J195" t="n">
        <v>1</v>
      </c>
      <c r="K195" t="n">
        <v>0</v>
      </c>
      <c r="L195" t="n">
        <v>0</v>
      </c>
      <c r="M195" t="n">
        <v>0</v>
      </c>
      <c r="N195" t="n">
        <v>0</v>
      </c>
      <c r="O195" t="n">
        <v>1</v>
      </c>
      <c r="P195" t="n">
        <v>0</v>
      </c>
      <c r="Q195" t="n">
        <v>1</v>
      </c>
      <c r="R195" s="2" t="inlineStr">
        <is>
          <t>Ullticka</t>
        </is>
      </c>
      <c r="S195">
        <f>HYPERLINK("https://klasma.github.io/Logging_2462/artfynd/A 34730-2024 artfynd.xlsx", "A 34730-2024")</f>
        <v/>
      </c>
      <c r="T195">
        <f>HYPERLINK("https://klasma.github.io/Logging_2462/kartor/A 34730-2024 karta.png", "A 34730-2024")</f>
        <v/>
      </c>
      <c r="V195">
        <f>HYPERLINK("https://klasma.github.io/Logging_2462/klagomål/A 34730-2024 FSC-klagomål.docx", "A 34730-2024")</f>
        <v/>
      </c>
      <c r="W195">
        <f>HYPERLINK("https://klasma.github.io/Logging_2462/klagomålsmail/A 34730-2024 FSC-klagomål mail.docx", "A 34730-2024")</f>
        <v/>
      </c>
      <c r="X195">
        <f>HYPERLINK("https://klasma.github.io/Logging_2462/tillsyn/A 34730-2024 tillsynsbegäran.docx", "A 34730-2024")</f>
        <v/>
      </c>
      <c r="Y195">
        <f>HYPERLINK("https://klasma.github.io/Logging_2462/tillsynsmail/A 34730-2024 tillsynsbegäran mail.docx", "A 34730-2024")</f>
        <v/>
      </c>
    </row>
    <row r="196" ht="15" customHeight="1">
      <c r="A196" t="inlineStr">
        <is>
          <t>A 34769-2024</t>
        </is>
      </c>
      <c r="B196" s="1" t="n">
        <v>45526</v>
      </c>
      <c r="C196" s="1" t="n">
        <v>45628</v>
      </c>
      <c r="D196" t="inlineStr">
        <is>
          <t>VÄSTERBOTTENS LÄN</t>
        </is>
      </c>
      <c r="E196" t="inlineStr">
        <is>
          <t>VILHELMINA</t>
        </is>
      </c>
      <c r="F196" t="inlineStr">
        <is>
          <t>SCA</t>
        </is>
      </c>
      <c r="G196" t="n">
        <v>6.7</v>
      </c>
      <c r="H196" t="n">
        <v>0</v>
      </c>
      <c r="I196" t="n">
        <v>0</v>
      </c>
      <c r="J196" t="n">
        <v>0</v>
      </c>
      <c r="K196" t="n">
        <v>1</v>
      </c>
      <c r="L196" t="n">
        <v>0</v>
      </c>
      <c r="M196" t="n">
        <v>0</v>
      </c>
      <c r="N196" t="n">
        <v>0</v>
      </c>
      <c r="O196" t="n">
        <v>1</v>
      </c>
      <c r="P196" t="n">
        <v>1</v>
      </c>
      <c r="Q196" t="n">
        <v>1</v>
      </c>
      <c r="R196" s="2" t="inlineStr">
        <is>
          <t>Rynkskinn</t>
        </is>
      </c>
      <c r="S196">
        <f>HYPERLINK("https://klasma.github.io/Logging_2462/artfynd/A 34769-2024 artfynd.xlsx", "A 34769-2024")</f>
        <v/>
      </c>
      <c r="T196">
        <f>HYPERLINK("https://klasma.github.io/Logging_2462/kartor/A 34769-2024 karta.png", "A 34769-2024")</f>
        <v/>
      </c>
      <c r="V196">
        <f>HYPERLINK("https://klasma.github.io/Logging_2462/klagomål/A 34769-2024 FSC-klagomål.docx", "A 34769-2024")</f>
        <v/>
      </c>
      <c r="W196">
        <f>HYPERLINK("https://klasma.github.io/Logging_2462/klagomålsmail/A 34769-2024 FSC-klagomål mail.docx", "A 34769-2024")</f>
        <v/>
      </c>
      <c r="X196">
        <f>HYPERLINK("https://klasma.github.io/Logging_2462/tillsyn/A 34769-2024 tillsynsbegäran.docx", "A 34769-2024")</f>
        <v/>
      </c>
      <c r="Y196">
        <f>HYPERLINK("https://klasma.github.io/Logging_2462/tillsynsmail/A 34769-2024 tillsynsbegäran mail.docx", "A 34769-2024")</f>
        <v/>
      </c>
    </row>
    <row r="197" ht="15" customHeight="1">
      <c r="A197" t="inlineStr">
        <is>
          <t>A 38128-2024</t>
        </is>
      </c>
      <c r="B197" s="1" t="n">
        <v>45545</v>
      </c>
      <c r="C197" s="1" t="n">
        <v>45628</v>
      </c>
      <c r="D197" t="inlineStr">
        <is>
          <t>VÄSTERBOTTENS LÄN</t>
        </is>
      </c>
      <c r="E197" t="inlineStr">
        <is>
          <t>VILHELMINA</t>
        </is>
      </c>
      <c r="F197" t="inlineStr">
        <is>
          <t>SCA</t>
        </is>
      </c>
      <c r="G197" t="n">
        <v>9.5</v>
      </c>
      <c r="H197" t="n">
        <v>0</v>
      </c>
      <c r="I197" t="n">
        <v>0</v>
      </c>
      <c r="J197" t="n">
        <v>1</v>
      </c>
      <c r="K197" t="n">
        <v>0</v>
      </c>
      <c r="L197" t="n">
        <v>0</v>
      </c>
      <c r="M197" t="n">
        <v>0</v>
      </c>
      <c r="N197" t="n">
        <v>0</v>
      </c>
      <c r="O197" t="n">
        <v>1</v>
      </c>
      <c r="P197" t="n">
        <v>0</v>
      </c>
      <c r="Q197" t="n">
        <v>1</v>
      </c>
      <c r="R197" s="2" t="inlineStr">
        <is>
          <t>Gammelgransskål</t>
        </is>
      </c>
      <c r="S197">
        <f>HYPERLINK("https://klasma.github.io/Logging_2462/artfynd/A 38128-2024 artfynd.xlsx", "A 38128-2024")</f>
        <v/>
      </c>
      <c r="T197">
        <f>HYPERLINK("https://klasma.github.io/Logging_2462/kartor/A 38128-2024 karta.png", "A 38128-2024")</f>
        <v/>
      </c>
      <c r="V197">
        <f>HYPERLINK("https://klasma.github.io/Logging_2462/klagomål/A 38128-2024 FSC-klagomål.docx", "A 38128-2024")</f>
        <v/>
      </c>
      <c r="W197">
        <f>HYPERLINK("https://klasma.github.io/Logging_2462/klagomålsmail/A 38128-2024 FSC-klagomål mail.docx", "A 38128-2024")</f>
        <v/>
      </c>
      <c r="X197">
        <f>HYPERLINK("https://klasma.github.io/Logging_2462/tillsyn/A 38128-2024 tillsynsbegäran.docx", "A 38128-2024")</f>
        <v/>
      </c>
      <c r="Y197">
        <f>HYPERLINK("https://klasma.github.io/Logging_2462/tillsynsmail/A 38128-2024 tillsynsbegäran mail.docx", "A 38128-2024")</f>
        <v/>
      </c>
    </row>
    <row r="198" ht="15" customHeight="1">
      <c r="A198" t="inlineStr">
        <is>
          <t>A 38282-2024</t>
        </is>
      </c>
      <c r="B198" s="1" t="n">
        <v>45545</v>
      </c>
      <c r="C198" s="1" t="n">
        <v>45628</v>
      </c>
      <c r="D198" t="inlineStr">
        <is>
          <t>VÄSTERBOTTENS LÄN</t>
        </is>
      </c>
      <c r="E198" t="inlineStr">
        <is>
          <t>VILHELMINA</t>
        </is>
      </c>
      <c r="F198" t="inlineStr">
        <is>
          <t>SCA</t>
        </is>
      </c>
      <c r="G198" t="n">
        <v>3.4</v>
      </c>
      <c r="H198" t="n">
        <v>0</v>
      </c>
      <c r="I198" t="n">
        <v>0</v>
      </c>
      <c r="J198" t="n">
        <v>1</v>
      </c>
      <c r="K198" t="n">
        <v>0</v>
      </c>
      <c r="L198" t="n">
        <v>0</v>
      </c>
      <c r="M198" t="n">
        <v>0</v>
      </c>
      <c r="N198" t="n">
        <v>0</v>
      </c>
      <c r="O198" t="n">
        <v>1</v>
      </c>
      <c r="P198" t="n">
        <v>0</v>
      </c>
      <c r="Q198" t="n">
        <v>1</v>
      </c>
      <c r="R198" s="2" t="inlineStr">
        <is>
          <t>Gränsticka</t>
        </is>
      </c>
      <c r="S198">
        <f>HYPERLINK("https://klasma.github.io/Logging_2462/artfynd/A 38282-2024 artfynd.xlsx", "A 38282-2024")</f>
        <v/>
      </c>
      <c r="T198">
        <f>HYPERLINK("https://klasma.github.io/Logging_2462/kartor/A 38282-2024 karta.png", "A 38282-2024")</f>
        <v/>
      </c>
      <c r="V198">
        <f>HYPERLINK("https://klasma.github.io/Logging_2462/klagomål/A 38282-2024 FSC-klagomål.docx", "A 38282-2024")</f>
        <v/>
      </c>
      <c r="W198">
        <f>HYPERLINK("https://klasma.github.io/Logging_2462/klagomålsmail/A 38282-2024 FSC-klagomål mail.docx", "A 38282-2024")</f>
        <v/>
      </c>
      <c r="X198">
        <f>HYPERLINK("https://klasma.github.io/Logging_2462/tillsyn/A 38282-2024 tillsynsbegäran.docx", "A 38282-2024")</f>
        <v/>
      </c>
      <c r="Y198">
        <f>HYPERLINK("https://klasma.github.io/Logging_2462/tillsynsmail/A 38282-2024 tillsynsbegäran mail.docx", "A 38282-2024")</f>
        <v/>
      </c>
    </row>
    <row r="199" ht="15" customHeight="1">
      <c r="A199" t="inlineStr">
        <is>
          <t>A 41646-2024</t>
        </is>
      </c>
      <c r="B199" s="1" t="n">
        <v>45560</v>
      </c>
      <c r="C199" s="1" t="n">
        <v>45628</v>
      </c>
      <c r="D199" t="inlineStr">
        <is>
          <t>VÄSTERBOTTENS LÄN</t>
        </is>
      </c>
      <c r="E199" t="inlineStr">
        <is>
          <t>VILHELMINA</t>
        </is>
      </c>
      <c r="F199" t="inlineStr">
        <is>
          <t>SCA</t>
        </is>
      </c>
      <c r="G199" t="n">
        <v>4.8</v>
      </c>
      <c r="H199" t="n">
        <v>0</v>
      </c>
      <c r="I199" t="n">
        <v>0</v>
      </c>
      <c r="J199" t="n">
        <v>1</v>
      </c>
      <c r="K199" t="n">
        <v>0</v>
      </c>
      <c r="L199" t="n">
        <v>0</v>
      </c>
      <c r="M199" t="n">
        <v>0</v>
      </c>
      <c r="N199" t="n">
        <v>0</v>
      </c>
      <c r="O199" t="n">
        <v>1</v>
      </c>
      <c r="P199" t="n">
        <v>0</v>
      </c>
      <c r="Q199" t="n">
        <v>1</v>
      </c>
      <c r="R199" s="2" t="inlineStr">
        <is>
          <t>Ullticka</t>
        </is>
      </c>
      <c r="S199">
        <f>HYPERLINK("https://klasma.github.io/Logging_2462/artfynd/A 41646-2024 artfynd.xlsx", "A 41646-2024")</f>
        <v/>
      </c>
      <c r="T199">
        <f>HYPERLINK("https://klasma.github.io/Logging_2462/kartor/A 41646-2024 karta.png", "A 41646-2024")</f>
        <v/>
      </c>
      <c r="V199">
        <f>HYPERLINK("https://klasma.github.io/Logging_2462/klagomål/A 41646-2024 FSC-klagomål.docx", "A 41646-2024")</f>
        <v/>
      </c>
      <c r="W199">
        <f>HYPERLINK("https://klasma.github.io/Logging_2462/klagomålsmail/A 41646-2024 FSC-klagomål mail.docx", "A 41646-2024")</f>
        <v/>
      </c>
      <c r="X199">
        <f>HYPERLINK("https://klasma.github.io/Logging_2462/tillsyn/A 41646-2024 tillsynsbegäran.docx", "A 41646-2024")</f>
        <v/>
      </c>
      <c r="Y199">
        <f>HYPERLINK("https://klasma.github.io/Logging_2462/tillsynsmail/A 41646-2024 tillsynsbegäran mail.docx", "A 41646-2024")</f>
        <v/>
      </c>
    </row>
    <row r="200" ht="15" customHeight="1">
      <c r="A200" t="inlineStr">
        <is>
          <t>A 42489-2024</t>
        </is>
      </c>
      <c r="B200" s="1" t="n">
        <v>45565</v>
      </c>
      <c r="C200" s="1" t="n">
        <v>45628</v>
      </c>
      <c r="D200" t="inlineStr">
        <is>
          <t>VÄSTERBOTTENS LÄN</t>
        </is>
      </c>
      <c r="E200" t="inlineStr">
        <is>
          <t>VILHELMINA</t>
        </is>
      </c>
      <c r="F200" t="inlineStr">
        <is>
          <t>SCA</t>
        </is>
      </c>
      <c r="G200" t="n">
        <v>1.9</v>
      </c>
      <c r="H200" t="n">
        <v>0</v>
      </c>
      <c r="I200" t="n">
        <v>0</v>
      </c>
      <c r="J200" t="n">
        <v>1</v>
      </c>
      <c r="K200" t="n">
        <v>0</v>
      </c>
      <c r="L200" t="n">
        <v>0</v>
      </c>
      <c r="M200" t="n">
        <v>0</v>
      </c>
      <c r="N200" t="n">
        <v>0</v>
      </c>
      <c r="O200" t="n">
        <v>1</v>
      </c>
      <c r="P200" t="n">
        <v>0</v>
      </c>
      <c r="Q200" t="n">
        <v>1</v>
      </c>
      <c r="R200" s="2" t="inlineStr">
        <is>
          <t>Granticka</t>
        </is>
      </c>
      <c r="S200">
        <f>HYPERLINK("https://klasma.github.io/Logging_2462/artfynd/A 42489-2024 artfynd.xlsx", "A 42489-2024")</f>
        <v/>
      </c>
      <c r="T200">
        <f>HYPERLINK("https://klasma.github.io/Logging_2462/kartor/A 42489-2024 karta.png", "A 42489-2024")</f>
        <v/>
      </c>
      <c r="V200">
        <f>HYPERLINK("https://klasma.github.io/Logging_2462/klagomål/A 42489-2024 FSC-klagomål.docx", "A 42489-2024")</f>
        <v/>
      </c>
      <c r="W200">
        <f>HYPERLINK("https://klasma.github.io/Logging_2462/klagomålsmail/A 42489-2024 FSC-klagomål mail.docx", "A 42489-2024")</f>
        <v/>
      </c>
      <c r="X200">
        <f>HYPERLINK("https://klasma.github.io/Logging_2462/tillsyn/A 42489-2024 tillsynsbegäran.docx", "A 42489-2024")</f>
        <v/>
      </c>
      <c r="Y200">
        <f>HYPERLINK("https://klasma.github.io/Logging_2462/tillsynsmail/A 42489-2024 tillsynsbegäran mail.docx", "A 42489-2024")</f>
        <v/>
      </c>
    </row>
    <row r="201" ht="15" customHeight="1">
      <c r="A201" t="inlineStr">
        <is>
          <t>A 44286-2024</t>
        </is>
      </c>
      <c r="B201" s="1" t="n">
        <v>45573</v>
      </c>
      <c r="C201" s="1" t="n">
        <v>45628</v>
      </c>
      <c r="D201" t="inlineStr">
        <is>
          <t>VÄSTERBOTTENS LÄN</t>
        </is>
      </c>
      <c r="E201" t="inlineStr">
        <is>
          <t>VILHELMINA</t>
        </is>
      </c>
      <c r="G201" t="n">
        <v>29.2</v>
      </c>
      <c r="H201" t="n">
        <v>1</v>
      </c>
      <c r="I201" t="n">
        <v>0</v>
      </c>
      <c r="J201" t="n">
        <v>1</v>
      </c>
      <c r="K201" t="n">
        <v>0</v>
      </c>
      <c r="L201" t="n">
        <v>0</v>
      </c>
      <c r="M201" t="n">
        <v>0</v>
      </c>
      <c r="N201" t="n">
        <v>0</v>
      </c>
      <c r="O201" t="n">
        <v>1</v>
      </c>
      <c r="P201" t="n">
        <v>0</v>
      </c>
      <c r="Q201" t="n">
        <v>1</v>
      </c>
      <c r="R201" s="2" t="inlineStr">
        <is>
          <t>Videsparv</t>
        </is>
      </c>
      <c r="S201">
        <f>HYPERLINK("https://klasma.github.io/Logging_2462/artfynd/A 44286-2024 artfynd.xlsx", "A 44286-2024")</f>
        <v/>
      </c>
      <c r="T201">
        <f>HYPERLINK("https://klasma.github.io/Logging_2462/kartor/A 44286-2024 karta.png", "A 44286-2024")</f>
        <v/>
      </c>
      <c r="V201">
        <f>HYPERLINK("https://klasma.github.io/Logging_2462/klagomål/A 44286-2024 FSC-klagomål.docx", "A 44286-2024")</f>
        <v/>
      </c>
      <c r="W201">
        <f>HYPERLINK("https://klasma.github.io/Logging_2462/klagomålsmail/A 44286-2024 FSC-klagomål mail.docx", "A 44286-2024")</f>
        <v/>
      </c>
      <c r="X201">
        <f>HYPERLINK("https://klasma.github.io/Logging_2462/tillsyn/A 44286-2024 tillsynsbegäran.docx", "A 44286-2024")</f>
        <v/>
      </c>
      <c r="Y201">
        <f>HYPERLINK("https://klasma.github.io/Logging_2462/tillsynsmail/A 44286-2024 tillsynsbegäran mail.docx", "A 44286-2024")</f>
        <v/>
      </c>
      <c r="Z201">
        <f>HYPERLINK("https://klasma.github.io/Logging_2462/fåglar/A 44286-2024 prioriterade fågelarter.docx", "A 44286-2024")</f>
        <v/>
      </c>
    </row>
    <row r="202" ht="15" customHeight="1">
      <c r="A202" t="inlineStr">
        <is>
          <t>A 47248-2024</t>
        </is>
      </c>
      <c r="B202" s="1" t="n">
        <v>45586</v>
      </c>
      <c r="C202" s="1" t="n">
        <v>45628</v>
      </c>
      <c r="D202" t="inlineStr">
        <is>
          <t>VÄSTERBOTTENS LÄN</t>
        </is>
      </c>
      <c r="E202" t="inlineStr">
        <is>
          <t>VILHELMINA</t>
        </is>
      </c>
      <c r="F202" t="inlineStr">
        <is>
          <t>SCA</t>
        </is>
      </c>
      <c r="G202" t="n">
        <v>4</v>
      </c>
      <c r="H202" t="n">
        <v>0</v>
      </c>
      <c r="I202" t="n">
        <v>0</v>
      </c>
      <c r="J202" t="n">
        <v>1</v>
      </c>
      <c r="K202" t="n">
        <v>0</v>
      </c>
      <c r="L202" t="n">
        <v>0</v>
      </c>
      <c r="M202" t="n">
        <v>0</v>
      </c>
      <c r="N202" t="n">
        <v>0</v>
      </c>
      <c r="O202" t="n">
        <v>1</v>
      </c>
      <c r="P202" t="n">
        <v>0</v>
      </c>
      <c r="Q202" t="n">
        <v>1</v>
      </c>
      <c r="R202" s="2" t="inlineStr">
        <is>
          <t>Granticka</t>
        </is>
      </c>
      <c r="S202">
        <f>HYPERLINK("https://klasma.github.io/Logging_2462/artfynd/A 47248-2024 artfynd.xlsx", "A 47248-2024")</f>
        <v/>
      </c>
      <c r="T202">
        <f>HYPERLINK("https://klasma.github.io/Logging_2462/kartor/A 47248-2024 karta.png", "A 47248-2024")</f>
        <v/>
      </c>
      <c r="V202">
        <f>HYPERLINK("https://klasma.github.io/Logging_2462/klagomål/A 47248-2024 FSC-klagomål.docx", "A 47248-2024")</f>
        <v/>
      </c>
      <c r="W202">
        <f>HYPERLINK("https://klasma.github.io/Logging_2462/klagomålsmail/A 47248-2024 FSC-klagomål mail.docx", "A 47248-2024")</f>
        <v/>
      </c>
      <c r="X202">
        <f>HYPERLINK("https://klasma.github.io/Logging_2462/tillsyn/A 47248-2024 tillsynsbegäran.docx", "A 47248-2024")</f>
        <v/>
      </c>
      <c r="Y202">
        <f>HYPERLINK("https://klasma.github.io/Logging_2462/tillsynsmail/A 47248-2024 tillsynsbegäran mail.docx", "A 47248-2024")</f>
        <v/>
      </c>
    </row>
    <row r="203" ht="15" customHeight="1">
      <c r="A203" t="inlineStr">
        <is>
          <t>A 18521-2019</t>
        </is>
      </c>
      <c r="B203" s="1" t="n">
        <v>43558</v>
      </c>
      <c r="C203" s="1" t="n">
        <v>45628</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45628</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45628</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45628</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45628</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45628</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45628</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45628</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45628</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45628</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45628</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45628</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45628</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45628</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45628</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45628</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45628</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45628</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45628</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45628</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45628</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45628</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45628</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45628</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45628</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45628</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45628</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45628</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45628</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45628</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45628</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45628</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45628</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45628</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45628</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45628</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45628</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45628</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45628</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45628</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45628</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45628</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45628</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45628</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45628</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45628</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45628</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45628</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45628</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45628</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45628</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45628</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45628</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45628</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45628</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45628</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45628</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45628</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45628</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45628</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45628</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45628</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45628</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45628</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45628</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45628</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45628</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45628</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45628</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45628</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45628</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45628</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45628</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45628</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45628</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45628</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45628</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45628</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45628</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45628</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45628</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45628</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45628</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45628</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45628</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45628</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45628</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45628</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45628</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45628</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45628</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45628</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45628</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45628</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45628</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45628</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45628</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45628</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45628</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45628</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45628</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45628</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45628</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45628</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45628</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45628</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45628</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45628</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45628</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45628</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45628</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45628</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45628</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45628</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45628</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45628</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45628</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45628</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45628</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45628</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45628</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45628</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45628</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45628</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45628</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45628</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45628</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45628</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45628</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45628</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45628</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45628</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45628</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45628</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45628</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45628</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45628</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45628</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45628</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45628</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45628</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45628</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45628</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45628</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45628</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45628</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45628</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45628</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45628</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45628</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45628</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45628</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45628</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45628</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45628</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45628</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45628</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45628</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45628</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45628</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45628</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45628</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45628</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45628</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45628</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45628</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45628</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45628</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45628</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45628</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45628</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45628</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45628</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45628</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45628</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18802-2021</t>
        </is>
      </c>
      <c r="B378" s="1" t="n">
        <v>44307</v>
      </c>
      <c r="C378" s="1" t="n">
        <v>45628</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18781-2021</t>
        </is>
      </c>
      <c r="B379" s="1" t="n">
        <v>44307</v>
      </c>
      <c r="C379" s="1" t="n">
        <v>45628</v>
      </c>
      <c r="D379" t="inlineStr">
        <is>
          <t>VÄSTERBOTTENS LÄN</t>
        </is>
      </c>
      <c r="E379" t="inlineStr">
        <is>
          <t>VILHELMINA</t>
        </is>
      </c>
      <c r="G379" t="n">
        <v>3.5</v>
      </c>
      <c r="H379" t="n">
        <v>0</v>
      </c>
      <c r="I379" t="n">
        <v>0</v>
      </c>
      <c r="J379" t="n">
        <v>0</v>
      </c>
      <c r="K379" t="n">
        <v>0</v>
      </c>
      <c r="L379" t="n">
        <v>0</v>
      </c>
      <c r="M379" t="n">
        <v>0</v>
      </c>
      <c r="N379" t="n">
        <v>0</v>
      </c>
      <c r="O379" t="n">
        <v>0</v>
      </c>
      <c r="P379" t="n">
        <v>0</v>
      </c>
      <c r="Q379" t="n">
        <v>0</v>
      </c>
      <c r="R379" s="2" t="inlineStr"/>
    </row>
    <row r="380" ht="15" customHeight="1">
      <c r="A380" t="inlineStr">
        <is>
          <t>A 18971-2021</t>
        </is>
      </c>
      <c r="B380" s="1" t="n">
        <v>44307</v>
      </c>
      <c r="C380" s="1" t="n">
        <v>45628</v>
      </c>
      <c r="D380" t="inlineStr">
        <is>
          <t>VÄSTERBOTTENS LÄN</t>
        </is>
      </c>
      <c r="E380" t="inlineStr">
        <is>
          <t>VILHELMINA</t>
        </is>
      </c>
      <c r="G380" t="n">
        <v>2</v>
      </c>
      <c r="H380" t="n">
        <v>0</v>
      </c>
      <c r="I380" t="n">
        <v>0</v>
      </c>
      <c r="J380" t="n">
        <v>0</v>
      </c>
      <c r="K380" t="n">
        <v>0</v>
      </c>
      <c r="L380" t="n">
        <v>0</v>
      </c>
      <c r="M380" t="n">
        <v>0</v>
      </c>
      <c r="N380" t="n">
        <v>0</v>
      </c>
      <c r="O380" t="n">
        <v>0</v>
      </c>
      <c r="P380" t="n">
        <v>0</v>
      </c>
      <c r="Q380" t="n">
        <v>0</v>
      </c>
      <c r="R380" s="2" t="inlineStr"/>
    </row>
    <row r="381" ht="15" customHeight="1">
      <c r="A381" t="inlineStr">
        <is>
          <t>A 18790-2021</t>
        </is>
      </c>
      <c r="B381" s="1" t="n">
        <v>44307</v>
      </c>
      <c r="C381" s="1" t="n">
        <v>45628</v>
      </c>
      <c r="D381" t="inlineStr">
        <is>
          <t>VÄSTERBOTTENS LÄN</t>
        </is>
      </c>
      <c r="E381" t="inlineStr">
        <is>
          <t>VILHELMINA</t>
        </is>
      </c>
      <c r="G381" t="n">
        <v>1.1</v>
      </c>
      <c r="H381" t="n">
        <v>0</v>
      </c>
      <c r="I381" t="n">
        <v>0</v>
      </c>
      <c r="J381" t="n">
        <v>0</v>
      </c>
      <c r="K381" t="n">
        <v>0</v>
      </c>
      <c r="L381" t="n">
        <v>0</v>
      </c>
      <c r="M381" t="n">
        <v>0</v>
      </c>
      <c r="N381" t="n">
        <v>0</v>
      </c>
      <c r="O381" t="n">
        <v>0</v>
      </c>
      <c r="P381" t="n">
        <v>0</v>
      </c>
      <c r="Q381" t="n">
        <v>0</v>
      </c>
      <c r="R381" s="2" t="inlineStr"/>
    </row>
    <row r="382" ht="15" customHeight="1">
      <c r="A382" t="inlineStr">
        <is>
          <t>A 18950-2021</t>
        </is>
      </c>
      <c r="B382" s="1" t="n">
        <v>44307</v>
      </c>
      <c r="C382" s="1" t="n">
        <v>45628</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20568-2021</t>
        </is>
      </c>
      <c r="B383" s="1" t="n">
        <v>44316</v>
      </c>
      <c r="C383" s="1" t="n">
        <v>45628</v>
      </c>
      <c r="D383" t="inlineStr">
        <is>
          <t>VÄSTERBOTTENS LÄN</t>
        </is>
      </c>
      <c r="E383" t="inlineStr">
        <is>
          <t>VILHELMINA</t>
        </is>
      </c>
      <c r="G383" t="n">
        <v>0.7</v>
      </c>
      <c r="H383" t="n">
        <v>0</v>
      </c>
      <c r="I383" t="n">
        <v>0</v>
      </c>
      <c r="J383" t="n">
        <v>0</v>
      </c>
      <c r="K383" t="n">
        <v>0</v>
      </c>
      <c r="L383" t="n">
        <v>0</v>
      </c>
      <c r="M383" t="n">
        <v>0</v>
      </c>
      <c r="N383" t="n">
        <v>0</v>
      </c>
      <c r="O383" t="n">
        <v>0</v>
      </c>
      <c r="P383" t="n">
        <v>0</v>
      </c>
      <c r="Q383" t="n">
        <v>0</v>
      </c>
      <c r="R383" s="2" t="inlineStr"/>
    </row>
    <row r="384" ht="15" customHeight="1">
      <c r="A384" t="inlineStr">
        <is>
          <t>A 20653-2021</t>
        </is>
      </c>
      <c r="B384" s="1" t="n">
        <v>44316</v>
      </c>
      <c r="C384" s="1" t="n">
        <v>45628</v>
      </c>
      <c r="D384" t="inlineStr">
        <is>
          <t>VÄSTERBOTTENS LÄN</t>
        </is>
      </c>
      <c r="E384" t="inlineStr">
        <is>
          <t>VILHELMINA</t>
        </is>
      </c>
      <c r="F384" t="inlineStr">
        <is>
          <t>Kommuner</t>
        </is>
      </c>
      <c r="G384" t="n">
        <v>2.5</v>
      </c>
      <c r="H384" t="n">
        <v>0</v>
      </c>
      <c r="I384" t="n">
        <v>0</v>
      </c>
      <c r="J384" t="n">
        <v>0</v>
      </c>
      <c r="K384" t="n">
        <v>0</v>
      </c>
      <c r="L384" t="n">
        <v>0</v>
      </c>
      <c r="M384" t="n">
        <v>0</v>
      </c>
      <c r="N384" t="n">
        <v>0</v>
      </c>
      <c r="O384" t="n">
        <v>0</v>
      </c>
      <c r="P384" t="n">
        <v>0</v>
      </c>
      <c r="Q384" t="n">
        <v>0</v>
      </c>
      <c r="R384" s="2" t="inlineStr"/>
    </row>
    <row r="385" ht="15" customHeight="1">
      <c r="A385" t="inlineStr">
        <is>
          <t>A 21726-2021</t>
        </is>
      </c>
      <c r="B385" s="1" t="n">
        <v>44322</v>
      </c>
      <c r="C385" s="1" t="n">
        <v>45628</v>
      </c>
      <c r="D385" t="inlineStr">
        <is>
          <t>VÄSTERBOTTENS LÄN</t>
        </is>
      </c>
      <c r="E385" t="inlineStr">
        <is>
          <t>VILHELMINA</t>
        </is>
      </c>
      <c r="G385" t="n">
        <v>19.6</v>
      </c>
      <c r="H385" t="n">
        <v>0</v>
      </c>
      <c r="I385" t="n">
        <v>0</v>
      </c>
      <c r="J385" t="n">
        <v>0</v>
      </c>
      <c r="K385" t="n">
        <v>0</v>
      </c>
      <c r="L385" t="n">
        <v>0</v>
      </c>
      <c r="M385" t="n">
        <v>0</v>
      </c>
      <c r="N385" t="n">
        <v>0</v>
      </c>
      <c r="O385" t="n">
        <v>0</v>
      </c>
      <c r="P385" t="n">
        <v>0</v>
      </c>
      <c r="Q385" t="n">
        <v>0</v>
      </c>
      <c r="R385" s="2" t="inlineStr"/>
    </row>
    <row r="386" ht="15" customHeight="1">
      <c r="A386" t="inlineStr">
        <is>
          <t>A 23278-2021</t>
        </is>
      </c>
      <c r="B386" s="1" t="n">
        <v>44328</v>
      </c>
      <c r="C386" s="1" t="n">
        <v>45628</v>
      </c>
      <c r="D386" t="inlineStr">
        <is>
          <t>VÄSTERBOTTENS LÄN</t>
        </is>
      </c>
      <c r="E386" t="inlineStr">
        <is>
          <t>VILHELMINA</t>
        </is>
      </c>
      <c r="F386" t="inlineStr">
        <is>
          <t>Allmännings- och besparingsskogar</t>
        </is>
      </c>
      <c r="G386" t="n">
        <v>13.6</v>
      </c>
      <c r="H386" t="n">
        <v>0</v>
      </c>
      <c r="I386" t="n">
        <v>0</v>
      </c>
      <c r="J386" t="n">
        <v>0</v>
      </c>
      <c r="K386" t="n">
        <v>0</v>
      </c>
      <c r="L386" t="n">
        <v>0</v>
      </c>
      <c r="M386" t="n">
        <v>0</v>
      </c>
      <c r="N386" t="n">
        <v>0</v>
      </c>
      <c r="O386" t="n">
        <v>0</v>
      </c>
      <c r="P386" t="n">
        <v>0</v>
      </c>
      <c r="Q386" t="n">
        <v>0</v>
      </c>
      <c r="R386" s="2" t="inlineStr"/>
    </row>
    <row r="387" ht="15" customHeight="1">
      <c r="A387" t="inlineStr">
        <is>
          <t>A 23270-2021</t>
        </is>
      </c>
      <c r="B387" s="1" t="n">
        <v>44328</v>
      </c>
      <c r="C387" s="1" t="n">
        <v>45628</v>
      </c>
      <c r="D387" t="inlineStr">
        <is>
          <t>VÄSTERBOTTENS LÄN</t>
        </is>
      </c>
      <c r="E387" t="inlineStr">
        <is>
          <t>VILHELMINA</t>
        </is>
      </c>
      <c r="F387" t="inlineStr">
        <is>
          <t>Allmännings- och besparingsskogar</t>
        </is>
      </c>
      <c r="G387" t="n">
        <v>14.7</v>
      </c>
      <c r="H387" t="n">
        <v>0</v>
      </c>
      <c r="I387" t="n">
        <v>0</v>
      </c>
      <c r="J387" t="n">
        <v>0</v>
      </c>
      <c r="K387" t="n">
        <v>0</v>
      </c>
      <c r="L387" t="n">
        <v>0</v>
      </c>
      <c r="M387" t="n">
        <v>0</v>
      </c>
      <c r="N387" t="n">
        <v>0</v>
      </c>
      <c r="O387" t="n">
        <v>0</v>
      </c>
      <c r="P387" t="n">
        <v>0</v>
      </c>
      <c r="Q387" t="n">
        <v>0</v>
      </c>
      <c r="R387" s="2" t="inlineStr"/>
    </row>
    <row r="388" ht="15" customHeight="1">
      <c r="A388" t="inlineStr">
        <is>
          <t>A 23261-2021</t>
        </is>
      </c>
      <c r="B388" s="1" t="n">
        <v>44330</v>
      </c>
      <c r="C388" s="1" t="n">
        <v>45628</v>
      </c>
      <c r="D388" t="inlineStr">
        <is>
          <t>VÄSTERBOTTENS LÄN</t>
        </is>
      </c>
      <c r="E388" t="inlineStr">
        <is>
          <t>VILHELMINA</t>
        </is>
      </c>
      <c r="G388" t="n">
        <v>4.5</v>
      </c>
      <c r="H388" t="n">
        <v>0</v>
      </c>
      <c r="I388" t="n">
        <v>0</v>
      </c>
      <c r="J388" t="n">
        <v>0</v>
      </c>
      <c r="K388" t="n">
        <v>0</v>
      </c>
      <c r="L388" t="n">
        <v>0</v>
      </c>
      <c r="M388" t="n">
        <v>0</v>
      </c>
      <c r="N388" t="n">
        <v>0</v>
      </c>
      <c r="O388" t="n">
        <v>0</v>
      </c>
      <c r="P388" t="n">
        <v>0</v>
      </c>
      <c r="Q388" t="n">
        <v>0</v>
      </c>
      <c r="R388" s="2" t="inlineStr"/>
    </row>
    <row r="389" ht="15" customHeight="1">
      <c r="A389" t="inlineStr">
        <is>
          <t>A 24983-2021</t>
        </is>
      </c>
      <c r="B389" s="1" t="n">
        <v>44341</v>
      </c>
      <c r="C389" s="1" t="n">
        <v>45628</v>
      </c>
      <c r="D389" t="inlineStr">
        <is>
          <t>VÄSTERBOTTENS LÄN</t>
        </is>
      </c>
      <c r="E389" t="inlineStr">
        <is>
          <t>VILHELMINA</t>
        </is>
      </c>
      <c r="G389" t="n">
        <v>12.9</v>
      </c>
      <c r="H389" t="n">
        <v>0</v>
      </c>
      <c r="I389" t="n">
        <v>0</v>
      </c>
      <c r="J389" t="n">
        <v>0</v>
      </c>
      <c r="K389" t="n">
        <v>0</v>
      </c>
      <c r="L389" t="n">
        <v>0</v>
      </c>
      <c r="M389" t="n">
        <v>0</v>
      </c>
      <c r="N389" t="n">
        <v>0</v>
      </c>
      <c r="O389" t="n">
        <v>0</v>
      </c>
      <c r="P389" t="n">
        <v>0</v>
      </c>
      <c r="Q389" t="n">
        <v>0</v>
      </c>
      <c r="R389" s="2" t="inlineStr"/>
    </row>
    <row r="390" ht="15" customHeight="1">
      <c r="A390" t="inlineStr">
        <is>
          <t>A 24599-2021</t>
        </is>
      </c>
      <c r="B390" s="1" t="n">
        <v>44341</v>
      </c>
      <c r="C390" s="1" t="n">
        <v>45628</v>
      </c>
      <c r="D390" t="inlineStr">
        <is>
          <t>VÄSTERBOTTENS LÄN</t>
        </is>
      </c>
      <c r="E390" t="inlineStr">
        <is>
          <t>VILHELMINA</t>
        </is>
      </c>
      <c r="G390" t="n">
        <v>14.5</v>
      </c>
      <c r="H390" t="n">
        <v>0</v>
      </c>
      <c r="I390" t="n">
        <v>0</v>
      </c>
      <c r="J390" t="n">
        <v>0</v>
      </c>
      <c r="K390" t="n">
        <v>0</v>
      </c>
      <c r="L390" t="n">
        <v>0</v>
      </c>
      <c r="M390" t="n">
        <v>0</v>
      </c>
      <c r="N390" t="n">
        <v>0</v>
      </c>
      <c r="O390" t="n">
        <v>0</v>
      </c>
      <c r="P390" t="n">
        <v>0</v>
      </c>
      <c r="Q390" t="n">
        <v>0</v>
      </c>
      <c r="R390" s="2" t="inlineStr"/>
    </row>
    <row r="391" ht="15" customHeight="1">
      <c r="A391" t="inlineStr">
        <is>
          <t>A 25102-2021</t>
        </is>
      </c>
      <c r="B391" s="1" t="n">
        <v>44341</v>
      </c>
      <c r="C391" s="1" t="n">
        <v>45628</v>
      </c>
      <c r="D391" t="inlineStr">
        <is>
          <t>VÄSTERBOTTENS LÄN</t>
        </is>
      </c>
      <c r="E391" t="inlineStr">
        <is>
          <t>VILHELMINA</t>
        </is>
      </c>
      <c r="G391" t="n">
        <v>6.7</v>
      </c>
      <c r="H391" t="n">
        <v>0</v>
      </c>
      <c r="I391" t="n">
        <v>0</v>
      </c>
      <c r="J391" t="n">
        <v>0</v>
      </c>
      <c r="K391" t="n">
        <v>0</v>
      </c>
      <c r="L391" t="n">
        <v>0</v>
      </c>
      <c r="M391" t="n">
        <v>0</v>
      </c>
      <c r="N391" t="n">
        <v>0</v>
      </c>
      <c r="O391" t="n">
        <v>0</v>
      </c>
      <c r="P391" t="n">
        <v>0</v>
      </c>
      <c r="Q391" t="n">
        <v>0</v>
      </c>
      <c r="R391" s="2" t="inlineStr"/>
    </row>
    <row r="392" ht="15" customHeight="1">
      <c r="A392" t="inlineStr">
        <is>
          <t>A 26483-2021</t>
        </is>
      </c>
      <c r="B392" s="1" t="n">
        <v>44347</v>
      </c>
      <c r="C392" s="1" t="n">
        <v>45628</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28269-2021</t>
        </is>
      </c>
      <c r="B393" s="1" t="n">
        <v>44356</v>
      </c>
      <c r="C393" s="1" t="n">
        <v>45628</v>
      </c>
      <c r="D393" t="inlineStr">
        <is>
          <t>VÄSTERBOTTENS LÄN</t>
        </is>
      </c>
      <c r="E393" t="inlineStr">
        <is>
          <t>VILHELMINA</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28272-2021</t>
        </is>
      </c>
      <c r="B394" s="1" t="n">
        <v>44356</v>
      </c>
      <c r="C394" s="1" t="n">
        <v>45628</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28895-2021</t>
        </is>
      </c>
      <c r="B395" s="1" t="n">
        <v>44357</v>
      </c>
      <c r="C395" s="1" t="n">
        <v>45628</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29347-2021</t>
        </is>
      </c>
      <c r="B396" s="1" t="n">
        <v>44361</v>
      </c>
      <c r="C396" s="1" t="n">
        <v>45628</v>
      </c>
      <c r="D396" t="inlineStr">
        <is>
          <t>VÄSTERBOTTENS LÄN</t>
        </is>
      </c>
      <c r="E396" t="inlineStr">
        <is>
          <t>VILHELMINA</t>
        </is>
      </c>
      <c r="F396" t="inlineStr">
        <is>
          <t>Allmännings- och besparingsskogar</t>
        </is>
      </c>
      <c r="G396" t="n">
        <v>52</v>
      </c>
      <c r="H396" t="n">
        <v>0</v>
      </c>
      <c r="I396" t="n">
        <v>0</v>
      </c>
      <c r="J396" t="n">
        <v>0</v>
      </c>
      <c r="K396" t="n">
        <v>0</v>
      </c>
      <c r="L396" t="n">
        <v>0</v>
      </c>
      <c r="M396" t="n">
        <v>0</v>
      </c>
      <c r="N396" t="n">
        <v>0</v>
      </c>
      <c r="O396" t="n">
        <v>0</v>
      </c>
      <c r="P396" t="n">
        <v>0</v>
      </c>
      <c r="Q396" t="n">
        <v>0</v>
      </c>
      <c r="R396" s="2" t="inlineStr"/>
    </row>
    <row r="397" ht="15" customHeight="1">
      <c r="A397" t="inlineStr">
        <is>
          <t>A 29332-2021</t>
        </is>
      </c>
      <c r="B397" s="1" t="n">
        <v>44361</v>
      </c>
      <c r="C397" s="1" t="n">
        <v>45628</v>
      </c>
      <c r="D397" t="inlineStr">
        <is>
          <t>VÄSTERBOTTENS LÄN</t>
        </is>
      </c>
      <c r="E397" t="inlineStr">
        <is>
          <t>VILHELMINA</t>
        </is>
      </c>
      <c r="F397" t="inlineStr">
        <is>
          <t>Allmännings- och besparingsskogar</t>
        </is>
      </c>
      <c r="G397" t="n">
        <v>51.8</v>
      </c>
      <c r="H397" t="n">
        <v>0</v>
      </c>
      <c r="I397" t="n">
        <v>0</v>
      </c>
      <c r="J397" t="n">
        <v>0</v>
      </c>
      <c r="K397" t="n">
        <v>0</v>
      </c>
      <c r="L397" t="n">
        <v>0</v>
      </c>
      <c r="M397" t="n">
        <v>0</v>
      </c>
      <c r="N397" t="n">
        <v>0</v>
      </c>
      <c r="O397" t="n">
        <v>0</v>
      </c>
      <c r="P397" t="n">
        <v>0</v>
      </c>
      <c r="Q397" t="n">
        <v>0</v>
      </c>
      <c r="R397" s="2" t="inlineStr"/>
    </row>
    <row r="398" ht="15" customHeight="1">
      <c r="A398" t="inlineStr">
        <is>
          <t>A 31722-2021</t>
        </is>
      </c>
      <c r="B398" s="1" t="n">
        <v>44370</v>
      </c>
      <c r="C398" s="1" t="n">
        <v>45628</v>
      </c>
      <c r="D398" t="inlineStr">
        <is>
          <t>VÄSTERBOTTENS LÄN</t>
        </is>
      </c>
      <c r="E398" t="inlineStr">
        <is>
          <t>VILHELMINA</t>
        </is>
      </c>
      <c r="G398" t="n">
        <v>2.8</v>
      </c>
      <c r="H398" t="n">
        <v>0</v>
      </c>
      <c r="I398" t="n">
        <v>0</v>
      </c>
      <c r="J398" t="n">
        <v>0</v>
      </c>
      <c r="K398" t="n">
        <v>0</v>
      </c>
      <c r="L398" t="n">
        <v>0</v>
      </c>
      <c r="M398" t="n">
        <v>0</v>
      </c>
      <c r="N398" t="n">
        <v>0</v>
      </c>
      <c r="O398" t="n">
        <v>0</v>
      </c>
      <c r="P398" t="n">
        <v>0</v>
      </c>
      <c r="Q398" t="n">
        <v>0</v>
      </c>
      <c r="R398" s="2" t="inlineStr"/>
    </row>
    <row r="399" ht="15" customHeight="1">
      <c r="A399" t="inlineStr">
        <is>
          <t>A 32665-2021</t>
        </is>
      </c>
      <c r="B399" s="1" t="n">
        <v>44371</v>
      </c>
      <c r="C399" s="1" t="n">
        <v>45628</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32672-2021</t>
        </is>
      </c>
      <c r="B400" s="1" t="n">
        <v>44371</v>
      </c>
      <c r="C400" s="1" t="n">
        <v>45628</v>
      </c>
      <c r="D400" t="inlineStr">
        <is>
          <t>VÄSTERBOTTENS LÄN</t>
        </is>
      </c>
      <c r="E400" t="inlineStr">
        <is>
          <t>VILHELMINA</t>
        </is>
      </c>
      <c r="G400" t="n">
        <v>4.5</v>
      </c>
      <c r="H400" t="n">
        <v>0</v>
      </c>
      <c r="I400" t="n">
        <v>0</v>
      </c>
      <c r="J400" t="n">
        <v>0</v>
      </c>
      <c r="K400" t="n">
        <v>0</v>
      </c>
      <c r="L400" t="n">
        <v>0</v>
      </c>
      <c r="M400" t="n">
        <v>0</v>
      </c>
      <c r="N400" t="n">
        <v>0</v>
      </c>
      <c r="O400" t="n">
        <v>0</v>
      </c>
      <c r="P400" t="n">
        <v>0</v>
      </c>
      <c r="Q400" t="n">
        <v>0</v>
      </c>
      <c r="R400" s="2" t="inlineStr"/>
    </row>
    <row r="401" ht="15" customHeight="1">
      <c r="A401" t="inlineStr">
        <is>
          <t>A 32658-2021</t>
        </is>
      </c>
      <c r="B401" s="1" t="n">
        <v>44371</v>
      </c>
      <c r="C401" s="1" t="n">
        <v>45628</v>
      </c>
      <c r="D401" t="inlineStr">
        <is>
          <t>VÄSTERBOTTENS LÄN</t>
        </is>
      </c>
      <c r="E401" t="inlineStr">
        <is>
          <t>VILHELMINA</t>
        </is>
      </c>
      <c r="G401" t="n">
        <v>2.2</v>
      </c>
      <c r="H401" t="n">
        <v>0</v>
      </c>
      <c r="I401" t="n">
        <v>0</v>
      </c>
      <c r="J401" t="n">
        <v>0</v>
      </c>
      <c r="K401" t="n">
        <v>0</v>
      </c>
      <c r="L401" t="n">
        <v>0</v>
      </c>
      <c r="M401" t="n">
        <v>0</v>
      </c>
      <c r="N401" t="n">
        <v>0</v>
      </c>
      <c r="O401" t="n">
        <v>0</v>
      </c>
      <c r="P401" t="n">
        <v>0</v>
      </c>
      <c r="Q401" t="n">
        <v>0</v>
      </c>
      <c r="R401" s="2" t="inlineStr"/>
    </row>
    <row r="402" ht="15" customHeight="1">
      <c r="A402" t="inlineStr">
        <is>
          <t>A 32655-2021</t>
        </is>
      </c>
      <c r="B402" s="1" t="n">
        <v>44371</v>
      </c>
      <c r="C402" s="1" t="n">
        <v>45628</v>
      </c>
      <c r="D402" t="inlineStr">
        <is>
          <t>VÄSTERBOTTENS LÄN</t>
        </is>
      </c>
      <c r="E402" t="inlineStr">
        <is>
          <t>VILHELMINA</t>
        </is>
      </c>
      <c r="G402" t="n">
        <v>0.2</v>
      </c>
      <c r="H402" t="n">
        <v>0</v>
      </c>
      <c r="I402" t="n">
        <v>0</v>
      </c>
      <c r="J402" t="n">
        <v>0</v>
      </c>
      <c r="K402" t="n">
        <v>0</v>
      </c>
      <c r="L402" t="n">
        <v>0</v>
      </c>
      <c r="M402" t="n">
        <v>0</v>
      </c>
      <c r="N402" t="n">
        <v>0</v>
      </c>
      <c r="O402" t="n">
        <v>0</v>
      </c>
      <c r="P402" t="n">
        <v>0</v>
      </c>
      <c r="Q402" t="n">
        <v>0</v>
      </c>
      <c r="R402" s="2" t="inlineStr"/>
    </row>
    <row r="403" ht="15" customHeight="1">
      <c r="A403" t="inlineStr">
        <is>
          <t>A 31656-2021</t>
        </is>
      </c>
      <c r="B403" s="1" t="n">
        <v>44377</v>
      </c>
      <c r="C403" s="1" t="n">
        <v>45628</v>
      </c>
      <c r="D403" t="inlineStr">
        <is>
          <t>VÄSTERBOTTENS LÄN</t>
        </is>
      </c>
      <c r="E403" t="inlineStr">
        <is>
          <t>VILHELMINA</t>
        </is>
      </c>
      <c r="G403" t="n">
        <v>0.9</v>
      </c>
      <c r="H403" t="n">
        <v>0</v>
      </c>
      <c r="I403" t="n">
        <v>0</v>
      </c>
      <c r="J403" t="n">
        <v>0</v>
      </c>
      <c r="K403" t="n">
        <v>0</v>
      </c>
      <c r="L403" t="n">
        <v>0</v>
      </c>
      <c r="M403" t="n">
        <v>0</v>
      </c>
      <c r="N403" t="n">
        <v>0</v>
      </c>
      <c r="O403" t="n">
        <v>0</v>
      </c>
      <c r="P403" t="n">
        <v>0</v>
      </c>
      <c r="Q403" t="n">
        <v>0</v>
      </c>
      <c r="R403" s="2" t="inlineStr"/>
    </row>
    <row r="404" ht="15" customHeight="1">
      <c r="A404" t="inlineStr">
        <is>
          <t>A 33636-2021</t>
        </is>
      </c>
      <c r="B404" s="1" t="n">
        <v>44378</v>
      </c>
      <c r="C404" s="1" t="n">
        <v>45628</v>
      </c>
      <c r="D404" t="inlineStr">
        <is>
          <t>VÄSTERBOTTENS LÄN</t>
        </is>
      </c>
      <c r="E404" t="inlineStr">
        <is>
          <t>VILHELMINA</t>
        </is>
      </c>
      <c r="G404" t="n">
        <v>1.6</v>
      </c>
      <c r="H404" t="n">
        <v>0</v>
      </c>
      <c r="I404" t="n">
        <v>0</v>
      </c>
      <c r="J404" t="n">
        <v>0</v>
      </c>
      <c r="K404" t="n">
        <v>0</v>
      </c>
      <c r="L404" t="n">
        <v>0</v>
      </c>
      <c r="M404" t="n">
        <v>0</v>
      </c>
      <c r="N404" t="n">
        <v>0</v>
      </c>
      <c r="O404" t="n">
        <v>0</v>
      </c>
      <c r="P404" t="n">
        <v>0</v>
      </c>
      <c r="Q404" t="n">
        <v>0</v>
      </c>
      <c r="R404" s="2" t="inlineStr"/>
    </row>
    <row r="405" ht="15" customHeight="1">
      <c r="A405" t="inlineStr">
        <is>
          <t>A 34394-2021</t>
        </is>
      </c>
      <c r="B405" s="1" t="n">
        <v>44379</v>
      </c>
      <c r="C405" s="1" t="n">
        <v>45628</v>
      </c>
      <c r="D405" t="inlineStr">
        <is>
          <t>VÄSTERBOTTENS LÄN</t>
        </is>
      </c>
      <c r="E405" t="inlineStr">
        <is>
          <t>VILHELMINA</t>
        </is>
      </c>
      <c r="F405" t="inlineStr">
        <is>
          <t>SCA</t>
        </is>
      </c>
      <c r="G405" t="n">
        <v>11.7</v>
      </c>
      <c r="H405" t="n">
        <v>0</v>
      </c>
      <c r="I405" t="n">
        <v>0</v>
      </c>
      <c r="J405" t="n">
        <v>0</v>
      </c>
      <c r="K405" t="n">
        <v>0</v>
      </c>
      <c r="L405" t="n">
        <v>0</v>
      </c>
      <c r="M405" t="n">
        <v>0</v>
      </c>
      <c r="N405" t="n">
        <v>0</v>
      </c>
      <c r="O405" t="n">
        <v>0</v>
      </c>
      <c r="P405" t="n">
        <v>0</v>
      </c>
      <c r="Q405" t="n">
        <v>0</v>
      </c>
      <c r="R405" s="2" t="inlineStr"/>
    </row>
    <row r="406" ht="15" customHeight="1">
      <c r="A406" t="inlineStr">
        <is>
          <t>A 34808-2021</t>
        </is>
      </c>
      <c r="B406" s="1" t="n">
        <v>44382</v>
      </c>
      <c r="C406" s="1" t="n">
        <v>45628</v>
      </c>
      <c r="D406" t="inlineStr">
        <is>
          <t>VÄSTERBOTTENS LÄN</t>
        </is>
      </c>
      <c r="E406" t="inlineStr">
        <is>
          <t>VILHELMINA</t>
        </is>
      </c>
      <c r="F406" t="inlineStr">
        <is>
          <t>Allmännings- och besparingsskogar</t>
        </is>
      </c>
      <c r="G406" t="n">
        <v>20.6</v>
      </c>
      <c r="H406" t="n">
        <v>0</v>
      </c>
      <c r="I406" t="n">
        <v>0</v>
      </c>
      <c r="J406" t="n">
        <v>0</v>
      </c>
      <c r="K406" t="n">
        <v>0</v>
      </c>
      <c r="L406" t="n">
        <v>0</v>
      </c>
      <c r="M406" t="n">
        <v>0</v>
      </c>
      <c r="N406" t="n">
        <v>0</v>
      </c>
      <c r="O406" t="n">
        <v>0</v>
      </c>
      <c r="P406" t="n">
        <v>0</v>
      </c>
      <c r="Q406" t="n">
        <v>0</v>
      </c>
      <c r="R406" s="2" t="inlineStr"/>
    </row>
    <row r="407" ht="15" customHeight="1">
      <c r="A407" t="inlineStr">
        <is>
          <t>A 35876-2021</t>
        </is>
      </c>
      <c r="B407" s="1" t="n">
        <v>44386</v>
      </c>
      <c r="C407" s="1" t="n">
        <v>45628</v>
      </c>
      <c r="D407" t="inlineStr">
        <is>
          <t>VÄSTERBOTTENS LÄN</t>
        </is>
      </c>
      <c r="E407" t="inlineStr">
        <is>
          <t>VILHELMINA</t>
        </is>
      </c>
      <c r="F407" t="inlineStr">
        <is>
          <t>SCA</t>
        </is>
      </c>
      <c r="G407" t="n">
        <v>6.5</v>
      </c>
      <c r="H407" t="n">
        <v>0</v>
      </c>
      <c r="I407" t="n">
        <v>0</v>
      </c>
      <c r="J407" t="n">
        <v>0</v>
      </c>
      <c r="K407" t="n">
        <v>0</v>
      </c>
      <c r="L407" t="n">
        <v>0</v>
      </c>
      <c r="M407" t="n">
        <v>0</v>
      </c>
      <c r="N407" t="n">
        <v>0</v>
      </c>
      <c r="O407" t="n">
        <v>0</v>
      </c>
      <c r="P407" t="n">
        <v>0</v>
      </c>
      <c r="Q407" t="n">
        <v>0</v>
      </c>
      <c r="R407" s="2" t="inlineStr"/>
    </row>
    <row r="408" ht="15" customHeight="1">
      <c r="A408" t="inlineStr">
        <is>
          <t>A 36139-2021</t>
        </is>
      </c>
      <c r="B408" s="1" t="n">
        <v>44389</v>
      </c>
      <c r="C408" s="1" t="n">
        <v>45628</v>
      </c>
      <c r="D408" t="inlineStr">
        <is>
          <t>VÄSTERBOTTENS LÄN</t>
        </is>
      </c>
      <c r="E408" t="inlineStr">
        <is>
          <t>VILHELMINA</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36142-2021</t>
        </is>
      </c>
      <c r="B409" s="1" t="n">
        <v>44389</v>
      </c>
      <c r="C409" s="1" t="n">
        <v>45628</v>
      </c>
      <c r="D409" t="inlineStr">
        <is>
          <t>VÄSTERBOTTENS LÄN</t>
        </is>
      </c>
      <c r="E409" t="inlineStr">
        <is>
          <t>VILHELMINA</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36147-2021</t>
        </is>
      </c>
      <c r="B410" s="1" t="n">
        <v>44389</v>
      </c>
      <c r="C410" s="1" t="n">
        <v>45628</v>
      </c>
      <c r="D410" t="inlineStr">
        <is>
          <t>VÄSTERBOTTENS LÄN</t>
        </is>
      </c>
      <c r="E410" t="inlineStr">
        <is>
          <t>VILHELMINA</t>
        </is>
      </c>
      <c r="F410" t="inlineStr">
        <is>
          <t>Sveaskog</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36288-2021</t>
        </is>
      </c>
      <c r="B411" s="1" t="n">
        <v>44389</v>
      </c>
      <c r="C411" s="1" t="n">
        <v>45628</v>
      </c>
      <c r="D411" t="inlineStr">
        <is>
          <t>VÄSTERBOTTENS LÄN</t>
        </is>
      </c>
      <c r="E411" t="inlineStr">
        <is>
          <t>VILHELMINA</t>
        </is>
      </c>
      <c r="G411" t="n">
        <v>20.5</v>
      </c>
      <c r="H411" t="n">
        <v>0</v>
      </c>
      <c r="I411" t="n">
        <v>0</v>
      </c>
      <c r="J411" t="n">
        <v>0</v>
      </c>
      <c r="K411" t="n">
        <v>0</v>
      </c>
      <c r="L411" t="n">
        <v>0</v>
      </c>
      <c r="M411" t="n">
        <v>0</v>
      </c>
      <c r="N411" t="n">
        <v>0</v>
      </c>
      <c r="O411" t="n">
        <v>0</v>
      </c>
      <c r="P411" t="n">
        <v>0</v>
      </c>
      <c r="Q411" t="n">
        <v>0</v>
      </c>
      <c r="R411" s="2" t="inlineStr"/>
    </row>
    <row r="412" ht="15" customHeight="1">
      <c r="A412" t="inlineStr">
        <is>
          <t>A 37320-2021</t>
        </is>
      </c>
      <c r="B412" s="1" t="n">
        <v>44397</v>
      </c>
      <c r="C412" s="1" t="n">
        <v>45628</v>
      </c>
      <c r="D412" t="inlineStr">
        <is>
          <t>VÄSTERBOTTENS LÄN</t>
        </is>
      </c>
      <c r="E412" t="inlineStr">
        <is>
          <t>VILHELMINA</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38327-2021</t>
        </is>
      </c>
      <c r="B413" s="1" t="n">
        <v>44406</v>
      </c>
      <c r="C413" s="1" t="n">
        <v>45628</v>
      </c>
      <c r="D413" t="inlineStr">
        <is>
          <t>VÄSTERBOTTENS LÄN</t>
        </is>
      </c>
      <c r="E413" t="inlineStr">
        <is>
          <t>VILHELMINA</t>
        </is>
      </c>
      <c r="G413" t="n">
        <v>0.4</v>
      </c>
      <c r="H413" t="n">
        <v>0</v>
      </c>
      <c r="I413" t="n">
        <v>0</v>
      </c>
      <c r="J413" t="n">
        <v>0</v>
      </c>
      <c r="K413" t="n">
        <v>0</v>
      </c>
      <c r="L413" t="n">
        <v>0</v>
      </c>
      <c r="M413" t="n">
        <v>0</v>
      </c>
      <c r="N413" t="n">
        <v>0</v>
      </c>
      <c r="O413" t="n">
        <v>0</v>
      </c>
      <c r="P413" t="n">
        <v>0</v>
      </c>
      <c r="Q413" t="n">
        <v>0</v>
      </c>
      <c r="R413" s="2" t="inlineStr"/>
    </row>
    <row r="414" ht="15" customHeight="1">
      <c r="A414" t="inlineStr">
        <is>
          <t>A 39186-2021</t>
        </is>
      </c>
      <c r="B414" s="1" t="n">
        <v>44412</v>
      </c>
      <c r="C414" s="1" t="n">
        <v>45628</v>
      </c>
      <c r="D414" t="inlineStr">
        <is>
          <t>VÄSTERBOTTENS LÄN</t>
        </is>
      </c>
      <c r="E414" t="inlineStr">
        <is>
          <t>VILHELMINA</t>
        </is>
      </c>
      <c r="G414" t="n">
        <v>0.3</v>
      </c>
      <c r="H414" t="n">
        <v>0</v>
      </c>
      <c r="I414" t="n">
        <v>0</v>
      </c>
      <c r="J414" t="n">
        <v>0</v>
      </c>
      <c r="K414" t="n">
        <v>0</v>
      </c>
      <c r="L414" t="n">
        <v>0</v>
      </c>
      <c r="M414" t="n">
        <v>0</v>
      </c>
      <c r="N414" t="n">
        <v>0</v>
      </c>
      <c r="O414" t="n">
        <v>0</v>
      </c>
      <c r="P414" t="n">
        <v>0</v>
      </c>
      <c r="Q414" t="n">
        <v>0</v>
      </c>
      <c r="R414" s="2" t="inlineStr"/>
    </row>
    <row r="415" ht="15" customHeight="1">
      <c r="A415" t="inlineStr">
        <is>
          <t>A 40470-2021</t>
        </is>
      </c>
      <c r="B415" s="1" t="n">
        <v>44420</v>
      </c>
      <c r="C415" s="1" t="n">
        <v>45628</v>
      </c>
      <c r="D415" t="inlineStr">
        <is>
          <t>VÄSTERBOTTENS LÄN</t>
        </is>
      </c>
      <c r="E415" t="inlineStr">
        <is>
          <t>VILHELMINA</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40471-2021</t>
        </is>
      </c>
      <c r="B416" s="1" t="n">
        <v>44420</v>
      </c>
      <c r="C416" s="1" t="n">
        <v>45628</v>
      </c>
      <c r="D416" t="inlineStr">
        <is>
          <t>VÄSTERBOTTENS LÄN</t>
        </is>
      </c>
      <c r="E416" t="inlineStr">
        <is>
          <t>VILHELMINA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40477-2021</t>
        </is>
      </c>
      <c r="B417" s="1" t="n">
        <v>44420</v>
      </c>
      <c r="C417" s="1" t="n">
        <v>45628</v>
      </c>
      <c r="D417" t="inlineStr">
        <is>
          <t>VÄSTERBOTTENS LÄN</t>
        </is>
      </c>
      <c r="E417" t="inlineStr">
        <is>
          <t>VILHELMINA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40468-2021</t>
        </is>
      </c>
      <c r="B418" s="1" t="n">
        <v>44420</v>
      </c>
      <c r="C418" s="1" t="n">
        <v>45628</v>
      </c>
      <c r="D418" t="inlineStr">
        <is>
          <t>VÄSTERBOTTENS LÄN</t>
        </is>
      </c>
      <c r="E418" t="inlineStr">
        <is>
          <t>VILHELMINA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40476-2021</t>
        </is>
      </c>
      <c r="B419" s="1" t="n">
        <v>44420</v>
      </c>
      <c r="C419" s="1" t="n">
        <v>45628</v>
      </c>
      <c r="D419" t="inlineStr">
        <is>
          <t>VÄSTERBOTTENS LÄN</t>
        </is>
      </c>
      <c r="E419" t="inlineStr">
        <is>
          <t>VILHELMINA</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40469-2021</t>
        </is>
      </c>
      <c r="B420" s="1" t="n">
        <v>44420</v>
      </c>
      <c r="C420" s="1" t="n">
        <v>45628</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40474-2021</t>
        </is>
      </c>
      <c r="B421" s="1" t="n">
        <v>44420</v>
      </c>
      <c r="C421" s="1" t="n">
        <v>45628</v>
      </c>
      <c r="D421" t="inlineStr">
        <is>
          <t>VÄSTERBOTTENS LÄN</t>
        </is>
      </c>
      <c r="E421" t="inlineStr">
        <is>
          <t>VILHELMINA</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40472-2021</t>
        </is>
      </c>
      <c r="B422" s="1" t="n">
        <v>44419</v>
      </c>
      <c r="C422" s="1" t="n">
        <v>45628</v>
      </c>
      <c r="D422" t="inlineStr">
        <is>
          <t>VÄSTERBOTTENS LÄN</t>
        </is>
      </c>
      <c r="E422" t="inlineStr">
        <is>
          <t>VILHELMINA</t>
        </is>
      </c>
      <c r="F422" t="inlineStr">
        <is>
          <t>SCA</t>
        </is>
      </c>
      <c r="G422" t="n">
        <v>16.3</v>
      </c>
      <c r="H422" t="n">
        <v>0</v>
      </c>
      <c r="I422" t="n">
        <v>0</v>
      </c>
      <c r="J422" t="n">
        <v>0</v>
      </c>
      <c r="K422" t="n">
        <v>0</v>
      </c>
      <c r="L422" t="n">
        <v>0</v>
      </c>
      <c r="M422" t="n">
        <v>0</v>
      </c>
      <c r="N422" t="n">
        <v>0</v>
      </c>
      <c r="O422" t="n">
        <v>0</v>
      </c>
      <c r="P422" t="n">
        <v>0</v>
      </c>
      <c r="Q422" t="n">
        <v>0</v>
      </c>
      <c r="R422" s="2" t="inlineStr"/>
    </row>
    <row r="423" ht="15" customHeight="1">
      <c r="A423" t="inlineStr">
        <is>
          <t>A 42153-2021</t>
        </is>
      </c>
      <c r="B423" s="1" t="n">
        <v>44426</v>
      </c>
      <c r="C423" s="1" t="n">
        <v>45628</v>
      </c>
      <c r="D423" t="inlineStr">
        <is>
          <t>VÄSTERBOTTENS LÄN</t>
        </is>
      </c>
      <c r="E423" t="inlineStr">
        <is>
          <t>VILHELMINA</t>
        </is>
      </c>
      <c r="F423" t="inlineStr">
        <is>
          <t>Sveaskog</t>
        </is>
      </c>
      <c r="G423" t="n">
        <v>11.5</v>
      </c>
      <c r="H423" t="n">
        <v>0</v>
      </c>
      <c r="I423" t="n">
        <v>0</v>
      </c>
      <c r="J423" t="n">
        <v>0</v>
      </c>
      <c r="K423" t="n">
        <v>0</v>
      </c>
      <c r="L423" t="n">
        <v>0</v>
      </c>
      <c r="M423" t="n">
        <v>0</v>
      </c>
      <c r="N423" t="n">
        <v>0</v>
      </c>
      <c r="O423" t="n">
        <v>0</v>
      </c>
      <c r="P423" t="n">
        <v>0</v>
      </c>
      <c r="Q423" t="n">
        <v>0</v>
      </c>
      <c r="R423" s="2" t="inlineStr"/>
    </row>
    <row r="424" ht="15" customHeight="1">
      <c r="A424" t="inlineStr">
        <is>
          <t>A 43755-2021</t>
        </is>
      </c>
      <c r="B424" s="1" t="n">
        <v>44433</v>
      </c>
      <c r="C424" s="1" t="n">
        <v>45628</v>
      </c>
      <c r="D424" t="inlineStr">
        <is>
          <t>VÄSTERBOTTENS LÄN</t>
        </is>
      </c>
      <c r="E424" t="inlineStr">
        <is>
          <t>VILHELMINA</t>
        </is>
      </c>
      <c r="F424" t="inlineStr">
        <is>
          <t>Sveaskog</t>
        </is>
      </c>
      <c r="G424" t="n">
        <v>10.4</v>
      </c>
      <c r="H424" t="n">
        <v>0</v>
      </c>
      <c r="I424" t="n">
        <v>0</v>
      </c>
      <c r="J424" t="n">
        <v>0</v>
      </c>
      <c r="K424" t="n">
        <v>0</v>
      </c>
      <c r="L424" t="n">
        <v>0</v>
      </c>
      <c r="M424" t="n">
        <v>0</v>
      </c>
      <c r="N424" t="n">
        <v>0</v>
      </c>
      <c r="O424" t="n">
        <v>0</v>
      </c>
      <c r="P424" t="n">
        <v>0</v>
      </c>
      <c r="Q424" t="n">
        <v>0</v>
      </c>
      <c r="R424" s="2" t="inlineStr"/>
    </row>
    <row r="425" ht="15" customHeight="1">
      <c r="A425" t="inlineStr">
        <is>
          <t>A 44136-2021</t>
        </is>
      </c>
      <c r="B425" s="1" t="n">
        <v>44434</v>
      </c>
      <c r="C425" s="1" t="n">
        <v>45628</v>
      </c>
      <c r="D425" t="inlineStr">
        <is>
          <t>VÄSTERBOTTENS LÄN</t>
        </is>
      </c>
      <c r="E425" t="inlineStr">
        <is>
          <t>VILHELMINA</t>
        </is>
      </c>
      <c r="F425" t="inlineStr">
        <is>
          <t>Sveaskog</t>
        </is>
      </c>
      <c r="G425" t="n">
        <v>11.2</v>
      </c>
      <c r="H425" t="n">
        <v>0</v>
      </c>
      <c r="I425" t="n">
        <v>0</v>
      </c>
      <c r="J425" t="n">
        <v>0</v>
      </c>
      <c r="K425" t="n">
        <v>0</v>
      </c>
      <c r="L425" t="n">
        <v>0</v>
      </c>
      <c r="M425" t="n">
        <v>0</v>
      </c>
      <c r="N425" t="n">
        <v>0</v>
      </c>
      <c r="O425" t="n">
        <v>0</v>
      </c>
      <c r="P425" t="n">
        <v>0</v>
      </c>
      <c r="Q425" t="n">
        <v>0</v>
      </c>
      <c r="R425" s="2" t="inlineStr"/>
    </row>
    <row r="426" ht="15" customHeight="1">
      <c r="A426" t="inlineStr">
        <is>
          <t>A 44238-2021</t>
        </is>
      </c>
      <c r="B426" s="1" t="n">
        <v>44434</v>
      </c>
      <c r="C426" s="1" t="n">
        <v>45628</v>
      </c>
      <c r="D426" t="inlineStr">
        <is>
          <t>VÄSTERBOTTENS LÄN</t>
        </is>
      </c>
      <c r="E426" t="inlineStr">
        <is>
          <t>VILHELMINA</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44239-2021</t>
        </is>
      </c>
      <c r="B427" s="1" t="n">
        <v>44434</v>
      </c>
      <c r="C427" s="1" t="n">
        <v>45628</v>
      </c>
      <c r="D427" t="inlineStr">
        <is>
          <t>VÄSTERBOTTENS LÄN</t>
        </is>
      </c>
      <c r="E427" t="inlineStr">
        <is>
          <t>VILHELMINA</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44714-2021</t>
        </is>
      </c>
      <c r="B428" s="1" t="n">
        <v>44435</v>
      </c>
      <c r="C428" s="1" t="n">
        <v>45628</v>
      </c>
      <c r="D428" t="inlineStr">
        <is>
          <t>VÄSTERBOTTENS LÄN</t>
        </is>
      </c>
      <c r="E428" t="inlineStr">
        <is>
          <t>VILHELMINA</t>
        </is>
      </c>
      <c r="G428" t="n">
        <v>4.3</v>
      </c>
      <c r="H428" t="n">
        <v>0</v>
      </c>
      <c r="I428" t="n">
        <v>0</v>
      </c>
      <c r="J428" t="n">
        <v>0</v>
      </c>
      <c r="K428" t="n">
        <v>0</v>
      </c>
      <c r="L428" t="n">
        <v>0</v>
      </c>
      <c r="M428" t="n">
        <v>0</v>
      </c>
      <c r="N428" t="n">
        <v>0</v>
      </c>
      <c r="O428" t="n">
        <v>0</v>
      </c>
      <c r="P428" t="n">
        <v>0</v>
      </c>
      <c r="Q428" t="n">
        <v>0</v>
      </c>
      <c r="R428" s="2" t="inlineStr"/>
    </row>
    <row r="429" ht="15" customHeight="1">
      <c r="A429" t="inlineStr">
        <is>
          <t>A 46046-2021</t>
        </is>
      </c>
      <c r="B429" s="1" t="n">
        <v>44442</v>
      </c>
      <c r="C429" s="1" t="n">
        <v>45628</v>
      </c>
      <c r="D429" t="inlineStr">
        <is>
          <t>VÄSTERBOTTENS LÄN</t>
        </is>
      </c>
      <c r="E429" t="inlineStr">
        <is>
          <t>VILHELMINA</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46045-2021</t>
        </is>
      </c>
      <c r="B430" s="1" t="n">
        <v>44442</v>
      </c>
      <c r="C430" s="1" t="n">
        <v>45628</v>
      </c>
      <c r="D430" t="inlineStr">
        <is>
          <t>VÄSTERBOTTENS LÄN</t>
        </is>
      </c>
      <c r="E430" t="inlineStr">
        <is>
          <t>VILHELMINA</t>
        </is>
      </c>
      <c r="F430" t="inlineStr">
        <is>
          <t>SCA</t>
        </is>
      </c>
      <c r="G430" t="n">
        <v>7.8</v>
      </c>
      <c r="H430" t="n">
        <v>0</v>
      </c>
      <c r="I430" t="n">
        <v>0</v>
      </c>
      <c r="J430" t="n">
        <v>0</v>
      </c>
      <c r="K430" t="n">
        <v>0</v>
      </c>
      <c r="L430" t="n">
        <v>0</v>
      </c>
      <c r="M430" t="n">
        <v>0</v>
      </c>
      <c r="N430" t="n">
        <v>0</v>
      </c>
      <c r="O430" t="n">
        <v>0</v>
      </c>
      <c r="P430" t="n">
        <v>0</v>
      </c>
      <c r="Q430" t="n">
        <v>0</v>
      </c>
      <c r="R430" s="2" t="inlineStr"/>
    </row>
    <row r="431" ht="15" customHeight="1">
      <c r="A431" t="inlineStr">
        <is>
          <t>A 46372-2021</t>
        </is>
      </c>
      <c r="B431" s="1" t="n">
        <v>44443</v>
      </c>
      <c r="C431" s="1" t="n">
        <v>45628</v>
      </c>
      <c r="D431" t="inlineStr">
        <is>
          <t>VÄSTERBOTTENS LÄN</t>
        </is>
      </c>
      <c r="E431" t="inlineStr">
        <is>
          <t>VILHELMINA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46375-2021</t>
        </is>
      </c>
      <c r="B432" s="1" t="n">
        <v>44442</v>
      </c>
      <c r="C432" s="1" t="n">
        <v>45628</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47151-2021</t>
        </is>
      </c>
      <c r="B433" s="1" t="n">
        <v>44447</v>
      </c>
      <c r="C433" s="1" t="n">
        <v>45628</v>
      </c>
      <c r="D433" t="inlineStr">
        <is>
          <t>VÄSTERBOTTENS LÄN</t>
        </is>
      </c>
      <c r="E433" t="inlineStr">
        <is>
          <t>VILHELMINA</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48754-2021</t>
        </is>
      </c>
      <c r="B434" s="1" t="n">
        <v>44452</v>
      </c>
      <c r="C434" s="1" t="n">
        <v>45628</v>
      </c>
      <c r="D434" t="inlineStr">
        <is>
          <t>VÄSTERBOTTENS LÄN</t>
        </is>
      </c>
      <c r="E434" t="inlineStr">
        <is>
          <t>VILHELMINA</t>
        </is>
      </c>
      <c r="G434" t="n">
        <v>5.6</v>
      </c>
      <c r="H434" t="n">
        <v>0</v>
      </c>
      <c r="I434" t="n">
        <v>0</v>
      </c>
      <c r="J434" t="n">
        <v>0</v>
      </c>
      <c r="K434" t="n">
        <v>0</v>
      </c>
      <c r="L434" t="n">
        <v>0</v>
      </c>
      <c r="M434" t="n">
        <v>0</v>
      </c>
      <c r="N434" t="n">
        <v>0</v>
      </c>
      <c r="O434" t="n">
        <v>0</v>
      </c>
      <c r="P434" t="n">
        <v>0</v>
      </c>
      <c r="Q434" t="n">
        <v>0</v>
      </c>
      <c r="R434" s="2" t="inlineStr"/>
    </row>
    <row r="435" ht="15" customHeight="1">
      <c r="A435" t="inlineStr">
        <is>
          <t>A 48600-2021</t>
        </is>
      </c>
      <c r="B435" s="1" t="n">
        <v>44452</v>
      </c>
      <c r="C435" s="1" t="n">
        <v>45628</v>
      </c>
      <c r="D435" t="inlineStr">
        <is>
          <t>VÄSTERBOTTENS LÄN</t>
        </is>
      </c>
      <c r="E435" t="inlineStr">
        <is>
          <t>VILHELMINA</t>
        </is>
      </c>
      <c r="F435" t="inlineStr">
        <is>
          <t>Allmännings- och besparingsskogar</t>
        </is>
      </c>
      <c r="G435" t="n">
        <v>48.6</v>
      </c>
      <c r="H435" t="n">
        <v>0</v>
      </c>
      <c r="I435" t="n">
        <v>0</v>
      </c>
      <c r="J435" t="n">
        <v>0</v>
      </c>
      <c r="K435" t="n">
        <v>0</v>
      </c>
      <c r="L435" t="n">
        <v>0</v>
      </c>
      <c r="M435" t="n">
        <v>0</v>
      </c>
      <c r="N435" t="n">
        <v>0</v>
      </c>
      <c r="O435" t="n">
        <v>0</v>
      </c>
      <c r="P435" t="n">
        <v>0</v>
      </c>
      <c r="Q435" t="n">
        <v>0</v>
      </c>
      <c r="R435" s="2" t="inlineStr"/>
    </row>
    <row r="436" ht="15" customHeight="1">
      <c r="A436" t="inlineStr">
        <is>
          <t>A 48756-2021</t>
        </is>
      </c>
      <c r="B436" s="1" t="n">
        <v>44452</v>
      </c>
      <c r="C436" s="1" t="n">
        <v>45628</v>
      </c>
      <c r="D436" t="inlineStr">
        <is>
          <t>VÄSTERBOTTENS LÄN</t>
        </is>
      </c>
      <c r="E436" t="inlineStr">
        <is>
          <t>VILHELMINA</t>
        </is>
      </c>
      <c r="G436" t="n">
        <v>13.3</v>
      </c>
      <c r="H436" t="n">
        <v>0</v>
      </c>
      <c r="I436" t="n">
        <v>0</v>
      </c>
      <c r="J436" t="n">
        <v>0</v>
      </c>
      <c r="K436" t="n">
        <v>0</v>
      </c>
      <c r="L436" t="n">
        <v>0</v>
      </c>
      <c r="M436" t="n">
        <v>0</v>
      </c>
      <c r="N436" t="n">
        <v>0</v>
      </c>
      <c r="O436" t="n">
        <v>0</v>
      </c>
      <c r="P436" t="n">
        <v>0</v>
      </c>
      <c r="Q436" t="n">
        <v>0</v>
      </c>
      <c r="R436" s="2" t="inlineStr"/>
    </row>
    <row r="437" ht="15" customHeight="1">
      <c r="A437" t="inlineStr">
        <is>
          <t>A 48783-2021</t>
        </is>
      </c>
      <c r="B437" s="1" t="n">
        <v>44452</v>
      </c>
      <c r="C437" s="1" t="n">
        <v>45628</v>
      </c>
      <c r="D437" t="inlineStr">
        <is>
          <t>VÄSTERBOTTENS LÄN</t>
        </is>
      </c>
      <c r="E437" t="inlineStr">
        <is>
          <t>VILHELMINA</t>
        </is>
      </c>
      <c r="F437" t="inlineStr">
        <is>
          <t>Allmännings- och besparingsskogar</t>
        </is>
      </c>
      <c r="G437" t="n">
        <v>9.5</v>
      </c>
      <c r="H437" t="n">
        <v>0</v>
      </c>
      <c r="I437" t="n">
        <v>0</v>
      </c>
      <c r="J437" t="n">
        <v>0</v>
      </c>
      <c r="K437" t="n">
        <v>0</v>
      </c>
      <c r="L437" t="n">
        <v>0</v>
      </c>
      <c r="M437" t="n">
        <v>0</v>
      </c>
      <c r="N437" t="n">
        <v>0</v>
      </c>
      <c r="O437" t="n">
        <v>0</v>
      </c>
      <c r="P437" t="n">
        <v>0</v>
      </c>
      <c r="Q437" t="n">
        <v>0</v>
      </c>
      <c r="R437" s="2" t="inlineStr"/>
    </row>
    <row r="438" ht="15" customHeight="1">
      <c r="A438" t="inlineStr">
        <is>
          <t>A 48574-2021</t>
        </is>
      </c>
      <c r="B438" s="1" t="n">
        <v>44452</v>
      </c>
      <c r="C438" s="1" t="n">
        <v>45628</v>
      </c>
      <c r="D438" t="inlineStr">
        <is>
          <t>VÄSTERBOTTENS LÄN</t>
        </is>
      </c>
      <c r="E438" t="inlineStr">
        <is>
          <t>VILHELMINA</t>
        </is>
      </c>
      <c r="F438" t="inlineStr">
        <is>
          <t>Allmännings- och besparingsskogar</t>
        </is>
      </c>
      <c r="G438" t="n">
        <v>85.09999999999999</v>
      </c>
      <c r="H438" t="n">
        <v>0</v>
      </c>
      <c r="I438" t="n">
        <v>0</v>
      </c>
      <c r="J438" t="n">
        <v>0</v>
      </c>
      <c r="K438" t="n">
        <v>0</v>
      </c>
      <c r="L438" t="n">
        <v>0</v>
      </c>
      <c r="M438" t="n">
        <v>0</v>
      </c>
      <c r="N438" t="n">
        <v>0</v>
      </c>
      <c r="O438" t="n">
        <v>0</v>
      </c>
      <c r="P438" t="n">
        <v>0</v>
      </c>
      <c r="Q438" t="n">
        <v>0</v>
      </c>
      <c r="R438" s="2" t="inlineStr"/>
    </row>
    <row r="439" ht="15" customHeight="1">
      <c r="A439" t="inlineStr">
        <is>
          <t>A 49063-2021</t>
        </is>
      </c>
      <c r="B439" s="1" t="n">
        <v>44453</v>
      </c>
      <c r="C439" s="1" t="n">
        <v>45628</v>
      </c>
      <c r="D439" t="inlineStr">
        <is>
          <t>VÄSTERBOTTENS LÄN</t>
        </is>
      </c>
      <c r="E439" t="inlineStr">
        <is>
          <t>VILHELMINA</t>
        </is>
      </c>
      <c r="F439" t="inlineStr">
        <is>
          <t>Övriga statliga verk och myndigheter</t>
        </is>
      </c>
      <c r="G439" t="n">
        <v>42.7</v>
      </c>
      <c r="H439" t="n">
        <v>0</v>
      </c>
      <c r="I439" t="n">
        <v>0</v>
      </c>
      <c r="J439" t="n">
        <v>0</v>
      </c>
      <c r="K439" t="n">
        <v>0</v>
      </c>
      <c r="L439" t="n">
        <v>0</v>
      </c>
      <c r="M439" t="n">
        <v>0</v>
      </c>
      <c r="N439" t="n">
        <v>0</v>
      </c>
      <c r="O439" t="n">
        <v>0</v>
      </c>
      <c r="P439" t="n">
        <v>0</v>
      </c>
      <c r="Q439" t="n">
        <v>0</v>
      </c>
      <c r="R439" s="2" t="inlineStr"/>
    </row>
    <row r="440" ht="15" customHeight="1">
      <c r="A440" t="inlineStr">
        <is>
          <t>A 50635-2021</t>
        </is>
      </c>
      <c r="B440" s="1" t="n">
        <v>44459</v>
      </c>
      <c r="C440" s="1" t="n">
        <v>45628</v>
      </c>
      <c r="D440" t="inlineStr">
        <is>
          <t>VÄSTERBOTTENS LÄN</t>
        </is>
      </c>
      <c r="E440" t="inlineStr">
        <is>
          <t>VILHELMINA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51016-2021</t>
        </is>
      </c>
      <c r="B441" s="1" t="n">
        <v>44461</v>
      </c>
      <c r="C441" s="1" t="n">
        <v>45628</v>
      </c>
      <c r="D441" t="inlineStr">
        <is>
          <t>VÄSTERBOTTENS LÄN</t>
        </is>
      </c>
      <c r="E441" t="inlineStr">
        <is>
          <t>VILHELMINA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51018-2021</t>
        </is>
      </c>
      <c r="B442" s="1" t="n">
        <v>44461</v>
      </c>
      <c r="C442" s="1" t="n">
        <v>45628</v>
      </c>
      <c r="D442" t="inlineStr">
        <is>
          <t>VÄSTERBOTTENS LÄN</t>
        </is>
      </c>
      <c r="E442" t="inlineStr">
        <is>
          <t>VILHELMINA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51935-2021</t>
        </is>
      </c>
      <c r="B443" s="1" t="n">
        <v>44462</v>
      </c>
      <c r="C443" s="1" t="n">
        <v>45628</v>
      </c>
      <c r="D443" t="inlineStr">
        <is>
          <t>VÄSTERBOTTENS LÄN</t>
        </is>
      </c>
      <c r="E443" t="inlineStr">
        <is>
          <t>VILHELMINA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51933-2021</t>
        </is>
      </c>
      <c r="B444" s="1" t="n">
        <v>44463</v>
      </c>
      <c r="C444" s="1" t="n">
        <v>45628</v>
      </c>
      <c r="D444" t="inlineStr">
        <is>
          <t>VÄSTERBOTTENS LÄN</t>
        </is>
      </c>
      <c r="E444" t="inlineStr">
        <is>
          <t>VILHELMINA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53958-2021</t>
        </is>
      </c>
      <c r="B445" s="1" t="n">
        <v>44469</v>
      </c>
      <c r="C445" s="1" t="n">
        <v>45628</v>
      </c>
      <c r="D445" t="inlineStr">
        <is>
          <t>VÄSTERBOTTENS LÄN</t>
        </is>
      </c>
      <c r="E445" t="inlineStr">
        <is>
          <t>VILHELMINA</t>
        </is>
      </c>
      <c r="F445" t="inlineStr">
        <is>
          <t>SCA</t>
        </is>
      </c>
      <c r="G445" t="n">
        <v>6.6</v>
      </c>
      <c r="H445" t="n">
        <v>0</v>
      </c>
      <c r="I445" t="n">
        <v>0</v>
      </c>
      <c r="J445" t="n">
        <v>0</v>
      </c>
      <c r="K445" t="n">
        <v>0</v>
      </c>
      <c r="L445" t="n">
        <v>0</v>
      </c>
      <c r="M445" t="n">
        <v>0</v>
      </c>
      <c r="N445" t="n">
        <v>0</v>
      </c>
      <c r="O445" t="n">
        <v>0</v>
      </c>
      <c r="P445" t="n">
        <v>0</v>
      </c>
      <c r="Q445" t="n">
        <v>0</v>
      </c>
      <c r="R445" s="2" t="inlineStr"/>
    </row>
    <row r="446" ht="15" customHeight="1">
      <c r="A446" t="inlineStr">
        <is>
          <t>A 53987-2021</t>
        </is>
      </c>
      <c r="B446" s="1" t="n">
        <v>44470</v>
      </c>
      <c r="C446" s="1" t="n">
        <v>45628</v>
      </c>
      <c r="D446" t="inlineStr">
        <is>
          <t>VÄSTERBOTTENS LÄN</t>
        </is>
      </c>
      <c r="E446" t="inlineStr">
        <is>
          <t>VILHELMINA</t>
        </is>
      </c>
      <c r="F446" t="inlineStr">
        <is>
          <t>Kommuner</t>
        </is>
      </c>
      <c r="G446" t="n">
        <v>10</v>
      </c>
      <c r="H446" t="n">
        <v>0</v>
      </c>
      <c r="I446" t="n">
        <v>0</v>
      </c>
      <c r="J446" t="n">
        <v>0</v>
      </c>
      <c r="K446" t="n">
        <v>0</v>
      </c>
      <c r="L446" t="n">
        <v>0</v>
      </c>
      <c r="M446" t="n">
        <v>0</v>
      </c>
      <c r="N446" t="n">
        <v>0</v>
      </c>
      <c r="O446" t="n">
        <v>0</v>
      </c>
      <c r="P446" t="n">
        <v>0</v>
      </c>
      <c r="Q446" t="n">
        <v>0</v>
      </c>
      <c r="R446" s="2" t="inlineStr"/>
    </row>
    <row r="447" ht="15" customHeight="1">
      <c r="A447" t="inlineStr">
        <is>
          <t>A 54765-2021</t>
        </is>
      </c>
      <c r="B447" s="1" t="n">
        <v>44473</v>
      </c>
      <c r="C447" s="1" t="n">
        <v>45628</v>
      </c>
      <c r="D447" t="inlineStr">
        <is>
          <t>VÄSTERBOTTENS LÄN</t>
        </is>
      </c>
      <c r="E447" t="inlineStr">
        <is>
          <t>VILHELMINA</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55929-2021</t>
        </is>
      </c>
      <c r="B448" s="1" t="n">
        <v>44476</v>
      </c>
      <c r="C448" s="1" t="n">
        <v>45628</v>
      </c>
      <c r="D448" t="inlineStr">
        <is>
          <t>VÄSTERBOTTENS LÄN</t>
        </is>
      </c>
      <c r="E448" t="inlineStr">
        <is>
          <t>VILHELMINA</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55931-2021</t>
        </is>
      </c>
      <c r="B449" s="1" t="n">
        <v>44476</v>
      </c>
      <c r="C449" s="1" t="n">
        <v>45628</v>
      </c>
      <c r="D449" t="inlineStr">
        <is>
          <t>VÄSTERBOTTENS LÄN</t>
        </is>
      </c>
      <c r="E449" t="inlineStr">
        <is>
          <t>VILHELMINA</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56947-2021</t>
        </is>
      </c>
      <c r="B450" s="1" t="n">
        <v>44481</v>
      </c>
      <c r="C450" s="1" t="n">
        <v>45628</v>
      </c>
      <c r="D450" t="inlineStr">
        <is>
          <t>VÄSTERBOTTENS LÄN</t>
        </is>
      </c>
      <c r="E450" t="inlineStr">
        <is>
          <t>VILHELMINA</t>
        </is>
      </c>
      <c r="F450" t="inlineStr">
        <is>
          <t>Övriga statliga verk och myndigheter</t>
        </is>
      </c>
      <c r="G450" t="n">
        <v>22.3</v>
      </c>
      <c r="H450" t="n">
        <v>0</v>
      </c>
      <c r="I450" t="n">
        <v>0</v>
      </c>
      <c r="J450" t="n">
        <v>0</v>
      </c>
      <c r="K450" t="n">
        <v>0</v>
      </c>
      <c r="L450" t="n">
        <v>0</v>
      </c>
      <c r="M450" t="n">
        <v>0</v>
      </c>
      <c r="N450" t="n">
        <v>0</v>
      </c>
      <c r="O450" t="n">
        <v>0</v>
      </c>
      <c r="P450" t="n">
        <v>0</v>
      </c>
      <c r="Q450" t="n">
        <v>0</v>
      </c>
      <c r="R450" s="2" t="inlineStr"/>
    </row>
    <row r="451" ht="15" customHeight="1">
      <c r="A451" t="inlineStr">
        <is>
          <t>A 57086-2021</t>
        </is>
      </c>
      <c r="B451" s="1" t="n">
        <v>44482</v>
      </c>
      <c r="C451" s="1" t="n">
        <v>45628</v>
      </c>
      <c r="D451" t="inlineStr">
        <is>
          <t>VÄSTERBOTTENS LÄN</t>
        </is>
      </c>
      <c r="E451" t="inlineStr">
        <is>
          <t>VILHELMINA</t>
        </is>
      </c>
      <c r="G451" t="n">
        <v>1.5</v>
      </c>
      <c r="H451" t="n">
        <v>0</v>
      </c>
      <c r="I451" t="n">
        <v>0</v>
      </c>
      <c r="J451" t="n">
        <v>0</v>
      </c>
      <c r="K451" t="n">
        <v>0</v>
      </c>
      <c r="L451" t="n">
        <v>0</v>
      </c>
      <c r="M451" t="n">
        <v>0</v>
      </c>
      <c r="N451" t="n">
        <v>0</v>
      </c>
      <c r="O451" t="n">
        <v>0</v>
      </c>
      <c r="P451" t="n">
        <v>0</v>
      </c>
      <c r="Q451" t="n">
        <v>0</v>
      </c>
      <c r="R451" s="2" t="inlineStr"/>
    </row>
    <row r="452" ht="15" customHeight="1">
      <c r="A452" t="inlineStr">
        <is>
          <t>A 57167-2021</t>
        </is>
      </c>
      <c r="B452" s="1" t="n">
        <v>44482</v>
      </c>
      <c r="C452" s="1" t="n">
        <v>45628</v>
      </c>
      <c r="D452" t="inlineStr">
        <is>
          <t>VÄSTERBOTTENS LÄN</t>
        </is>
      </c>
      <c r="E452" t="inlineStr">
        <is>
          <t>VILHELMINA</t>
        </is>
      </c>
      <c r="F452" t="inlineStr">
        <is>
          <t>Kommuner</t>
        </is>
      </c>
      <c r="G452" t="n">
        <v>4.9</v>
      </c>
      <c r="H452" t="n">
        <v>0</v>
      </c>
      <c r="I452" t="n">
        <v>0</v>
      </c>
      <c r="J452" t="n">
        <v>0</v>
      </c>
      <c r="K452" t="n">
        <v>0</v>
      </c>
      <c r="L452" t="n">
        <v>0</v>
      </c>
      <c r="M452" t="n">
        <v>0</v>
      </c>
      <c r="N452" t="n">
        <v>0</v>
      </c>
      <c r="O452" t="n">
        <v>0</v>
      </c>
      <c r="P452" t="n">
        <v>0</v>
      </c>
      <c r="Q452" t="n">
        <v>0</v>
      </c>
      <c r="R452" s="2" t="inlineStr"/>
    </row>
    <row r="453" ht="15" customHeight="1">
      <c r="A453" t="inlineStr">
        <is>
          <t>A 57166-2021</t>
        </is>
      </c>
      <c r="B453" s="1" t="n">
        <v>44482</v>
      </c>
      <c r="C453" s="1" t="n">
        <v>45628</v>
      </c>
      <c r="D453" t="inlineStr">
        <is>
          <t>VÄSTERBOTTENS LÄN</t>
        </is>
      </c>
      <c r="E453" t="inlineStr">
        <is>
          <t>VILHELMINA</t>
        </is>
      </c>
      <c r="F453" t="inlineStr">
        <is>
          <t>Kommuner</t>
        </is>
      </c>
      <c r="G453" t="n">
        <v>2.6</v>
      </c>
      <c r="H453" t="n">
        <v>0</v>
      </c>
      <c r="I453" t="n">
        <v>0</v>
      </c>
      <c r="J453" t="n">
        <v>0</v>
      </c>
      <c r="K453" t="n">
        <v>0</v>
      </c>
      <c r="L453" t="n">
        <v>0</v>
      </c>
      <c r="M453" t="n">
        <v>0</v>
      </c>
      <c r="N453" t="n">
        <v>0</v>
      </c>
      <c r="O453" t="n">
        <v>0</v>
      </c>
      <c r="P453" t="n">
        <v>0</v>
      </c>
      <c r="Q453" t="n">
        <v>0</v>
      </c>
      <c r="R453" s="2" t="inlineStr"/>
    </row>
    <row r="454" ht="15" customHeight="1">
      <c r="A454" t="inlineStr">
        <is>
          <t>A 57874-2021</t>
        </is>
      </c>
      <c r="B454" s="1" t="n">
        <v>44484</v>
      </c>
      <c r="C454" s="1" t="n">
        <v>45628</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57875-2021</t>
        </is>
      </c>
      <c r="B455" s="1" t="n">
        <v>44485</v>
      </c>
      <c r="C455" s="1" t="n">
        <v>45628</v>
      </c>
      <c r="D455" t="inlineStr">
        <is>
          <t>VÄSTERBOTTENS LÄN</t>
        </is>
      </c>
      <c r="E455" t="inlineStr">
        <is>
          <t>VILHELMINA</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58377-2021</t>
        </is>
      </c>
      <c r="B456" s="1" t="n">
        <v>44488</v>
      </c>
      <c r="C456" s="1" t="n">
        <v>45628</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58363-2021</t>
        </is>
      </c>
      <c r="B457" s="1" t="n">
        <v>44488</v>
      </c>
      <c r="C457" s="1" t="n">
        <v>45628</v>
      </c>
      <c r="D457" t="inlineStr">
        <is>
          <t>VÄSTERBOTTENS LÄN</t>
        </is>
      </c>
      <c r="E457" t="inlineStr">
        <is>
          <t>VILHELMINA</t>
        </is>
      </c>
      <c r="G457" t="n">
        <v>7.3</v>
      </c>
      <c r="H457" t="n">
        <v>0</v>
      </c>
      <c r="I457" t="n">
        <v>0</v>
      </c>
      <c r="J457" t="n">
        <v>0</v>
      </c>
      <c r="K457" t="n">
        <v>0</v>
      </c>
      <c r="L457" t="n">
        <v>0</v>
      </c>
      <c r="M457" t="n">
        <v>0</v>
      </c>
      <c r="N457" t="n">
        <v>0</v>
      </c>
      <c r="O457" t="n">
        <v>0</v>
      </c>
      <c r="P457" t="n">
        <v>0</v>
      </c>
      <c r="Q457" t="n">
        <v>0</v>
      </c>
      <c r="R457" s="2" t="inlineStr"/>
    </row>
    <row r="458" ht="15" customHeight="1">
      <c r="A458" t="inlineStr">
        <is>
          <t>A 58643-2021</t>
        </is>
      </c>
      <c r="B458" s="1" t="n">
        <v>44489</v>
      </c>
      <c r="C458" s="1" t="n">
        <v>45628</v>
      </c>
      <c r="D458" t="inlineStr">
        <is>
          <t>VÄSTERBOTTENS LÄN</t>
        </is>
      </c>
      <c r="E458" t="inlineStr">
        <is>
          <t>VILHELMINA</t>
        </is>
      </c>
      <c r="F458" t="inlineStr">
        <is>
          <t>Övriga Aktiebolag</t>
        </is>
      </c>
      <c r="G458" t="n">
        <v>30.4</v>
      </c>
      <c r="H458" t="n">
        <v>0</v>
      </c>
      <c r="I458" t="n">
        <v>0</v>
      </c>
      <c r="J458" t="n">
        <v>0</v>
      </c>
      <c r="K458" t="n">
        <v>0</v>
      </c>
      <c r="L458" t="n">
        <v>0</v>
      </c>
      <c r="M458" t="n">
        <v>0</v>
      </c>
      <c r="N458" t="n">
        <v>0</v>
      </c>
      <c r="O458" t="n">
        <v>0</v>
      </c>
      <c r="P458" t="n">
        <v>0</v>
      </c>
      <c r="Q458" t="n">
        <v>0</v>
      </c>
      <c r="R458" s="2" t="inlineStr"/>
    </row>
    <row r="459" ht="15" customHeight="1">
      <c r="A459" t="inlineStr">
        <is>
          <t>A 59172-2021</t>
        </is>
      </c>
      <c r="B459" s="1" t="n">
        <v>44490</v>
      </c>
      <c r="C459" s="1" t="n">
        <v>45628</v>
      </c>
      <c r="D459" t="inlineStr">
        <is>
          <t>VÄSTERBOTTENS LÄN</t>
        </is>
      </c>
      <c r="E459" t="inlineStr">
        <is>
          <t>VILHELMINA</t>
        </is>
      </c>
      <c r="G459" t="n">
        <v>11.5</v>
      </c>
      <c r="H459" t="n">
        <v>0</v>
      </c>
      <c r="I459" t="n">
        <v>0</v>
      </c>
      <c r="J459" t="n">
        <v>0</v>
      </c>
      <c r="K459" t="n">
        <v>0</v>
      </c>
      <c r="L459" t="n">
        <v>0</v>
      </c>
      <c r="M459" t="n">
        <v>0</v>
      </c>
      <c r="N459" t="n">
        <v>0</v>
      </c>
      <c r="O459" t="n">
        <v>0</v>
      </c>
      <c r="P459" t="n">
        <v>0</v>
      </c>
      <c r="Q459" t="n">
        <v>0</v>
      </c>
      <c r="R459" s="2" t="inlineStr"/>
    </row>
    <row r="460" ht="15" customHeight="1">
      <c r="A460" t="inlineStr">
        <is>
          <t>A 59330-2021</t>
        </is>
      </c>
      <c r="B460" s="1" t="n">
        <v>44491</v>
      </c>
      <c r="C460" s="1" t="n">
        <v>45628</v>
      </c>
      <c r="D460" t="inlineStr">
        <is>
          <t>VÄSTERBOTTENS LÄN</t>
        </is>
      </c>
      <c r="E460" t="inlineStr">
        <is>
          <t>VILHELMINA</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60317-2021</t>
        </is>
      </c>
      <c r="B461" s="1" t="n">
        <v>44496</v>
      </c>
      <c r="C461" s="1" t="n">
        <v>45628</v>
      </c>
      <c r="D461" t="inlineStr">
        <is>
          <t>VÄSTERBOTTENS LÄN</t>
        </is>
      </c>
      <c r="E461" t="inlineStr">
        <is>
          <t>VILHELMINA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61640-2021</t>
        </is>
      </c>
      <c r="B462" s="1" t="n">
        <v>44498</v>
      </c>
      <c r="C462" s="1" t="n">
        <v>45628</v>
      </c>
      <c r="D462" t="inlineStr">
        <is>
          <t>VÄSTERBOTTENS LÄN</t>
        </is>
      </c>
      <c r="E462" t="inlineStr">
        <is>
          <t>VILHELMINA</t>
        </is>
      </c>
      <c r="F462" t="inlineStr">
        <is>
          <t>Övriga Aktiebolag</t>
        </is>
      </c>
      <c r="G462" t="n">
        <v>3.1</v>
      </c>
      <c r="H462" t="n">
        <v>0</v>
      </c>
      <c r="I462" t="n">
        <v>0</v>
      </c>
      <c r="J462" t="n">
        <v>0</v>
      </c>
      <c r="K462" t="n">
        <v>0</v>
      </c>
      <c r="L462" t="n">
        <v>0</v>
      </c>
      <c r="M462" t="n">
        <v>0</v>
      </c>
      <c r="N462" t="n">
        <v>0</v>
      </c>
      <c r="O462" t="n">
        <v>0</v>
      </c>
      <c r="P462" t="n">
        <v>0</v>
      </c>
      <c r="Q462" t="n">
        <v>0</v>
      </c>
      <c r="R462" s="2" t="inlineStr"/>
    </row>
    <row r="463" ht="15" customHeight="1">
      <c r="A463" t="inlineStr">
        <is>
          <t>A 61475-2021</t>
        </is>
      </c>
      <c r="B463" s="1" t="n">
        <v>44500</v>
      </c>
      <c r="C463" s="1" t="n">
        <v>45628</v>
      </c>
      <c r="D463" t="inlineStr">
        <is>
          <t>VÄSTERBOTTENS LÄN</t>
        </is>
      </c>
      <c r="E463" t="inlineStr">
        <is>
          <t>VILHELMINA</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61853-2021</t>
        </is>
      </c>
      <c r="B464" s="1" t="n">
        <v>44501</v>
      </c>
      <c r="C464" s="1" t="n">
        <v>45628</v>
      </c>
      <c r="D464" t="inlineStr">
        <is>
          <t>VÄSTERBOTTENS LÄN</t>
        </is>
      </c>
      <c r="E464" t="inlineStr">
        <is>
          <t>VILHELMINA</t>
        </is>
      </c>
      <c r="F464" t="inlineStr">
        <is>
          <t>SCA</t>
        </is>
      </c>
      <c r="G464" t="n">
        <v>24.8</v>
      </c>
      <c r="H464" t="n">
        <v>0</v>
      </c>
      <c r="I464" t="n">
        <v>0</v>
      </c>
      <c r="J464" t="n">
        <v>0</v>
      </c>
      <c r="K464" t="n">
        <v>0</v>
      </c>
      <c r="L464" t="n">
        <v>0</v>
      </c>
      <c r="M464" t="n">
        <v>0</v>
      </c>
      <c r="N464" t="n">
        <v>0</v>
      </c>
      <c r="O464" t="n">
        <v>0</v>
      </c>
      <c r="P464" t="n">
        <v>0</v>
      </c>
      <c r="Q464" t="n">
        <v>0</v>
      </c>
      <c r="R464" s="2" t="inlineStr"/>
    </row>
    <row r="465" ht="15" customHeight="1">
      <c r="A465" t="inlineStr">
        <is>
          <t>A 62362-2021</t>
        </is>
      </c>
      <c r="B465" s="1" t="n">
        <v>44502</v>
      </c>
      <c r="C465" s="1" t="n">
        <v>45628</v>
      </c>
      <c r="D465" t="inlineStr">
        <is>
          <t>VÄSTERBOTTENS LÄN</t>
        </is>
      </c>
      <c r="E465" t="inlineStr">
        <is>
          <t>VILHELMINA</t>
        </is>
      </c>
      <c r="G465" t="n">
        <v>8.1</v>
      </c>
      <c r="H465" t="n">
        <v>0</v>
      </c>
      <c r="I465" t="n">
        <v>0</v>
      </c>
      <c r="J465" t="n">
        <v>0</v>
      </c>
      <c r="K465" t="n">
        <v>0</v>
      </c>
      <c r="L465" t="n">
        <v>0</v>
      </c>
      <c r="M465" t="n">
        <v>0</v>
      </c>
      <c r="N465" t="n">
        <v>0</v>
      </c>
      <c r="O465" t="n">
        <v>0</v>
      </c>
      <c r="P465" t="n">
        <v>0</v>
      </c>
      <c r="Q465" t="n">
        <v>0</v>
      </c>
      <c r="R465" s="2" t="inlineStr"/>
    </row>
    <row r="466" ht="15" customHeight="1">
      <c r="A466" t="inlineStr">
        <is>
          <t>A 62658-2021</t>
        </is>
      </c>
      <c r="B466" s="1" t="n">
        <v>44503</v>
      </c>
      <c r="C466" s="1" t="n">
        <v>45628</v>
      </c>
      <c r="D466" t="inlineStr">
        <is>
          <t>VÄSTERBOTTENS LÄN</t>
        </is>
      </c>
      <c r="E466" t="inlineStr">
        <is>
          <t>VILHELMINA</t>
        </is>
      </c>
      <c r="F466" t="inlineStr">
        <is>
          <t>SCA</t>
        </is>
      </c>
      <c r="G466" t="n">
        <v>13.4</v>
      </c>
      <c r="H466" t="n">
        <v>0</v>
      </c>
      <c r="I466" t="n">
        <v>0</v>
      </c>
      <c r="J466" t="n">
        <v>0</v>
      </c>
      <c r="K466" t="n">
        <v>0</v>
      </c>
      <c r="L466" t="n">
        <v>0</v>
      </c>
      <c r="M466" t="n">
        <v>0</v>
      </c>
      <c r="N466" t="n">
        <v>0</v>
      </c>
      <c r="O466" t="n">
        <v>0</v>
      </c>
      <c r="P466" t="n">
        <v>0</v>
      </c>
      <c r="Q466" t="n">
        <v>0</v>
      </c>
      <c r="R466" s="2" t="inlineStr"/>
    </row>
    <row r="467" ht="15" customHeight="1">
      <c r="A467" t="inlineStr">
        <is>
          <t>A 63218-2021</t>
        </is>
      </c>
      <c r="B467" s="1" t="n">
        <v>44505</v>
      </c>
      <c r="C467" s="1" t="n">
        <v>45628</v>
      </c>
      <c r="D467" t="inlineStr">
        <is>
          <t>VÄSTERBOTTENS LÄN</t>
        </is>
      </c>
      <c r="E467" t="inlineStr">
        <is>
          <t>VILHELMINA</t>
        </is>
      </c>
      <c r="G467" t="n">
        <v>6.8</v>
      </c>
      <c r="H467" t="n">
        <v>0</v>
      </c>
      <c r="I467" t="n">
        <v>0</v>
      </c>
      <c r="J467" t="n">
        <v>0</v>
      </c>
      <c r="K467" t="n">
        <v>0</v>
      </c>
      <c r="L467" t="n">
        <v>0</v>
      </c>
      <c r="M467" t="n">
        <v>0</v>
      </c>
      <c r="N467" t="n">
        <v>0</v>
      </c>
      <c r="O467" t="n">
        <v>0</v>
      </c>
      <c r="P467" t="n">
        <v>0</v>
      </c>
      <c r="Q467" t="n">
        <v>0</v>
      </c>
      <c r="R467" s="2" t="inlineStr"/>
    </row>
    <row r="468" ht="15" customHeight="1">
      <c r="A468" t="inlineStr">
        <is>
          <t>A 65033-2021</t>
        </is>
      </c>
      <c r="B468" s="1" t="n">
        <v>44511</v>
      </c>
      <c r="C468" s="1" t="n">
        <v>45628</v>
      </c>
      <c r="D468" t="inlineStr">
        <is>
          <t>VÄSTERBOTTENS LÄN</t>
        </is>
      </c>
      <c r="E468" t="inlineStr">
        <is>
          <t>VILHELMINA</t>
        </is>
      </c>
      <c r="G468" t="n">
        <v>1</v>
      </c>
      <c r="H468" t="n">
        <v>0</v>
      </c>
      <c r="I468" t="n">
        <v>0</v>
      </c>
      <c r="J468" t="n">
        <v>0</v>
      </c>
      <c r="K468" t="n">
        <v>0</v>
      </c>
      <c r="L468" t="n">
        <v>0</v>
      </c>
      <c r="M468" t="n">
        <v>0</v>
      </c>
      <c r="N468" t="n">
        <v>0</v>
      </c>
      <c r="O468" t="n">
        <v>0</v>
      </c>
      <c r="P468" t="n">
        <v>0</v>
      </c>
      <c r="Q468" t="n">
        <v>0</v>
      </c>
      <c r="R468" s="2" t="inlineStr"/>
    </row>
    <row r="469" ht="15" customHeight="1">
      <c r="A469" t="inlineStr">
        <is>
          <t>A 65146-2021</t>
        </is>
      </c>
      <c r="B469" s="1" t="n">
        <v>44515</v>
      </c>
      <c r="C469" s="1" t="n">
        <v>45628</v>
      </c>
      <c r="D469" t="inlineStr">
        <is>
          <t>VÄSTERBOTTENS LÄN</t>
        </is>
      </c>
      <c r="E469" t="inlineStr">
        <is>
          <t>VILHELMINA</t>
        </is>
      </c>
      <c r="G469" t="n">
        <v>7.4</v>
      </c>
      <c r="H469" t="n">
        <v>0</v>
      </c>
      <c r="I469" t="n">
        <v>0</v>
      </c>
      <c r="J469" t="n">
        <v>0</v>
      </c>
      <c r="K469" t="n">
        <v>0</v>
      </c>
      <c r="L469" t="n">
        <v>0</v>
      </c>
      <c r="M469" t="n">
        <v>0</v>
      </c>
      <c r="N469" t="n">
        <v>0</v>
      </c>
      <c r="O469" t="n">
        <v>0</v>
      </c>
      <c r="P469" t="n">
        <v>0</v>
      </c>
      <c r="Q469" t="n">
        <v>0</v>
      </c>
      <c r="R469" s="2" t="inlineStr"/>
    </row>
    <row r="470" ht="15" customHeight="1">
      <c r="A470" t="inlineStr">
        <is>
          <t>A 65133-2021</t>
        </is>
      </c>
      <c r="B470" s="1" t="n">
        <v>44515</v>
      </c>
      <c r="C470" s="1" t="n">
        <v>45628</v>
      </c>
      <c r="D470" t="inlineStr">
        <is>
          <t>VÄSTERBOTTENS LÄN</t>
        </is>
      </c>
      <c r="E470" t="inlineStr">
        <is>
          <t>VILHELMINA</t>
        </is>
      </c>
      <c r="G470" t="n">
        <v>16.4</v>
      </c>
      <c r="H470" t="n">
        <v>0</v>
      </c>
      <c r="I470" t="n">
        <v>0</v>
      </c>
      <c r="J470" t="n">
        <v>0</v>
      </c>
      <c r="K470" t="n">
        <v>0</v>
      </c>
      <c r="L470" t="n">
        <v>0</v>
      </c>
      <c r="M470" t="n">
        <v>0</v>
      </c>
      <c r="N470" t="n">
        <v>0</v>
      </c>
      <c r="O470" t="n">
        <v>0</v>
      </c>
      <c r="P470" t="n">
        <v>0</v>
      </c>
      <c r="Q470" t="n">
        <v>0</v>
      </c>
      <c r="R470" s="2" t="inlineStr"/>
    </row>
    <row r="471" ht="15" customHeight="1">
      <c r="A471" t="inlineStr">
        <is>
          <t>A 65159-2021</t>
        </is>
      </c>
      <c r="B471" s="1" t="n">
        <v>44515</v>
      </c>
      <c r="C471" s="1" t="n">
        <v>45628</v>
      </c>
      <c r="D471" t="inlineStr">
        <is>
          <t>VÄSTERBOTTENS LÄN</t>
        </is>
      </c>
      <c r="E471" t="inlineStr">
        <is>
          <t>VILHELMINA</t>
        </is>
      </c>
      <c r="G471" t="n">
        <v>5</v>
      </c>
      <c r="H471" t="n">
        <v>0</v>
      </c>
      <c r="I471" t="n">
        <v>0</v>
      </c>
      <c r="J471" t="n">
        <v>0</v>
      </c>
      <c r="K471" t="n">
        <v>0</v>
      </c>
      <c r="L471" t="n">
        <v>0</v>
      </c>
      <c r="M471" t="n">
        <v>0</v>
      </c>
      <c r="N471" t="n">
        <v>0</v>
      </c>
      <c r="O471" t="n">
        <v>0</v>
      </c>
      <c r="P471" t="n">
        <v>0</v>
      </c>
      <c r="Q471" t="n">
        <v>0</v>
      </c>
      <c r="R471" s="2" t="inlineStr"/>
    </row>
    <row r="472" ht="15" customHeight="1">
      <c r="A472" t="inlineStr">
        <is>
          <t>A 65151-2021</t>
        </is>
      </c>
      <c r="B472" s="1" t="n">
        <v>44515</v>
      </c>
      <c r="C472" s="1" t="n">
        <v>45628</v>
      </c>
      <c r="D472" t="inlineStr">
        <is>
          <t>VÄSTERBOTTENS LÄN</t>
        </is>
      </c>
      <c r="E472" t="inlineStr">
        <is>
          <t>VILHELMINA</t>
        </is>
      </c>
      <c r="G472" t="n">
        <v>11.8</v>
      </c>
      <c r="H472" t="n">
        <v>0</v>
      </c>
      <c r="I472" t="n">
        <v>0</v>
      </c>
      <c r="J472" t="n">
        <v>0</v>
      </c>
      <c r="K472" t="n">
        <v>0</v>
      </c>
      <c r="L472" t="n">
        <v>0</v>
      </c>
      <c r="M472" t="n">
        <v>0</v>
      </c>
      <c r="N472" t="n">
        <v>0</v>
      </c>
      <c r="O472" t="n">
        <v>0</v>
      </c>
      <c r="P472" t="n">
        <v>0</v>
      </c>
      <c r="Q472" t="n">
        <v>0</v>
      </c>
      <c r="R472" s="2" t="inlineStr"/>
    </row>
    <row r="473" ht="15" customHeight="1">
      <c r="A473" t="inlineStr">
        <is>
          <t>A 65179-2021</t>
        </is>
      </c>
      <c r="B473" s="1" t="n">
        <v>44515</v>
      </c>
      <c r="C473" s="1" t="n">
        <v>45628</v>
      </c>
      <c r="D473" t="inlineStr">
        <is>
          <t>VÄSTERBOTTENS LÄN</t>
        </is>
      </c>
      <c r="E473" t="inlineStr">
        <is>
          <t>VILHELMINA</t>
        </is>
      </c>
      <c r="G473" t="n">
        <v>8</v>
      </c>
      <c r="H473" t="n">
        <v>0</v>
      </c>
      <c r="I473" t="n">
        <v>0</v>
      </c>
      <c r="J473" t="n">
        <v>0</v>
      </c>
      <c r="K473" t="n">
        <v>0</v>
      </c>
      <c r="L473" t="n">
        <v>0</v>
      </c>
      <c r="M473" t="n">
        <v>0</v>
      </c>
      <c r="N473" t="n">
        <v>0</v>
      </c>
      <c r="O473" t="n">
        <v>0</v>
      </c>
      <c r="P473" t="n">
        <v>0</v>
      </c>
      <c r="Q473" t="n">
        <v>0</v>
      </c>
      <c r="R473" s="2" t="inlineStr"/>
    </row>
    <row r="474" ht="15" customHeight="1">
      <c r="A474" t="inlineStr">
        <is>
          <t>A 66259-2021</t>
        </is>
      </c>
      <c r="B474" s="1" t="n">
        <v>44518</v>
      </c>
      <c r="C474" s="1" t="n">
        <v>45628</v>
      </c>
      <c r="D474" t="inlineStr">
        <is>
          <t>VÄSTERBOTTENS LÄN</t>
        </is>
      </c>
      <c r="E474" t="inlineStr">
        <is>
          <t>VILHELMINA</t>
        </is>
      </c>
      <c r="G474" t="n">
        <v>14.6</v>
      </c>
      <c r="H474" t="n">
        <v>0</v>
      </c>
      <c r="I474" t="n">
        <v>0</v>
      </c>
      <c r="J474" t="n">
        <v>0</v>
      </c>
      <c r="K474" t="n">
        <v>0</v>
      </c>
      <c r="L474" t="n">
        <v>0</v>
      </c>
      <c r="M474" t="n">
        <v>0</v>
      </c>
      <c r="N474" t="n">
        <v>0</v>
      </c>
      <c r="O474" t="n">
        <v>0</v>
      </c>
      <c r="P474" t="n">
        <v>0</v>
      </c>
      <c r="Q474" t="n">
        <v>0</v>
      </c>
      <c r="R474" s="2" t="inlineStr"/>
    </row>
    <row r="475" ht="15" customHeight="1">
      <c r="A475" t="inlineStr">
        <is>
          <t>A 66458-2021</t>
        </is>
      </c>
      <c r="B475" s="1" t="n">
        <v>44518</v>
      </c>
      <c r="C475" s="1" t="n">
        <v>45628</v>
      </c>
      <c r="D475" t="inlineStr">
        <is>
          <t>VÄSTERBOTTENS LÄN</t>
        </is>
      </c>
      <c r="E475" t="inlineStr">
        <is>
          <t>VILHELMINA</t>
        </is>
      </c>
      <c r="G475" t="n">
        <v>3.7</v>
      </c>
      <c r="H475" t="n">
        <v>0</v>
      </c>
      <c r="I475" t="n">
        <v>0</v>
      </c>
      <c r="J475" t="n">
        <v>0</v>
      </c>
      <c r="K475" t="n">
        <v>0</v>
      </c>
      <c r="L475" t="n">
        <v>0</v>
      </c>
      <c r="M475" t="n">
        <v>0</v>
      </c>
      <c r="N475" t="n">
        <v>0</v>
      </c>
      <c r="O475" t="n">
        <v>0</v>
      </c>
      <c r="P475" t="n">
        <v>0</v>
      </c>
      <c r="Q475" t="n">
        <v>0</v>
      </c>
      <c r="R475" s="2" t="inlineStr"/>
    </row>
    <row r="476" ht="15" customHeight="1">
      <c r="A476" t="inlineStr">
        <is>
          <t>A 66917-2021</t>
        </is>
      </c>
      <c r="B476" s="1" t="n">
        <v>44522</v>
      </c>
      <c r="C476" s="1" t="n">
        <v>45628</v>
      </c>
      <c r="D476" t="inlineStr">
        <is>
          <t>VÄSTERBOTTENS LÄN</t>
        </is>
      </c>
      <c r="E476" t="inlineStr">
        <is>
          <t>VILHELMINA</t>
        </is>
      </c>
      <c r="F476" t="inlineStr">
        <is>
          <t>Allmännings- och besparingsskogar</t>
        </is>
      </c>
      <c r="G476" t="n">
        <v>11.7</v>
      </c>
      <c r="H476" t="n">
        <v>0</v>
      </c>
      <c r="I476" t="n">
        <v>0</v>
      </c>
      <c r="J476" t="n">
        <v>0</v>
      </c>
      <c r="K476" t="n">
        <v>0</v>
      </c>
      <c r="L476" t="n">
        <v>0</v>
      </c>
      <c r="M476" t="n">
        <v>0</v>
      </c>
      <c r="N476" t="n">
        <v>0</v>
      </c>
      <c r="O476" t="n">
        <v>0</v>
      </c>
      <c r="P476" t="n">
        <v>0</v>
      </c>
      <c r="Q476" t="n">
        <v>0</v>
      </c>
      <c r="R476" s="2" t="inlineStr"/>
    </row>
    <row r="477" ht="15" customHeight="1">
      <c r="A477" t="inlineStr">
        <is>
          <t>A 66952-2021</t>
        </is>
      </c>
      <c r="B477" s="1" t="n">
        <v>44522</v>
      </c>
      <c r="C477" s="1" t="n">
        <v>45628</v>
      </c>
      <c r="D477" t="inlineStr">
        <is>
          <t>VÄSTERBOTTENS LÄN</t>
        </is>
      </c>
      <c r="E477" t="inlineStr">
        <is>
          <t>VILHELMINA</t>
        </is>
      </c>
      <c r="F477" t="inlineStr">
        <is>
          <t>Allmännings- och besparingsskogar</t>
        </is>
      </c>
      <c r="G477" t="n">
        <v>70</v>
      </c>
      <c r="H477" t="n">
        <v>0</v>
      </c>
      <c r="I477" t="n">
        <v>0</v>
      </c>
      <c r="J477" t="n">
        <v>0</v>
      </c>
      <c r="K477" t="n">
        <v>0</v>
      </c>
      <c r="L477" t="n">
        <v>0</v>
      </c>
      <c r="M477" t="n">
        <v>0</v>
      </c>
      <c r="N477" t="n">
        <v>0</v>
      </c>
      <c r="O477" t="n">
        <v>0</v>
      </c>
      <c r="P477" t="n">
        <v>0</v>
      </c>
      <c r="Q477" t="n">
        <v>0</v>
      </c>
      <c r="R477" s="2" t="inlineStr"/>
    </row>
    <row r="478" ht="15" customHeight="1">
      <c r="A478" t="inlineStr">
        <is>
          <t>A 68037-2021</t>
        </is>
      </c>
      <c r="B478" s="1" t="n">
        <v>44525</v>
      </c>
      <c r="C478" s="1" t="n">
        <v>45628</v>
      </c>
      <c r="D478" t="inlineStr">
        <is>
          <t>VÄSTERBOTTENS LÄN</t>
        </is>
      </c>
      <c r="E478" t="inlineStr">
        <is>
          <t>VILHELMINA</t>
        </is>
      </c>
      <c r="G478" t="n">
        <v>2.1</v>
      </c>
      <c r="H478" t="n">
        <v>0</v>
      </c>
      <c r="I478" t="n">
        <v>0</v>
      </c>
      <c r="J478" t="n">
        <v>0</v>
      </c>
      <c r="K478" t="n">
        <v>0</v>
      </c>
      <c r="L478" t="n">
        <v>0</v>
      </c>
      <c r="M478" t="n">
        <v>0</v>
      </c>
      <c r="N478" t="n">
        <v>0</v>
      </c>
      <c r="O478" t="n">
        <v>0</v>
      </c>
      <c r="P478" t="n">
        <v>0</v>
      </c>
      <c r="Q478" t="n">
        <v>0</v>
      </c>
      <c r="R478" s="2" t="inlineStr"/>
    </row>
    <row r="479" ht="15" customHeight="1">
      <c r="A479" t="inlineStr">
        <is>
          <t>A 69362-2021</t>
        </is>
      </c>
      <c r="B479" s="1" t="n">
        <v>44531</v>
      </c>
      <c r="C479" s="1" t="n">
        <v>45628</v>
      </c>
      <c r="D479" t="inlineStr">
        <is>
          <t>VÄSTERBOTTENS LÄN</t>
        </is>
      </c>
      <c r="E479" t="inlineStr">
        <is>
          <t>VILHELMINA</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69366-2021</t>
        </is>
      </c>
      <c r="B480" s="1" t="n">
        <v>44531</v>
      </c>
      <c r="C480" s="1" t="n">
        <v>45628</v>
      </c>
      <c r="D480" t="inlineStr">
        <is>
          <t>VÄSTERBOTTENS LÄN</t>
        </is>
      </c>
      <c r="E480" t="inlineStr">
        <is>
          <t>VILHELMINA</t>
        </is>
      </c>
      <c r="G480" t="n">
        <v>1.2</v>
      </c>
      <c r="H480" t="n">
        <v>0</v>
      </c>
      <c r="I480" t="n">
        <v>0</v>
      </c>
      <c r="J480" t="n">
        <v>0</v>
      </c>
      <c r="K480" t="n">
        <v>0</v>
      </c>
      <c r="L480" t="n">
        <v>0</v>
      </c>
      <c r="M480" t="n">
        <v>0</v>
      </c>
      <c r="N480" t="n">
        <v>0</v>
      </c>
      <c r="O480" t="n">
        <v>0</v>
      </c>
      <c r="P480" t="n">
        <v>0</v>
      </c>
      <c r="Q480" t="n">
        <v>0</v>
      </c>
      <c r="R480" s="2" t="inlineStr"/>
    </row>
    <row r="481" ht="15" customHeight="1">
      <c r="A481" t="inlineStr">
        <is>
          <t>A 69848-2021</t>
        </is>
      </c>
      <c r="B481" s="1" t="n">
        <v>44532</v>
      </c>
      <c r="C481" s="1" t="n">
        <v>45628</v>
      </c>
      <c r="D481" t="inlineStr">
        <is>
          <t>VÄSTERBOTTENS LÄN</t>
        </is>
      </c>
      <c r="E481" t="inlineStr">
        <is>
          <t>VILHELMINA</t>
        </is>
      </c>
      <c r="G481" t="n">
        <v>2.5</v>
      </c>
      <c r="H481" t="n">
        <v>0</v>
      </c>
      <c r="I481" t="n">
        <v>0</v>
      </c>
      <c r="J481" t="n">
        <v>0</v>
      </c>
      <c r="K481" t="n">
        <v>0</v>
      </c>
      <c r="L481" t="n">
        <v>0</v>
      </c>
      <c r="M481" t="n">
        <v>0</v>
      </c>
      <c r="N481" t="n">
        <v>0</v>
      </c>
      <c r="O481" t="n">
        <v>0</v>
      </c>
      <c r="P481" t="n">
        <v>0</v>
      </c>
      <c r="Q481" t="n">
        <v>0</v>
      </c>
      <c r="R481" s="2" t="inlineStr"/>
    </row>
    <row r="482" ht="15" customHeight="1">
      <c r="A482" t="inlineStr">
        <is>
          <t>A 70849-2021</t>
        </is>
      </c>
      <c r="B482" s="1" t="n">
        <v>44532</v>
      </c>
      <c r="C482" s="1" t="n">
        <v>45628</v>
      </c>
      <c r="D482" t="inlineStr">
        <is>
          <t>VÄSTERBOTTENS LÄN</t>
        </is>
      </c>
      <c r="E482" t="inlineStr">
        <is>
          <t>VILHELMINA</t>
        </is>
      </c>
      <c r="G482" t="n">
        <v>21.4</v>
      </c>
      <c r="H482" t="n">
        <v>0</v>
      </c>
      <c r="I482" t="n">
        <v>0</v>
      </c>
      <c r="J482" t="n">
        <v>0</v>
      </c>
      <c r="K482" t="n">
        <v>0</v>
      </c>
      <c r="L482" t="n">
        <v>0</v>
      </c>
      <c r="M482" t="n">
        <v>0</v>
      </c>
      <c r="N482" t="n">
        <v>0</v>
      </c>
      <c r="O482" t="n">
        <v>0</v>
      </c>
      <c r="P482" t="n">
        <v>0</v>
      </c>
      <c r="Q482" t="n">
        <v>0</v>
      </c>
      <c r="R482" s="2" t="inlineStr"/>
    </row>
    <row r="483" ht="15" customHeight="1">
      <c r="A483" t="inlineStr">
        <is>
          <t>A 69850-2021</t>
        </is>
      </c>
      <c r="B483" s="1" t="n">
        <v>44532</v>
      </c>
      <c r="C483" s="1" t="n">
        <v>45628</v>
      </c>
      <c r="D483" t="inlineStr">
        <is>
          <t>VÄSTERBOTTENS LÄN</t>
        </is>
      </c>
      <c r="E483" t="inlineStr">
        <is>
          <t>VILHELMINA</t>
        </is>
      </c>
      <c r="G483" t="n">
        <v>6.8</v>
      </c>
      <c r="H483" t="n">
        <v>0</v>
      </c>
      <c r="I483" t="n">
        <v>0</v>
      </c>
      <c r="J483" t="n">
        <v>0</v>
      </c>
      <c r="K483" t="n">
        <v>0</v>
      </c>
      <c r="L483" t="n">
        <v>0</v>
      </c>
      <c r="M483" t="n">
        <v>0</v>
      </c>
      <c r="N483" t="n">
        <v>0</v>
      </c>
      <c r="O483" t="n">
        <v>0</v>
      </c>
      <c r="P483" t="n">
        <v>0</v>
      </c>
      <c r="Q483" t="n">
        <v>0</v>
      </c>
      <c r="R483" s="2" t="inlineStr"/>
    </row>
    <row r="484" ht="15" customHeight="1">
      <c r="A484" t="inlineStr">
        <is>
          <t>A 70854-2021</t>
        </is>
      </c>
      <c r="B484" s="1" t="n">
        <v>44532</v>
      </c>
      <c r="C484" s="1" t="n">
        <v>45628</v>
      </c>
      <c r="D484" t="inlineStr">
        <is>
          <t>VÄSTERBOTTENS LÄN</t>
        </is>
      </c>
      <c r="E484" t="inlineStr">
        <is>
          <t>VILHELMINA</t>
        </is>
      </c>
      <c r="G484" t="n">
        <v>2.6</v>
      </c>
      <c r="H484" t="n">
        <v>0</v>
      </c>
      <c r="I484" t="n">
        <v>0</v>
      </c>
      <c r="J484" t="n">
        <v>0</v>
      </c>
      <c r="K484" t="n">
        <v>0</v>
      </c>
      <c r="L484" t="n">
        <v>0</v>
      </c>
      <c r="M484" t="n">
        <v>0</v>
      </c>
      <c r="N484" t="n">
        <v>0</v>
      </c>
      <c r="O484" t="n">
        <v>0</v>
      </c>
      <c r="P484" t="n">
        <v>0</v>
      </c>
      <c r="Q484" t="n">
        <v>0</v>
      </c>
      <c r="R484" s="2" t="inlineStr"/>
    </row>
    <row r="485" ht="15" customHeight="1">
      <c r="A485" t="inlineStr">
        <is>
          <t>A 70117-2021</t>
        </is>
      </c>
      <c r="B485" s="1" t="n">
        <v>44533</v>
      </c>
      <c r="C485" s="1" t="n">
        <v>45628</v>
      </c>
      <c r="D485" t="inlineStr">
        <is>
          <t>VÄSTERBOTTENS LÄN</t>
        </is>
      </c>
      <c r="E485" t="inlineStr">
        <is>
          <t>VILHELMINA</t>
        </is>
      </c>
      <c r="G485" t="n">
        <v>3</v>
      </c>
      <c r="H485" t="n">
        <v>0</v>
      </c>
      <c r="I485" t="n">
        <v>0</v>
      </c>
      <c r="J485" t="n">
        <v>0</v>
      </c>
      <c r="K485" t="n">
        <v>0</v>
      </c>
      <c r="L485" t="n">
        <v>0</v>
      </c>
      <c r="M485" t="n">
        <v>0</v>
      </c>
      <c r="N485" t="n">
        <v>0</v>
      </c>
      <c r="O485" t="n">
        <v>0</v>
      </c>
      <c r="P485" t="n">
        <v>0</v>
      </c>
      <c r="Q485" t="n">
        <v>0</v>
      </c>
      <c r="R485" s="2" t="inlineStr"/>
    </row>
    <row r="486" ht="15" customHeight="1">
      <c r="A486" t="inlineStr">
        <is>
          <t>A 70811-2021</t>
        </is>
      </c>
      <c r="B486" s="1" t="n">
        <v>44537</v>
      </c>
      <c r="C486" s="1" t="n">
        <v>45628</v>
      </c>
      <c r="D486" t="inlineStr">
        <is>
          <t>VÄSTERBOTTENS LÄN</t>
        </is>
      </c>
      <c r="E486" t="inlineStr">
        <is>
          <t>VILHELMINA</t>
        </is>
      </c>
      <c r="G486" t="n">
        <v>1.9</v>
      </c>
      <c r="H486" t="n">
        <v>0</v>
      </c>
      <c r="I486" t="n">
        <v>0</v>
      </c>
      <c r="J486" t="n">
        <v>0</v>
      </c>
      <c r="K486" t="n">
        <v>0</v>
      </c>
      <c r="L486" t="n">
        <v>0</v>
      </c>
      <c r="M486" t="n">
        <v>0</v>
      </c>
      <c r="N486" t="n">
        <v>0</v>
      </c>
      <c r="O486" t="n">
        <v>0</v>
      </c>
      <c r="P486" t="n">
        <v>0</v>
      </c>
      <c r="Q486" t="n">
        <v>0</v>
      </c>
      <c r="R486" s="2" t="inlineStr"/>
    </row>
    <row r="487" ht="15" customHeight="1">
      <c r="A487" t="inlineStr">
        <is>
          <t>A 72057-2021</t>
        </is>
      </c>
      <c r="B487" s="1" t="n">
        <v>44540</v>
      </c>
      <c r="C487" s="1" t="n">
        <v>45628</v>
      </c>
      <c r="D487" t="inlineStr">
        <is>
          <t>VÄSTERBOTTENS LÄN</t>
        </is>
      </c>
      <c r="E487" t="inlineStr">
        <is>
          <t>VILHELMINA</t>
        </is>
      </c>
      <c r="G487" t="n">
        <v>7</v>
      </c>
      <c r="H487" t="n">
        <v>0</v>
      </c>
      <c r="I487" t="n">
        <v>0</v>
      </c>
      <c r="J487" t="n">
        <v>0</v>
      </c>
      <c r="K487" t="n">
        <v>0</v>
      </c>
      <c r="L487" t="n">
        <v>0</v>
      </c>
      <c r="M487" t="n">
        <v>0</v>
      </c>
      <c r="N487" t="n">
        <v>0</v>
      </c>
      <c r="O487" t="n">
        <v>0</v>
      </c>
      <c r="P487" t="n">
        <v>0</v>
      </c>
      <c r="Q487" t="n">
        <v>0</v>
      </c>
      <c r="R487" s="2" t="inlineStr"/>
    </row>
    <row r="488" ht="15" customHeight="1">
      <c r="A488" t="inlineStr">
        <is>
          <t>A 72153-2021</t>
        </is>
      </c>
      <c r="B488" s="1" t="n">
        <v>44543</v>
      </c>
      <c r="C488" s="1" t="n">
        <v>45628</v>
      </c>
      <c r="D488" t="inlineStr">
        <is>
          <t>VÄSTERBOTTENS LÄN</t>
        </is>
      </c>
      <c r="E488" t="inlineStr">
        <is>
          <t>VILHELMINA</t>
        </is>
      </c>
      <c r="G488" t="n">
        <v>6.7</v>
      </c>
      <c r="H488" t="n">
        <v>0</v>
      </c>
      <c r="I488" t="n">
        <v>0</v>
      </c>
      <c r="J488" t="n">
        <v>0</v>
      </c>
      <c r="K488" t="n">
        <v>0</v>
      </c>
      <c r="L488" t="n">
        <v>0</v>
      </c>
      <c r="M488" t="n">
        <v>0</v>
      </c>
      <c r="N488" t="n">
        <v>0</v>
      </c>
      <c r="O488" t="n">
        <v>0</v>
      </c>
      <c r="P488" t="n">
        <v>0</v>
      </c>
      <c r="Q488" t="n">
        <v>0</v>
      </c>
      <c r="R488" s="2" t="inlineStr"/>
    </row>
    <row r="489" ht="15" customHeight="1">
      <c r="A489" t="inlineStr">
        <is>
          <t>A 72489-2021</t>
        </is>
      </c>
      <c r="B489" s="1" t="n">
        <v>44545</v>
      </c>
      <c r="C489" s="1" t="n">
        <v>45628</v>
      </c>
      <c r="D489" t="inlineStr">
        <is>
          <t>VÄSTERBOTTENS LÄN</t>
        </is>
      </c>
      <c r="E489" t="inlineStr">
        <is>
          <t>VILHELMINA</t>
        </is>
      </c>
      <c r="G489" t="n">
        <v>5</v>
      </c>
      <c r="H489" t="n">
        <v>0</v>
      </c>
      <c r="I489" t="n">
        <v>0</v>
      </c>
      <c r="J489" t="n">
        <v>0</v>
      </c>
      <c r="K489" t="n">
        <v>0</v>
      </c>
      <c r="L489" t="n">
        <v>0</v>
      </c>
      <c r="M489" t="n">
        <v>0</v>
      </c>
      <c r="N489" t="n">
        <v>0</v>
      </c>
      <c r="O489" t="n">
        <v>0</v>
      </c>
      <c r="P489" t="n">
        <v>0</v>
      </c>
      <c r="Q489" t="n">
        <v>0</v>
      </c>
      <c r="R489" s="2" t="inlineStr"/>
    </row>
    <row r="490" ht="15" customHeight="1">
      <c r="A490" t="inlineStr">
        <is>
          <t>A 72494-2021</t>
        </is>
      </c>
      <c r="B490" s="1" t="n">
        <v>44545</v>
      </c>
      <c r="C490" s="1" t="n">
        <v>45628</v>
      </c>
      <c r="D490" t="inlineStr">
        <is>
          <t>VÄSTERBOTTENS LÄN</t>
        </is>
      </c>
      <c r="E490" t="inlineStr">
        <is>
          <t>VILHELMINA</t>
        </is>
      </c>
      <c r="G490" t="n">
        <v>4.2</v>
      </c>
      <c r="H490" t="n">
        <v>0</v>
      </c>
      <c r="I490" t="n">
        <v>0</v>
      </c>
      <c r="J490" t="n">
        <v>0</v>
      </c>
      <c r="K490" t="n">
        <v>0</v>
      </c>
      <c r="L490" t="n">
        <v>0</v>
      </c>
      <c r="M490" t="n">
        <v>0</v>
      </c>
      <c r="N490" t="n">
        <v>0</v>
      </c>
      <c r="O490" t="n">
        <v>0</v>
      </c>
      <c r="P490" t="n">
        <v>0</v>
      </c>
      <c r="Q490" t="n">
        <v>0</v>
      </c>
      <c r="R490" s="2" t="inlineStr"/>
    </row>
    <row r="491" ht="15" customHeight="1">
      <c r="A491" t="inlineStr">
        <is>
          <t>A 72490-2021</t>
        </is>
      </c>
      <c r="B491" s="1" t="n">
        <v>44545</v>
      </c>
      <c r="C491" s="1" t="n">
        <v>45628</v>
      </c>
      <c r="D491" t="inlineStr">
        <is>
          <t>VÄSTERBOTTENS LÄN</t>
        </is>
      </c>
      <c r="E491" t="inlineStr">
        <is>
          <t>VILHELMINA</t>
        </is>
      </c>
      <c r="G491" t="n">
        <v>3.2</v>
      </c>
      <c r="H491" t="n">
        <v>0</v>
      </c>
      <c r="I491" t="n">
        <v>0</v>
      </c>
      <c r="J491" t="n">
        <v>0</v>
      </c>
      <c r="K491" t="n">
        <v>0</v>
      </c>
      <c r="L491" t="n">
        <v>0</v>
      </c>
      <c r="M491" t="n">
        <v>0</v>
      </c>
      <c r="N491" t="n">
        <v>0</v>
      </c>
      <c r="O491" t="n">
        <v>0</v>
      </c>
      <c r="P491" t="n">
        <v>0</v>
      </c>
      <c r="Q491" t="n">
        <v>0</v>
      </c>
      <c r="R491" s="2" t="inlineStr"/>
    </row>
    <row r="492" ht="15" customHeight="1">
      <c r="A492" t="inlineStr">
        <is>
          <t>A 72488-2021</t>
        </is>
      </c>
      <c r="B492" s="1" t="n">
        <v>44545</v>
      </c>
      <c r="C492" s="1" t="n">
        <v>45628</v>
      </c>
      <c r="D492" t="inlineStr">
        <is>
          <t>VÄSTERBOTTENS LÄN</t>
        </is>
      </c>
      <c r="E492" t="inlineStr">
        <is>
          <t>VILHELMINA</t>
        </is>
      </c>
      <c r="G492" t="n">
        <v>2</v>
      </c>
      <c r="H492" t="n">
        <v>0</v>
      </c>
      <c r="I492" t="n">
        <v>0</v>
      </c>
      <c r="J492" t="n">
        <v>0</v>
      </c>
      <c r="K492" t="n">
        <v>0</v>
      </c>
      <c r="L492" t="n">
        <v>0</v>
      </c>
      <c r="M492" t="n">
        <v>0</v>
      </c>
      <c r="N492" t="n">
        <v>0</v>
      </c>
      <c r="O492" t="n">
        <v>0</v>
      </c>
      <c r="P492" t="n">
        <v>0</v>
      </c>
      <c r="Q492" t="n">
        <v>0</v>
      </c>
      <c r="R492" s="2" t="inlineStr"/>
    </row>
    <row r="493" ht="15" customHeight="1">
      <c r="A493" t="inlineStr">
        <is>
          <t>A 72487-2021</t>
        </is>
      </c>
      <c r="B493" s="1" t="n">
        <v>44545</v>
      </c>
      <c r="C493" s="1" t="n">
        <v>45628</v>
      </c>
      <c r="D493" t="inlineStr">
        <is>
          <t>VÄSTERBOTTENS LÄN</t>
        </is>
      </c>
      <c r="E493" t="inlineStr">
        <is>
          <t>VILHELMINA</t>
        </is>
      </c>
      <c r="G493" t="n">
        <v>1.2</v>
      </c>
      <c r="H493" t="n">
        <v>0</v>
      </c>
      <c r="I493" t="n">
        <v>0</v>
      </c>
      <c r="J493" t="n">
        <v>0</v>
      </c>
      <c r="K493" t="n">
        <v>0</v>
      </c>
      <c r="L493" t="n">
        <v>0</v>
      </c>
      <c r="M493" t="n">
        <v>0</v>
      </c>
      <c r="N493" t="n">
        <v>0</v>
      </c>
      <c r="O493" t="n">
        <v>0</v>
      </c>
      <c r="P493" t="n">
        <v>0</v>
      </c>
      <c r="Q493" t="n">
        <v>0</v>
      </c>
      <c r="R493" s="2" t="inlineStr"/>
    </row>
    <row r="494" ht="15" customHeight="1">
      <c r="A494" t="inlineStr">
        <is>
          <t>A 72493-2021</t>
        </is>
      </c>
      <c r="B494" s="1" t="n">
        <v>44545</v>
      </c>
      <c r="C494" s="1" t="n">
        <v>45628</v>
      </c>
      <c r="D494" t="inlineStr">
        <is>
          <t>VÄSTERBOTTENS LÄN</t>
        </is>
      </c>
      <c r="E494" t="inlineStr">
        <is>
          <t>VILHELMINA</t>
        </is>
      </c>
      <c r="G494" t="n">
        <v>4.2</v>
      </c>
      <c r="H494" t="n">
        <v>0</v>
      </c>
      <c r="I494" t="n">
        <v>0</v>
      </c>
      <c r="J494" t="n">
        <v>0</v>
      </c>
      <c r="K494" t="n">
        <v>0</v>
      </c>
      <c r="L494" t="n">
        <v>0</v>
      </c>
      <c r="M494" t="n">
        <v>0</v>
      </c>
      <c r="N494" t="n">
        <v>0</v>
      </c>
      <c r="O494" t="n">
        <v>0</v>
      </c>
      <c r="P494" t="n">
        <v>0</v>
      </c>
      <c r="Q494" t="n">
        <v>0</v>
      </c>
      <c r="R494" s="2" t="inlineStr"/>
    </row>
    <row r="495" ht="15" customHeight="1">
      <c r="A495" t="inlineStr">
        <is>
          <t>A 210-2022</t>
        </is>
      </c>
      <c r="B495" s="1" t="n">
        <v>44564</v>
      </c>
      <c r="C495" s="1" t="n">
        <v>45628</v>
      </c>
      <c r="D495" t="inlineStr">
        <is>
          <t>VÄSTERBOTTENS LÄN</t>
        </is>
      </c>
      <c r="E495" t="inlineStr">
        <is>
          <t>VILHELMINA</t>
        </is>
      </c>
      <c r="G495" t="n">
        <v>2</v>
      </c>
      <c r="H495" t="n">
        <v>0</v>
      </c>
      <c r="I495" t="n">
        <v>0</v>
      </c>
      <c r="J495" t="n">
        <v>0</v>
      </c>
      <c r="K495" t="n">
        <v>0</v>
      </c>
      <c r="L495" t="n">
        <v>0</v>
      </c>
      <c r="M495" t="n">
        <v>0</v>
      </c>
      <c r="N495" t="n">
        <v>0</v>
      </c>
      <c r="O495" t="n">
        <v>0</v>
      </c>
      <c r="P495" t="n">
        <v>0</v>
      </c>
      <c r="Q495" t="n">
        <v>0</v>
      </c>
      <c r="R495" s="2" t="inlineStr"/>
    </row>
    <row r="496" ht="15" customHeight="1">
      <c r="A496" t="inlineStr">
        <is>
          <t>A 590-2022</t>
        </is>
      </c>
      <c r="B496" s="1" t="n">
        <v>44567</v>
      </c>
      <c r="C496" s="1" t="n">
        <v>45628</v>
      </c>
      <c r="D496" t="inlineStr">
        <is>
          <t>VÄSTERBOTTENS LÄN</t>
        </is>
      </c>
      <c r="E496" t="inlineStr">
        <is>
          <t>VILHELMINA</t>
        </is>
      </c>
      <c r="G496" t="n">
        <v>14.5</v>
      </c>
      <c r="H496" t="n">
        <v>0</v>
      </c>
      <c r="I496" t="n">
        <v>0</v>
      </c>
      <c r="J496" t="n">
        <v>0</v>
      </c>
      <c r="K496" t="n">
        <v>0</v>
      </c>
      <c r="L496" t="n">
        <v>0</v>
      </c>
      <c r="M496" t="n">
        <v>0</v>
      </c>
      <c r="N496" t="n">
        <v>0</v>
      </c>
      <c r="O496" t="n">
        <v>0</v>
      </c>
      <c r="P496" t="n">
        <v>0</v>
      </c>
      <c r="Q496" t="n">
        <v>0</v>
      </c>
      <c r="R496" s="2" t="inlineStr"/>
    </row>
    <row r="497" ht="15" customHeight="1">
      <c r="A497" t="inlineStr">
        <is>
          <t>A 664-2022</t>
        </is>
      </c>
      <c r="B497" s="1" t="n">
        <v>44568</v>
      </c>
      <c r="C497" s="1" t="n">
        <v>45628</v>
      </c>
      <c r="D497" t="inlineStr">
        <is>
          <t>VÄSTERBOTTENS LÄN</t>
        </is>
      </c>
      <c r="E497" t="inlineStr">
        <is>
          <t>VILHELMINA</t>
        </is>
      </c>
      <c r="G497" t="n">
        <v>1.8</v>
      </c>
      <c r="H497" t="n">
        <v>0</v>
      </c>
      <c r="I497" t="n">
        <v>0</v>
      </c>
      <c r="J497" t="n">
        <v>0</v>
      </c>
      <c r="K497" t="n">
        <v>0</v>
      </c>
      <c r="L497" t="n">
        <v>0</v>
      </c>
      <c r="M497" t="n">
        <v>0</v>
      </c>
      <c r="N497" t="n">
        <v>0</v>
      </c>
      <c r="O497" t="n">
        <v>0</v>
      </c>
      <c r="P497" t="n">
        <v>0</v>
      </c>
      <c r="Q497" t="n">
        <v>0</v>
      </c>
      <c r="R497" s="2" t="inlineStr"/>
    </row>
    <row r="498" ht="15" customHeight="1">
      <c r="A498" t="inlineStr">
        <is>
          <t>A 2340-2022</t>
        </is>
      </c>
      <c r="B498" s="1" t="n">
        <v>44578</v>
      </c>
      <c r="C498" s="1" t="n">
        <v>45628</v>
      </c>
      <c r="D498" t="inlineStr">
        <is>
          <t>VÄSTERBOTTENS LÄN</t>
        </is>
      </c>
      <c r="E498" t="inlineStr">
        <is>
          <t>VILHELMINA</t>
        </is>
      </c>
      <c r="G498" t="n">
        <v>0.9</v>
      </c>
      <c r="H498" t="n">
        <v>0</v>
      </c>
      <c r="I498" t="n">
        <v>0</v>
      </c>
      <c r="J498" t="n">
        <v>0</v>
      </c>
      <c r="K498" t="n">
        <v>0</v>
      </c>
      <c r="L498" t="n">
        <v>0</v>
      </c>
      <c r="M498" t="n">
        <v>0</v>
      </c>
      <c r="N498" t="n">
        <v>0</v>
      </c>
      <c r="O498" t="n">
        <v>0</v>
      </c>
      <c r="P498" t="n">
        <v>0</v>
      </c>
      <c r="Q498" t="n">
        <v>0</v>
      </c>
      <c r="R498" s="2" t="inlineStr"/>
    </row>
    <row r="499" ht="15" customHeight="1">
      <c r="A499" t="inlineStr">
        <is>
          <t>A 2341-2022</t>
        </is>
      </c>
      <c r="B499" s="1" t="n">
        <v>44578</v>
      </c>
      <c r="C499" s="1" t="n">
        <v>45628</v>
      </c>
      <c r="D499" t="inlineStr">
        <is>
          <t>VÄSTERBOTTENS LÄN</t>
        </is>
      </c>
      <c r="E499" t="inlineStr">
        <is>
          <t>VILHELMINA</t>
        </is>
      </c>
      <c r="G499" t="n">
        <v>3</v>
      </c>
      <c r="H499" t="n">
        <v>0</v>
      </c>
      <c r="I499" t="n">
        <v>0</v>
      </c>
      <c r="J499" t="n">
        <v>0</v>
      </c>
      <c r="K499" t="n">
        <v>0</v>
      </c>
      <c r="L499" t="n">
        <v>0</v>
      </c>
      <c r="M499" t="n">
        <v>0</v>
      </c>
      <c r="N499" t="n">
        <v>0</v>
      </c>
      <c r="O499" t="n">
        <v>0</v>
      </c>
      <c r="P499" t="n">
        <v>0</v>
      </c>
      <c r="Q499" t="n">
        <v>0</v>
      </c>
      <c r="R499" s="2" t="inlineStr"/>
    </row>
    <row r="500" ht="15" customHeight="1">
      <c r="A500" t="inlineStr">
        <is>
          <t>A 5285-2022</t>
        </is>
      </c>
      <c r="B500" s="1" t="n">
        <v>44594</v>
      </c>
      <c r="C500" s="1" t="n">
        <v>45628</v>
      </c>
      <c r="D500" t="inlineStr">
        <is>
          <t>VÄSTERBOTTENS LÄN</t>
        </is>
      </c>
      <c r="E500" t="inlineStr">
        <is>
          <t>VILHELMINA</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7156-2022</t>
        </is>
      </c>
      <c r="B501" s="1" t="n">
        <v>44604</v>
      </c>
      <c r="C501" s="1" t="n">
        <v>45628</v>
      </c>
      <c r="D501" t="inlineStr">
        <is>
          <t>VÄSTERBOTTENS LÄN</t>
        </is>
      </c>
      <c r="E501" t="inlineStr">
        <is>
          <t>VILHELMINA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8229-2022</t>
        </is>
      </c>
      <c r="B502" s="1" t="n">
        <v>44609</v>
      </c>
      <c r="C502" s="1" t="n">
        <v>45628</v>
      </c>
      <c r="D502" t="inlineStr">
        <is>
          <t>VÄSTERBOTTENS LÄN</t>
        </is>
      </c>
      <c r="E502" t="inlineStr">
        <is>
          <t>VILHELMINA</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8258-2022</t>
        </is>
      </c>
      <c r="B503" s="1" t="n">
        <v>44609</v>
      </c>
      <c r="C503" s="1" t="n">
        <v>45628</v>
      </c>
      <c r="D503" t="inlineStr">
        <is>
          <t>VÄSTERBOTTENS LÄN</t>
        </is>
      </c>
      <c r="E503" t="inlineStr">
        <is>
          <t>VILHELMINA</t>
        </is>
      </c>
      <c r="G503" t="n">
        <v>31.1</v>
      </c>
      <c r="H503" t="n">
        <v>0</v>
      </c>
      <c r="I503" t="n">
        <v>0</v>
      </c>
      <c r="J503" t="n">
        <v>0</v>
      </c>
      <c r="K503" t="n">
        <v>0</v>
      </c>
      <c r="L503" t="n">
        <v>0</v>
      </c>
      <c r="M503" t="n">
        <v>0</v>
      </c>
      <c r="N503" t="n">
        <v>0</v>
      </c>
      <c r="O503" t="n">
        <v>0</v>
      </c>
      <c r="P503" t="n">
        <v>0</v>
      </c>
      <c r="Q503" t="n">
        <v>0</v>
      </c>
      <c r="R503" s="2" t="inlineStr"/>
    </row>
    <row r="504" ht="15" customHeight="1">
      <c r="A504" t="inlineStr">
        <is>
          <t>A 8731-2022</t>
        </is>
      </c>
      <c r="B504" s="1" t="n">
        <v>44613</v>
      </c>
      <c r="C504" s="1" t="n">
        <v>45628</v>
      </c>
      <c r="D504" t="inlineStr">
        <is>
          <t>VÄSTERBOTTENS LÄN</t>
        </is>
      </c>
      <c r="E504" t="inlineStr">
        <is>
          <t>VILHELMINA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8730-2022</t>
        </is>
      </c>
      <c r="B505" s="1" t="n">
        <v>44613</v>
      </c>
      <c r="C505" s="1" t="n">
        <v>45628</v>
      </c>
      <c r="D505" t="inlineStr">
        <is>
          <t>VÄSTERBOTTENS LÄN</t>
        </is>
      </c>
      <c r="E505" t="inlineStr">
        <is>
          <t>VILHELMINA</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9026-2022</t>
        </is>
      </c>
      <c r="B506" s="1" t="n">
        <v>44615</v>
      </c>
      <c r="C506" s="1" t="n">
        <v>45628</v>
      </c>
      <c r="D506" t="inlineStr">
        <is>
          <t>VÄSTERBOTTENS LÄN</t>
        </is>
      </c>
      <c r="E506" t="inlineStr">
        <is>
          <t>VILHELMINA</t>
        </is>
      </c>
      <c r="G506" t="n">
        <v>25.8</v>
      </c>
      <c r="H506" t="n">
        <v>0</v>
      </c>
      <c r="I506" t="n">
        <v>0</v>
      </c>
      <c r="J506" t="n">
        <v>0</v>
      </c>
      <c r="K506" t="n">
        <v>0</v>
      </c>
      <c r="L506" t="n">
        <v>0</v>
      </c>
      <c r="M506" t="n">
        <v>0</v>
      </c>
      <c r="N506" t="n">
        <v>0</v>
      </c>
      <c r="O506" t="n">
        <v>0</v>
      </c>
      <c r="P506" t="n">
        <v>0</v>
      </c>
      <c r="Q506" t="n">
        <v>0</v>
      </c>
      <c r="R506" s="2" t="inlineStr"/>
    </row>
    <row r="507" ht="15" customHeight="1">
      <c r="A507" t="inlineStr">
        <is>
          <t>A 9162-2022</t>
        </is>
      </c>
      <c r="B507" s="1" t="n">
        <v>44615</v>
      </c>
      <c r="C507" s="1" t="n">
        <v>45628</v>
      </c>
      <c r="D507" t="inlineStr">
        <is>
          <t>VÄSTERBOTTENS LÄN</t>
        </is>
      </c>
      <c r="E507" t="inlineStr">
        <is>
          <t>VILHELMINA</t>
        </is>
      </c>
      <c r="G507" t="n">
        <v>7.2</v>
      </c>
      <c r="H507" t="n">
        <v>0</v>
      </c>
      <c r="I507" t="n">
        <v>0</v>
      </c>
      <c r="J507" t="n">
        <v>0</v>
      </c>
      <c r="K507" t="n">
        <v>0</v>
      </c>
      <c r="L507" t="n">
        <v>0</v>
      </c>
      <c r="M507" t="n">
        <v>0</v>
      </c>
      <c r="N507" t="n">
        <v>0</v>
      </c>
      <c r="O507" t="n">
        <v>0</v>
      </c>
      <c r="P507" t="n">
        <v>0</v>
      </c>
      <c r="Q507" t="n">
        <v>0</v>
      </c>
      <c r="R507" s="2" t="inlineStr"/>
    </row>
    <row r="508" ht="15" customHeight="1">
      <c r="A508" t="inlineStr">
        <is>
          <t>A 9501-2022</t>
        </is>
      </c>
      <c r="B508" s="1" t="n">
        <v>44616</v>
      </c>
      <c r="C508" s="1" t="n">
        <v>45628</v>
      </c>
      <c r="D508" t="inlineStr">
        <is>
          <t>VÄSTERBOTTENS LÄN</t>
        </is>
      </c>
      <c r="E508" t="inlineStr">
        <is>
          <t>VILHELMINA</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9731-2022</t>
        </is>
      </c>
      <c r="B509" s="1" t="n">
        <v>44617</v>
      </c>
      <c r="C509" s="1" t="n">
        <v>45628</v>
      </c>
      <c r="D509" t="inlineStr">
        <is>
          <t>VÄSTERBOTTENS LÄN</t>
        </is>
      </c>
      <c r="E509" t="inlineStr">
        <is>
          <t>VILHELMINA</t>
        </is>
      </c>
      <c r="F509" t="inlineStr">
        <is>
          <t>SCA</t>
        </is>
      </c>
      <c r="G509" t="n">
        <v>15.9</v>
      </c>
      <c r="H509" t="n">
        <v>0</v>
      </c>
      <c r="I509" t="n">
        <v>0</v>
      </c>
      <c r="J509" t="n">
        <v>0</v>
      </c>
      <c r="K509" t="n">
        <v>0</v>
      </c>
      <c r="L509" t="n">
        <v>0</v>
      </c>
      <c r="M509" t="n">
        <v>0</v>
      </c>
      <c r="N509" t="n">
        <v>0</v>
      </c>
      <c r="O509" t="n">
        <v>0</v>
      </c>
      <c r="P509" t="n">
        <v>0</v>
      </c>
      <c r="Q509" t="n">
        <v>0</v>
      </c>
      <c r="R509" s="2" t="inlineStr"/>
    </row>
    <row r="510" ht="15" customHeight="1">
      <c r="A510" t="inlineStr">
        <is>
          <t>A 9735-2022</t>
        </is>
      </c>
      <c r="B510" s="1" t="n">
        <v>44617</v>
      </c>
      <c r="C510" s="1" t="n">
        <v>45628</v>
      </c>
      <c r="D510" t="inlineStr">
        <is>
          <t>VÄSTERBOTTENS LÄN</t>
        </is>
      </c>
      <c r="E510" t="inlineStr">
        <is>
          <t>VILHELMINA</t>
        </is>
      </c>
      <c r="F510" t="inlineStr">
        <is>
          <t>SCA</t>
        </is>
      </c>
      <c r="G510" t="n">
        <v>12.3</v>
      </c>
      <c r="H510" t="n">
        <v>0</v>
      </c>
      <c r="I510" t="n">
        <v>0</v>
      </c>
      <c r="J510" t="n">
        <v>0</v>
      </c>
      <c r="K510" t="n">
        <v>0</v>
      </c>
      <c r="L510" t="n">
        <v>0</v>
      </c>
      <c r="M510" t="n">
        <v>0</v>
      </c>
      <c r="N510" t="n">
        <v>0</v>
      </c>
      <c r="O510" t="n">
        <v>0</v>
      </c>
      <c r="P510" t="n">
        <v>0</v>
      </c>
      <c r="Q510" t="n">
        <v>0</v>
      </c>
      <c r="R510" s="2" t="inlineStr"/>
    </row>
    <row r="511" ht="15" customHeight="1">
      <c r="A511" t="inlineStr">
        <is>
          <t>A 9734-2022</t>
        </is>
      </c>
      <c r="B511" s="1" t="n">
        <v>44617</v>
      </c>
      <c r="C511" s="1" t="n">
        <v>45628</v>
      </c>
      <c r="D511" t="inlineStr">
        <is>
          <t>VÄSTERBOTTENS LÄN</t>
        </is>
      </c>
      <c r="E511" t="inlineStr">
        <is>
          <t>VILHELMINA</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9732-2022</t>
        </is>
      </c>
      <c r="B512" s="1" t="n">
        <v>44617</v>
      </c>
      <c r="C512" s="1" t="n">
        <v>45628</v>
      </c>
      <c r="D512" t="inlineStr">
        <is>
          <t>VÄSTERBOTTENS LÄN</t>
        </is>
      </c>
      <c r="E512" t="inlineStr">
        <is>
          <t>VILHELMINA</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9733-2022</t>
        </is>
      </c>
      <c r="B513" s="1" t="n">
        <v>44617</v>
      </c>
      <c r="C513" s="1" t="n">
        <v>45628</v>
      </c>
      <c r="D513" t="inlineStr">
        <is>
          <t>VÄSTERBOTTENS LÄN</t>
        </is>
      </c>
      <c r="E513" t="inlineStr">
        <is>
          <t>VILHELMINA</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9777-2022</t>
        </is>
      </c>
      <c r="B514" s="1" t="n">
        <v>44619</v>
      </c>
      <c r="C514" s="1" t="n">
        <v>45628</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9781-2022</t>
        </is>
      </c>
      <c r="B515" s="1" t="n">
        <v>44619</v>
      </c>
      <c r="C515" s="1" t="n">
        <v>45628</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9780-2022</t>
        </is>
      </c>
      <c r="B516" s="1" t="n">
        <v>44619</v>
      </c>
      <c r="C516" s="1" t="n">
        <v>45628</v>
      </c>
      <c r="D516" t="inlineStr">
        <is>
          <t>VÄSTERBOTTENS LÄN</t>
        </is>
      </c>
      <c r="E516" t="inlineStr">
        <is>
          <t>VILHELMINA</t>
        </is>
      </c>
      <c r="G516" t="n">
        <v>1.9</v>
      </c>
      <c r="H516" t="n">
        <v>0</v>
      </c>
      <c r="I516" t="n">
        <v>0</v>
      </c>
      <c r="J516" t="n">
        <v>0</v>
      </c>
      <c r="K516" t="n">
        <v>0</v>
      </c>
      <c r="L516" t="n">
        <v>0</v>
      </c>
      <c r="M516" t="n">
        <v>0</v>
      </c>
      <c r="N516" t="n">
        <v>0</v>
      </c>
      <c r="O516" t="n">
        <v>0</v>
      </c>
      <c r="P516" t="n">
        <v>0</v>
      </c>
      <c r="Q516" t="n">
        <v>0</v>
      </c>
      <c r="R516" s="2" t="inlineStr"/>
    </row>
    <row r="517" ht="15" customHeight="1">
      <c r="A517" t="inlineStr">
        <is>
          <t>A 9779-2022</t>
        </is>
      </c>
      <c r="B517" s="1" t="n">
        <v>44619</v>
      </c>
      <c r="C517" s="1" t="n">
        <v>45628</v>
      </c>
      <c r="D517" t="inlineStr">
        <is>
          <t>VÄSTERBOTTENS LÄN</t>
        </is>
      </c>
      <c r="E517" t="inlineStr">
        <is>
          <t>VILHELMINA</t>
        </is>
      </c>
      <c r="G517" t="n">
        <v>0.8</v>
      </c>
      <c r="H517" t="n">
        <v>0</v>
      </c>
      <c r="I517" t="n">
        <v>0</v>
      </c>
      <c r="J517" t="n">
        <v>0</v>
      </c>
      <c r="K517" t="n">
        <v>0</v>
      </c>
      <c r="L517" t="n">
        <v>0</v>
      </c>
      <c r="M517" t="n">
        <v>0</v>
      </c>
      <c r="N517" t="n">
        <v>0</v>
      </c>
      <c r="O517" t="n">
        <v>0</v>
      </c>
      <c r="P517" t="n">
        <v>0</v>
      </c>
      <c r="Q517" t="n">
        <v>0</v>
      </c>
      <c r="R517" s="2" t="inlineStr"/>
    </row>
    <row r="518" ht="15" customHeight="1">
      <c r="A518" t="inlineStr">
        <is>
          <t>A 10142-2022</t>
        </is>
      </c>
      <c r="B518" s="1" t="n">
        <v>44621</v>
      </c>
      <c r="C518" s="1" t="n">
        <v>45628</v>
      </c>
      <c r="D518" t="inlineStr">
        <is>
          <t>VÄSTERBOTTENS LÄN</t>
        </is>
      </c>
      <c r="E518" t="inlineStr">
        <is>
          <t>VILHELMINA</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10121-2022</t>
        </is>
      </c>
      <c r="B519" s="1" t="n">
        <v>44621</v>
      </c>
      <c r="C519" s="1" t="n">
        <v>45628</v>
      </c>
      <c r="D519" t="inlineStr">
        <is>
          <t>VÄSTERBOTTENS LÄN</t>
        </is>
      </c>
      <c r="E519" t="inlineStr">
        <is>
          <t>VILHELMINA</t>
        </is>
      </c>
      <c r="G519" t="n">
        <v>14.1</v>
      </c>
      <c r="H519" t="n">
        <v>0</v>
      </c>
      <c r="I519" t="n">
        <v>0</v>
      </c>
      <c r="J519" t="n">
        <v>0</v>
      </c>
      <c r="K519" t="n">
        <v>0</v>
      </c>
      <c r="L519" t="n">
        <v>0</v>
      </c>
      <c r="M519" t="n">
        <v>0</v>
      </c>
      <c r="N519" t="n">
        <v>0</v>
      </c>
      <c r="O519" t="n">
        <v>0</v>
      </c>
      <c r="P519" t="n">
        <v>0</v>
      </c>
      <c r="Q519" t="n">
        <v>0</v>
      </c>
      <c r="R519" s="2" t="inlineStr"/>
    </row>
    <row r="520" ht="15" customHeight="1">
      <c r="A520" t="inlineStr">
        <is>
          <t>A 10213-2022</t>
        </is>
      </c>
      <c r="B520" s="1" t="n">
        <v>44622</v>
      </c>
      <c r="C520" s="1" t="n">
        <v>45628</v>
      </c>
      <c r="D520" t="inlineStr">
        <is>
          <t>VÄSTERBOTTENS LÄN</t>
        </is>
      </c>
      <c r="E520" t="inlineStr">
        <is>
          <t>VILHELMINA</t>
        </is>
      </c>
      <c r="G520" t="n">
        <v>1.7</v>
      </c>
      <c r="H520" t="n">
        <v>0</v>
      </c>
      <c r="I520" t="n">
        <v>0</v>
      </c>
      <c r="J520" t="n">
        <v>0</v>
      </c>
      <c r="K520" t="n">
        <v>0</v>
      </c>
      <c r="L520" t="n">
        <v>0</v>
      </c>
      <c r="M520" t="n">
        <v>0</v>
      </c>
      <c r="N520" t="n">
        <v>0</v>
      </c>
      <c r="O520" t="n">
        <v>0</v>
      </c>
      <c r="P520" t="n">
        <v>0</v>
      </c>
      <c r="Q520" t="n">
        <v>0</v>
      </c>
      <c r="R520" s="2" t="inlineStr"/>
    </row>
    <row r="521" ht="15" customHeight="1">
      <c r="A521" t="inlineStr">
        <is>
          <t>A 10548-2022</t>
        </is>
      </c>
      <c r="B521" s="1" t="n">
        <v>44623</v>
      </c>
      <c r="C521" s="1" t="n">
        <v>45628</v>
      </c>
      <c r="D521" t="inlineStr">
        <is>
          <t>VÄSTERBOTTENS LÄN</t>
        </is>
      </c>
      <c r="E521" t="inlineStr">
        <is>
          <t>VILHELMINA</t>
        </is>
      </c>
      <c r="F521" t="inlineStr">
        <is>
          <t>SCA</t>
        </is>
      </c>
      <c r="G521" t="n">
        <v>11.5</v>
      </c>
      <c r="H521" t="n">
        <v>0</v>
      </c>
      <c r="I521" t="n">
        <v>0</v>
      </c>
      <c r="J521" t="n">
        <v>0</v>
      </c>
      <c r="K521" t="n">
        <v>0</v>
      </c>
      <c r="L521" t="n">
        <v>0</v>
      </c>
      <c r="M521" t="n">
        <v>0</v>
      </c>
      <c r="N521" t="n">
        <v>0</v>
      </c>
      <c r="O521" t="n">
        <v>0</v>
      </c>
      <c r="P521" t="n">
        <v>0</v>
      </c>
      <c r="Q521" t="n">
        <v>0</v>
      </c>
      <c r="R521" s="2" t="inlineStr"/>
    </row>
    <row r="522" ht="15" customHeight="1">
      <c r="A522" t="inlineStr">
        <is>
          <t>A 10708-2022</t>
        </is>
      </c>
      <c r="B522" s="1" t="n">
        <v>44625</v>
      </c>
      <c r="C522" s="1" t="n">
        <v>45628</v>
      </c>
      <c r="D522" t="inlineStr">
        <is>
          <t>VÄSTERBOTTENS LÄN</t>
        </is>
      </c>
      <c r="E522" t="inlineStr">
        <is>
          <t>VILHELMINA</t>
        </is>
      </c>
      <c r="G522" t="n">
        <v>21.3</v>
      </c>
      <c r="H522" t="n">
        <v>0</v>
      </c>
      <c r="I522" t="n">
        <v>0</v>
      </c>
      <c r="J522" t="n">
        <v>0</v>
      </c>
      <c r="K522" t="n">
        <v>0</v>
      </c>
      <c r="L522" t="n">
        <v>0</v>
      </c>
      <c r="M522" t="n">
        <v>0</v>
      </c>
      <c r="N522" t="n">
        <v>0</v>
      </c>
      <c r="O522" t="n">
        <v>0</v>
      </c>
      <c r="P522" t="n">
        <v>0</v>
      </c>
      <c r="Q522" t="n">
        <v>0</v>
      </c>
      <c r="R522" s="2" t="inlineStr"/>
    </row>
    <row r="523" ht="15" customHeight="1">
      <c r="A523" t="inlineStr">
        <is>
          <t>A 10833-2022</t>
        </is>
      </c>
      <c r="B523" s="1" t="n">
        <v>44627</v>
      </c>
      <c r="C523" s="1" t="n">
        <v>45628</v>
      </c>
      <c r="D523" t="inlineStr">
        <is>
          <t>VÄSTERBOTTENS LÄN</t>
        </is>
      </c>
      <c r="E523" t="inlineStr">
        <is>
          <t>VILHELMINA</t>
        </is>
      </c>
      <c r="G523" t="n">
        <v>5.4</v>
      </c>
      <c r="H523" t="n">
        <v>0</v>
      </c>
      <c r="I523" t="n">
        <v>0</v>
      </c>
      <c r="J523" t="n">
        <v>0</v>
      </c>
      <c r="K523" t="n">
        <v>0</v>
      </c>
      <c r="L523" t="n">
        <v>0</v>
      </c>
      <c r="M523" t="n">
        <v>0</v>
      </c>
      <c r="N523" t="n">
        <v>0</v>
      </c>
      <c r="O523" t="n">
        <v>0</v>
      </c>
      <c r="P523" t="n">
        <v>0</v>
      </c>
      <c r="Q523" t="n">
        <v>0</v>
      </c>
      <c r="R523" s="2" t="inlineStr"/>
    </row>
    <row r="524" ht="15" customHeight="1">
      <c r="A524" t="inlineStr">
        <is>
          <t>A 10839-2022</t>
        </is>
      </c>
      <c r="B524" s="1" t="n">
        <v>44627</v>
      </c>
      <c r="C524" s="1" t="n">
        <v>45628</v>
      </c>
      <c r="D524" t="inlineStr">
        <is>
          <t>VÄSTERBOTTENS LÄN</t>
        </is>
      </c>
      <c r="E524" t="inlineStr">
        <is>
          <t>VILHELMINA</t>
        </is>
      </c>
      <c r="G524" t="n">
        <v>2.9</v>
      </c>
      <c r="H524" t="n">
        <v>0</v>
      </c>
      <c r="I524" t="n">
        <v>0</v>
      </c>
      <c r="J524" t="n">
        <v>0</v>
      </c>
      <c r="K524" t="n">
        <v>0</v>
      </c>
      <c r="L524" t="n">
        <v>0</v>
      </c>
      <c r="M524" t="n">
        <v>0</v>
      </c>
      <c r="N524" t="n">
        <v>0</v>
      </c>
      <c r="O524" t="n">
        <v>0</v>
      </c>
      <c r="P524" t="n">
        <v>0</v>
      </c>
      <c r="Q524" t="n">
        <v>0</v>
      </c>
      <c r="R524" s="2" t="inlineStr"/>
    </row>
    <row r="525" ht="15" customHeight="1">
      <c r="A525" t="inlineStr">
        <is>
          <t>A 11076-2022</t>
        </is>
      </c>
      <c r="B525" s="1" t="n">
        <v>44628</v>
      </c>
      <c r="C525" s="1" t="n">
        <v>45628</v>
      </c>
      <c r="D525" t="inlineStr">
        <is>
          <t>VÄSTERBOTTENS LÄN</t>
        </is>
      </c>
      <c r="E525" t="inlineStr">
        <is>
          <t>VILHELMINA</t>
        </is>
      </c>
      <c r="G525" t="n">
        <v>7.4</v>
      </c>
      <c r="H525" t="n">
        <v>0</v>
      </c>
      <c r="I525" t="n">
        <v>0</v>
      </c>
      <c r="J525" t="n">
        <v>0</v>
      </c>
      <c r="K525" t="n">
        <v>0</v>
      </c>
      <c r="L525" t="n">
        <v>0</v>
      </c>
      <c r="M525" t="n">
        <v>0</v>
      </c>
      <c r="N525" t="n">
        <v>0</v>
      </c>
      <c r="O525" t="n">
        <v>0</v>
      </c>
      <c r="P525" t="n">
        <v>0</v>
      </c>
      <c r="Q525" t="n">
        <v>0</v>
      </c>
      <c r="R525" s="2" t="inlineStr"/>
    </row>
    <row r="526" ht="15" customHeight="1">
      <c r="A526" t="inlineStr">
        <is>
          <t>A 11114-2022</t>
        </is>
      </c>
      <c r="B526" s="1" t="n">
        <v>44628</v>
      </c>
      <c r="C526" s="1" t="n">
        <v>45628</v>
      </c>
      <c r="D526" t="inlineStr">
        <is>
          <t>VÄSTERBOTTENS LÄN</t>
        </is>
      </c>
      <c r="E526" t="inlineStr">
        <is>
          <t>VILHELMINA</t>
        </is>
      </c>
      <c r="G526" t="n">
        <v>8.6</v>
      </c>
      <c r="H526" t="n">
        <v>0</v>
      </c>
      <c r="I526" t="n">
        <v>0</v>
      </c>
      <c r="J526" t="n">
        <v>0</v>
      </c>
      <c r="K526" t="n">
        <v>0</v>
      </c>
      <c r="L526" t="n">
        <v>0</v>
      </c>
      <c r="M526" t="n">
        <v>0</v>
      </c>
      <c r="N526" t="n">
        <v>0</v>
      </c>
      <c r="O526" t="n">
        <v>0</v>
      </c>
      <c r="P526" t="n">
        <v>0</v>
      </c>
      <c r="Q526" t="n">
        <v>0</v>
      </c>
      <c r="R526" s="2" t="inlineStr"/>
    </row>
    <row r="527" ht="15" customHeight="1">
      <c r="A527" t="inlineStr">
        <is>
          <t>A 11116-2022</t>
        </is>
      </c>
      <c r="B527" s="1" t="n">
        <v>44628</v>
      </c>
      <c r="C527" s="1" t="n">
        <v>45628</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11139-2022</t>
        </is>
      </c>
      <c r="B528" s="1" t="n">
        <v>44628</v>
      </c>
      <c r="C528" s="1" t="n">
        <v>45628</v>
      </c>
      <c r="D528" t="inlineStr">
        <is>
          <t>VÄSTERBOTTENS LÄN</t>
        </is>
      </c>
      <c r="E528" t="inlineStr">
        <is>
          <t>VILHELMINA</t>
        </is>
      </c>
      <c r="G528" t="n">
        <v>13.6</v>
      </c>
      <c r="H528" t="n">
        <v>0</v>
      </c>
      <c r="I528" t="n">
        <v>0</v>
      </c>
      <c r="J528" t="n">
        <v>0</v>
      </c>
      <c r="K528" t="n">
        <v>0</v>
      </c>
      <c r="L528" t="n">
        <v>0</v>
      </c>
      <c r="M528" t="n">
        <v>0</v>
      </c>
      <c r="N528" t="n">
        <v>0</v>
      </c>
      <c r="O528" t="n">
        <v>0</v>
      </c>
      <c r="P528" t="n">
        <v>0</v>
      </c>
      <c r="Q528" t="n">
        <v>0</v>
      </c>
      <c r="R528" s="2" t="inlineStr"/>
    </row>
    <row r="529" ht="15" customHeight="1">
      <c r="A529" t="inlineStr">
        <is>
          <t>A 12065-2022</t>
        </is>
      </c>
      <c r="B529" s="1" t="n">
        <v>44637</v>
      </c>
      <c r="C529" s="1" t="n">
        <v>45628</v>
      </c>
      <c r="D529" t="inlineStr">
        <is>
          <t>VÄSTERBOTTENS LÄN</t>
        </is>
      </c>
      <c r="E529" t="inlineStr">
        <is>
          <t>VILHELMINA</t>
        </is>
      </c>
      <c r="G529" t="n">
        <v>27.7</v>
      </c>
      <c r="H529" t="n">
        <v>0</v>
      </c>
      <c r="I529" t="n">
        <v>0</v>
      </c>
      <c r="J529" t="n">
        <v>0</v>
      </c>
      <c r="K529" t="n">
        <v>0</v>
      </c>
      <c r="L529" t="n">
        <v>0</v>
      </c>
      <c r="M529" t="n">
        <v>0</v>
      </c>
      <c r="N529" t="n">
        <v>0</v>
      </c>
      <c r="O529" t="n">
        <v>0</v>
      </c>
      <c r="P529" t="n">
        <v>0</v>
      </c>
      <c r="Q529" t="n">
        <v>0</v>
      </c>
      <c r="R529" s="2" t="inlineStr"/>
    </row>
    <row r="530" ht="15" customHeight="1">
      <c r="A530" t="inlineStr">
        <is>
          <t>A 12593-2022</t>
        </is>
      </c>
      <c r="B530" s="1" t="n">
        <v>44640</v>
      </c>
      <c r="C530" s="1" t="n">
        <v>45628</v>
      </c>
      <c r="D530" t="inlineStr">
        <is>
          <t>VÄSTERBOTTENS LÄN</t>
        </is>
      </c>
      <c r="E530" t="inlineStr">
        <is>
          <t>VILHELMINA</t>
        </is>
      </c>
      <c r="G530" t="n">
        <v>10.4</v>
      </c>
      <c r="H530" t="n">
        <v>0</v>
      </c>
      <c r="I530" t="n">
        <v>0</v>
      </c>
      <c r="J530" t="n">
        <v>0</v>
      </c>
      <c r="K530" t="n">
        <v>0</v>
      </c>
      <c r="L530" t="n">
        <v>0</v>
      </c>
      <c r="M530" t="n">
        <v>0</v>
      </c>
      <c r="N530" t="n">
        <v>0</v>
      </c>
      <c r="O530" t="n">
        <v>0</v>
      </c>
      <c r="P530" t="n">
        <v>0</v>
      </c>
      <c r="Q530" t="n">
        <v>0</v>
      </c>
      <c r="R530" s="2" t="inlineStr"/>
    </row>
    <row r="531" ht="15" customHeight="1">
      <c r="A531" t="inlineStr">
        <is>
          <t>A 12778-2022</t>
        </is>
      </c>
      <c r="B531" s="1" t="n">
        <v>44642</v>
      </c>
      <c r="C531" s="1" t="n">
        <v>45628</v>
      </c>
      <c r="D531" t="inlineStr">
        <is>
          <t>VÄSTERBOTTENS LÄN</t>
        </is>
      </c>
      <c r="E531" t="inlineStr">
        <is>
          <t>VILHELMINA</t>
        </is>
      </c>
      <c r="G531" t="n">
        <v>15</v>
      </c>
      <c r="H531" t="n">
        <v>0</v>
      </c>
      <c r="I531" t="n">
        <v>0</v>
      </c>
      <c r="J531" t="n">
        <v>0</v>
      </c>
      <c r="K531" t="n">
        <v>0</v>
      </c>
      <c r="L531" t="n">
        <v>0</v>
      </c>
      <c r="M531" t="n">
        <v>0</v>
      </c>
      <c r="N531" t="n">
        <v>0</v>
      </c>
      <c r="O531" t="n">
        <v>0</v>
      </c>
      <c r="P531" t="n">
        <v>0</v>
      </c>
      <c r="Q531" t="n">
        <v>0</v>
      </c>
      <c r="R531" s="2" t="inlineStr"/>
    </row>
    <row r="532" ht="15" customHeight="1">
      <c r="A532" t="inlineStr">
        <is>
          <t>A 14959-2022</t>
        </is>
      </c>
      <c r="B532" s="1" t="n">
        <v>44657</v>
      </c>
      <c r="C532" s="1" t="n">
        <v>45628</v>
      </c>
      <c r="D532" t="inlineStr">
        <is>
          <t>VÄSTERBOTTENS LÄN</t>
        </is>
      </c>
      <c r="E532" t="inlineStr">
        <is>
          <t>VILHELMINA</t>
        </is>
      </c>
      <c r="G532" t="n">
        <v>71.8</v>
      </c>
      <c r="H532" t="n">
        <v>0</v>
      </c>
      <c r="I532" t="n">
        <v>0</v>
      </c>
      <c r="J532" t="n">
        <v>0</v>
      </c>
      <c r="K532" t="n">
        <v>0</v>
      </c>
      <c r="L532" t="n">
        <v>0</v>
      </c>
      <c r="M532" t="n">
        <v>0</v>
      </c>
      <c r="N532" t="n">
        <v>0</v>
      </c>
      <c r="O532" t="n">
        <v>0</v>
      </c>
      <c r="P532" t="n">
        <v>0</v>
      </c>
      <c r="Q532" t="n">
        <v>0</v>
      </c>
      <c r="R532" s="2" t="inlineStr"/>
    </row>
    <row r="533" ht="15" customHeight="1">
      <c r="A533" t="inlineStr">
        <is>
          <t>A 14961-2022</t>
        </is>
      </c>
      <c r="B533" s="1" t="n">
        <v>44657</v>
      </c>
      <c r="C533" s="1" t="n">
        <v>45628</v>
      </c>
      <c r="D533" t="inlineStr">
        <is>
          <t>VÄSTERBOTTENS LÄN</t>
        </is>
      </c>
      <c r="E533" t="inlineStr">
        <is>
          <t>VILHELMINA</t>
        </is>
      </c>
      <c r="G533" t="n">
        <v>19.9</v>
      </c>
      <c r="H533" t="n">
        <v>0</v>
      </c>
      <c r="I533" t="n">
        <v>0</v>
      </c>
      <c r="J533" t="n">
        <v>0</v>
      </c>
      <c r="K533" t="n">
        <v>0</v>
      </c>
      <c r="L533" t="n">
        <v>0</v>
      </c>
      <c r="M533" t="n">
        <v>0</v>
      </c>
      <c r="N533" t="n">
        <v>0</v>
      </c>
      <c r="O533" t="n">
        <v>0</v>
      </c>
      <c r="P533" t="n">
        <v>0</v>
      </c>
      <c r="Q533" t="n">
        <v>0</v>
      </c>
      <c r="R533" s="2" t="inlineStr"/>
    </row>
    <row r="534" ht="15" customHeight="1">
      <c r="A534" t="inlineStr">
        <is>
          <t>A 14963-2022</t>
        </is>
      </c>
      <c r="B534" s="1" t="n">
        <v>44657</v>
      </c>
      <c r="C534" s="1" t="n">
        <v>45628</v>
      </c>
      <c r="D534" t="inlineStr">
        <is>
          <t>VÄSTERBOTTENS LÄN</t>
        </is>
      </c>
      <c r="E534" t="inlineStr">
        <is>
          <t>VILHELMINA</t>
        </is>
      </c>
      <c r="G534" t="n">
        <v>11.5</v>
      </c>
      <c r="H534" t="n">
        <v>0</v>
      </c>
      <c r="I534" t="n">
        <v>0</v>
      </c>
      <c r="J534" t="n">
        <v>0</v>
      </c>
      <c r="K534" t="n">
        <v>0</v>
      </c>
      <c r="L534" t="n">
        <v>0</v>
      </c>
      <c r="M534" t="n">
        <v>0</v>
      </c>
      <c r="N534" t="n">
        <v>0</v>
      </c>
      <c r="O534" t="n">
        <v>0</v>
      </c>
      <c r="P534" t="n">
        <v>0</v>
      </c>
      <c r="Q534" t="n">
        <v>0</v>
      </c>
      <c r="R534" s="2" t="inlineStr"/>
    </row>
    <row r="535" ht="15" customHeight="1">
      <c r="A535" t="inlineStr">
        <is>
          <t>A 15176-2022</t>
        </is>
      </c>
      <c r="B535" s="1" t="n">
        <v>44658</v>
      </c>
      <c r="C535" s="1" t="n">
        <v>45628</v>
      </c>
      <c r="D535" t="inlineStr">
        <is>
          <t>VÄSTERBOTTENS LÄN</t>
        </is>
      </c>
      <c r="E535" t="inlineStr">
        <is>
          <t>VILHELMINA</t>
        </is>
      </c>
      <c r="G535" t="n">
        <v>1.6</v>
      </c>
      <c r="H535" t="n">
        <v>0</v>
      </c>
      <c r="I535" t="n">
        <v>0</v>
      </c>
      <c r="J535" t="n">
        <v>0</v>
      </c>
      <c r="K535" t="n">
        <v>0</v>
      </c>
      <c r="L535" t="n">
        <v>0</v>
      </c>
      <c r="M535" t="n">
        <v>0</v>
      </c>
      <c r="N535" t="n">
        <v>0</v>
      </c>
      <c r="O535" t="n">
        <v>0</v>
      </c>
      <c r="P535" t="n">
        <v>0</v>
      </c>
      <c r="Q535" t="n">
        <v>0</v>
      </c>
      <c r="R535" s="2" t="inlineStr"/>
    </row>
    <row r="536" ht="15" customHeight="1">
      <c r="A536" t="inlineStr">
        <is>
          <t>A 17591-2022</t>
        </is>
      </c>
      <c r="B536" s="1" t="n">
        <v>44679</v>
      </c>
      <c r="C536" s="1" t="n">
        <v>45628</v>
      </c>
      <c r="D536" t="inlineStr">
        <is>
          <t>VÄSTERBOTTENS LÄN</t>
        </is>
      </c>
      <c r="E536" t="inlineStr">
        <is>
          <t>VILHELMINA</t>
        </is>
      </c>
      <c r="F536" t="inlineStr">
        <is>
          <t>SCA</t>
        </is>
      </c>
      <c r="G536" t="n">
        <v>10</v>
      </c>
      <c r="H536" t="n">
        <v>0</v>
      </c>
      <c r="I536" t="n">
        <v>0</v>
      </c>
      <c r="J536" t="n">
        <v>0</v>
      </c>
      <c r="K536" t="n">
        <v>0</v>
      </c>
      <c r="L536" t="n">
        <v>0</v>
      </c>
      <c r="M536" t="n">
        <v>0</v>
      </c>
      <c r="N536" t="n">
        <v>0</v>
      </c>
      <c r="O536" t="n">
        <v>0</v>
      </c>
      <c r="P536" t="n">
        <v>0</v>
      </c>
      <c r="Q536" t="n">
        <v>0</v>
      </c>
      <c r="R536" s="2" t="inlineStr"/>
    </row>
    <row r="537" ht="15" customHeight="1">
      <c r="A537" t="inlineStr">
        <is>
          <t>A 17590-2022</t>
        </is>
      </c>
      <c r="B537" s="1" t="n">
        <v>44679</v>
      </c>
      <c r="C537" s="1" t="n">
        <v>45628</v>
      </c>
      <c r="D537" t="inlineStr">
        <is>
          <t>VÄSTERBOTTENS LÄN</t>
        </is>
      </c>
      <c r="E537" t="inlineStr">
        <is>
          <t>VILHELMINA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18497-2022</t>
        </is>
      </c>
      <c r="B538" s="1" t="n">
        <v>44686</v>
      </c>
      <c r="C538" s="1" t="n">
        <v>45628</v>
      </c>
      <c r="D538" t="inlineStr">
        <is>
          <t>VÄSTERBOTTENS LÄN</t>
        </is>
      </c>
      <c r="E538" t="inlineStr">
        <is>
          <t>VILHELMINA</t>
        </is>
      </c>
      <c r="F538" t="inlineStr">
        <is>
          <t>Övriga statliga verk och myndigheter</t>
        </is>
      </c>
      <c r="G538" t="n">
        <v>64.7</v>
      </c>
      <c r="H538" t="n">
        <v>0</v>
      </c>
      <c r="I538" t="n">
        <v>0</v>
      </c>
      <c r="J538" t="n">
        <v>0</v>
      </c>
      <c r="K538" t="n">
        <v>0</v>
      </c>
      <c r="L538" t="n">
        <v>0</v>
      </c>
      <c r="M538" t="n">
        <v>0</v>
      </c>
      <c r="N538" t="n">
        <v>0</v>
      </c>
      <c r="O538" t="n">
        <v>0</v>
      </c>
      <c r="P538" t="n">
        <v>0</v>
      </c>
      <c r="Q538" t="n">
        <v>0</v>
      </c>
      <c r="R538" s="2" t="inlineStr"/>
    </row>
    <row r="539" ht="15" customHeight="1">
      <c r="A539" t="inlineStr">
        <is>
          <t>A 18564-2022</t>
        </is>
      </c>
      <c r="B539" s="1" t="n">
        <v>44686</v>
      </c>
      <c r="C539" s="1" t="n">
        <v>45628</v>
      </c>
      <c r="D539" t="inlineStr">
        <is>
          <t>VÄSTERBOTTENS LÄN</t>
        </is>
      </c>
      <c r="E539" t="inlineStr">
        <is>
          <t>VILHELMINA</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18995-2022</t>
        </is>
      </c>
      <c r="B540" s="1" t="n">
        <v>44690</v>
      </c>
      <c r="C540" s="1" t="n">
        <v>45628</v>
      </c>
      <c r="D540" t="inlineStr">
        <is>
          <t>VÄSTERBOTTENS LÄN</t>
        </is>
      </c>
      <c r="E540" t="inlineStr">
        <is>
          <t>VILHELMINA</t>
        </is>
      </c>
      <c r="F540" t="inlineStr">
        <is>
          <t>SCA</t>
        </is>
      </c>
      <c r="G540" t="n">
        <v>4.6</v>
      </c>
      <c r="H540" t="n">
        <v>0</v>
      </c>
      <c r="I540" t="n">
        <v>0</v>
      </c>
      <c r="J540" t="n">
        <v>0</v>
      </c>
      <c r="K540" t="n">
        <v>0</v>
      </c>
      <c r="L540" t="n">
        <v>0</v>
      </c>
      <c r="M540" t="n">
        <v>0</v>
      </c>
      <c r="N540" t="n">
        <v>0</v>
      </c>
      <c r="O540" t="n">
        <v>0</v>
      </c>
      <c r="P540" t="n">
        <v>0</v>
      </c>
      <c r="Q540" t="n">
        <v>0</v>
      </c>
      <c r="R540" s="2" t="inlineStr"/>
    </row>
    <row r="541" ht="15" customHeight="1">
      <c r="A541" t="inlineStr">
        <is>
          <t>A 18996-2022</t>
        </is>
      </c>
      <c r="B541" s="1" t="n">
        <v>44690</v>
      </c>
      <c r="C541" s="1" t="n">
        <v>45628</v>
      </c>
      <c r="D541" t="inlineStr">
        <is>
          <t>VÄSTERBOTTENS LÄN</t>
        </is>
      </c>
      <c r="E541" t="inlineStr">
        <is>
          <t>VILHELMINA</t>
        </is>
      </c>
      <c r="F541" t="inlineStr">
        <is>
          <t>SCA</t>
        </is>
      </c>
      <c r="G541" t="n">
        <v>0.3</v>
      </c>
      <c r="H541" t="n">
        <v>0</v>
      </c>
      <c r="I541" t="n">
        <v>0</v>
      </c>
      <c r="J541" t="n">
        <v>0</v>
      </c>
      <c r="K541" t="n">
        <v>0</v>
      </c>
      <c r="L541" t="n">
        <v>0</v>
      </c>
      <c r="M541" t="n">
        <v>0</v>
      </c>
      <c r="N541" t="n">
        <v>0</v>
      </c>
      <c r="O541" t="n">
        <v>0</v>
      </c>
      <c r="P541" t="n">
        <v>0</v>
      </c>
      <c r="Q541" t="n">
        <v>0</v>
      </c>
      <c r="R541" s="2" t="inlineStr"/>
    </row>
    <row r="542" ht="15" customHeight="1">
      <c r="A542" t="inlineStr">
        <is>
          <t>A 19394-2022</t>
        </is>
      </c>
      <c r="B542" s="1" t="n">
        <v>44692</v>
      </c>
      <c r="C542" s="1" t="n">
        <v>45628</v>
      </c>
      <c r="D542" t="inlineStr">
        <is>
          <t>VÄSTERBOTTENS LÄN</t>
        </is>
      </c>
      <c r="E542" t="inlineStr">
        <is>
          <t>VILHELMINA</t>
        </is>
      </c>
      <c r="F542" t="inlineStr">
        <is>
          <t>SCA</t>
        </is>
      </c>
      <c r="G542" t="n">
        <v>9.9</v>
      </c>
      <c r="H542" t="n">
        <v>0</v>
      </c>
      <c r="I542" t="n">
        <v>0</v>
      </c>
      <c r="J542" t="n">
        <v>0</v>
      </c>
      <c r="K542" t="n">
        <v>0</v>
      </c>
      <c r="L542" t="n">
        <v>0</v>
      </c>
      <c r="M542" t="n">
        <v>0</v>
      </c>
      <c r="N542" t="n">
        <v>0</v>
      </c>
      <c r="O542" t="n">
        <v>0</v>
      </c>
      <c r="P542" t="n">
        <v>0</v>
      </c>
      <c r="Q542" t="n">
        <v>0</v>
      </c>
      <c r="R542" s="2" t="inlineStr"/>
    </row>
    <row r="543" ht="15" customHeight="1">
      <c r="A543" t="inlineStr">
        <is>
          <t>A 19471-2022</t>
        </is>
      </c>
      <c r="B543" s="1" t="n">
        <v>44693</v>
      </c>
      <c r="C543" s="1" t="n">
        <v>45628</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19423-2022</t>
        </is>
      </c>
      <c r="B544" s="1" t="n">
        <v>44693</v>
      </c>
      <c r="C544" s="1" t="n">
        <v>45628</v>
      </c>
      <c r="D544" t="inlineStr">
        <is>
          <t>VÄSTERBOTTENS LÄN</t>
        </is>
      </c>
      <c r="E544" t="inlineStr">
        <is>
          <t>VILHELMINA</t>
        </is>
      </c>
      <c r="G544" t="n">
        <v>1.9</v>
      </c>
      <c r="H544" t="n">
        <v>0</v>
      </c>
      <c r="I544" t="n">
        <v>0</v>
      </c>
      <c r="J544" t="n">
        <v>0</v>
      </c>
      <c r="K544" t="n">
        <v>0</v>
      </c>
      <c r="L544" t="n">
        <v>0</v>
      </c>
      <c r="M544" t="n">
        <v>0</v>
      </c>
      <c r="N544" t="n">
        <v>0</v>
      </c>
      <c r="O544" t="n">
        <v>0</v>
      </c>
      <c r="P544" t="n">
        <v>0</v>
      </c>
      <c r="Q544" t="n">
        <v>0</v>
      </c>
      <c r="R544" s="2" t="inlineStr"/>
    </row>
    <row r="545" ht="15" customHeight="1">
      <c r="A545" t="inlineStr">
        <is>
          <t>A 20298-2022</t>
        </is>
      </c>
      <c r="B545" s="1" t="n">
        <v>44698</v>
      </c>
      <c r="C545" s="1" t="n">
        <v>45628</v>
      </c>
      <c r="D545" t="inlineStr">
        <is>
          <t>VÄSTERBOTTENS LÄN</t>
        </is>
      </c>
      <c r="E545" t="inlineStr">
        <is>
          <t>VILHELMINA</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20322-2022</t>
        </is>
      </c>
      <c r="B546" s="1" t="n">
        <v>44698</v>
      </c>
      <c r="C546" s="1" t="n">
        <v>45628</v>
      </c>
      <c r="D546" t="inlineStr">
        <is>
          <t>VÄSTERBOTTENS LÄN</t>
        </is>
      </c>
      <c r="E546" t="inlineStr">
        <is>
          <t>VILHELMINA</t>
        </is>
      </c>
      <c r="G546" t="n">
        <v>10.5</v>
      </c>
      <c r="H546" t="n">
        <v>0</v>
      </c>
      <c r="I546" t="n">
        <v>0</v>
      </c>
      <c r="J546" t="n">
        <v>0</v>
      </c>
      <c r="K546" t="n">
        <v>0</v>
      </c>
      <c r="L546" t="n">
        <v>0</v>
      </c>
      <c r="M546" t="n">
        <v>0</v>
      </c>
      <c r="N546" t="n">
        <v>0</v>
      </c>
      <c r="O546" t="n">
        <v>0</v>
      </c>
      <c r="P546" t="n">
        <v>0</v>
      </c>
      <c r="Q546" t="n">
        <v>0</v>
      </c>
      <c r="R546" s="2" t="inlineStr"/>
    </row>
    <row r="547" ht="15" customHeight="1">
      <c r="A547" t="inlineStr">
        <is>
          <t>A 20720-2022</t>
        </is>
      </c>
      <c r="B547" s="1" t="n">
        <v>44700</v>
      </c>
      <c r="C547" s="1" t="n">
        <v>45628</v>
      </c>
      <c r="D547" t="inlineStr">
        <is>
          <t>VÄSTERBOTTENS LÄN</t>
        </is>
      </c>
      <c r="E547" t="inlineStr">
        <is>
          <t>VILHELMINA</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20719-2022</t>
        </is>
      </c>
      <c r="B548" s="1" t="n">
        <v>44701</v>
      </c>
      <c r="C548" s="1" t="n">
        <v>45628</v>
      </c>
      <c r="D548" t="inlineStr">
        <is>
          <t>VÄSTERBOTTENS LÄN</t>
        </is>
      </c>
      <c r="E548" t="inlineStr">
        <is>
          <t>VILHELMINA</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21806-2022</t>
        </is>
      </c>
      <c r="B549" s="1" t="n">
        <v>44708</v>
      </c>
      <c r="C549" s="1" t="n">
        <v>45628</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21808-2022</t>
        </is>
      </c>
      <c r="B550" s="1" t="n">
        <v>44708</v>
      </c>
      <c r="C550" s="1" t="n">
        <v>45628</v>
      </c>
      <c r="D550" t="inlineStr">
        <is>
          <t>VÄSTERBOTTENS LÄN</t>
        </is>
      </c>
      <c r="E550" t="inlineStr">
        <is>
          <t>VILHELMINA</t>
        </is>
      </c>
      <c r="F550" t="inlineStr">
        <is>
          <t>SCA</t>
        </is>
      </c>
      <c r="G550" t="n">
        <v>16.1</v>
      </c>
      <c r="H550" t="n">
        <v>0</v>
      </c>
      <c r="I550" t="n">
        <v>0</v>
      </c>
      <c r="J550" t="n">
        <v>0</v>
      </c>
      <c r="K550" t="n">
        <v>0</v>
      </c>
      <c r="L550" t="n">
        <v>0</v>
      </c>
      <c r="M550" t="n">
        <v>0</v>
      </c>
      <c r="N550" t="n">
        <v>0</v>
      </c>
      <c r="O550" t="n">
        <v>0</v>
      </c>
      <c r="P550" t="n">
        <v>0</v>
      </c>
      <c r="Q550" t="n">
        <v>0</v>
      </c>
      <c r="R550" s="2" t="inlineStr"/>
    </row>
    <row r="551" ht="15" customHeight="1">
      <c r="A551" t="inlineStr">
        <is>
          <t>A 21814-2022</t>
        </is>
      </c>
      <c r="B551" s="1" t="n">
        <v>44708</v>
      </c>
      <c r="C551" s="1" t="n">
        <v>45628</v>
      </c>
      <c r="D551" t="inlineStr">
        <is>
          <t>VÄSTERBOTTENS LÄN</t>
        </is>
      </c>
      <c r="E551" t="inlineStr">
        <is>
          <t>VILHELMINA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22325-2022</t>
        </is>
      </c>
      <c r="B552" s="1" t="n">
        <v>44712</v>
      </c>
      <c r="C552" s="1" t="n">
        <v>45628</v>
      </c>
      <c r="D552" t="inlineStr">
        <is>
          <t>VÄSTERBOTTENS LÄN</t>
        </is>
      </c>
      <c r="E552" t="inlineStr">
        <is>
          <t>VILHELMINA</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22405-2022</t>
        </is>
      </c>
      <c r="B553" s="1" t="n">
        <v>44713</v>
      </c>
      <c r="C553" s="1" t="n">
        <v>45628</v>
      </c>
      <c r="D553" t="inlineStr">
        <is>
          <t>VÄSTERBOTTENS LÄN</t>
        </is>
      </c>
      <c r="E553" t="inlineStr">
        <is>
          <t>VILHELMINA</t>
        </is>
      </c>
      <c r="G553" t="n">
        <v>13.2</v>
      </c>
      <c r="H553" t="n">
        <v>0</v>
      </c>
      <c r="I553" t="n">
        <v>0</v>
      </c>
      <c r="J553" t="n">
        <v>0</v>
      </c>
      <c r="K553" t="n">
        <v>0</v>
      </c>
      <c r="L553" t="n">
        <v>0</v>
      </c>
      <c r="M553" t="n">
        <v>0</v>
      </c>
      <c r="N553" t="n">
        <v>0</v>
      </c>
      <c r="O553" t="n">
        <v>0</v>
      </c>
      <c r="P553" t="n">
        <v>0</v>
      </c>
      <c r="Q553" t="n">
        <v>0</v>
      </c>
      <c r="R553" s="2" t="inlineStr"/>
    </row>
    <row r="554" ht="15" customHeight="1">
      <c r="A554" t="inlineStr">
        <is>
          <t>A 23210-2022</t>
        </is>
      </c>
      <c r="B554" s="1" t="n">
        <v>44719</v>
      </c>
      <c r="C554" s="1" t="n">
        <v>45628</v>
      </c>
      <c r="D554" t="inlineStr">
        <is>
          <t>VÄSTERBOTTENS LÄN</t>
        </is>
      </c>
      <c r="E554" t="inlineStr">
        <is>
          <t>VILHELMINA</t>
        </is>
      </c>
      <c r="F554" t="inlineStr">
        <is>
          <t>SCA</t>
        </is>
      </c>
      <c r="G554" t="n">
        <v>7.4</v>
      </c>
      <c r="H554" t="n">
        <v>0</v>
      </c>
      <c r="I554" t="n">
        <v>0</v>
      </c>
      <c r="J554" t="n">
        <v>0</v>
      </c>
      <c r="K554" t="n">
        <v>0</v>
      </c>
      <c r="L554" t="n">
        <v>0</v>
      </c>
      <c r="M554" t="n">
        <v>0</v>
      </c>
      <c r="N554" t="n">
        <v>0</v>
      </c>
      <c r="O554" t="n">
        <v>0</v>
      </c>
      <c r="P554" t="n">
        <v>0</v>
      </c>
      <c r="Q554" t="n">
        <v>0</v>
      </c>
      <c r="R554" s="2" t="inlineStr"/>
    </row>
    <row r="555" ht="15" customHeight="1">
      <c r="A555" t="inlineStr">
        <is>
          <t>A 24296-2022</t>
        </is>
      </c>
      <c r="B555" s="1" t="n">
        <v>44726</v>
      </c>
      <c r="C555" s="1" t="n">
        <v>45628</v>
      </c>
      <c r="D555" t="inlineStr">
        <is>
          <t>VÄSTERBOTTENS LÄN</t>
        </is>
      </c>
      <c r="E555" t="inlineStr">
        <is>
          <t>VILHELMINA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24297-2022</t>
        </is>
      </c>
      <c r="B556" s="1" t="n">
        <v>44725</v>
      </c>
      <c r="C556" s="1" t="n">
        <v>45628</v>
      </c>
      <c r="D556" t="inlineStr">
        <is>
          <t>VÄSTERBOTTENS LÄN</t>
        </is>
      </c>
      <c r="E556" t="inlineStr">
        <is>
          <t>VILHELMINA</t>
        </is>
      </c>
      <c r="G556" t="n">
        <v>2.7</v>
      </c>
      <c r="H556" t="n">
        <v>0</v>
      </c>
      <c r="I556" t="n">
        <v>0</v>
      </c>
      <c r="J556" t="n">
        <v>0</v>
      </c>
      <c r="K556" t="n">
        <v>0</v>
      </c>
      <c r="L556" t="n">
        <v>0</v>
      </c>
      <c r="M556" t="n">
        <v>0</v>
      </c>
      <c r="N556" t="n">
        <v>0</v>
      </c>
      <c r="O556" t="n">
        <v>0</v>
      </c>
      <c r="P556" t="n">
        <v>0</v>
      </c>
      <c r="Q556" t="n">
        <v>0</v>
      </c>
      <c r="R556" s="2" t="inlineStr"/>
    </row>
    <row r="557" ht="15" customHeight="1">
      <c r="A557" t="inlineStr">
        <is>
          <t>A 25923-2022</t>
        </is>
      </c>
      <c r="B557" s="1" t="n">
        <v>44733</v>
      </c>
      <c r="C557" s="1" t="n">
        <v>45628</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26191-2022</t>
        </is>
      </c>
      <c r="B558" s="1" t="n">
        <v>44735</v>
      </c>
      <c r="C558" s="1" t="n">
        <v>45628</v>
      </c>
      <c r="D558" t="inlineStr">
        <is>
          <t>VÄSTERBOTTENS LÄN</t>
        </is>
      </c>
      <c r="E558" t="inlineStr">
        <is>
          <t>VILHELMINA</t>
        </is>
      </c>
      <c r="G558" t="n">
        <v>42.1</v>
      </c>
      <c r="H558" t="n">
        <v>0</v>
      </c>
      <c r="I558" t="n">
        <v>0</v>
      </c>
      <c r="J558" t="n">
        <v>0</v>
      </c>
      <c r="K558" t="n">
        <v>0</v>
      </c>
      <c r="L558" t="n">
        <v>0</v>
      </c>
      <c r="M558" t="n">
        <v>0</v>
      </c>
      <c r="N558" t="n">
        <v>0</v>
      </c>
      <c r="O558" t="n">
        <v>0</v>
      </c>
      <c r="P558" t="n">
        <v>0</v>
      </c>
      <c r="Q558" t="n">
        <v>0</v>
      </c>
      <c r="R558" s="2" t="inlineStr"/>
    </row>
    <row r="559" ht="15" customHeight="1">
      <c r="A559" t="inlineStr">
        <is>
          <t>A 26401-2022</t>
        </is>
      </c>
      <c r="B559" s="1" t="n">
        <v>44735</v>
      </c>
      <c r="C559" s="1" t="n">
        <v>45628</v>
      </c>
      <c r="D559" t="inlineStr">
        <is>
          <t>VÄSTERBOTTENS LÄN</t>
        </is>
      </c>
      <c r="E559" t="inlineStr">
        <is>
          <t>VILHELMINA</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26409-2022</t>
        </is>
      </c>
      <c r="B560" s="1" t="n">
        <v>44735</v>
      </c>
      <c r="C560" s="1" t="n">
        <v>45628</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26410-2022</t>
        </is>
      </c>
      <c r="B561" s="1" t="n">
        <v>44735</v>
      </c>
      <c r="C561" s="1" t="n">
        <v>45628</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27127-2022</t>
        </is>
      </c>
      <c r="B562" s="1" t="n">
        <v>44741</v>
      </c>
      <c r="C562" s="1" t="n">
        <v>45628</v>
      </c>
      <c r="D562" t="inlineStr">
        <is>
          <t>VÄSTERBOTTENS LÄN</t>
        </is>
      </c>
      <c r="E562" t="inlineStr">
        <is>
          <t>VILHELMINA</t>
        </is>
      </c>
      <c r="F562" t="inlineStr">
        <is>
          <t>Sveaskog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27865-2022</t>
        </is>
      </c>
      <c r="B563" s="1" t="n">
        <v>44743</v>
      </c>
      <c r="C563" s="1" t="n">
        <v>45628</v>
      </c>
      <c r="D563" t="inlineStr">
        <is>
          <t>VÄSTERBOTTENS LÄN</t>
        </is>
      </c>
      <c r="E563" t="inlineStr">
        <is>
          <t>VILHELMINA</t>
        </is>
      </c>
      <c r="F563" t="inlineStr">
        <is>
          <t>Sveaskog</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27881-2022</t>
        </is>
      </c>
      <c r="B564" s="1" t="n">
        <v>44743</v>
      </c>
      <c r="C564" s="1" t="n">
        <v>45628</v>
      </c>
      <c r="D564" t="inlineStr">
        <is>
          <t>VÄSTERBOTTENS LÄN</t>
        </is>
      </c>
      <c r="E564" t="inlineStr">
        <is>
          <t>VILHELMINA</t>
        </is>
      </c>
      <c r="F564" t="inlineStr">
        <is>
          <t>Sveaskog</t>
        </is>
      </c>
      <c r="G564" t="n">
        <v>14.3</v>
      </c>
      <c r="H564" t="n">
        <v>0</v>
      </c>
      <c r="I564" t="n">
        <v>0</v>
      </c>
      <c r="J564" t="n">
        <v>0</v>
      </c>
      <c r="K564" t="n">
        <v>0</v>
      </c>
      <c r="L564" t="n">
        <v>0</v>
      </c>
      <c r="M564" t="n">
        <v>0</v>
      </c>
      <c r="N564" t="n">
        <v>0</v>
      </c>
      <c r="O564" t="n">
        <v>0</v>
      </c>
      <c r="P564" t="n">
        <v>0</v>
      </c>
      <c r="Q564" t="n">
        <v>0</v>
      </c>
      <c r="R564" s="2" t="inlineStr"/>
    </row>
    <row r="565" ht="15" customHeight="1">
      <c r="A565" t="inlineStr">
        <is>
          <t>A 27714-2022</t>
        </is>
      </c>
      <c r="B565" s="1" t="n">
        <v>44743</v>
      </c>
      <c r="C565" s="1" t="n">
        <v>45628</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27848-2022</t>
        </is>
      </c>
      <c r="B566" s="1" t="n">
        <v>44743</v>
      </c>
      <c r="C566" s="1" t="n">
        <v>45628</v>
      </c>
      <c r="D566" t="inlineStr">
        <is>
          <t>VÄSTERBOTTENS LÄN</t>
        </is>
      </c>
      <c r="E566" t="inlineStr">
        <is>
          <t>VILHELMINA</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27880-2022</t>
        </is>
      </c>
      <c r="B567" s="1" t="n">
        <v>44743</v>
      </c>
      <c r="C567" s="1" t="n">
        <v>45628</v>
      </c>
      <c r="D567" t="inlineStr">
        <is>
          <t>VÄSTERBOTTENS LÄN</t>
        </is>
      </c>
      <c r="E567" t="inlineStr">
        <is>
          <t>VILHELMINA</t>
        </is>
      </c>
      <c r="F567" t="inlineStr">
        <is>
          <t>Sveaskog</t>
        </is>
      </c>
      <c r="G567" t="n">
        <v>3.8</v>
      </c>
      <c r="H567" t="n">
        <v>0</v>
      </c>
      <c r="I567" t="n">
        <v>0</v>
      </c>
      <c r="J567" t="n">
        <v>0</v>
      </c>
      <c r="K567" t="n">
        <v>0</v>
      </c>
      <c r="L567" t="n">
        <v>0</v>
      </c>
      <c r="M567" t="n">
        <v>0</v>
      </c>
      <c r="N567" t="n">
        <v>0</v>
      </c>
      <c r="O567" t="n">
        <v>0</v>
      </c>
      <c r="P567" t="n">
        <v>0</v>
      </c>
      <c r="Q567" t="n">
        <v>0</v>
      </c>
      <c r="R567" s="2" t="inlineStr"/>
    </row>
    <row r="568" ht="15" customHeight="1">
      <c r="A568" t="inlineStr">
        <is>
          <t>A 27889-2022</t>
        </is>
      </c>
      <c r="B568" s="1" t="n">
        <v>44743</v>
      </c>
      <c r="C568" s="1" t="n">
        <v>45628</v>
      </c>
      <c r="D568" t="inlineStr">
        <is>
          <t>VÄSTERBOTTENS LÄN</t>
        </is>
      </c>
      <c r="E568" t="inlineStr">
        <is>
          <t>VILHELMINA</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27874-2022</t>
        </is>
      </c>
      <c r="B569" s="1" t="n">
        <v>44743</v>
      </c>
      <c r="C569" s="1" t="n">
        <v>45628</v>
      </c>
      <c r="D569" t="inlineStr">
        <is>
          <t>VÄSTERBOTTENS LÄN</t>
        </is>
      </c>
      <c r="E569" t="inlineStr">
        <is>
          <t>VILHELMINA</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27920-2022</t>
        </is>
      </c>
      <c r="B570" s="1" t="n">
        <v>44743</v>
      </c>
      <c r="C570" s="1" t="n">
        <v>45628</v>
      </c>
      <c r="D570" t="inlineStr">
        <is>
          <t>VÄSTERBOTTENS LÄN</t>
        </is>
      </c>
      <c r="E570" t="inlineStr">
        <is>
          <t>VILHELMINA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27844-2022</t>
        </is>
      </c>
      <c r="B571" s="1" t="n">
        <v>44743</v>
      </c>
      <c r="C571" s="1" t="n">
        <v>45628</v>
      </c>
      <c r="D571" t="inlineStr">
        <is>
          <t>VÄSTERBOTTENS LÄN</t>
        </is>
      </c>
      <c r="E571" t="inlineStr">
        <is>
          <t>VILHELMINA</t>
        </is>
      </c>
      <c r="F571" t="inlineStr">
        <is>
          <t>Sveaskog</t>
        </is>
      </c>
      <c r="G571" t="n">
        <v>4.3</v>
      </c>
      <c r="H571" t="n">
        <v>0</v>
      </c>
      <c r="I571" t="n">
        <v>0</v>
      </c>
      <c r="J571" t="n">
        <v>0</v>
      </c>
      <c r="K571" t="n">
        <v>0</v>
      </c>
      <c r="L571" t="n">
        <v>0</v>
      </c>
      <c r="M571" t="n">
        <v>0</v>
      </c>
      <c r="N571" t="n">
        <v>0</v>
      </c>
      <c r="O571" t="n">
        <v>0</v>
      </c>
      <c r="P571" t="n">
        <v>0</v>
      </c>
      <c r="Q571" t="n">
        <v>0</v>
      </c>
      <c r="R571" s="2" t="inlineStr"/>
    </row>
    <row r="572" ht="15" customHeight="1">
      <c r="A572" t="inlineStr">
        <is>
          <t>A 27879-2022</t>
        </is>
      </c>
      <c r="B572" s="1" t="n">
        <v>44743</v>
      </c>
      <c r="C572" s="1" t="n">
        <v>45628</v>
      </c>
      <c r="D572" t="inlineStr">
        <is>
          <t>VÄSTERBOTTENS LÄN</t>
        </is>
      </c>
      <c r="E572" t="inlineStr">
        <is>
          <t>VILHELMINA</t>
        </is>
      </c>
      <c r="F572" t="inlineStr">
        <is>
          <t>Sveaskog</t>
        </is>
      </c>
      <c r="G572" t="n">
        <v>4.9</v>
      </c>
      <c r="H572" t="n">
        <v>0</v>
      </c>
      <c r="I572" t="n">
        <v>0</v>
      </c>
      <c r="J572" t="n">
        <v>0</v>
      </c>
      <c r="K572" t="n">
        <v>0</v>
      </c>
      <c r="L572" t="n">
        <v>0</v>
      </c>
      <c r="M572" t="n">
        <v>0</v>
      </c>
      <c r="N572" t="n">
        <v>0</v>
      </c>
      <c r="O572" t="n">
        <v>0</v>
      </c>
      <c r="P572" t="n">
        <v>0</v>
      </c>
      <c r="Q572" t="n">
        <v>0</v>
      </c>
      <c r="R572" s="2" t="inlineStr"/>
    </row>
    <row r="573" ht="15" customHeight="1">
      <c r="A573" t="inlineStr">
        <is>
          <t>A 27918-2022</t>
        </is>
      </c>
      <c r="B573" s="1" t="n">
        <v>44744</v>
      </c>
      <c r="C573" s="1" t="n">
        <v>45628</v>
      </c>
      <c r="D573" t="inlineStr">
        <is>
          <t>VÄSTERBOTTENS LÄN</t>
        </is>
      </c>
      <c r="E573" t="inlineStr">
        <is>
          <t>VILHELMINA</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27938-2022</t>
        </is>
      </c>
      <c r="B574" s="1" t="n">
        <v>44744</v>
      </c>
      <c r="C574" s="1" t="n">
        <v>45628</v>
      </c>
      <c r="D574" t="inlineStr">
        <is>
          <t>VÄSTERBOTTENS LÄN</t>
        </is>
      </c>
      <c r="E574" t="inlineStr">
        <is>
          <t>VILHELMINA</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27922-2022</t>
        </is>
      </c>
      <c r="B575" s="1" t="n">
        <v>44744</v>
      </c>
      <c r="C575" s="1" t="n">
        <v>45628</v>
      </c>
      <c r="D575" t="inlineStr">
        <is>
          <t>VÄSTERBOTTENS LÄN</t>
        </is>
      </c>
      <c r="E575" t="inlineStr">
        <is>
          <t>VILHELMINA</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27937-2022</t>
        </is>
      </c>
      <c r="B576" s="1" t="n">
        <v>44744</v>
      </c>
      <c r="C576" s="1" t="n">
        <v>45628</v>
      </c>
      <c r="D576" t="inlineStr">
        <is>
          <t>VÄSTERBOTTENS LÄN</t>
        </is>
      </c>
      <c r="E576" t="inlineStr">
        <is>
          <t>VILHELMINA</t>
        </is>
      </c>
      <c r="F576" t="inlineStr">
        <is>
          <t>SCA</t>
        </is>
      </c>
      <c r="G576" t="n">
        <v>6.8</v>
      </c>
      <c r="H576" t="n">
        <v>0</v>
      </c>
      <c r="I576" t="n">
        <v>0</v>
      </c>
      <c r="J576" t="n">
        <v>0</v>
      </c>
      <c r="K576" t="n">
        <v>0</v>
      </c>
      <c r="L576" t="n">
        <v>0</v>
      </c>
      <c r="M576" t="n">
        <v>0</v>
      </c>
      <c r="N576" t="n">
        <v>0</v>
      </c>
      <c r="O576" t="n">
        <v>0</v>
      </c>
      <c r="P576" t="n">
        <v>0</v>
      </c>
      <c r="Q576" t="n">
        <v>0</v>
      </c>
      <c r="R576" s="2" t="inlineStr"/>
    </row>
    <row r="577" ht="15" customHeight="1">
      <c r="A577" t="inlineStr">
        <is>
          <t>A 27935-2022</t>
        </is>
      </c>
      <c r="B577" s="1" t="n">
        <v>44744</v>
      </c>
      <c r="C577" s="1" t="n">
        <v>45628</v>
      </c>
      <c r="D577" t="inlineStr">
        <is>
          <t>VÄSTERBOTTENS LÄN</t>
        </is>
      </c>
      <c r="E577" t="inlineStr">
        <is>
          <t>VILHELMINA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27919-2022</t>
        </is>
      </c>
      <c r="B578" s="1" t="n">
        <v>44744</v>
      </c>
      <c r="C578" s="1" t="n">
        <v>45628</v>
      </c>
      <c r="D578" t="inlineStr">
        <is>
          <t>VÄSTERBOTTENS LÄN</t>
        </is>
      </c>
      <c r="E578" t="inlineStr">
        <is>
          <t>VILHELMINA</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28378-2022</t>
        </is>
      </c>
      <c r="B579" s="1" t="n">
        <v>44747</v>
      </c>
      <c r="C579" s="1" t="n">
        <v>45628</v>
      </c>
      <c r="D579" t="inlineStr">
        <is>
          <t>VÄSTERBOTTENS LÄN</t>
        </is>
      </c>
      <c r="E579" t="inlineStr">
        <is>
          <t>VILHELMINA</t>
        </is>
      </c>
      <c r="F579" t="inlineStr">
        <is>
          <t>Sveaskog</t>
        </is>
      </c>
      <c r="G579" t="n">
        <v>10.3</v>
      </c>
      <c r="H579" t="n">
        <v>0</v>
      </c>
      <c r="I579" t="n">
        <v>0</v>
      </c>
      <c r="J579" t="n">
        <v>0</v>
      </c>
      <c r="K579" t="n">
        <v>0</v>
      </c>
      <c r="L579" t="n">
        <v>0</v>
      </c>
      <c r="M579" t="n">
        <v>0</v>
      </c>
      <c r="N579" t="n">
        <v>0</v>
      </c>
      <c r="O579" t="n">
        <v>0</v>
      </c>
      <c r="P579" t="n">
        <v>0</v>
      </c>
      <c r="Q579" t="n">
        <v>0</v>
      </c>
      <c r="R579" s="2" t="inlineStr"/>
    </row>
    <row r="580" ht="15" customHeight="1">
      <c r="A580" t="inlineStr">
        <is>
          <t>A 28486-2022</t>
        </is>
      </c>
      <c r="B580" s="1" t="n">
        <v>44747</v>
      </c>
      <c r="C580" s="1" t="n">
        <v>45628</v>
      </c>
      <c r="D580" t="inlineStr">
        <is>
          <t>VÄSTERBOTTENS LÄN</t>
        </is>
      </c>
      <c r="E580" t="inlineStr">
        <is>
          <t>VILHELMINA</t>
        </is>
      </c>
      <c r="F580" t="inlineStr">
        <is>
          <t>SCA</t>
        </is>
      </c>
      <c r="G580" t="n">
        <v>7.9</v>
      </c>
      <c r="H580" t="n">
        <v>0</v>
      </c>
      <c r="I580" t="n">
        <v>0</v>
      </c>
      <c r="J580" t="n">
        <v>0</v>
      </c>
      <c r="K580" t="n">
        <v>0</v>
      </c>
      <c r="L580" t="n">
        <v>0</v>
      </c>
      <c r="M580" t="n">
        <v>0</v>
      </c>
      <c r="N580" t="n">
        <v>0</v>
      </c>
      <c r="O580" t="n">
        <v>0</v>
      </c>
      <c r="P580" t="n">
        <v>0</v>
      </c>
      <c r="Q580" t="n">
        <v>0</v>
      </c>
      <c r="R580" s="2" t="inlineStr"/>
    </row>
    <row r="581" ht="15" customHeight="1">
      <c r="A581" t="inlineStr">
        <is>
          <t>A 28485-2022</t>
        </is>
      </c>
      <c r="B581" s="1" t="n">
        <v>44748</v>
      </c>
      <c r="C581" s="1" t="n">
        <v>45628</v>
      </c>
      <c r="D581" t="inlineStr">
        <is>
          <t>VÄSTERBOTTENS LÄN</t>
        </is>
      </c>
      <c r="E581" t="inlineStr">
        <is>
          <t>VILHELMINA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28722-2022</t>
        </is>
      </c>
      <c r="B582" s="1" t="n">
        <v>44748</v>
      </c>
      <c r="C582" s="1" t="n">
        <v>45628</v>
      </c>
      <c r="D582" t="inlineStr">
        <is>
          <t>VÄSTERBOTTENS LÄN</t>
        </is>
      </c>
      <c r="E582" t="inlineStr">
        <is>
          <t>VILHELMINA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29555-2022</t>
        </is>
      </c>
      <c r="B583" s="1" t="n">
        <v>44754</v>
      </c>
      <c r="C583" s="1" t="n">
        <v>45628</v>
      </c>
      <c r="D583" t="inlineStr">
        <is>
          <t>VÄSTERBOTTENS LÄN</t>
        </is>
      </c>
      <c r="E583" t="inlineStr">
        <is>
          <t>VILHELMINA</t>
        </is>
      </c>
      <c r="F583" t="inlineStr">
        <is>
          <t>Övriga Aktiebolag</t>
        </is>
      </c>
      <c r="G583" t="n">
        <v>3.1</v>
      </c>
      <c r="H583" t="n">
        <v>0</v>
      </c>
      <c r="I583" t="n">
        <v>0</v>
      </c>
      <c r="J583" t="n">
        <v>0</v>
      </c>
      <c r="K583" t="n">
        <v>0</v>
      </c>
      <c r="L583" t="n">
        <v>0</v>
      </c>
      <c r="M583" t="n">
        <v>0</v>
      </c>
      <c r="N583" t="n">
        <v>0</v>
      </c>
      <c r="O583" t="n">
        <v>0</v>
      </c>
      <c r="P583" t="n">
        <v>0</v>
      </c>
      <c r="Q583" t="n">
        <v>0</v>
      </c>
      <c r="R583" s="2" t="inlineStr"/>
    </row>
    <row r="584" ht="15" customHeight="1">
      <c r="A584" t="inlineStr">
        <is>
          <t>A 29773-2022</t>
        </is>
      </c>
      <c r="B584" s="1" t="n">
        <v>44755</v>
      </c>
      <c r="C584" s="1" t="n">
        <v>45628</v>
      </c>
      <c r="D584" t="inlineStr">
        <is>
          <t>VÄSTERBOTTENS LÄN</t>
        </is>
      </c>
      <c r="E584" t="inlineStr">
        <is>
          <t>VILHELMINA</t>
        </is>
      </c>
      <c r="F584" t="inlineStr">
        <is>
          <t>Sveaskog</t>
        </is>
      </c>
      <c r="G584" t="n">
        <v>2.9</v>
      </c>
      <c r="H584" t="n">
        <v>0</v>
      </c>
      <c r="I584" t="n">
        <v>0</v>
      </c>
      <c r="J584" t="n">
        <v>0</v>
      </c>
      <c r="K584" t="n">
        <v>0</v>
      </c>
      <c r="L584" t="n">
        <v>0</v>
      </c>
      <c r="M584" t="n">
        <v>0</v>
      </c>
      <c r="N584" t="n">
        <v>0</v>
      </c>
      <c r="O584" t="n">
        <v>0</v>
      </c>
      <c r="P584" t="n">
        <v>0</v>
      </c>
      <c r="Q584" t="n">
        <v>0</v>
      </c>
      <c r="R584" s="2" t="inlineStr"/>
    </row>
    <row r="585" ht="15" customHeight="1">
      <c r="A585" t="inlineStr">
        <is>
          <t>A 29855-2022</t>
        </is>
      </c>
      <c r="B585" s="1" t="n">
        <v>44756</v>
      </c>
      <c r="C585" s="1" t="n">
        <v>45628</v>
      </c>
      <c r="D585" t="inlineStr">
        <is>
          <t>VÄSTERBOTTENS LÄN</t>
        </is>
      </c>
      <c r="E585" t="inlineStr">
        <is>
          <t>VILHELMINA</t>
        </is>
      </c>
      <c r="G585" t="n">
        <v>3.4</v>
      </c>
      <c r="H585" t="n">
        <v>0</v>
      </c>
      <c r="I585" t="n">
        <v>0</v>
      </c>
      <c r="J585" t="n">
        <v>0</v>
      </c>
      <c r="K585" t="n">
        <v>0</v>
      </c>
      <c r="L585" t="n">
        <v>0</v>
      </c>
      <c r="M585" t="n">
        <v>0</v>
      </c>
      <c r="N585" t="n">
        <v>0</v>
      </c>
      <c r="O585" t="n">
        <v>0</v>
      </c>
      <c r="P585" t="n">
        <v>0</v>
      </c>
      <c r="Q585" t="n">
        <v>0</v>
      </c>
      <c r="R585" s="2" t="inlineStr"/>
    </row>
    <row r="586" ht="15" customHeight="1">
      <c r="A586" t="inlineStr">
        <is>
          <t>A 30018-2022</t>
        </is>
      </c>
      <c r="B586" s="1" t="n">
        <v>44756</v>
      </c>
      <c r="C586" s="1" t="n">
        <v>45628</v>
      </c>
      <c r="D586" t="inlineStr">
        <is>
          <t>VÄSTERBOTTENS LÄN</t>
        </is>
      </c>
      <c r="E586" t="inlineStr">
        <is>
          <t>VILHELMINA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30025-2022</t>
        </is>
      </c>
      <c r="B587" s="1" t="n">
        <v>44757</v>
      </c>
      <c r="C587" s="1" t="n">
        <v>45628</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30020-2022</t>
        </is>
      </c>
      <c r="B588" s="1" t="n">
        <v>44757</v>
      </c>
      <c r="C588" s="1" t="n">
        <v>45628</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30019-2022</t>
        </is>
      </c>
      <c r="B589" s="1" t="n">
        <v>44757</v>
      </c>
      <c r="C589" s="1" t="n">
        <v>45628</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30130-2022</t>
        </is>
      </c>
      <c r="B590" s="1" t="n">
        <v>44757</v>
      </c>
      <c r="C590" s="1" t="n">
        <v>45628</v>
      </c>
      <c r="D590" t="inlineStr">
        <is>
          <t>VÄSTERBOTTENS LÄN</t>
        </is>
      </c>
      <c r="E590" t="inlineStr">
        <is>
          <t>VILHELMINA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31320-2022</t>
        </is>
      </c>
      <c r="B591" s="1" t="n">
        <v>44773</v>
      </c>
      <c r="C591" s="1" t="n">
        <v>45628</v>
      </c>
      <c r="D591" t="inlineStr">
        <is>
          <t>VÄSTERBOTTENS LÄN</t>
        </is>
      </c>
      <c r="E591" t="inlineStr">
        <is>
          <t>VILHELMINA</t>
        </is>
      </c>
      <c r="G591" t="n">
        <v>15.5</v>
      </c>
      <c r="H591" t="n">
        <v>0</v>
      </c>
      <c r="I591" t="n">
        <v>0</v>
      </c>
      <c r="J591" t="n">
        <v>0</v>
      </c>
      <c r="K591" t="n">
        <v>0</v>
      </c>
      <c r="L591" t="n">
        <v>0</v>
      </c>
      <c r="M591" t="n">
        <v>0</v>
      </c>
      <c r="N591" t="n">
        <v>0</v>
      </c>
      <c r="O591" t="n">
        <v>0</v>
      </c>
      <c r="P591" t="n">
        <v>0</v>
      </c>
      <c r="Q591" t="n">
        <v>0</v>
      </c>
      <c r="R591" s="2" t="inlineStr"/>
    </row>
    <row r="592" ht="15" customHeight="1">
      <c r="A592" t="inlineStr">
        <is>
          <t>A 32960-2022</t>
        </is>
      </c>
      <c r="B592" s="1" t="n">
        <v>44784</v>
      </c>
      <c r="C592" s="1" t="n">
        <v>45628</v>
      </c>
      <c r="D592" t="inlineStr">
        <is>
          <t>VÄSTERBOTTENS LÄN</t>
        </is>
      </c>
      <c r="E592" t="inlineStr">
        <is>
          <t>VILHELMINA</t>
        </is>
      </c>
      <c r="G592" t="n">
        <v>4.1</v>
      </c>
      <c r="H592" t="n">
        <v>0</v>
      </c>
      <c r="I592" t="n">
        <v>0</v>
      </c>
      <c r="J592" t="n">
        <v>0</v>
      </c>
      <c r="K592" t="n">
        <v>0</v>
      </c>
      <c r="L592" t="n">
        <v>0</v>
      </c>
      <c r="M592" t="n">
        <v>0</v>
      </c>
      <c r="N592" t="n">
        <v>0</v>
      </c>
      <c r="O592" t="n">
        <v>0</v>
      </c>
      <c r="P592" t="n">
        <v>0</v>
      </c>
      <c r="Q592" t="n">
        <v>0</v>
      </c>
      <c r="R592" s="2" t="inlineStr"/>
    </row>
    <row r="593" ht="15" customHeight="1">
      <c r="A593" t="inlineStr">
        <is>
          <t>A 33001-2022</t>
        </is>
      </c>
      <c r="B593" s="1" t="n">
        <v>44784</v>
      </c>
      <c r="C593" s="1" t="n">
        <v>45628</v>
      </c>
      <c r="D593" t="inlineStr">
        <is>
          <t>VÄSTERBOTTENS LÄN</t>
        </is>
      </c>
      <c r="E593" t="inlineStr">
        <is>
          <t>VILHELMINA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33512-2022</t>
        </is>
      </c>
      <c r="B594" s="1" t="n">
        <v>44788</v>
      </c>
      <c r="C594" s="1" t="n">
        <v>45628</v>
      </c>
      <c r="D594" t="inlineStr">
        <is>
          <t>VÄSTERBOTTENS LÄN</t>
        </is>
      </c>
      <c r="E594" t="inlineStr">
        <is>
          <t>VILHELMINA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33495-2022</t>
        </is>
      </c>
      <c r="B595" s="1" t="n">
        <v>44788</v>
      </c>
      <c r="C595" s="1" t="n">
        <v>45628</v>
      </c>
      <c r="D595" t="inlineStr">
        <is>
          <t>VÄSTERBOTTENS LÄN</t>
        </is>
      </c>
      <c r="E595" t="inlineStr">
        <is>
          <t>VILHELMINA</t>
        </is>
      </c>
      <c r="G595" t="n">
        <v>1</v>
      </c>
      <c r="H595" t="n">
        <v>0</v>
      </c>
      <c r="I595" t="n">
        <v>0</v>
      </c>
      <c r="J595" t="n">
        <v>0</v>
      </c>
      <c r="K595" t="n">
        <v>0</v>
      </c>
      <c r="L595" t="n">
        <v>0</v>
      </c>
      <c r="M595" t="n">
        <v>0</v>
      </c>
      <c r="N595" t="n">
        <v>0</v>
      </c>
      <c r="O595" t="n">
        <v>0</v>
      </c>
      <c r="P595" t="n">
        <v>0</v>
      </c>
      <c r="Q595" t="n">
        <v>0</v>
      </c>
      <c r="R595" s="2" t="inlineStr"/>
    </row>
    <row r="596" ht="15" customHeight="1">
      <c r="A596" t="inlineStr">
        <is>
          <t>A 33510-2022</t>
        </is>
      </c>
      <c r="B596" s="1" t="n">
        <v>44788</v>
      </c>
      <c r="C596" s="1" t="n">
        <v>45628</v>
      </c>
      <c r="D596" t="inlineStr">
        <is>
          <t>VÄSTERBOTTENS LÄN</t>
        </is>
      </c>
      <c r="E596" t="inlineStr">
        <is>
          <t>VILHELMINA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33603-2022</t>
        </is>
      </c>
      <c r="B597" s="1" t="n">
        <v>44789</v>
      </c>
      <c r="C597" s="1" t="n">
        <v>45628</v>
      </c>
      <c r="D597" t="inlineStr">
        <is>
          <t>VÄSTERBOTTENS LÄN</t>
        </is>
      </c>
      <c r="E597" t="inlineStr">
        <is>
          <t>VILHELMINA</t>
        </is>
      </c>
      <c r="F597" t="inlineStr">
        <is>
          <t>Sveaskog</t>
        </is>
      </c>
      <c r="G597" t="n">
        <v>15.1</v>
      </c>
      <c r="H597" t="n">
        <v>0</v>
      </c>
      <c r="I597" t="n">
        <v>0</v>
      </c>
      <c r="J597" t="n">
        <v>0</v>
      </c>
      <c r="K597" t="n">
        <v>0</v>
      </c>
      <c r="L597" t="n">
        <v>0</v>
      </c>
      <c r="M597" t="n">
        <v>0</v>
      </c>
      <c r="N597" t="n">
        <v>0</v>
      </c>
      <c r="O597" t="n">
        <v>0</v>
      </c>
      <c r="P597" t="n">
        <v>0</v>
      </c>
      <c r="Q597" t="n">
        <v>0</v>
      </c>
      <c r="R597" s="2" t="inlineStr"/>
    </row>
    <row r="598" ht="15" customHeight="1">
      <c r="A598" t="inlineStr">
        <is>
          <t>A 33989-2022</t>
        </is>
      </c>
      <c r="B598" s="1" t="n">
        <v>44790</v>
      </c>
      <c r="C598" s="1" t="n">
        <v>45628</v>
      </c>
      <c r="D598" t="inlineStr">
        <is>
          <t>VÄSTERBOTTENS LÄN</t>
        </is>
      </c>
      <c r="E598" t="inlineStr">
        <is>
          <t>VILHELMINA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35003-2022</t>
        </is>
      </c>
      <c r="B599" s="1" t="n">
        <v>44797</v>
      </c>
      <c r="C599" s="1" t="n">
        <v>45628</v>
      </c>
      <c r="D599" t="inlineStr">
        <is>
          <t>VÄSTERBOTTENS LÄN</t>
        </is>
      </c>
      <c r="E599" t="inlineStr">
        <is>
          <t>VILHELMINA</t>
        </is>
      </c>
      <c r="G599" t="n">
        <v>3.7</v>
      </c>
      <c r="H599" t="n">
        <v>0</v>
      </c>
      <c r="I599" t="n">
        <v>0</v>
      </c>
      <c r="J599" t="n">
        <v>0</v>
      </c>
      <c r="K599" t="n">
        <v>0</v>
      </c>
      <c r="L599" t="n">
        <v>0</v>
      </c>
      <c r="M599" t="n">
        <v>0</v>
      </c>
      <c r="N599" t="n">
        <v>0</v>
      </c>
      <c r="O599" t="n">
        <v>0</v>
      </c>
      <c r="P599" t="n">
        <v>0</v>
      </c>
      <c r="Q599" t="n">
        <v>0</v>
      </c>
      <c r="R599" s="2" t="inlineStr"/>
    </row>
    <row r="600" ht="15" customHeight="1">
      <c r="A600" t="inlineStr">
        <is>
          <t>A 35178-2022</t>
        </is>
      </c>
      <c r="B600" s="1" t="n">
        <v>44797</v>
      </c>
      <c r="C600" s="1" t="n">
        <v>45628</v>
      </c>
      <c r="D600" t="inlineStr">
        <is>
          <t>VÄSTERBOTTENS LÄN</t>
        </is>
      </c>
      <c r="E600" t="inlineStr">
        <is>
          <t>VILHELMINA</t>
        </is>
      </c>
      <c r="F600" t="inlineStr">
        <is>
          <t>Övriga statliga verk och myndigheter</t>
        </is>
      </c>
      <c r="G600" t="n">
        <v>32.5</v>
      </c>
      <c r="H600" t="n">
        <v>0</v>
      </c>
      <c r="I600" t="n">
        <v>0</v>
      </c>
      <c r="J600" t="n">
        <v>0</v>
      </c>
      <c r="K600" t="n">
        <v>0</v>
      </c>
      <c r="L600" t="n">
        <v>0</v>
      </c>
      <c r="M600" t="n">
        <v>0</v>
      </c>
      <c r="N600" t="n">
        <v>0</v>
      </c>
      <c r="O600" t="n">
        <v>0</v>
      </c>
      <c r="P600" t="n">
        <v>0</v>
      </c>
      <c r="Q600" t="n">
        <v>0</v>
      </c>
      <c r="R600" s="2" t="inlineStr"/>
    </row>
    <row r="601" ht="15" customHeight="1">
      <c r="A601" t="inlineStr">
        <is>
          <t>A 35514-2022</t>
        </is>
      </c>
      <c r="B601" s="1" t="n">
        <v>44799</v>
      </c>
      <c r="C601" s="1" t="n">
        <v>45628</v>
      </c>
      <c r="D601" t="inlineStr">
        <is>
          <t>VÄSTERBOTTENS LÄN</t>
        </is>
      </c>
      <c r="E601" t="inlineStr">
        <is>
          <t>VILHELMINA</t>
        </is>
      </c>
      <c r="F601" t="inlineStr">
        <is>
          <t>SCA</t>
        </is>
      </c>
      <c r="G601" t="n">
        <v>10.9</v>
      </c>
      <c r="H601" t="n">
        <v>0</v>
      </c>
      <c r="I601" t="n">
        <v>0</v>
      </c>
      <c r="J601" t="n">
        <v>0</v>
      </c>
      <c r="K601" t="n">
        <v>0</v>
      </c>
      <c r="L601" t="n">
        <v>0</v>
      </c>
      <c r="M601" t="n">
        <v>0</v>
      </c>
      <c r="N601" t="n">
        <v>0</v>
      </c>
      <c r="O601" t="n">
        <v>0</v>
      </c>
      <c r="P601" t="n">
        <v>0</v>
      </c>
      <c r="Q601" t="n">
        <v>0</v>
      </c>
      <c r="R601" s="2" t="inlineStr"/>
    </row>
    <row r="602" ht="15" customHeight="1">
      <c r="A602" t="inlineStr">
        <is>
          <t>A 35506-2022</t>
        </is>
      </c>
      <c r="B602" s="1" t="n">
        <v>44798</v>
      </c>
      <c r="C602" s="1" t="n">
        <v>45628</v>
      </c>
      <c r="D602" t="inlineStr">
        <is>
          <t>VÄSTERBOTTENS LÄN</t>
        </is>
      </c>
      <c r="E602" t="inlineStr">
        <is>
          <t>VILHELMINA</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35515-2022</t>
        </is>
      </c>
      <c r="B603" s="1" t="n">
        <v>44799</v>
      </c>
      <c r="C603" s="1" t="n">
        <v>45628</v>
      </c>
      <c r="D603" t="inlineStr">
        <is>
          <t>VÄSTERBOTTENS LÄN</t>
        </is>
      </c>
      <c r="E603" t="inlineStr">
        <is>
          <t>VILHELMINA</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35513-2022</t>
        </is>
      </c>
      <c r="B604" s="1" t="n">
        <v>44799</v>
      </c>
      <c r="C604" s="1" t="n">
        <v>45628</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35686-2022</t>
        </is>
      </c>
      <c r="B605" s="1" t="n">
        <v>44799</v>
      </c>
      <c r="C605" s="1" t="n">
        <v>45628</v>
      </c>
      <c r="D605" t="inlineStr">
        <is>
          <t>VÄSTERBOTTENS LÄN</t>
        </is>
      </c>
      <c r="E605" t="inlineStr">
        <is>
          <t>VILHELMINA</t>
        </is>
      </c>
      <c r="F605" t="inlineStr">
        <is>
          <t>Övriga statliga verk och myndigheter</t>
        </is>
      </c>
      <c r="G605" t="n">
        <v>2.6</v>
      </c>
      <c r="H605" t="n">
        <v>0</v>
      </c>
      <c r="I605" t="n">
        <v>0</v>
      </c>
      <c r="J605" t="n">
        <v>0</v>
      </c>
      <c r="K605" t="n">
        <v>0</v>
      </c>
      <c r="L605" t="n">
        <v>0</v>
      </c>
      <c r="M605" t="n">
        <v>0</v>
      </c>
      <c r="N605" t="n">
        <v>0</v>
      </c>
      <c r="O605" t="n">
        <v>0</v>
      </c>
      <c r="P605" t="n">
        <v>0</v>
      </c>
      <c r="Q605" t="n">
        <v>0</v>
      </c>
      <c r="R605" s="2" t="inlineStr"/>
    </row>
    <row r="606" ht="15" customHeight="1">
      <c r="A606" t="inlineStr">
        <is>
          <t>A 36083-2022</t>
        </is>
      </c>
      <c r="B606" s="1" t="n">
        <v>44803</v>
      </c>
      <c r="C606" s="1" t="n">
        <v>45628</v>
      </c>
      <c r="D606" t="inlineStr">
        <is>
          <t>VÄSTERBOTTENS LÄN</t>
        </is>
      </c>
      <c r="E606" t="inlineStr">
        <is>
          <t>VILHELMINA</t>
        </is>
      </c>
      <c r="F606" t="inlineStr">
        <is>
          <t>SCA</t>
        </is>
      </c>
      <c r="G606" t="n">
        <v>24.1</v>
      </c>
      <c r="H606" t="n">
        <v>0</v>
      </c>
      <c r="I606" t="n">
        <v>0</v>
      </c>
      <c r="J606" t="n">
        <v>0</v>
      </c>
      <c r="K606" t="n">
        <v>0</v>
      </c>
      <c r="L606" t="n">
        <v>0</v>
      </c>
      <c r="M606" t="n">
        <v>0</v>
      </c>
      <c r="N606" t="n">
        <v>0</v>
      </c>
      <c r="O606" t="n">
        <v>0</v>
      </c>
      <c r="P606" t="n">
        <v>0</v>
      </c>
      <c r="Q606" t="n">
        <v>0</v>
      </c>
      <c r="R606" s="2" t="inlineStr"/>
    </row>
    <row r="607" ht="15" customHeight="1">
      <c r="A607" t="inlineStr">
        <is>
          <t>A 36081-2022</t>
        </is>
      </c>
      <c r="B607" s="1" t="n">
        <v>44802</v>
      </c>
      <c r="C607" s="1" t="n">
        <v>45628</v>
      </c>
      <c r="D607" t="inlineStr">
        <is>
          <t>VÄSTERBOTTENS LÄN</t>
        </is>
      </c>
      <c r="E607" t="inlineStr">
        <is>
          <t>VILHELMINA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36082-2022</t>
        </is>
      </c>
      <c r="B608" s="1" t="n">
        <v>44802</v>
      </c>
      <c r="C608" s="1" t="n">
        <v>45628</v>
      </c>
      <c r="D608" t="inlineStr">
        <is>
          <t>VÄSTERBOTTENS LÄN</t>
        </is>
      </c>
      <c r="E608" t="inlineStr">
        <is>
          <t>VILHELMINA</t>
        </is>
      </c>
      <c r="F608" t="inlineStr">
        <is>
          <t>SCA</t>
        </is>
      </c>
      <c r="G608" t="n">
        <v>6.2</v>
      </c>
      <c r="H608" t="n">
        <v>0</v>
      </c>
      <c r="I608" t="n">
        <v>0</v>
      </c>
      <c r="J608" t="n">
        <v>0</v>
      </c>
      <c r="K608" t="n">
        <v>0</v>
      </c>
      <c r="L608" t="n">
        <v>0</v>
      </c>
      <c r="M608" t="n">
        <v>0</v>
      </c>
      <c r="N608" t="n">
        <v>0</v>
      </c>
      <c r="O608" t="n">
        <v>0</v>
      </c>
      <c r="P608" t="n">
        <v>0</v>
      </c>
      <c r="Q608" t="n">
        <v>0</v>
      </c>
      <c r="R608" s="2" t="inlineStr"/>
    </row>
    <row r="609" ht="15" customHeight="1">
      <c r="A609" t="inlineStr">
        <is>
          <t>A 36329-2022</t>
        </is>
      </c>
      <c r="B609" s="1" t="n">
        <v>44803</v>
      </c>
      <c r="C609" s="1" t="n">
        <v>45628</v>
      </c>
      <c r="D609" t="inlineStr">
        <is>
          <t>VÄSTERBOTTENS LÄN</t>
        </is>
      </c>
      <c r="E609" t="inlineStr">
        <is>
          <t>VILHELMINA</t>
        </is>
      </c>
      <c r="F609" t="inlineStr">
        <is>
          <t>Övriga statliga verk och myndigheter</t>
        </is>
      </c>
      <c r="G609" t="n">
        <v>30</v>
      </c>
      <c r="H609" t="n">
        <v>0</v>
      </c>
      <c r="I609" t="n">
        <v>0</v>
      </c>
      <c r="J609" t="n">
        <v>0</v>
      </c>
      <c r="K609" t="n">
        <v>0</v>
      </c>
      <c r="L609" t="n">
        <v>0</v>
      </c>
      <c r="M609" t="n">
        <v>0</v>
      </c>
      <c r="N609" t="n">
        <v>0</v>
      </c>
      <c r="O609" t="n">
        <v>0</v>
      </c>
      <c r="P609" t="n">
        <v>0</v>
      </c>
      <c r="Q609" t="n">
        <v>0</v>
      </c>
      <c r="R609" s="2" t="inlineStr"/>
    </row>
    <row r="610" ht="15" customHeight="1">
      <c r="A610" t="inlineStr">
        <is>
          <t>A 36929-2022</t>
        </is>
      </c>
      <c r="B610" s="1" t="n">
        <v>44806</v>
      </c>
      <c r="C610" s="1" t="n">
        <v>45628</v>
      </c>
      <c r="D610" t="inlineStr">
        <is>
          <t>VÄSTERBOTTENS LÄN</t>
        </is>
      </c>
      <c r="E610" t="inlineStr">
        <is>
          <t>VILHELMINA</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36931-2022</t>
        </is>
      </c>
      <c r="B611" s="1" t="n">
        <v>44805</v>
      </c>
      <c r="C611" s="1" t="n">
        <v>45628</v>
      </c>
      <c r="D611" t="inlineStr">
        <is>
          <t>VÄSTERBOTTENS LÄN</t>
        </is>
      </c>
      <c r="E611" t="inlineStr">
        <is>
          <t>VILHELMINA</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36930-2022</t>
        </is>
      </c>
      <c r="B612" s="1" t="n">
        <v>44805</v>
      </c>
      <c r="C612" s="1" t="n">
        <v>45628</v>
      </c>
      <c r="D612" t="inlineStr">
        <is>
          <t>VÄSTERBOTTENS LÄN</t>
        </is>
      </c>
      <c r="E612" t="inlineStr">
        <is>
          <t>VILHELMINA</t>
        </is>
      </c>
      <c r="F612" t="inlineStr">
        <is>
          <t>SCA</t>
        </is>
      </c>
      <c r="G612" t="n">
        <v>7.6</v>
      </c>
      <c r="H612" t="n">
        <v>0</v>
      </c>
      <c r="I612" t="n">
        <v>0</v>
      </c>
      <c r="J612" t="n">
        <v>0</v>
      </c>
      <c r="K612" t="n">
        <v>0</v>
      </c>
      <c r="L612" t="n">
        <v>0</v>
      </c>
      <c r="M612" t="n">
        <v>0</v>
      </c>
      <c r="N612" t="n">
        <v>0</v>
      </c>
      <c r="O612" t="n">
        <v>0</v>
      </c>
      <c r="P612" t="n">
        <v>0</v>
      </c>
      <c r="Q612" t="n">
        <v>0</v>
      </c>
      <c r="R612" s="2" t="inlineStr"/>
    </row>
    <row r="613" ht="15" customHeight="1">
      <c r="A613" t="inlineStr">
        <is>
          <t>A 37322-2022</t>
        </is>
      </c>
      <c r="B613" s="1" t="n">
        <v>44806</v>
      </c>
      <c r="C613" s="1" t="n">
        <v>45628</v>
      </c>
      <c r="D613" t="inlineStr">
        <is>
          <t>VÄSTERBOTTENS LÄN</t>
        </is>
      </c>
      <c r="E613" t="inlineStr">
        <is>
          <t>VILHELMINA</t>
        </is>
      </c>
      <c r="F613" t="inlineStr">
        <is>
          <t>Övriga statliga verk och myndigheter</t>
        </is>
      </c>
      <c r="G613" t="n">
        <v>15.4</v>
      </c>
      <c r="H613" t="n">
        <v>0</v>
      </c>
      <c r="I613" t="n">
        <v>0</v>
      </c>
      <c r="J613" t="n">
        <v>0</v>
      </c>
      <c r="K613" t="n">
        <v>0</v>
      </c>
      <c r="L613" t="n">
        <v>0</v>
      </c>
      <c r="M613" t="n">
        <v>0</v>
      </c>
      <c r="N613" t="n">
        <v>0</v>
      </c>
      <c r="O613" t="n">
        <v>0</v>
      </c>
      <c r="P613" t="n">
        <v>0</v>
      </c>
      <c r="Q613" t="n">
        <v>0</v>
      </c>
      <c r="R613" s="2" t="inlineStr"/>
    </row>
    <row r="614" ht="15" customHeight="1">
      <c r="A614" t="inlineStr">
        <is>
          <t>A 37325-2022</t>
        </is>
      </c>
      <c r="B614" s="1" t="n">
        <v>44806</v>
      </c>
      <c r="C614" s="1" t="n">
        <v>45628</v>
      </c>
      <c r="D614" t="inlineStr">
        <is>
          <t>VÄSTERBOTTENS LÄN</t>
        </is>
      </c>
      <c r="E614" t="inlineStr">
        <is>
          <t>VILHELMINA</t>
        </is>
      </c>
      <c r="F614" t="inlineStr">
        <is>
          <t>Övriga statliga verk och myndigheter</t>
        </is>
      </c>
      <c r="G614" t="n">
        <v>11</v>
      </c>
      <c r="H614" t="n">
        <v>0</v>
      </c>
      <c r="I614" t="n">
        <v>0</v>
      </c>
      <c r="J614" t="n">
        <v>0</v>
      </c>
      <c r="K614" t="n">
        <v>0</v>
      </c>
      <c r="L614" t="n">
        <v>0</v>
      </c>
      <c r="M614" t="n">
        <v>0</v>
      </c>
      <c r="N614" t="n">
        <v>0</v>
      </c>
      <c r="O614" t="n">
        <v>0</v>
      </c>
      <c r="P614" t="n">
        <v>0</v>
      </c>
      <c r="Q614" t="n">
        <v>0</v>
      </c>
      <c r="R614" s="2" t="inlineStr"/>
    </row>
    <row r="615" ht="15" customHeight="1">
      <c r="A615" t="inlineStr">
        <is>
          <t>A 37655-2022</t>
        </is>
      </c>
      <c r="B615" s="1" t="n">
        <v>44810</v>
      </c>
      <c r="C615" s="1" t="n">
        <v>45628</v>
      </c>
      <c r="D615" t="inlineStr">
        <is>
          <t>VÄSTERBOTTENS LÄN</t>
        </is>
      </c>
      <c r="E615" t="inlineStr">
        <is>
          <t>VILHELMINA</t>
        </is>
      </c>
      <c r="G615" t="n">
        <v>6.3</v>
      </c>
      <c r="H615" t="n">
        <v>0</v>
      </c>
      <c r="I615" t="n">
        <v>0</v>
      </c>
      <c r="J615" t="n">
        <v>0</v>
      </c>
      <c r="K615" t="n">
        <v>0</v>
      </c>
      <c r="L615" t="n">
        <v>0</v>
      </c>
      <c r="M615" t="n">
        <v>0</v>
      </c>
      <c r="N615" t="n">
        <v>0</v>
      </c>
      <c r="O615" t="n">
        <v>0</v>
      </c>
      <c r="P615" t="n">
        <v>0</v>
      </c>
      <c r="Q615" t="n">
        <v>0</v>
      </c>
      <c r="R615" s="2" t="inlineStr"/>
    </row>
    <row r="616" ht="15" customHeight="1">
      <c r="A616" t="inlineStr">
        <is>
          <t>A 37661-2022</t>
        </is>
      </c>
      <c r="B616" s="1" t="n">
        <v>44810</v>
      </c>
      <c r="C616" s="1" t="n">
        <v>45628</v>
      </c>
      <c r="D616" t="inlineStr">
        <is>
          <t>VÄSTERBOTTENS LÄN</t>
        </is>
      </c>
      <c r="E616" t="inlineStr">
        <is>
          <t>VILHELMINA</t>
        </is>
      </c>
      <c r="G616" t="n">
        <v>5.8</v>
      </c>
      <c r="H616" t="n">
        <v>0</v>
      </c>
      <c r="I616" t="n">
        <v>0</v>
      </c>
      <c r="J616" t="n">
        <v>0</v>
      </c>
      <c r="K616" t="n">
        <v>0</v>
      </c>
      <c r="L616" t="n">
        <v>0</v>
      </c>
      <c r="M616" t="n">
        <v>0</v>
      </c>
      <c r="N616" t="n">
        <v>0</v>
      </c>
      <c r="O616" t="n">
        <v>0</v>
      </c>
      <c r="P616" t="n">
        <v>0</v>
      </c>
      <c r="Q616" t="n">
        <v>0</v>
      </c>
      <c r="R616" s="2" t="inlineStr"/>
    </row>
    <row r="617" ht="15" customHeight="1">
      <c r="A617" t="inlineStr">
        <is>
          <t>A 38417-2022</t>
        </is>
      </c>
      <c r="B617" s="1" t="n">
        <v>44813</v>
      </c>
      <c r="C617" s="1" t="n">
        <v>45628</v>
      </c>
      <c r="D617" t="inlineStr">
        <is>
          <t>VÄSTERBOTTENS LÄN</t>
        </is>
      </c>
      <c r="E617" t="inlineStr">
        <is>
          <t>VILHELMINA</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38422-2022</t>
        </is>
      </c>
      <c r="B618" s="1" t="n">
        <v>44812</v>
      </c>
      <c r="C618" s="1" t="n">
        <v>45628</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38416-2022</t>
        </is>
      </c>
      <c r="B619" s="1" t="n">
        <v>44812</v>
      </c>
      <c r="C619" s="1" t="n">
        <v>45628</v>
      </c>
      <c r="D619" t="inlineStr">
        <is>
          <t>VÄSTERBOTTENS LÄN</t>
        </is>
      </c>
      <c r="E619" t="inlineStr">
        <is>
          <t>VILHELMINA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38419-2022</t>
        </is>
      </c>
      <c r="B620" s="1" t="n">
        <v>44813</v>
      </c>
      <c r="C620" s="1" t="n">
        <v>45628</v>
      </c>
      <c r="D620" t="inlineStr">
        <is>
          <t>VÄSTERBOTTENS LÄN</t>
        </is>
      </c>
      <c r="E620" t="inlineStr">
        <is>
          <t>VILHELMINA</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38558-2022</t>
        </is>
      </c>
      <c r="B621" s="1" t="n">
        <v>44813</v>
      </c>
      <c r="C621" s="1" t="n">
        <v>45628</v>
      </c>
      <c r="D621" t="inlineStr">
        <is>
          <t>VÄSTERBOTTENS LÄN</t>
        </is>
      </c>
      <c r="E621" t="inlineStr">
        <is>
          <t>VILHELMINA</t>
        </is>
      </c>
      <c r="F621" t="inlineStr">
        <is>
          <t>Sveaskog</t>
        </is>
      </c>
      <c r="G621" t="n">
        <v>3.8</v>
      </c>
      <c r="H621" t="n">
        <v>0</v>
      </c>
      <c r="I621" t="n">
        <v>0</v>
      </c>
      <c r="J621" t="n">
        <v>0</v>
      </c>
      <c r="K621" t="n">
        <v>0</v>
      </c>
      <c r="L621" t="n">
        <v>0</v>
      </c>
      <c r="M621" t="n">
        <v>0</v>
      </c>
      <c r="N621" t="n">
        <v>0</v>
      </c>
      <c r="O621" t="n">
        <v>0</v>
      </c>
      <c r="P621" t="n">
        <v>0</v>
      </c>
      <c r="Q621" t="n">
        <v>0</v>
      </c>
      <c r="R621" s="2" t="inlineStr"/>
    </row>
    <row r="622" ht="15" customHeight="1">
      <c r="A622" t="inlineStr">
        <is>
          <t>A 39389-2022</t>
        </is>
      </c>
      <c r="B622" s="1" t="n">
        <v>44817</v>
      </c>
      <c r="C622" s="1" t="n">
        <v>45628</v>
      </c>
      <c r="D622" t="inlineStr">
        <is>
          <t>VÄSTERBOTTENS LÄN</t>
        </is>
      </c>
      <c r="E622" t="inlineStr">
        <is>
          <t>VILHELMINA</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41343-2022</t>
        </is>
      </c>
      <c r="B623" s="1" t="n">
        <v>44824</v>
      </c>
      <c r="C623" s="1" t="n">
        <v>45628</v>
      </c>
      <c r="D623" t="inlineStr">
        <is>
          <t>VÄSTERBOTTENS LÄN</t>
        </is>
      </c>
      <c r="E623" t="inlineStr">
        <is>
          <t>VILHELMINA</t>
        </is>
      </c>
      <c r="G623" t="n">
        <v>6</v>
      </c>
      <c r="H623" t="n">
        <v>0</v>
      </c>
      <c r="I623" t="n">
        <v>0</v>
      </c>
      <c r="J623" t="n">
        <v>0</v>
      </c>
      <c r="K623" t="n">
        <v>0</v>
      </c>
      <c r="L623" t="n">
        <v>0</v>
      </c>
      <c r="M623" t="n">
        <v>0</v>
      </c>
      <c r="N623" t="n">
        <v>0</v>
      </c>
      <c r="O623" t="n">
        <v>0</v>
      </c>
      <c r="P623" t="n">
        <v>0</v>
      </c>
      <c r="Q623" t="n">
        <v>0</v>
      </c>
      <c r="R623" s="2" t="inlineStr"/>
    </row>
    <row r="624" ht="15" customHeight="1">
      <c r="A624" t="inlineStr">
        <is>
          <t>A 41350-2022</t>
        </is>
      </c>
      <c r="B624" s="1" t="n">
        <v>44824</v>
      </c>
      <c r="C624" s="1" t="n">
        <v>45628</v>
      </c>
      <c r="D624" t="inlineStr">
        <is>
          <t>VÄSTERBOTTENS LÄN</t>
        </is>
      </c>
      <c r="E624" t="inlineStr">
        <is>
          <t>VILHELMINA</t>
        </is>
      </c>
      <c r="G624" t="n">
        <v>1.7</v>
      </c>
      <c r="H624" t="n">
        <v>0</v>
      </c>
      <c r="I624" t="n">
        <v>0</v>
      </c>
      <c r="J624" t="n">
        <v>0</v>
      </c>
      <c r="K624" t="n">
        <v>0</v>
      </c>
      <c r="L624" t="n">
        <v>0</v>
      </c>
      <c r="M624" t="n">
        <v>0</v>
      </c>
      <c r="N624" t="n">
        <v>0</v>
      </c>
      <c r="O624" t="n">
        <v>0</v>
      </c>
      <c r="P624" t="n">
        <v>0</v>
      </c>
      <c r="Q624" t="n">
        <v>0</v>
      </c>
      <c r="R624" s="2" t="inlineStr"/>
    </row>
    <row r="625" ht="15" customHeight="1">
      <c r="A625" t="inlineStr">
        <is>
          <t>A 41330-2022</t>
        </is>
      </c>
      <c r="B625" s="1" t="n">
        <v>44826</v>
      </c>
      <c r="C625" s="1" t="n">
        <v>45628</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41482-2022</t>
        </is>
      </c>
      <c r="B626" s="1" t="n">
        <v>44827</v>
      </c>
      <c r="C626" s="1" t="n">
        <v>45628</v>
      </c>
      <c r="D626" t="inlineStr">
        <is>
          <t>VÄSTERBOTTENS LÄN</t>
        </is>
      </c>
      <c r="E626" t="inlineStr">
        <is>
          <t>VILHELMINA</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41485-2022</t>
        </is>
      </c>
      <c r="B627" s="1" t="n">
        <v>44827</v>
      </c>
      <c r="C627" s="1" t="n">
        <v>45628</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41484-2022</t>
        </is>
      </c>
      <c r="B628" s="1" t="n">
        <v>44826</v>
      </c>
      <c r="C628" s="1" t="n">
        <v>45628</v>
      </c>
      <c r="D628" t="inlineStr">
        <is>
          <t>VÄSTERBOTTENS LÄN</t>
        </is>
      </c>
      <c r="E628" t="inlineStr">
        <is>
          <t>VILHELMINA</t>
        </is>
      </c>
      <c r="F628" t="inlineStr">
        <is>
          <t>SCA</t>
        </is>
      </c>
      <c r="G628" t="n">
        <v>18.1</v>
      </c>
      <c r="H628" t="n">
        <v>0</v>
      </c>
      <c r="I628" t="n">
        <v>0</v>
      </c>
      <c r="J628" t="n">
        <v>0</v>
      </c>
      <c r="K628" t="n">
        <v>0</v>
      </c>
      <c r="L628" t="n">
        <v>0</v>
      </c>
      <c r="M628" t="n">
        <v>0</v>
      </c>
      <c r="N628" t="n">
        <v>0</v>
      </c>
      <c r="O628" t="n">
        <v>0</v>
      </c>
      <c r="P628" t="n">
        <v>0</v>
      </c>
      <c r="Q628" t="n">
        <v>0</v>
      </c>
      <c r="R628" s="2" t="inlineStr"/>
    </row>
    <row r="629" ht="15" customHeight="1">
      <c r="A629" t="inlineStr">
        <is>
          <t>A 42648-2022</t>
        </is>
      </c>
      <c r="B629" s="1" t="n">
        <v>44832</v>
      </c>
      <c r="C629" s="1" t="n">
        <v>45628</v>
      </c>
      <c r="D629" t="inlineStr">
        <is>
          <t>VÄSTERBOTTENS LÄN</t>
        </is>
      </c>
      <c r="E629" t="inlineStr">
        <is>
          <t>VILHELMINA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42650-2022</t>
        </is>
      </c>
      <c r="B630" s="1" t="n">
        <v>44831</v>
      </c>
      <c r="C630" s="1" t="n">
        <v>45628</v>
      </c>
      <c r="D630" t="inlineStr">
        <is>
          <t>VÄSTERBOTTENS LÄN</t>
        </is>
      </c>
      <c r="E630" t="inlineStr">
        <is>
          <t>VILHELMINA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43120-2022</t>
        </is>
      </c>
      <c r="B631" s="1" t="n">
        <v>44834</v>
      </c>
      <c r="C631" s="1" t="n">
        <v>45628</v>
      </c>
      <c r="D631" t="inlineStr">
        <is>
          <t>VÄSTERBOTTENS LÄN</t>
        </is>
      </c>
      <c r="E631" t="inlineStr">
        <is>
          <t>VILHELMINA</t>
        </is>
      </c>
      <c r="G631" t="n">
        <v>13.7</v>
      </c>
      <c r="H631" t="n">
        <v>0</v>
      </c>
      <c r="I631" t="n">
        <v>0</v>
      </c>
      <c r="J631" t="n">
        <v>0</v>
      </c>
      <c r="K631" t="n">
        <v>0</v>
      </c>
      <c r="L631" t="n">
        <v>0</v>
      </c>
      <c r="M631" t="n">
        <v>0</v>
      </c>
      <c r="N631" t="n">
        <v>0</v>
      </c>
      <c r="O631" t="n">
        <v>0</v>
      </c>
      <c r="P631" t="n">
        <v>0</v>
      </c>
      <c r="Q631" t="n">
        <v>0</v>
      </c>
      <c r="R631" s="2" t="inlineStr"/>
    </row>
    <row r="632" ht="15" customHeight="1">
      <c r="A632" t="inlineStr">
        <is>
          <t>A 43144-2022</t>
        </is>
      </c>
      <c r="B632" s="1" t="n">
        <v>44834</v>
      </c>
      <c r="C632" s="1" t="n">
        <v>45628</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43714-2022</t>
        </is>
      </c>
      <c r="B633" s="1" t="n">
        <v>44837</v>
      </c>
      <c r="C633" s="1" t="n">
        <v>45628</v>
      </c>
      <c r="D633" t="inlineStr">
        <is>
          <t>VÄSTERBOTTENS LÄN</t>
        </is>
      </c>
      <c r="E633" t="inlineStr">
        <is>
          <t>VILHELMINA</t>
        </is>
      </c>
      <c r="G633" t="n">
        <v>8.9</v>
      </c>
      <c r="H633" t="n">
        <v>0</v>
      </c>
      <c r="I633" t="n">
        <v>0</v>
      </c>
      <c r="J633" t="n">
        <v>0</v>
      </c>
      <c r="K633" t="n">
        <v>0</v>
      </c>
      <c r="L633" t="n">
        <v>0</v>
      </c>
      <c r="M633" t="n">
        <v>0</v>
      </c>
      <c r="N633" t="n">
        <v>0</v>
      </c>
      <c r="O633" t="n">
        <v>0</v>
      </c>
      <c r="P633" t="n">
        <v>0</v>
      </c>
      <c r="Q633" t="n">
        <v>0</v>
      </c>
      <c r="R633" s="2" t="inlineStr"/>
    </row>
    <row r="634" ht="15" customHeight="1">
      <c r="A634" t="inlineStr">
        <is>
          <t>A 43741-2022</t>
        </is>
      </c>
      <c r="B634" s="1" t="n">
        <v>44837</v>
      </c>
      <c r="C634" s="1" t="n">
        <v>45628</v>
      </c>
      <c r="D634" t="inlineStr">
        <is>
          <t>VÄSTERBOTTENS LÄN</t>
        </is>
      </c>
      <c r="E634" t="inlineStr">
        <is>
          <t>VILHELMINA</t>
        </is>
      </c>
      <c r="G634" t="n">
        <v>54.2</v>
      </c>
      <c r="H634" t="n">
        <v>0</v>
      </c>
      <c r="I634" t="n">
        <v>0</v>
      </c>
      <c r="J634" t="n">
        <v>0</v>
      </c>
      <c r="K634" t="n">
        <v>0</v>
      </c>
      <c r="L634" t="n">
        <v>0</v>
      </c>
      <c r="M634" t="n">
        <v>0</v>
      </c>
      <c r="N634" t="n">
        <v>0</v>
      </c>
      <c r="O634" t="n">
        <v>0</v>
      </c>
      <c r="P634" t="n">
        <v>0</v>
      </c>
      <c r="Q634" t="n">
        <v>0</v>
      </c>
      <c r="R634" s="2" t="inlineStr"/>
    </row>
    <row r="635" ht="15" customHeight="1">
      <c r="A635" t="inlineStr">
        <is>
          <t>A 45425-2022</t>
        </is>
      </c>
      <c r="B635" s="1" t="n">
        <v>44844</v>
      </c>
      <c r="C635" s="1" t="n">
        <v>45628</v>
      </c>
      <c r="D635" t="inlineStr">
        <is>
          <t>VÄSTERBOTTENS LÄN</t>
        </is>
      </c>
      <c r="E635" t="inlineStr">
        <is>
          <t>VILHELMINA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46121-2022</t>
        </is>
      </c>
      <c r="B636" s="1" t="n">
        <v>44847</v>
      </c>
      <c r="C636" s="1" t="n">
        <v>45628</v>
      </c>
      <c r="D636" t="inlineStr">
        <is>
          <t>VÄSTERBOTTENS LÄN</t>
        </is>
      </c>
      <c r="E636" t="inlineStr">
        <is>
          <t>VILHELMINA</t>
        </is>
      </c>
      <c r="G636" t="n">
        <v>2.6</v>
      </c>
      <c r="H636" t="n">
        <v>0</v>
      </c>
      <c r="I636" t="n">
        <v>0</v>
      </c>
      <c r="J636" t="n">
        <v>0</v>
      </c>
      <c r="K636" t="n">
        <v>0</v>
      </c>
      <c r="L636" t="n">
        <v>0</v>
      </c>
      <c r="M636" t="n">
        <v>0</v>
      </c>
      <c r="N636" t="n">
        <v>0</v>
      </c>
      <c r="O636" t="n">
        <v>0</v>
      </c>
      <c r="P636" t="n">
        <v>0</v>
      </c>
      <c r="Q636" t="n">
        <v>0</v>
      </c>
      <c r="R636" s="2" t="inlineStr"/>
    </row>
    <row r="637" ht="15" customHeight="1">
      <c r="A637" t="inlineStr">
        <is>
          <t>A 46071-2022</t>
        </is>
      </c>
      <c r="B637" s="1" t="n">
        <v>44847</v>
      </c>
      <c r="C637" s="1" t="n">
        <v>45628</v>
      </c>
      <c r="D637" t="inlineStr">
        <is>
          <t>VÄSTERBOTTENS LÄN</t>
        </is>
      </c>
      <c r="E637" t="inlineStr">
        <is>
          <t>VILHELMINA</t>
        </is>
      </c>
      <c r="G637" t="n">
        <v>10.6</v>
      </c>
      <c r="H637" t="n">
        <v>0</v>
      </c>
      <c r="I637" t="n">
        <v>0</v>
      </c>
      <c r="J637" t="n">
        <v>0</v>
      </c>
      <c r="K637" t="n">
        <v>0</v>
      </c>
      <c r="L637" t="n">
        <v>0</v>
      </c>
      <c r="M637" t="n">
        <v>0</v>
      </c>
      <c r="N637" t="n">
        <v>0</v>
      </c>
      <c r="O637" t="n">
        <v>0</v>
      </c>
      <c r="P637" t="n">
        <v>0</v>
      </c>
      <c r="Q637" t="n">
        <v>0</v>
      </c>
      <c r="R637" s="2" t="inlineStr"/>
    </row>
    <row r="638" ht="15" customHeight="1">
      <c r="A638" t="inlineStr">
        <is>
          <t>A 46316-2022</t>
        </is>
      </c>
      <c r="B638" s="1" t="n">
        <v>44847</v>
      </c>
      <c r="C638" s="1" t="n">
        <v>45628</v>
      </c>
      <c r="D638" t="inlineStr">
        <is>
          <t>VÄSTERBOTTENS LÄN</t>
        </is>
      </c>
      <c r="E638" t="inlineStr">
        <is>
          <t>VILHELMINA</t>
        </is>
      </c>
      <c r="G638" t="n">
        <v>2.1</v>
      </c>
      <c r="H638" t="n">
        <v>0</v>
      </c>
      <c r="I638" t="n">
        <v>0</v>
      </c>
      <c r="J638" t="n">
        <v>0</v>
      </c>
      <c r="K638" t="n">
        <v>0</v>
      </c>
      <c r="L638" t="n">
        <v>0</v>
      </c>
      <c r="M638" t="n">
        <v>0</v>
      </c>
      <c r="N638" t="n">
        <v>0</v>
      </c>
      <c r="O638" t="n">
        <v>0</v>
      </c>
      <c r="P638" t="n">
        <v>0</v>
      </c>
      <c r="Q638" t="n">
        <v>0</v>
      </c>
      <c r="R638" s="2" t="inlineStr"/>
    </row>
    <row r="639" ht="15" customHeight="1">
      <c r="A639" t="inlineStr">
        <is>
          <t>A 46119-2022</t>
        </is>
      </c>
      <c r="B639" s="1" t="n">
        <v>44847</v>
      </c>
      <c r="C639" s="1" t="n">
        <v>45628</v>
      </c>
      <c r="D639" t="inlineStr">
        <is>
          <t>VÄSTERBOTTENS LÄN</t>
        </is>
      </c>
      <c r="E639" t="inlineStr">
        <is>
          <t>VILHELMINA</t>
        </is>
      </c>
      <c r="G639" t="n">
        <v>12.1</v>
      </c>
      <c r="H639" t="n">
        <v>0</v>
      </c>
      <c r="I639" t="n">
        <v>0</v>
      </c>
      <c r="J639" t="n">
        <v>0</v>
      </c>
      <c r="K639" t="n">
        <v>0</v>
      </c>
      <c r="L639" t="n">
        <v>0</v>
      </c>
      <c r="M639" t="n">
        <v>0</v>
      </c>
      <c r="N639" t="n">
        <v>0</v>
      </c>
      <c r="O639" t="n">
        <v>0</v>
      </c>
      <c r="P639" t="n">
        <v>0</v>
      </c>
      <c r="Q639" t="n">
        <v>0</v>
      </c>
      <c r="R639" s="2" t="inlineStr"/>
    </row>
    <row r="640" ht="15" customHeight="1">
      <c r="A640" t="inlineStr">
        <is>
          <t>A 46318-2022</t>
        </is>
      </c>
      <c r="B640" s="1" t="n">
        <v>44847</v>
      </c>
      <c r="C640" s="1" t="n">
        <v>45628</v>
      </c>
      <c r="D640" t="inlineStr">
        <is>
          <t>VÄSTERBOTTENS LÄN</t>
        </is>
      </c>
      <c r="E640" t="inlineStr">
        <is>
          <t>VILHELMINA</t>
        </is>
      </c>
      <c r="G640" t="n">
        <v>11.7</v>
      </c>
      <c r="H640" t="n">
        <v>0</v>
      </c>
      <c r="I640" t="n">
        <v>0</v>
      </c>
      <c r="J640" t="n">
        <v>0</v>
      </c>
      <c r="K640" t="n">
        <v>0</v>
      </c>
      <c r="L640" t="n">
        <v>0</v>
      </c>
      <c r="M640" t="n">
        <v>0</v>
      </c>
      <c r="N640" t="n">
        <v>0</v>
      </c>
      <c r="O640" t="n">
        <v>0</v>
      </c>
      <c r="P640" t="n">
        <v>0</v>
      </c>
      <c r="Q640" t="n">
        <v>0</v>
      </c>
      <c r="R640" s="2" t="inlineStr"/>
    </row>
    <row r="641" ht="15" customHeight="1">
      <c r="A641" t="inlineStr">
        <is>
          <t>A 47253-2022</t>
        </is>
      </c>
      <c r="B641" s="1" t="n">
        <v>44852</v>
      </c>
      <c r="C641" s="1" t="n">
        <v>45628</v>
      </c>
      <c r="D641" t="inlineStr">
        <is>
          <t>VÄSTERBOTTENS LÄN</t>
        </is>
      </c>
      <c r="E641" t="inlineStr">
        <is>
          <t>VILHELMINA</t>
        </is>
      </c>
      <c r="F641" t="inlineStr">
        <is>
          <t>SCA</t>
        </is>
      </c>
      <c r="G641" t="n">
        <v>0.3</v>
      </c>
      <c r="H641" t="n">
        <v>0</v>
      </c>
      <c r="I641" t="n">
        <v>0</v>
      </c>
      <c r="J641" t="n">
        <v>0</v>
      </c>
      <c r="K641" t="n">
        <v>0</v>
      </c>
      <c r="L641" t="n">
        <v>0</v>
      </c>
      <c r="M641" t="n">
        <v>0</v>
      </c>
      <c r="N641" t="n">
        <v>0</v>
      </c>
      <c r="O641" t="n">
        <v>0</v>
      </c>
      <c r="P641" t="n">
        <v>0</v>
      </c>
      <c r="Q641" t="n">
        <v>0</v>
      </c>
      <c r="R641" s="2" t="inlineStr"/>
    </row>
    <row r="642" ht="15" customHeight="1">
      <c r="A642" t="inlineStr">
        <is>
          <t>A 47252-2022</t>
        </is>
      </c>
      <c r="B642" s="1" t="n">
        <v>44852</v>
      </c>
      <c r="C642" s="1" t="n">
        <v>45628</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47254-2022</t>
        </is>
      </c>
      <c r="B643" s="1" t="n">
        <v>44853</v>
      </c>
      <c r="C643" s="1" t="n">
        <v>45628</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47288-2022</t>
        </is>
      </c>
      <c r="B644" s="1" t="n">
        <v>44852</v>
      </c>
      <c r="C644" s="1" t="n">
        <v>45628</v>
      </c>
      <c r="D644" t="inlineStr">
        <is>
          <t>VÄSTERBOTTENS LÄN</t>
        </is>
      </c>
      <c r="E644" t="inlineStr">
        <is>
          <t>VILHELMINA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47287-2022</t>
        </is>
      </c>
      <c r="B645" s="1" t="n">
        <v>44853</v>
      </c>
      <c r="C645" s="1" t="n">
        <v>45628</v>
      </c>
      <c r="D645" t="inlineStr">
        <is>
          <t>VÄSTERBOTTENS LÄN</t>
        </is>
      </c>
      <c r="E645" t="inlineStr">
        <is>
          <t>VILHELMINA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47285-2022</t>
        </is>
      </c>
      <c r="B646" s="1" t="n">
        <v>44853</v>
      </c>
      <c r="C646" s="1" t="n">
        <v>45628</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47286-2022</t>
        </is>
      </c>
      <c r="B647" s="1" t="n">
        <v>44852</v>
      </c>
      <c r="C647" s="1" t="n">
        <v>45628</v>
      </c>
      <c r="D647" t="inlineStr">
        <is>
          <t>VÄSTERBOTTENS LÄN</t>
        </is>
      </c>
      <c r="E647" t="inlineStr">
        <is>
          <t>VILHELMINA</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47575-2022</t>
        </is>
      </c>
      <c r="B648" s="1" t="n">
        <v>44853</v>
      </c>
      <c r="C648" s="1" t="n">
        <v>45628</v>
      </c>
      <c r="D648" t="inlineStr">
        <is>
          <t>VÄSTERBOTTENS LÄN</t>
        </is>
      </c>
      <c r="E648" t="inlineStr">
        <is>
          <t>VILHELMINA</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47571-2022</t>
        </is>
      </c>
      <c r="B649" s="1" t="n">
        <v>44853</v>
      </c>
      <c r="C649" s="1" t="n">
        <v>45628</v>
      </c>
      <c r="D649" t="inlineStr">
        <is>
          <t>VÄSTERBOTTENS LÄN</t>
        </is>
      </c>
      <c r="E649" t="inlineStr">
        <is>
          <t>VILHELMINA</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48068-2022</t>
        </is>
      </c>
      <c r="B650" s="1" t="n">
        <v>44855</v>
      </c>
      <c r="C650" s="1" t="n">
        <v>45628</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48117-2022</t>
        </is>
      </c>
      <c r="B651" s="1" t="n">
        <v>44857</v>
      </c>
      <c r="C651" s="1" t="n">
        <v>45628</v>
      </c>
      <c r="D651" t="inlineStr">
        <is>
          <t>VÄSTERBOTTENS LÄN</t>
        </is>
      </c>
      <c r="E651" t="inlineStr">
        <is>
          <t>VILHELMINA</t>
        </is>
      </c>
      <c r="G651" t="n">
        <v>5.8</v>
      </c>
      <c r="H651" t="n">
        <v>0</v>
      </c>
      <c r="I651" t="n">
        <v>0</v>
      </c>
      <c r="J651" t="n">
        <v>0</v>
      </c>
      <c r="K651" t="n">
        <v>0</v>
      </c>
      <c r="L651" t="n">
        <v>0</v>
      </c>
      <c r="M651" t="n">
        <v>0</v>
      </c>
      <c r="N651" t="n">
        <v>0</v>
      </c>
      <c r="O651" t="n">
        <v>0</v>
      </c>
      <c r="P651" t="n">
        <v>0</v>
      </c>
      <c r="Q651" t="n">
        <v>0</v>
      </c>
      <c r="R651" s="2" t="inlineStr"/>
    </row>
    <row r="652" ht="15" customHeight="1">
      <c r="A652" t="inlineStr">
        <is>
          <t>A 48524-2022</t>
        </is>
      </c>
      <c r="B652" s="1" t="n">
        <v>44859</v>
      </c>
      <c r="C652" s="1" t="n">
        <v>45628</v>
      </c>
      <c r="D652" t="inlineStr">
        <is>
          <t>VÄSTERBOTTENS LÄN</t>
        </is>
      </c>
      <c r="E652" t="inlineStr">
        <is>
          <t>VILHELMINA</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48507-2022</t>
        </is>
      </c>
      <c r="B653" s="1" t="n">
        <v>44859</v>
      </c>
      <c r="C653" s="1" t="n">
        <v>45628</v>
      </c>
      <c r="D653" t="inlineStr">
        <is>
          <t>VÄSTERBOTTENS LÄN</t>
        </is>
      </c>
      <c r="E653" t="inlineStr">
        <is>
          <t>VILHELMINA</t>
        </is>
      </c>
      <c r="F653" t="inlineStr">
        <is>
          <t>SCA</t>
        </is>
      </c>
      <c r="G653" t="n">
        <v>10.5</v>
      </c>
      <c r="H653" t="n">
        <v>0</v>
      </c>
      <c r="I653" t="n">
        <v>0</v>
      </c>
      <c r="J653" t="n">
        <v>0</v>
      </c>
      <c r="K653" t="n">
        <v>0</v>
      </c>
      <c r="L653" t="n">
        <v>0</v>
      </c>
      <c r="M653" t="n">
        <v>0</v>
      </c>
      <c r="N653" t="n">
        <v>0</v>
      </c>
      <c r="O653" t="n">
        <v>0</v>
      </c>
      <c r="P653" t="n">
        <v>0</v>
      </c>
      <c r="Q653" t="n">
        <v>0</v>
      </c>
      <c r="R653" s="2" t="inlineStr"/>
    </row>
    <row r="654" ht="15" customHeight="1">
      <c r="A654" t="inlineStr">
        <is>
          <t>A 48526-2022</t>
        </is>
      </c>
      <c r="B654" s="1" t="n">
        <v>44858</v>
      </c>
      <c r="C654" s="1" t="n">
        <v>45628</v>
      </c>
      <c r="D654" t="inlineStr">
        <is>
          <t>VÄSTERBOTTENS LÄN</t>
        </is>
      </c>
      <c r="E654" t="inlineStr">
        <is>
          <t>VILHELMINA</t>
        </is>
      </c>
      <c r="F654" t="inlineStr">
        <is>
          <t>SCA</t>
        </is>
      </c>
      <c r="G654" t="n">
        <v>5.8</v>
      </c>
      <c r="H654" t="n">
        <v>0</v>
      </c>
      <c r="I654" t="n">
        <v>0</v>
      </c>
      <c r="J654" t="n">
        <v>0</v>
      </c>
      <c r="K654" t="n">
        <v>0</v>
      </c>
      <c r="L654" t="n">
        <v>0</v>
      </c>
      <c r="M654" t="n">
        <v>0</v>
      </c>
      <c r="N654" t="n">
        <v>0</v>
      </c>
      <c r="O654" t="n">
        <v>0</v>
      </c>
      <c r="P654" t="n">
        <v>0</v>
      </c>
      <c r="Q654" t="n">
        <v>0</v>
      </c>
      <c r="R654" s="2" t="inlineStr"/>
    </row>
    <row r="655" ht="15" customHeight="1">
      <c r="A655" t="inlineStr">
        <is>
          <t>A 48515-2022</t>
        </is>
      </c>
      <c r="B655" s="1" t="n">
        <v>44859</v>
      </c>
      <c r="C655" s="1" t="n">
        <v>45628</v>
      </c>
      <c r="D655" t="inlineStr">
        <is>
          <t>VÄSTERBOTTENS LÄN</t>
        </is>
      </c>
      <c r="E655" t="inlineStr">
        <is>
          <t>VILHELMINA</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48551-2022</t>
        </is>
      </c>
      <c r="B656" s="1" t="n">
        <v>44859</v>
      </c>
      <c r="C656" s="1" t="n">
        <v>45628</v>
      </c>
      <c r="D656" t="inlineStr">
        <is>
          <t>VÄSTERBOTTENS LÄN</t>
        </is>
      </c>
      <c r="E656" t="inlineStr">
        <is>
          <t>VILHELMINA</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48508-2022</t>
        </is>
      </c>
      <c r="B657" s="1" t="n">
        <v>44858</v>
      </c>
      <c r="C657" s="1" t="n">
        <v>45628</v>
      </c>
      <c r="D657" t="inlineStr">
        <is>
          <t>VÄSTERBOTTENS LÄN</t>
        </is>
      </c>
      <c r="E657" t="inlineStr">
        <is>
          <t>VILHELMINA</t>
        </is>
      </c>
      <c r="F657" t="inlineStr">
        <is>
          <t>SCA</t>
        </is>
      </c>
      <c r="G657" t="n">
        <v>6.7</v>
      </c>
      <c r="H657" t="n">
        <v>0</v>
      </c>
      <c r="I657" t="n">
        <v>0</v>
      </c>
      <c r="J657" t="n">
        <v>0</v>
      </c>
      <c r="K657" t="n">
        <v>0</v>
      </c>
      <c r="L657" t="n">
        <v>0</v>
      </c>
      <c r="M657" t="n">
        <v>0</v>
      </c>
      <c r="N657" t="n">
        <v>0</v>
      </c>
      <c r="O657" t="n">
        <v>0</v>
      </c>
      <c r="P657" t="n">
        <v>0</v>
      </c>
      <c r="Q657" t="n">
        <v>0</v>
      </c>
      <c r="R657" s="2" t="inlineStr"/>
    </row>
    <row r="658" ht="15" customHeight="1">
      <c r="A658" t="inlineStr">
        <is>
          <t>A 48527-2022</t>
        </is>
      </c>
      <c r="B658" s="1" t="n">
        <v>44859</v>
      </c>
      <c r="C658" s="1" t="n">
        <v>45628</v>
      </c>
      <c r="D658" t="inlineStr">
        <is>
          <t>VÄSTERBOTTENS LÄN</t>
        </is>
      </c>
      <c r="E658" t="inlineStr">
        <is>
          <t>VILHELMINA</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48775-2022</t>
        </is>
      </c>
      <c r="B659" s="1" t="n">
        <v>44859</v>
      </c>
      <c r="C659" s="1" t="n">
        <v>45628</v>
      </c>
      <c r="D659" t="inlineStr">
        <is>
          <t>VÄSTERBOTTENS LÄN</t>
        </is>
      </c>
      <c r="E659" t="inlineStr">
        <is>
          <t>VILHELMINA</t>
        </is>
      </c>
      <c r="F659" t="inlineStr">
        <is>
          <t>Sveaskog</t>
        </is>
      </c>
      <c r="G659" t="n">
        <v>10.7</v>
      </c>
      <c r="H659" t="n">
        <v>0</v>
      </c>
      <c r="I659" t="n">
        <v>0</v>
      </c>
      <c r="J659" t="n">
        <v>0</v>
      </c>
      <c r="K659" t="n">
        <v>0</v>
      </c>
      <c r="L659" t="n">
        <v>0</v>
      </c>
      <c r="M659" t="n">
        <v>0</v>
      </c>
      <c r="N659" t="n">
        <v>0</v>
      </c>
      <c r="O659" t="n">
        <v>0</v>
      </c>
      <c r="P659" t="n">
        <v>0</v>
      </c>
      <c r="Q659" t="n">
        <v>0</v>
      </c>
      <c r="R659" s="2" t="inlineStr"/>
    </row>
    <row r="660" ht="15" customHeight="1">
      <c r="A660" t="inlineStr">
        <is>
          <t>A 48768-2022</t>
        </is>
      </c>
      <c r="B660" s="1" t="n">
        <v>44859</v>
      </c>
      <c r="C660" s="1" t="n">
        <v>45628</v>
      </c>
      <c r="D660" t="inlineStr">
        <is>
          <t>VÄSTERBOTTENS LÄN</t>
        </is>
      </c>
      <c r="E660" t="inlineStr">
        <is>
          <t>VILHELMINA</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49599-2022</t>
        </is>
      </c>
      <c r="B661" s="1" t="n">
        <v>44859</v>
      </c>
      <c r="C661" s="1" t="n">
        <v>45628</v>
      </c>
      <c r="D661" t="inlineStr">
        <is>
          <t>VÄSTERBOTTENS LÄN</t>
        </is>
      </c>
      <c r="E661" t="inlineStr">
        <is>
          <t>VILHELMINA</t>
        </is>
      </c>
      <c r="G661" t="n">
        <v>3.6</v>
      </c>
      <c r="H661" t="n">
        <v>0</v>
      </c>
      <c r="I661" t="n">
        <v>0</v>
      </c>
      <c r="J661" t="n">
        <v>0</v>
      </c>
      <c r="K661" t="n">
        <v>0</v>
      </c>
      <c r="L661" t="n">
        <v>0</v>
      </c>
      <c r="M661" t="n">
        <v>0</v>
      </c>
      <c r="N661" t="n">
        <v>0</v>
      </c>
      <c r="O661" t="n">
        <v>0</v>
      </c>
      <c r="P661" t="n">
        <v>0</v>
      </c>
      <c r="Q661" t="n">
        <v>0</v>
      </c>
      <c r="R661" s="2" t="inlineStr"/>
    </row>
    <row r="662" ht="15" customHeight="1">
      <c r="A662" t="inlineStr">
        <is>
          <t>A 49526-2022</t>
        </is>
      </c>
      <c r="B662" s="1" t="n">
        <v>44862</v>
      </c>
      <c r="C662" s="1" t="n">
        <v>45628</v>
      </c>
      <c r="D662" t="inlineStr">
        <is>
          <t>VÄSTERBOTTENS LÄN</t>
        </is>
      </c>
      <c r="E662" t="inlineStr">
        <is>
          <t>VILHELMINA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49640-2022</t>
        </is>
      </c>
      <c r="B663" s="1" t="n">
        <v>44862</v>
      </c>
      <c r="C663" s="1" t="n">
        <v>45628</v>
      </c>
      <c r="D663" t="inlineStr">
        <is>
          <t>VÄSTERBOTTENS LÄN</t>
        </is>
      </c>
      <c r="E663" t="inlineStr">
        <is>
          <t>VILHELMINA</t>
        </is>
      </c>
      <c r="F663" t="inlineStr">
        <is>
          <t>Sveaskog</t>
        </is>
      </c>
      <c r="G663" t="n">
        <v>6.1</v>
      </c>
      <c r="H663" t="n">
        <v>0</v>
      </c>
      <c r="I663" t="n">
        <v>0</v>
      </c>
      <c r="J663" t="n">
        <v>0</v>
      </c>
      <c r="K663" t="n">
        <v>0</v>
      </c>
      <c r="L663" t="n">
        <v>0</v>
      </c>
      <c r="M663" t="n">
        <v>0</v>
      </c>
      <c r="N663" t="n">
        <v>0</v>
      </c>
      <c r="O663" t="n">
        <v>0</v>
      </c>
      <c r="P663" t="n">
        <v>0</v>
      </c>
      <c r="Q663" t="n">
        <v>0</v>
      </c>
      <c r="R663" s="2" t="inlineStr"/>
    </row>
    <row r="664" ht="15" customHeight="1">
      <c r="A664" t="inlineStr">
        <is>
          <t>A 50883-2022</t>
        </is>
      </c>
      <c r="B664" s="1" t="n">
        <v>44867</v>
      </c>
      <c r="C664" s="1" t="n">
        <v>45628</v>
      </c>
      <c r="D664" t="inlineStr">
        <is>
          <t>VÄSTERBOTTENS LÄN</t>
        </is>
      </c>
      <c r="E664" t="inlineStr">
        <is>
          <t>VILHELMINA</t>
        </is>
      </c>
      <c r="F664" t="inlineStr">
        <is>
          <t>Sveaskog</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51017-2022</t>
        </is>
      </c>
      <c r="B665" s="1" t="n">
        <v>44867</v>
      </c>
      <c r="C665" s="1" t="n">
        <v>45628</v>
      </c>
      <c r="D665" t="inlineStr">
        <is>
          <t>VÄSTERBOTTENS LÄN</t>
        </is>
      </c>
      <c r="E665" t="inlineStr">
        <is>
          <t>VILHELMINA</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52008-2022</t>
        </is>
      </c>
      <c r="B666" s="1" t="n">
        <v>44872</v>
      </c>
      <c r="C666" s="1" t="n">
        <v>45628</v>
      </c>
      <c r="D666" t="inlineStr">
        <is>
          <t>VÄSTERBOTTENS LÄN</t>
        </is>
      </c>
      <c r="E666" t="inlineStr">
        <is>
          <t>VILHELMINA</t>
        </is>
      </c>
      <c r="G666" t="n">
        <v>6</v>
      </c>
      <c r="H666" t="n">
        <v>0</v>
      </c>
      <c r="I666" t="n">
        <v>0</v>
      </c>
      <c r="J666" t="n">
        <v>0</v>
      </c>
      <c r="K666" t="n">
        <v>0</v>
      </c>
      <c r="L666" t="n">
        <v>0</v>
      </c>
      <c r="M666" t="n">
        <v>0</v>
      </c>
      <c r="N666" t="n">
        <v>0</v>
      </c>
      <c r="O666" t="n">
        <v>0</v>
      </c>
      <c r="P666" t="n">
        <v>0</v>
      </c>
      <c r="Q666" t="n">
        <v>0</v>
      </c>
      <c r="R666" s="2" t="inlineStr"/>
    </row>
    <row r="667" ht="15" customHeight="1">
      <c r="A667" t="inlineStr">
        <is>
          <t>A 52711-2022</t>
        </is>
      </c>
      <c r="B667" s="1" t="n">
        <v>44874</v>
      </c>
      <c r="C667" s="1" t="n">
        <v>45628</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52704-2022</t>
        </is>
      </c>
      <c r="B668" s="1" t="n">
        <v>44874</v>
      </c>
      <c r="C668" s="1" t="n">
        <v>45628</v>
      </c>
      <c r="D668" t="inlineStr">
        <is>
          <t>VÄSTERBOTTENS LÄN</t>
        </is>
      </c>
      <c r="E668" t="inlineStr">
        <is>
          <t>VILHELMINA</t>
        </is>
      </c>
      <c r="G668" t="n">
        <v>17.4</v>
      </c>
      <c r="H668" t="n">
        <v>0</v>
      </c>
      <c r="I668" t="n">
        <v>0</v>
      </c>
      <c r="J668" t="n">
        <v>0</v>
      </c>
      <c r="K668" t="n">
        <v>0</v>
      </c>
      <c r="L668" t="n">
        <v>0</v>
      </c>
      <c r="M668" t="n">
        <v>0</v>
      </c>
      <c r="N668" t="n">
        <v>0</v>
      </c>
      <c r="O668" t="n">
        <v>0</v>
      </c>
      <c r="P668" t="n">
        <v>0</v>
      </c>
      <c r="Q668" t="n">
        <v>0</v>
      </c>
      <c r="R668" s="2" t="inlineStr"/>
    </row>
    <row r="669" ht="15" customHeight="1">
      <c r="A669" t="inlineStr">
        <is>
          <t>A 52995-2022</t>
        </is>
      </c>
      <c r="B669" s="1" t="n">
        <v>44875</v>
      </c>
      <c r="C669" s="1" t="n">
        <v>45628</v>
      </c>
      <c r="D669" t="inlineStr">
        <is>
          <t>VÄSTERBOTTENS LÄN</t>
        </is>
      </c>
      <c r="E669" t="inlineStr">
        <is>
          <t>VILHELMINA</t>
        </is>
      </c>
      <c r="G669" t="n">
        <v>1.4</v>
      </c>
      <c r="H669" t="n">
        <v>0</v>
      </c>
      <c r="I669" t="n">
        <v>0</v>
      </c>
      <c r="J669" t="n">
        <v>0</v>
      </c>
      <c r="K669" t="n">
        <v>0</v>
      </c>
      <c r="L669" t="n">
        <v>0</v>
      </c>
      <c r="M669" t="n">
        <v>0</v>
      </c>
      <c r="N669" t="n">
        <v>0</v>
      </c>
      <c r="O669" t="n">
        <v>0</v>
      </c>
      <c r="P669" t="n">
        <v>0</v>
      </c>
      <c r="Q669" t="n">
        <v>0</v>
      </c>
      <c r="R669" s="2" t="inlineStr"/>
    </row>
    <row r="670" ht="15" customHeight="1">
      <c r="A670" t="inlineStr">
        <is>
          <t>A 53652-2022</t>
        </is>
      </c>
      <c r="B670" s="1" t="n">
        <v>44879</v>
      </c>
      <c r="C670" s="1" t="n">
        <v>45628</v>
      </c>
      <c r="D670" t="inlineStr">
        <is>
          <t>VÄSTERBOTTENS LÄN</t>
        </is>
      </c>
      <c r="E670" t="inlineStr">
        <is>
          <t>VILHELMINA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53654-2022</t>
        </is>
      </c>
      <c r="B671" s="1" t="n">
        <v>44879</v>
      </c>
      <c r="C671" s="1" t="n">
        <v>45628</v>
      </c>
      <c r="D671" t="inlineStr">
        <is>
          <t>VÄSTERBOTTENS LÄN</t>
        </is>
      </c>
      <c r="E671" t="inlineStr">
        <is>
          <t>VILHELMINA</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53658-2022</t>
        </is>
      </c>
      <c r="B672" s="1" t="n">
        <v>44879</v>
      </c>
      <c r="C672" s="1" t="n">
        <v>45628</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54729-2022</t>
        </is>
      </c>
      <c r="B673" s="1" t="n">
        <v>44881</v>
      </c>
      <c r="C673" s="1" t="n">
        <v>45628</v>
      </c>
      <c r="D673" t="inlineStr">
        <is>
          <t>VÄSTERBOTTENS LÄN</t>
        </is>
      </c>
      <c r="E673" t="inlineStr">
        <is>
          <t>VILHELMINA</t>
        </is>
      </c>
      <c r="G673" t="n">
        <v>19.2</v>
      </c>
      <c r="H673" t="n">
        <v>0</v>
      </c>
      <c r="I673" t="n">
        <v>0</v>
      </c>
      <c r="J673" t="n">
        <v>0</v>
      </c>
      <c r="K673" t="n">
        <v>0</v>
      </c>
      <c r="L673" t="n">
        <v>0</v>
      </c>
      <c r="M673" t="n">
        <v>0</v>
      </c>
      <c r="N673" t="n">
        <v>0</v>
      </c>
      <c r="O673" t="n">
        <v>0</v>
      </c>
      <c r="P673" t="n">
        <v>0</v>
      </c>
      <c r="Q673" t="n">
        <v>0</v>
      </c>
      <c r="R673" s="2" t="inlineStr"/>
    </row>
    <row r="674" ht="15" customHeight="1">
      <c r="A674" t="inlineStr">
        <is>
          <t>A 54727-2022</t>
        </is>
      </c>
      <c r="B674" s="1" t="n">
        <v>44881</v>
      </c>
      <c r="C674" s="1" t="n">
        <v>45628</v>
      </c>
      <c r="D674" t="inlineStr">
        <is>
          <t>VÄSTERBOTTENS LÄN</t>
        </is>
      </c>
      <c r="E674" t="inlineStr">
        <is>
          <t>VILHELMINA</t>
        </is>
      </c>
      <c r="G674" t="n">
        <v>4.3</v>
      </c>
      <c r="H674" t="n">
        <v>0</v>
      </c>
      <c r="I674" t="n">
        <v>0</v>
      </c>
      <c r="J674" t="n">
        <v>0</v>
      </c>
      <c r="K674" t="n">
        <v>0</v>
      </c>
      <c r="L674" t="n">
        <v>0</v>
      </c>
      <c r="M674" t="n">
        <v>0</v>
      </c>
      <c r="N674" t="n">
        <v>0</v>
      </c>
      <c r="O674" t="n">
        <v>0</v>
      </c>
      <c r="P674" t="n">
        <v>0</v>
      </c>
      <c r="Q674" t="n">
        <v>0</v>
      </c>
      <c r="R674" s="2" t="inlineStr"/>
    </row>
    <row r="675" ht="15" customHeight="1">
      <c r="A675" t="inlineStr">
        <is>
          <t>A 55870-2022</t>
        </is>
      </c>
      <c r="B675" s="1" t="n">
        <v>44888</v>
      </c>
      <c r="C675" s="1" t="n">
        <v>45628</v>
      </c>
      <c r="D675" t="inlineStr">
        <is>
          <t>VÄSTERBOTTENS LÄN</t>
        </is>
      </c>
      <c r="E675" t="inlineStr">
        <is>
          <t>VILHELMINA</t>
        </is>
      </c>
      <c r="G675" t="n">
        <v>13.6</v>
      </c>
      <c r="H675" t="n">
        <v>0</v>
      </c>
      <c r="I675" t="n">
        <v>0</v>
      </c>
      <c r="J675" t="n">
        <v>0</v>
      </c>
      <c r="K675" t="n">
        <v>0</v>
      </c>
      <c r="L675" t="n">
        <v>0</v>
      </c>
      <c r="M675" t="n">
        <v>0</v>
      </c>
      <c r="N675" t="n">
        <v>0</v>
      </c>
      <c r="O675" t="n">
        <v>0</v>
      </c>
      <c r="P675" t="n">
        <v>0</v>
      </c>
      <c r="Q675" t="n">
        <v>0</v>
      </c>
      <c r="R675" s="2" t="inlineStr"/>
    </row>
    <row r="676" ht="15" customHeight="1">
      <c r="A676" t="inlineStr">
        <is>
          <t>A 56154-2022</t>
        </is>
      </c>
      <c r="B676" s="1" t="n">
        <v>44889</v>
      </c>
      <c r="C676" s="1" t="n">
        <v>45628</v>
      </c>
      <c r="D676" t="inlineStr">
        <is>
          <t>VÄSTERBOTTENS LÄN</t>
        </is>
      </c>
      <c r="E676" t="inlineStr">
        <is>
          <t>VILHELMINA</t>
        </is>
      </c>
      <c r="G676" t="n">
        <v>30</v>
      </c>
      <c r="H676" t="n">
        <v>0</v>
      </c>
      <c r="I676" t="n">
        <v>0</v>
      </c>
      <c r="J676" t="n">
        <v>0</v>
      </c>
      <c r="K676" t="n">
        <v>0</v>
      </c>
      <c r="L676" t="n">
        <v>0</v>
      </c>
      <c r="M676" t="n">
        <v>0</v>
      </c>
      <c r="N676" t="n">
        <v>0</v>
      </c>
      <c r="O676" t="n">
        <v>0</v>
      </c>
      <c r="P676" t="n">
        <v>0</v>
      </c>
      <c r="Q676" t="n">
        <v>0</v>
      </c>
      <c r="R676" s="2" t="inlineStr"/>
    </row>
    <row r="677" ht="15" customHeight="1">
      <c r="A677" t="inlineStr">
        <is>
          <t>A 56153-2022</t>
        </is>
      </c>
      <c r="B677" s="1" t="n">
        <v>44889</v>
      </c>
      <c r="C677" s="1" t="n">
        <v>45628</v>
      </c>
      <c r="D677" t="inlineStr">
        <is>
          <t>VÄSTERBOTTENS LÄN</t>
        </is>
      </c>
      <c r="E677" t="inlineStr">
        <is>
          <t>VILHELMINA</t>
        </is>
      </c>
      <c r="G677" t="n">
        <v>31.6</v>
      </c>
      <c r="H677" t="n">
        <v>0</v>
      </c>
      <c r="I677" t="n">
        <v>0</v>
      </c>
      <c r="J677" t="n">
        <v>0</v>
      </c>
      <c r="K677" t="n">
        <v>0</v>
      </c>
      <c r="L677" t="n">
        <v>0</v>
      </c>
      <c r="M677" t="n">
        <v>0</v>
      </c>
      <c r="N677" t="n">
        <v>0</v>
      </c>
      <c r="O677" t="n">
        <v>0</v>
      </c>
      <c r="P677" t="n">
        <v>0</v>
      </c>
      <c r="Q677" t="n">
        <v>0</v>
      </c>
      <c r="R677" s="2" t="inlineStr"/>
    </row>
    <row r="678" ht="15" customHeight="1">
      <c r="A678" t="inlineStr">
        <is>
          <t>A 56173-2022</t>
        </is>
      </c>
      <c r="B678" s="1" t="n">
        <v>44889</v>
      </c>
      <c r="C678" s="1" t="n">
        <v>45628</v>
      </c>
      <c r="D678" t="inlineStr">
        <is>
          <t>VÄSTERBOTTENS LÄN</t>
        </is>
      </c>
      <c r="E678" t="inlineStr">
        <is>
          <t>VILHELMINA</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56174-2022</t>
        </is>
      </c>
      <c r="B679" s="1" t="n">
        <v>44889</v>
      </c>
      <c r="C679" s="1" t="n">
        <v>45628</v>
      </c>
      <c r="D679" t="inlineStr">
        <is>
          <t>VÄSTERBOTTENS LÄN</t>
        </is>
      </c>
      <c r="E679" t="inlineStr">
        <is>
          <t>VILHELMINA</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56179-2022</t>
        </is>
      </c>
      <c r="B680" s="1" t="n">
        <v>44889</v>
      </c>
      <c r="C680" s="1" t="n">
        <v>45628</v>
      </c>
      <c r="D680" t="inlineStr">
        <is>
          <t>VÄSTERBOTTENS LÄN</t>
        </is>
      </c>
      <c r="E680" t="inlineStr">
        <is>
          <t>VILHELMINA</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57332-2022</t>
        </is>
      </c>
      <c r="B681" s="1" t="n">
        <v>44889</v>
      </c>
      <c r="C681" s="1" t="n">
        <v>45628</v>
      </c>
      <c r="D681" t="inlineStr">
        <is>
          <t>VÄSTERBOTTENS LÄN</t>
        </is>
      </c>
      <c r="E681" t="inlineStr">
        <is>
          <t>VILHELMINA</t>
        </is>
      </c>
      <c r="G681" t="n">
        <v>5.1</v>
      </c>
      <c r="H681" t="n">
        <v>0</v>
      </c>
      <c r="I681" t="n">
        <v>0</v>
      </c>
      <c r="J681" t="n">
        <v>0</v>
      </c>
      <c r="K681" t="n">
        <v>0</v>
      </c>
      <c r="L681" t="n">
        <v>0</v>
      </c>
      <c r="M681" t="n">
        <v>0</v>
      </c>
      <c r="N681" t="n">
        <v>0</v>
      </c>
      <c r="O681" t="n">
        <v>0</v>
      </c>
      <c r="P681" t="n">
        <v>0</v>
      </c>
      <c r="Q681" t="n">
        <v>0</v>
      </c>
      <c r="R681" s="2" t="inlineStr"/>
    </row>
    <row r="682" ht="15" customHeight="1">
      <c r="A682" t="inlineStr">
        <is>
          <t>A 57324-2022</t>
        </is>
      </c>
      <c r="B682" s="1" t="n">
        <v>44889</v>
      </c>
      <c r="C682" s="1" t="n">
        <v>45628</v>
      </c>
      <c r="D682" t="inlineStr">
        <is>
          <t>VÄSTERBOTTENS LÄN</t>
        </is>
      </c>
      <c r="E682" t="inlineStr">
        <is>
          <t>VILHELMINA</t>
        </is>
      </c>
      <c r="G682" t="n">
        <v>1.7</v>
      </c>
      <c r="H682" t="n">
        <v>0</v>
      </c>
      <c r="I682" t="n">
        <v>0</v>
      </c>
      <c r="J682" t="n">
        <v>0</v>
      </c>
      <c r="K682" t="n">
        <v>0</v>
      </c>
      <c r="L682" t="n">
        <v>0</v>
      </c>
      <c r="M682" t="n">
        <v>0</v>
      </c>
      <c r="N682" t="n">
        <v>0</v>
      </c>
      <c r="O682" t="n">
        <v>0</v>
      </c>
      <c r="P682" t="n">
        <v>0</v>
      </c>
      <c r="Q682" t="n">
        <v>0</v>
      </c>
      <c r="R682" s="2" t="inlineStr"/>
    </row>
    <row r="683" ht="15" customHeight="1">
      <c r="A683" t="inlineStr">
        <is>
          <t>A 57328-2022</t>
        </is>
      </c>
      <c r="B683" s="1" t="n">
        <v>44889</v>
      </c>
      <c r="C683" s="1" t="n">
        <v>45628</v>
      </c>
      <c r="D683" t="inlineStr">
        <is>
          <t>VÄSTERBOTTENS LÄN</t>
        </is>
      </c>
      <c r="E683" t="inlineStr">
        <is>
          <t>VILHELMINA</t>
        </is>
      </c>
      <c r="G683" t="n">
        <v>9.5</v>
      </c>
      <c r="H683" t="n">
        <v>0</v>
      </c>
      <c r="I683" t="n">
        <v>0</v>
      </c>
      <c r="J683" t="n">
        <v>0</v>
      </c>
      <c r="K683" t="n">
        <v>0</v>
      </c>
      <c r="L683" t="n">
        <v>0</v>
      </c>
      <c r="M683" t="n">
        <v>0</v>
      </c>
      <c r="N683" t="n">
        <v>0</v>
      </c>
      <c r="O683" t="n">
        <v>0</v>
      </c>
      <c r="P683" t="n">
        <v>0</v>
      </c>
      <c r="Q683" t="n">
        <v>0</v>
      </c>
      <c r="R683" s="2" t="inlineStr"/>
    </row>
    <row r="684" ht="15" customHeight="1">
      <c r="A684" t="inlineStr">
        <is>
          <t>A 57339-2022</t>
        </is>
      </c>
      <c r="B684" s="1" t="n">
        <v>44889</v>
      </c>
      <c r="C684" s="1" t="n">
        <v>45628</v>
      </c>
      <c r="D684" t="inlineStr">
        <is>
          <t>VÄSTERBOTTENS LÄN</t>
        </is>
      </c>
      <c r="E684" t="inlineStr">
        <is>
          <t>VILHELMINA</t>
        </is>
      </c>
      <c r="G684" t="n">
        <v>33.1</v>
      </c>
      <c r="H684" t="n">
        <v>0</v>
      </c>
      <c r="I684" t="n">
        <v>0</v>
      </c>
      <c r="J684" t="n">
        <v>0</v>
      </c>
      <c r="K684" t="n">
        <v>0</v>
      </c>
      <c r="L684" t="n">
        <v>0</v>
      </c>
      <c r="M684" t="n">
        <v>0</v>
      </c>
      <c r="N684" t="n">
        <v>0</v>
      </c>
      <c r="O684" t="n">
        <v>0</v>
      </c>
      <c r="P684" t="n">
        <v>0</v>
      </c>
      <c r="Q684" t="n">
        <v>0</v>
      </c>
      <c r="R684" s="2" t="inlineStr"/>
    </row>
    <row r="685" ht="15" customHeight="1">
      <c r="A685" t="inlineStr">
        <is>
          <t>A 56408-2022</t>
        </is>
      </c>
      <c r="B685" s="1" t="n">
        <v>44890</v>
      </c>
      <c r="C685" s="1" t="n">
        <v>45628</v>
      </c>
      <c r="D685" t="inlineStr">
        <is>
          <t>VÄSTERBOTTENS LÄN</t>
        </is>
      </c>
      <c r="E685" t="inlineStr">
        <is>
          <t>VILHELMINA</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56396-2022</t>
        </is>
      </c>
      <c r="B686" s="1" t="n">
        <v>44890</v>
      </c>
      <c r="C686" s="1" t="n">
        <v>45628</v>
      </c>
      <c r="D686" t="inlineStr">
        <is>
          <t>VÄSTERBOTTENS LÄN</t>
        </is>
      </c>
      <c r="E686" t="inlineStr">
        <is>
          <t>VILHELMINA</t>
        </is>
      </c>
      <c r="G686" t="n">
        <v>1.6</v>
      </c>
      <c r="H686" t="n">
        <v>0</v>
      </c>
      <c r="I686" t="n">
        <v>0</v>
      </c>
      <c r="J686" t="n">
        <v>0</v>
      </c>
      <c r="K686" t="n">
        <v>0</v>
      </c>
      <c r="L686" t="n">
        <v>0</v>
      </c>
      <c r="M686" t="n">
        <v>0</v>
      </c>
      <c r="N686" t="n">
        <v>0</v>
      </c>
      <c r="O686" t="n">
        <v>0</v>
      </c>
      <c r="P686" t="n">
        <v>0</v>
      </c>
      <c r="Q686" t="n">
        <v>0</v>
      </c>
      <c r="R686" s="2" t="inlineStr"/>
    </row>
    <row r="687" ht="15" customHeight="1">
      <c r="A687" t="inlineStr">
        <is>
          <t>A 56405-2022</t>
        </is>
      </c>
      <c r="B687" s="1" t="n">
        <v>44890</v>
      </c>
      <c r="C687" s="1" t="n">
        <v>45628</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56409-2022</t>
        </is>
      </c>
      <c r="B688" s="1" t="n">
        <v>44890</v>
      </c>
      <c r="C688" s="1" t="n">
        <v>45628</v>
      </c>
      <c r="D688" t="inlineStr">
        <is>
          <t>VÄSTERBOTTENS LÄN</t>
        </is>
      </c>
      <c r="E688" t="inlineStr">
        <is>
          <t>VILHELMINA</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56407-2022</t>
        </is>
      </c>
      <c r="B689" s="1" t="n">
        <v>44890</v>
      </c>
      <c r="C689" s="1" t="n">
        <v>45628</v>
      </c>
      <c r="D689" t="inlineStr">
        <is>
          <t>VÄSTERBOTTENS LÄN</t>
        </is>
      </c>
      <c r="E689" t="inlineStr">
        <is>
          <t>VILHELMINA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56406-2022</t>
        </is>
      </c>
      <c r="B690" s="1" t="n">
        <v>44890</v>
      </c>
      <c r="C690" s="1" t="n">
        <v>45628</v>
      </c>
      <c r="D690" t="inlineStr">
        <is>
          <t>VÄSTERBOTTENS LÄN</t>
        </is>
      </c>
      <c r="E690" t="inlineStr">
        <is>
          <t>VILHELMINA</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56733-2022</t>
        </is>
      </c>
      <c r="B691" s="1" t="n">
        <v>44893</v>
      </c>
      <c r="C691" s="1" t="n">
        <v>45628</v>
      </c>
      <c r="D691" t="inlineStr">
        <is>
          <t>VÄSTERBOTTENS LÄN</t>
        </is>
      </c>
      <c r="E691" t="inlineStr">
        <is>
          <t>VILHELMINA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57586-2022</t>
        </is>
      </c>
      <c r="B692" s="1" t="n">
        <v>44896</v>
      </c>
      <c r="C692" s="1" t="n">
        <v>45628</v>
      </c>
      <c r="D692" t="inlineStr">
        <is>
          <t>VÄSTERBOTTENS LÄN</t>
        </is>
      </c>
      <c r="E692" t="inlineStr">
        <is>
          <t>VILHELMINA</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58938-2022</t>
        </is>
      </c>
      <c r="B693" s="1" t="n">
        <v>44896</v>
      </c>
      <c r="C693" s="1" t="n">
        <v>45628</v>
      </c>
      <c r="D693" t="inlineStr">
        <is>
          <t>VÄSTERBOTTENS LÄN</t>
        </is>
      </c>
      <c r="E693" t="inlineStr">
        <is>
          <t>VILHELMINA</t>
        </is>
      </c>
      <c r="G693" t="n">
        <v>4.1</v>
      </c>
      <c r="H693" t="n">
        <v>0</v>
      </c>
      <c r="I693" t="n">
        <v>0</v>
      </c>
      <c r="J693" t="n">
        <v>0</v>
      </c>
      <c r="K693" t="n">
        <v>0</v>
      </c>
      <c r="L693" t="n">
        <v>0</v>
      </c>
      <c r="M693" t="n">
        <v>0</v>
      </c>
      <c r="N693" t="n">
        <v>0</v>
      </c>
      <c r="O693" t="n">
        <v>0</v>
      </c>
      <c r="P693" t="n">
        <v>0</v>
      </c>
      <c r="Q693" t="n">
        <v>0</v>
      </c>
      <c r="R693" s="2" t="inlineStr"/>
    </row>
    <row r="694" ht="15" customHeight="1">
      <c r="A694" t="inlineStr">
        <is>
          <t>A 58207-2022</t>
        </is>
      </c>
      <c r="B694" s="1" t="n">
        <v>44901</v>
      </c>
      <c r="C694" s="1" t="n">
        <v>45628</v>
      </c>
      <c r="D694" t="inlineStr">
        <is>
          <t>VÄSTERBOTTENS LÄN</t>
        </is>
      </c>
      <c r="E694" t="inlineStr">
        <is>
          <t>VILHELMINA</t>
        </is>
      </c>
      <c r="G694" t="n">
        <v>143.2</v>
      </c>
      <c r="H694" t="n">
        <v>0</v>
      </c>
      <c r="I694" t="n">
        <v>0</v>
      </c>
      <c r="J694" t="n">
        <v>0</v>
      </c>
      <c r="K694" t="n">
        <v>0</v>
      </c>
      <c r="L694" t="n">
        <v>0</v>
      </c>
      <c r="M694" t="n">
        <v>0</v>
      </c>
      <c r="N694" t="n">
        <v>0</v>
      </c>
      <c r="O694" t="n">
        <v>0</v>
      </c>
      <c r="P694" t="n">
        <v>0</v>
      </c>
      <c r="Q694" t="n">
        <v>0</v>
      </c>
      <c r="R694" s="2" t="inlineStr"/>
    </row>
    <row r="695" ht="15" customHeight="1">
      <c r="A695" t="inlineStr">
        <is>
          <t>A 58720-2022</t>
        </is>
      </c>
      <c r="B695" s="1" t="n">
        <v>44902</v>
      </c>
      <c r="C695" s="1" t="n">
        <v>45628</v>
      </c>
      <c r="D695" t="inlineStr">
        <is>
          <t>VÄSTERBOTTENS LÄN</t>
        </is>
      </c>
      <c r="E695" t="inlineStr">
        <is>
          <t>VILHELMINA</t>
        </is>
      </c>
      <c r="G695" t="n">
        <v>6.7</v>
      </c>
      <c r="H695" t="n">
        <v>0</v>
      </c>
      <c r="I695" t="n">
        <v>0</v>
      </c>
      <c r="J695" t="n">
        <v>0</v>
      </c>
      <c r="K695" t="n">
        <v>0</v>
      </c>
      <c r="L695" t="n">
        <v>0</v>
      </c>
      <c r="M695" t="n">
        <v>0</v>
      </c>
      <c r="N695" t="n">
        <v>0</v>
      </c>
      <c r="O695" t="n">
        <v>0</v>
      </c>
      <c r="P695" t="n">
        <v>0</v>
      </c>
      <c r="Q695" t="n">
        <v>0</v>
      </c>
      <c r="R695" s="2" t="inlineStr"/>
    </row>
    <row r="696" ht="15" customHeight="1">
      <c r="A696" t="inlineStr">
        <is>
          <t>A 58739-2022</t>
        </is>
      </c>
      <c r="B696" s="1" t="n">
        <v>44902</v>
      </c>
      <c r="C696" s="1" t="n">
        <v>45628</v>
      </c>
      <c r="D696" t="inlineStr">
        <is>
          <t>VÄSTERBOTTENS LÄN</t>
        </is>
      </c>
      <c r="E696" t="inlineStr">
        <is>
          <t>VILHELMINA</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59030-2022</t>
        </is>
      </c>
      <c r="B697" s="1" t="n">
        <v>44903</v>
      </c>
      <c r="C697" s="1" t="n">
        <v>45628</v>
      </c>
      <c r="D697" t="inlineStr">
        <is>
          <t>VÄSTERBOTTENS LÄN</t>
        </is>
      </c>
      <c r="E697" t="inlineStr">
        <is>
          <t>VILHELMINA</t>
        </is>
      </c>
      <c r="G697" t="n">
        <v>17.8</v>
      </c>
      <c r="H697" t="n">
        <v>0</v>
      </c>
      <c r="I697" t="n">
        <v>0</v>
      </c>
      <c r="J697" t="n">
        <v>0</v>
      </c>
      <c r="K697" t="n">
        <v>0</v>
      </c>
      <c r="L697" t="n">
        <v>0</v>
      </c>
      <c r="M697" t="n">
        <v>0</v>
      </c>
      <c r="N697" t="n">
        <v>0</v>
      </c>
      <c r="O697" t="n">
        <v>0</v>
      </c>
      <c r="P697" t="n">
        <v>0</v>
      </c>
      <c r="Q697" t="n">
        <v>0</v>
      </c>
      <c r="R697" s="2" t="inlineStr"/>
    </row>
    <row r="698" ht="15" customHeight="1">
      <c r="A698" t="inlineStr">
        <is>
          <t>A 60227-2022</t>
        </is>
      </c>
      <c r="B698" s="1" t="n">
        <v>44903</v>
      </c>
      <c r="C698" s="1" t="n">
        <v>45628</v>
      </c>
      <c r="D698" t="inlineStr">
        <is>
          <t>VÄSTERBOTTENS LÄN</t>
        </is>
      </c>
      <c r="E698" t="inlineStr">
        <is>
          <t>VILHELMINA</t>
        </is>
      </c>
      <c r="G698" t="n">
        <v>11</v>
      </c>
      <c r="H698" t="n">
        <v>0</v>
      </c>
      <c r="I698" t="n">
        <v>0</v>
      </c>
      <c r="J698" t="n">
        <v>0</v>
      </c>
      <c r="K698" t="n">
        <v>0</v>
      </c>
      <c r="L698" t="n">
        <v>0</v>
      </c>
      <c r="M698" t="n">
        <v>0</v>
      </c>
      <c r="N698" t="n">
        <v>0</v>
      </c>
      <c r="O698" t="n">
        <v>0</v>
      </c>
      <c r="P698" t="n">
        <v>0</v>
      </c>
      <c r="Q698" t="n">
        <v>0</v>
      </c>
      <c r="R698" s="2" t="inlineStr"/>
    </row>
    <row r="699" ht="15" customHeight="1">
      <c r="A699" t="inlineStr">
        <is>
          <t>A 60137-2022</t>
        </is>
      </c>
      <c r="B699" s="1" t="n">
        <v>44909</v>
      </c>
      <c r="C699" s="1" t="n">
        <v>45628</v>
      </c>
      <c r="D699" t="inlineStr">
        <is>
          <t>VÄSTERBOTTENS LÄN</t>
        </is>
      </c>
      <c r="E699" t="inlineStr">
        <is>
          <t>VILHELMINA</t>
        </is>
      </c>
      <c r="G699" t="n">
        <v>3.2</v>
      </c>
      <c r="H699" t="n">
        <v>0</v>
      </c>
      <c r="I699" t="n">
        <v>0</v>
      </c>
      <c r="J699" t="n">
        <v>0</v>
      </c>
      <c r="K699" t="n">
        <v>0</v>
      </c>
      <c r="L699" t="n">
        <v>0</v>
      </c>
      <c r="M699" t="n">
        <v>0</v>
      </c>
      <c r="N699" t="n">
        <v>0</v>
      </c>
      <c r="O699" t="n">
        <v>0</v>
      </c>
      <c r="P699" t="n">
        <v>0</v>
      </c>
      <c r="Q699" t="n">
        <v>0</v>
      </c>
      <c r="R699" s="2" t="inlineStr"/>
    </row>
    <row r="700" ht="15" customHeight="1">
      <c r="A700" t="inlineStr">
        <is>
          <t>A 61270-2022</t>
        </is>
      </c>
      <c r="B700" s="1" t="n">
        <v>44909</v>
      </c>
      <c r="C700" s="1" t="n">
        <v>45628</v>
      </c>
      <c r="D700" t="inlineStr">
        <is>
          <t>VÄSTERBOTTENS LÄN</t>
        </is>
      </c>
      <c r="E700" t="inlineStr">
        <is>
          <t>VILHELMINA</t>
        </is>
      </c>
      <c r="G700" t="n">
        <v>8.9</v>
      </c>
      <c r="H700" t="n">
        <v>0</v>
      </c>
      <c r="I700" t="n">
        <v>0</v>
      </c>
      <c r="J700" t="n">
        <v>0</v>
      </c>
      <c r="K700" t="n">
        <v>0</v>
      </c>
      <c r="L700" t="n">
        <v>0</v>
      </c>
      <c r="M700" t="n">
        <v>0</v>
      </c>
      <c r="N700" t="n">
        <v>0</v>
      </c>
      <c r="O700" t="n">
        <v>0</v>
      </c>
      <c r="P700" t="n">
        <v>0</v>
      </c>
      <c r="Q700" t="n">
        <v>0</v>
      </c>
      <c r="R700" s="2" t="inlineStr"/>
    </row>
    <row r="701" ht="15" customHeight="1">
      <c r="A701" t="inlineStr">
        <is>
          <t>A 60682-2022</t>
        </is>
      </c>
      <c r="B701" s="1" t="n">
        <v>44911</v>
      </c>
      <c r="C701" s="1" t="n">
        <v>45628</v>
      </c>
      <c r="D701" t="inlineStr">
        <is>
          <t>VÄSTERBOTTENS LÄN</t>
        </is>
      </c>
      <c r="E701" t="inlineStr">
        <is>
          <t>VILHELMINA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60549-2022</t>
        </is>
      </c>
      <c r="B702" s="1" t="n">
        <v>44911</v>
      </c>
      <c r="C702" s="1" t="n">
        <v>45628</v>
      </c>
      <c r="D702" t="inlineStr">
        <is>
          <t>VÄSTERBOTTENS LÄN</t>
        </is>
      </c>
      <c r="E702" t="inlineStr">
        <is>
          <t>VILHELMINA</t>
        </is>
      </c>
      <c r="G702" t="n">
        <v>3.8</v>
      </c>
      <c r="H702" t="n">
        <v>0</v>
      </c>
      <c r="I702" t="n">
        <v>0</v>
      </c>
      <c r="J702" t="n">
        <v>0</v>
      </c>
      <c r="K702" t="n">
        <v>0</v>
      </c>
      <c r="L702" t="n">
        <v>0</v>
      </c>
      <c r="M702" t="n">
        <v>0</v>
      </c>
      <c r="N702" t="n">
        <v>0</v>
      </c>
      <c r="O702" t="n">
        <v>0</v>
      </c>
      <c r="P702" t="n">
        <v>0</v>
      </c>
      <c r="Q702" t="n">
        <v>0</v>
      </c>
      <c r="R702" s="2" t="inlineStr"/>
    </row>
    <row r="703" ht="15" customHeight="1">
      <c r="A703" t="inlineStr">
        <is>
          <t>A 61048-2022</t>
        </is>
      </c>
      <c r="B703" s="1" t="n">
        <v>44914</v>
      </c>
      <c r="C703" s="1" t="n">
        <v>45628</v>
      </c>
      <c r="D703" t="inlineStr">
        <is>
          <t>VÄSTERBOTTENS LÄN</t>
        </is>
      </c>
      <c r="E703" t="inlineStr">
        <is>
          <t>VILHELMINA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61668-2022</t>
        </is>
      </c>
      <c r="B704" s="1" t="n">
        <v>44917</v>
      </c>
      <c r="C704" s="1" t="n">
        <v>45628</v>
      </c>
      <c r="D704" t="inlineStr">
        <is>
          <t>VÄSTERBOTTENS LÄN</t>
        </is>
      </c>
      <c r="E704" t="inlineStr">
        <is>
          <t>VILHELMINA</t>
        </is>
      </c>
      <c r="F704" t="inlineStr">
        <is>
          <t>Sveaskog</t>
        </is>
      </c>
      <c r="G704" t="n">
        <v>5.8</v>
      </c>
      <c r="H704" t="n">
        <v>0</v>
      </c>
      <c r="I704" t="n">
        <v>0</v>
      </c>
      <c r="J704" t="n">
        <v>0</v>
      </c>
      <c r="K704" t="n">
        <v>0</v>
      </c>
      <c r="L704" t="n">
        <v>0</v>
      </c>
      <c r="M704" t="n">
        <v>0</v>
      </c>
      <c r="N704" t="n">
        <v>0</v>
      </c>
      <c r="O704" t="n">
        <v>0</v>
      </c>
      <c r="P704" t="n">
        <v>0</v>
      </c>
      <c r="Q704" t="n">
        <v>0</v>
      </c>
      <c r="R704" s="2" t="inlineStr"/>
    </row>
    <row r="705" ht="15" customHeight="1">
      <c r="A705" t="inlineStr">
        <is>
          <t>A 61695-2022</t>
        </is>
      </c>
      <c r="B705" s="1" t="n">
        <v>44917</v>
      </c>
      <c r="C705" s="1" t="n">
        <v>45628</v>
      </c>
      <c r="D705" t="inlineStr">
        <is>
          <t>VÄSTERBOTTENS LÄN</t>
        </is>
      </c>
      <c r="E705" t="inlineStr">
        <is>
          <t>VILHELMINA</t>
        </is>
      </c>
      <c r="F705" t="inlineStr">
        <is>
          <t>Sveaskog</t>
        </is>
      </c>
      <c r="G705" t="n">
        <v>7.9</v>
      </c>
      <c r="H705" t="n">
        <v>0</v>
      </c>
      <c r="I705" t="n">
        <v>0</v>
      </c>
      <c r="J705" t="n">
        <v>0</v>
      </c>
      <c r="K705" t="n">
        <v>0</v>
      </c>
      <c r="L705" t="n">
        <v>0</v>
      </c>
      <c r="M705" t="n">
        <v>0</v>
      </c>
      <c r="N705" t="n">
        <v>0</v>
      </c>
      <c r="O705" t="n">
        <v>0</v>
      </c>
      <c r="P705" t="n">
        <v>0</v>
      </c>
      <c r="Q705" t="n">
        <v>0</v>
      </c>
      <c r="R705" s="2" t="inlineStr"/>
    </row>
    <row r="706" ht="15" customHeight="1">
      <c r="A706" t="inlineStr">
        <is>
          <t>A 62630-2022</t>
        </is>
      </c>
      <c r="B706" s="1" t="n">
        <v>44917</v>
      </c>
      <c r="C706" s="1" t="n">
        <v>45628</v>
      </c>
      <c r="D706" t="inlineStr">
        <is>
          <t>VÄSTERBOTTENS LÄN</t>
        </is>
      </c>
      <c r="E706" t="inlineStr">
        <is>
          <t>VILHELMINA</t>
        </is>
      </c>
      <c r="G706" t="n">
        <v>0.9</v>
      </c>
      <c r="H706" t="n">
        <v>0</v>
      </c>
      <c r="I706" t="n">
        <v>0</v>
      </c>
      <c r="J706" t="n">
        <v>0</v>
      </c>
      <c r="K706" t="n">
        <v>0</v>
      </c>
      <c r="L706" t="n">
        <v>0</v>
      </c>
      <c r="M706" t="n">
        <v>0</v>
      </c>
      <c r="N706" t="n">
        <v>0</v>
      </c>
      <c r="O706" t="n">
        <v>0</v>
      </c>
      <c r="P706" t="n">
        <v>0</v>
      </c>
      <c r="Q706" t="n">
        <v>0</v>
      </c>
      <c r="R706" s="2" t="inlineStr"/>
    </row>
    <row r="707" ht="15" customHeight="1">
      <c r="A707" t="inlineStr">
        <is>
          <t>A 62543-2022</t>
        </is>
      </c>
      <c r="B707" s="1" t="n">
        <v>44917</v>
      </c>
      <c r="C707" s="1" t="n">
        <v>45628</v>
      </c>
      <c r="D707" t="inlineStr">
        <is>
          <t>VÄSTERBOTTENS LÄN</t>
        </is>
      </c>
      <c r="E707" t="inlineStr">
        <is>
          <t>VILHELMINA</t>
        </is>
      </c>
      <c r="G707" t="n">
        <v>8.1</v>
      </c>
      <c r="H707" t="n">
        <v>0</v>
      </c>
      <c r="I707" t="n">
        <v>0</v>
      </c>
      <c r="J707" t="n">
        <v>0</v>
      </c>
      <c r="K707" t="n">
        <v>0</v>
      </c>
      <c r="L707" t="n">
        <v>0</v>
      </c>
      <c r="M707" t="n">
        <v>0</v>
      </c>
      <c r="N707" t="n">
        <v>0</v>
      </c>
      <c r="O707" t="n">
        <v>0</v>
      </c>
      <c r="P707" t="n">
        <v>0</v>
      </c>
      <c r="Q707" t="n">
        <v>0</v>
      </c>
      <c r="R707" s="2" t="inlineStr"/>
    </row>
    <row r="708" ht="15" customHeight="1">
      <c r="A708" t="inlineStr">
        <is>
          <t>A 62110-2022</t>
        </is>
      </c>
      <c r="B708" s="1" t="n">
        <v>44920</v>
      </c>
      <c r="C708" s="1" t="n">
        <v>45628</v>
      </c>
      <c r="D708" t="inlineStr">
        <is>
          <t>VÄSTERBOTTENS LÄN</t>
        </is>
      </c>
      <c r="E708" t="inlineStr">
        <is>
          <t>VILHELMINA</t>
        </is>
      </c>
      <c r="G708" t="n">
        <v>4.5</v>
      </c>
      <c r="H708" t="n">
        <v>0</v>
      </c>
      <c r="I708" t="n">
        <v>0</v>
      </c>
      <c r="J708" t="n">
        <v>0</v>
      </c>
      <c r="K708" t="n">
        <v>0</v>
      </c>
      <c r="L708" t="n">
        <v>0</v>
      </c>
      <c r="M708" t="n">
        <v>0</v>
      </c>
      <c r="N708" t="n">
        <v>0</v>
      </c>
      <c r="O708" t="n">
        <v>0</v>
      </c>
      <c r="P708" t="n">
        <v>0</v>
      </c>
      <c r="Q708" t="n">
        <v>0</v>
      </c>
      <c r="R708" s="2" t="inlineStr"/>
    </row>
    <row r="709" ht="15" customHeight="1">
      <c r="A709" t="inlineStr">
        <is>
          <t>A 62404-2022</t>
        </is>
      </c>
      <c r="B709" s="1" t="n">
        <v>44923</v>
      </c>
      <c r="C709" s="1" t="n">
        <v>45628</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62405-2022</t>
        </is>
      </c>
      <c r="B710" s="1" t="n">
        <v>44923</v>
      </c>
      <c r="C710" s="1" t="n">
        <v>45628</v>
      </c>
      <c r="D710" t="inlineStr">
        <is>
          <t>VÄSTERBOTTENS LÄN</t>
        </is>
      </c>
      <c r="E710" t="inlineStr">
        <is>
          <t>VILHELMINA</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402-2023</t>
        </is>
      </c>
      <c r="B711" s="1" t="n">
        <v>44923</v>
      </c>
      <c r="C711" s="1" t="n">
        <v>45628</v>
      </c>
      <c r="D711" t="inlineStr">
        <is>
          <t>VÄSTERBOTTENS LÄN</t>
        </is>
      </c>
      <c r="E711" t="inlineStr">
        <is>
          <t>VILHELMINA</t>
        </is>
      </c>
      <c r="G711" t="n">
        <v>14.7</v>
      </c>
      <c r="H711" t="n">
        <v>0</v>
      </c>
      <c r="I711" t="n">
        <v>0</v>
      </c>
      <c r="J711" t="n">
        <v>0</v>
      </c>
      <c r="K711" t="n">
        <v>0</v>
      </c>
      <c r="L711" t="n">
        <v>0</v>
      </c>
      <c r="M711" t="n">
        <v>0</v>
      </c>
      <c r="N711" t="n">
        <v>0</v>
      </c>
      <c r="O711" t="n">
        <v>0</v>
      </c>
      <c r="P711" t="n">
        <v>0</v>
      </c>
      <c r="Q711" t="n">
        <v>0</v>
      </c>
      <c r="R711" s="2" t="inlineStr"/>
    </row>
    <row r="712" ht="15" customHeight="1">
      <c r="A712" t="inlineStr">
        <is>
          <t>A 288-2023</t>
        </is>
      </c>
      <c r="B712" s="1" t="n">
        <v>44928</v>
      </c>
      <c r="C712" s="1" t="n">
        <v>45628</v>
      </c>
      <c r="D712" t="inlineStr">
        <is>
          <t>VÄSTERBOTTENS LÄN</t>
        </is>
      </c>
      <c r="E712" t="inlineStr">
        <is>
          <t>VILHELMINA</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701-2023</t>
        </is>
      </c>
      <c r="B713" s="1" t="n">
        <v>44930</v>
      </c>
      <c r="C713" s="1" t="n">
        <v>45628</v>
      </c>
      <c r="D713" t="inlineStr">
        <is>
          <t>VÄSTERBOTTENS LÄN</t>
        </is>
      </c>
      <c r="E713" t="inlineStr">
        <is>
          <t>VILHELMINA</t>
        </is>
      </c>
      <c r="G713" t="n">
        <v>11.5</v>
      </c>
      <c r="H713" t="n">
        <v>0</v>
      </c>
      <c r="I713" t="n">
        <v>0</v>
      </c>
      <c r="J713" t="n">
        <v>0</v>
      </c>
      <c r="K713" t="n">
        <v>0</v>
      </c>
      <c r="L713" t="n">
        <v>0</v>
      </c>
      <c r="M713" t="n">
        <v>0</v>
      </c>
      <c r="N713" t="n">
        <v>0</v>
      </c>
      <c r="O713" t="n">
        <v>0</v>
      </c>
      <c r="P713" t="n">
        <v>0</v>
      </c>
      <c r="Q713" t="n">
        <v>0</v>
      </c>
      <c r="R713" s="2" t="inlineStr"/>
    </row>
    <row r="714" ht="15" customHeight="1">
      <c r="A714" t="inlineStr">
        <is>
          <t>A 1035-2023</t>
        </is>
      </c>
      <c r="B714" s="1" t="n">
        <v>44935</v>
      </c>
      <c r="C714" s="1" t="n">
        <v>45628</v>
      </c>
      <c r="D714" t="inlineStr">
        <is>
          <t>VÄSTERBOTTENS LÄN</t>
        </is>
      </c>
      <c r="E714" t="inlineStr">
        <is>
          <t>VILHELMINA</t>
        </is>
      </c>
      <c r="G714" t="n">
        <v>10.4</v>
      </c>
      <c r="H714" t="n">
        <v>0</v>
      </c>
      <c r="I714" t="n">
        <v>0</v>
      </c>
      <c r="J714" t="n">
        <v>0</v>
      </c>
      <c r="K714" t="n">
        <v>0</v>
      </c>
      <c r="L714" t="n">
        <v>0</v>
      </c>
      <c r="M714" t="n">
        <v>0</v>
      </c>
      <c r="N714" t="n">
        <v>0</v>
      </c>
      <c r="O714" t="n">
        <v>0</v>
      </c>
      <c r="P714" t="n">
        <v>0</v>
      </c>
      <c r="Q714" t="n">
        <v>0</v>
      </c>
      <c r="R714" s="2" t="inlineStr"/>
    </row>
    <row r="715" ht="15" customHeight="1">
      <c r="A715" t="inlineStr">
        <is>
          <t>A 1776-2023</t>
        </is>
      </c>
      <c r="B715" s="1" t="n">
        <v>44936</v>
      </c>
      <c r="C715" s="1" t="n">
        <v>45628</v>
      </c>
      <c r="D715" t="inlineStr">
        <is>
          <t>VÄSTERBOTTENS LÄN</t>
        </is>
      </c>
      <c r="E715" t="inlineStr">
        <is>
          <t>VILHELMINA</t>
        </is>
      </c>
      <c r="F715" t="inlineStr">
        <is>
          <t>Övriga Aktiebolag</t>
        </is>
      </c>
      <c r="G715" t="n">
        <v>18.4</v>
      </c>
      <c r="H715" t="n">
        <v>0</v>
      </c>
      <c r="I715" t="n">
        <v>0</v>
      </c>
      <c r="J715" t="n">
        <v>0</v>
      </c>
      <c r="K715" t="n">
        <v>0</v>
      </c>
      <c r="L715" t="n">
        <v>0</v>
      </c>
      <c r="M715" t="n">
        <v>0</v>
      </c>
      <c r="N715" t="n">
        <v>0</v>
      </c>
      <c r="O715" t="n">
        <v>0</v>
      </c>
      <c r="P715" t="n">
        <v>0</v>
      </c>
      <c r="Q715" t="n">
        <v>0</v>
      </c>
      <c r="R715" s="2" t="inlineStr"/>
    </row>
    <row r="716" ht="15" customHeight="1">
      <c r="A716" t="inlineStr">
        <is>
          <t>A 1763-2023</t>
        </is>
      </c>
      <c r="B716" s="1" t="n">
        <v>44938</v>
      </c>
      <c r="C716" s="1" t="n">
        <v>45628</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1766-2023</t>
        </is>
      </c>
      <c r="B717" s="1" t="n">
        <v>44938</v>
      </c>
      <c r="C717" s="1" t="n">
        <v>45628</v>
      </c>
      <c r="D717" t="inlineStr">
        <is>
          <t>VÄSTERBOTTENS LÄN</t>
        </is>
      </c>
      <c r="E717" t="inlineStr">
        <is>
          <t>VILHELMINA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2031-2023</t>
        </is>
      </c>
      <c r="B718" s="1" t="n">
        <v>44939</v>
      </c>
      <c r="C718" s="1" t="n">
        <v>45628</v>
      </c>
      <c r="D718" t="inlineStr">
        <is>
          <t>VÄSTERBOTTENS LÄN</t>
        </is>
      </c>
      <c r="E718" t="inlineStr">
        <is>
          <t>VILHELMINA</t>
        </is>
      </c>
      <c r="F718" t="inlineStr">
        <is>
          <t>Sveaskog</t>
        </is>
      </c>
      <c r="G718" t="n">
        <v>6.5</v>
      </c>
      <c r="H718" t="n">
        <v>0</v>
      </c>
      <c r="I718" t="n">
        <v>0</v>
      </c>
      <c r="J718" t="n">
        <v>0</v>
      </c>
      <c r="K718" t="n">
        <v>0</v>
      </c>
      <c r="L718" t="n">
        <v>0</v>
      </c>
      <c r="M718" t="n">
        <v>0</v>
      </c>
      <c r="N718" t="n">
        <v>0</v>
      </c>
      <c r="O718" t="n">
        <v>0</v>
      </c>
      <c r="P718" t="n">
        <v>0</v>
      </c>
      <c r="Q718" t="n">
        <v>0</v>
      </c>
      <c r="R718" s="2" t="inlineStr"/>
    </row>
    <row r="719" ht="15" customHeight="1">
      <c r="A719" t="inlineStr">
        <is>
          <t>A 2074-2023</t>
        </is>
      </c>
      <c r="B719" s="1" t="n">
        <v>44939</v>
      </c>
      <c r="C719" s="1" t="n">
        <v>45628</v>
      </c>
      <c r="D719" t="inlineStr">
        <is>
          <t>VÄSTERBOTTENS LÄN</t>
        </is>
      </c>
      <c r="E719" t="inlineStr">
        <is>
          <t>VILHELMINA</t>
        </is>
      </c>
      <c r="G719" t="n">
        <v>6.2</v>
      </c>
      <c r="H719" t="n">
        <v>0</v>
      </c>
      <c r="I719" t="n">
        <v>0</v>
      </c>
      <c r="J719" t="n">
        <v>0</v>
      </c>
      <c r="K719" t="n">
        <v>0</v>
      </c>
      <c r="L719" t="n">
        <v>0</v>
      </c>
      <c r="M719" t="n">
        <v>0</v>
      </c>
      <c r="N719" t="n">
        <v>0</v>
      </c>
      <c r="O719" t="n">
        <v>0</v>
      </c>
      <c r="P719" t="n">
        <v>0</v>
      </c>
      <c r="Q719" t="n">
        <v>0</v>
      </c>
      <c r="R719" s="2" t="inlineStr"/>
    </row>
    <row r="720" ht="15" customHeight="1">
      <c r="A720" t="inlineStr">
        <is>
          <t>A 2054-2023</t>
        </is>
      </c>
      <c r="B720" s="1" t="n">
        <v>44939</v>
      </c>
      <c r="C720" s="1" t="n">
        <v>45628</v>
      </c>
      <c r="D720" t="inlineStr">
        <is>
          <t>VÄSTERBOTTENS LÄN</t>
        </is>
      </c>
      <c r="E720" t="inlineStr">
        <is>
          <t>VILHELMINA</t>
        </is>
      </c>
      <c r="F720" t="inlineStr">
        <is>
          <t>Sveaskog</t>
        </is>
      </c>
      <c r="G720" t="n">
        <v>19.2</v>
      </c>
      <c r="H720" t="n">
        <v>0</v>
      </c>
      <c r="I720" t="n">
        <v>0</v>
      </c>
      <c r="J720" t="n">
        <v>0</v>
      </c>
      <c r="K720" t="n">
        <v>0</v>
      </c>
      <c r="L720" t="n">
        <v>0</v>
      </c>
      <c r="M720" t="n">
        <v>0</v>
      </c>
      <c r="N720" t="n">
        <v>0</v>
      </c>
      <c r="O720" t="n">
        <v>0</v>
      </c>
      <c r="P720" t="n">
        <v>0</v>
      </c>
      <c r="Q720" t="n">
        <v>0</v>
      </c>
      <c r="R720" s="2" t="inlineStr"/>
    </row>
    <row r="721" ht="15" customHeight="1">
      <c r="A721" t="inlineStr">
        <is>
          <t>A 2034-2023</t>
        </is>
      </c>
      <c r="B721" s="1" t="n">
        <v>44939</v>
      </c>
      <c r="C721" s="1" t="n">
        <v>45628</v>
      </c>
      <c r="D721" t="inlineStr">
        <is>
          <t>VÄSTERBOTTENS LÄN</t>
        </is>
      </c>
      <c r="E721" t="inlineStr">
        <is>
          <t>VILHELMINA</t>
        </is>
      </c>
      <c r="F721" t="inlineStr">
        <is>
          <t>Sveaskog</t>
        </is>
      </c>
      <c r="G721" t="n">
        <v>6.8</v>
      </c>
      <c r="H721" t="n">
        <v>0</v>
      </c>
      <c r="I721" t="n">
        <v>0</v>
      </c>
      <c r="J721" t="n">
        <v>0</v>
      </c>
      <c r="K721" t="n">
        <v>0</v>
      </c>
      <c r="L721" t="n">
        <v>0</v>
      </c>
      <c r="M721" t="n">
        <v>0</v>
      </c>
      <c r="N721" t="n">
        <v>0</v>
      </c>
      <c r="O721" t="n">
        <v>0</v>
      </c>
      <c r="P721" t="n">
        <v>0</v>
      </c>
      <c r="Q721" t="n">
        <v>0</v>
      </c>
      <c r="R721" s="2" t="inlineStr"/>
    </row>
    <row r="722" ht="15" customHeight="1">
      <c r="A722" t="inlineStr">
        <is>
          <t>A 2125-2023</t>
        </is>
      </c>
      <c r="B722" s="1" t="n">
        <v>44939</v>
      </c>
      <c r="C722" s="1" t="n">
        <v>45628</v>
      </c>
      <c r="D722" t="inlineStr">
        <is>
          <t>VÄSTERBOTTENS LÄN</t>
        </is>
      </c>
      <c r="E722" t="inlineStr">
        <is>
          <t>VILHELMINA</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2043-2023</t>
        </is>
      </c>
      <c r="B723" s="1" t="n">
        <v>44939</v>
      </c>
      <c r="C723" s="1" t="n">
        <v>45628</v>
      </c>
      <c r="D723" t="inlineStr">
        <is>
          <t>VÄSTERBOTTENS LÄN</t>
        </is>
      </c>
      <c r="E723" t="inlineStr">
        <is>
          <t>VILHELMINA</t>
        </is>
      </c>
      <c r="F723" t="inlineStr">
        <is>
          <t>Sveaskog</t>
        </is>
      </c>
      <c r="G723" t="n">
        <v>10.5</v>
      </c>
      <c r="H723" t="n">
        <v>0</v>
      </c>
      <c r="I723" t="n">
        <v>0</v>
      </c>
      <c r="J723" t="n">
        <v>0</v>
      </c>
      <c r="K723" t="n">
        <v>0</v>
      </c>
      <c r="L723" t="n">
        <v>0</v>
      </c>
      <c r="M723" t="n">
        <v>0</v>
      </c>
      <c r="N723" t="n">
        <v>0</v>
      </c>
      <c r="O723" t="n">
        <v>0</v>
      </c>
      <c r="P723" t="n">
        <v>0</v>
      </c>
      <c r="Q723" t="n">
        <v>0</v>
      </c>
      <c r="R723" s="2" t="inlineStr"/>
    </row>
    <row r="724" ht="15" customHeight="1">
      <c r="A724" t="inlineStr">
        <is>
          <t>A 2123-2023</t>
        </is>
      </c>
      <c r="B724" s="1" t="n">
        <v>44939</v>
      </c>
      <c r="C724" s="1" t="n">
        <v>45628</v>
      </c>
      <c r="D724" t="inlineStr">
        <is>
          <t>VÄSTERBOTTENS LÄN</t>
        </is>
      </c>
      <c r="E724" t="inlineStr">
        <is>
          <t>VILHELMINA</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2075-2023</t>
        </is>
      </c>
      <c r="B725" s="1" t="n">
        <v>44939</v>
      </c>
      <c r="C725" s="1" t="n">
        <v>45628</v>
      </c>
      <c r="D725" t="inlineStr">
        <is>
          <t>VÄSTERBOTTENS LÄN</t>
        </is>
      </c>
      <c r="E725" t="inlineStr">
        <is>
          <t>VILHELMINA</t>
        </is>
      </c>
      <c r="G725" t="n">
        <v>8</v>
      </c>
      <c r="H725" t="n">
        <v>0</v>
      </c>
      <c r="I725" t="n">
        <v>0</v>
      </c>
      <c r="J725" t="n">
        <v>0</v>
      </c>
      <c r="K725" t="n">
        <v>0</v>
      </c>
      <c r="L725" t="n">
        <v>0</v>
      </c>
      <c r="M725" t="n">
        <v>0</v>
      </c>
      <c r="N725" t="n">
        <v>0</v>
      </c>
      <c r="O725" t="n">
        <v>0</v>
      </c>
      <c r="P725" t="n">
        <v>0</v>
      </c>
      <c r="Q725" t="n">
        <v>0</v>
      </c>
      <c r="R725" s="2" t="inlineStr"/>
    </row>
    <row r="726" ht="15" customHeight="1">
      <c r="A726" t="inlineStr">
        <is>
          <t>A 2082-2023</t>
        </is>
      </c>
      <c r="B726" s="1" t="n">
        <v>44939</v>
      </c>
      <c r="C726" s="1" t="n">
        <v>45628</v>
      </c>
      <c r="D726" t="inlineStr">
        <is>
          <t>VÄSTERBOTTENS LÄN</t>
        </is>
      </c>
      <c r="E726" t="inlineStr">
        <is>
          <t>VILHELMINA</t>
        </is>
      </c>
      <c r="G726" t="n">
        <v>5.5</v>
      </c>
      <c r="H726" t="n">
        <v>0</v>
      </c>
      <c r="I726" t="n">
        <v>0</v>
      </c>
      <c r="J726" t="n">
        <v>0</v>
      </c>
      <c r="K726" t="n">
        <v>0</v>
      </c>
      <c r="L726" t="n">
        <v>0</v>
      </c>
      <c r="M726" t="n">
        <v>0</v>
      </c>
      <c r="N726" t="n">
        <v>0</v>
      </c>
      <c r="O726" t="n">
        <v>0</v>
      </c>
      <c r="P726" t="n">
        <v>0</v>
      </c>
      <c r="Q726" t="n">
        <v>0</v>
      </c>
      <c r="R726" s="2" t="inlineStr"/>
    </row>
    <row r="727" ht="15" customHeight="1">
      <c r="A727" t="inlineStr">
        <is>
          <t>A 2124-2023</t>
        </is>
      </c>
      <c r="B727" s="1" t="n">
        <v>44939</v>
      </c>
      <c r="C727" s="1" t="n">
        <v>45628</v>
      </c>
      <c r="D727" t="inlineStr">
        <is>
          <t>VÄSTERBOTTENS LÄN</t>
        </is>
      </c>
      <c r="E727" t="inlineStr">
        <is>
          <t>VILHELMINA</t>
        </is>
      </c>
      <c r="F727" t="inlineStr">
        <is>
          <t>SCA</t>
        </is>
      </c>
      <c r="G727" t="n">
        <v>28.8</v>
      </c>
      <c r="H727" t="n">
        <v>0</v>
      </c>
      <c r="I727" t="n">
        <v>0</v>
      </c>
      <c r="J727" t="n">
        <v>0</v>
      </c>
      <c r="K727" t="n">
        <v>0</v>
      </c>
      <c r="L727" t="n">
        <v>0</v>
      </c>
      <c r="M727" t="n">
        <v>0</v>
      </c>
      <c r="N727" t="n">
        <v>0</v>
      </c>
      <c r="O727" t="n">
        <v>0</v>
      </c>
      <c r="P727" t="n">
        <v>0</v>
      </c>
      <c r="Q727" t="n">
        <v>0</v>
      </c>
      <c r="R727" s="2" t="inlineStr"/>
    </row>
    <row r="728" ht="15" customHeight="1">
      <c r="A728" t="inlineStr">
        <is>
          <t>A 2122-2023</t>
        </is>
      </c>
      <c r="B728" s="1" t="n">
        <v>44939</v>
      </c>
      <c r="C728" s="1" t="n">
        <v>45628</v>
      </c>
      <c r="D728" t="inlineStr">
        <is>
          <t>VÄSTERBOTTENS LÄN</t>
        </is>
      </c>
      <c r="E728" t="inlineStr">
        <is>
          <t>VILHELMINA</t>
        </is>
      </c>
      <c r="F728" t="inlineStr">
        <is>
          <t>SCA</t>
        </is>
      </c>
      <c r="G728" t="n">
        <v>14.6</v>
      </c>
      <c r="H728" t="n">
        <v>0</v>
      </c>
      <c r="I728" t="n">
        <v>0</v>
      </c>
      <c r="J728" t="n">
        <v>0</v>
      </c>
      <c r="K728" t="n">
        <v>0</v>
      </c>
      <c r="L728" t="n">
        <v>0</v>
      </c>
      <c r="M728" t="n">
        <v>0</v>
      </c>
      <c r="N728" t="n">
        <v>0</v>
      </c>
      <c r="O728" t="n">
        <v>0</v>
      </c>
      <c r="P728" t="n">
        <v>0</v>
      </c>
      <c r="Q728" t="n">
        <v>0</v>
      </c>
      <c r="R728" s="2" t="inlineStr"/>
    </row>
    <row r="729" ht="15" customHeight="1">
      <c r="A729" t="inlineStr">
        <is>
          <t>A 2126-2023</t>
        </is>
      </c>
      <c r="B729" s="1" t="n">
        <v>44939</v>
      </c>
      <c r="C729" s="1" t="n">
        <v>45628</v>
      </c>
      <c r="D729" t="inlineStr">
        <is>
          <t>VÄSTERBOTTENS LÄN</t>
        </is>
      </c>
      <c r="E729" t="inlineStr">
        <is>
          <t>VILHELMINA</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2382-2023</t>
        </is>
      </c>
      <c r="B730" s="1" t="n">
        <v>44942</v>
      </c>
      <c r="C730" s="1" t="n">
        <v>45628</v>
      </c>
      <c r="D730" t="inlineStr">
        <is>
          <t>VÄSTERBOTTENS LÄN</t>
        </is>
      </c>
      <c r="E730" t="inlineStr">
        <is>
          <t>VILHELMINA</t>
        </is>
      </c>
      <c r="G730" t="n">
        <v>29.7</v>
      </c>
      <c r="H730" t="n">
        <v>0</v>
      </c>
      <c r="I730" t="n">
        <v>0</v>
      </c>
      <c r="J730" t="n">
        <v>0</v>
      </c>
      <c r="K730" t="n">
        <v>0</v>
      </c>
      <c r="L730" t="n">
        <v>0</v>
      </c>
      <c r="M730" t="n">
        <v>0</v>
      </c>
      <c r="N730" t="n">
        <v>0</v>
      </c>
      <c r="O730" t="n">
        <v>0</v>
      </c>
      <c r="P730" t="n">
        <v>0</v>
      </c>
      <c r="Q730" t="n">
        <v>0</v>
      </c>
      <c r="R730" s="2" t="inlineStr"/>
    </row>
    <row r="731" ht="15" customHeight="1">
      <c r="A731" t="inlineStr">
        <is>
          <t>A 2360-2023</t>
        </is>
      </c>
      <c r="B731" s="1" t="n">
        <v>44942</v>
      </c>
      <c r="C731" s="1" t="n">
        <v>45628</v>
      </c>
      <c r="D731" t="inlineStr">
        <is>
          <t>VÄSTERBOTTENS LÄN</t>
        </is>
      </c>
      <c r="E731" t="inlineStr">
        <is>
          <t>VILHELMINA</t>
        </is>
      </c>
      <c r="G731" t="n">
        <v>2.7</v>
      </c>
      <c r="H731" t="n">
        <v>0</v>
      </c>
      <c r="I731" t="n">
        <v>0</v>
      </c>
      <c r="J731" t="n">
        <v>0</v>
      </c>
      <c r="K731" t="n">
        <v>0</v>
      </c>
      <c r="L731" t="n">
        <v>0</v>
      </c>
      <c r="M731" t="n">
        <v>0</v>
      </c>
      <c r="N731" t="n">
        <v>0</v>
      </c>
      <c r="O731" t="n">
        <v>0</v>
      </c>
      <c r="P731" t="n">
        <v>0</v>
      </c>
      <c r="Q731" t="n">
        <v>0</v>
      </c>
      <c r="R731" s="2" t="inlineStr"/>
    </row>
    <row r="732" ht="15" customHeight="1">
      <c r="A732" t="inlineStr">
        <is>
          <t>A 2403-2023</t>
        </is>
      </c>
      <c r="B732" s="1" t="n">
        <v>44942</v>
      </c>
      <c r="C732" s="1" t="n">
        <v>45628</v>
      </c>
      <c r="D732" t="inlineStr">
        <is>
          <t>VÄSTERBOTTENS LÄN</t>
        </is>
      </c>
      <c r="E732" t="inlineStr">
        <is>
          <t>VILHELMINA</t>
        </is>
      </c>
      <c r="G732" t="n">
        <v>14.5</v>
      </c>
      <c r="H732" t="n">
        <v>0</v>
      </c>
      <c r="I732" t="n">
        <v>0</v>
      </c>
      <c r="J732" t="n">
        <v>0</v>
      </c>
      <c r="K732" t="n">
        <v>0</v>
      </c>
      <c r="L732" t="n">
        <v>0</v>
      </c>
      <c r="M732" t="n">
        <v>0</v>
      </c>
      <c r="N732" t="n">
        <v>0</v>
      </c>
      <c r="O732" t="n">
        <v>0</v>
      </c>
      <c r="P732" t="n">
        <v>0</v>
      </c>
      <c r="Q732" t="n">
        <v>0</v>
      </c>
      <c r="R732" s="2" t="inlineStr"/>
    </row>
    <row r="733" ht="15" customHeight="1">
      <c r="A733" t="inlineStr">
        <is>
          <t>A 2488-2023</t>
        </is>
      </c>
      <c r="B733" s="1" t="n">
        <v>44943</v>
      </c>
      <c r="C733" s="1" t="n">
        <v>45628</v>
      </c>
      <c r="D733" t="inlineStr">
        <is>
          <t>VÄSTERBOTTENS LÄN</t>
        </is>
      </c>
      <c r="E733" t="inlineStr">
        <is>
          <t>VILHELMINA</t>
        </is>
      </c>
      <c r="G733" t="n">
        <v>69.3</v>
      </c>
      <c r="H733" t="n">
        <v>0</v>
      </c>
      <c r="I733" t="n">
        <v>0</v>
      </c>
      <c r="J733" t="n">
        <v>0</v>
      </c>
      <c r="K733" t="n">
        <v>0</v>
      </c>
      <c r="L733" t="n">
        <v>0</v>
      </c>
      <c r="M733" t="n">
        <v>0</v>
      </c>
      <c r="N733" t="n">
        <v>0</v>
      </c>
      <c r="O733" t="n">
        <v>0</v>
      </c>
      <c r="P733" t="n">
        <v>0</v>
      </c>
      <c r="Q733" t="n">
        <v>0</v>
      </c>
      <c r="R733" s="2" t="inlineStr"/>
    </row>
    <row r="734" ht="15" customHeight="1">
      <c r="A734" t="inlineStr">
        <is>
          <t>A 2742-2023</t>
        </is>
      </c>
      <c r="B734" s="1" t="n">
        <v>44943</v>
      </c>
      <c r="C734" s="1" t="n">
        <v>45628</v>
      </c>
      <c r="D734" t="inlineStr">
        <is>
          <t>VÄSTERBOTTENS LÄN</t>
        </is>
      </c>
      <c r="E734" t="inlineStr">
        <is>
          <t>VILHELMINA</t>
        </is>
      </c>
      <c r="G734" t="n">
        <v>34.8</v>
      </c>
      <c r="H734" t="n">
        <v>0</v>
      </c>
      <c r="I734" t="n">
        <v>0</v>
      </c>
      <c r="J734" t="n">
        <v>0</v>
      </c>
      <c r="K734" t="n">
        <v>0</v>
      </c>
      <c r="L734" t="n">
        <v>0</v>
      </c>
      <c r="M734" t="n">
        <v>0</v>
      </c>
      <c r="N734" t="n">
        <v>0</v>
      </c>
      <c r="O734" t="n">
        <v>0</v>
      </c>
      <c r="P734" t="n">
        <v>0</v>
      </c>
      <c r="Q734" t="n">
        <v>0</v>
      </c>
      <c r="R734" s="2" t="inlineStr"/>
    </row>
    <row r="735" ht="15" customHeight="1">
      <c r="A735" t="inlineStr">
        <is>
          <t>A 2604-2023</t>
        </is>
      </c>
      <c r="B735" s="1" t="n">
        <v>44944</v>
      </c>
      <c r="C735" s="1" t="n">
        <v>45628</v>
      </c>
      <c r="D735" t="inlineStr">
        <is>
          <t>VÄSTERBOTTENS LÄN</t>
        </is>
      </c>
      <c r="E735" t="inlineStr">
        <is>
          <t>VILHELMINA</t>
        </is>
      </c>
      <c r="G735" t="n">
        <v>15.4</v>
      </c>
      <c r="H735" t="n">
        <v>0</v>
      </c>
      <c r="I735" t="n">
        <v>0</v>
      </c>
      <c r="J735" t="n">
        <v>0</v>
      </c>
      <c r="K735" t="n">
        <v>0</v>
      </c>
      <c r="L735" t="n">
        <v>0</v>
      </c>
      <c r="M735" t="n">
        <v>0</v>
      </c>
      <c r="N735" t="n">
        <v>0</v>
      </c>
      <c r="O735" t="n">
        <v>0</v>
      </c>
      <c r="P735" t="n">
        <v>0</v>
      </c>
      <c r="Q735" t="n">
        <v>0</v>
      </c>
      <c r="R735" s="2" t="inlineStr"/>
    </row>
    <row r="736" ht="15" customHeight="1">
      <c r="A736" t="inlineStr">
        <is>
          <t>A 2605-2023</t>
        </is>
      </c>
      <c r="B736" s="1" t="n">
        <v>44944</v>
      </c>
      <c r="C736" s="1" t="n">
        <v>45628</v>
      </c>
      <c r="D736" t="inlineStr">
        <is>
          <t>VÄSTERBOTTENS LÄN</t>
        </is>
      </c>
      <c r="E736" t="inlineStr">
        <is>
          <t>VILHELMINA</t>
        </is>
      </c>
      <c r="G736" t="n">
        <v>10.7</v>
      </c>
      <c r="H736" t="n">
        <v>0</v>
      </c>
      <c r="I736" t="n">
        <v>0</v>
      </c>
      <c r="J736" t="n">
        <v>0</v>
      </c>
      <c r="K736" t="n">
        <v>0</v>
      </c>
      <c r="L736" t="n">
        <v>0</v>
      </c>
      <c r="M736" t="n">
        <v>0</v>
      </c>
      <c r="N736" t="n">
        <v>0</v>
      </c>
      <c r="O736" t="n">
        <v>0</v>
      </c>
      <c r="P736" t="n">
        <v>0</v>
      </c>
      <c r="Q736" t="n">
        <v>0</v>
      </c>
      <c r="R736" s="2" t="inlineStr"/>
    </row>
    <row r="737" ht="15" customHeight="1">
      <c r="A737" t="inlineStr">
        <is>
          <t>A 2820-2023</t>
        </is>
      </c>
      <c r="B737" s="1" t="n">
        <v>44944</v>
      </c>
      <c r="C737" s="1" t="n">
        <v>45628</v>
      </c>
      <c r="D737" t="inlineStr">
        <is>
          <t>VÄSTERBOTTENS LÄN</t>
        </is>
      </c>
      <c r="E737" t="inlineStr">
        <is>
          <t>VILHELMINA</t>
        </is>
      </c>
      <c r="F737" t="inlineStr">
        <is>
          <t>SCA</t>
        </is>
      </c>
      <c r="G737" t="n">
        <v>11.9</v>
      </c>
      <c r="H737" t="n">
        <v>0</v>
      </c>
      <c r="I737" t="n">
        <v>0</v>
      </c>
      <c r="J737" t="n">
        <v>0</v>
      </c>
      <c r="K737" t="n">
        <v>0</v>
      </c>
      <c r="L737" t="n">
        <v>0</v>
      </c>
      <c r="M737" t="n">
        <v>0</v>
      </c>
      <c r="N737" t="n">
        <v>0</v>
      </c>
      <c r="O737" t="n">
        <v>0</v>
      </c>
      <c r="P737" t="n">
        <v>0</v>
      </c>
      <c r="Q737" t="n">
        <v>0</v>
      </c>
      <c r="R737" s="2" t="inlineStr"/>
    </row>
    <row r="738" ht="15" customHeight="1">
      <c r="A738" t="inlineStr">
        <is>
          <t>A 3393-2023</t>
        </is>
      </c>
      <c r="B738" s="1" t="n">
        <v>44945</v>
      </c>
      <c r="C738" s="1" t="n">
        <v>45628</v>
      </c>
      <c r="D738" t="inlineStr">
        <is>
          <t>VÄSTERBOTTENS LÄN</t>
        </is>
      </c>
      <c r="E738" t="inlineStr">
        <is>
          <t>VILHELMINA</t>
        </is>
      </c>
      <c r="G738" t="n">
        <v>3.4</v>
      </c>
      <c r="H738" t="n">
        <v>0</v>
      </c>
      <c r="I738" t="n">
        <v>0</v>
      </c>
      <c r="J738" t="n">
        <v>0</v>
      </c>
      <c r="K738" t="n">
        <v>0</v>
      </c>
      <c r="L738" t="n">
        <v>0</v>
      </c>
      <c r="M738" t="n">
        <v>0</v>
      </c>
      <c r="N738" t="n">
        <v>0</v>
      </c>
      <c r="O738" t="n">
        <v>0</v>
      </c>
      <c r="P738" t="n">
        <v>0</v>
      </c>
      <c r="Q738" t="n">
        <v>0</v>
      </c>
      <c r="R738" s="2" t="inlineStr"/>
    </row>
    <row r="739" ht="15" customHeight="1">
      <c r="A739" t="inlineStr">
        <is>
          <t>A 3745-2023</t>
        </is>
      </c>
      <c r="B739" s="1" t="n">
        <v>44949</v>
      </c>
      <c r="C739" s="1" t="n">
        <v>45628</v>
      </c>
      <c r="D739" t="inlineStr">
        <is>
          <t>VÄSTERBOTTENS LÄN</t>
        </is>
      </c>
      <c r="E739" t="inlineStr">
        <is>
          <t>VILHELMINA</t>
        </is>
      </c>
      <c r="G739" t="n">
        <v>36.6</v>
      </c>
      <c r="H739" t="n">
        <v>0</v>
      </c>
      <c r="I739" t="n">
        <v>0</v>
      </c>
      <c r="J739" t="n">
        <v>0</v>
      </c>
      <c r="K739" t="n">
        <v>0</v>
      </c>
      <c r="L739" t="n">
        <v>0</v>
      </c>
      <c r="M739" t="n">
        <v>0</v>
      </c>
      <c r="N739" t="n">
        <v>0</v>
      </c>
      <c r="O739" t="n">
        <v>0</v>
      </c>
      <c r="P739" t="n">
        <v>0</v>
      </c>
      <c r="Q739" t="n">
        <v>0</v>
      </c>
      <c r="R739" s="2" t="inlineStr"/>
    </row>
    <row r="740" ht="15" customHeight="1">
      <c r="A740" t="inlineStr">
        <is>
          <t>A 4344-2023</t>
        </is>
      </c>
      <c r="B740" s="1" t="n">
        <v>44954</v>
      </c>
      <c r="C740" s="1" t="n">
        <v>45628</v>
      </c>
      <c r="D740" t="inlineStr">
        <is>
          <t>VÄSTERBOTTENS LÄN</t>
        </is>
      </c>
      <c r="E740" t="inlineStr">
        <is>
          <t>VILHELMINA</t>
        </is>
      </c>
      <c r="F740" t="inlineStr">
        <is>
          <t>SCA</t>
        </is>
      </c>
      <c r="G740" t="n">
        <v>20.9</v>
      </c>
      <c r="H740" t="n">
        <v>0</v>
      </c>
      <c r="I740" t="n">
        <v>0</v>
      </c>
      <c r="J740" t="n">
        <v>0</v>
      </c>
      <c r="K740" t="n">
        <v>0</v>
      </c>
      <c r="L740" t="n">
        <v>0</v>
      </c>
      <c r="M740" t="n">
        <v>0</v>
      </c>
      <c r="N740" t="n">
        <v>0</v>
      </c>
      <c r="O740" t="n">
        <v>0</v>
      </c>
      <c r="P740" t="n">
        <v>0</v>
      </c>
      <c r="Q740" t="n">
        <v>0</v>
      </c>
      <c r="R740" s="2" t="inlineStr"/>
    </row>
    <row r="741" ht="15" customHeight="1">
      <c r="A741" t="inlineStr">
        <is>
          <t>A 4373-2023</t>
        </is>
      </c>
      <c r="B741" s="1" t="n">
        <v>44955</v>
      </c>
      <c r="C741" s="1" t="n">
        <v>45628</v>
      </c>
      <c r="D741" t="inlineStr">
        <is>
          <t>VÄSTERBOTTENS LÄN</t>
        </is>
      </c>
      <c r="E741" t="inlineStr">
        <is>
          <t>VILHELMINA</t>
        </is>
      </c>
      <c r="G741" t="n">
        <v>2.6</v>
      </c>
      <c r="H741" t="n">
        <v>0</v>
      </c>
      <c r="I741" t="n">
        <v>0</v>
      </c>
      <c r="J741" t="n">
        <v>0</v>
      </c>
      <c r="K741" t="n">
        <v>0</v>
      </c>
      <c r="L741" t="n">
        <v>0</v>
      </c>
      <c r="M741" t="n">
        <v>0</v>
      </c>
      <c r="N741" t="n">
        <v>0</v>
      </c>
      <c r="O741" t="n">
        <v>0</v>
      </c>
      <c r="P741" t="n">
        <v>0</v>
      </c>
      <c r="Q741" t="n">
        <v>0</v>
      </c>
      <c r="R741" s="2" t="inlineStr"/>
    </row>
    <row r="742" ht="15" customHeight="1">
      <c r="A742" t="inlineStr">
        <is>
          <t>A 4919-2023</t>
        </is>
      </c>
      <c r="B742" s="1" t="n">
        <v>44956</v>
      </c>
      <c r="C742" s="1" t="n">
        <v>45628</v>
      </c>
      <c r="D742" t="inlineStr">
        <is>
          <t>VÄSTERBOTTENS LÄN</t>
        </is>
      </c>
      <c r="E742" t="inlineStr">
        <is>
          <t>VILHELMINA</t>
        </is>
      </c>
      <c r="G742" t="n">
        <v>35</v>
      </c>
      <c r="H742" t="n">
        <v>0</v>
      </c>
      <c r="I742" t="n">
        <v>0</v>
      </c>
      <c r="J742" t="n">
        <v>0</v>
      </c>
      <c r="K742" t="n">
        <v>0</v>
      </c>
      <c r="L742" t="n">
        <v>0</v>
      </c>
      <c r="M742" t="n">
        <v>0</v>
      </c>
      <c r="N742" t="n">
        <v>0</v>
      </c>
      <c r="O742" t="n">
        <v>0</v>
      </c>
      <c r="P742" t="n">
        <v>0</v>
      </c>
      <c r="Q742" t="n">
        <v>0</v>
      </c>
      <c r="R742" s="2" t="inlineStr"/>
    </row>
    <row r="743" ht="15" customHeight="1">
      <c r="A743" t="inlineStr">
        <is>
          <t>A 5301-2023</t>
        </is>
      </c>
      <c r="B743" s="1" t="n">
        <v>44956</v>
      </c>
      <c r="C743" s="1" t="n">
        <v>45628</v>
      </c>
      <c r="D743" t="inlineStr">
        <is>
          <t>VÄSTERBOTTENS LÄN</t>
        </is>
      </c>
      <c r="E743" t="inlineStr">
        <is>
          <t>VILHELMINA</t>
        </is>
      </c>
      <c r="G743" t="n">
        <v>16</v>
      </c>
      <c r="H743" t="n">
        <v>0</v>
      </c>
      <c r="I743" t="n">
        <v>0</v>
      </c>
      <c r="J743" t="n">
        <v>0</v>
      </c>
      <c r="K743" t="n">
        <v>0</v>
      </c>
      <c r="L743" t="n">
        <v>0</v>
      </c>
      <c r="M743" t="n">
        <v>0</v>
      </c>
      <c r="N743" t="n">
        <v>0</v>
      </c>
      <c r="O743" t="n">
        <v>0</v>
      </c>
      <c r="P743" t="n">
        <v>0</v>
      </c>
      <c r="Q743" t="n">
        <v>0</v>
      </c>
      <c r="R743" s="2" t="inlineStr"/>
    </row>
    <row r="744" ht="15" customHeight="1">
      <c r="A744" t="inlineStr">
        <is>
          <t>A 5297-2023</t>
        </is>
      </c>
      <c r="B744" s="1" t="n">
        <v>44956</v>
      </c>
      <c r="C744" s="1" t="n">
        <v>45628</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4869-2023</t>
        </is>
      </c>
      <c r="B745" s="1" t="n">
        <v>44957</v>
      </c>
      <c r="C745" s="1" t="n">
        <v>45628</v>
      </c>
      <c r="D745" t="inlineStr">
        <is>
          <t>VÄSTERBOTTENS LÄN</t>
        </is>
      </c>
      <c r="E745" t="inlineStr">
        <is>
          <t>VILHELMINA</t>
        </is>
      </c>
      <c r="G745" t="n">
        <v>5.7</v>
      </c>
      <c r="H745" t="n">
        <v>0</v>
      </c>
      <c r="I745" t="n">
        <v>0</v>
      </c>
      <c r="J745" t="n">
        <v>0</v>
      </c>
      <c r="K745" t="n">
        <v>0</v>
      </c>
      <c r="L745" t="n">
        <v>0</v>
      </c>
      <c r="M745" t="n">
        <v>0</v>
      </c>
      <c r="N745" t="n">
        <v>0</v>
      </c>
      <c r="O745" t="n">
        <v>0</v>
      </c>
      <c r="P745" t="n">
        <v>0</v>
      </c>
      <c r="Q745" t="n">
        <v>0</v>
      </c>
      <c r="R745" s="2" t="inlineStr"/>
    </row>
    <row r="746" ht="15" customHeight="1">
      <c r="A746" t="inlineStr">
        <is>
          <t>A 5713-2023</t>
        </is>
      </c>
      <c r="B746" s="1" t="n">
        <v>44960</v>
      </c>
      <c r="C746" s="1" t="n">
        <v>45628</v>
      </c>
      <c r="D746" t="inlineStr">
        <is>
          <t>VÄSTERBOTTENS LÄN</t>
        </is>
      </c>
      <c r="E746" t="inlineStr">
        <is>
          <t>VILHELMINA</t>
        </is>
      </c>
      <c r="F746" t="inlineStr">
        <is>
          <t>SCA</t>
        </is>
      </c>
      <c r="G746" t="n">
        <v>33.2</v>
      </c>
      <c r="H746" t="n">
        <v>0</v>
      </c>
      <c r="I746" t="n">
        <v>0</v>
      </c>
      <c r="J746" t="n">
        <v>0</v>
      </c>
      <c r="K746" t="n">
        <v>0</v>
      </c>
      <c r="L746" t="n">
        <v>0</v>
      </c>
      <c r="M746" t="n">
        <v>0</v>
      </c>
      <c r="N746" t="n">
        <v>0</v>
      </c>
      <c r="O746" t="n">
        <v>0</v>
      </c>
      <c r="P746" t="n">
        <v>0</v>
      </c>
      <c r="Q746" t="n">
        <v>0</v>
      </c>
      <c r="R746" s="2" t="inlineStr"/>
    </row>
    <row r="747" ht="15" customHeight="1">
      <c r="A747" t="inlineStr">
        <is>
          <t>A 5697-2023</t>
        </is>
      </c>
      <c r="B747" s="1" t="n">
        <v>44960</v>
      </c>
      <c r="C747" s="1" t="n">
        <v>45628</v>
      </c>
      <c r="D747" t="inlineStr">
        <is>
          <t>VÄSTERBOTTENS LÄN</t>
        </is>
      </c>
      <c r="E747" t="inlineStr">
        <is>
          <t>VILHELMINA</t>
        </is>
      </c>
      <c r="F747" t="inlineStr">
        <is>
          <t>SCA</t>
        </is>
      </c>
      <c r="G747" t="n">
        <v>15.9</v>
      </c>
      <c r="H747" t="n">
        <v>0</v>
      </c>
      <c r="I747" t="n">
        <v>0</v>
      </c>
      <c r="J747" t="n">
        <v>0</v>
      </c>
      <c r="K747" t="n">
        <v>0</v>
      </c>
      <c r="L747" t="n">
        <v>0</v>
      </c>
      <c r="M747" t="n">
        <v>0</v>
      </c>
      <c r="N747" t="n">
        <v>0</v>
      </c>
      <c r="O747" t="n">
        <v>0</v>
      </c>
      <c r="P747" t="n">
        <v>0</v>
      </c>
      <c r="Q747" t="n">
        <v>0</v>
      </c>
      <c r="R747" s="2" t="inlineStr"/>
    </row>
    <row r="748" ht="15" customHeight="1">
      <c r="A748" t="inlineStr">
        <is>
          <t>A 5699-2023</t>
        </is>
      </c>
      <c r="B748" s="1" t="n">
        <v>44960</v>
      </c>
      <c r="C748" s="1" t="n">
        <v>45628</v>
      </c>
      <c r="D748" t="inlineStr">
        <is>
          <t>VÄSTERBOTTENS LÄN</t>
        </is>
      </c>
      <c r="E748" t="inlineStr">
        <is>
          <t>VILHELMINA</t>
        </is>
      </c>
      <c r="F748" t="inlineStr">
        <is>
          <t>SCA</t>
        </is>
      </c>
      <c r="G748" t="n">
        <v>104.8</v>
      </c>
      <c r="H748" t="n">
        <v>0</v>
      </c>
      <c r="I748" t="n">
        <v>0</v>
      </c>
      <c r="J748" t="n">
        <v>0</v>
      </c>
      <c r="K748" t="n">
        <v>0</v>
      </c>
      <c r="L748" t="n">
        <v>0</v>
      </c>
      <c r="M748" t="n">
        <v>0</v>
      </c>
      <c r="N748" t="n">
        <v>0</v>
      </c>
      <c r="O748" t="n">
        <v>0</v>
      </c>
      <c r="P748" t="n">
        <v>0</v>
      </c>
      <c r="Q748" t="n">
        <v>0</v>
      </c>
      <c r="R748" s="2" t="inlineStr"/>
    </row>
    <row r="749" ht="15" customHeight="1">
      <c r="A749" t="inlineStr">
        <is>
          <t>A 5712-2023</t>
        </is>
      </c>
      <c r="B749" s="1" t="n">
        <v>44960</v>
      </c>
      <c r="C749" s="1" t="n">
        <v>45628</v>
      </c>
      <c r="D749" t="inlineStr">
        <is>
          <t>VÄSTERBOTTENS LÄN</t>
        </is>
      </c>
      <c r="E749" t="inlineStr">
        <is>
          <t>VILHELMINA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6616-2023</t>
        </is>
      </c>
      <c r="B750" s="1" t="n">
        <v>44960</v>
      </c>
      <c r="C750" s="1" t="n">
        <v>45628</v>
      </c>
      <c r="D750" t="inlineStr">
        <is>
          <t>VÄSTERBOTTENS LÄN</t>
        </is>
      </c>
      <c r="E750" t="inlineStr">
        <is>
          <t>VILHELMINA</t>
        </is>
      </c>
      <c r="G750" t="n">
        <v>1.5</v>
      </c>
      <c r="H750" t="n">
        <v>0</v>
      </c>
      <c r="I750" t="n">
        <v>0</v>
      </c>
      <c r="J750" t="n">
        <v>0</v>
      </c>
      <c r="K750" t="n">
        <v>0</v>
      </c>
      <c r="L750" t="n">
        <v>0</v>
      </c>
      <c r="M750" t="n">
        <v>0</v>
      </c>
      <c r="N750" t="n">
        <v>0</v>
      </c>
      <c r="O750" t="n">
        <v>0</v>
      </c>
      <c r="P750" t="n">
        <v>0</v>
      </c>
      <c r="Q750" t="n">
        <v>0</v>
      </c>
      <c r="R750" s="2" t="inlineStr"/>
    </row>
    <row r="751" ht="15" customHeight="1">
      <c r="A751" t="inlineStr">
        <is>
          <t>A 6610-2023</t>
        </is>
      </c>
      <c r="B751" s="1" t="n">
        <v>44960</v>
      </c>
      <c r="C751" s="1" t="n">
        <v>45628</v>
      </c>
      <c r="D751" t="inlineStr">
        <is>
          <t>VÄSTERBOTTENS LÄN</t>
        </is>
      </c>
      <c r="E751" t="inlineStr">
        <is>
          <t>VILHELMINA</t>
        </is>
      </c>
      <c r="G751" t="n">
        <v>3.4</v>
      </c>
      <c r="H751" t="n">
        <v>0</v>
      </c>
      <c r="I751" t="n">
        <v>0</v>
      </c>
      <c r="J751" t="n">
        <v>0</v>
      </c>
      <c r="K751" t="n">
        <v>0</v>
      </c>
      <c r="L751" t="n">
        <v>0</v>
      </c>
      <c r="M751" t="n">
        <v>0</v>
      </c>
      <c r="N751" t="n">
        <v>0</v>
      </c>
      <c r="O751" t="n">
        <v>0</v>
      </c>
      <c r="P751" t="n">
        <v>0</v>
      </c>
      <c r="Q751" t="n">
        <v>0</v>
      </c>
      <c r="R751" s="2" t="inlineStr"/>
    </row>
    <row r="752" ht="15" customHeight="1">
      <c r="A752" t="inlineStr">
        <is>
          <t>A 5955-2023</t>
        </is>
      </c>
      <c r="B752" s="1" t="n">
        <v>44963</v>
      </c>
      <c r="C752" s="1" t="n">
        <v>45628</v>
      </c>
      <c r="D752" t="inlineStr">
        <is>
          <t>VÄSTERBOTTENS LÄN</t>
        </is>
      </c>
      <c r="E752" t="inlineStr">
        <is>
          <t>VILHELMINA</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5947-2023</t>
        </is>
      </c>
      <c r="B753" s="1" t="n">
        <v>44963</v>
      </c>
      <c r="C753" s="1" t="n">
        <v>45628</v>
      </c>
      <c r="D753" t="inlineStr">
        <is>
          <t>VÄSTERBOTTENS LÄN</t>
        </is>
      </c>
      <c r="E753" t="inlineStr">
        <is>
          <t>VILHELMINA</t>
        </is>
      </c>
      <c r="G753" t="n">
        <v>4.3</v>
      </c>
      <c r="H753" t="n">
        <v>0</v>
      </c>
      <c r="I753" t="n">
        <v>0</v>
      </c>
      <c r="J753" t="n">
        <v>0</v>
      </c>
      <c r="K753" t="n">
        <v>0</v>
      </c>
      <c r="L753" t="n">
        <v>0</v>
      </c>
      <c r="M753" t="n">
        <v>0</v>
      </c>
      <c r="N753" t="n">
        <v>0</v>
      </c>
      <c r="O753" t="n">
        <v>0</v>
      </c>
      <c r="P753" t="n">
        <v>0</v>
      </c>
      <c r="Q753" t="n">
        <v>0</v>
      </c>
      <c r="R753" s="2" t="inlineStr"/>
    </row>
    <row r="754" ht="15" customHeight="1">
      <c r="A754" t="inlineStr">
        <is>
          <t>A 8215-2023</t>
        </is>
      </c>
      <c r="B754" s="1" t="n">
        <v>44971</v>
      </c>
      <c r="C754" s="1" t="n">
        <v>45628</v>
      </c>
      <c r="D754" t="inlineStr">
        <is>
          <t>VÄSTERBOTTENS LÄN</t>
        </is>
      </c>
      <c r="E754" t="inlineStr">
        <is>
          <t>VILHELMINA</t>
        </is>
      </c>
      <c r="G754" t="n">
        <v>0.8</v>
      </c>
      <c r="H754" t="n">
        <v>0</v>
      </c>
      <c r="I754" t="n">
        <v>0</v>
      </c>
      <c r="J754" t="n">
        <v>0</v>
      </c>
      <c r="K754" t="n">
        <v>0</v>
      </c>
      <c r="L754" t="n">
        <v>0</v>
      </c>
      <c r="M754" t="n">
        <v>0</v>
      </c>
      <c r="N754" t="n">
        <v>0</v>
      </c>
      <c r="O754" t="n">
        <v>0</v>
      </c>
      <c r="P754" t="n">
        <v>0</v>
      </c>
      <c r="Q754" t="n">
        <v>0</v>
      </c>
      <c r="R754" s="2" t="inlineStr"/>
    </row>
    <row r="755" ht="15" customHeight="1">
      <c r="A755" t="inlineStr">
        <is>
          <t>A 8555-2023</t>
        </is>
      </c>
      <c r="B755" s="1" t="n">
        <v>44972</v>
      </c>
      <c r="C755" s="1" t="n">
        <v>45628</v>
      </c>
      <c r="D755" t="inlineStr">
        <is>
          <t>VÄSTERBOTTENS LÄN</t>
        </is>
      </c>
      <c r="E755" t="inlineStr">
        <is>
          <t>VILHELMINA</t>
        </is>
      </c>
      <c r="F755" t="inlineStr">
        <is>
          <t>Allmännings- och besparingsskogar</t>
        </is>
      </c>
      <c r="G755" t="n">
        <v>37.9</v>
      </c>
      <c r="H755" t="n">
        <v>0</v>
      </c>
      <c r="I755" t="n">
        <v>0</v>
      </c>
      <c r="J755" t="n">
        <v>0</v>
      </c>
      <c r="K755" t="n">
        <v>0</v>
      </c>
      <c r="L755" t="n">
        <v>0</v>
      </c>
      <c r="M755" t="n">
        <v>0</v>
      </c>
      <c r="N755" t="n">
        <v>0</v>
      </c>
      <c r="O755" t="n">
        <v>0</v>
      </c>
      <c r="P755" t="n">
        <v>0</v>
      </c>
      <c r="Q755" t="n">
        <v>0</v>
      </c>
      <c r="R755" s="2" t="inlineStr"/>
    </row>
    <row r="756" ht="15" customHeight="1">
      <c r="A756" t="inlineStr">
        <is>
          <t>A 8745-2023</t>
        </is>
      </c>
      <c r="B756" s="1" t="n">
        <v>44972</v>
      </c>
      <c r="C756" s="1" t="n">
        <v>45628</v>
      </c>
      <c r="D756" t="inlineStr">
        <is>
          <t>VÄSTERBOTTENS LÄN</t>
        </is>
      </c>
      <c r="E756" t="inlineStr">
        <is>
          <t>VILHELMINA</t>
        </is>
      </c>
      <c r="F756" t="inlineStr">
        <is>
          <t>Allmännings- och besparingsskogar</t>
        </is>
      </c>
      <c r="G756" t="n">
        <v>41</v>
      </c>
      <c r="H756" t="n">
        <v>0</v>
      </c>
      <c r="I756" t="n">
        <v>0</v>
      </c>
      <c r="J756" t="n">
        <v>0</v>
      </c>
      <c r="K756" t="n">
        <v>0</v>
      </c>
      <c r="L756" t="n">
        <v>0</v>
      </c>
      <c r="M756" t="n">
        <v>0</v>
      </c>
      <c r="N756" t="n">
        <v>0</v>
      </c>
      <c r="O756" t="n">
        <v>0</v>
      </c>
      <c r="P756" t="n">
        <v>0</v>
      </c>
      <c r="Q756" t="n">
        <v>0</v>
      </c>
      <c r="R756" s="2" t="inlineStr"/>
    </row>
    <row r="757" ht="15" customHeight="1">
      <c r="A757" t="inlineStr">
        <is>
          <t>A 8759-2023</t>
        </is>
      </c>
      <c r="B757" s="1" t="n">
        <v>44972</v>
      </c>
      <c r="C757" s="1" t="n">
        <v>45628</v>
      </c>
      <c r="D757" t="inlineStr">
        <is>
          <t>VÄSTERBOTTENS LÄN</t>
        </is>
      </c>
      <c r="E757" t="inlineStr">
        <is>
          <t>VILHELMINA</t>
        </is>
      </c>
      <c r="F757" t="inlineStr">
        <is>
          <t>Allmännings- och besparingsskogar</t>
        </is>
      </c>
      <c r="G757" t="n">
        <v>23.4</v>
      </c>
      <c r="H757" t="n">
        <v>0</v>
      </c>
      <c r="I757" t="n">
        <v>0</v>
      </c>
      <c r="J757" t="n">
        <v>0</v>
      </c>
      <c r="K757" t="n">
        <v>0</v>
      </c>
      <c r="L757" t="n">
        <v>0</v>
      </c>
      <c r="M757" t="n">
        <v>0</v>
      </c>
      <c r="N757" t="n">
        <v>0</v>
      </c>
      <c r="O757" t="n">
        <v>0</v>
      </c>
      <c r="P757" t="n">
        <v>0</v>
      </c>
      <c r="Q757" t="n">
        <v>0</v>
      </c>
      <c r="R757" s="2" t="inlineStr"/>
    </row>
    <row r="758" ht="15" customHeight="1">
      <c r="A758" t="inlineStr">
        <is>
          <t>A 8733-2023</t>
        </is>
      </c>
      <c r="B758" s="1" t="n">
        <v>44972</v>
      </c>
      <c r="C758" s="1" t="n">
        <v>45628</v>
      </c>
      <c r="D758" t="inlineStr">
        <is>
          <t>VÄSTERBOTTENS LÄN</t>
        </is>
      </c>
      <c r="E758" t="inlineStr">
        <is>
          <t>VILHELMINA</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8726-2023</t>
        </is>
      </c>
      <c r="B759" s="1" t="n">
        <v>44972</v>
      </c>
      <c r="C759" s="1" t="n">
        <v>45628</v>
      </c>
      <c r="D759" t="inlineStr">
        <is>
          <t>VÄSTERBOTTENS LÄN</t>
        </is>
      </c>
      <c r="E759" t="inlineStr">
        <is>
          <t>VILHELMINA</t>
        </is>
      </c>
      <c r="F759" t="inlineStr">
        <is>
          <t>Allmännings- och besparingsskogar</t>
        </is>
      </c>
      <c r="G759" t="n">
        <v>48.5</v>
      </c>
      <c r="H759" t="n">
        <v>0</v>
      </c>
      <c r="I759" t="n">
        <v>0</v>
      </c>
      <c r="J759" t="n">
        <v>0</v>
      </c>
      <c r="K759" t="n">
        <v>0</v>
      </c>
      <c r="L759" t="n">
        <v>0</v>
      </c>
      <c r="M759" t="n">
        <v>0</v>
      </c>
      <c r="N759" t="n">
        <v>0</v>
      </c>
      <c r="O759" t="n">
        <v>0</v>
      </c>
      <c r="P759" t="n">
        <v>0</v>
      </c>
      <c r="Q759" t="n">
        <v>0</v>
      </c>
      <c r="R759" s="2" t="inlineStr"/>
    </row>
    <row r="760" ht="15" customHeight="1">
      <c r="A760" t="inlineStr">
        <is>
          <t>A 8908-2023</t>
        </is>
      </c>
      <c r="B760" s="1" t="n">
        <v>44972</v>
      </c>
      <c r="C760" s="1" t="n">
        <v>45628</v>
      </c>
      <c r="D760" t="inlineStr">
        <is>
          <t>VÄSTERBOTTENS LÄN</t>
        </is>
      </c>
      <c r="E760" t="inlineStr">
        <is>
          <t>VILHELMINA</t>
        </is>
      </c>
      <c r="F760" t="inlineStr">
        <is>
          <t>Allmännings- och besparingsskogar</t>
        </is>
      </c>
      <c r="G760" t="n">
        <v>22.3</v>
      </c>
      <c r="H760" t="n">
        <v>0</v>
      </c>
      <c r="I760" t="n">
        <v>0</v>
      </c>
      <c r="J760" t="n">
        <v>0</v>
      </c>
      <c r="K760" t="n">
        <v>0</v>
      </c>
      <c r="L760" t="n">
        <v>0</v>
      </c>
      <c r="M760" t="n">
        <v>0</v>
      </c>
      <c r="N760" t="n">
        <v>0</v>
      </c>
      <c r="O760" t="n">
        <v>0</v>
      </c>
      <c r="P760" t="n">
        <v>0</v>
      </c>
      <c r="Q760" t="n">
        <v>0</v>
      </c>
      <c r="R760" s="2" t="inlineStr"/>
    </row>
    <row r="761" ht="15" customHeight="1">
      <c r="A761" t="inlineStr">
        <is>
          <t>A 9181-2023</t>
        </is>
      </c>
      <c r="B761" s="1" t="n">
        <v>44972</v>
      </c>
      <c r="C761" s="1" t="n">
        <v>45628</v>
      </c>
      <c r="D761" t="inlineStr">
        <is>
          <t>VÄSTERBOTTENS LÄN</t>
        </is>
      </c>
      <c r="E761" t="inlineStr">
        <is>
          <t>VILHELMINA</t>
        </is>
      </c>
      <c r="F761" t="inlineStr">
        <is>
          <t>Allmännings- och besparingsskogar</t>
        </is>
      </c>
      <c r="G761" t="n">
        <v>213.9</v>
      </c>
      <c r="H761" t="n">
        <v>0</v>
      </c>
      <c r="I761" t="n">
        <v>0</v>
      </c>
      <c r="J761" t="n">
        <v>0</v>
      </c>
      <c r="K761" t="n">
        <v>0</v>
      </c>
      <c r="L761" t="n">
        <v>0</v>
      </c>
      <c r="M761" t="n">
        <v>0</v>
      </c>
      <c r="N761" t="n">
        <v>0</v>
      </c>
      <c r="O761" t="n">
        <v>0</v>
      </c>
      <c r="P761" t="n">
        <v>0</v>
      </c>
      <c r="Q761" t="n">
        <v>0</v>
      </c>
      <c r="R761" s="2" t="inlineStr"/>
    </row>
    <row r="762" ht="15" customHeight="1">
      <c r="A762" t="inlineStr">
        <is>
          <t>A 9170-2023</t>
        </is>
      </c>
      <c r="B762" s="1" t="n">
        <v>44972</v>
      </c>
      <c r="C762" s="1" t="n">
        <v>45628</v>
      </c>
      <c r="D762" t="inlineStr">
        <is>
          <t>VÄSTERBOTTENS LÄN</t>
        </is>
      </c>
      <c r="E762" t="inlineStr">
        <is>
          <t>VILHELMINA</t>
        </is>
      </c>
      <c r="F762" t="inlineStr">
        <is>
          <t>Allmännings- och besparingsskogar</t>
        </is>
      </c>
      <c r="G762" t="n">
        <v>4.7</v>
      </c>
      <c r="H762" t="n">
        <v>0</v>
      </c>
      <c r="I762" t="n">
        <v>0</v>
      </c>
      <c r="J762" t="n">
        <v>0</v>
      </c>
      <c r="K762" t="n">
        <v>0</v>
      </c>
      <c r="L762" t="n">
        <v>0</v>
      </c>
      <c r="M762" t="n">
        <v>0</v>
      </c>
      <c r="N762" t="n">
        <v>0</v>
      </c>
      <c r="O762" t="n">
        <v>0</v>
      </c>
      <c r="P762" t="n">
        <v>0</v>
      </c>
      <c r="Q762" t="n">
        <v>0</v>
      </c>
      <c r="R762" s="2" t="inlineStr"/>
    </row>
    <row r="763" ht="15" customHeight="1">
      <c r="A763" t="inlineStr">
        <is>
          <t>A 8916-2023</t>
        </is>
      </c>
      <c r="B763" s="1" t="n">
        <v>44972</v>
      </c>
      <c r="C763" s="1" t="n">
        <v>45628</v>
      </c>
      <c r="D763" t="inlineStr">
        <is>
          <t>VÄSTERBOTTENS LÄN</t>
        </is>
      </c>
      <c r="E763" t="inlineStr">
        <is>
          <t>VILHELMINA</t>
        </is>
      </c>
      <c r="F763" t="inlineStr">
        <is>
          <t>Allmännings- och besparingsskogar</t>
        </is>
      </c>
      <c r="G763" t="n">
        <v>20.9</v>
      </c>
      <c r="H763" t="n">
        <v>0</v>
      </c>
      <c r="I763" t="n">
        <v>0</v>
      </c>
      <c r="J763" t="n">
        <v>0</v>
      </c>
      <c r="K763" t="n">
        <v>0</v>
      </c>
      <c r="L763" t="n">
        <v>0</v>
      </c>
      <c r="M763" t="n">
        <v>0</v>
      </c>
      <c r="N763" t="n">
        <v>0</v>
      </c>
      <c r="O763" t="n">
        <v>0</v>
      </c>
      <c r="P763" t="n">
        <v>0</v>
      </c>
      <c r="Q763" t="n">
        <v>0</v>
      </c>
      <c r="R763" s="2" t="inlineStr"/>
    </row>
    <row r="764" ht="15" customHeight="1">
      <c r="A764" t="inlineStr">
        <is>
          <t>A 9185-2023</t>
        </is>
      </c>
      <c r="B764" s="1" t="n">
        <v>44972</v>
      </c>
      <c r="C764" s="1" t="n">
        <v>45628</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8027-2023</t>
        </is>
      </c>
      <c r="B765" s="1" t="n">
        <v>44973</v>
      </c>
      <c r="C765" s="1" t="n">
        <v>45628</v>
      </c>
      <c r="D765" t="inlineStr">
        <is>
          <t>VÄSTERBOTTENS LÄN</t>
        </is>
      </c>
      <c r="E765" t="inlineStr">
        <is>
          <t>VILHELMINA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8652-2023</t>
        </is>
      </c>
      <c r="B766" s="1" t="n">
        <v>44978</v>
      </c>
      <c r="C766" s="1" t="n">
        <v>45628</v>
      </c>
      <c r="D766" t="inlineStr">
        <is>
          <t>VÄSTERBOTTENS LÄN</t>
        </is>
      </c>
      <c r="E766" t="inlineStr">
        <is>
          <t>VILHELMINA</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8653-2023</t>
        </is>
      </c>
      <c r="B767" s="1" t="n">
        <v>44977</v>
      </c>
      <c r="C767" s="1" t="n">
        <v>45628</v>
      </c>
      <c r="D767" t="inlineStr">
        <is>
          <t>VÄSTERBOTTENS LÄN</t>
        </is>
      </c>
      <c r="E767" t="inlineStr">
        <is>
          <t>VILHELMINA</t>
        </is>
      </c>
      <c r="F767" t="inlineStr">
        <is>
          <t>SCA</t>
        </is>
      </c>
      <c r="G767" t="n">
        <v>7.9</v>
      </c>
      <c r="H767" t="n">
        <v>0</v>
      </c>
      <c r="I767" t="n">
        <v>0</v>
      </c>
      <c r="J767" t="n">
        <v>0</v>
      </c>
      <c r="K767" t="n">
        <v>0</v>
      </c>
      <c r="L767" t="n">
        <v>0</v>
      </c>
      <c r="M767" t="n">
        <v>0</v>
      </c>
      <c r="N767" t="n">
        <v>0</v>
      </c>
      <c r="O767" t="n">
        <v>0</v>
      </c>
      <c r="P767" t="n">
        <v>0</v>
      </c>
      <c r="Q767" t="n">
        <v>0</v>
      </c>
      <c r="R767" s="2" t="inlineStr"/>
    </row>
    <row r="768" ht="15" customHeight="1">
      <c r="A768" t="inlineStr">
        <is>
          <t>A 8650-2023</t>
        </is>
      </c>
      <c r="B768" s="1" t="n">
        <v>44977</v>
      </c>
      <c r="C768" s="1" t="n">
        <v>45628</v>
      </c>
      <c r="D768" t="inlineStr">
        <is>
          <t>VÄSTERBOTTENS LÄN</t>
        </is>
      </c>
      <c r="E768" t="inlineStr">
        <is>
          <t>VILHELMINA</t>
        </is>
      </c>
      <c r="F768" t="inlineStr">
        <is>
          <t>SCA</t>
        </is>
      </c>
      <c r="G768" t="n">
        <v>48.9</v>
      </c>
      <c r="H768" t="n">
        <v>0</v>
      </c>
      <c r="I768" t="n">
        <v>0</v>
      </c>
      <c r="J768" t="n">
        <v>0</v>
      </c>
      <c r="K768" t="n">
        <v>0</v>
      </c>
      <c r="L768" t="n">
        <v>0</v>
      </c>
      <c r="M768" t="n">
        <v>0</v>
      </c>
      <c r="N768" t="n">
        <v>0</v>
      </c>
      <c r="O768" t="n">
        <v>0</v>
      </c>
      <c r="P768" t="n">
        <v>0</v>
      </c>
      <c r="Q768" t="n">
        <v>0</v>
      </c>
      <c r="R768" s="2" t="inlineStr"/>
    </row>
    <row r="769" ht="15" customHeight="1">
      <c r="A769" t="inlineStr">
        <is>
          <t>A 9197-2023</t>
        </is>
      </c>
      <c r="B769" s="1" t="n">
        <v>44977</v>
      </c>
      <c r="C769" s="1" t="n">
        <v>45628</v>
      </c>
      <c r="D769" t="inlineStr">
        <is>
          <t>VÄSTERBOTTENS LÄN</t>
        </is>
      </c>
      <c r="E769" t="inlineStr">
        <is>
          <t>VILHELMINA</t>
        </is>
      </c>
      <c r="G769" t="n">
        <v>8.9</v>
      </c>
      <c r="H769" t="n">
        <v>0</v>
      </c>
      <c r="I769" t="n">
        <v>0</v>
      </c>
      <c r="J769" t="n">
        <v>0</v>
      </c>
      <c r="K769" t="n">
        <v>0</v>
      </c>
      <c r="L769" t="n">
        <v>0</v>
      </c>
      <c r="M769" t="n">
        <v>0</v>
      </c>
      <c r="N769" t="n">
        <v>0</v>
      </c>
      <c r="O769" t="n">
        <v>0</v>
      </c>
      <c r="P769" t="n">
        <v>0</v>
      </c>
      <c r="Q769" t="n">
        <v>0</v>
      </c>
      <c r="R769" s="2" t="inlineStr"/>
    </row>
    <row r="770" ht="15" customHeight="1">
      <c r="A770" t="inlineStr">
        <is>
          <t>A 8859-2023</t>
        </is>
      </c>
      <c r="B770" s="1" t="n">
        <v>44978</v>
      </c>
      <c r="C770" s="1" t="n">
        <v>45628</v>
      </c>
      <c r="D770" t="inlineStr">
        <is>
          <t>VÄSTERBOTTENS LÄN</t>
        </is>
      </c>
      <c r="E770" t="inlineStr">
        <is>
          <t>VILHELMINA</t>
        </is>
      </c>
      <c r="G770" t="n">
        <v>6.3</v>
      </c>
      <c r="H770" t="n">
        <v>0</v>
      </c>
      <c r="I770" t="n">
        <v>0</v>
      </c>
      <c r="J770" t="n">
        <v>0</v>
      </c>
      <c r="K770" t="n">
        <v>0</v>
      </c>
      <c r="L770" t="n">
        <v>0</v>
      </c>
      <c r="M770" t="n">
        <v>0</v>
      </c>
      <c r="N770" t="n">
        <v>0</v>
      </c>
      <c r="O770" t="n">
        <v>0</v>
      </c>
      <c r="P770" t="n">
        <v>0</v>
      </c>
      <c r="Q770" t="n">
        <v>0</v>
      </c>
      <c r="R770" s="2" t="inlineStr"/>
    </row>
    <row r="771" ht="15" customHeight="1">
      <c r="A771" t="inlineStr">
        <is>
          <t>A 9534-2023</t>
        </is>
      </c>
      <c r="B771" s="1" t="n">
        <v>44981</v>
      </c>
      <c r="C771" s="1" t="n">
        <v>45628</v>
      </c>
      <c r="D771" t="inlineStr">
        <is>
          <t>VÄSTERBOTTENS LÄN</t>
        </is>
      </c>
      <c r="E771" t="inlineStr">
        <is>
          <t>VILHELMINA</t>
        </is>
      </c>
      <c r="G771" t="n">
        <v>1.7</v>
      </c>
      <c r="H771" t="n">
        <v>0</v>
      </c>
      <c r="I771" t="n">
        <v>0</v>
      </c>
      <c r="J771" t="n">
        <v>0</v>
      </c>
      <c r="K771" t="n">
        <v>0</v>
      </c>
      <c r="L771" t="n">
        <v>0</v>
      </c>
      <c r="M771" t="n">
        <v>0</v>
      </c>
      <c r="N771" t="n">
        <v>0</v>
      </c>
      <c r="O771" t="n">
        <v>0</v>
      </c>
      <c r="P771" t="n">
        <v>0</v>
      </c>
      <c r="Q771" t="n">
        <v>0</v>
      </c>
      <c r="R771" s="2" t="inlineStr"/>
    </row>
    <row r="772" ht="15" customHeight="1">
      <c r="A772" t="inlineStr">
        <is>
          <t>A 9844-2023</t>
        </is>
      </c>
      <c r="B772" s="1" t="n">
        <v>44984</v>
      </c>
      <c r="C772" s="1" t="n">
        <v>45628</v>
      </c>
      <c r="D772" t="inlineStr">
        <is>
          <t>VÄSTERBOTTENS LÄN</t>
        </is>
      </c>
      <c r="E772" t="inlineStr">
        <is>
          <t>VILHELMINA</t>
        </is>
      </c>
      <c r="G772" t="n">
        <v>21.8</v>
      </c>
      <c r="H772" t="n">
        <v>0</v>
      </c>
      <c r="I772" t="n">
        <v>0</v>
      </c>
      <c r="J772" t="n">
        <v>0</v>
      </c>
      <c r="K772" t="n">
        <v>0</v>
      </c>
      <c r="L772" t="n">
        <v>0</v>
      </c>
      <c r="M772" t="n">
        <v>0</v>
      </c>
      <c r="N772" t="n">
        <v>0</v>
      </c>
      <c r="O772" t="n">
        <v>0</v>
      </c>
      <c r="P772" t="n">
        <v>0</v>
      </c>
      <c r="Q772" t="n">
        <v>0</v>
      </c>
      <c r="R772" s="2" t="inlineStr"/>
    </row>
    <row r="773" ht="15" customHeight="1">
      <c r="A773" t="inlineStr">
        <is>
          <t>A 10941-2023</t>
        </is>
      </c>
      <c r="B773" s="1" t="n">
        <v>44985</v>
      </c>
      <c r="C773" s="1" t="n">
        <v>45628</v>
      </c>
      <c r="D773" t="inlineStr">
        <is>
          <t>VÄSTERBOTTENS LÄN</t>
        </is>
      </c>
      <c r="E773" t="inlineStr">
        <is>
          <t>VILHELMINA</t>
        </is>
      </c>
      <c r="G773" t="n">
        <v>16.7</v>
      </c>
      <c r="H773" t="n">
        <v>0</v>
      </c>
      <c r="I773" t="n">
        <v>0</v>
      </c>
      <c r="J773" t="n">
        <v>0</v>
      </c>
      <c r="K773" t="n">
        <v>0</v>
      </c>
      <c r="L773" t="n">
        <v>0</v>
      </c>
      <c r="M773" t="n">
        <v>0</v>
      </c>
      <c r="N773" t="n">
        <v>0</v>
      </c>
      <c r="O773" t="n">
        <v>0</v>
      </c>
      <c r="P773" t="n">
        <v>0</v>
      </c>
      <c r="Q773" t="n">
        <v>0</v>
      </c>
      <c r="R773" s="2" t="inlineStr"/>
    </row>
    <row r="774" ht="15" customHeight="1">
      <c r="A774" t="inlineStr">
        <is>
          <t>A 10952-2023</t>
        </is>
      </c>
      <c r="B774" s="1" t="n">
        <v>44985</v>
      </c>
      <c r="C774" s="1" t="n">
        <v>45628</v>
      </c>
      <c r="D774" t="inlineStr">
        <is>
          <t>VÄSTERBOTTENS LÄN</t>
        </is>
      </c>
      <c r="E774" t="inlineStr">
        <is>
          <t>VILHELMINA</t>
        </is>
      </c>
      <c r="G774" t="n">
        <v>10.6</v>
      </c>
      <c r="H774" t="n">
        <v>0</v>
      </c>
      <c r="I774" t="n">
        <v>0</v>
      </c>
      <c r="J774" t="n">
        <v>0</v>
      </c>
      <c r="K774" t="n">
        <v>0</v>
      </c>
      <c r="L774" t="n">
        <v>0</v>
      </c>
      <c r="M774" t="n">
        <v>0</v>
      </c>
      <c r="N774" t="n">
        <v>0</v>
      </c>
      <c r="O774" t="n">
        <v>0</v>
      </c>
      <c r="P774" t="n">
        <v>0</v>
      </c>
      <c r="Q774" t="n">
        <v>0</v>
      </c>
      <c r="R774" s="2" t="inlineStr"/>
    </row>
    <row r="775" ht="15" customHeight="1">
      <c r="A775" t="inlineStr">
        <is>
          <t>A 10937-2023</t>
        </is>
      </c>
      <c r="B775" s="1" t="n">
        <v>44985</v>
      </c>
      <c r="C775" s="1" t="n">
        <v>45628</v>
      </c>
      <c r="D775" t="inlineStr">
        <is>
          <t>VÄSTERBOTTENS LÄN</t>
        </is>
      </c>
      <c r="E775" t="inlineStr">
        <is>
          <t>VILHELMINA</t>
        </is>
      </c>
      <c r="G775" t="n">
        <v>1.9</v>
      </c>
      <c r="H775" t="n">
        <v>0</v>
      </c>
      <c r="I775" t="n">
        <v>0</v>
      </c>
      <c r="J775" t="n">
        <v>0</v>
      </c>
      <c r="K775" t="n">
        <v>0</v>
      </c>
      <c r="L775" t="n">
        <v>0</v>
      </c>
      <c r="M775" t="n">
        <v>0</v>
      </c>
      <c r="N775" t="n">
        <v>0</v>
      </c>
      <c r="O775" t="n">
        <v>0</v>
      </c>
      <c r="P775" t="n">
        <v>0</v>
      </c>
      <c r="Q775" t="n">
        <v>0</v>
      </c>
      <c r="R775" s="2" t="inlineStr"/>
    </row>
    <row r="776" ht="15" customHeight="1">
      <c r="A776" t="inlineStr">
        <is>
          <t>A 10947-2023</t>
        </is>
      </c>
      <c r="B776" s="1" t="n">
        <v>44985</v>
      </c>
      <c r="C776" s="1" t="n">
        <v>45628</v>
      </c>
      <c r="D776" t="inlineStr">
        <is>
          <t>VÄSTERBOTTENS LÄN</t>
        </is>
      </c>
      <c r="E776" t="inlineStr">
        <is>
          <t>VILHELMINA</t>
        </is>
      </c>
      <c r="G776" t="n">
        <v>2.1</v>
      </c>
      <c r="H776" t="n">
        <v>0</v>
      </c>
      <c r="I776" t="n">
        <v>0</v>
      </c>
      <c r="J776" t="n">
        <v>0</v>
      </c>
      <c r="K776" t="n">
        <v>0</v>
      </c>
      <c r="L776" t="n">
        <v>0</v>
      </c>
      <c r="M776" t="n">
        <v>0</v>
      </c>
      <c r="N776" t="n">
        <v>0</v>
      </c>
      <c r="O776" t="n">
        <v>0</v>
      </c>
      <c r="P776" t="n">
        <v>0</v>
      </c>
      <c r="Q776" t="n">
        <v>0</v>
      </c>
      <c r="R776" s="2" t="inlineStr"/>
    </row>
    <row r="777" ht="15" customHeight="1">
      <c r="A777" t="inlineStr">
        <is>
          <t>A 10956-2023</t>
        </is>
      </c>
      <c r="B777" s="1" t="n">
        <v>44985</v>
      </c>
      <c r="C777" s="1" t="n">
        <v>45628</v>
      </c>
      <c r="D777" t="inlineStr">
        <is>
          <t>VÄSTERBOTTENS LÄN</t>
        </is>
      </c>
      <c r="E777" t="inlineStr">
        <is>
          <t>VILHELMINA</t>
        </is>
      </c>
      <c r="G777" t="n">
        <v>3.3</v>
      </c>
      <c r="H777" t="n">
        <v>0</v>
      </c>
      <c r="I777" t="n">
        <v>0</v>
      </c>
      <c r="J777" t="n">
        <v>0</v>
      </c>
      <c r="K777" t="n">
        <v>0</v>
      </c>
      <c r="L777" t="n">
        <v>0</v>
      </c>
      <c r="M777" t="n">
        <v>0</v>
      </c>
      <c r="N777" t="n">
        <v>0</v>
      </c>
      <c r="O777" t="n">
        <v>0</v>
      </c>
      <c r="P777" t="n">
        <v>0</v>
      </c>
      <c r="Q777" t="n">
        <v>0</v>
      </c>
      <c r="R777" s="2" t="inlineStr"/>
    </row>
    <row r="778" ht="15" customHeight="1">
      <c r="A778" t="inlineStr">
        <is>
          <t>A 10933-2023</t>
        </is>
      </c>
      <c r="B778" s="1" t="n">
        <v>44985</v>
      </c>
      <c r="C778" s="1" t="n">
        <v>45628</v>
      </c>
      <c r="D778" t="inlineStr">
        <is>
          <t>VÄSTERBOTTENS LÄN</t>
        </is>
      </c>
      <c r="E778" t="inlineStr">
        <is>
          <t>VILHELMINA</t>
        </is>
      </c>
      <c r="G778" t="n">
        <v>9.5</v>
      </c>
      <c r="H778" t="n">
        <v>0</v>
      </c>
      <c r="I778" t="n">
        <v>0</v>
      </c>
      <c r="J778" t="n">
        <v>0</v>
      </c>
      <c r="K778" t="n">
        <v>0</v>
      </c>
      <c r="L778" t="n">
        <v>0</v>
      </c>
      <c r="M778" t="n">
        <v>0</v>
      </c>
      <c r="N778" t="n">
        <v>0</v>
      </c>
      <c r="O778" t="n">
        <v>0</v>
      </c>
      <c r="P778" t="n">
        <v>0</v>
      </c>
      <c r="Q778" t="n">
        <v>0</v>
      </c>
      <c r="R778" s="2" t="inlineStr"/>
    </row>
    <row r="779" ht="15" customHeight="1">
      <c r="A779" t="inlineStr">
        <is>
          <t>A 10418-2023</t>
        </is>
      </c>
      <c r="B779" s="1" t="n">
        <v>44987</v>
      </c>
      <c r="C779" s="1" t="n">
        <v>45628</v>
      </c>
      <c r="D779" t="inlineStr">
        <is>
          <t>VÄSTERBOTTENS LÄN</t>
        </is>
      </c>
      <c r="E779" t="inlineStr">
        <is>
          <t>VILHELMINA</t>
        </is>
      </c>
      <c r="G779" t="n">
        <v>3.2</v>
      </c>
      <c r="H779" t="n">
        <v>0</v>
      </c>
      <c r="I779" t="n">
        <v>0</v>
      </c>
      <c r="J779" t="n">
        <v>0</v>
      </c>
      <c r="K779" t="n">
        <v>0</v>
      </c>
      <c r="L779" t="n">
        <v>0</v>
      </c>
      <c r="M779" t="n">
        <v>0</v>
      </c>
      <c r="N779" t="n">
        <v>0</v>
      </c>
      <c r="O779" t="n">
        <v>0</v>
      </c>
      <c r="P779" t="n">
        <v>0</v>
      </c>
      <c r="Q779" t="n">
        <v>0</v>
      </c>
      <c r="R779" s="2" t="inlineStr"/>
    </row>
    <row r="780" ht="15" customHeight="1">
      <c r="A780" t="inlineStr">
        <is>
          <t>A 11323-2023</t>
        </is>
      </c>
      <c r="B780" s="1" t="n">
        <v>44993</v>
      </c>
      <c r="C780" s="1" t="n">
        <v>45628</v>
      </c>
      <c r="D780" t="inlineStr">
        <is>
          <t>VÄSTERBOTTENS LÄN</t>
        </is>
      </c>
      <c r="E780" t="inlineStr">
        <is>
          <t>VILHELMINA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11544-2023</t>
        </is>
      </c>
      <c r="B781" s="1" t="n">
        <v>44993</v>
      </c>
      <c r="C781" s="1" t="n">
        <v>45628</v>
      </c>
      <c r="D781" t="inlineStr">
        <is>
          <t>VÄSTERBOTTENS LÄN</t>
        </is>
      </c>
      <c r="E781" t="inlineStr">
        <is>
          <t>VILHELMINA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11311-2023</t>
        </is>
      </c>
      <c r="B782" s="1" t="n">
        <v>44993</v>
      </c>
      <c r="C782" s="1" t="n">
        <v>45628</v>
      </c>
      <c r="D782" t="inlineStr">
        <is>
          <t>VÄSTERBOTTENS LÄN</t>
        </is>
      </c>
      <c r="E782" t="inlineStr">
        <is>
          <t>VILHELMINA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11825-2023</t>
        </is>
      </c>
      <c r="B783" s="1" t="n">
        <v>44994</v>
      </c>
      <c r="C783" s="1" t="n">
        <v>45628</v>
      </c>
      <c r="D783" t="inlineStr">
        <is>
          <t>VÄSTERBOTTENS LÄN</t>
        </is>
      </c>
      <c r="E783" t="inlineStr">
        <is>
          <t>VILHELMINA</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11833-2023</t>
        </is>
      </c>
      <c r="B784" s="1" t="n">
        <v>44994</v>
      </c>
      <c r="C784" s="1" t="n">
        <v>45628</v>
      </c>
      <c r="D784" t="inlineStr">
        <is>
          <t>VÄSTERBOTTENS LÄN</t>
        </is>
      </c>
      <c r="E784" t="inlineStr">
        <is>
          <t>VILHELMINA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12043-2023</t>
        </is>
      </c>
      <c r="B785" s="1" t="n">
        <v>44995</v>
      </c>
      <c r="C785" s="1" t="n">
        <v>45628</v>
      </c>
      <c r="D785" t="inlineStr">
        <is>
          <t>VÄSTERBOTTENS LÄN</t>
        </is>
      </c>
      <c r="E785" t="inlineStr">
        <is>
          <t>VILHELMINA</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12784-2023</t>
        </is>
      </c>
      <c r="B786" s="1" t="n">
        <v>45000</v>
      </c>
      <c r="C786" s="1" t="n">
        <v>45628</v>
      </c>
      <c r="D786" t="inlineStr">
        <is>
          <t>VÄSTERBOTTENS LÄN</t>
        </is>
      </c>
      <c r="E786" t="inlineStr">
        <is>
          <t>VILHELMINA</t>
        </is>
      </c>
      <c r="G786" t="n">
        <v>18.6</v>
      </c>
      <c r="H786" t="n">
        <v>0</v>
      </c>
      <c r="I786" t="n">
        <v>0</v>
      </c>
      <c r="J786" t="n">
        <v>0</v>
      </c>
      <c r="K786" t="n">
        <v>0</v>
      </c>
      <c r="L786" t="n">
        <v>0</v>
      </c>
      <c r="M786" t="n">
        <v>0</v>
      </c>
      <c r="N786" t="n">
        <v>0</v>
      </c>
      <c r="O786" t="n">
        <v>0</v>
      </c>
      <c r="P786" t="n">
        <v>0</v>
      </c>
      <c r="Q786" t="n">
        <v>0</v>
      </c>
      <c r="R786" s="2" t="inlineStr"/>
    </row>
    <row r="787" ht="15" customHeight="1">
      <c r="A787" t="inlineStr">
        <is>
          <t>A 12866-2023</t>
        </is>
      </c>
      <c r="B787" s="1" t="n">
        <v>45000</v>
      </c>
      <c r="C787" s="1" t="n">
        <v>45628</v>
      </c>
      <c r="D787" t="inlineStr">
        <is>
          <t>VÄSTERBOTTENS LÄN</t>
        </is>
      </c>
      <c r="E787" t="inlineStr">
        <is>
          <t>VILHELMINA</t>
        </is>
      </c>
      <c r="G787" t="n">
        <v>2.6</v>
      </c>
      <c r="H787" t="n">
        <v>0</v>
      </c>
      <c r="I787" t="n">
        <v>0</v>
      </c>
      <c r="J787" t="n">
        <v>0</v>
      </c>
      <c r="K787" t="n">
        <v>0</v>
      </c>
      <c r="L787" t="n">
        <v>0</v>
      </c>
      <c r="M787" t="n">
        <v>0</v>
      </c>
      <c r="N787" t="n">
        <v>0</v>
      </c>
      <c r="O787" t="n">
        <v>0</v>
      </c>
      <c r="P787" t="n">
        <v>0</v>
      </c>
      <c r="Q787" t="n">
        <v>0</v>
      </c>
      <c r="R787" s="2" t="inlineStr"/>
    </row>
    <row r="788" ht="15" customHeight="1">
      <c r="A788" t="inlineStr">
        <is>
          <t>A 12825-2023</t>
        </is>
      </c>
      <c r="B788" s="1" t="n">
        <v>45000</v>
      </c>
      <c r="C788" s="1" t="n">
        <v>45628</v>
      </c>
      <c r="D788" t="inlineStr">
        <is>
          <t>VÄSTERBOTTENS LÄN</t>
        </is>
      </c>
      <c r="E788" t="inlineStr">
        <is>
          <t>VILHELMINA</t>
        </is>
      </c>
      <c r="G788" t="n">
        <v>22.4</v>
      </c>
      <c r="H788" t="n">
        <v>0</v>
      </c>
      <c r="I788" t="n">
        <v>0</v>
      </c>
      <c r="J788" t="n">
        <v>0</v>
      </c>
      <c r="K788" t="n">
        <v>0</v>
      </c>
      <c r="L788" t="n">
        <v>0</v>
      </c>
      <c r="M788" t="n">
        <v>0</v>
      </c>
      <c r="N788" t="n">
        <v>0</v>
      </c>
      <c r="O788" t="n">
        <v>0</v>
      </c>
      <c r="P788" t="n">
        <v>0</v>
      </c>
      <c r="Q788" t="n">
        <v>0</v>
      </c>
      <c r="R788" s="2" t="inlineStr"/>
    </row>
    <row r="789" ht="15" customHeight="1">
      <c r="A789" t="inlineStr">
        <is>
          <t>A 15814-2023</t>
        </is>
      </c>
      <c r="B789" s="1" t="n">
        <v>45021</v>
      </c>
      <c r="C789" s="1" t="n">
        <v>45628</v>
      </c>
      <c r="D789" t="inlineStr">
        <is>
          <t>VÄSTERBOTTENS LÄN</t>
        </is>
      </c>
      <c r="E789" t="inlineStr">
        <is>
          <t>VILHELMINA</t>
        </is>
      </c>
      <c r="F789" t="inlineStr">
        <is>
          <t>SCA</t>
        </is>
      </c>
      <c r="G789" t="n">
        <v>69.7</v>
      </c>
      <c r="H789" t="n">
        <v>0</v>
      </c>
      <c r="I789" t="n">
        <v>0</v>
      </c>
      <c r="J789" t="n">
        <v>0</v>
      </c>
      <c r="K789" t="n">
        <v>0</v>
      </c>
      <c r="L789" t="n">
        <v>0</v>
      </c>
      <c r="M789" t="n">
        <v>0</v>
      </c>
      <c r="N789" t="n">
        <v>0</v>
      </c>
      <c r="O789" t="n">
        <v>0</v>
      </c>
      <c r="P789" t="n">
        <v>0</v>
      </c>
      <c r="Q789" t="n">
        <v>0</v>
      </c>
      <c r="R789" s="2" t="inlineStr"/>
    </row>
    <row r="790" ht="15" customHeight="1">
      <c r="A790" t="inlineStr">
        <is>
          <t>A 18554-2023</t>
        </is>
      </c>
      <c r="B790" s="1" t="n">
        <v>45043</v>
      </c>
      <c r="C790" s="1" t="n">
        <v>45628</v>
      </c>
      <c r="D790" t="inlineStr">
        <is>
          <t>VÄSTERBOTTENS LÄN</t>
        </is>
      </c>
      <c r="E790" t="inlineStr">
        <is>
          <t>VILHELMINA</t>
        </is>
      </c>
      <c r="F790" t="inlineStr">
        <is>
          <t>SCA</t>
        </is>
      </c>
      <c r="G790" t="n">
        <v>18.1</v>
      </c>
      <c r="H790" t="n">
        <v>0</v>
      </c>
      <c r="I790" t="n">
        <v>0</v>
      </c>
      <c r="J790" t="n">
        <v>0</v>
      </c>
      <c r="K790" t="n">
        <v>0</v>
      </c>
      <c r="L790" t="n">
        <v>0</v>
      </c>
      <c r="M790" t="n">
        <v>0</v>
      </c>
      <c r="N790" t="n">
        <v>0</v>
      </c>
      <c r="O790" t="n">
        <v>0</v>
      </c>
      <c r="P790" t="n">
        <v>0</v>
      </c>
      <c r="Q790" t="n">
        <v>0</v>
      </c>
      <c r="R790" s="2" t="inlineStr"/>
    </row>
    <row r="791" ht="15" customHeight="1">
      <c r="A791" t="inlineStr">
        <is>
          <t>A 18692-2023</t>
        </is>
      </c>
      <c r="B791" s="1" t="n">
        <v>45042</v>
      </c>
      <c r="C791" s="1" t="n">
        <v>45628</v>
      </c>
      <c r="D791" t="inlineStr">
        <is>
          <t>VÄSTERBOTTENS LÄN</t>
        </is>
      </c>
      <c r="E791" t="inlineStr">
        <is>
          <t>VILHELMINA</t>
        </is>
      </c>
      <c r="F791" t="inlineStr">
        <is>
          <t>Allmännings- och besparingsskogar</t>
        </is>
      </c>
      <c r="G791" t="n">
        <v>0.6</v>
      </c>
      <c r="H791" t="n">
        <v>0</v>
      </c>
      <c r="I791" t="n">
        <v>0</v>
      </c>
      <c r="J791" t="n">
        <v>0</v>
      </c>
      <c r="K791" t="n">
        <v>0</v>
      </c>
      <c r="L791" t="n">
        <v>0</v>
      </c>
      <c r="M791" t="n">
        <v>0</v>
      </c>
      <c r="N791" t="n">
        <v>0</v>
      </c>
      <c r="O791" t="n">
        <v>0</v>
      </c>
      <c r="P791" t="n">
        <v>0</v>
      </c>
      <c r="Q791" t="n">
        <v>0</v>
      </c>
      <c r="R791" s="2" t="inlineStr"/>
    </row>
    <row r="792" ht="15" customHeight="1">
      <c r="A792" t="inlineStr">
        <is>
          <t>A 19060-2023</t>
        </is>
      </c>
      <c r="B792" s="1" t="n">
        <v>45043</v>
      </c>
      <c r="C792" s="1" t="n">
        <v>45628</v>
      </c>
      <c r="D792" t="inlineStr">
        <is>
          <t>VÄSTERBOTTENS LÄN</t>
        </is>
      </c>
      <c r="E792" t="inlineStr">
        <is>
          <t>VILHELMINA</t>
        </is>
      </c>
      <c r="G792" t="n">
        <v>3.2</v>
      </c>
      <c r="H792" t="n">
        <v>0</v>
      </c>
      <c r="I792" t="n">
        <v>0</v>
      </c>
      <c r="J792" t="n">
        <v>0</v>
      </c>
      <c r="K792" t="n">
        <v>0</v>
      </c>
      <c r="L792" t="n">
        <v>0</v>
      </c>
      <c r="M792" t="n">
        <v>0</v>
      </c>
      <c r="N792" t="n">
        <v>0</v>
      </c>
      <c r="O792" t="n">
        <v>0</v>
      </c>
      <c r="P792" t="n">
        <v>0</v>
      </c>
      <c r="Q792" t="n">
        <v>0</v>
      </c>
      <c r="R792" s="2" t="inlineStr"/>
    </row>
    <row r="793" ht="15" customHeight="1">
      <c r="A793" t="inlineStr">
        <is>
          <t>A 19232-2023</t>
        </is>
      </c>
      <c r="B793" s="1" t="n">
        <v>45048</v>
      </c>
      <c r="C793" s="1" t="n">
        <v>45628</v>
      </c>
      <c r="D793" t="inlineStr">
        <is>
          <t>VÄSTERBOTTENS LÄN</t>
        </is>
      </c>
      <c r="E793" t="inlineStr">
        <is>
          <t>VILHELMINA</t>
        </is>
      </c>
      <c r="G793" t="n">
        <v>4.8</v>
      </c>
      <c r="H793" t="n">
        <v>0</v>
      </c>
      <c r="I793" t="n">
        <v>0</v>
      </c>
      <c r="J793" t="n">
        <v>0</v>
      </c>
      <c r="K793" t="n">
        <v>0</v>
      </c>
      <c r="L793" t="n">
        <v>0</v>
      </c>
      <c r="M793" t="n">
        <v>0</v>
      </c>
      <c r="N793" t="n">
        <v>0</v>
      </c>
      <c r="O793" t="n">
        <v>0</v>
      </c>
      <c r="P793" t="n">
        <v>0</v>
      </c>
      <c r="Q793" t="n">
        <v>0</v>
      </c>
      <c r="R793" s="2" t="inlineStr"/>
    </row>
    <row r="794" ht="15" customHeight="1">
      <c r="A794" t="inlineStr">
        <is>
          <t>A 19401-2023</t>
        </is>
      </c>
      <c r="B794" s="1" t="n">
        <v>45048</v>
      </c>
      <c r="C794" s="1" t="n">
        <v>45628</v>
      </c>
      <c r="D794" t="inlineStr">
        <is>
          <t>VÄSTERBOTTENS LÄN</t>
        </is>
      </c>
      <c r="E794" t="inlineStr">
        <is>
          <t>VILHELMINA</t>
        </is>
      </c>
      <c r="G794" t="n">
        <v>5.4</v>
      </c>
      <c r="H794" t="n">
        <v>0</v>
      </c>
      <c r="I794" t="n">
        <v>0</v>
      </c>
      <c r="J794" t="n">
        <v>0</v>
      </c>
      <c r="K794" t="n">
        <v>0</v>
      </c>
      <c r="L794" t="n">
        <v>0</v>
      </c>
      <c r="M794" t="n">
        <v>0</v>
      </c>
      <c r="N794" t="n">
        <v>0</v>
      </c>
      <c r="O794" t="n">
        <v>0</v>
      </c>
      <c r="P794" t="n">
        <v>0</v>
      </c>
      <c r="Q794" t="n">
        <v>0</v>
      </c>
      <c r="R794" s="2" t="inlineStr"/>
    </row>
    <row r="795" ht="15" customHeight="1">
      <c r="A795" t="inlineStr">
        <is>
          <t>A 19397-2023</t>
        </is>
      </c>
      <c r="B795" s="1" t="n">
        <v>45048</v>
      </c>
      <c r="C795" s="1" t="n">
        <v>45628</v>
      </c>
      <c r="D795" t="inlineStr">
        <is>
          <t>VÄSTERBOTTENS LÄN</t>
        </is>
      </c>
      <c r="E795" t="inlineStr">
        <is>
          <t>VILHELMINA</t>
        </is>
      </c>
      <c r="G795" t="n">
        <v>12.8</v>
      </c>
      <c r="H795" t="n">
        <v>0</v>
      </c>
      <c r="I795" t="n">
        <v>0</v>
      </c>
      <c r="J795" t="n">
        <v>0</v>
      </c>
      <c r="K795" t="n">
        <v>0</v>
      </c>
      <c r="L795" t="n">
        <v>0</v>
      </c>
      <c r="M795" t="n">
        <v>0</v>
      </c>
      <c r="N795" t="n">
        <v>0</v>
      </c>
      <c r="O795" t="n">
        <v>0</v>
      </c>
      <c r="P795" t="n">
        <v>0</v>
      </c>
      <c r="Q795" t="n">
        <v>0</v>
      </c>
      <c r="R795" s="2" t="inlineStr"/>
    </row>
    <row r="796" ht="15" customHeight="1">
      <c r="A796" t="inlineStr">
        <is>
          <t>A 19934-2023</t>
        </is>
      </c>
      <c r="B796" s="1" t="n">
        <v>45051</v>
      </c>
      <c r="C796" s="1" t="n">
        <v>45628</v>
      </c>
      <c r="D796" t="inlineStr">
        <is>
          <t>VÄSTERBOTTENS LÄN</t>
        </is>
      </c>
      <c r="E796" t="inlineStr">
        <is>
          <t>VILHELMINA</t>
        </is>
      </c>
      <c r="F796" t="inlineStr">
        <is>
          <t>Övriga statliga verk och myndigheter</t>
        </is>
      </c>
      <c r="G796" t="n">
        <v>28.1</v>
      </c>
      <c r="H796" t="n">
        <v>0</v>
      </c>
      <c r="I796" t="n">
        <v>0</v>
      </c>
      <c r="J796" t="n">
        <v>0</v>
      </c>
      <c r="K796" t="n">
        <v>0</v>
      </c>
      <c r="L796" t="n">
        <v>0</v>
      </c>
      <c r="M796" t="n">
        <v>0</v>
      </c>
      <c r="N796" t="n">
        <v>0</v>
      </c>
      <c r="O796" t="n">
        <v>0</v>
      </c>
      <c r="P796" t="n">
        <v>0</v>
      </c>
      <c r="Q796" t="n">
        <v>0</v>
      </c>
      <c r="R796" s="2" t="inlineStr"/>
    </row>
    <row r="797" ht="15" customHeight="1">
      <c r="A797" t="inlineStr">
        <is>
          <t>A 20090-2023</t>
        </is>
      </c>
      <c r="B797" s="1" t="n">
        <v>45054</v>
      </c>
      <c r="C797" s="1" t="n">
        <v>45628</v>
      </c>
      <c r="D797" t="inlineStr">
        <is>
          <t>VÄSTERBOTTENS LÄN</t>
        </is>
      </c>
      <c r="E797" t="inlineStr">
        <is>
          <t>VILHELMINA</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20454-2023</t>
        </is>
      </c>
      <c r="B798" s="1" t="n">
        <v>45056</v>
      </c>
      <c r="C798" s="1" t="n">
        <v>45628</v>
      </c>
      <c r="D798" t="inlineStr">
        <is>
          <t>VÄSTERBOTTENS LÄN</t>
        </is>
      </c>
      <c r="E798" t="inlineStr">
        <is>
          <t>VILHELMINA</t>
        </is>
      </c>
      <c r="G798" t="n">
        <v>5.5</v>
      </c>
      <c r="H798" t="n">
        <v>0</v>
      </c>
      <c r="I798" t="n">
        <v>0</v>
      </c>
      <c r="J798" t="n">
        <v>0</v>
      </c>
      <c r="K798" t="n">
        <v>0</v>
      </c>
      <c r="L798" t="n">
        <v>0</v>
      </c>
      <c r="M798" t="n">
        <v>0</v>
      </c>
      <c r="N798" t="n">
        <v>0</v>
      </c>
      <c r="O798" t="n">
        <v>0</v>
      </c>
      <c r="P798" t="n">
        <v>0</v>
      </c>
      <c r="Q798" t="n">
        <v>0</v>
      </c>
      <c r="R798" s="2" t="inlineStr"/>
    </row>
    <row r="799" ht="15" customHeight="1">
      <c r="A799" t="inlineStr">
        <is>
          <t>A 20455-2023</t>
        </is>
      </c>
      <c r="B799" s="1" t="n">
        <v>45056</v>
      </c>
      <c r="C799" s="1" t="n">
        <v>45628</v>
      </c>
      <c r="D799" t="inlineStr">
        <is>
          <t>VÄSTERBOTTENS LÄN</t>
        </is>
      </c>
      <c r="E799" t="inlineStr">
        <is>
          <t>VILHELMINA</t>
        </is>
      </c>
      <c r="G799" t="n">
        <v>3.1</v>
      </c>
      <c r="H799" t="n">
        <v>0</v>
      </c>
      <c r="I799" t="n">
        <v>0</v>
      </c>
      <c r="J799" t="n">
        <v>0</v>
      </c>
      <c r="K799" t="n">
        <v>0</v>
      </c>
      <c r="L799" t="n">
        <v>0</v>
      </c>
      <c r="M799" t="n">
        <v>0</v>
      </c>
      <c r="N799" t="n">
        <v>0</v>
      </c>
      <c r="O799" t="n">
        <v>0</v>
      </c>
      <c r="P799" t="n">
        <v>0</v>
      </c>
      <c r="Q799" t="n">
        <v>0</v>
      </c>
      <c r="R799" s="2" t="inlineStr"/>
    </row>
    <row r="800" ht="15" customHeight="1">
      <c r="A800" t="inlineStr">
        <is>
          <t>A 20595-2023</t>
        </is>
      </c>
      <c r="B800" s="1" t="n">
        <v>45057</v>
      </c>
      <c r="C800" s="1" t="n">
        <v>45628</v>
      </c>
      <c r="D800" t="inlineStr">
        <is>
          <t>VÄSTERBOTTENS LÄN</t>
        </is>
      </c>
      <c r="E800" t="inlineStr">
        <is>
          <t>VILHELMINA</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21334-2023</t>
        </is>
      </c>
      <c r="B801" s="1" t="n">
        <v>45062</v>
      </c>
      <c r="C801" s="1" t="n">
        <v>45628</v>
      </c>
      <c r="D801" t="inlineStr">
        <is>
          <t>VÄSTERBOTTENS LÄN</t>
        </is>
      </c>
      <c r="E801" t="inlineStr">
        <is>
          <t>VILHELMINA</t>
        </is>
      </c>
      <c r="G801" t="n">
        <v>20</v>
      </c>
      <c r="H801" t="n">
        <v>0</v>
      </c>
      <c r="I801" t="n">
        <v>0</v>
      </c>
      <c r="J801" t="n">
        <v>0</v>
      </c>
      <c r="K801" t="n">
        <v>0</v>
      </c>
      <c r="L801" t="n">
        <v>0</v>
      </c>
      <c r="M801" t="n">
        <v>0</v>
      </c>
      <c r="N801" t="n">
        <v>0</v>
      </c>
      <c r="O801" t="n">
        <v>0</v>
      </c>
      <c r="P801" t="n">
        <v>0</v>
      </c>
      <c r="Q801" t="n">
        <v>0</v>
      </c>
      <c r="R801" s="2" t="inlineStr"/>
    </row>
    <row r="802" ht="15" customHeight="1">
      <c r="A802" t="inlineStr">
        <is>
          <t>A 24373-2023</t>
        </is>
      </c>
      <c r="B802" s="1" t="n">
        <v>45076</v>
      </c>
      <c r="C802" s="1" t="n">
        <v>45628</v>
      </c>
      <c r="D802" t="inlineStr">
        <is>
          <t>VÄSTERBOTTENS LÄN</t>
        </is>
      </c>
      <c r="E802" t="inlineStr">
        <is>
          <t>VILHELMINA</t>
        </is>
      </c>
      <c r="G802" t="n">
        <v>6.3</v>
      </c>
      <c r="H802" t="n">
        <v>0</v>
      </c>
      <c r="I802" t="n">
        <v>0</v>
      </c>
      <c r="J802" t="n">
        <v>0</v>
      </c>
      <c r="K802" t="n">
        <v>0</v>
      </c>
      <c r="L802" t="n">
        <v>0</v>
      </c>
      <c r="M802" t="n">
        <v>0</v>
      </c>
      <c r="N802" t="n">
        <v>0</v>
      </c>
      <c r="O802" t="n">
        <v>0</v>
      </c>
      <c r="P802" t="n">
        <v>0</v>
      </c>
      <c r="Q802" t="n">
        <v>0</v>
      </c>
      <c r="R802" s="2" t="inlineStr"/>
    </row>
    <row r="803" ht="15" customHeight="1">
      <c r="A803" t="inlineStr">
        <is>
          <t>A 24598-2023</t>
        </is>
      </c>
      <c r="B803" s="1" t="n">
        <v>45084</v>
      </c>
      <c r="C803" s="1" t="n">
        <v>45628</v>
      </c>
      <c r="D803" t="inlineStr">
        <is>
          <t>VÄSTERBOTTENS LÄN</t>
        </is>
      </c>
      <c r="E803" t="inlineStr">
        <is>
          <t>VILHELMINA</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24828-2023</t>
        </is>
      </c>
      <c r="B804" s="1" t="n">
        <v>45084</v>
      </c>
      <c r="C804" s="1" t="n">
        <v>45628</v>
      </c>
      <c r="D804" t="inlineStr">
        <is>
          <t>VÄSTERBOTTENS LÄN</t>
        </is>
      </c>
      <c r="E804" t="inlineStr">
        <is>
          <t>VILHELMINA</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25313-2023</t>
        </is>
      </c>
      <c r="B805" s="1" t="n">
        <v>45087</v>
      </c>
      <c r="C805" s="1" t="n">
        <v>45628</v>
      </c>
      <c r="D805" t="inlineStr">
        <is>
          <t>VÄSTERBOTTENS LÄN</t>
        </is>
      </c>
      <c r="E805" t="inlineStr">
        <is>
          <t>VILHELMINA</t>
        </is>
      </c>
      <c r="F805" t="inlineStr">
        <is>
          <t>SCA</t>
        </is>
      </c>
      <c r="G805" t="n">
        <v>9.5</v>
      </c>
      <c r="H805" t="n">
        <v>0</v>
      </c>
      <c r="I805" t="n">
        <v>0</v>
      </c>
      <c r="J805" t="n">
        <v>0</v>
      </c>
      <c r="K805" t="n">
        <v>0</v>
      </c>
      <c r="L805" t="n">
        <v>0</v>
      </c>
      <c r="M805" t="n">
        <v>0</v>
      </c>
      <c r="N805" t="n">
        <v>0</v>
      </c>
      <c r="O805" t="n">
        <v>0</v>
      </c>
      <c r="P805" t="n">
        <v>0</v>
      </c>
      <c r="Q805" t="n">
        <v>0</v>
      </c>
      <c r="R805" s="2" t="inlineStr"/>
    </row>
    <row r="806" ht="15" customHeight="1">
      <c r="A806" t="inlineStr">
        <is>
          <t>A 26553-2023</t>
        </is>
      </c>
      <c r="B806" s="1" t="n">
        <v>45089</v>
      </c>
      <c r="C806" s="1" t="n">
        <v>45628</v>
      </c>
      <c r="D806" t="inlineStr">
        <is>
          <t>VÄSTERBOTTENS LÄN</t>
        </is>
      </c>
      <c r="E806" t="inlineStr">
        <is>
          <t>VILHELMINA</t>
        </is>
      </c>
      <c r="G806" t="n">
        <v>5.5</v>
      </c>
      <c r="H806" t="n">
        <v>0</v>
      </c>
      <c r="I806" t="n">
        <v>0</v>
      </c>
      <c r="J806" t="n">
        <v>0</v>
      </c>
      <c r="K806" t="n">
        <v>0</v>
      </c>
      <c r="L806" t="n">
        <v>0</v>
      </c>
      <c r="M806" t="n">
        <v>0</v>
      </c>
      <c r="N806" t="n">
        <v>0</v>
      </c>
      <c r="O806" t="n">
        <v>0</v>
      </c>
      <c r="P806" t="n">
        <v>0</v>
      </c>
      <c r="Q806" t="n">
        <v>0</v>
      </c>
      <c r="R806" s="2" t="inlineStr"/>
    </row>
    <row r="807" ht="15" customHeight="1">
      <c r="A807" t="inlineStr">
        <is>
          <t>A 26564-2023</t>
        </is>
      </c>
      <c r="B807" s="1" t="n">
        <v>45089</v>
      </c>
      <c r="C807" s="1" t="n">
        <v>45628</v>
      </c>
      <c r="D807" t="inlineStr">
        <is>
          <t>VÄSTERBOTTENS LÄN</t>
        </is>
      </c>
      <c r="E807" t="inlineStr">
        <is>
          <t>VILHELMINA</t>
        </is>
      </c>
      <c r="G807" t="n">
        <v>2</v>
      </c>
      <c r="H807" t="n">
        <v>0</v>
      </c>
      <c r="I807" t="n">
        <v>0</v>
      </c>
      <c r="J807" t="n">
        <v>0</v>
      </c>
      <c r="K807" t="n">
        <v>0</v>
      </c>
      <c r="L807" t="n">
        <v>0</v>
      </c>
      <c r="M807" t="n">
        <v>0</v>
      </c>
      <c r="N807" t="n">
        <v>0</v>
      </c>
      <c r="O807" t="n">
        <v>0</v>
      </c>
      <c r="P807" t="n">
        <v>0</v>
      </c>
      <c r="Q807" t="n">
        <v>0</v>
      </c>
      <c r="R807" s="2" t="inlineStr"/>
    </row>
    <row r="808" ht="15" customHeight="1">
      <c r="A808" t="inlineStr">
        <is>
          <t>A 26557-2023</t>
        </is>
      </c>
      <c r="B808" s="1" t="n">
        <v>45089</v>
      </c>
      <c r="C808" s="1" t="n">
        <v>45628</v>
      </c>
      <c r="D808" t="inlineStr">
        <is>
          <t>VÄSTERBOTTENS LÄN</t>
        </is>
      </c>
      <c r="E808" t="inlineStr">
        <is>
          <t>VILHELMINA</t>
        </is>
      </c>
      <c r="G808" t="n">
        <v>0.5</v>
      </c>
      <c r="H808" t="n">
        <v>0</v>
      </c>
      <c r="I808" t="n">
        <v>0</v>
      </c>
      <c r="J808" t="n">
        <v>0</v>
      </c>
      <c r="K808" t="n">
        <v>0</v>
      </c>
      <c r="L808" t="n">
        <v>0</v>
      </c>
      <c r="M808" t="n">
        <v>0</v>
      </c>
      <c r="N808" t="n">
        <v>0</v>
      </c>
      <c r="O808" t="n">
        <v>0</v>
      </c>
      <c r="P808" t="n">
        <v>0</v>
      </c>
      <c r="Q808" t="n">
        <v>0</v>
      </c>
      <c r="R808" s="2" t="inlineStr"/>
    </row>
    <row r="809" ht="15" customHeight="1">
      <c r="A809" t="inlineStr">
        <is>
          <t>A 26000-2023</t>
        </is>
      </c>
      <c r="B809" s="1" t="n">
        <v>45090</v>
      </c>
      <c r="C809" s="1" t="n">
        <v>45628</v>
      </c>
      <c r="D809" t="inlineStr">
        <is>
          <t>VÄSTERBOTTENS LÄN</t>
        </is>
      </c>
      <c r="E809" t="inlineStr">
        <is>
          <t>VILHELMINA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25997-2023</t>
        </is>
      </c>
      <c r="B810" s="1" t="n">
        <v>45090</v>
      </c>
      <c r="C810" s="1" t="n">
        <v>45628</v>
      </c>
      <c r="D810" t="inlineStr">
        <is>
          <t>VÄSTERBOTTENS LÄN</t>
        </is>
      </c>
      <c r="E810" t="inlineStr">
        <is>
          <t>VILHELMINA</t>
        </is>
      </c>
      <c r="G810" t="n">
        <v>7.8</v>
      </c>
      <c r="H810" t="n">
        <v>0</v>
      </c>
      <c r="I810" t="n">
        <v>0</v>
      </c>
      <c r="J810" t="n">
        <v>0</v>
      </c>
      <c r="K810" t="n">
        <v>0</v>
      </c>
      <c r="L810" t="n">
        <v>0</v>
      </c>
      <c r="M810" t="n">
        <v>0</v>
      </c>
      <c r="N810" t="n">
        <v>0</v>
      </c>
      <c r="O810" t="n">
        <v>0</v>
      </c>
      <c r="P810" t="n">
        <v>0</v>
      </c>
      <c r="Q810" t="n">
        <v>0</v>
      </c>
      <c r="R810" s="2" t="inlineStr"/>
    </row>
    <row r="811" ht="15" customHeight="1">
      <c r="A811" t="inlineStr">
        <is>
          <t>A 26657-2023</t>
        </is>
      </c>
      <c r="B811" s="1" t="n">
        <v>45092</v>
      </c>
      <c r="C811" s="1" t="n">
        <v>45628</v>
      </c>
      <c r="D811" t="inlineStr">
        <is>
          <t>VÄSTERBOTTENS LÄN</t>
        </is>
      </c>
      <c r="E811" t="inlineStr">
        <is>
          <t>VILHELMINA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26663-2023</t>
        </is>
      </c>
      <c r="B812" s="1" t="n">
        <v>45093</v>
      </c>
      <c r="C812" s="1" t="n">
        <v>45628</v>
      </c>
      <c r="D812" t="inlineStr">
        <is>
          <t>VÄSTERBOTTENS LÄN</t>
        </is>
      </c>
      <c r="E812" t="inlineStr">
        <is>
          <t>VILHELMINA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26656-2023</t>
        </is>
      </c>
      <c r="B813" s="1" t="n">
        <v>45092</v>
      </c>
      <c r="C813" s="1" t="n">
        <v>45628</v>
      </c>
      <c r="D813" t="inlineStr">
        <is>
          <t>VÄSTERBOTTENS LÄN</t>
        </is>
      </c>
      <c r="E813" t="inlineStr">
        <is>
          <t>VILHELMINA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27601-2023</t>
        </is>
      </c>
      <c r="B814" s="1" t="n">
        <v>45092</v>
      </c>
      <c r="C814" s="1" t="n">
        <v>45628</v>
      </c>
      <c r="D814" t="inlineStr">
        <is>
          <t>VÄSTERBOTTENS LÄN</t>
        </is>
      </c>
      <c r="E814" t="inlineStr">
        <is>
          <t>VILHELMINA</t>
        </is>
      </c>
      <c r="G814" t="n">
        <v>2</v>
      </c>
      <c r="H814" t="n">
        <v>0</v>
      </c>
      <c r="I814" t="n">
        <v>0</v>
      </c>
      <c r="J814" t="n">
        <v>0</v>
      </c>
      <c r="K814" t="n">
        <v>0</v>
      </c>
      <c r="L814" t="n">
        <v>0</v>
      </c>
      <c r="M814" t="n">
        <v>0</v>
      </c>
      <c r="N814" t="n">
        <v>0</v>
      </c>
      <c r="O814" t="n">
        <v>0</v>
      </c>
      <c r="P814" t="n">
        <v>0</v>
      </c>
      <c r="Q814" t="n">
        <v>0</v>
      </c>
      <c r="R814" s="2" t="inlineStr"/>
    </row>
    <row r="815" ht="15" customHeight="1">
      <c r="A815" t="inlineStr">
        <is>
          <t>A 26997-2023</t>
        </is>
      </c>
      <c r="B815" s="1" t="n">
        <v>45093</v>
      </c>
      <c r="C815" s="1" t="n">
        <v>45628</v>
      </c>
      <c r="D815" t="inlineStr">
        <is>
          <t>VÄSTERBOTTENS LÄN</t>
        </is>
      </c>
      <c r="E815" t="inlineStr">
        <is>
          <t>VILHELMINA</t>
        </is>
      </c>
      <c r="F815" t="inlineStr">
        <is>
          <t>SCA</t>
        </is>
      </c>
      <c r="G815" t="n">
        <v>9</v>
      </c>
      <c r="H815" t="n">
        <v>0</v>
      </c>
      <c r="I815" t="n">
        <v>0</v>
      </c>
      <c r="J815" t="n">
        <v>0</v>
      </c>
      <c r="K815" t="n">
        <v>0</v>
      </c>
      <c r="L815" t="n">
        <v>0</v>
      </c>
      <c r="M815" t="n">
        <v>0</v>
      </c>
      <c r="N815" t="n">
        <v>0</v>
      </c>
      <c r="O815" t="n">
        <v>0</v>
      </c>
      <c r="P815" t="n">
        <v>0</v>
      </c>
      <c r="Q815" t="n">
        <v>0</v>
      </c>
      <c r="R815" s="2" t="inlineStr"/>
    </row>
    <row r="816" ht="15" customHeight="1">
      <c r="A816" t="inlineStr">
        <is>
          <t>A 27763-2023</t>
        </is>
      </c>
      <c r="B816" s="1" t="n">
        <v>45093</v>
      </c>
      <c r="C816" s="1" t="n">
        <v>45628</v>
      </c>
      <c r="D816" t="inlineStr">
        <is>
          <t>VÄSTERBOTTENS LÄN</t>
        </is>
      </c>
      <c r="E816" t="inlineStr">
        <is>
          <t>VILHELMINA</t>
        </is>
      </c>
      <c r="G816" t="n">
        <v>21.5</v>
      </c>
      <c r="H816" t="n">
        <v>0</v>
      </c>
      <c r="I816" t="n">
        <v>0</v>
      </c>
      <c r="J816" t="n">
        <v>0</v>
      </c>
      <c r="K816" t="n">
        <v>0</v>
      </c>
      <c r="L816" t="n">
        <v>0</v>
      </c>
      <c r="M816" t="n">
        <v>0</v>
      </c>
      <c r="N816" t="n">
        <v>0</v>
      </c>
      <c r="O816" t="n">
        <v>0</v>
      </c>
      <c r="P816" t="n">
        <v>0</v>
      </c>
      <c r="Q816" t="n">
        <v>0</v>
      </c>
      <c r="R816" s="2" t="inlineStr"/>
    </row>
    <row r="817" ht="15" customHeight="1">
      <c r="A817" t="inlineStr">
        <is>
          <t>A 27357-2023</t>
        </is>
      </c>
      <c r="B817" s="1" t="n">
        <v>45096</v>
      </c>
      <c r="C817" s="1" t="n">
        <v>45628</v>
      </c>
      <c r="D817" t="inlineStr">
        <is>
          <t>VÄSTERBOTTENS LÄN</t>
        </is>
      </c>
      <c r="E817" t="inlineStr">
        <is>
          <t>VILHELMINA</t>
        </is>
      </c>
      <c r="G817" t="n">
        <v>3.1</v>
      </c>
      <c r="H817" t="n">
        <v>0</v>
      </c>
      <c r="I817" t="n">
        <v>0</v>
      </c>
      <c r="J817" t="n">
        <v>0</v>
      </c>
      <c r="K817" t="n">
        <v>0</v>
      </c>
      <c r="L817" t="n">
        <v>0</v>
      </c>
      <c r="M817" t="n">
        <v>0</v>
      </c>
      <c r="N817" t="n">
        <v>0</v>
      </c>
      <c r="O817" t="n">
        <v>0</v>
      </c>
      <c r="P817" t="n">
        <v>0</v>
      </c>
      <c r="Q817" t="n">
        <v>0</v>
      </c>
      <c r="R817" s="2" t="inlineStr"/>
    </row>
    <row r="818" ht="15" customHeight="1">
      <c r="A818" t="inlineStr">
        <is>
          <t>A 27355-2023</t>
        </is>
      </c>
      <c r="B818" s="1" t="n">
        <v>45096</v>
      </c>
      <c r="C818" s="1" t="n">
        <v>45628</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28011-2023</t>
        </is>
      </c>
      <c r="B819" s="1" t="n">
        <v>45098</v>
      </c>
      <c r="C819" s="1" t="n">
        <v>45628</v>
      </c>
      <c r="D819" t="inlineStr">
        <is>
          <t>VÄSTERBOTTENS LÄN</t>
        </is>
      </c>
      <c r="E819" t="inlineStr">
        <is>
          <t>VILHELMINA</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28380-2023</t>
        </is>
      </c>
      <c r="B820" s="1" t="n">
        <v>45099</v>
      </c>
      <c r="C820" s="1" t="n">
        <v>45628</v>
      </c>
      <c r="D820" t="inlineStr">
        <is>
          <t>VÄSTERBOTTENS LÄN</t>
        </is>
      </c>
      <c r="E820" t="inlineStr">
        <is>
          <t>VILHELMINA</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28718-2023</t>
        </is>
      </c>
      <c r="B821" s="1" t="n">
        <v>45103</v>
      </c>
      <c r="C821" s="1" t="n">
        <v>45628</v>
      </c>
      <c r="D821" t="inlineStr">
        <is>
          <t>VÄSTERBOTTENS LÄN</t>
        </is>
      </c>
      <c r="E821" t="inlineStr">
        <is>
          <t>VILHELMINA</t>
        </is>
      </c>
      <c r="F821" t="inlineStr">
        <is>
          <t>Sveaskog</t>
        </is>
      </c>
      <c r="G821" t="n">
        <v>8.6</v>
      </c>
      <c r="H821" t="n">
        <v>0</v>
      </c>
      <c r="I821" t="n">
        <v>0</v>
      </c>
      <c r="J821" t="n">
        <v>0</v>
      </c>
      <c r="K821" t="n">
        <v>0</v>
      </c>
      <c r="L821" t="n">
        <v>0</v>
      </c>
      <c r="M821" t="n">
        <v>0</v>
      </c>
      <c r="N821" t="n">
        <v>0</v>
      </c>
      <c r="O821" t="n">
        <v>0</v>
      </c>
      <c r="P821" t="n">
        <v>0</v>
      </c>
      <c r="Q821" t="n">
        <v>0</v>
      </c>
      <c r="R821" s="2" t="inlineStr"/>
    </row>
    <row r="822" ht="15" customHeight="1">
      <c r="A822" t="inlineStr">
        <is>
          <t>A 28982-2023</t>
        </is>
      </c>
      <c r="B822" s="1" t="n">
        <v>45104</v>
      </c>
      <c r="C822" s="1" t="n">
        <v>45628</v>
      </c>
      <c r="D822" t="inlineStr">
        <is>
          <t>VÄSTERBOTTENS LÄN</t>
        </is>
      </c>
      <c r="E822" t="inlineStr">
        <is>
          <t>VILHELMINA</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28986-2023</t>
        </is>
      </c>
      <c r="B823" s="1" t="n">
        <v>45104</v>
      </c>
      <c r="C823" s="1" t="n">
        <v>45628</v>
      </c>
      <c r="D823" t="inlineStr">
        <is>
          <t>VÄSTERBOTTENS LÄN</t>
        </is>
      </c>
      <c r="E823" t="inlineStr">
        <is>
          <t>VILHELMINA</t>
        </is>
      </c>
      <c r="F823" t="inlineStr">
        <is>
          <t>Sveaskog</t>
        </is>
      </c>
      <c r="G823" t="n">
        <v>4.6</v>
      </c>
      <c r="H823" t="n">
        <v>0</v>
      </c>
      <c r="I823" t="n">
        <v>0</v>
      </c>
      <c r="J823" t="n">
        <v>0</v>
      </c>
      <c r="K823" t="n">
        <v>0</v>
      </c>
      <c r="L823" t="n">
        <v>0</v>
      </c>
      <c r="M823" t="n">
        <v>0</v>
      </c>
      <c r="N823" t="n">
        <v>0</v>
      </c>
      <c r="O823" t="n">
        <v>0</v>
      </c>
      <c r="P823" t="n">
        <v>0</v>
      </c>
      <c r="Q823" t="n">
        <v>0</v>
      </c>
      <c r="R823" s="2" t="inlineStr"/>
    </row>
    <row r="824" ht="15" customHeight="1">
      <c r="A824" t="inlineStr">
        <is>
          <t>A 28991-2023</t>
        </is>
      </c>
      <c r="B824" s="1" t="n">
        <v>45104</v>
      </c>
      <c r="C824" s="1" t="n">
        <v>45628</v>
      </c>
      <c r="D824" t="inlineStr">
        <is>
          <t>VÄSTERBOTTENS LÄN</t>
        </is>
      </c>
      <c r="E824" t="inlineStr">
        <is>
          <t>VILHELMINA</t>
        </is>
      </c>
      <c r="F824" t="inlineStr">
        <is>
          <t>Sveaskog</t>
        </is>
      </c>
      <c r="G824" t="n">
        <v>5.1</v>
      </c>
      <c r="H824" t="n">
        <v>0</v>
      </c>
      <c r="I824" t="n">
        <v>0</v>
      </c>
      <c r="J824" t="n">
        <v>0</v>
      </c>
      <c r="K824" t="n">
        <v>0</v>
      </c>
      <c r="L824" t="n">
        <v>0</v>
      </c>
      <c r="M824" t="n">
        <v>0</v>
      </c>
      <c r="N824" t="n">
        <v>0</v>
      </c>
      <c r="O824" t="n">
        <v>0</v>
      </c>
      <c r="P824" t="n">
        <v>0</v>
      </c>
      <c r="Q824" t="n">
        <v>0</v>
      </c>
      <c r="R824" s="2" t="inlineStr"/>
    </row>
    <row r="825" ht="15" customHeight="1">
      <c r="A825" t="inlineStr">
        <is>
          <t>A 28984-2023</t>
        </is>
      </c>
      <c r="B825" s="1" t="n">
        <v>45104</v>
      </c>
      <c r="C825" s="1" t="n">
        <v>45628</v>
      </c>
      <c r="D825" t="inlineStr">
        <is>
          <t>VÄSTERBOTTENS LÄN</t>
        </is>
      </c>
      <c r="E825" t="inlineStr">
        <is>
          <t>VILHELMINA</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29250-2023</t>
        </is>
      </c>
      <c r="B826" s="1" t="n">
        <v>45105</v>
      </c>
      <c r="C826" s="1" t="n">
        <v>45628</v>
      </c>
      <c r="D826" t="inlineStr">
        <is>
          <t>VÄSTERBOTTENS LÄN</t>
        </is>
      </c>
      <c r="E826" t="inlineStr">
        <is>
          <t>VILHELMINA</t>
        </is>
      </c>
      <c r="F826" t="inlineStr">
        <is>
          <t>Sveaskog</t>
        </is>
      </c>
      <c r="G826" t="n">
        <v>11.3</v>
      </c>
      <c r="H826" t="n">
        <v>0</v>
      </c>
      <c r="I826" t="n">
        <v>0</v>
      </c>
      <c r="J826" t="n">
        <v>0</v>
      </c>
      <c r="K826" t="n">
        <v>0</v>
      </c>
      <c r="L826" t="n">
        <v>0</v>
      </c>
      <c r="M826" t="n">
        <v>0</v>
      </c>
      <c r="N826" t="n">
        <v>0</v>
      </c>
      <c r="O826" t="n">
        <v>0</v>
      </c>
      <c r="P826" t="n">
        <v>0</v>
      </c>
      <c r="Q826" t="n">
        <v>0</v>
      </c>
      <c r="R826" s="2" t="inlineStr"/>
    </row>
    <row r="827" ht="15" customHeight="1">
      <c r="A827" t="inlineStr">
        <is>
          <t>A 29608-2023</t>
        </is>
      </c>
      <c r="B827" s="1" t="n">
        <v>45106</v>
      </c>
      <c r="C827" s="1" t="n">
        <v>45628</v>
      </c>
      <c r="D827" t="inlineStr">
        <is>
          <t>VÄSTERBOTTENS LÄN</t>
        </is>
      </c>
      <c r="E827" t="inlineStr">
        <is>
          <t>VILHELMINA</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29954-2023</t>
        </is>
      </c>
      <c r="B828" s="1" t="n">
        <v>45107</v>
      </c>
      <c r="C828" s="1" t="n">
        <v>45628</v>
      </c>
      <c r="D828" t="inlineStr">
        <is>
          <t>VÄSTERBOTTENS LÄN</t>
        </is>
      </c>
      <c r="E828" t="inlineStr">
        <is>
          <t>VILHELMINA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30846-2023</t>
        </is>
      </c>
      <c r="B829" s="1" t="n">
        <v>45112</v>
      </c>
      <c r="C829" s="1" t="n">
        <v>45628</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30847-2023</t>
        </is>
      </c>
      <c r="B830" s="1" t="n">
        <v>45112</v>
      </c>
      <c r="C830" s="1" t="n">
        <v>45628</v>
      </c>
      <c r="D830" t="inlineStr">
        <is>
          <t>VÄSTERBOTTENS LÄN</t>
        </is>
      </c>
      <c r="E830" t="inlineStr">
        <is>
          <t>VILHELMINA</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30940-2023</t>
        </is>
      </c>
      <c r="B831" s="1" t="n">
        <v>45113</v>
      </c>
      <c r="C831" s="1" t="n">
        <v>45628</v>
      </c>
      <c r="D831" t="inlineStr">
        <is>
          <t>VÄSTERBOTTENS LÄN</t>
        </is>
      </c>
      <c r="E831" t="inlineStr">
        <is>
          <t>VILHELMINA</t>
        </is>
      </c>
      <c r="F831" t="inlineStr">
        <is>
          <t>Sveaskog</t>
        </is>
      </c>
      <c r="G831" t="n">
        <v>4.3</v>
      </c>
      <c r="H831" t="n">
        <v>0</v>
      </c>
      <c r="I831" t="n">
        <v>0</v>
      </c>
      <c r="J831" t="n">
        <v>0</v>
      </c>
      <c r="K831" t="n">
        <v>0</v>
      </c>
      <c r="L831" t="n">
        <v>0</v>
      </c>
      <c r="M831" t="n">
        <v>0</v>
      </c>
      <c r="N831" t="n">
        <v>0</v>
      </c>
      <c r="O831" t="n">
        <v>0</v>
      </c>
      <c r="P831" t="n">
        <v>0</v>
      </c>
      <c r="Q831" t="n">
        <v>0</v>
      </c>
      <c r="R831" s="2" t="inlineStr"/>
    </row>
    <row r="832" ht="15" customHeight="1">
      <c r="A832" t="inlineStr">
        <is>
          <t>A 30934-2023</t>
        </is>
      </c>
      <c r="B832" s="1" t="n">
        <v>45113</v>
      </c>
      <c r="C832" s="1" t="n">
        <v>45628</v>
      </c>
      <c r="D832" t="inlineStr">
        <is>
          <t>VÄSTERBOTTENS LÄN</t>
        </is>
      </c>
      <c r="E832" t="inlineStr">
        <is>
          <t>VILHELMINA</t>
        </is>
      </c>
      <c r="F832" t="inlineStr">
        <is>
          <t>Sveaskog</t>
        </is>
      </c>
      <c r="G832" t="n">
        <v>11.3</v>
      </c>
      <c r="H832" t="n">
        <v>0</v>
      </c>
      <c r="I832" t="n">
        <v>0</v>
      </c>
      <c r="J832" t="n">
        <v>0</v>
      </c>
      <c r="K832" t="n">
        <v>0</v>
      </c>
      <c r="L832" t="n">
        <v>0</v>
      </c>
      <c r="M832" t="n">
        <v>0</v>
      </c>
      <c r="N832" t="n">
        <v>0</v>
      </c>
      <c r="O832" t="n">
        <v>0</v>
      </c>
      <c r="P832" t="n">
        <v>0</v>
      </c>
      <c r="Q832" t="n">
        <v>0</v>
      </c>
      <c r="R832" s="2" t="inlineStr"/>
    </row>
    <row r="833" ht="15" customHeight="1">
      <c r="A833" t="inlineStr">
        <is>
          <t>A 31495-2023</t>
        </is>
      </c>
      <c r="B833" s="1" t="n">
        <v>45115</v>
      </c>
      <c r="C833" s="1" t="n">
        <v>45628</v>
      </c>
      <c r="D833" t="inlineStr">
        <is>
          <t>VÄSTERBOTTENS LÄN</t>
        </is>
      </c>
      <c r="E833" t="inlineStr">
        <is>
          <t>VILHELMINA</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31496-2023</t>
        </is>
      </c>
      <c r="B834" s="1" t="n">
        <v>45115</v>
      </c>
      <c r="C834" s="1" t="n">
        <v>45628</v>
      </c>
      <c r="D834" t="inlineStr">
        <is>
          <t>VÄSTERBOTTENS LÄN</t>
        </is>
      </c>
      <c r="E834" t="inlineStr">
        <is>
          <t>VILHELMINA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33349-2023</t>
        </is>
      </c>
      <c r="B835" s="1" t="n">
        <v>45117</v>
      </c>
      <c r="C835" s="1" t="n">
        <v>45628</v>
      </c>
      <c r="D835" t="inlineStr">
        <is>
          <t>VÄSTERBOTTENS LÄN</t>
        </is>
      </c>
      <c r="E835" t="inlineStr">
        <is>
          <t>VILHELMINA</t>
        </is>
      </c>
      <c r="G835" t="n">
        <v>1.3</v>
      </c>
      <c r="H835" t="n">
        <v>0</v>
      </c>
      <c r="I835" t="n">
        <v>0</v>
      </c>
      <c r="J835" t="n">
        <v>0</v>
      </c>
      <c r="K835" t="n">
        <v>0</v>
      </c>
      <c r="L835" t="n">
        <v>0</v>
      </c>
      <c r="M835" t="n">
        <v>0</v>
      </c>
      <c r="N835" t="n">
        <v>0</v>
      </c>
      <c r="O835" t="n">
        <v>0</v>
      </c>
      <c r="P835" t="n">
        <v>0</v>
      </c>
      <c r="Q835" t="n">
        <v>0</v>
      </c>
      <c r="R835" s="2" t="inlineStr"/>
    </row>
    <row r="836" ht="15" customHeight="1">
      <c r="A836" t="inlineStr">
        <is>
          <t>A 33412-2023</t>
        </is>
      </c>
      <c r="B836" s="1" t="n">
        <v>45117</v>
      </c>
      <c r="C836" s="1" t="n">
        <v>45628</v>
      </c>
      <c r="D836" t="inlineStr">
        <is>
          <t>VÄSTERBOTTENS LÄN</t>
        </is>
      </c>
      <c r="E836" t="inlineStr">
        <is>
          <t>VILHELMINA</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33675-2023</t>
        </is>
      </c>
      <c r="B837" s="1" t="n">
        <v>45119</v>
      </c>
      <c r="C837" s="1" t="n">
        <v>45628</v>
      </c>
      <c r="D837" t="inlineStr">
        <is>
          <t>VÄSTERBOTTENS LÄN</t>
        </is>
      </c>
      <c r="E837" t="inlineStr">
        <is>
          <t>VILHELMINA</t>
        </is>
      </c>
      <c r="F837" t="inlineStr">
        <is>
          <t>Allmännings- och besparingsskogar</t>
        </is>
      </c>
      <c r="G837" t="n">
        <v>27.9</v>
      </c>
      <c r="H837" t="n">
        <v>0</v>
      </c>
      <c r="I837" t="n">
        <v>0</v>
      </c>
      <c r="J837" t="n">
        <v>0</v>
      </c>
      <c r="K837" t="n">
        <v>0</v>
      </c>
      <c r="L837" t="n">
        <v>0</v>
      </c>
      <c r="M837" t="n">
        <v>0</v>
      </c>
      <c r="N837" t="n">
        <v>0</v>
      </c>
      <c r="O837" t="n">
        <v>0</v>
      </c>
      <c r="P837" t="n">
        <v>0</v>
      </c>
      <c r="Q837" t="n">
        <v>0</v>
      </c>
      <c r="R837" s="2" t="inlineStr"/>
    </row>
    <row r="838" ht="15" customHeight="1">
      <c r="A838" t="inlineStr">
        <is>
          <t>A 33661-2023</t>
        </is>
      </c>
      <c r="B838" s="1" t="n">
        <v>45119</v>
      </c>
      <c r="C838" s="1" t="n">
        <v>45628</v>
      </c>
      <c r="D838" t="inlineStr">
        <is>
          <t>VÄSTERBOTTENS LÄN</t>
        </is>
      </c>
      <c r="E838" t="inlineStr">
        <is>
          <t>VILHELMINA</t>
        </is>
      </c>
      <c r="G838" t="n">
        <v>1.8</v>
      </c>
      <c r="H838" t="n">
        <v>0</v>
      </c>
      <c r="I838" t="n">
        <v>0</v>
      </c>
      <c r="J838" t="n">
        <v>0</v>
      </c>
      <c r="K838" t="n">
        <v>0</v>
      </c>
      <c r="L838" t="n">
        <v>0</v>
      </c>
      <c r="M838" t="n">
        <v>0</v>
      </c>
      <c r="N838" t="n">
        <v>0</v>
      </c>
      <c r="O838" t="n">
        <v>0</v>
      </c>
      <c r="P838" t="n">
        <v>0</v>
      </c>
      <c r="Q838" t="n">
        <v>0</v>
      </c>
      <c r="R838" s="2" t="inlineStr"/>
    </row>
    <row r="839" ht="15" customHeight="1">
      <c r="A839" t="inlineStr">
        <is>
          <t>A 33679-2023</t>
        </is>
      </c>
      <c r="B839" s="1" t="n">
        <v>45119</v>
      </c>
      <c r="C839" s="1" t="n">
        <v>45628</v>
      </c>
      <c r="D839" t="inlineStr">
        <is>
          <t>VÄSTERBOTTENS LÄN</t>
        </is>
      </c>
      <c r="E839" t="inlineStr">
        <is>
          <t>VILHELMINA</t>
        </is>
      </c>
      <c r="F839" t="inlineStr">
        <is>
          <t>Allmännings- och besparingsskogar</t>
        </is>
      </c>
      <c r="G839" t="n">
        <v>11</v>
      </c>
      <c r="H839" t="n">
        <v>0</v>
      </c>
      <c r="I839" t="n">
        <v>0</v>
      </c>
      <c r="J839" t="n">
        <v>0</v>
      </c>
      <c r="K839" t="n">
        <v>0</v>
      </c>
      <c r="L839" t="n">
        <v>0</v>
      </c>
      <c r="M839" t="n">
        <v>0</v>
      </c>
      <c r="N839" t="n">
        <v>0</v>
      </c>
      <c r="O839" t="n">
        <v>0</v>
      </c>
      <c r="P839" t="n">
        <v>0</v>
      </c>
      <c r="Q839" t="n">
        <v>0</v>
      </c>
      <c r="R839" s="2" t="inlineStr"/>
    </row>
    <row r="840" ht="15" customHeight="1">
      <c r="A840" t="inlineStr">
        <is>
          <t>A 34074-2023</t>
        </is>
      </c>
      <c r="B840" s="1" t="n">
        <v>45125</v>
      </c>
      <c r="C840" s="1" t="n">
        <v>45628</v>
      </c>
      <c r="D840" t="inlineStr">
        <is>
          <t>VÄSTERBOTTENS LÄN</t>
        </is>
      </c>
      <c r="E840" t="inlineStr">
        <is>
          <t>VILHELMINA</t>
        </is>
      </c>
      <c r="G840" t="n">
        <v>4.6</v>
      </c>
      <c r="H840" t="n">
        <v>0</v>
      </c>
      <c r="I840" t="n">
        <v>0</v>
      </c>
      <c r="J840" t="n">
        <v>0</v>
      </c>
      <c r="K840" t="n">
        <v>0</v>
      </c>
      <c r="L840" t="n">
        <v>0</v>
      </c>
      <c r="M840" t="n">
        <v>0</v>
      </c>
      <c r="N840" t="n">
        <v>0</v>
      </c>
      <c r="O840" t="n">
        <v>0</v>
      </c>
      <c r="P840" t="n">
        <v>0</v>
      </c>
      <c r="Q840" t="n">
        <v>0</v>
      </c>
      <c r="R840" s="2" t="inlineStr"/>
    </row>
    <row r="841" ht="15" customHeight="1">
      <c r="A841" t="inlineStr">
        <is>
          <t>A 34087-2023</t>
        </is>
      </c>
      <c r="B841" s="1" t="n">
        <v>45125</v>
      </c>
      <c r="C841" s="1" t="n">
        <v>45628</v>
      </c>
      <c r="D841" t="inlineStr">
        <is>
          <t>VÄSTERBOTTENS LÄN</t>
        </is>
      </c>
      <c r="E841" t="inlineStr">
        <is>
          <t>VILHELMINA</t>
        </is>
      </c>
      <c r="G841" t="n">
        <v>13.2</v>
      </c>
      <c r="H841" t="n">
        <v>0</v>
      </c>
      <c r="I841" t="n">
        <v>0</v>
      </c>
      <c r="J841" t="n">
        <v>0</v>
      </c>
      <c r="K841" t="n">
        <v>0</v>
      </c>
      <c r="L841" t="n">
        <v>0</v>
      </c>
      <c r="M841" t="n">
        <v>0</v>
      </c>
      <c r="N841" t="n">
        <v>0</v>
      </c>
      <c r="O841" t="n">
        <v>0</v>
      </c>
      <c r="P841" t="n">
        <v>0</v>
      </c>
      <c r="Q841" t="n">
        <v>0</v>
      </c>
      <c r="R841" s="2" t="inlineStr"/>
    </row>
    <row r="842" ht="15" customHeight="1">
      <c r="A842" t="inlineStr">
        <is>
          <t>A 34799-2023</t>
        </is>
      </c>
      <c r="B842" s="1" t="n">
        <v>45140</v>
      </c>
      <c r="C842" s="1" t="n">
        <v>45628</v>
      </c>
      <c r="D842" t="inlineStr">
        <is>
          <t>VÄSTERBOTTENS LÄN</t>
        </is>
      </c>
      <c r="E842" t="inlineStr">
        <is>
          <t>VILHELMINA</t>
        </is>
      </c>
      <c r="G842" t="n">
        <v>17.4</v>
      </c>
      <c r="H842" t="n">
        <v>0</v>
      </c>
      <c r="I842" t="n">
        <v>0</v>
      </c>
      <c r="J842" t="n">
        <v>0</v>
      </c>
      <c r="K842" t="n">
        <v>0</v>
      </c>
      <c r="L842" t="n">
        <v>0</v>
      </c>
      <c r="M842" t="n">
        <v>0</v>
      </c>
      <c r="N842" t="n">
        <v>0</v>
      </c>
      <c r="O842" t="n">
        <v>0</v>
      </c>
      <c r="P842" t="n">
        <v>0</v>
      </c>
      <c r="Q842" t="n">
        <v>0</v>
      </c>
      <c r="R842" s="2" t="inlineStr"/>
    </row>
    <row r="843" ht="15" customHeight="1">
      <c r="A843" t="inlineStr">
        <is>
          <t>A 34807-2023</t>
        </is>
      </c>
      <c r="B843" s="1" t="n">
        <v>45140</v>
      </c>
      <c r="C843" s="1" t="n">
        <v>45628</v>
      </c>
      <c r="D843" t="inlineStr">
        <is>
          <t>VÄSTERBOTTENS LÄN</t>
        </is>
      </c>
      <c r="E843" t="inlineStr">
        <is>
          <t>VILHELMINA</t>
        </is>
      </c>
      <c r="G843" t="n">
        <v>8.1</v>
      </c>
      <c r="H843" t="n">
        <v>0</v>
      </c>
      <c r="I843" t="n">
        <v>0</v>
      </c>
      <c r="J843" t="n">
        <v>0</v>
      </c>
      <c r="K843" t="n">
        <v>0</v>
      </c>
      <c r="L843" t="n">
        <v>0</v>
      </c>
      <c r="M843" t="n">
        <v>0</v>
      </c>
      <c r="N843" t="n">
        <v>0</v>
      </c>
      <c r="O843" t="n">
        <v>0</v>
      </c>
      <c r="P843" t="n">
        <v>0</v>
      </c>
      <c r="Q843" t="n">
        <v>0</v>
      </c>
      <c r="R843" s="2" t="inlineStr"/>
    </row>
    <row r="844" ht="15" customHeight="1">
      <c r="A844" t="inlineStr">
        <is>
          <t>A 34809-2023</t>
        </is>
      </c>
      <c r="B844" s="1" t="n">
        <v>45140</v>
      </c>
      <c r="C844" s="1" t="n">
        <v>45628</v>
      </c>
      <c r="D844" t="inlineStr">
        <is>
          <t>VÄSTERBOTTENS LÄN</t>
        </is>
      </c>
      <c r="E844" t="inlineStr">
        <is>
          <t>VILHELMINA</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34805-2023</t>
        </is>
      </c>
      <c r="B845" s="1" t="n">
        <v>45140</v>
      </c>
      <c r="C845" s="1" t="n">
        <v>45628</v>
      </c>
      <c r="D845" t="inlineStr">
        <is>
          <t>VÄSTERBOTTENS LÄN</t>
        </is>
      </c>
      <c r="E845" t="inlineStr">
        <is>
          <t>VILHELMINA</t>
        </is>
      </c>
      <c r="G845" t="n">
        <v>4.3</v>
      </c>
      <c r="H845" t="n">
        <v>0</v>
      </c>
      <c r="I845" t="n">
        <v>0</v>
      </c>
      <c r="J845" t="n">
        <v>0</v>
      </c>
      <c r="K845" t="n">
        <v>0</v>
      </c>
      <c r="L845" t="n">
        <v>0</v>
      </c>
      <c r="M845" t="n">
        <v>0</v>
      </c>
      <c r="N845" t="n">
        <v>0</v>
      </c>
      <c r="O845" t="n">
        <v>0</v>
      </c>
      <c r="P845" t="n">
        <v>0</v>
      </c>
      <c r="Q845" t="n">
        <v>0</v>
      </c>
      <c r="R845" s="2" t="inlineStr"/>
    </row>
    <row r="846" ht="15" customHeight="1">
      <c r="A846" t="inlineStr">
        <is>
          <t>A 35006-2023</t>
        </is>
      </c>
      <c r="B846" s="1" t="n">
        <v>45143</v>
      </c>
      <c r="C846" s="1" t="n">
        <v>45628</v>
      </c>
      <c r="D846" t="inlineStr">
        <is>
          <t>VÄSTERBOTTENS LÄN</t>
        </is>
      </c>
      <c r="E846" t="inlineStr">
        <is>
          <t>VILHELMINA</t>
        </is>
      </c>
      <c r="F846" t="inlineStr">
        <is>
          <t>SCA</t>
        </is>
      </c>
      <c r="G846" t="n">
        <v>11.6</v>
      </c>
      <c r="H846" t="n">
        <v>0</v>
      </c>
      <c r="I846" t="n">
        <v>0</v>
      </c>
      <c r="J846" t="n">
        <v>0</v>
      </c>
      <c r="K846" t="n">
        <v>0</v>
      </c>
      <c r="L846" t="n">
        <v>0</v>
      </c>
      <c r="M846" t="n">
        <v>0</v>
      </c>
      <c r="N846" t="n">
        <v>0</v>
      </c>
      <c r="O846" t="n">
        <v>0</v>
      </c>
      <c r="P846" t="n">
        <v>0</v>
      </c>
      <c r="Q846" t="n">
        <v>0</v>
      </c>
      <c r="R846" s="2" t="inlineStr"/>
    </row>
    <row r="847" ht="15" customHeight="1">
      <c r="A847" t="inlineStr">
        <is>
          <t>A 35018-2023</t>
        </is>
      </c>
      <c r="B847" s="1" t="n">
        <v>45142</v>
      </c>
      <c r="C847" s="1" t="n">
        <v>45628</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35289-2023</t>
        </is>
      </c>
      <c r="B848" s="1" t="n">
        <v>45145</v>
      </c>
      <c r="C848" s="1" t="n">
        <v>45628</v>
      </c>
      <c r="D848" t="inlineStr">
        <is>
          <t>VÄSTERBOTTENS LÄN</t>
        </is>
      </c>
      <c r="E848" t="inlineStr">
        <is>
          <t>VILHELMINA</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35758-2023</t>
        </is>
      </c>
      <c r="B849" s="1" t="n">
        <v>45148</v>
      </c>
      <c r="C849" s="1" t="n">
        <v>45628</v>
      </c>
      <c r="D849" t="inlineStr">
        <is>
          <t>VÄSTERBOTTENS LÄN</t>
        </is>
      </c>
      <c r="E849" t="inlineStr">
        <is>
          <t>VILHELMINA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35755-2023</t>
        </is>
      </c>
      <c r="B850" s="1" t="n">
        <v>45148</v>
      </c>
      <c r="C850" s="1" t="n">
        <v>45628</v>
      </c>
      <c r="D850" t="inlineStr">
        <is>
          <t>VÄSTERBOTTENS LÄN</t>
        </is>
      </c>
      <c r="E850" t="inlineStr">
        <is>
          <t>VILHELMINA</t>
        </is>
      </c>
      <c r="F850" t="inlineStr">
        <is>
          <t>SCA</t>
        </is>
      </c>
      <c r="G850" t="n">
        <v>5.9</v>
      </c>
      <c r="H850" t="n">
        <v>0</v>
      </c>
      <c r="I850" t="n">
        <v>0</v>
      </c>
      <c r="J850" t="n">
        <v>0</v>
      </c>
      <c r="K850" t="n">
        <v>0</v>
      </c>
      <c r="L850" t="n">
        <v>0</v>
      </c>
      <c r="M850" t="n">
        <v>0</v>
      </c>
      <c r="N850" t="n">
        <v>0</v>
      </c>
      <c r="O850" t="n">
        <v>0</v>
      </c>
      <c r="P850" t="n">
        <v>0</v>
      </c>
      <c r="Q850" t="n">
        <v>0</v>
      </c>
      <c r="R850" s="2" t="inlineStr"/>
    </row>
    <row r="851" ht="15" customHeight="1">
      <c r="A851" t="inlineStr">
        <is>
          <t>A 35759-2023</t>
        </is>
      </c>
      <c r="B851" s="1" t="n">
        <v>45147</v>
      </c>
      <c r="C851" s="1" t="n">
        <v>45628</v>
      </c>
      <c r="D851" t="inlineStr">
        <is>
          <t>VÄSTERBOTTENS LÄN</t>
        </is>
      </c>
      <c r="E851" t="inlineStr">
        <is>
          <t>VILHELMINA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35752-2023</t>
        </is>
      </c>
      <c r="B852" s="1" t="n">
        <v>45147</v>
      </c>
      <c r="C852" s="1" t="n">
        <v>45628</v>
      </c>
      <c r="D852" t="inlineStr">
        <is>
          <t>VÄSTERBOTTENS LÄN</t>
        </is>
      </c>
      <c r="E852" t="inlineStr">
        <is>
          <t>VILHELMINA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35756-2023</t>
        </is>
      </c>
      <c r="B853" s="1" t="n">
        <v>45148</v>
      </c>
      <c r="C853" s="1" t="n">
        <v>45628</v>
      </c>
      <c r="D853" t="inlineStr">
        <is>
          <t>VÄSTERBOTTENS LÄN</t>
        </is>
      </c>
      <c r="E853" t="inlineStr">
        <is>
          <t>VILHELMINA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35760-2023</t>
        </is>
      </c>
      <c r="B854" s="1" t="n">
        <v>45147</v>
      </c>
      <c r="C854" s="1" t="n">
        <v>45628</v>
      </c>
      <c r="D854" t="inlineStr">
        <is>
          <t>VÄSTERBOTTENS LÄN</t>
        </is>
      </c>
      <c r="E854" t="inlineStr">
        <is>
          <t>VILHELMINA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35753-2023</t>
        </is>
      </c>
      <c r="B855" s="1" t="n">
        <v>45148</v>
      </c>
      <c r="C855" s="1" t="n">
        <v>45628</v>
      </c>
      <c r="D855" t="inlineStr">
        <is>
          <t>VÄSTERBOTTENS LÄN</t>
        </is>
      </c>
      <c r="E855" t="inlineStr">
        <is>
          <t>VILHELMINA</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35757-2023</t>
        </is>
      </c>
      <c r="B856" s="1" t="n">
        <v>45148</v>
      </c>
      <c r="C856" s="1" t="n">
        <v>45628</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35968-2023</t>
        </is>
      </c>
      <c r="B857" s="1" t="n">
        <v>45149</v>
      </c>
      <c r="C857" s="1" t="n">
        <v>45628</v>
      </c>
      <c r="D857" t="inlineStr">
        <is>
          <t>VÄSTERBOTTENS LÄN</t>
        </is>
      </c>
      <c r="E857" t="inlineStr">
        <is>
          <t>VILHELMINA</t>
        </is>
      </c>
      <c r="G857" t="n">
        <v>0.8</v>
      </c>
      <c r="H857" t="n">
        <v>0</v>
      </c>
      <c r="I857" t="n">
        <v>0</v>
      </c>
      <c r="J857" t="n">
        <v>0</v>
      </c>
      <c r="K857" t="n">
        <v>0</v>
      </c>
      <c r="L857" t="n">
        <v>0</v>
      </c>
      <c r="M857" t="n">
        <v>0</v>
      </c>
      <c r="N857" t="n">
        <v>0</v>
      </c>
      <c r="O857" t="n">
        <v>0</v>
      </c>
      <c r="P857" t="n">
        <v>0</v>
      </c>
      <c r="Q857" t="n">
        <v>0</v>
      </c>
      <c r="R857" s="2" t="inlineStr"/>
    </row>
    <row r="858" ht="15" customHeight="1">
      <c r="A858" t="inlineStr">
        <is>
          <t>A 35984-2023</t>
        </is>
      </c>
      <c r="B858" s="1" t="n">
        <v>45149</v>
      </c>
      <c r="C858" s="1" t="n">
        <v>45628</v>
      </c>
      <c r="D858" t="inlineStr">
        <is>
          <t>VÄSTERBOTTENS LÄN</t>
        </is>
      </c>
      <c r="E858" t="inlineStr">
        <is>
          <t>VILHELMINA</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35983-2023</t>
        </is>
      </c>
      <c r="B859" s="1" t="n">
        <v>45149</v>
      </c>
      <c r="C859" s="1" t="n">
        <v>45628</v>
      </c>
      <c r="D859" t="inlineStr">
        <is>
          <t>VÄSTERBOTTENS LÄN</t>
        </is>
      </c>
      <c r="E859" t="inlineStr">
        <is>
          <t>VILHELMINA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35985-2023</t>
        </is>
      </c>
      <c r="B860" s="1" t="n">
        <v>45148</v>
      </c>
      <c r="C860" s="1" t="n">
        <v>45628</v>
      </c>
      <c r="D860" t="inlineStr">
        <is>
          <t>VÄSTERBOTTENS LÄN</t>
        </is>
      </c>
      <c r="E860" t="inlineStr">
        <is>
          <t>VILHELMINA</t>
        </is>
      </c>
      <c r="F860" t="inlineStr">
        <is>
          <t>SCA</t>
        </is>
      </c>
      <c r="G860" t="n">
        <v>43.8</v>
      </c>
      <c r="H860" t="n">
        <v>0</v>
      </c>
      <c r="I860" t="n">
        <v>0</v>
      </c>
      <c r="J860" t="n">
        <v>0</v>
      </c>
      <c r="K860" t="n">
        <v>0</v>
      </c>
      <c r="L860" t="n">
        <v>0</v>
      </c>
      <c r="M860" t="n">
        <v>0</v>
      </c>
      <c r="N860" t="n">
        <v>0</v>
      </c>
      <c r="O860" t="n">
        <v>0</v>
      </c>
      <c r="P860" t="n">
        <v>0</v>
      </c>
      <c r="Q860" t="n">
        <v>0</v>
      </c>
      <c r="R860" s="2" t="inlineStr"/>
    </row>
    <row r="861" ht="15" customHeight="1">
      <c r="A861" t="inlineStr">
        <is>
          <t>A 36214-2023</t>
        </is>
      </c>
      <c r="B861" s="1" t="n">
        <v>45150</v>
      </c>
      <c r="C861" s="1" t="n">
        <v>45628</v>
      </c>
      <c r="D861" t="inlineStr">
        <is>
          <t>VÄSTERBOTTENS LÄN</t>
        </is>
      </c>
      <c r="E861" t="inlineStr">
        <is>
          <t>VILHELMINA</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36219-2023</t>
        </is>
      </c>
      <c r="B862" s="1" t="n">
        <v>45150</v>
      </c>
      <c r="C862" s="1" t="n">
        <v>45628</v>
      </c>
      <c r="D862" t="inlineStr">
        <is>
          <t>VÄSTERBOTTENS LÄN</t>
        </is>
      </c>
      <c r="E862" t="inlineStr">
        <is>
          <t>VILHELMINA</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36215-2023</t>
        </is>
      </c>
      <c r="B863" s="1" t="n">
        <v>45150</v>
      </c>
      <c r="C863" s="1" t="n">
        <v>45628</v>
      </c>
      <c r="D863" t="inlineStr">
        <is>
          <t>VÄSTERBOTTENS LÄN</t>
        </is>
      </c>
      <c r="E863" t="inlineStr">
        <is>
          <t>VILHELMINA</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36216-2023</t>
        </is>
      </c>
      <c r="B864" s="1" t="n">
        <v>45150</v>
      </c>
      <c r="C864" s="1" t="n">
        <v>45628</v>
      </c>
      <c r="D864" t="inlineStr">
        <is>
          <t>VÄSTERBOTTENS LÄN</t>
        </is>
      </c>
      <c r="E864" t="inlineStr">
        <is>
          <t>VILHELMINA</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36221-2023</t>
        </is>
      </c>
      <c r="B865" s="1" t="n">
        <v>45150</v>
      </c>
      <c r="C865" s="1" t="n">
        <v>45628</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36217-2023</t>
        </is>
      </c>
      <c r="B866" s="1" t="n">
        <v>45150</v>
      </c>
      <c r="C866" s="1" t="n">
        <v>45628</v>
      </c>
      <c r="D866" t="inlineStr">
        <is>
          <t>VÄSTERBOTTENS LÄN</t>
        </is>
      </c>
      <c r="E866" t="inlineStr">
        <is>
          <t>VILHELMINA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36408-2023</t>
        </is>
      </c>
      <c r="B867" s="1" t="n">
        <v>45152</v>
      </c>
      <c r="C867" s="1" t="n">
        <v>45628</v>
      </c>
      <c r="D867" t="inlineStr">
        <is>
          <t>VÄSTERBOTTENS LÄN</t>
        </is>
      </c>
      <c r="E867" t="inlineStr">
        <is>
          <t>VILHELMINA</t>
        </is>
      </c>
      <c r="G867" t="n">
        <v>4.4</v>
      </c>
      <c r="H867" t="n">
        <v>0</v>
      </c>
      <c r="I867" t="n">
        <v>0</v>
      </c>
      <c r="J867" t="n">
        <v>0</v>
      </c>
      <c r="K867" t="n">
        <v>0</v>
      </c>
      <c r="L867" t="n">
        <v>0</v>
      </c>
      <c r="M867" t="n">
        <v>0</v>
      </c>
      <c r="N867" t="n">
        <v>0</v>
      </c>
      <c r="O867" t="n">
        <v>0</v>
      </c>
      <c r="P867" t="n">
        <v>0</v>
      </c>
      <c r="Q867" t="n">
        <v>0</v>
      </c>
      <c r="R867" s="2" t="inlineStr"/>
    </row>
    <row r="868" ht="15" customHeight="1">
      <c r="A868" t="inlineStr">
        <is>
          <t>A 36376-2023</t>
        </is>
      </c>
      <c r="B868" s="1" t="n">
        <v>45152</v>
      </c>
      <c r="C868" s="1" t="n">
        <v>45628</v>
      </c>
      <c r="D868" t="inlineStr">
        <is>
          <t>VÄSTERBOTTENS LÄN</t>
        </is>
      </c>
      <c r="E868" t="inlineStr">
        <is>
          <t>VILHELMINA</t>
        </is>
      </c>
      <c r="G868" t="n">
        <v>12.7</v>
      </c>
      <c r="H868" t="n">
        <v>0</v>
      </c>
      <c r="I868" t="n">
        <v>0</v>
      </c>
      <c r="J868" t="n">
        <v>0</v>
      </c>
      <c r="K868" t="n">
        <v>0</v>
      </c>
      <c r="L868" t="n">
        <v>0</v>
      </c>
      <c r="M868" t="n">
        <v>0</v>
      </c>
      <c r="N868" t="n">
        <v>0</v>
      </c>
      <c r="O868" t="n">
        <v>0</v>
      </c>
      <c r="P868" t="n">
        <v>0</v>
      </c>
      <c r="Q868" t="n">
        <v>0</v>
      </c>
      <c r="R868" s="2" t="inlineStr"/>
    </row>
    <row r="869" ht="15" customHeight="1">
      <c r="A869" t="inlineStr">
        <is>
          <t>A 36957-2023</t>
        </is>
      </c>
      <c r="B869" s="1" t="n">
        <v>45155</v>
      </c>
      <c r="C869" s="1" t="n">
        <v>45628</v>
      </c>
      <c r="D869" t="inlineStr">
        <is>
          <t>VÄSTERBOTTENS LÄN</t>
        </is>
      </c>
      <c r="E869" t="inlineStr">
        <is>
          <t>VILHELMINA</t>
        </is>
      </c>
      <c r="G869" t="n">
        <v>0.5</v>
      </c>
      <c r="H869" t="n">
        <v>0</v>
      </c>
      <c r="I869" t="n">
        <v>0</v>
      </c>
      <c r="J869" t="n">
        <v>0</v>
      </c>
      <c r="K869" t="n">
        <v>0</v>
      </c>
      <c r="L869" t="n">
        <v>0</v>
      </c>
      <c r="M869" t="n">
        <v>0</v>
      </c>
      <c r="N869" t="n">
        <v>0</v>
      </c>
      <c r="O869" t="n">
        <v>0</v>
      </c>
      <c r="P869" t="n">
        <v>0</v>
      </c>
      <c r="Q869" t="n">
        <v>0</v>
      </c>
      <c r="R869" s="2" t="inlineStr"/>
    </row>
    <row r="870" ht="15" customHeight="1">
      <c r="A870" t="inlineStr">
        <is>
          <t>A 36972-2023</t>
        </is>
      </c>
      <c r="B870" s="1" t="n">
        <v>45154</v>
      </c>
      <c r="C870" s="1" t="n">
        <v>45628</v>
      </c>
      <c r="D870" t="inlineStr">
        <is>
          <t>VÄSTERBOTTENS LÄN</t>
        </is>
      </c>
      <c r="E870" t="inlineStr">
        <is>
          <t>VILHELMINA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36996-2023</t>
        </is>
      </c>
      <c r="B871" s="1" t="n">
        <v>45155</v>
      </c>
      <c r="C871" s="1" t="n">
        <v>45628</v>
      </c>
      <c r="D871" t="inlineStr">
        <is>
          <t>VÄSTERBOTTENS LÄN</t>
        </is>
      </c>
      <c r="E871" t="inlineStr">
        <is>
          <t>VILHELMINA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36995-2023</t>
        </is>
      </c>
      <c r="B872" s="1" t="n">
        <v>45154</v>
      </c>
      <c r="C872" s="1" t="n">
        <v>45628</v>
      </c>
      <c r="D872" t="inlineStr">
        <is>
          <t>VÄSTERBOTTENS LÄN</t>
        </is>
      </c>
      <c r="E872" t="inlineStr">
        <is>
          <t>VILHELMINA</t>
        </is>
      </c>
      <c r="F872" t="inlineStr">
        <is>
          <t>SCA</t>
        </is>
      </c>
      <c r="G872" t="n">
        <v>31.7</v>
      </c>
      <c r="H872" t="n">
        <v>0</v>
      </c>
      <c r="I872" t="n">
        <v>0</v>
      </c>
      <c r="J872" t="n">
        <v>0</v>
      </c>
      <c r="K872" t="n">
        <v>0</v>
      </c>
      <c r="L872" t="n">
        <v>0</v>
      </c>
      <c r="M872" t="n">
        <v>0</v>
      </c>
      <c r="N872" t="n">
        <v>0</v>
      </c>
      <c r="O872" t="n">
        <v>0</v>
      </c>
      <c r="P872" t="n">
        <v>0</v>
      </c>
      <c r="Q872" t="n">
        <v>0</v>
      </c>
      <c r="R872" s="2" t="inlineStr"/>
    </row>
    <row r="873" ht="15" customHeight="1">
      <c r="A873" t="inlineStr">
        <is>
          <t>A 37413-2023</t>
        </is>
      </c>
      <c r="B873" s="1" t="n">
        <v>45155</v>
      </c>
      <c r="C873" s="1" t="n">
        <v>45628</v>
      </c>
      <c r="D873" t="inlineStr">
        <is>
          <t>VÄSTERBOTTENS LÄN</t>
        </is>
      </c>
      <c r="E873" t="inlineStr">
        <is>
          <t>VILHELMINA</t>
        </is>
      </c>
      <c r="G873" t="n">
        <v>12.3</v>
      </c>
      <c r="H873" t="n">
        <v>0</v>
      </c>
      <c r="I873" t="n">
        <v>0</v>
      </c>
      <c r="J873" t="n">
        <v>0</v>
      </c>
      <c r="K873" t="n">
        <v>0</v>
      </c>
      <c r="L873" t="n">
        <v>0</v>
      </c>
      <c r="M873" t="n">
        <v>0</v>
      </c>
      <c r="N873" t="n">
        <v>0</v>
      </c>
      <c r="O873" t="n">
        <v>0</v>
      </c>
      <c r="P873" t="n">
        <v>0</v>
      </c>
      <c r="Q873" t="n">
        <v>0</v>
      </c>
      <c r="R873" s="2" t="inlineStr"/>
    </row>
    <row r="874" ht="15" customHeight="1">
      <c r="A874" t="inlineStr">
        <is>
          <t>A 37406-2023</t>
        </is>
      </c>
      <c r="B874" s="1" t="n">
        <v>45155</v>
      </c>
      <c r="C874" s="1" t="n">
        <v>45628</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37773-2023</t>
        </is>
      </c>
      <c r="B875" s="1" t="n">
        <v>45156</v>
      </c>
      <c r="C875" s="1" t="n">
        <v>45628</v>
      </c>
      <c r="D875" t="inlineStr">
        <is>
          <t>VÄSTERBOTTENS LÄN</t>
        </is>
      </c>
      <c r="E875" t="inlineStr">
        <is>
          <t>VILHELMINA</t>
        </is>
      </c>
      <c r="G875" t="n">
        <v>6.5</v>
      </c>
      <c r="H875" t="n">
        <v>0</v>
      </c>
      <c r="I875" t="n">
        <v>0</v>
      </c>
      <c r="J875" t="n">
        <v>0</v>
      </c>
      <c r="K875" t="n">
        <v>0</v>
      </c>
      <c r="L875" t="n">
        <v>0</v>
      </c>
      <c r="M875" t="n">
        <v>0</v>
      </c>
      <c r="N875" t="n">
        <v>0</v>
      </c>
      <c r="O875" t="n">
        <v>0</v>
      </c>
      <c r="P875" t="n">
        <v>0</v>
      </c>
      <c r="Q875" t="n">
        <v>0</v>
      </c>
      <c r="R875" s="2" t="inlineStr"/>
    </row>
    <row r="876" ht="15" customHeight="1">
      <c r="A876" t="inlineStr">
        <is>
          <t>A 37505-2023</t>
        </is>
      </c>
      <c r="B876" s="1" t="n">
        <v>45158</v>
      </c>
      <c r="C876" s="1" t="n">
        <v>45628</v>
      </c>
      <c r="D876" t="inlineStr">
        <is>
          <t>VÄSTERBOTTENS LÄN</t>
        </is>
      </c>
      <c r="E876" t="inlineStr">
        <is>
          <t>VILHELMINA</t>
        </is>
      </c>
      <c r="G876" t="n">
        <v>10.5</v>
      </c>
      <c r="H876" t="n">
        <v>0</v>
      </c>
      <c r="I876" t="n">
        <v>0</v>
      </c>
      <c r="J876" t="n">
        <v>0</v>
      </c>
      <c r="K876" t="n">
        <v>0</v>
      </c>
      <c r="L876" t="n">
        <v>0</v>
      </c>
      <c r="M876" t="n">
        <v>0</v>
      </c>
      <c r="N876" t="n">
        <v>0</v>
      </c>
      <c r="O876" t="n">
        <v>0</v>
      </c>
      <c r="P876" t="n">
        <v>0</v>
      </c>
      <c r="Q876" t="n">
        <v>0</v>
      </c>
      <c r="R876" s="2" t="inlineStr"/>
    </row>
    <row r="877" ht="15" customHeight="1">
      <c r="A877" t="inlineStr">
        <is>
          <t>A 37937-2023</t>
        </is>
      </c>
      <c r="B877" s="1" t="n">
        <v>45159</v>
      </c>
      <c r="C877" s="1" t="n">
        <v>45628</v>
      </c>
      <c r="D877" t="inlineStr">
        <is>
          <t>VÄSTERBOTTENS LÄN</t>
        </is>
      </c>
      <c r="E877" t="inlineStr">
        <is>
          <t>VILHELMINA</t>
        </is>
      </c>
      <c r="G877" t="n">
        <v>2.2</v>
      </c>
      <c r="H877" t="n">
        <v>0</v>
      </c>
      <c r="I877" t="n">
        <v>0</v>
      </c>
      <c r="J877" t="n">
        <v>0</v>
      </c>
      <c r="K877" t="n">
        <v>0</v>
      </c>
      <c r="L877" t="n">
        <v>0</v>
      </c>
      <c r="M877" t="n">
        <v>0</v>
      </c>
      <c r="N877" t="n">
        <v>0</v>
      </c>
      <c r="O877" t="n">
        <v>0</v>
      </c>
      <c r="P877" t="n">
        <v>0</v>
      </c>
      <c r="Q877" t="n">
        <v>0</v>
      </c>
      <c r="R877" s="2" t="inlineStr"/>
    </row>
    <row r="878" ht="15" customHeight="1">
      <c r="A878" t="inlineStr">
        <is>
          <t>A 38363-2023</t>
        </is>
      </c>
      <c r="B878" s="1" t="n">
        <v>45161</v>
      </c>
      <c r="C878" s="1" t="n">
        <v>45628</v>
      </c>
      <c r="D878" t="inlineStr">
        <is>
          <t>VÄSTERBOTTENS LÄN</t>
        </is>
      </c>
      <c r="E878" t="inlineStr">
        <is>
          <t>VILHELMINA</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38364-2023</t>
        </is>
      </c>
      <c r="B879" s="1" t="n">
        <v>45161</v>
      </c>
      <c r="C879" s="1" t="n">
        <v>45628</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38361-2023</t>
        </is>
      </c>
      <c r="B880" s="1" t="n">
        <v>45162</v>
      </c>
      <c r="C880" s="1" t="n">
        <v>45628</v>
      </c>
      <c r="D880" t="inlineStr">
        <is>
          <t>VÄSTERBOTTENS LÄN</t>
        </is>
      </c>
      <c r="E880" t="inlineStr">
        <is>
          <t>VILHELMINA</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38829-2023</t>
        </is>
      </c>
      <c r="B881" s="1" t="n">
        <v>45161</v>
      </c>
      <c r="C881" s="1" t="n">
        <v>45628</v>
      </c>
      <c r="D881" t="inlineStr">
        <is>
          <t>VÄSTERBOTTENS LÄN</t>
        </is>
      </c>
      <c r="E881" t="inlineStr">
        <is>
          <t>VILHELMINA</t>
        </is>
      </c>
      <c r="G881" t="n">
        <v>9.9</v>
      </c>
      <c r="H881" t="n">
        <v>0</v>
      </c>
      <c r="I881" t="n">
        <v>0</v>
      </c>
      <c r="J881" t="n">
        <v>0</v>
      </c>
      <c r="K881" t="n">
        <v>0</v>
      </c>
      <c r="L881" t="n">
        <v>0</v>
      </c>
      <c r="M881" t="n">
        <v>0</v>
      </c>
      <c r="N881" t="n">
        <v>0</v>
      </c>
      <c r="O881" t="n">
        <v>0</v>
      </c>
      <c r="P881" t="n">
        <v>0</v>
      </c>
      <c r="Q881" t="n">
        <v>0</v>
      </c>
      <c r="R881" s="2" t="inlineStr"/>
    </row>
    <row r="882" ht="15" customHeight="1">
      <c r="A882" t="inlineStr">
        <is>
          <t>A 38674-2023</t>
        </is>
      </c>
      <c r="B882" s="1" t="n">
        <v>45163</v>
      </c>
      <c r="C882" s="1" t="n">
        <v>45628</v>
      </c>
      <c r="D882" t="inlineStr">
        <is>
          <t>VÄSTERBOTTENS LÄN</t>
        </is>
      </c>
      <c r="E882" t="inlineStr">
        <is>
          <t>VILHELMINA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39914-2023</t>
        </is>
      </c>
      <c r="B883" s="1" t="n">
        <v>45166</v>
      </c>
      <c r="C883" s="1" t="n">
        <v>45628</v>
      </c>
      <c r="D883" t="inlineStr">
        <is>
          <t>VÄSTERBOTTENS LÄN</t>
        </is>
      </c>
      <c r="E883" t="inlineStr">
        <is>
          <t>VILHELMINA</t>
        </is>
      </c>
      <c r="G883" t="n">
        <v>27.5</v>
      </c>
      <c r="H883" t="n">
        <v>0</v>
      </c>
      <c r="I883" t="n">
        <v>0</v>
      </c>
      <c r="J883" t="n">
        <v>0</v>
      </c>
      <c r="K883" t="n">
        <v>0</v>
      </c>
      <c r="L883" t="n">
        <v>0</v>
      </c>
      <c r="M883" t="n">
        <v>0</v>
      </c>
      <c r="N883" t="n">
        <v>0</v>
      </c>
      <c r="O883" t="n">
        <v>0</v>
      </c>
      <c r="P883" t="n">
        <v>0</v>
      </c>
      <c r="Q883" t="n">
        <v>0</v>
      </c>
      <c r="R883" s="2" t="inlineStr"/>
    </row>
    <row r="884" ht="15" customHeight="1">
      <c r="A884" t="inlineStr">
        <is>
          <t>A 40431-2023</t>
        </is>
      </c>
      <c r="B884" s="1" t="n">
        <v>45170</v>
      </c>
      <c r="C884" s="1" t="n">
        <v>45628</v>
      </c>
      <c r="D884" t="inlineStr">
        <is>
          <t>VÄSTERBOTTENS LÄN</t>
        </is>
      </c>
      <c r="E884" t="inlineStr">
        <is>
          <t>VILHELMINA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40426-2023</t>
        </is>
      </c>
      <c r="B885" s="1" t="n">
        <v>45169</v>
      </c>
      <c r="C885" s="1" t="n">
        <v>45628</v>
      </c>
      <c r="D885" t="inlineStr">
        <is>
          <t>VÄSTERBOTTENS LÄN</t>
        </is>
      </c>
      <c r="E885" t="inlineStr">
        <is>
          <t>VILHELMINA</t>
        </is>
      </c>
      <c r="F885" t="inlineStr">
        <is>
          <t>SCA</t>
        </is>
      </c>
      <c r="G885" t="n">
        <v>12.6</v>
      </c>
      <c r="H885" t="n">
        <v>0</v>
      </c>
      <c r="I885" t="n">
        <v>0</v>
      </c>
      <c r="J885" t="n">
        <v>0</v>
      </c>
      <c r="K885" t="n">
        <v>0</v>
      </c>
      <c r="L885" t="n">
        <v>0</v>
      </c>
      <c r="M885" t="n">
        <v>0</v>
      </c>
      <c r="N885" t="n">
        <v>0</v>
      </c>
      <c r="O885" t="n">
        <v>0</v>
      </c>
      <c r="P885" t="n">
        <v>0</v>
      </c>
      <c r="Q885" t="n">
        <v>0</v>
      </c>
      <c r="R885" s="2" t="inlineStr"/>
    </row>
    <row r="886" ht="15" customHeight="1">
      <c r="A886" t="inlineStr">
        <is>
          <t>A 40649-2023</t>
        </is>
      </c>
      <c r="B886" s="1" t="n">
        <v>45170</v>
      </c>
      <c r="C886" s="1" t="n">
        <v>45628</v>
      </c>
      <c r="D886" t="inlineStr">
        <is>
          <t>VÄSTERBOTTENS LÄN</t>
        </is>
      </c>
      <c r="E886" t="inlineStr">
        <is>
          <t>VILHELMINA</t>
        </is>
      </c>
      <c r="G886" t="n">
        <v>18.5</v>
      </c>
      <c r="H886" t="n">
        <v>0</v>
      </c>
      <c r="I886" t="n">
        <v>0</v>
      </c>
      <c r="J886" t="n">
        <v>0</v>
      </c>
      <c r="K886" t="n">
        <v>0</v>
      </c>
      <c r="L886" t="n">
        <v>0</v>
      </c>
      <c r="M886" t="n">
        <v>0</v>
      </c>
      <c r="N886" t="n">
        <v>0</v>
      </c>
      <c r="O886" t="n">
        <v>0</v>
      </c>
      <c r="P886" t="n">
        <v>0</v>
      </c>
      <c r="Q886" t="n">
        <v>0</v>
      </c>
      <c r="R886" s="2" t="inlineStr"/>
    </row>
    <row r="887" ht="15" customHeight="1">
      <c r="A887" t="inlineStr">
        <is>
          <t>A 40785-2023</t>
        </is>
      </c>
      <c r="B887" s="1" t="n">
        <v>45171</v>
      </c>
      <c r="C887" s="1" t="n">
        <v>45628</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40781-2023</t>
        </is>
      </c>
      <c r="B888" s="1" t="n">
        <v>45171</v>
      </c>
      <c r="C888" s="1" t="n">
        <v>45628</v>
      </c>
      <c r="D888" t="inlineStr">
        <is>
          <t>VÄSTERBOTTENS LÄN</t>
        </is>
      </c>
      <c r="E888" t="inlineStr">
        <is>
          <t>VILHELMINA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40782-2023</t>
        </is>
      </c>
      <c r="B889" s="1" t="n">
        <v>45171</v>
      </c>
      <c r="C889" s="1" t="n">
        <v>45628</v>
      </c>
      <c r="D889" t="inlineStr">
        <is>
          <t>VÄSTERBOTTENS LÄN</t>
        </is>
      </c>
      <c r="E889" t="inlineStr">
        <is>
          <t>VILHELMINA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40783-2023</t>
        </is>
      </c>
      <c r="B890" s="1" t="n">
        <v>45171</v>
      </c>
      <c r="C890" s="1" t="n">
        <v>45628</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40787-2023</t>
        </is>
      </c>
      <c r="B891" s="1" t="n">
        <v>45171</v>
      </c>
      <c r="C891" s="1" t="n">
        <v>45628</v>
      </c>
      <c r="D891" t="inlineStr">
        <is>
          <t>VÄSTERBOTTENS LÄN</t>
        </is>
      </c>
      <c r="E891" t="inlineStr">
        <is>
          <t>VILHELMINA</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40784-2023</t>
        </is>
      </c>
      <c r="B892" s="1" t="n">
        <v>45171</v>
      </c>
      <c r="C892" s="1" t="n">
        <v>45628</v>
      </c>
      <c r="D892" t="inlineStr">
        <is>
          <t>VÄSTERBOTTENS LÄN</t>
        </is>
      </c>
      <c r="E892" t="inlineStr">
        <is>
          <t>VILHELMINA</t>
        </is>
      </c>
      <c r="F892" t="inlineStr">
        <is>
          <t>SCA</t>
        </is>
      </c>
      <c r="G892" t="n">
        <v>9.1</v>
      </c>
      <c r="H892" t="n">
        <v>0</v>
      </c>
      <c r="I892" t="n">
        <v>0</v>
      </c>
      <c r="J892" t="n">
        <v>0</v>
      </c>
      <c r="K892" t="n">
        <v>0</v>
      </c>
      <c r="L892" t="n">
        <v>0</v>
      </c>
      <c r="M892" t="n">
        <v>0</v>
      </c>
      <c r="N892" t="n">
        <v>0</v>
      </c>
      <c r="O892" t="n">
        <v>0</v>
      </c>
      <c r="P892" t="n">
        <v>0</v>
      </c>
      <c r="Q892" t="n">
        <v>0</v>
      </c>
      <c r="R892" s="2" t="inlineStr"/>
    </row>
    <row r="893" ht="15" customHeight="1">
      <c r="A893" t="inlineStr">
        <is>
          <t>A 40780-2023</t>
        </is>
      </c>
      <c r="B893" s="1" t="n">
        <v>45170</v>
      </c>
      <c r="C893" s="1" t="n">
        <v>45628</v>
      </c>
      <c r="D893" t="inlineStr">
        <is>
          <t>VÄSTERBOTTENS LÄN</t>
        </is>
      </c>
      <c r="E893" t="inlineStr">
        <is>
          <t>VILHELMINA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40908-2023</t>
        </is>
      </c>
      <c r="B894" s="1" t="n">
        <v>45173</v>
      </c>
      <c r="C894" s="1" t="n">
        <v>45628</v>
      </c>
      <c r="D894" t="inlineStr">
        <is>
          <t>VÄSTERBOTTENS LÄN</t>
        </is>
      </c>
      <c r="E894" t="inlineStr">
        <is>
          <t>VILHELMINA</t>
        </is>
      </c>
      <c r="G894" t="n">
        <v>3.3</v>
      </c>
      <c r="H894" t="n">
        <v>0</v>
      </c>
      <c r="I894" t="n">
        <v>0</v>
      </c>
      <c r="J894" t="n">
        <v>0</v>
      </c>
      <c r="K894" t="n">
        <v>0</v>
      </c>
      <c r="L894" t="n">
        <v>0</v>
      </c>
      <c r="M894" t="n">
        <v>0</v>
      </c>
      <c r="N894" t="n">
        <v>0</v>
      </c>
      <c r="O894" t="n">
        <v>0</v>
      </c>
      <c r="P894" t="n">
        <v>0</v>
      </c>
      <c r="Q894" t="n">
        <v>0</v>
      </c>
      <c r="R894" s="2" t="inlineStr"/>
    </row>
    <row r="895" ht="15" customHeight="1">
      <c r="A895" t="inlineStr">
        <is>
          <t>A 41931-2023</t>
        </is>
      </c>
      <c r="B895" s="1" t="n">
        <v>45177</v>
      </c>
      <c r="C895" s="1" t="n">
        <v>45628</v>
      </c>
      <c r="D895" t="inlineStr">
        <is>
          <t>VÄSTERBOTTENS LÄN</t>
        </is>
      </c>
      <c r="E895" t="inlineStr">
        <is>
          <t>VILHELMINA</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41930-2023</t>
        </is>
      </c>
      <c r="B896" s="1" t="n">
        <v>45177</v>
      </c>
      <c r="C896" s="1" t="n">
        <v>45628</v>
      </c>
      <c r="D896" t="inlineStr">
        <is>
          <t>VÄSTERBOTTENS LÄN</t>
        </is>
      </c>
      <c r="E896" t="inlineStr">
        <is>
          <t>VILHELMINA</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41932-2023</t>
        </is>
      </c>
      <c r="B897" s="1" t="n">
        <v>45177</v>
      </c>
      <c r="C897" s="1" t="n">
        <v>45628</v>
      </c>
      <c r="D897" t="inlineStr">
        <is>
          <t>VÄSTERBOTTENS LÄN</t>
        </is>
      </c>
      <c r="E897" t="inlineStr">
        <is>
          <t>VILHELMINA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43637-2023</t>
        </is>
      </c>
      <c r="B898" s="1" t="n">
        <v>45186</v>
      </c>
      <c r="C898" s="1" t="n">
        <v>45628</v>
      </c>
      <c r="D898" t="inlineStr">
        <is>
          <t>VÄSTERBOTTENS LÄN</t>
        </is>
      </c>
      <c r="E898" t="inlineStr">
        <is>
          <t>VILHELMINA</t>
        </is>
      </c>
      <c r="G898" t="n">
        <v>3.3</v>
      </c>
      <c r="H898" t="n">
        <v>0</v>
      </c>
      <c r="I898" t="n">
        <v>0</v>
      </c>
      <c r="J898" t="n">
        <v>0</v>
      </c>
      <c r="K898" t="n">
        <v>0</v>
      </c>
      <c r="L898" t="n">
        <v>0</v>
      </c>
      <c r="M898" t="n">
        <v>0</v>
      </c>
      <c r="N898" t="n">
        <v>0</v>
      </c>
      <c r="O898" t="n">
        <v>0</v>
      </c>
      <c r="P898" t="n">
        <v>0</v>
      </c>
      <c r="Q898" t="n">
        <v>0</v>
      </c>
      <c r="R898" s="2" t="inlineStr"/>
    </row>
    <row r="899" ht="15" customHeight="1">
      <c r="A899" t="inlineStr">
        <is>
          <t>A 43948-2023</t>
        </is>
      </c>
      <c r="B899" s="1" t="n">
        <v>45187</v>
      </c>
      <c r="C899" s="1" t="n">
        <v>45628</v>
      </c>
      <c r="D899" t="inlineStr">
        <is>
          <t>VÄSTERBOTTENS LÄN</t>
        </is>
      </c>
      <c r="E899" t="inlineStr">
        <is>
          <t>VILHELMINA</t>
        </is>
      </c>
      <c r="G899" t="n">
        <v>3.7</v>
      </c>
      <c r="H899" t="n">
        <v>0</v>
      </c>
      <c r="I899" t="n">
        <v>0</v>
      </c>
      <c r="J899" t="n">
        <v>0</v>
      </c>
      <c r="K899" t="n">
        <v>0</v>
      </c>
      <c r="L899" t="n">
        <v>0</v>
      </c>
      <c r="M899" t="n">
        <v>0</v>
      </c>
      <c r="N899" t="n">
        <v>0</v>
      </c>
      <c r="O899" t="n">
        <v>0</v>
      </c>
      <c r="P899" t="n">
        <v>0</v>
      </c>
      <c r="Q899" t="n">
        <v>0</v>
      </c>
      <c r="R899" s="2" t="inlineStr"/>
    </row>
    <row r="900" ht="15" customHeight="1">
      <c r="A900" t="inlineStr">
        <is>
          <t>A 45219-2023</t>
        </is>
      </c>
      <c r="B900" s="1" t="n">
        <v>45187</v>
      </c>
      <c r="C900" s="1" t="n">
        <v>45628</v>
      </c>
      <c r="D900" t="inlineStr">
        <is>
          <t>VÄSTERBOTTENS LÄN</t>
        </is>
      </c>
      <c r="E900" t="inlineStr">
        <is>
          <t>VILHELMINA</t>
        </is>
      </c>
      <c r="G900" t="n">
        <v>10.6</v>
      </c>
      <c r="H900" t="n">
        <v>0</v>
      </c>
      <c r="I900" t="n">
        <v>0</v>
      </c>
      <c r="J900" t="n">
        <v>0</v>
      </c>
      <c r="K900" t="n">
        <v>0</v>
      </c>
      <c r="L900" t="n">
        <v>0</v>
      </c>
      <c r="M900" t="n">
        <v>0</v>
      </c>
      <c r="N900" t="n">
        <v>0</v>
      </c>
      <c r="O900" t="n">
        <v>0</v>
      </c>
      <c r="P900" t="n">
        <v>0</v>
      </c>
      <c r="Q900" t="n">
        <v>0</v>
      </c>
      <c r="R900" s="2" t="inlineStr"/>
    </row>
    <row r="901" ht="15" customHeight="1">
      <c r="A901" t="inlineStr">
        <is>
          <t>A 43990-2023</t>
        </is>
      </c>
      <c r="B901" s="1" t="n">
        <v>45188</v>
      </c>
      <c r="C901" s="1" t="n">
        <v>45628</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45215-2023</t>
        </is>
      </c>
      <c r="B902" s="1" t="n">
        <v>45187</v>
      </c>
      <c r="C902" s="1" t="n">
        <v>45628</v>
      </c>
      <c r="D902" t="inlineStr">
        <is>
          <t>VÄSTERBOTTENS LÄN</t>
        </is>
      </c>
      <c r="E902" t="inlineStr">
        <is>
          <t>VILHELMINA</t>
        </is>
      </c>
      <c r="F902" t="inlineStr">
        <is>
          <t>Kommuner</t>
        </is>
      </c>
      <c r="G902" t="n">
        <v>8.6</v>
      </c>
      <c r="H902" t="n">
        <v>0</v>
      </c>
      <c r="I902" t="n">
        <v>0</v>
      </c>
      <c r="J902" t="n">
        <v>0</v>
      </c>
      <c r="K902" t="n">
        <v>0</v>
      </c>
      <c r="L902" t="n">
        <v>0</v>
      </c>
      <c r="M902" t="n">
        <v>0</v>
      </c>
      <c r="N902" t="n">
        <v>0</v>
      </c>
      <c r="O902" t="n">
        <v>0</v>
      </c>
      <c r="P902" t="n">
        <v>0</v>
      </c>
      <c r="Q902" t="n">
        <v>0</v>
      </c>
      <c r="R902" s="2" t="inlineStr"/>
    </row>
    <row r="903" ht="15" customHeight="1">
      <c r="A903" t="inlineStr">
        <is>
          <t>A 44371-2023</t>
        </is>
      </c>
      <c r="B903" s="1" t="n">
        <v>45188</v>
      </c>
      <c r="C903" s="1" t="n">
        <v>45628</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44601-2023</t>
        </is>
      </c>
      <c r="B904" s="1" t="n">
        <v>45189</v>
      </c>
      <c r="C904" s="1" t="n">
        <v>45628</v>
      </c>
      <c r="D904" t="inlineStr">
        <is>
          <t>VÄSTERBOTTENS LÄN</t>
        </is>
      </c>
      <c r="E904" t="inlineStr">
        <is>
          <t>VILHELMINA</t>
        </is>
      </c>
      <c r="F904" t="inlineStr">
        <is>
          <t>Kommuner</t>
        </is>
      </c>
      <c r="G904" t="n">
        <v>16.5</v>
      </c>
      <c r="H904" t="n">
        <v>0</v>
      </c>
      <c r="I904" t="n">
        <v>0</v>
      </c>
      <c r="J904" t="n">
        <v>0</v>
      </c>
      <c r="K904" t="n">
        <v>0</v>
      </c>
      <c r="L904" t="n">
        <v>0</v>
      </c>
      <c r="M904" t="n">
        <v>0</v>
      </c>
      <c r="N904" t="n">
        <v>0</v>
      </c>
      <c r="O904" t="n">
        <v>0</v>
      </c>
      <c r="P904" t="n">
        <v>0</v>
      </c>
      <c r="Q904" t="n">
        <v>0</v>
      </c>
      <c r="R904" s="2" t="inlineStr"/>
    </row>
    <row r="905" ht="15" customHeight="1">
      <c r="A905" t="inlineStr">
        <is>
          <t>A 44695-2023</t>
        </is>
      </c>
      <c r="B905" s="1" t="n">
        <v>45190</v>
      </c>
      <c r="C905" s="1" t="n">
        <v>45628</v>
      </c>
      <c r="D905" t="inlineStr">
        <is>
          <t>VÄSTERBOTTENS LÄN</t>
        </is>
      </c>
      <c r="E905" t="inlineStr">
        <is>
          <t>VILHELMINA</t>
        </is>
      </c>
      <c r="G905" t="n">
        <v>15.6</v>
      </c>
      <c r="H905" t="n">
        <v>0</v>
      </c>
      <c r="I905" t="n">
        <v>0</v>
      </c>
      <c r="J905" t="n">
        <v>0</v>
      </c>
      <c r="K905" t="n">
        <v>0</v>
      </c>
      <c r="L905" t="n">
        <v>0</v>
      </c>
      <c r="M905" t="n">
        <v>0</v>
      </c>
      <c r="N905" t="n">
        <v>0</v>
      </c>
      <c r="O905" t="n">
        <v>0</v>
      </c>
      <c r="P905" t="n">
        <v>0</v>
      </c>
      <c r="Q905" t="n">
        <v>0</v>
      </c>
      <c r="R905" s="2" t="inlineStr"/>
    </row>
    <row r="906" ht="15" customHeight="1">
      <c r="A906" t="inlineStr">
        <is>
          <t>A 45022-2023</t>
        </is>
      </c>
      <c r="B906" s="1" t="n">
        <v>45190</v>
      </c>
      <c r="C906" s="1" t="n">
        <v>45628</v>
      </c>
      <c r="D906" t="inlineStr">
        <is>
          <t>VÄSTERBOTTENS LÄN</t>
        </is>
      </c>
      <c r="E906" t="inlineStr">
        <is>
          <t>VILHELMINA</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46177-2023</t>
        </is>
      </c>
      <c r="B907" s="1" t="n">
        <v>45190</v>
      </c>
      <c r="C907" s="1" t="n">
        <v>45628</v>
      </c>
      <c r="D907" t="inlineStr">
        <is>
          <t>VÄSTERBOTTENS LÄN</t>
        </is>
      </c>
      <c r="E907" t="inlineStr">
        <is>
          <t>VILHELMINA</t>
        </is>
      </c>
      <c r="F907" t="inlineStr">
        <is>
          <t>Övriga Aktiebolag</t>
        </is>
      </c>
      <c r="G907" t="n">
        <v>7.7</v>
      </c>
      <c r="H907" t="n">
        <v>0</v>
      </c>
      <c r="I907" t="n">
        <v>0</v>
      </c>
      <c r="J907" t="n">
        <v>0</v>
      </c>
      <c r="K907" t="n">
        <v>0</v>
      </c>
      <c r="L907" t="n">
        <v>0</v>
      </c>
      <c r="M907" t="n">
        <v>0</v>
      </c>
      <c r="N907" t="n">
        <v>0</v>
      </c>
      <c r="O907" t="n">
        <v>0</v>
      </c>
      <c r="P907" t="n">
        <v>0</v>
      </c>
      <c r="Q907" t="n">
        <v>0</v>
      </c>
      <c r="R907" s="2" t="inlineStr"/>
    </row>
    <row r="908" ht="15" customHeight="1">
      <c r="A908" t="inlineStr">
        <is>
          <t>A 46164-2023</t>
        </is>
      </c>
      <c r="B908" s="1" t="n">
        <v>45190</v>
      </c>
      <c r="C908" s="1" t="n">
        <v>45628</v>
      </c>
      <c r="D908" t="inlineStr">
        <is>
          <t>VÄSTERBOTTENS LÄN</t>
        </is>
      </c>
      <c r="E908" t="inlineStr">
        <is>
          <t>VILHELMINA</t>
        </is>
      </c>
      <c r="G908" t="n">
        <v>6.3</v>
      </c>
      <c r="H908" t="n">
        <v>0</v>
      </c>
      <c r="I908" t="n">
        <v>0</v>
      </c>
      <c r="J908" t="n">
        <v>0</v>
      </c>
      <c r="K908" t="n">
        <v>0</v>
      </c>
      <c r="L908" t="n">
        <v>0</v>
      </c>
      <c r="M908" t="n">
        <v>0</v>
      </c>
      <c r="N908" t="n">
        <v>0</v>
      </c>
      <c r="O908" t="n">
        <v>0</v>
      </c>
      <c r="P908" t="n">
        <v>0</v>
      </c>
      <c r="Q908" t="n">
        <v>0</v>
      </c>
      <c r="R908" s="2" t="inlineStr"/>
    </row>
    <row r="909" ht="15" customHeight="1">
      <c r="A909" t="inlineStr">
        <is>
          <t>A 46119-2023</t>
        </is>
      </c>
      <c r="B909" s="1" t="n">
        <v>45190</v>
      </c>
      <c r="C909" s="1" t="n">
        <v>45628</v>
      </c>
      <c r="D909" t="inlineStr">
        <is>
          <t>VÄSTERBOTTENS LÄN</t>
        </is>
      </c>
      <c r="E909" t="inlineStr">
        <is>
          <t>VILHELMINA</t>
        </is>
      </c>
      <c r="G909" t="n">
        <v>17.7</v>
      </c>
      <c r="H909" t="n">
        <v>0</v>
      </c>
      <c r="I909" t="n">
        <v>0</v>
      </c>
      <c r="J909" t="n">
        <v>0</v>
      </c>
      <c r="K909" t="n">
        <v>0</v>
      </c>
      <c r="L909" t="n">
        <v>0</v>
      </c>
      <c r="M909" t="n">
        <v>0</v>
      </c>
      <c r="N909" t="n">
        <v>0</v>
      </c>
      <c r="O909" t="n">
        <v>0</v>
      </c>
      <c r="P909" t="n">
        <v>0</v>
      </c>
      <c r="Q909" t="n">
        <v>0</v>
      </c>
      <c r="R909" s="2" t="inlineStr"/>
    </row>
    <row r="910" ht="15" customHeight="1">
      <c r="A910" t="inlineStr">
        <is>
          <t>A 45672-2023</t>
        </is>
      </c>
      <c r="B910" s="1" t="n">
        <v>45194</v>
      </c>
      <c r="C910" s="1" t="n">
        <v>45628</v>
      </c>
      <c r="D910" t="inlineStr">
        <is>
          <t>VÄSTERBOTTENS LÄN</t>
        </is>
      </c>
      <c r="E910" t="inlineStr">
        <is>
          <t>VILHELMINA</t>
        </is>
      </c>
      <c r="G910" t="n">
        <v>1.5</v>
      </c>
      <c r="H910" t="n">
        <v>0</v>
      </c>
      <c r="I910" t="n">
        <v>0</v>
      </c>
      <c r="J910" t="n">
        <v>0</v>
      </c>
      <c r="K910" t="n">
        <v>0</v>
      </c>
      <c r="L910" t="n">
        <v>0</v>
      </c>
      <c r="M910" t="n">
        <v>0</v>
      </c>
      <c r="N910" t="n">
        <v>0</v>
      </c>
      <c r="O910" t="n">
        <v>0</v>
      </c>
      <c r="P910" t="n">
        <v>0</v>
      </c>
      <c r="Q910" t="n">
        <v>0</v>
      </c>
      <c r="R910" s="2" t="inlineStr"/>
    </row>
    <row r="911" ht="15" customHeight="1">
      <c r="A911" t="inlineStr">
        <is>
          <t>A 45673-2023</t>
        </is>
      </c>
      <c r="B911" s="1" t="n">
        <v>45194</v>
      </c>
      <c r="C911" s="1" t="n">
        <v>45628</v>
      </c>
      <c r="D911" t="inlineStr">
        <is>
          <t>VÄSTERBOTTENS LÄN</t>
        </is>
      </c>
      <c r="E911" t="inlineStr">
        <is>
          <t>VILHELMINA</t>
        </is>
      </c>
      <c r="G911" t="n">
        <v>13.4</v>
      </c>
      <c r="H911" t="n">
        <v>0</v>
      </c>
      <c r="I911" t="n">
        <v>0</v>
      </c>
      <c r="J911" t="n">
        <v>0</v>
      </c>
      <c r="K911" t="n">
        <v>0</v>
      </c>
      <c r="L911" t="n">
        <v>0</v>
      </c>
      <c r="M911" t="n">
        <v>0</v>
      </c>
      <c r="N911" t="n">
        <v>0</v>
      </c>
      <c r="O911" t="n">
        <v>0</v>
      </c>
      <c r="P911" t="n">
        <v>0</v>
      </c>
      <c r="Q911" t="n">
        <v>0</v>
      </c>
      <c r="R911" s="2" t="inlineStr"/>
    </row>
    <row r="912" ht="15" customHeight="1">
      <c r="A912" t="inlineStr">
        <is>
          <t>A 45970-2023</t>
        </is>
      </c>
      <c r="B912" s="1" t="n">
        <v>45195</v>
      </c>
      <c r="C912" s="1" t="n">
        <v>45628</v>
      </c>
      <c r="D912" t="inlineStr">
        <is>
          <t>VÄSTERBOTTENS LÄN</t>
        </is>
      </c>
      <c r="E912" t="inlineStr">
        <is>
          <t>VILHELMINA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45971-2023</t>
        </is>
      </c>
      <c r="B913" s="1" t="n">
        <v>45195</v>
      </c>
      <c r="C913" s="1" t="n">
        <v>45628</v>
      </c>
      <c r="D913" t="inlineStr">
        <is>
          <t>VÄSTERBOTTENS LÄN</t>
        </is>
      </c>
      <c r="E913" t="inlineStr">
        <is>
          <t>VILHELMINA</t>
        </is>
      </c>
      <c r="F913" t="inlineStr">
        <is>
          <t>SCA</t>
        </is>
      </c>
      <c r="G913" t="n">
        <v>48.3</v>
      </c>
      <c r="H913" t="n">
        <v>0</v>
      </c>
      <c r="I913" t="n">
        <v>0</v>
      </c>
      <c r="J913" t="n">
        <v>0</v>
      </c>
      <c r="K913" t="n">
        <v>0</v>
      </c>
      <c r="L913" t="n">
        <v>0</v>
      </c>
      <c r="M913" t="n">
        <v>0</v>
      </c>
      <c r="N913" t="n">
        <v>0</v>
      </c>
      <c r="O913" t="n">
        <v>0</v>
      </c>
      <c r="P913" t="n">
        <v>0</v>
      </c>
      <c r="Q913" t="n">
        <v>0</v>
      </c>
      <c r="R913" s="2" t="inlineStr"/>
    </row>
    <row r="914" ht="15" customHeight="1">
      <c r="A914" t="inlineStr">
        <is>
          <t>A 45927-2023</t>
        </is>
      </c>
      <c r="B914" s="1" t="n">
        <v>45196</v>
      </c>
      <c r="C914" s="1" t="n">
        <v>45628</v>
      </c>
      <c r="D914" t="inlineStr">
        <is>
          <t>VÄSTERBOTTENS LÄN</t>
        </is>
      </c>
      <c r="E914" t="inlineStr">
        <is>
          <t>VILHELMINA</t>
        </is>
      </c>
      <c r="G914" t="n">
        <v>4.7</v>
      </c>
      <c r="H914" t="n">
        <v>0</v>
      </c>
      <c r="I914" t="n">
        <v>0</v>
      </c>
      <c r="J914" t="n">
        <v>0</v>
      </c>
      <c r="K914" t="n">
        <v>0</v>
      </c>
      <c r="L914" t="n">
        <v>0</v>
      </c>
      <c r="M914" t="n">
        <v>0</v>
      </c>
      <c r="N914" t="n">
        <v>0</v>
      </c>
      <c r="O914" t="n">
        <v>0</v>
      </c>
      <c r="P914" t="n">
        <v>0</v>
      </c>
      <c r="Q914" t="n">
        <v>0</v>
      </c>
      <c r="R914" s="2" t="inlineStr"/>
    </row>
    <row r="915" ht="15" customHeight="1">
      <c r="A915" t="inlineStr">
        <is>
          <t>A 45965-2023</t>
        </is>
      </c>
      <c r="B915" s="1" t="n">
        <v>45196</v>
      </c>
      <c r="C915" s="1" t="n">
        <v>45628</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45926-2023</t>
        </is>
      </c>
      <c r="B916" s="1" t="n">
        <v>45196</v>
      </c>
      <c r="C916" s="1" t="n">
        <v>45628</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45964-2023</t>
        </is>
      </c>
      <c r="B917" s="1" t="n">
        <v>45195</v>
      </c>
      <c r="C917" s="1" t="n">
        <v>45628</v>
      </c>
      <c r="D917" t="inlineStr">
        <is>
          <t>VÄSTERBOTTENS LÄN</t>
        </is>
      </c>
      <c r="E917" t="inlineStr">
        <is>
          <t>VILHELMINA</t>
        </is>
      </c>
      <c r="F917" t="inlineStr">
        <is>
          <t>SCA</t>
        </is>
      </c>
      <c r="G917" t="n">
        <v>17.2</v>
      </c>
      <c r="H917" t="n">
        <v>0</v>
      </c>
      <c r="I917" t="n">
        <v>0</v>
      </c>
      <c r="J917" t="n">
        <v>0</v>
      </c>
      <c r="K917" t="n">
        <v>0</v>
      </c>
      <c r="L917" t="n">
        <v>0</v>
      </c>
      <c r="M917" t="n">
        <v>0</v>
      </c>
      <c r="N917" t="n">
        <v>0</v>
      </c>
      <c r="O917" t="n">
        <v>0</v>
      </c>
      <c r="P917" t="n">
        <v>0</v>
      </c>
      <c r="Q917" t="n">
        <v>0</v>
      </c>
      <c r="R917" s="2" t="inlineStr"/>
    </row>
    <row r="918" ht="15" customHeight="1">
      <c r="A918" t="inlineStr">
        <is>
          <t>A 45972-2023</t>
        </is>
      </c>
      <c r="B918" s="1" t="n">
        <v>45195</v>
      </c>
      <c r="C918" s="1" t="n">
        <v>45628</v>
      </c>
      <c r="D918" t="inlineStr">
        <is>
          <t>VÄSTERBOTTENS LÄN</t>
        </is>
      </c>
      <c r="E918" t="inlineStr">
        <is>
          <t>VILHELMINA</t>
        </is>
      </c>
      <c r="F918" t="inlineStr">
        <is>
          <t>SCA</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46547-2023</t>
        </is>
      </c>
      <c r="B919" s="1" t="n">
        <v>45198</v>
      </c>
      <c r="C919" s="1" t="n">
        <v>45628</v>
      </c>
      <c r="D919" t="inlineStr">
        <is>
          <t>VÄSTERBOTTENS LÄN</t>
        </is>
      </c>
      <c r="E919" t="inlineStr">
        <is>
          <t>VILHELMINA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46824-2023</t>
        </is>
      </c>
      <c r="B920" s="1" t="n">
        <v>45199</v>
      </c>
      <c r="C920" s="1" t="n">
        <v>45628</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46823-2023</t>
        </is>
      </c>
      <c r="B921" s="1" t="n">
        <v>45199</v>
      </c>
      <c r="C921" s="1" t="n">
        <v>45628</v>
      </c>
      <c r="D921" t="inlineStr">
        <is>
          <t>VÄSTERBOTTENS LÄN</t>
        </is>
      </c>
      <c r="E921" t="inlineStr">
        <is>
          <t>VILHELMINA</t>
        </is>
      </c>
      <c r="F921" t="inlineStr">
        <is>
          <t>SCA</t>
        </is>
      </c>
      <c r="G921" t="n">
        <v>17.1</v>
      </c>
      <c r="H921" t="n">
        <v>0</v>
      </c>
      <c r="I921" t="n">
        <v>0</v>
      </c>
      <c r="J921" t="n">
        <v>0</v>
      </c>
      <c r="K921" t="n">
        <v>0</v>
      </c>
      <c r="L921" t="n">
        <v>0</v>
      </c>
      <c r="M921" t="n">
        <v>0</v>
      </c>
      <c r="N921" t="n">
        <v>0</v>
      </c>
      <c r="O921" t="n">
        <v>0</v>
      </c>
      <c r="P921" t="n">
        <v>0</v>
      </c>
      <c r="Q921" t="n">
        <v>0</v>
      </c>
      <c r="R921" s="2" t="inlineStr"/>
    </row>
    <row r="922" ht="15" customHeight="1">
      <c r="A922" t="inlineStr">
        <is>
          <t>A 47482-2023</t>
        </is>
      </c>
      <c r="B922" s="1" t="n">
        <v>45203</v>
      </c>
      <c r="C922" s="1" t="n">
        <v>45628</v>
      </c>
      <c r="D922" t="inlineStr">
        <is>
          <t>VÄSTERBOTTENS LÄN</t>
        </is>
      </c>
      <c r="E922" t="inlineStr">
        <is>
          <t>VILHELMINA</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47481-2023</t>
        </is>
      </c>
      <c r="B923" s="1" t="n">
        <v>45203</v>
      </c>
      <c r="C923" s="1" t="n">
        <v>45628</v>
      </c>
      <c r="D923" t="inlineStr">
        <is>
          <t>VÄSTERBOTTENS LÄN</t>
        </is>
      </c>
      <c r="E923" t="inlineStr">
        <is>
          <t>VILHELMINA</t>
        </is>
      </c>
      <c r="F923" t="inlineStr">
        <is>
          <t>SCA</t>
        </is>
      </c>
      <c r="G923" t="n">
        <v>16.4</v>
      </c>
      <c r="H923" t="n">
        <v>0</v>
      </c>
      <c r="I923" t="n">
        <v>0</v>
      </c>
      <c r="J923" t="n">
        <v>0</v>
      </c>
      <c r="K923" t="n">
        <v>0</v>
      </c>
      <c r="L923" t="n">
        <v>0</v>
      </c>
      <c r="M923" t="n">
        <v>0</v>
      </c>
      <c r="N923" t="n">
        <v>0</v>
      </c>
      <c r="O923" t="n">
        <v>0</v>
      </c>
      <c r="P923" t="n">
        <v>0</v>
      </c>
      <c r="Q923" t="n">
        <v>0</v>
      </c>
      <c r="R923" s="2" t="inlineStr"/>
    </row>
    <row r="924" ht="15" customHeight="1">
      <c r="A924" t="inlineStr">
        <is>
          <t>A 47480-2023</t>
        </is>
      </c>
      <c r="B924" s="1" t="n">
        <v>45203</v>
      </c>
      <c r="C924" s="1" t="n">
        <v>45628</v>
      </c>
      <c r="D924" t="inlineStr">
        <is>
          <t>VÄSTERBOTTENS LÄN</t>
        </is>
      </c>
      <c r="E924" t="inlineStr">
        <is>
          <t>VILHELMINA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47479-2023</t>
        </is>
      </c>
      <c r="B925" s="1" t="n">
        <v>45203</v>
      </c>
      <c r="C925" s="1" t="n">
        <v>45628</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47483-2023</t>
        </is>
      </c>
      <c r="B926" s="1" t="n">
        <v>45203</v>
      </c>
      <c r="C926" s="1" t="n">
        <v>45628</v>
      </c>
      <c r="D926" t="inlineStr">
        <is>
          <t>VÄSTERBOTTENS LÄN</t>
        </is>
      </c>
      <c r="E926" t="inlineStr">
        <is>
          <t>VILHELMINA</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48368-2023</t>
        </is>
      </c>
      <c r="B927" s="1" t="n">
        <v>45205</v>
      </c>
      <c r="C927" s="1" t="n">
        <v>45628</v>
      </c>
      <c r="D927" t="inlineStr">
        <is>
          <t>VÄSTERBOTTENS LÄN</t>
        </is>
      </c>
      <c r="E927" t="inlineStr">
        <is>
          <t>VILHELMINA</t>
        </is>
      </c>
      <c r="F927" t="inlineStr">
        <is>
          <t>Sveaskog</t>
        </is>
      </c>
      <c r="G927" t="n">
        <v>16.8</v>
      </c>
      <c r="H927" t="n">
        <v>0</v>
      </c>
      <c r="I927" t="n">
        <v>0</v>
      </c>
      <c r="J927" t="n">
        <v>0</v>
      </c>
      <c r="K927" t="n">
        <v>0</v>
      </c>
      <c r="L927" t="n">
        <v>0</v>
      </c>
      <c r="M927" t="n">
        <v>0</v>
      </c>
      <c r="N927" t="n">
        <v>0</v>
      </c>
      <c r="O927" t="n">
        <v>0</v>
      </c>
      <c r="P927" t="n">
        <v>0</v>
      </c>
      <c r="Q927" t="n">
        <v>0</v>
      </c>
      <c r="R927" s="2" t="inlineStr"/>
    </row>
    <row r="928" ht="15" customHeight="1">
      <c r="A928" t="inlineStr">
        <is>
          <t>A 48424-2023</t>
        </is>
      </c>
      <c r="B928" s="1" t="n">
        <v>45205</v>
      </c>
      <c r="C928" s="1" t="n">
        <v>45628</v>
      </c>
      <c r="D928" t="inlineStr">
        <is>
          <t>VÄSTERBOTTENS LÄN</t>
        </is>
      </c>
      <c r="E928" t="inlineStr">
        <is>
          <t>VILHELMINA</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48372-2023</t>
        </is>
      </c>
      <c r="B929" s="1" t="n">
        <v>45205</v>
      </c>
      <c r="C929" s="1" t="n">
        <v>45628</v>
      </c>
      <c r="D929" t="inlineStr">
        <is>
          <t>VÄSTERBOTTENS LÄN</t>
        </is>
      </c>
      <c r="E929" t="inlineStr">
        <is>
          <t>VILHELMINA</t>
        </is>
      </c>
      <c r="F929" t="inlineStr">
        <is>
          <t>Sveaskog</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48423-2023</t>
        </is>
      </c>
      <c r="B930" s="1" t="n">
        <v>45205</v>
      </c>
      <c r="C930" s="1" t="n">
        <v>45628</v>
      </c>
      <c r="D930" t="inlineStr">
        <is>
          <t>VÄSTERBOTTENS LÄN</t>
        </is>
      </c>
      <c r="E930" t="inlineStr">
        <is>
          <t>VILHELMINA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48422-2023</t>
        </is>
      </c>
      <c r="B931" s="1" t="n">
        <v>45205</v>
      </c>
      <c r="C931" s="1" t="n">
        <v>45628</v>
      </c>
      <c r="D931" t="inlineStr">
        <is>
          <t>VÄSTERBOTTENS LÄN</t>
        </is>
      </c>
      <c r="E931" t="inlineStr">
        <is>
          <t>VILHELMINA</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48370-2023</t>
        </is>
      </c>
      <c r="B932" s="1" t="n">
        <v>45205</v>
      </c>
      <c r="C932" s="1" t="n">
        <v>45628</v>
      </c>
      <c r="D932" t="inlineStr">
        <is>
          <t>VÄSTERBOTTENS LÄN</t>
        </is>
      </c>
      <c r="E932" t="inlineStr">
        <is>
          <t>VILHELMINA</t>
        </is>
      </c>
      <c r="F932" t="inlineStr">
        <is>
          <t>Sveaskog</t>
        </is>
      </c>
      <c r="G932" t="n">
        <v>7.7</v>
      </c>
      <c r="H932" t="n">
        <v>0</v>
      </c>
      <c r="I932" t="n">
        <v>0</v>
      </c>
      <c r="J932" t="n">
        <v>0</v>
      </c>
      <c r="K932" t="n">
        <v>0</v>
      </c>
      <c r="L932" t="n">
        <v>0</v>
      </c>
      <c r="M932" t="n">
        <v>0</v>
      </c>
      <c r="N932" t="n">
        <v>0</v>
      </c>
      <c r="O932" t="n">
        <v>0</v>
      </c>
      <c r="P932" t="n">
        <v>0</v>
      </c>
      <c r="Q932" t="n">
        <v>0</v>
      </c>
      <c r="R932" s="2" t="inlineStr"/>
    </row>
    <row r="933" ht="15" customHeight="1">
      <c r="A933" t="inlineStr">
        <is>
          <t>A 48471-2023</t>
        </is>
      </c>
      <c r="B933" s="1" t="n">
        <v>45207</v>
      </c>
      <c r="C933" s="1" t="n">
        <v>45628</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48470-2023</t>
        </is>
      </c>
      <c r="B934" s="1" t="n">
        <v>45207</v>
      </c>
      <c r="C934" s="1" t="n">
        <v>45628</v>
      </c>
      <c r="D934" t="inlineStr">
        <is>
          <t>VÄSTERBOTTENS LÄN</t>
        </is>
      </c>
      <c r="E934" t="inlineStr">
        <is>
          <t>VILHELMINA</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48483-2023</t>
        </is>
      </c>
      <c r="B935" s="1" t="n">
        <v>45207</v>
      </c>
      <c r="C935" s="1" t="n">
        <v>45628</v>
      </c>
      <c r="D935" t="inlineStr">
        <is>
          <t>VÄSTERBOTTENS LÄN</t>
        </is>
      </c>
      <c r="E935" t="inlineStr">
        <is>
          <t>VILHELMINA</t>
        </is>
      </c>
      <c r="F935" t="inlineStr">
        <is>
          <t>SCA</t>
        </is>
      </c>
      <c r="G935" t="n">
        <v>7.6</v>
      </c>
      <c r="H935" t="n">
        <v>0</v>
      </c>
      <c r="I935" t="n">
        <v>0</v>
      </c>
      <c r="J935" t="n">
        <v>0</v>
      </c>
      <c r="K935" t="n">
        <v>0</v>
      </c>
      <c r="L935" t="n">
        <v>0</v>
      </c>
      <c r="M935" t="n">
        <v>0</v>
      </c>
      <c r="N935" t="n">
        <v>0</v>
      </c>
      <c r="O935" t="n">
        <v>0</v>
      </c>
      <c r="P935" t="n">
        <v>0</v>
      </c>
      <c r="Q935" t="n">
        <v>0</v>
      </c>
      <c r="R935" s="2" t="inlineStr"/>
    </row>
    <row r="936" ht="15" customHeight="1">
      <c r="A936" t="inlineStr">
        <is>
          <t>A 48472-2023</t>
        </is>
      </c>
      <c r="B936" s="1" t="n">
        <v>45207</v>
      </c>
      <c r="C936" s="1" t="n">
        <v>45628</v>
      </c>
      <c r="D936" t="inlineStr">
        <is>
          <t>VÄSTERBOTTENS LÄN</t>
        </is>
      </c>
      <c r="E936" t="inlineStr">
        <is>
          <t>VILHELMINA</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48505-2023</t>
        </is>
      </c>
      <c r="B937" s="1" t="n">
        <v>45208</v>
      </c>
      <c r="C937" s="1" t="n">
        <v>45628</v>
      </c>
      <c r="D937" t="inlineStr">
        <is>
          <t>VÄSTERBOTTENS LÄN</t>
        </is>
      </c>
      <c r="E937" t="inlineStr">
        <is>
          <t>VILHELMINA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50347-2023</t>
        </is>
      </c>
      <c r="B938" s="1" t="n">
        <v>45209</v>
      </c>
      <c r="C938" s="1" t="n">
        <v>45628</v>
      </c>
      <c r="D938" t="inlineStr">
        <is>
          <t>VÄSTERBOTTENS LÄN</t>
        </is>
      </c>
      <c r="E938" t="inlineStr">
        <is>
          <t>VILHELMINA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49310-2023</t>
        </is>
      </c>
      <c r="B939" s="1" t="n">
        <v>45210</v>
      </c>
      <c r="C939" s="1" t="n">
        <v>45628</v>
      </c>
      <c r="D939" t="inlineStr">
        <is>
          <t>VÄSTERBOTTENS LÄN</t>
        </is>
      </c>
      <c r="E939" t="inlineStr">
        <is>
          <t>VILHELMINA</t>
        </is>
      </c>
      <c r="G939" t="n">
        <v>25.1</v>
      </c>
      <c r="H939" t="n">
        <v>0</v>
      </c>
      <c r="I939" t="n">
        <v>0</v>
      </c>
      <c r="J939" t="n">
        <v>0</v>
      </c>
      <c r="K939" t="n">
        <v>0</v>
      </c>
      <c r="L939" t="n">
        <v>0</v>
      </c>
      <c r="M939" t="n">
        <v>0</v>
      </c>
      <c r="N939" t="n">
        <v>0</v>
      </c>
      <c r="O939" t="n">
        <v>0</v>
      </c>
      <c r="P939" t="n">
        <v>0</v>
      </c>
      <c r="Q939" t="n">
        <v>0</v>
      </c>
      <c r="R939" s="2" t="inlineStr"/>
    </row>
    <row r="940" ht="15" customHeight="1">
      <c r="A940" t="inlineStr">
        <is>
          <t>A 49642-2023</t>
        </is>
      </c>
      <c r="B940" s="1" t="n">
        <v>45212</v>
      </c>
      <c r="C940" s="1" t="n">
        <v>45628</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49652-2023</t>
        </is>
      </c>
      <c r="B941" s="1" t="n">
        <v>45212</v>
      </c>
      <c r="C941" s="1" t="n">
        <v>45628</v>
      </c>
      <c r="D941" t="inlineStr">
        <is>
          <t>VÄSTERBOTTENS LÄN</t>
        </is>
      </c>
      <c r="E941" t="inlineStr">
        <is>
          <t>VILHELMINA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49860-2023</t>
        </is>
      </c>
      <c r="B942" s="1" t="n">
        <v>45212</v>
      </c>
      <c r="C942" s="1" t="n">
        <v>45628</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50505-2023</t>
        </is>
      </c>
      <c r="B943" s="1" t="n">
        <v>45217</v>
      </c>
      <c r="C943" s="1" t="n">
        <v>45628</v>
      </c>
      <c r="D943" t="inlineStr">
        <is>
          <t>VÄSTERBOTTENS LÄN</t>
        </is>
      </c>
      <c r="E943" t="inlineStr">
        <is>
          <t>VILHELMINA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50502-2023</t>
        </is>
      </c>
      <c r="B944" s="1" t="n">
        <v>45217</v>
      </c>
      <c r="C944" s="1" t="n">
        <v>45628</v>
      </c>
      <c r="D944" t="inlineStr">
        <is>
          <t>VÄSTERBOTTENS LÄN</t>
        </is>
      </c>
      <c r="E944" t="inlineStr">
        <is>
          <t>VILHELMINA</t>
        </is>
      </c>
      <c r="F944" t="inlineStr">
        <is>
          <t>SCA</t>
        </is>
      </c>
      <c r="G944" t="n">
        <v>30.6</v>
      </c>
      <c r="H944" t="n">
        <v>0</v>
      </c>
      <c r="I944" t="n">
        <v>0</v>
      </c>
      <c r="J944" t="n">
        <v>0</v>
      </c>
      <c r="K944" t="n">
        <v>0</v>
      </c>
      <c r="L944" t="n">
        <v>0</v>
      </c>
      <c r="M944" t="n">
        <v>0</v>
      </c>
      <c r="N944" t="n">
        <v>0</v>
      </c>
      <c r="O944" t="n">
        <v>0</v>
      </c>
      <c r="P944" t="n">
        <v>0</v>
      </c>
      <c r="Q944" t="n">
        <v>0</v>
      </c>
      <c r="R944" s="2" t="inlineStr"/>
    </row>
    <row r="945" ht="15" customHeight="1">
      <c r="A945" t="inlineStr">
        <is>
          <t>A 50506-2023</t>
        </is>
      </c>
      <c r="B945" s="1" t="n">
        <v>45217</v>
      </c>
      <c r="C945" s="1" t="n">
        <v>45628</v>
      </c>
      <c r="D945" t="inlineStr">
        <is>
          <t>VÄSTERBOTTENS LÄN</t>
        </is>
      </c>
      <c r="E945" t="inlineStr">
        <is>
          <t>VILHELMINA</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50499-2023</t>
        </is>
      </c>
      <c r="B946" s="1" t="n">
        <v>45217</v>
      </c>
      <c r="C946" s="1" t="n">
        <v>45628</v>
      </c>
      <c r="D946" t="inlineStr">
        <is>
          <t>VÄSTERBOTTENS LÄN</t>
        </is>
      </c>
      <c r="E946" t="inlineStr">
        <is>
          <t>VILHELMINA</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50500-2023</t>
        </is>
      </c>
      <c r="B947" s="1" t="n">
        <v>45217</v>
      </c>
      <c r="C947" s="1" t="n">
        <v>45628</v>
      </c>
      <c r="D947" t="inlineStr">
        <is>
          <t>VÄSTERBOTTENS LÄN</t>
        </is>
      </c>
      <c r="E947" t="inlineStr">
        <is>
          <t>VILHELMINA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50494-2023</t>
        </is>
      </c>
      <c r="B948" s="1" t="n">
        <v>45217</v>
      </c>
      <c r="C948" s="1" t="n">
        <v>45628</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50490-2023</t>
        </is>
      </c>
      <c r="B949" s="1" t="n">
        <v>45217</v>
      </c>
      <c r="C949" s="1" t="n">
        <v>45628</v>
      </c>
      <c r="D949" t="inlineStr">
        <is>
          <t>VÄSTERBOTTENS LÄN</t>
        </is>
      </c>
      <c r="E949" t="inlineStr">
        <is>
          <t>VILHELMINA</t>
        </is>
      </c>
      <c r="F949" t="inlineStr">
        <is>
          <t>SCA</t>
        </is>
      </c>
      <c r="G949" t="n">
        <v>12.3</v>
      </c>
      <c r="H949" t="n">
        <v>0</v>
      </c>
      <c r="I949" t="n">
        <v>0</v>
      </c>
      <c r="J949" t="n">
        <v>0</v>
      </c>
      <c r="K949" t="n">
        <v>0</v>
      </c>
      <c r="L949" t="n">
        <v>0</v>
      </c>
      <c r="M949" t="n">
        <v>0</v>
      </c>
      <c r="N949" t="n">
        <v>0</v>
      </c>
      <c r="O949" t="n">
        <v>0</v>
      </c>
      <c r="P949" t="n">
        <v>0</v>
      </c>
      <c r="Q949" t="n">
        <v>0</v>
      </c>
      <c r="R949" s="2" t="inlineStr"/>
    </row>
    <row r="950" ht="15" customHeight="1">
      <c r="A950" t="inlineStr">
        <is>
          <t>A 50482-2023</t>
        </is>
      </c>
      <c r="B950" s="1" t="n">
        <v>45216</v>
      </c>
      <c r="C950" s="1" t="n">
        <v>45628</v>
      </c>
      <c r="D950" t="inlineStr">
        <is>
          <t>VÄSTERBOTTENS LÄN</t>
        </is>
      </c>
      <c r="E950" t="inlineStr">
        <is>
          <t>VILHELMINA</t>
        </is>
      </c>
      <c r="G950" t="n">
        <v>3.5</v>
      </c>
      <c r="H950" t="n">
        <v>0</v>
      </c>
      <c r="I950" t="n">
        <v>0</v>
      </c>
      <c r="J950" t="n">
        <v>0</v>
      </c>
      <c r="K950" t="n">
        <v>0</v>
      </c>
      <c r="L950" t="n">
        <v>0</v>
      </c>
      <c r="M950" t="n">
        <v>0</v>
      </c>
      <c r="N950" t="n">
        <v>0</v>
      </c>
      <c r="O950" t="n">
        <v>0</v>
      </c>
      <c r="P950" t="n">
        <v>0</v>
      </c>
      <c r="Q950" t="n">
        <v>0</v>
      </c>
      <c r="R950" s="2" t="inlineStr"/>
    </row>
    <row r="951" ht="15" customHeight="1">
      <c r="A951" t="inlineStr">
        <is>
          <t>A 50501-2023</t>
        </is>
      </c>
      <c r="B951" s="1" t="n">
        <v>45216</v>
      </c>
      <c r="C951" s="1" t="n">
        <v>45628</v>
      </c>
      <c r="D951" t="inlineStr">
        <is>
          <t>VÄSTERBOTTENS LÄN</t>
        </is>
      </c>
      <c r="E951" t="inlineStr">
        <is>
          <t>VILHELMINA</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50489-2023</t>
        </is>
      </c>
      <c r="B952" s="1" t="n">
        <v>45217</v>
      </c>
      <c r="C952" s="1" t="n">
        <v>45628</v>
      </c>
      <c r="D952" t="inlineStr">
        <is>
          <t>VÄSTERBOTTENS LÄN</t>
        </is>
      </c>
      <c r="E952" t="inlineStr">
        <is>
          <t>VILHELMINA</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50655-2023</t>
        </is>
      </c>
      <c r="B953" s="1" t="n">
        <v>45217</v>
      </c>
      <c r="C953" s="1" t="n">
        <v>45628</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50830-2023</t>
        </is>
      </c>
      <c r="B954" s="1" t="n">
        <v>45218</v>
      </c>
      <c r="C954" s="1" t="n">
        <v>45628</v>
      </c>
      <c r="D954" t="inlineStr">
        <is>
          <t>VÄSTERBOTTENS LÄN</t>
        </is>
      </c>
      <c r="E954" t="inlineStr">
        <is>
          <t>VILHELMINA</t>
        </is>
      </c>
      <c r="F954" t="inlineStr">
        <is>
          <t>SCA</t>
        </is>
      </c>
      <c r="G954" t="n">
        <v>31.1</v>
      </c>
      <c r="H954" t="n">
        <v>0</v>
      </c>
      <c r="I954" t="n">
        <v>0</v>
      </c>
      <c r="J954" t="n">
        <v>0</v>
      </c>
      <c r="K954" t="n">
        <v>0</v>
      </c>
      <c r="L954" t="n">
        <v>0</v>
      </c>
      <c r="M954" t="n">
        <v>0</v>
      </c>
      <c r="N954" t="n">
        <v>0</v>
      </c>
      <c r="O954" t="n">
        <v>0</v>
      </c>
      <c r="P954" t="n">
        <v>0</v>
      </c>
      <c r="Q954" t="n">
        <v>0</v>
      </c>
      <c r="R954" s="2" t="inlineStr"/>
    </row>
    <row r="955" ht="15" customHeight="1">
      <c r="A955" t="inlineStr">
        <is>
          <t>A 51825-2023</t>
        </is>
      </c>
      <c r="B955" s="1" t="n">
        <v>45222</v>
      </c>
      <c r="C955" s="1" t="n">
        <v>45628</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51826-2023</t>
        </is>
      </c>
      <c r="B956" s="1" t="n">
        <v>45223</v>
      </c>
      <c r="C956" s="1" t="n">
        <v>45628</v>
      </c>
      <c r="D956" t="inlineStr">
        <is>
          <t>VÄSTERBOTTENS LÄN</t>
        </is>
      </c>
      <c r="E956" t="inlineStr">
        <is>
          <t>VILHELMINA</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52123-2023</t>
        </is>
      </c>
      <c r="B957" s="1" t="n">
        <v>45224</v>
      </c>
      <c r="C957" s="1" t="n">
        <v>45628</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52740-2023</t>
        </is>
      </c>
      <c r="B958" s="1" t="n">
        <v>45225</v>
      </c>
      <c r="C958" s="1" t="n">
        <v>45628</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52744-2023</t>
        </is>
      </c>
      <c r="B959" s="1" t="n">
        <v>45226</v>
      </c>
      <c r="C959" s="1" t="n">
        <v>45628</v>
      </c>
      <c r="D959" t="inlineStr">
        <is>
          <t>VÄSTERBOTTENS LÄN</t>
        </is>
      </c>
      <c r="E959" t="inlineStr">
        <is>
          <t>VILHELMINA</t>
        </is>
      </c>
      <c r="F959" t="inlineStr">
        <is>
          <t>SCA</t>
        </is>
      </c>
      <c r="G959" t="n">
        <v>10.5</v>
      </c>
      <c r="H959" t="n">
        <v>0</v>
      </c>
      <c r="I959" t="n">
        <v>0</v>
      </c>
      <c r="J959" t="n">
        <v>0</v>
      </c>
      <c r="K959" t="n">
        <v>0</v>
      </c>
      <c r="L959" t="n">
        <v>0</v>
      </c>
      <c r="M959" t="n">
        <v>0</v>
      </c>
      <c r="N959" t="n">
        <v>0</v>
      </c>
      <c r="O959" t="n">
        <v>0</v>
      </c>
      <c r="P959" t="n">
        <v>0</v>
      </c>
      <c r="Q959" t="n">
        <v>0</v>
      </c>
      <c r="R959" s="2" t="inlineStr"/>
    </row>
    <row r="960" ht="15" customHeight="1">
      <c r="A960" t="inlineStr">
        <is>
          <t>A 52748-2023</t>
        </is>
      </c>
      <c r="B960" s="1" t="n">
        <v>45225</v>
      </c>
      <c r="C960" s="1" t="n">
        <v>45628</v>
      </c>
      <c r="D960" t="inlineStr">
        <is>
          <t>VÄSTERBOTTENS LÄN</t>
        </is>
      </c>
      <c r="E960" t="inlineStr">
        <is>
          <t>VILHELMINA</t>
        </is>
      </c>
      <c r="F960" t="inlineStr">
        <is>
          <t>SCA</t>
        </is>
      </c>
      <c r="G960" t="n">
        <v>6.2</v>
      </c>
      <c r="H960" t="n">
        <v>0</v>
      </c>
      <c r="I960" t="n">
        <v>0</v>
      </c>
      <c r="J960" t="n">
        <v>0</v>
      </c>
      <c r="K960" t="n">
        <v>0</v>
      </c>
      <c r="L960" t="n">
        <v>0</v>
      </c>
      <c r="M960" t="n">
        <v>0</v>
      </c>
      <c r="N960" t="n">
        <v>0</v>
      </c>
      <c r="O960" t="n">
        <v>0</v>
      </c>
      <c r="P960" t="n">
        <v>0</v>
      </c>
      <c r="Q960" t="n">
        <v>0</v>
      </c>
      <c r="R960" s="2" t="inlineStr"/>
    </row>
    <row r="961" ht="15" customHeight="1">
      <c r="A961" t="inlineStr">
        <is>
          <t>A 52745-2023</t>
        </is>
      </c>
      <c r="B961" s="1" t="n">
        <v>45226</v>
      </c>
      <c r="C961" s="1" t="n">
        <v>45628</v>
      </c>
      <c r="D961" t="inlineStr">
        <is>
          <t>VÄSTERBOTTENS LÄN</t>
        </is>
      </c>
      <c r="E961" t="inlineStr">
        <is>
          <t>VILHELMINA</t>
        </is>
      </c>
      <c r="F961" t="inlineStr">
        <is>
          <t>SCA</t>
        </is>
      </c>
      <c r="G961" t="n">
        <v>5</v>
      </c>
      <c r="H961" t="n">
        <v>0</v>
      </c>
      <c r="I961" t="n">
        <v>0</v>
      </c>
      <c r="J961" t="n">
        <v>0</v>
      </c>
      <c r="K961" t="n">
        <v>0</v>
      </c>
      <c r="L961" t="n">
        <v>0</v>
      </c>
      <c r="M961" t="n">
        <v>0</v>
      </c>
      <c r="N961" t="n">
        <v>0</v>
      </c>
      <c r="O961" t="n">
        <v>0</v>
      </c>
      <c r="P961" t="n">
        <v>0</v>
      </c>
      <c r="Q961" t="n">
        <v>0</v>
      </c>
      <c r="R961" s="2" t="inlineStr"/>
    </row>
    <row r="962" ht="15" customHeight="1">
      <c r="A962" t="inlineStr">
        <is>
          <t>A 52749-2023</t>
        </is>
      </c>
      <c r="B962" s="1" t="n">
        <v>45226</v>
      </c>
      <c r="C962" s="1" t="n">
        <v>45628</v>
      </c>
      <c r="D962" t="inlineStr">
        <is>
          <t>VÄSTERBOTTENS LÄN</t>
        </is>
      </c>
      <c r="E962" t="inlineStr">
        <is>
          <t>VILHELMINA</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52746-2023</t>
        </is>
      </c>
      <c r="B963" s="1" t="n">
        <v>45226</v>
      </c>
      <c r="C963" s="1" t="n">
        <v>45628</v>
      </c>
      <c r="D963" t="inlineStr">
        <is>
          <t>VÄSTERBOTTENS LÄN</t>
        </is>
      </c>
      <c r="E963" t="inlineStr">
        <is>
          <t>VILHELMINA</t>
        </is>
      </c>
      <c r="F963" t="inlineStr">
        <is>
          <t>SCA</t>
        </is>
      </c>
      <c r="G963" t="n">
        <v>10.4</v>
      </c>
      <c r="H963" t="n">
        <v>0</v>
      </c>
      <c r="I963" t="n">
        <v>0</v>
      </c>
      <c r="J963" t="n">
        <v>0</v>
      </c>
      <c r="K963" t="n">
        <v>0</v>
      </c>
      <c r="L963" t="n">
        <v>0</v>
      </c>
      <c r="M963" t="n">
        <v>0</v>
      </c>
      <c r="N963" t="n">
        <v>0</v>
      </c>
      <c r="O963" t="n">
        <v>0</v>
      </c>
      <c r="P963" t="n">
        <v>0</v>
      </c>
      <c r="Q963" t="n">
        <v>0</v>
      </c>
      <c r="R963" s="2" t="inlineStr"/>
    </row>
    <row r="964" ht="15" customHeight="1">
      <c r="A964" t="inlineStr">
        <is>
          <t>A 52747-2023</t>
        </is>
      </c>
      <c r="B964" s="1" t="n">
        <v>45226</v>
      </c>
      <c r="C964" s="1" t="n">
        <v>45628</v>
      </c>
      <c r="D964" t="inlineStr">
        <is>
          <t>VÄSTERBOTTENS LÄN</t>
        </is>
      </c>
      <c r="E964" t="inlineStr">
        <is>
          <t>VILHELMINA</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53034-2023</t>
        </is>
      </c>
      <c r="B965" s="1" t="n">
        <v>45227</v>
      </c>
      <c r="C965" s="1" t="n">
        <v>45628</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54931-2023</t>
        </is>
      </c>
      <c r="B966" s="1" t="n">
        <v>45229</v>
      </c>
      <c r="C966" s="1" t="n">
        <v>45628</v>
      </c>
      <c r="D966" t="inlineStr">
        <is>
          <t>VÄSTERBOTTENS LÄN</t>
        </is>
      </c>
      <c r="E966" t="inlineStr">
        <is>
          <t>VILHELMINA</t>
        </is>
      </c>
      <c r="G966" t="n">
        <v>14.5</v>
      </c>
      <c r="H966" t="n">
        <v>0</v>
      </c>
      <c r="I966" t="n">
        <v>0</v>
      </c>
      <c r="J966" t="n">
        <v>0</v>
      </c>
      <c r="K966" t="n">
        <v>0</v>
      </c>
      <c r="L966" t="n">
        <v>0</v>
      </c>
      <c r="M966" t="n">
        <v>0</v>
      </c>
      <c r="N966" t="n">
        <v>0</v>
      </c>
      <c r="O966" t="n">
        <v>0</v>
      </c>
      <c r="P966" t="n">
        <v>0</v>
      </c>
      <c r="Q966" t="n">
        <v>0</v>
      </c>
      <c r="R966" s="2" t="inlineStr"/>
    </row>
    <row r="967" ht="15" customHeight="1">
      <c r="A967" t="inlineStr">
        <is>
          <t>A 55051-2023</t>
        </is>
      </c>
      <c r="B967" s="1" t="n">
        <v>45229</v>
      </c>
      <c r="C967" s="1" t="n">
        <v>45628</v>
      </c>
      <c r="D967" t="inlineStr">
        <is>
          <t>VÄSTERBOTTENS LÄN</t>
        </is>
      </c>
      <c r="E967" t="inlineStr">
        <is>
          <t>VILHELMINA</t>
        </is>
      </c>
      <c r="G967" t="n">
        <v>12.1</v>
      </c>
      <c r="H967" t="n">
        <v>0</v>
      </c>
      <c r="I967" t="n">
        <v>0</v>
      </c>
      <c r="J967" t="n">
        <v>0</v>
      </c>
      <c r="K967" t="n">
        <v>0</v>
      </c>
      <c r="L967" t="n">
        <v>0</v>
      </c>
      <c r="M967" t="n">
        <v>0</v>
      </c>
      <c r="N967" t="n">
        <v>0</v>
      </c>
      <c r="O967" t="n">
        <v>0</v>
      </c>
      <c r="P967" t="n">
        <v>0</v>
      </c>
      <c r="Q967" t="n">
        <v>0</v>
      </c>
      <c r="R967" s="2" t="inlineStr"/>
    </row>
    <row r="968" ht="15" customHeight="1">
      <c r="A968" t="inlineStr">
        <is>
          <t>A 55200-2023</t>
        </is>
      </c>
      <c r="B968" s="1" t="n">
        <v>45230</v>
      </c>
      <c r="C968" s="1" t="n">
        <v>45628</v>
      </c>
      <c r="D968" t="inlineStr">
        <is>
          <t>VÄSTERBOTTENS LÄN</t>
        </is>
      </c>
      <c r="E968" t="inlineStr">
        <is>
          <t>VILHELMINA</t>
        </is>
      </c>
      <c r="G968" t="n">
        <v>20.8</v>
      </c>
      <c r="H968" t="n">
        <v>0</v>
      </c>
      <c r="I968" t="n">
        <v>0</v>
      </c>
      <c r="J968" t="n">
        <v>0</v>
      </c>
      <c r="K968" t="n">
        <v>0</v>
      </c>
      <c r="L968" t="n">
        <v>0</v>
      </c>
      <c r="M968" t="n">
        <v>0</v>
      </c>
      <c r="N968" t="n">
        <v>0</v>
      </c>
      <c r="O968" t="n">
        <v>0</v>
      </c>
      <c r="P968" t="n">
        <v>0</v>
      </c>
      <c r="Q968" t="n">
        <v>0</v>
      </c>
      <c r="R968" s="2" t="inlineStr"/>
    </row>
    <row r="969" ht="15" customHeight="1">
      <c r="A969" t="inlineStr">
        <is>
          <t>A 55159-2023</t>
        </is>
      </c>
      <c r="B969" s="1" t="n">
        <v>45230</v>
      </c>
      <c r="C969" s="1" t="n">
        <v>45628</v>
      </c>
      <c r="D969" t="inlineStr">
        <is>
          <t>VÄSTERBOTTENS LÄN</t>
        </is>
      </c>
      <c r="E969" t="inlineStr">
        <is>
          <t>VILHELMINA</t>
        </is>
      </c>
      <c r="G969" t="n">
        <v>24.4</v>
      </c>
      <c r="H969" t="n">
        <v>0</v>
      </c>
      <c r="I969" t="n">
        <v>0</v>
      </c>
      <c r="J969" t="n">
        <v>0</v>
      </c>
      <c r="K969" t="n">
        <v>0</v>
      </c>
      <c r="L969" t="n">
        <v>0</v>
      </c>
      <c r="M969" t="n">
        <v>0</v>
      </c>
      <c r="N969" t="n">
        <v>0</v>
      </c>
      <c r="O969" t="n">
        <v>0</v>
      </c>
      <c r="P969" t="n">
        <v>0</v>
      </c>
      <c r="Q969" t="n">
        <v>0</v>
      </c>
      <c r="R969" s="2" t="inlineStr"/>
    </row>
    <row r="970" ht="15" customHeight="1">
      <c r="A970" t="inlineStr">
        <is>
          <t>A 54316-2023</t>
        </is>
      </c>
      <c r="B970" s="1" t="n">
        <v>45232</v>
      </c>
      <c r="C970" s="1" t="n">
        <v>45628</v>
      </c>
      <c r="D970" t="inlineStr">
        <is>
          <t>VÄSTERBOTTENS LÄN</t>
        </is>
      </c>
      <c r="E970" t="inlineStr">
        <is>
          <t>VILHELMINA</t>
        </is>
      </c>
      <c r="G970" t="n">
        <v>4.1</v>
      </c>
      <c r="H970" t="n">
        <v>0</v>
      </c>
      <c r="I970" t="n">
        <v>0</v>
      </c>
      <c r="J970" t="n">
        <v>0</v>
      </c>
      <c r="K970" t="n">
        <v>0</v>
      </c>
      <c r="L970" t="n">
        <v>0</v>
      </c>
      <c r="M970" t="n">
        <v>0</v>
      </c>
      <c r="N970" t="n">
        <v>0</v>
      </c>
      <c r="O970" t="n">
        <v>0</v>
      </c>
      <c r="P970" t="n">
        <v>0</v>
      </c>
      <c r="Q970" t="n">
        <v>0</v>
      </c>
      <c r="R970" s="2" t="inlineStr"/>
    </row>
    <row r="971" ht="15" customHeight="1">
      <c r="A971" t="inlineStr">
        <is>
          <t>A 55714-2023</t>
        </is>
      </c>
      <c r="B971" s="1" t="n">
        <v>45232</v>
      </c>
      <c r="C971" s="1" t="n">
        <v>45628</v>
      </c>
      <c r="D971" t="inlineStr">
        <is>
          <t>VÄSTERBOTTENS LÄN</t>
        </is>
      </c>
      <c r="E971" t="inlineStr">
        <is>
          <t>VILHELMINA</t>
        </is>
      </c>
      <c r="G971" t="n">
        <v>1.8</v>
      </c>
      <c r="H971" t="n">
        <v>0</v>
      </c>
      <c r="I971" t="n">
        <v>0</v>
      </c>
      <c r="J971" t="n">
        <v>0</v>
      </c>
      <c r="K971" t="n">
        <v>0</v>
      </c>
      <c r="L971" t="n">
        <v>0</v>
      </c>
      <c r="M971" t="n">
        <v>0</v>
      </c>
      <c r="N971" t="n">
        <v>0</v>
      </c>
      <c r="O971" t="n">
        <v>0</v>
      </c>
      <c r="P971" t="n">
        <v>0</v>
      </c>
      <c r="Q971" t="n">
        <v>0</v>
      </c>
      <c r="R971" s="2" t="inlineStr"/>
    </row>
    <row r="972" ht="15" customHeight="1">
      <c r="A972" t="inlineStr">
        <is>
          <t>A 55688-2023</t>
        </is>
      </c>
      <c r="B972" s="1" t="n">
        <v>45232</v>
      </c>
      <c r="C972" s="1" t="n">
        <v>45628</v>
      </c>
      <c r="D972" t="inlineStr">
        <is>
          <t>VÄSTERBOTTENS LÄN</t>
        </is>
      </c>
      <c r="E972" t="inlineStr">
        <is>
          <t>VILHELMINA</t>
        </is>
      </c>
      <c r="G972" t="n">
        <v>6.4</v>
      </c>
      <c r="H972" t="n">
        <v>0</v>
      </c>
      <c r="I972" t="n">
        <v>0</v>
      </c>
      <c r="J972" t="n">
        <v>0</v>
      </c>
      <c r="K972" t="n">
        <v>0</v>
      </c>
      <c r="L972" t="n">
        <v>0</v>
      </c>
      <c r="M972" t="n">
        <v>0</v>
      </c>
      <c r="N972" t="n">
        <v>0</v>
      </c>
      <c r="O972" t="n">
        <v>0</v>
      </c>
      <c r="P972" t="n">
        <v>0</v>
      </c>
      <c r="Q972" t="n">
        <v>0</v>
      </c>
      <c r="R972" s="2" t="inlineStr"/>
    </row>
    <row r="973" ht="15" customHeight="1">
      <c r="A973" t="inlineStr">
        <is>
          <t>A 55722-2023</t>
        </is>
      </c>
      <c r="B973" s="1" t="n">
        <v>45232</v>
      </c>
      <c r="C973" s="1" t="n">
        <v>45628</v>
      </c>
      <c r="D973" t="inlineStr">
        <is>
          <t>VÄSTERBOTTENS LÄN</t>
        </is>
      </c>
      <c r="E973" t="inlineStr">
        <is>
          <t>VILHELMINA</t>
        </is>
      </c>
      <c r="G973" t="n">
        <v>5.8</v>
      </c>
      <c r="H973" t="n">
        <v>0</v>
      </c>
      <c r="I973" t="n">
        <v>0</v>
      </c>
      <c r="J973" t="n">
        <v>0</v>
      </c>
      <c r="K973" t="n">
        <v>0</v>
      </c>
      <c r="L973" t="n">
        <v>0</v>
      </c>
      <c r="M973" t="n">
        <v>0</v>
      </c>
      <c r="N973" t="n">
        <v>0</v>
      </c>
      <c r="O973" t="n">
        <v>0</v>
      </c>
      <c r="P973" t="n">
        <v>0</v>
      </c>
      <c r="Q973" t="n">
        <v>0</v>
      </c>
      <c r="R973" s="2" t="inlineStr"/>
    </row>
    <row r="974" ht="15" customHeight="1">
      <c r="A974" t="inlineStr">
        <is>
          <t>A 55706-2023</t>
        </is>
      </c>
      <c r="B974" s="1" t="n">
        <v>45232</v>
      </c>
      <c r="C974" s="1" t="n">
        <v>45628</v>
      </c>
      <c r="D974" t="inlineStr">
        <is>
          <t>VÄSTERBOTTENS LÄN</t>
        </is>
      </c>
      <c r="E974" t="inlineStr">
        <is>
          <t>VILHELMINA</t>
        </is>
      </c>
      <c r="G974" t="n">
        <v>17.3</v>
      </c>
      <c r="H974" t="n">
        <v>0</v>
      </c>
      <c r="I974" t="n">
        <v>0</v>
      </c>
      <c r="J974" t="n">
        <v>0</v>
      </c>
      <c r="K974" t="n">
        <v>0</v>
      </c>
      <c r="L974" t="n">
        <v>0</v>
      </c>
      <c r="M974" t="n">
        <v>0</v>
      </c>
      <c r="N974" t="n">
        <v>0</v>
      </c>
      <c r="O974" t="n">
        <v>0</v>
      </c>
      <c r="P974" t="n">
        <v>0</v>
      </c>
      <c r="Q974" t="n">
        <v>0</v>
      </c>
      <c r="R974" s="2" t="inlineStr"/>
    </row>
    <row r="975" ht="15" customHeight="1">
      <c r="A975" t="inlineStr">
        <is>
          <t>A 54601-2023</t>
        </is>
      </c>
      <c r="B975" s="1" t="n">
        <v>45233</v>
      </c>
      <c r="C975" s="1" t="n">
        <v>45628</v>
      </c>
      <c r="D975" t="inlineStr">
        <is>
          <t>VÄSTERBOTTENS LÄN</t>
        </is>
      </c>
      <c r="E975" t="inlineStr">
        <is>
          <t>VILHELMINA</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54733-2023</t>
        </is>
      </c>
      <c r="B976" s="1" t="n">
        <v>45236</v>
      </c>
      <c r="C976" s="1" t="n">
        <v>45628</v>
      </c>
      <c r="D976" t="inlineStr">
        <is>
          <t>VÄSTERBOTTENS LÄN</t>
        </is>
      </c>
      <c r="E976" t="inlineStr">
        <is>
          <t>VILHELMINA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54983-2023</t>
        </is>
      </c>
      <c r="B977" s="1" t="n">
        <v>45237</v>
      </c>
      <c r="C977" s="1" t="n">
        <v>45628</v>
      </c>
      <c r="D977" t="inlineStr">
        <is>
          <t>VÄSTERBOTTENS LÄN</t>
        </is>
      </c>
      <c r="E977" t="inlineStr">
        <is>
          <t>VILHELMINA</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54984-2023</t>
        </is>
      </c>
      <c r="B978" s="1" t="n">
        <v>45236</v>
      </c>
      <c r="C978" s="1" t="n">
        <v>45628</v>
      </c>
      <c r="D978" t="inlineStr">
        <is>
          <t>VÄSTERBOTTENS LÄN</t>
        </is>
      </c>
      <c r="E978" t="inlineStr">
        <is>
          <t>VILHELMINA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54981-2023</t>
        </is>
      </c>
      <c r="B979" s="1" t="n">
        <v>45237</v>
      </c>
      <c r="C979" s="1" t="n">
        <v>45628</v>
      </c>
      <c r="D979" t="inlineStr">
        <is>
          <t>VÄSTERBOTTENS LÄN</t>
        </is>
      </c>
      <c r="E979" t="inlineStr">
        <is>
          <t>VILHELMINA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54985-2023</t>
        </is>
      </c>
      <c r="B980" s="1" t="n">
        <v>45236</v>
      </c>
      <c r="C980" s="1" t="n">
        <v>45628</v>
      </c>
      <c r="D980" t="inlineStr">
        <is>
          <t>VÄSTERBOTTENS LÄN</t>
        </is>
      </c>
      <c r="E980" t="inlineStr">
        <is>
          <t>VILHELMINA</t>
        </is>
      </c>
      <c r="F980" t="inlineStr">
        <is>
          <t>SCA</t>
        </is>
      </c>
      <c r="G980" t="n">
        <v>7.5</v>
      </c>
      <c r="H980" t="n">
        <v>0</v>
      </c>
      <c r="I980" t="n">
        <v>0</v>
      </c>
      <c r="J980" t="n">
        <v>0</v>
      </c>
      <c r="K980" t="n">
        <v>0</v>
      </c>
      <c r="L980" t="n">
        <v>0</v>
      </c>
      <c r="M980" t="n">
        <v>0</v>
      </c>
      <c r="N980" t="n">
        <v>0</v>
      </c>
      <c r="O980" t="n">
        <v>0</v>
      </c>
      <c r="P980" t="n">
        <v>0</v>
      </c>
      <c r="Q980" t="n">
        <v>0</v>
      </c>
      <c r="R980" s="2" t="inlineStr"/>
    </row>
    <row r="981" ht="15" customHeight="1">
      <c r="A981" t="inlineStr">
        <is>
          <t>A 55325-2023</t>
        </is>
      </c>
      <c r="B981" s="1" t="n">
        <v>45237</v>
      </c>
      <c r="C981" s="1" t="n">
        <v>45628</v>
      </c>
      <c r="D981" t="inlineStr">
        <is>
          <t>VÄSTERBOTTENS LÄN</t>
        </is>
      </c>
      <c r="E981" t="inlineStr">
        <is>
          <t>VILHELMINA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55326-2023</t>
        </is>
      </c>
      <c r="B982" s="1" t="n">
        <v>45238</v>
      </c>
      <c r="C982" s="1" t="n">
        <v>45628</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55327-2023</t>
        </is>
      </c>
      <c r="B983" s="1" t="n">
        <v>45238</v>
      </c>
      <c r="C983" s="1" t="n">
        <v>45628</v>
      </c>
      <c r="D983" t="inlineStr">
        <is>
          <t>VÄSTERBOTTENS LÄN</t>
        </is>
      </c>
      <c r="E983" t="inlineStr">
        <is>
          <t>VILHELMINA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55335-2023</t>
        </is>
      </c>
      <c r="B984" s="1" t="n">
        <v>45238</v>
      </c>
      <c r="C984" s="1" t="n">
        <v>45628</v>
      </c>
      <c r="D984" t="inlineStr">
        <is>
          <t>VÄSTERBOTTENS LÄN</t>
        </is>
      </c>
      <c r="E984" t="inlineStr">
        <is>
          <t>VILHELMINA</t>
        </is>
      </c>
      <c r="F984" t="inlineStr">
        <is>
          <t>SCA</t>
        </is>
      </c>
      <c r="G984" t="n">
        <v>5.3</v>
      </c>
      <c r="H984" t="n">
        <v>0</v>
      </c>
      <c r="I984" t="n">
        <v>0</v>
      </c>
      <c r="J984" t="n">
        <v>0</v>
      </c>
      <c r="K984" t="n">
        <v>0</v>
      </c>
      <c r="L984" t="n">
        <v>0</v>
      </c>
      <c r="M984" t="n">
        <v>0</v>
      </c>
      <c r="N984" t="n">
        <v>0</v>
      </c>
      <c r="O984" t="n">
        <v>0</v>
      </c>
      <c r="P984" t="n">
        <v>0</v>
      </c>
      <c r="Q984" t="n">
        <v>0</v>
      </c>
      <c r="R984" s="2" t="inlineStr"/>
    </row>
    <row r="985" ht="15" customHeight="1">
      <c r="A985" t="inlineStr">
        <is>
          <t>A 56754-2023</t>
        </is>
      </c>
      <c r="B985" s="1" t="n">
        <v>45238</v>
      </c>
      <c r="C985" s="1" t="n">
        <v>45628</v>
      </c>
      <c r="D985" t="inlineStr">
        <is>
          <t>VÄSTERBOTTENS LÄN</t>
        </is>
      </c>
      <c r="E985" t="inlineStr">
        <is>
          <t>VILHELMINA</t>
        </is>
      </c>
      <c r="F985" t="inlineStr">
        <is>
          <t>Allmännings- och besparingsskogar</t>
        </is>
      </c>
      <c r="G985" t="n">
        <v>17.7</v>
      </c>
      <c r="H985" t="n">
        <v>0</v>
      </c>
      <c r="I985" t="n">
        <v>0</v>
      </c>
      <c r="J985" t="n">
        <v>0</v>
      </c>
      <c r="K985" t="n">
        <v>0</v>
      </c>
      <c r="L985" t="n">
        <v>0</v>
      </c>
      <c r="M985" t="n">
        <v>0</v>
      </c>
      <c r="N985" t="n">
        <v>0</v>
      </c>
      <c r="O985" t="n">
        <v>0</v>
      </c>
      <c r="P985" t="n">
        <v>0</v>
      </c>
      <c r="Q985" t="n">
        <v>0</v>
      </c>
      <c r="R985" s="2" t="inlineStr"/>
    </row>
    <row r="986" ht="15" customHeight="1">
      <c r="A986" t="inlineStr">
        <is>
          <t>A 56763-2023</t>
        </is>
      </c>
      <c r="B986" s="1" t="n">
        <v>45238</v>
      </c>
      <c r="C986" s="1" t="n">
        <v>45628</v>
      </c>
      <c r="D986" t="inlineStr">
        <is>
          <t>VÄSTERBOTTENS LÄN</t>
        </is>
      </c>
      <c r="E986" t="inlineStr">
        <is>
          <t>VILHELMINA</t>
        </is>
      </c>
      <c r="F986" t="inlineStr">
        <is>
          <t>Allmännings- och besparingsskogar</t>
        </is>
      </c>
      <c r="G986" t="n">
        <v>78</v>
      </c>
      <c r="H986" t="n">
        <v>0</v>
      </c>
      <c r="I986" t="n">
        <v>0</v>
      </c>
      <c r="J986" t="n">
        <v>0</v>
      </c>
      <c r="K986" t="n">
        <v>0</v>
      </c>
      <c r="L986" t="n">
        <v>0</v>
      </c>
      <c r="M986" t="n">
        <v>0</v>
      </c>
      <c r="N986" t="n">
        <v>0</v>
      </c>
      <c r="O986" t="n">
        <v>0</v>
      </c>
      <c r="P986" t="n">
        <v>0</v>
      </c>
      <c r="Q986" t="n">
        <v>0</v>
      </c>
      <c r="R986" s="2" t="inlineStr"/>
    </row>
    <row r="987" ht="15" customHeight="1">
      <c r="A987" t="inlineStr">
        <is>
          <t>A 56823-2023</t>
        </is>
      </c>
      <c r="B987" s="1" t="n">
        <v>45238</v>
      </c>
      <c r="C987" s="1" t="n">
        <v>45628</v>
      </c>
      <c r="D987" t="inlineStr">
        <is>
          <t>VÄSTERBOTTENS LÄN</t>
        </is>
      </c>
      <c r="E987" t="inlineStr">
        <is>
          <t>VILHELMINA</t>
        </is>
      </c>
      <c r="F987" t="inlineStr">
        <is>
          <t>Allmännings- och besparingsskogar</t>
        </is>
      </c>
      <c r="G987" t="n">
        <v>81.40000000000001</v>
      </c>
      <c r="H987" t="n">
        <v>0</v>
      </c>
      <c r="I987" t="n">
        <v>0</v>
      </c>
      <c r="J987" t="n">
        <v>0</v>
      </c>
      <c r="K987" t="n">
        <v>0</v>
      </c>
      <c r="L987" t="n">
        <v>0</v>
      </c>
      <c r="M987" t="n">
        <v>0</v>
      </c>
      <c r="N987" t="n">
        <v>0</v>
      </c>
      <c r="O987" t="n">
        <v>0</v>
      </c>
      <c r="P987" t="n">
        <v>0</v>
      </c>
      <c r="Q987" t="n">
        <v>0</v>
      </c>
      <c r="R987" s="2" t="inlineStr"/>
    </row>
    <row r="988" ht="15" customHeight="1">
      <c r="A988" t="inlineStr">
        <is>
          <t>A 56847-2023</t>
        </is>
      </c>
      <c r="B988" s="1" t="n">
        <v>45238</v>
      </c>
      <c r="C988" s="1" t="n">
        <v>45628</v>
      </c>
      <c r="D988" t="inlineStr">
        <is>
          <t>VÄSTERBOTTENS LÄN</t>
        </is>
      </c>
      <c r="E988" t="inlineStr">
        <is>
          <t>VILHELMINA</t>
        </is>
      </c>
      <c r="F988" t="inlineStr">
        <is>
          <t>Allmännings- och besparingsskogar</t>
        </is>
      </c>
      <c r="G988" t="n">
        <v>41</v>
      </c>
      <c r="H988" t="n">
        <v>0</v>
      </c>
      <c r="I988" t="n">
        <v>0</v>
      </c>
      <c r="J988" t="n">
        <v>0</v>
      </c>
      <c r="K988" t="n">
        <v>0</v>
      </c>
      <c r="L988" t="n">
        <v>0</v>
      </c>
      <c r="M988" t="n">
        <v>0</v>
      </c>
      <c r="N988" t="n">
        <v>0</v>
      </c>
      <c r="O988" t="n">
        <v>0</v>
      </c>
      <c r="P988" t="n">
        <v>0</v>
      </c>
      <c r="Q988" t="n">
        <v>0</v>
      </c>
      <c r="R988" s="2" t="inlineStr"/>
    </row>
    <row r="989" ht="15" customHeight="1">
      <c r="A989" t="inlineStr">
        <is>
          <t>A 56758-2023</t>
        </is>
      </c>
      <c r="B989" s="1" t="n">
        <v>45238</v>
      </c>
      <c r="C989" s="1" t="n">
        <v>45628</v>
      </c>
      <c r="D989" t="inlineStr">
        <is>
          <t>VÄSTERBOTTENS LÄN</t>
        </is>
      </c>
      <c r="E989" t="inlineStr">
        <is>
          <t>VILHELMINA</t>
        </is>
      </c>
      <c r="F989" t="inlineStr">
        <is>
          <t>Allmännings- och besparingsskogar</t>
        </is>
      </c>
      <c r="G989" t="n">
        <v>371.4</v>
      </c>
      <c r="H989" t="n">
        <v>0</v>
      </c>
      <c r="I989" t="n">
        <v>0</v>
      </c>
      <c r="J989" t="n">
        <v>0</v>
      </c>
      <c r="K989" t="n">
        <v>0</v>
      </c>
      <c r="L989" t="n">
        <v>0</v>
      </c>
      <c r="M989" t="n">
        <v>0</v>
      </c>
      <c r="N989" t="n">
        <v>0</v>
      </c>
      <c r="O989" t="n">
        <v>0</v>
      </c>
      <c r="P989" t="n">
        <v>0</v>
      </c>
      <c r="Q989" t="n">
        <v>0</v>
      </c>
      <c r="R989" s="2" t="inlineStr"/>
    </row>
    <row r="990" ht="15" customHeight="1">
      <c r="A990" t="inlineStr">
        <is>
          <t>A 56830-2023</t>
        </is>
      </c>
      <c r="B990" s="1" t="n">
        <v>45238</v>
      </c>
      <c r="C990" s="1" t="n">
        <v>45628</v>
      </c>
      <c r="D990" t="inlineStr">
        <is>
          <t>VÄSTERBOTTENS LÄN</t>
        </is>
      </c>
      <c r="E990" t="inlineStr">
        <is>
          <t>VILHELMINA</t>
        </is>
      </c>
      <c r="F990" t="inlineStr">
        <is>
          <t>Allmännings- och besparingsskogar</t>
        </is>
      </c>
      <c r="G990" t="n">
        <v>66.90000000000001</v>
      </c>
      <c r="H990" t="n">
        <v>0</v>
      </c>
      <c r="I990" t="n">
        <v>0</v>
      </c>
      <c r="J990" t="n">
        <v>0</v>
      </c>
      <c r="K990" t="n">
        <v>0</v>
      </c>
      <c r="L990" t="n">
        <v>0</v>
      </c>
      <c r="M990" t="n">
        <v>0</v>
      </c>
      <c r="N990" t="n">
        <v>0</v>
      </c>
      <c r="O990" t="n">
        <v>0</v>
      </c>
      <c r="P990" t="n">
        <v>0</v>
      </c>
      <c r="Q990" t="n">
        <v>0</v>
      </c>
      <c r="R990" s="2" t="inlineStr"/>
    </row>
    <row r="991" ht="15" customHeight="1">
      <c r="A991" t="inlineStr">
        <is>
          <t>A 55643-2023</t>
        </is>
      </c>
      <c r="B991" s="1" t="n">
        <v>45238</v>
      </c>
      <c r="C991" s="1" t="n">
        <v>45628</v>
      </c>
      <c r="D991" t="inlineStr">
        <is>
          <t>VÄSTERBOTTENS LÄN</t>
        </is>
      </c>
      <c r="E991" t="inlineStr">
        <is>
          <t>VILHELMINA</t>
        </is>
      </c>
      <c r="G991" t="n">
        <v>23.1</v>
      </c>
      <c r="H991" t="n">
        <v>0</v>
      </c>
      <c r="I991" t="n">
        <v>0</v>
      </c>
      <c r="J991" t="n">
        <v>0</v>
      </c>
      <c r="K991" t="n">
        <v>0</v>
      </c>
      <c r="L991" t="n">
        <v>0</v>
      </c>
      <c r="M991" t="n">
        <v>0</v>
      </c>
      <c r="N991" t="n">
        <v>0</v>
      </c>
      <c r="O991" t="n">
        <v>0</v>
      </c>
      <c r="P991" t="n">
        <v>0</v>
      </c>
      <c r="Q991" t="n">
        <v>0</v>
      </c>
      <c r="R991" s="2" t="inlineStr"/>
    </row>
    <row r="992" ht="15" customHeight="1">
      <c r="A992" t="inlineStr">
        <is>
          <t>A 56747-2023</t>
        </is>
      </c>
      <c r="B992" s="1" t="n">
        <v>45238</v>
      </c>
      <c r="C992" s="1" t="n">
        <v>45628</v>
      </c>
      <c r="D992" t="inlineStr">
        <is>
          <t>VÄSTERBOTTENS LÄN</t>
        </is>
      </c>
      <c r="E992" t="inlineStr">
        <is>
          <t>VILHELMINA</t>
        </is>
      </c>
      <c r="F992" t="inlineStr">
        <is>
          <t>Allmännings- och besparingsskogar</t>
        </is>
      </c>
      <c r="G992" t="n">
        <v>16.2</v>
      </c>
      <c r="H992" t="n">
        <v>0</v>
      </c>
      <c r="I992" t="n">
        <v>0</v>
      </c>
      <c r="J992" t="n">
        <v>0</v>
      </c>
      <c r="K992" t="n">
        <v>0</v>
      </c>
      <c r="L992" t="n">
        <v>0</v>
      </c>
      <c r="M992" t="n">
        <v>0</v>
      </c>
      <c r="N992" t="n">
        <v>0</v>
      </c>
      <c r="O992" t="n">
        <v>0</v>
      </c>
      <c r="P992" t="n">
        <v>0</v>
      </c>
      <c r="Q992" t="n">
        <v>0</v>
      </c>
      <c r="R992" s="2" t="inlineStr"/>
    </row>
    <row r="993" ht="15" customHeight="1">
      <c r="A993" t="inlineStr">
        <is>
          <t>A 57137-2023</t>
        </is>
      </c>
      <c r="B993" s="1" t="n">
        <v>45239</v>
      </c>
      <c r="C993" s="1" t="n">
        <v>45628</v>
      </c>
      <c r="D993" t="inlineStr">
        <is>
          <t>VÄSTERBOTTENS LÄN</t>
        </is>
      </c>
      <c r="E993" t="inlineStr">
        <is>
          <t>VILHELMINA</t>
        </is>
      </c>
      <c r="G993" t="n">
        <v>38.8</v>
      </c>
      <c r="H993" t="n">
        <v>0</v>
      </c>
      <c r="I993" t="n">
        <v>0</v>
      </c>
      <c r="J993" t="n">
        <v>0</v>
      </c>
      <c r="K993" t="n">
        <v>0</v>
      </c>
      <c r="L993" t="n">
        <v>0</v>
      </c>
      <c r="M993" t="n">
        <v>0</v>
      </c>
      <c r="N993" t="n">
        <v>0</v>
      </c>
      <c r="O993" t="n">
        <v>0</v>
      </c>
      <c r="P993" t="n">
        <v>0</v>
      </c>
      <c r="Q993" t="n">
        <v>0</v>
      </c>
      <c r="R993" s="2" t="inlineStr"/>
    </row>
    <row r="994" ht="15" customHeight="1">
      <c r="A994" t="inlineStr">
        <is>
          <t>A 57108-2023</t>
        </is>
      </c>
      <c r="B994" s="1" t="n">
        <v>45239</v>
      </c>
      <c r="C994" s="1" t="n">
        <v>45628</v>
      </c>
      <c r="D994" t="inlineStr">
        <is>
          <t>VÄSTERBOTTENS LÄN</t>
        </is>
      </c>
      <c r="E994" t="inlineStr">
        <is>
          <t>VILHELMINA</t>
        </is>
      </c>
      <c r="G994" t="n">
        <v>0.6</v>
      </c>
      <c r="H994" t="n">
        <v>0</v>
      </c>
      <c r="I994" t="n">
        <v>0</v>
      </c>
      <c r="J994" t="n">
        <v>0</v>
      </c>
      <c r="K994" t="n">
        <v>0</v>
      </c>
      <c r="L994" t="n">
        <v>0</v>
      </c>
      <c r="M994" t="n">
        <v>0</v>
      </c>
      <c r="N994" t="n">
        <v>0</v>
      </c>
      <c r="O994" t="n">
        <v>0</v>
      </c>
      <c r="P994" t="n">
        <v>0</v>
      </c>
      <c r="Q994" t="n">
        <v>0</v>
      </c>
      <c r="R994" s="2" t="inlineStr"/>
    </row>
    <row r="995" ht="15" customHeight="1">
      <c r="A995" t="inlineStr">
        <is>
          <t>A 56891-2023</t>
        </is>
      </c>
      <c r="B995" s="1" t="n">
        <v>45239</v>
      </c>
      <c r="C995" s="1" t="n">
        <v>45628</v>
      </c>
      <c r="D995" t="inlineStr">
        <is>
          <t>VÄSTERBOTTENS LÄN</t>
        </is>
      </c>
      <c r="E995" t="inlineStr">
        <is>
          <t>VILHELMINA</t>
        </is>
      </c>
      <c r="G995" t="n">
        <v>1.1</v>
      </c>
      <c r="H995" t="n">
        <v>0</v>
      </c>
      <c r="I995" t="n">
        <v>0</v>
      </c>
      <c r="J995" t="n">
        <v>0</v>
      </c>
      <c r="K995" t="n">
        <v>0</v>
      </c>
      <c r="L995" t="n">
        <v>0</v>
      </c>
      <c r="M995" t="n">
        <v>0</v>
      </c>
      <c r="N995" t="n">
        <v>0</v>
      </c>
      <c r="O995" t="n">
        <v>0</v>
      </c>
      <c r="P995" t="n">
        <v>0</v>
      </c>
      <c r="Q995" t="n">
        <v>0</v>
      </c>
      <c r="R995" s="2" t="inlineStr"/>
    </row>
    <row r="996" ht="15" customHeight="1">
      <c r="A996" t="inlineStr">
        <is>
          <t>A 57123-2023</t>
        </is>
      </c>
      <c r="B996" s="1" t="n">
        <v>45239</v>
      </c>
      <c r="C996" s="1" t="n">
        <v>45628</v>
      </c>
      <c r="D996" t="inlineStr">
        <is>
          <t>VÄSTERBOTTENS LÄN</t>
        </is>
      </c>
      <c r="E996" t="inlineStr">
        <is>
          <t>VILHELMINA</t>
        </is>
      </c>
      <c r="G996" t="n">
        <v>16.1</v>
      </c>
      <c r="H996" t="n">
        <v>0</v>
      </c>
      <c r="I996" t="n">
        <v>0</v>
      </c>
      <c r="J996" t="n">
        <v>0</v>
      </c>
      <c r="K996" t="n">
        <v>0</v>
      </c>
      <c r="L996" t="n">
        <v>0</v>
      </c>
      <c r="M996" t="n">
        <v>0</v>
      </c>
      <c r="N996" t="n">
        <v>0</v>
      </c>
      <c r="O996" t="n">
        <v>0</v>
      </c>
      <c r="P996" t="n">
        <v>0</v>
      </c>
      <c r="Q996" t="n">
        <v>0</v>
      </c>
      <c r="R996" s="2" t="inlineStr"/>
    </row>
    <row r="997" ht="15" customHeight="1">
      <c r="A997" t="inlineStr">
        <is>
          <t>A 57246-2023</t>
        </is>
      </c>
      <c r="B997" s="1" t="n">
        <v>45239</v>
      </c>
      <c r="C997" s="1" t="n">
        <v>45628</v>
      </c>
      <c r="D997" t="inlineStr">
        <is>
          <t>VÄSTERBOTTENS LÄN</t>
        </is>
      </c>
      <c r="E997" t="inlineStr">
        <is>
          <t>VILHELMINA</t>
        </is>
      </c>
      <c r="G997" t="n">
        <v>15.3</v>
      </c>
      <c r="H997" t="n">
        <v>0</v>
      </c>
      <c r="I997" t="n">
        <v>0</v>
      </c>
      <c r="J997" t="n">
        <v>0</v>
      </c>
      <c r="K997" t="n">
        <v>0</v>
      </c>
      <c r="L997" t="n">
        <v>0</v>
      </c>
      <c r="M997" t="n">
        <v>0</v>
      </c>
      <c r="N997" t="n">
        <v>0</v>
      </c>
      <c r="O997" t="n">
        <v>0</v>
      </c>
      <c r="P997" t="n">
        <v>0</v>
      </c>
      <c r="Q997" t="n">
        <v>0</v>
      </c>
      <c r="R997" s="2" t="inlineStr"/>
    </row>
    <row r="998" ht="15" customHeight="1">
      <c r="A998" t="inlineStr">
        <is>
          <t>A 56245-2023</t>
        </is>
      </c>
      <c r="B998" s="1" t="n">
        <v>45240</v>
      </c>
      <c r="C998" s="1" t="n">
        <v>45628</v>
      </c>
      <c r="D998" t="inlineStr">
        <is>
          <t>VÄSTERBOTTENS LÄN</t>
        </is>
      </c>
      <c r="E998" t="inlineStr">
        <is>
          <t>VILHELMINA</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56246-2023</t>
        </is>
      </c>
      <c r="B999" s="1" t="n">
        <v>45240</v>
      </c>
      <c r="C999" s="1" t="n">
        <v>45628</v>
      </c>
      <c r="D999" t="inlineStr">
        <is>
          <t>VÄSTERBOTTENS LÄN</t>
        </is>
      </c>
      <c r="E999" t="inlineStr">
        <is>
          <t>VILHELMINA</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56236-2023</t>
        </is>
      </c>
      <c r="B1000" s="1" t="n">
        <v>45240</v>
      </c>
      <c r="C1000" s="1" t="n">
        <v>45628</v>
      </c>
      <c r="D1000" t="inlineStr">
        <is>
          <t>VÄSTERBOTTENS LÄN</t>
        </is>
      </c>
      <c r="E1000" t="inlineStr">
        <is>
          <t>VILHELMINA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56235-2023</t>
        </is>
      </c>
      <c r="B1001" s="1" t="n">
        <v>45240</v>
      </c>
      <c r="C1001" s="1" t="n">
        <v>45628</v>
      </c>
      <c r="D1001" t="inlineStr">
        <is>
          <t>VÄSTERBOTTENS LÄN</t>
        </is>
      </c>
      <c r="E1001" t="inlineStr">
        <is>
          <t>VILHELMINA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56617-2023</t>
        </is>
      </c>
      <c r="B1002" s="1" t="n">
        <v>45243</v>
      </c>
      <c r="C1002" s="1" t="n">
        <v>45628</v>
      </c>
      <c r="D1002" t="inlineStr">
        <is>
          <t>VÄSTERBOTTENS LÄN</t>
        </is>
      </c>
      <c r="E1002" t="inlineStr">
        <is>
          <t>VILHELMINA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56622-2023</t>
        </is>
      </c>
      <c r="B1003" s="1" t="n">
        <v>45243</v>
      </c>
      <c r="C1003" s="1" t="n">
        <v>45628</v>
      </c>
      <c r="D1003" t="inlineStr">
        <is>
          <t>VÄSTERBOTTENS LÄN</t>
        </is>
      </c>
      <c r="E1003" t="inlineStr">
        <is>
          <t>VILHELMINA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57691-2023</t>
        </is>
      </c>
      <c r="B1004" s="1" t="n">
        <v>45243</v>
      </c>
      <c r="C1004" s="1" t="n">
        <v>45628</v>
      </c>
      <c r="D1004" t="inlineStr">
        <is>
          <t>VÄSTERBOTTENS LÄN</t>
        </is>
      </c>
      <c r="E1004" t="inlineStr">
        <is>
          <t>VILHELMINA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57058-2023</t>
        </is>
      </c>
      <c r="B1005" s="1" t="n">
        <v>45244</v>
      </c>
      <c r="C1005" s="1" t="n">
        <v>45628</v>
      </c>
      <c r="D1005" t="inlineStr">
        <is>
          <t>VÄSTERBOTTENS LÄN</t>
        </is>
      </c>
      <c r="E1005" t="inlineStr">
        <is>
          <t>VILHELMINA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57057-2023</t>
        </is>
      </c>
      <c r="B1006" s="1" t="n">
        <v>45244</v>
      </c>
      <c r="C1006" s="1" t="n">
        <v>45628</v>
      </c>
      <c r="D1006" t="inlineStr">
        <is>
          <t>VÄSTERBOTTENS LÄN</t>
        </is>
      </c>
      <c r="E1006" t="inlineStr">
        <is>
          <t>VILHELMINA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58362-2023</t>
        </is>
      </c>
      <c r="B1007" s="1" t="n">
        <v>45245</v>
      </c>
      <c r="C1007" s="1" t="n">
        <v>45628</v>
      </c>
      <c r="D1007" t="inlineStr">
        <is>
          <t>VÄSTERBOTTENS LÄN</t>
        </is>
      </c>
      <c r="E1007" t="inlineStr">
        <is>
          <t>VILHELMINA</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57795-2023</t>
        </is>
      </c>
      <c r="B1008" s="1" t="n">
        <v>45247</v>
      </c>
      <c r="C1008" s="1" t="n">
        <v>45628</v>
      </c>
      <c r="D1008" t="inlineStr">
        <is>
          <t>VÄSTERBOTTENS LÄN</t>
        </is>
      </c>
      <c r="E1008" t="inlineStr">
        <is>
          <t>VILHELMINA</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58833-2023</t>
        </is>
      </c>
      <c r="B1009" s="1" t="n">
        <v>45248</v>
      </c>
      <c r="C1009" s="1" t="n">
        <v>45628</v>
      </c>
      <c r="D1009" t="inlineStr">
        <is>
          <t>VÄSTERBOTTENS LÄN</t>
        </is>
      </c>
      <c r="E1009" t="inlineStr">
        <is>
          <t>VILHELMINA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58456-2023</t>
        </is>
      </c>
      <c r="B1010" s="1" t="n">
        <v>45251</v>
      </c>
      <c r="C1010" s="1" t="n">
        <v>45628</v>
      </c>
      <c r="D1010" t="inlineStr">
        <is>
          <t>VÄSTERBOTTENS LÄN</t>
        </is>
      </c>
      <c r="E1010" t="inlineStr">
        <is>
          <t>VILHELMINA</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58756-2023</t>
        </is>
      </c>
      <c r="B1011" s="1" t="n">
        <v>45251</v>
      </c>
      <c r="C1011" s="1" t="n">
        <v>45628</v>
      </c>
      <c r="D1011" t="inlineStr">
        <is>
          <t>VÄSTERBOTTENS LÄN</t>
        </is>
      </c>
      <c r="E1011" t="inlineStr">
        <is>
          <t>VILHELMINA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59117-2023</t>
        </is>
      </c>
      <c r="B1012" s="1" t="n">
        <v>45251</v>
      </c>
      <c r="C1012" s="1" t="n">
        <v>45628</v>
      </c>
      <c r="D1012" t="inlineStr">
        <is>
          <t>VÄSTERBOTTENS LÄN</t>
        </is>
      </c>
      <c r="E1012" t="inlineStr">
        <is>
          <t>VILHELMINA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58749-2023</t>
        </is>
      </c>
      <c r="B1013" s="1" t="n">
        <v>45251</v>
      </c>
      <c r="C1013" s="1" t="n">
        <v>45628</v>
      </c>
      <c r="D1013" t="inlineStr">
        <is>
          <t>VÄSTERBOTTENS LÄN</t>
        </is>
      </c>
      <c r="E1013" t="inlineStr">
        <is>
          <t>VILHELMINA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59110-2023</t>
        </is>
      </c>
      <c r="B1014" s="1" t="n">
        <v>45251</v>
      </c>
      <c r="C1014" s="1" t="n">
        <v>45628</v>
      </c>
      <c r="D1014" t="inlineStr">
        <is>
          <t>VÄSTERBOTTENS LÄN</t>
        </is>
      </c>
      <c r="E1014" t="inlineStr">
        <is>
          <t>VILHELMINA</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59083-2023</t>
        </is>
      </c>
      <c r="B1015" s="1" t="n">
        <v>45252</v>
      </c>
      <c r="C1015" s="1" t="n">
        <v>45628</v>
      </c>
      <c r="D1015" t="inlineStr">
        <is>
          <t>VÄSTERBOTTENS LÄN</t>
        </is>
      </c>
      <c r="E1015" t="inlineStr">
        <is>
          <t>VILHELMINA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59664-2023</t>
        </is>
      </c>
      <c r="B1016" s="1" t="n">
        <v>45254</v>
      </c>
      <c r="C1016" s="1" t="n">
        <v>45628</v>
      </c>
      <c r="D1016" t="inlineStr">
        <is>
          <t>VÄSTERBOTTENS LÄN</t>
        </is>
      </c>
      <c r="E1016" t="inlineStr">
        <is>
          <t>VILHELMINA</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60035-2023</t>
        </is>
      </c>
      <c r="B1017" s="1" t="n">
        <v>45254</v>
      </c>
      <c r="C1017" s="1" t="n">
        <v>45628</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59663-2023</t>
        </is>
      </c>
      <c r="B1018" s="1" t="n">
        <v>45254</v>
      </c>
      <c r="C1018" s="1" t="n">
        <v>45628</v>
      </c>
      <c r="D1018" t="inlineStr">
        <is>
          <t>VÄSTERBOTTENS LÄN</t>
        </is>
      </c>
      <c r="E1018" t="inlineStr">
        <is>
          <t>VILHELMINA</t>
        </is>
      </c>
      <c r="F1018" t="inlineStr">
        <is>
          <t>SCA</t>
        </is>
      </c>
      <c r="G1018" t="n">
        <v>12.8</v>
      </c>
      <c r="H1018" t="n">
        <v>0</v>
      </c>
      <c r="I1018" t="n">
        <v>0</v>
      </c>
      <c r="J1018" t="n">
        <v>0</v>
      </c>
      <c r="K1018" t="n">
        <v>0</v>
      </c>
      <c r="L1018" t="n">
        <v>0</v>
      </c>
      <c r="M1018" t="n">
        <v>0</v>
      </c>
      <c r="N1018" t="n">
        <v>0</v>
      </c>
      <c r="O1018" t="n">
        <v>0</v>
      </c>
      <c r="P1018" t="n">
        <v>0</v>
      </c>
      <c r="Q1018" t="n">
        <v>0</v>
      </c>
      <c r="R1018" s="2" t="inlineStr"/>
    </row>
    <row r="1019" ht="15" customHeight="1">
      <c r="A1019" t="inlineStr">
        <is>
          <t>A 59671-2023</t>
        </is>
      </c>
      <c r="B1019" s="1" t="n">
        <v>45255</v>
      </c>
      <c r="C1019" s="1" t="n">
        <v>45628</v>
      </c>
      <c r="D1019" t="inlineStr">
        <is>
          <t>VÄSTERBOTTENS LÄN</t>
        </is>
      </c>
      <c r="E1019" t="inlineStr">
        <is>
          <t>VILHELMINA</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60782-2023</t>
        </is>
      </c>
      <c r="B1020" s="1" t="n">
        <v>45259</v>
      </c>
      <c r="C1020" s="1" t="n">
        <v>45628</v>
      </c>
      <c r="D1020" t="inlineStr">
        <is>
          <t>VÄSTERBOTTENS LÄN</t>
        </is>
      </c>
      <c r="E1020" t="inlineStr">
        <is>
          <t>VILHELMINA</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60842-2023</t>
        </is>
      </c>
      <c r="B1021" s="1" t="n">
        <v>45260</v>
      </c>
      <c r="C1021" s="1" t="n">
        <v>45628</v>
      </c>
      <c r="D1021" t="inlineStr">
        <is>
          <t>VÄSTERBOTTENS LÄN</t>
        </is>
      </c>
      <c r="E1021" t="inlineStr">
        <is>
          <t>VILHELMINA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60841-2023</t>
        </is>
      </c>
      <c r="B1022" s="1" t="n">
        <v>45260</v>
      </c>
      <c r="C1022" s="1" t="n">
        <v>45628</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61778-2023</t>
        </is>
      </c>
      <c r="B1023" s="1" t="n">
        <v>45265</v>
      </c>
      <c r="C1023" s="1" t="n">
        <v>45628</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61777-2023</t>
        </is>
      </c>
      <c r="B1024" s="1" t="n">
        <v>45265</v>
      </c>
      <c r="C1024" s="1" t="n">
        <v>45628</v>
      </c>
      <c r="D1024" t="inlineStr">
        <is>
          <t>VÄSTERBOTTENS LÄN</t>
        </is>
      </c>
      <c r="E1024" t="inlineStr">
        <is>
          <t>VILHELMINA</t>
        </is>
      </c>
      <c r="F1024" t="inlineStr">
        <is>
          <t>SCA</t>
        </is>
      </c>
      <c r="G1024" t="n">
        <v>20.6</v>
      </c>
      <c r="H1024" t="n">
        <v>0</v>
      </c>
      <c r="I1024" t="n">
        <v>0</v>
      </c>
      <c r="J1024" t="n">
        <v>0</v>
      </c>
      <c r="K1024" t="n">
        <v>0</v>
      </c>
      <c r="L1024" t="n">
        <v>0</v>
      </c>
      <c r="M1024" t="n">
        <v>0</v>
      </c>
      <c r="N1024" t="n">
        <v>0</v>
      </c>
      <c r="O1024" t="n">
        <v>0</v>
      </c>
      <c r="P1024" t="n">
        <v>0</v>
      </c>
      <c r="Q1024" t="n">
        <v>0</v>
      </c>
      <c r="R1024" s="2" t="inlineStr"/>
    </row>
    <row r="1025" ht="15" customHeight="1">
      <c r="A1025" t="inlineStr">
        <is>
          <t>A 61780-2023</t>
        </is>
      </c>
      <c r="B1025" s="1" t="n">
        <v>45265</v>
      </c>
      <c r="C1025" s="1" t="n">
        <v>45628</v>
      </c>
      <c r="D1025" t="inlineStr">
        <is>
          <t>VÄSTERBOTTENS LÄN</t>
        </is>
      </c>
      <c r="E1025" t="inlineStr">
        <is>
          <t>VILHELMINA</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61779-2023</t>
        </is>
      </c>
      <c r="B1026" s="1" t="n">
        <v>45265</v>
      </c>
      <c r="C1026" s="1" t="n">
        <v>45628</v>
      </c>
      <c r="D1026" t="inlineStr">
        <is>
          <t>VÄSTERBOTTENS LÄN</t>
        </is>
      </c>
      <c r="E1026" t="inlineStr">
        <is>
          <t>VILHELMINA</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62015-2023</t>
        </is>
      </c>
      <c r="B1027" s="1" t="n">
        <v>45265</v>
      </c>
      <c r="C1027" s="1" t="n">
        <v>45628</v>
      </c>
      <c r="D1027" t="inlineStr">
        <is>
          <t>VÄSTERBOTTENS LÄN</t>
        </is>
      </c>
      <c r="E1027" t="inlineStr">
        <is>
          <t>VILHELMINA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61973-2023</t>
        </is>
      </c>
      <c r="B1028" s="1" t="n">
        <v>45265</v>
      </c>
      <c r="C1028" s="1" t="n">
        <v>45628</v>
      </c>
      <c r="D1028" t="inlineStr">
        <is>
          <t>VÄSTERBOTTENS LÄN</t>
        </is>
      </c>
      <c r="E1028" t="inlineStr">
        <is>
          <t>VILHELMINA</t>
        </is>
      </c>
      <c r="G1028" t="n">
        <v>24.9</v>
      </c>
      <c r="H1028" t="n">
        <v>0</v>
      </c>
      <c r="I1028" t="n">
        <v>0</v>
      </c>
      <c r="J1028" t="n">
        <v>0</v>
      </c>
      <c r="K1028" t="n">
        <v>0</v>
      </c>
      <c r="L1028" t="n">
        <v>0</v>
      </c>
      <c r="M1028" t="n">
        <v>0</v>
      </c>
      <c r="N1028" t="n">
        <v>0</v>
      </c>
      <c r="O1028" t="n">
        <v>0</v>
      </c>
      <c r="P1028" t="n">
        <v>0</v>
      </c>
      <c r="Q1028" t="n">
        <v>0</v>
      </c>
      <c r="R1028" s="2" t="inlineStr"/>
    </row>
    <row r="1029" ht="15" customHeight="1">
      <c r="A1029" t="inlineStr">
        <is>
          <t>A 62021-2023</t>
        </is>
      </c>
      <c r="B1029" s="1" t="n">
        <v>45265</v>
      </c>
      <c r="C1029" s="1" t="n">
        <v>45628</v>
      </c>
      <c r="D1029" t="inlineStr">
        <is>
          <t>VÄSTERBOTTENS LÄN</t>
        </is>
      </c>
      <c r="E1029" t="inlineStr">
        <is>
          <t>VILHELMINA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62663-2023</t>
        </is>
      </c>
      <c r="B1030" s="1" t="n">
        <v>45267</v>
      </c>
      <c r="C1030" s="1" t="n">
        <v>45628</v>
      </c>
      <c r="D1030" t="inlineStr">
        <is>
          <t>VÄSTERBOTTENS LÄN</t>
        </is>
      </c>
      <c r="E1030" t="inlineStr">
        <is>
          <t>VILHELMINA</t>
        </is>
      </c>
      <c r="F1030" t="inlineStr">
        <is>
          <t>Allmännings- och besparingsskogar</t>
        </is>
      </c>
      <c r="G1030" t="n">
        <v>19.3</v>
      </c>
      <c r="H1030" t="n">
        <v>0</v>
      </c>
      <c r="I1030" t="n">
        <v>0</v>
      </c>
      <c r="J1030" t="n">
        <v>0</v>
      </c>
      <c r="K1030" t="n">
        <v>0</v>
      </c>
      <c r="L1030" t="n">
        <v>0</v>
      </c>
      <c r="M1030" t="n">
        <v>0</v>
      </c>
      <c r="N1030" t="n">
        <v>0</v>
      </c>
      <c r="O1030" t="n">
        <v>0</v>
      </c>
      <c r="P1030" t="n">
        <v>0</v>
      </c>
      <c r="Q1030" t="n">
        <v>0</v>
      </c>
      <c r="R1030" s="2" t="inlineStr"/>
    </row>
    <row r="1031" ht="15" customHeight="1">
      <c r="A1031" t="inlineStr">
        <is>
          <t>A 62673-2023</t>
        </is>
      </c>
      <c r="B1031" s="1" t="n">
        <v>45267</v>
      </c>
      <c r="C1031" s="1" t="n">
        <v>45628</v>
      </c>
      <c r="D1031" t="inlineStr">
        <is>
          <t>VÄSTERBOTTENS LÄN</t>
        </is>
      </c>
      <c r="E1031" t="inlineStr">
        <is>
          <t>VILHELMINA</t>
        </is>
      </c>
      <c r="F1031" t="inlineStr">
        <is>
          <t>Allmännings- och besparingsskogar</t>
        </is>
      </c>
      <c r="G1031" t="n">
        <v>19.8</v>
      </c>
      <c r="H1031" t="n">
        <v>0</v>
      </c>
      <c r="I1031" t="n">
        <v>0</v>
      </c>
      <c r="J1031" t="n">
        <v>0</v>
      </c>
      <c r="K1031" t="n">
        <v>0</v>
      </c>
      <c r="L1031" t="n">
        <v>0</v>
      </c>
      <c r="M1031" t="n">
        <v>0</v>
      </c>
      <c r="N1031" t="n">
        <v>0</v>
      </c>
      <c r="O1031" t="n">
        <v>0</v>
      </c>
      <c r="P1031" t="n">
        <v>0</v>
      </c>
      <c r="Q1031" t="n">
        <v>0</v>
      </c>
      <c r="R1031" s="2" t="inlineStr"/>
    </row>
    <row r="1032" ht="15" customHeight="1">
      <c r="A1032" t="inlineStr">
        <is>
          <t>A 63050-2023</t>
        </is>
      </c>
      <c r="B1032" s="1" t="n">
        <v>45272</v>
      </c>
      <c r="C1032" s="1" t="n">
        <v>45628</v>
      </c>
      <c r="D1032" t="inlineStr">
        <is>
          <t>VÄSTERBOTTENS LÄN</t>
        </is>
      </c>
      <c r="E1032" t="inlineStr">
        <is>
          <t>VILHELMINA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63049-2023</t>
        </is>
      </c>
      <c r="B1033" s="1" t="n">
        <v>45272</v>
      </c>
      <c r="C1033" s="1" t="n">
        <v>45628</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63053-2023</t>
        </is>
      </c>
      <c r="B1034" s="1" t="n">
        <v>45272</v>
      </c>
      <c r="C1034" s="1" t="n">
        <v>45628</v>
      </c>
      <c r="D1034" t="inlineStr">
        <is>
          <t>VÄSTERBOTTENS LÄN</t>
        </is>
      </c>
      <c r="E1034" t="inlineStr">
        <is>
          <t>VILHELMINA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63563-2023</t>
        </is>
      </c>
      <c r="B1035" s="1" t="n">
        <v>45274</v>
      </c>
      <c r="C1035" s="1" t="n">
        <v>45628</v>
      </c>
      <c r="D1035" t="inlineStr">
        <is>
          <t>VÄSTERBOTTENS LÄN</t>
        </is>
      </c>
      <c r="E1035" t="inlineStr">
        <is>
          <t>VILHELMINA</t>
        </is>
      </c>
      <c r="F1035" t="inlineStr">
        <is>
          <t>Övriga Aktiebolag</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63877-2023</t>
        </is>
      </c>
      <c r="B1036" s="1" t="n">
        <v>45278</v>
      </c>
      <c r="C1036" s="1" t="n">
        <v>45628</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64029-2023</t>
        </is>
      </c>
      <c r="B1037" s="1" t="n">
        <v>45278</v>
      </c>
      <c r="C1037" s="1" t="n">
        <v>45628</v>
      </c>
      <c r="D1037" t="inlineStr">
        <is>
          <t>VÄSTERBOTTENS LÄN</t>
        </is>
      </c>
      <c r="E1037" t="inlineStr">
        <is>
          <t>VILHELMINA</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64028-2023</t>
        </is>
      </c>
      <c r="B1038" s="1" t="n">
        <v>45278</v>
      </c>
      <c r="C1038" s="1" t="n">
        <v>45628</v>
      </c>
      <c r="D1038" t="inlineStr">
        <is>
          <t>VÄSTERBOTTENS LÄN</t>
        </is>
      </c>
      <c r="E1038" t="inlineStr">
        <is>
          <t>VILHELMINA</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64027-2023</t>
        </is>
      </c>
      <c r="B1039" s="1" t="n">
        <v>45278</v>
      </c>
      <c r="C1039" s="1" t="n">
        <v>45628</v>
      </c>
      <c r="D1039" t="inlineStr">
        <is>
          <t>VÄSTERBOTTENS LÄN</t>
        </is>
      </c>
      <c r="E1039" t="inlineStr">
        <is>
          <t>VILHELMINA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64362-2023</t>
        </is>
      </c>
      <c r="B1040" s="1" t="n">
        <v>45280</v>
      </c>
      <c r="C1040" s="1" t="n">
        <v>45628</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64495-2023</t>
        </is>
      </c>
      <c r="B1041" s="1" t="n">
        <v>45280</v>
      </c>
      <c r="C1041" s="1" t="n">
        <v>45628</v>
      </c>
      <c r="D1041" t="inlineStr">
        <is>
          <t>VÄSTERBOTTENS LÄN</t>
        </is>
      </c>
      <c r="E1041" t="inlineStr">
        <is>
          <t>VILHELMINA</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64421-2023</t>
        </is>
      </c>
      <c r="B1042" s="1" t="n">
        <v>45280</v>
      </c>
      <c r="C1042" s="1" t="n">
        <v>45628</v>
      </c>
      <c r="D1042" t="inlineStr">
        <is>
          <t>VÄSTERBOTTENS LÄN</t>
        </is>
      </c>
      <c r="E1042" t="inlineStr">
        <is>
          <t>VILHELMINA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64592-2023</t>
        </is>
      </c>
      <c r="B1043" s="1" t="n">
        <v>45281</v>
      </c>
      <c r="C1043" s="1" t="n">
        <v>45628</v>
      </c>
      <c r="D1043" t="inlineStr">
        <is>
          <t>VÄSTERBOTTENS LÄN</t>
        </is>
      </c>
      <c r="E1043" t="inlineStr">
        <is>
          <t>VILHELMINA</t>
        </is>
      </c>
      <c r="F1043" t="inlineStr">
        <is>
          <t>Kommuner</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65042-2023</t>
        </is>
      </c>
      <c r="B1044" s="1" t="n">
        <v>45282</v>
      </c>
      <c r="C1044" s="1" t="n">
        <v>45628</v>
      </c>
      <c r="D1044" t="inlineStr">
        <is>
          <t>VÄSTERBOTTENS LÄN</t>
        </is>
      </c>
      <c r="E1044" t="inlineStr">
        <is>
          <t>VILHELMINA</t>
        </is>
      </c>
      <c r="F1044" t="inlineStr">
        <is>
          <t>Övriga Aktiebolag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367-2024</t>
        </is>
      </c>
      <c r="B1045" s="1" t="n">
        <v>45295</v>
      </c>
      <c r="C1045" s="1" t="n">
        <v>45628</v>
      </c>
      <c r="D1045" t="inlineStr">
        <is>
          <t>VÄSTERBOTTENS LÄN</t>
        </is>
      </c>
      <c r="E1045" t="inlineStr">
        <is>
          <t>VILHELMINA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370-2024</t>
        </is>
      </c>
      <c r="B1046" s="1" t="n">
        <v>45296</v>
      </c>
      <c r="C1046" s="1" t="n">
        <v>45628</v>
      </c>
      <c r="D1046" t="inlineStr">
        <is>
          <t>VÄSTERBOTTENS LÄN</t>
        </is>
      </c>
      <c r="E1046" t="inlineStr">
        <is>
          <t>VILHELMINA</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475-2024</t>
        </is>
      </c>
      <c r="B1047" s="1" t="n">
        <v>45297</v>
      </c>
      <c r="C1047" s="1" t="n">
        <v>45628</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468-2024</t>
        </is>
      </c>
      <c r="B1048" s="1" t="n">
        <v>45297</v>
      </c>
      <c r="C1048" s="1" t="n">
        <v>45628</v>
      </c>
      <c r="D1048" t="inlineStr">
        <is>
          <t>VÄSTERBOTTENS LÄN</t>
        </is>
      </c>
      <c r="E1048" t="inlineStr">
        <is>
          <t>VILHELMINA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706-2024</t>
        </is>
      </c>
      <c r="B1049" s="1" t="n">
        <v>45300</v>
      </c>
      <c r="C1049" s="1" t="n">
        <v>45628</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1780-2024</t>
        </is>
      </c>
      <c r="B1050" s="1" t="n">
        <v>45307</v>
      </c>
      <c r="C1050" s="1" t="n">
        <v>45628</v>
      </c>
      <c r="D1050" t="inlineStr">
        <is>
          <t>VÄSTERBOTTENS LÄN</t>
        </is>
      </c>
      <c r="E1050" t="inlineStr">
        <is>
          <t>VILHELMINA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1854-2024</t>
        </is>
      </c>
      <c r="B1051" s="1" t="n">
        <v>45307</v>
      </c>
      <c r="C1051" s="1" t="n">
        <v>45628</v>
      </c>
      <c r="D1051" t="inlineStr">
        <is>
          <t>VÄSTERBOTTENS LÄN</t>
        </is>
      </c>
      <c r="E1051" t="inlineStr">
        <is>
          <t>VILHELMINA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1940-2024</t>
        </is>
      </c>
      <c r="B1052" s="1" t="n">
        <v>45308</v>
      </c>
      <c r="C1052" s="1" t="n">
        <v>45628</v>
      </c>
      <c r="D1052" t="inlineStr">
        <is>
          <t>VÄSTERBOTTENS LÄN</t>
        </is>
      </c>
      <c r="E1052" t="inlineStr">
        <is>
          <t>VILHELMINA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2022-2024</t>
        </is>
      </c>
      <c r="B1053" s="1" t="n">
        <v>45308</v>
      </c>
      <c r="C1053" s="1" t="n">
        <v>45628</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2023-2024</t>
        </is>
      </c>
      <c r="B1054" s="1" t="n">
        <v>45308</v>
      </c>
      <c r="C1054" s="1" t="n">
        <v>45628</v>
      </c>
      <c r="D1054" t="inlineStr">
        <is>
          <t>VÄSTERBOTTENS LÄN</t>
        </is>
      </c>
      <c r="E1054" t="inlineStr">
        <is>
          <t>VILHELMINA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3237-2024</t>
        </is>
      </c>
      <c r="B1055" s="1" t="n">
        <v>45316</v>
      </c>
      <c r="C1055" s="1" t="n">
        <v>45628</v>
      </c>
      <c r="D1055" t="inlineStr">
        <is>
          <t>VÄSTERBOTTENS LÄN</t>
        </is>
      </c>
      <c r="E1055" t="inlineStr">
        <is>
          <t>VILHELMINA</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3620-2024</t>
        </is>
      </c>
      <c r="B1056" s="1" t="n">
        <v>45320</v>
      </c>
      <c r="C1056" s="1" t="n">
        <v>45628</v>
      </c>
      <c r="D1056" t="inlineStr">
        <is>
          <t>VÄSTERBOTTENS LÄN</t>
        </is>
      </c>
      <c r="E1056" t="inlineStr">
        <is>
          <t>VILHELMINA</t>
        </is>
      </c>
      <c r="F1056" t="inlineStr">
        <is>
          <t>SCA</t>
        </is>
      </c>
      <c r="G1056" t="n">
        <v>15.6</v>
      </c>
      <c r="H1056" t="n">
        <v>0</v>
      </c>
      <c r="I1056" t="n">
        <v>0</v>
      </c>
      <c r="J1056" t="n">
        <v>0</v>
      </c>
      <c r="K1056" t="n">
        <v>0</v>
      </c>
      <c r="L1056" t="n">
        <v>0</v>
      </c>
      <c r="M1056" t="n">
        <v>0</v>
      </c>
      <c r="N1056" t="n">
        <v>0</v>
      </c>
      <c r="O1056" t="n">
        <v>0</v>
      </c>
      <c r="P1056" t="n">
        <v>0</v>
      </c>
      <c r="Q1056" t="n">
        <v>0</v>
      </c>
      <c r="R1056" s="2" t="inlineStr"/>
    </row>
    <row r="1057" ht="15" customHeight="1">
      <c r="A1057" t="inlineStr">
        <is>
          <t>A 4291-2024</t>
        </is>
      </c>
      <c r="B1057" s="1" t="n">
        <v>45324</v>
      </c>
      <c r="C1057" s="1" t="n">
        <v>45628</v>
      </c>
      <c r="D1057" t="inlineStr">
        <is>
          <t>VÄSTERBOTTENS LÄN</t>
        </is>
      </c>
      <c r="E1057" t="inlineStr">
        <is>
          <t>VILHELMINA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5435-2024</t>
        </is>
      </c>
      <c r="B1058" s="1" t="n">
        <v>45331</v>
      </c>
      <c r="C1058" s="1" t="n">
        <v>45628</v>
      </c>
      <c r="D1058" t="inlineStr">
        <is>
          <t>VÄSTERBOTTENS LÄN</t>
        </is>
      </c>
      <c r="E1058" t="inlineStr">
        <is>
          <t>VILHELMINA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5434-2024</t>
        </is>
      </c>
      <c r="B1059" s="1" t="n">
        <v>45331</v>
      </c>
      <c r="C1059" s="1" t="n">
        <v>45628</v>
      </c>
      <c r="D1059" t="inlineStr">
        <is>
          <t>VÄSTERBOTTENS LÄN</t>
        </is>
      </c>
      <c r="E1059" t="inlineStr">
        <is>
          <t>VILHELMINA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5432-2024</t>
        </is>
      </c>
      <c r="B1060" s="1" t="n">
        <v>45331</v>
      </c>
      <c r="C1060" s="1" t="n">
        <v>45628</v>
      </c>
      <c r="D1060" t="inlineStr">
        <is>
          <t>VÄSTERBOTTENS LÄN</t>
        </is>
      </c>
      <c r="E1060" t="inlineStr">
        <is>
          <t>VILHELMINA</t>
        </is>
      </c>
      <c r="G1060" t="n">
        <v>19.6</v>
      </c>
      <c r="H1060" t="n">
        <v>0</v>
      </c>
      <c r="I1060" t="n">
        <v>0</v>
      </c>
      <c r="J1060" t="n">
        <v>0</v>
      </c>
      <c r="K1060" t="n">
        <v>0</v>
      </c>
      <c r="L1060" t="n">
        <v>0</v>
      </c>
      <c r="M1060" t="n">
        <v>0</v>
      </c>
      <c r="N1060" t="n">
        <v>0</v>
      </c>
      <c r="O1060" t="n">
        <v>0</v>
      </c>
      <c r="P1060" t="n">
        <v>0</v>
      </c>
      <c r="Q1060" t="n">
        <v>0</v>
      </c>
      <c r="R1060" s="2" t="inlineStr"/>
    </row>
    <row r="1061" ht="15" customHeight="1">
      <c r="A1061" t="inlineStr">
        <is>
          <t>A 5549-2024</t>
        </is>
      </c>
      <c r="B1061" s="1" t="n">
        <v>45332</v>
      </c>
      <c r="C1061" s="1" t="n">
        <v>45628</v>
      </c>
      <c r="D1061" t="inlineStr">
        <is>
          <t>VÄSTERBOTTENS LÄN</t>
        </is>
      </c>
      <c r="E1061" t="inlineStr">
        <is>
          <t>VILHELMINA</t>
        </is>
      </c>
      <c r="G1061" t="n">
        <v>25.8</v>
      </c>
      <c r="H1061" t="n">
        <v>0</v>
      </c>
      <c r="I1061" t="n">
        <v>0</v>
      </c>
      <c r="J1061" t="n">
        <v>0</v>
      </c>
      <c r="K1061" t="n">
        <v>0</v>
      </c>
      <c r="L1061" t="n">
        <v>0</v>
      </c>
      <c r="M1061" t="n">
        <v>0</v>
      </c>
      <c r="N1061" t="n">
        <v>0</v>
      </c>
      <c r="O1061" t="n">
        <v>0</v>
      </c>
      <c r="P1061" t="n">
        <v>0</v>
      </c>
      <c r="Q1061" t="n">
        <v>0</v>
      </c>
      <c r="R1061" s="2" t="inlineStr"/>
    </row>
    <row r="1062" ht="15" customHeight="1">
      <c r="A1062" t="inlineStr">
        <is>
          <t>A 5552-2024</t>
        </is>
      </c>
      <c r="B1062" s="1" t="n">
        <v>45332</v>
      </c>
      <c r="C1062" s="1" t="n">
        <v>45628</v>
      </c>
      <c r="D1062" t="inlineStr">
        <is>
          <t>VÄSTERBOTTENS LÄN</t>
        </is>
      </c>
      <c r="E1062" t="inlineStr">
        <is>
          <t>VILHELMINA</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5482-2024</t>
        </is>
      </c>
      <c r="B1063" s="1" t="n">
        <v>45333</v>
      </c>
      <c r="C1063" s="1" t="n">
        <v>45628</v>
      </c>
      <c r="D1063" t="inlineStr">
        <is>
          <t>VÄSTERBOTTENS LÄN</t>
        </is>
      </c>
      <c r="E1063" t="inlineStr">
        <is>
          <t>VILHELMINA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5497-2024</t>
        </is>
      </c>
      <c r="B1064" s="1" t="n">
        <v>45334</v>
      </c>
      <c r="C1064" s="1" t="n">
        <v>45628</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6281-2024</t>
        </is>
      </c>
      <c r="B1065" s="1" t="n">
        <v>45337</v>
      </c>
      <c r="C1065" s="1" t="n">
        <v>45628</v>
      </c>
      <c r="D1065" t="inlineStr">
        <is>
          <t>VÄSTERBOTTENS LÄN</t>
        </is>
      </c>
      <c r="E1065" t="inlineStr">
        <is>
          <t>VILHELMINA</t>
        </is>
      </c>
      <c r="F1065" t="inlineStr">
        <is>
          <t>SCA</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6280-2024</t>
        </is>
      </c>
      <c r="B1066" s="1" t="n">
        <v>45337</v>
      </c>
      <c r="C1066" s="1" t="n">
        <v>45628</v>
      </c>
      <c r="D1066" t="inlineStr">
        <is>
          <t>VÄSTERBOTTENS LÄN</t>
        </is>
      </c>
      <c r="E1066" t="inlineStr">
        <is>
          <t>VILHELMINA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6369-2024</t>
        </is>
      </c>
      <c r="B1067" s="1" t="n">
        <v>45338</v>
      </c>
      <c r="C1067" s="1" t="n">
        <v>45628</v>
      </c>
      <c r="D1067" t="inlineStr">
        <is>
          <t>VÄSTERBOTTENS LÄN</t>
        </is>
      </c>
      <c r="E1067" t="inlineStr">
        <is>
          <t>VILHELMINA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6358-2024</t>
        </is>
      </c>
      <c r="B1068" s="1" t="n">
        <v>45338</v>
      </c>
      <c r="C1068" s="1" t="n">
        <v>45628</v>
      </c>
      <c r="D1068" t="inlineStr">
        <is>
          <t>VÄSTERBOTTENS LÄN</t>
        </is>
      </c>
      <c r="E1068" t="inlineStr">
        <is>
          <t>VILHELMINA</t>
        </is>
      </c>
      <c r="G1068" t="n">
        <v>10</v>
      </c>
      <c r="H1068" t="n">
        <v>0</v>
      </c>
      <c r="I1068" t="n">
        <v>0</v>
      </c>
      <c r="J1068" t="n">
        <v>0</v>
      </c>
      <c r="K1068" t="n">
        <v>0</v>
      </c>
      <c r="L1068" t="n">
        <v>0</v>
      </c>
      <c r="M1068" t="n">
        <v>0</v>
      </c>
      <c r="N1068" t="n">
        <v>0</v>
      </c>
      <c r="O1068" t="n">
        <v>0</v>
      </c>
      <c r="P1068" t="n">
        <v>0</v>
      </c>
      <c r="Q1068" t="n">
        <v>0</v>
      </c>
      <c r="R1068" s="2" t="inlineStr"/>
    </row>
    <row r="1069" ht="15" customHeight="1">
      <c r="A1069" t="inlineStr">
        <is>
          <t>A 7102-2024</t>
        </is>
      </c>
      <c r="B1069" s="1" t="n">
        <v>45343</v>
      </c>
      <c r="C1069" s="1" t="n">
        <v>45628</v>
      </c>
      <c r="D1069" t="inlineStr">
        <is>
          <t>VÄSTERBOTTENS LÄN</t>
        </is>
      </c>
      <c r="E1069" t="inlineStr">
        <is>
          <t>VILHELMINA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7259-2024</t>
        </is>
      </c>
      <c r="B1070" s="1" t="n">
        <v>45344</v>
      </c>
      <c r="C1070" s="1" t="n">
        <v>45628</v>
      </c>
      <c r="D1070" t="inlineStr">
        <is>
          <t>VÄSTERBOTTENS LÄN</t>
        </is>
      </c>
      <c r="E1070" t="inlineStr">
        <is>
          <t>VILHELMINA</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7777-2024</t>
        </is>
      </c>
      <c r="B1071" s="1" t="n">
        <v>45349</v>
      </c>
      <c r="C1071" s="1" t="n">
        <v>45628</v>
      </c>
      <c r="D1071" t="inlineStr">
        <is>
          <t>VÄSTERBOTTENS LÄN</t>
        </is>
      </c>
      <c r="E1071" t="inlineStr">
        <is>
          <t>VILHELMINA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8544-2024</t>
        </is>
      </c>
      <c r="B1072" s="1" t="n">
        <v>45351</v>
      </c>
      <c r="C1072" s="1" t="n">
        <v>45628</v>
      </c>
      <c r="D1072" t="inlineStr">
        <is>
          <t>VÄSTERBOTTENS LÄN</t>
        </is>
      </c>
      <c r="E1072" t="inlineStr">
        <is>
          <t>VILHELMINA</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8664-2024</t>
        </is>
      </c>
      <c r="B1073" s="1" t="n">
        <v>45356</v>
      </c>
      <c r="C1073" s="1" t="n">
        <v>45628</v>
      </c>
      <c r="D1073" t="inlineStr">
        <is>
          <t>VÄSTERBOTTENS LÄN</t>
        </is>
      </c>
      <c r="E1073" t="inlineStr">
        <is>
          <t>VILHELMINA</t>
        </is>
      </c>
      <c r="F1073" t="inlineStr">
        <is>
          <t>SCA</t>
        </is>
      </c>
      <c r="G1073" t="n">
        <v>15.8</v>
      </c>
      <c r="H1073" t="n">
        <v>0</v>
      </c>
      <c r="I1073" t="n">
        <v>0</v>
      </c>
      <c r="J1073" t="n">
        <v>0</v>
      </c>
      <c r="K1073" t="n">
        <v>0</v>
      </c>
      <c r="L1073" t="n">
        <v>0</v>
      </c>
      <c r="M1073" t="n">
        <v>0</v>
      </c>
      <c r="N1073" t="n">
        <v>0</v>
      </c>
      <c r="O1073" t="n">
        <v>0</v>
      </c>
      <c r="P1073" t="n">
        <v>0</v>
      </c>
      <c r="Q1073" t="n">
        <v>0</v>
      </c>
      <c r="R1073" s="2" t="inlineStr"/>
    </row>
    <row r="1074" ht="15" customHeight="1">
      <c r="A1074" t="inlineStr">
        <is>
          <t>A 9815-2024</t>
        </is>
      </c>
      <c r="B1074" s="1" t="n">
        <v>45363</v>
      </c>
      <c r="C1074" s="1" t="n">
        <v>45628</v>
      </c>
      <c r="D1074" t="inlineStr">
        <is>
          <t>VÄSTERBOTTENS LÄN</t>
        </is>
      </c>
      <c r="E1074" t="inlineStr">
        <is>
          <t>VILHELMINA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10617-2024</t>
        </is>
      </c>
      <c r="B1075" s="1" t="n">
        <v>45367</v>
      </c>
      <c r="C1075" s="1" t="n">
        <v>45628</v>
      </c>
      <c r="D1075" t="inlineStr">
        <is>
          <t>VÄSTERBOTTENS LÄN</t>
        </is>
      </c>
      <c r="E1075" t="inlineStr">
        <is>
          <t>VILHELMINA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11538-2024</t>
        </is>
      </c>
      <c r="B1076" s="1" t="n">
        <v>45372</v>
      </c>
      <c r="C1076" s="1" t="n">
        <v>45628</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11806-2024</t>
        </is>
      </c>
      <c r="B1077" s="1" t="n">
        <v>45375</v>
      </c>
      <c r="C1077" s="1" t="n">
        <v>45628</v>
      </c>
      <c r="D1077" t="inlineStr">
        <is>
          <t>VÄSTERBOTTENS LÄN</t>
        </is>
      </c>
      <c r="E1077" t="inlineStr">
        <is>
          <t>VILHELMINA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12118-2024</t>
        </is>
      </c>
      <c r="B1078" s="1" t="n">
        <v>45376</v>
      </c>
      <c r="C1078" s="1" t="n">
        <v>45628</v>
      </c>
      <c r="D1078" t="inlineStr">
        <is>
          <t>VÄSTERBOTTENS LÄN</t>
        </is>
      </c>
      <c r="E1078" t="inlineStr">
        <is>
          <t>VILHELMINA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12189-2024</t>
        </is>
      </c>
      <c r="B1079" s="1" t="n">
        <v>45377</v>
      </c>
      <c r="C1079" s="1" t="n">
        <v>45628</v>
      </c>
      <c r="D1079" t="inlineStr">
        <is>
          <t>VÄSTERBOTTENS LÄN</t>
        </is>
      </c>
      <c r="E1079" t="inlineStr">
        <is>
          <t>VILHELMINA</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12192-2024</t>
        </is>
      </c>
      <c r="B1080" s="1" t="n">
        <v>45377</v>
      </c>
      <c r="C1080" s="1" t="n">
        <v>45628</v>
      </c>
      <c r="D1080" t="inlineStr">
        <is>
          <t>VÄSTERBOTTENS LÄN</t>
        </is>
      </c>
      <c r="E1080" t="inlineStr">
        <is>
          <t>VILHELMINA</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12190-2024</t>
        </is>
      </c>
      <c r="B1081" s="1" t="n">
        <v>45377</v>
      </c>
      <c r="C1081" s="1" t="n">
        <v>45628</v>
      </c>
      <c r="D1081" t="inlineStr">
        <is>
          <t>VÄSTERBOTTENS LÄN</t>
        </is>
      </c>
      <c r="E1081" t="inlineStr">
        <is>
          <t>VILHELMINA</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12191-2024</t>
        </is>
      </c>
      <c r="B1082" s="1" t="n">
        <v>45377</v>
      </c>
      <c r="C1082" s="1" t="n">
        <v>45628</v>
      </c>
      <c r="D1082" t="inlineStr">
        <is>
          <t>VÄSTERBOTTENS LÄN</t>
        </is>
      </c>
      <c r="E1082" t="inlineStr">
        <is>
          <t>VILHELMINA</t>
        </is>
      </c>
      <c r="F1082" t="inlineStr">
        <is>
          <t>SCA</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12373-2024</t>
        </is>
      </c>
      <c r="B1083" s="1" t="n">
        <v>45378</v>
      </c>
      <c r="C1083" s="1" t="n">
        <v>45628</v>
      </c>
      <c r="D1083" t="inlineStr">
        <is>
          <t>VÄSTERBOTTENS LÄN</t>
        </is>
      </c>
      <c r="E1083" t="inlineStr">
        <is>
          <t>VILHELMINA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12583-2024</t>
        </is>
      </c>
      <c r="B1084" s="1" t="n">
        <v>45379</v>
      </c>
      <c r="C1084" s="1" t="n">
        <v>45628</v>
      </c>
      <c r="D1084" t="inlineStr">
        <is>
          <t>VÄSTERBOTTENS LÄN</t>
        </is>
      </c>
      <c r="E1084" t="inlineStr">
        <is>
          <t>VILHELMINA</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13557-2024</t>
        </is>
      </c>
      <c r="B1085" s="1" t="n">
        <v>45388</v>
      </c>
      <c r="C1085" s="1" t="n">
        <v>45628</v>
      </c>
      <c r="D1085" t="inlineStr">
        <is>
          <t>VÄSTERBOTTENS LÄN</t>
        </is>
      </c>
      <c r="E1085" t="inlineStr">
        <is>
          <t>VILHELMINA</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13768-2024</t>
        </is>
      </c>
      <c r="B1086" s="1" t="n">
        <v>45391</v>
      </c>
      <c r="C1086" s="1" t="n">
        <v>45628</v>
      </c>
      <c r="D1086" t="inlineStr">
        <is>
          <t>VÄSTERBOTTENS LÄN</t>
        </is>
      </c>
      <c r="E1086" t="inlineStr">
        <is>
          <t>VILHELMINA</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14366-2024</t>
        </is>
      </c>
      <c r="B1087" s="1" t="n">
        <v>45394</v>
      </c>
      <c r="C1087" s="1" t="n">
        <v>45628</v>
      </c>
      <c r="D1087" t="inlineStr">
        <is>
          <t>VÄSTERBOTTENS LÄN</t>
        </is>
      </c>
      <c r="E1087" t="inlineStr">
        <is>
          <t>VILHELMINA</t>
        </is>
      </c>
      <c r="F1087" t="inlineStr">
        <is>
          <t>SCA</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14816-2024</t>
        </is>
      </c>
      <c r="B1088" s="1" t="n">
        <v>45397</v>
      </c>
      <c r="C1088" s="1" t="n">
        <v>45628</v>
      </c>
      <c r="D1088" t="inlineStr">
        <is>
          <t>VÄSTERBOTTENS LÄN</t>
        </is>
      </c>
      <c r="E1088" t="inlineStr">
        <is>
          <t>VILHELMINA</t>
        </is>
      </c>
      <c r="F1088" t="inlineStr">
        <is>
          <t>SCA</t>
        </is>
      </c>
      <c r="G1088" t="n">
        <v>13.2</v>
      </c>
      <c r="H1088" t="n">
        <v>0</v>
      </c>
      <c r="I1088" t="n">
        <v>0</v>
      </c>
      <c r="J1088" t="n">
        <v>0</v>
      </c>
      <c r="K1088" t="n">
        <v>0</v>
      </c>
      <c r="L1088" t="n">
        <v>0</v>
      </c>
      <c r="M1088" t="n">
        <v>0</v>
      </c>
      <c r="N1088" t="n">
        <v>0</v>
      </c>
      <c r="O1088" t="n">
        <v>0</v>
      </c>
      <c r="P1088" t="n">
        <v>0</v>
      </c>
      <c r="Q1088" t="n">
        <v>0</v>
      </c>
      <c r="R1088" s="2" t="inlineStr"/>
    </row>
    <row r="1089" ht="15" customHeight="1">
      <c r="A1089" t="inlineStr">
        <is>
          <t>A 14817-2024</t>
        </is>
      </c>
      <c r="B1089" s="1" t="n">
        <v>45398</v>
      </c>
      <c r="C1089" s="1" t="n">
        <v>45628</v>
      </c>
      <c r="D1089" t="inlineStr">
        <is>
          <t>VÄSTERBOTTENS LÄN</t>
        </is>
      </c>
      <c r="E1089" t="inlineStr">
        <is>
          <t>VILHELMINA</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15059-2024</t>
        </is>
      </c>
      <c r="B1090" s="1" t="n">
        <v>45399</v>
      </c>
      <c r="C1090" s="1" t="n">
        <v>45628</v>
      </c>
      <c r="D1090" t="inlineStr">
        <is>
          <t>VÄSTERBOTTENS LÄN</t>
        </is>
      </c>
      <c r="E1090" t="inlineStr">
        <is>
          <t>VILHELMINA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15050-2024</t>
        </is>
      </c>
      <c r="B1091" s="1" t="n">
        <v>45399</v>
      </c>
      <c r="C1091" s="1" t="n">
        <v>45628</v>
      </c>
      <c r="D1091" t="inlineStr">
        <is>
          <t>VÄSTERBOTTENS LÄN</t>
        </is>
      </c>
      <c r="E1091" t="inlineStr">
        <is>
          <t>VILHELMINA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15062-2024</t>
        </is>
      </c>
      <c r="B1092" s="1" t="n">
        <v>45399</v>
      </c>
      <c r="C1092" s="1" t="n">
        <v>45628</v>
      </c>
      <c r="D1092" t="inlineStr">
        <is>
          <t>VÄSTERBOTTENS LÄN</t>
        </is>
      </c>
      <c r="E1092" t="inlineStr">
        <is>
          <t>VILHELMINA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15066-2024</t>
        </is>
      </c>
      <c r="B1093" s="1" t="n">
        <v>45399</v>
      </c>
      <c r="C1093" s="1" t="n">
        <v>45628</v>
      </c>
      <c r="D1093" t="inlineStr">
        <is>
          <t>VÄSTERBOTTENS LÄN</t>
        </is>
      </c>
      <c r="E1093" t="inlineStr">
        <is>
          <t>VILHELMINA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15326-2024</t>
        </is>
      </c>
      <c r="B1094" s="1" t="n">
        <v>45400</v>
      </c>
      <c r="C1094" s="1" t="n">
        <v>45628</v>
      </c>
      <c r="D1094" t="inlineStr">
        <is>
          <t>VÄSTERBOTTENS LÄN</t>
        </is>
      </c>
      <c r="E1094" t="inlineStr">
        <is>
          <t>VILHELMINA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15615-2024</t>
        </is>
      </c>
      <c r="B1095" s="1" t="n">
        <v>45402</v>
      </c>
      <c r="C1095" s="1" t="n">
        <v>45628</v>
      </c>
      <c r="D1095" t="inlineStr">
        <is>
          <t>VÄSTERBOTTENS LÄN</t>
        </is>
      </c>
      <c r="E1095" t="inlineStr">
        <is>
          <t>VILHELMINA</t>
        </is>
      </c>
      <c r="F1095" t="inlineStr">
        <is>
          <t>SCA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15617-2024</t>
        </is>
      </c>
      <c r="B1096" s="1" t="n">
        <v>45402</v>
      </c>
      <c r="C1096" s="1" t="n">
        <v>45628</v>
      </c>
      <c r="D1096" t="inlineStr">
        <is>
          <t>VÄSTERBOTTENS LÄN</t>
        </is>
      </c>
      <c r="E1096" t="inlineStr">
        <is>
          <t>VILHELMINA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15639-2024</t>
        </is>
      </c>
      <c r="B1097" s="1" t="n">
        <v>45403</v>
      </c>
      <c r="C1097" s="1" t="n">
        <v>45628</v>
      </c>
      <c r="D1097" t="inlineStr">
        <is>
          <t>VÄSTERBOTTENS LÄN</t>
        </is>
      </c>
      <c r="E1097" t="inlineStr">
        <is>
          <t>VILHELMINA</t>
        </is>
      </c>
      <c r="G1097" t="n">
        <v>81.90000000000001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15969-2024</t>
        </is>
      </c>
      <c r="B1098" s="1" t="n">
        <v>45405</v>
      </c>
      <c r="C1098" s="1" t="n">
        <v>45628</v>
      </c>
      <c r="D1098" t="inlineStr">
        <is>
          <t>VÄSTERBOTTENS LÄN</t>
        </is>
      </c>
      <c r="E1098" t="inlineStr">
        <is>
          <t>VILHELMINA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16608-2024</t>
        </is>
      </c>
      <c r="B1099" s="1" t="n">
        <v>45408</v>
      </c>
      <c r="C1099" s="1" t="n">
        <v>45628</v>
      </c>
      <c r="D1099" t="inlineStr">
        <is>
          <t>VÄSTERBOTTENS LÄN</t>
        </is>
      </c>
      <c r="E1099" t="inlineStr">
        <is>
          <t>VILHELMINA</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16626-2024</t>
        </is>
      </c>
      <c r="B1100" s="1" t="n">
        <v>45408</v>
      </c>
      <c r="C1100" s="1" t="n">
        <v>45628</v>
      </c>
      <c r="D1100" t="inlineStr">
        <is>
          <t>VÄSTERBOTTENS LÄN</t>
        </is>
      </c>
      <c r="E1100" t="inlineStr">
        <is>
          <t>VILHELMINA</t>
        </is>
      </c>
      <c r="G1100" t="n">
        <v>15.5</v>
      </c>
      <c r="H1100" t="n">
        <v>0</v>
      </c>
      <c r="I1100" t="n">
        <v>0</v>
      </c>
      <c r="J1100" t="n">
        <v>0</v>
      </c>
      <c r="K1100" t="n">
        <v>0</v>
      </c>
      <c r="L1100" t="n">
        <v>0</v>
      </c>
      <c r="M1100" t="n">
        <v>0</v>
      </c>
      <c r="N1100" t="n">
        <v>0</v>
      </c>
      <c r="O1100" t="n">
        <v>0</v>
      </c>
      <c r="P1100" t="n">
        <v>0</v>
      </c>
      <c r="Q1100" t="n">
        <v>0</v>
      </c>
      <c r="R1100" s="2" t="inlineStr"/>
    </row>
    <row r="1101" ht="15" customHeight="1">
      <c r="A1101" t="inlineStr">
        <is>
          <t>A 16712-2024</t>
        </is>
      </c>
      <c r="B1101" s="1" t="n">
        <v>45409</v>
      </c>
      <c r="C1101" s="1" t="n">
        <v>45628</v>
      </c>
      <c r="D1101" t="inlineStr">
        <is>
          <t>VÄSTERBOTTENS LÄN</t>
        </is>
      </c>
      <c r="E1101" t="inlineStr">
        <is>
          <t>VILHELMINA</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16713-2024</t>
        </is>
      </c>
      <c r="B1102" s="1" t="n">
        <v>45409</v>
      </c>
      <c r="C1102" s="1" t="n">
        <v>45628</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17002-2024</t>
        </is>
      </c>
      <c r="B1103" s="1" t="n">
        <v>45411</v>
      </c>
      <c r="C1103" s="1" t="n">
        <v>45628</v>
      </c>
      <c r="D1103" t="inlineStr">
        <is>
          <t>VÄSTERBOTTENS LÄN</t>
        </is>
      </c>
      <c r="E1103" t="inlineStr">
        <is>
          <t>VILHELMINA</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16979-2024</t>
        </is>
      </c>
      <c r="B1104" s="1" t="n">
        <v>45412</v>
      </c>
      <c r="C1104" s="1" t="n">
        <v>45628</v>
      </c>
      <c r="D1104" t="inlineStr">
        <is>
          <t>VÄSTERBOTTENS LÄN</t>
        </is>
      </c>
      <c r="E1104" t="inlineStr">
        <is>
          <t>VILHELMINA</t>
        </is>
      </c>
      <c r="F1104" t="inlineStr">
        <is>
          <t>SCA</t>
        </is>
      </c>
      <c r="G1104" t="n">
        <v>34.1</v>
      </c>
      <c r="H1104" t="n">
        <v>0</v>
      </c>
      <c r="I1104" t="n">
        <v>0</v>
      </c>
      <c r="J1104" t="n">
        <v>0</v>
      </c>
      <c r="K1104" t="n">
        <v>0</v>
      </c>
      <c r="L1104" t="n">
        <v>0</v>
      </c>
      <c r="M1104" t="n">
        <v>0</v>
      </c>
      <c r="N1104" t="n">
        <v>0</v>
      </c>
      <c r="O1104" t="n">
        <v>0</v>
      </c>
      <c r="P1104" t="n">
        <v>0</v>
      </c>
      <c r="Q1104" t="n">
        <v>0</v>
      </c>
      <c r="R1104" s="2" t="inlineStr"/>
    </row>
    <row r="1105" ht="15" customHeight="1">
      <c r="A1105" t="inlineStr">
        <is>
          <t>A 17586-2024</t>
        </is>
      </c>
      <c r="B1105" s="1" t="n">
        <v>45415</v>
      </c>
      <c r="C1105" s="1" t="n">
        <v>45628</v>
      </c>
      <c r="D1105" t="inlineStr">
        <is>
          <t>VÄSTERBOTTENS LÄN</t>
        </is>
      </c>
      <c r="E1105" t="inlineStr">
        <is>
          <t>VILHELMINA</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17587-2024</t>
        </is>
      </c>
      <c r="B1106" s="1" t="n">
        <v>45416</v>
      </c>
      <c r="C1106" s="1" t="n">
        <v>45628</v>
      </c>
      <c r="D1106" t="inlineStr">
        <is>
          <t>VÄSTERBOTTENS LÄN</t>
        </is>
      </c>
      <c r="E1106" t="inlineStr">
        <is>
          <t>VILHELMINA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17723-2024</t>
        </is>
      </c>
      <c r="B1107" s="1" t="n">
        <v>45415</v>
      </c>
      <c r="C1107" s="1" t="n">
        <v>45628</v>
      </c>
      <c r="D1107" t="inlineStr">
        <is>
          <t>VÄSTERBOTTENS LÄN</t>
        </is>
      </c>
      <c r="E1107" t="inlineStr">
        <is>
          <t>VILHELMINA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17732-2024</t>
        </is>
      </c>
      <c r="B1108" s="1" t="n">
        <v>45415</v>
      </c>
      <c r="C1108" s="1" t="n">
        <v>45628</v>
      </c>
      <c r="D1108" t="inlineStr">
        <is>
          <t>VÄSTERBOTTENS LÄN</t>
        </is>
      </c>
      <c r="E1108" t="inlineStr">
        <is>
          <t>VILHELMINA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17722-2024</t>
        </is>
      </c>
      <c r="B1109" s="1" t="n">
        <v>45415</v>
      </c>
      <c r="C1109" s="1" t="n">
        <v>45628</v>
      </c>
      <c r="D1109" t="inlineStr">
        <is>
          <t>VÄSTERBOTTENS LÄN</t>
        </is>
      </c>
      <c r="E1109" t="inlineStr">
        <is>
          <t>VILHELMINA</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17823-2024</t>
        </is>
      </c>
      <c r="B1110" s="1" t="n">
        <v>45419</v>
      </c>
      <c r="C1110" s="1" t="n">
        <v>45628</v>
      </c>
      <c r="D1110" t="inlineStr">
        <is>
          <t>VÄSTERBOTTENS LÄN</t>
        </is>
      </c>
      <c r="E1110" t="inlineStr">
        <is>
          <t>VILHELMINA</t>
        </is>
      </c>
      <c r="F1110" t="inlineStr">
        <is>
          <t>SCA</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17996-2024</t>
        </is>
      </c>
      <c r="B1111" s="1" t="n">
        <v>45419</v>
      </c>
      <c r="C1111" s="1" t="n">
        <v>45628</v>
      </c>
      <c r="D1111" t="inlineStr">
        <is>
          <t>VÄSTERBOTTENS LÄN</t>
        </is>
      </c>
      <c r="E1111" t="inlineStr">
        <is>
          <t>VILHELMINA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19088-2024</t>
        </is>
      </c>
      <c r="B1112" s="1" t="n">
        <v>45428</v>
      </c>
      <c r="C1112" s="1" t="n">
        <v>45628</v>
      </c>
      <c r="D1112" t="inlineStr">
        <is>
          <t>VÄSTERBOTTENS LÄN</t>
        </is>
      </c>
      <c r="E1112" t="inlineStr">
        <is>
          <t>VILHELMINA</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19083-2024</t>
        </is>
      </c>
      <c r="B1113" s="1" t="n">
        <v>45428</v>
      </c>
      <c r="C1113" s="1" t="n">
        <v>45628</v>
      </c>
      <c r="D1113" t="inlineStr">
        <is>
          <t>VÄSTERBOTTENS LÄN</t>
        </is>
      </c>
      <c r="E1113" t="inlineStr">
        <is>
          <t>VILHELMINA</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19349-2024</t>
        </is>
      </c>
      <c r="B1114" s="1" t="n">
        <v>45429</v>
      </c>
      <c r="C1114" s="1" t="n">
        <v>45628</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19585-2024</t>
        </is>
      </c>
      <c r="B1115" s="1" t="n">
        <v>45429</v>
      </c>
      <c r="C1115" s="1" t="n">
        <v>45628</v>
      </c>
      <c r="D1115" t="inlineStr">
        <is>
          <t>VÄSTERBOTTENS LÄN</t>
        </is>
      </c>
      <c r="E1115" t="inlineStr">
        <is>
          <t>VILHELMINA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19873-2024</t>
        </is>
      </c>
      <c r="B1116" s="1" t="n">
        <v>45433</v>
      </c>
      <c r="C1116" s="1" t="n">
        <v>45628</v>
      </c>
      <c r="D1116" t="inlineStr">
        <is>
          <t>VÄSTERBOTTENS LÄN</t>
        </is>
      </c>
      <c r="E1116" t="inlineStr">
        <is>
          <t>VILHELMINA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20259-2024</t>
        </is>
      </c>
      <c r="B1117" s="1" t="n">
        <v>45435</v>
      </c>
      <c r="C1117" s="1" t="n">
        <v>45628</v>
      </c>
      <c r="D1117" t="inlineStr">
        <is>
          <t>VÄSTERBOTTENS LÄN</t>
        </is>
      </c>
      <c r="E1117" t="inlineStr">
        <is>
          <t>VILHELMINA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20521-2024</t>
        </is>
      </c>
      <c r="B1118" s="1" t="n">
        <v>45436</v>
      </c>
      <c r="C1118" s="1" t="n">
        <v>45628</v>
      </c>
      <c r="D1118" t="inlineStr">
        <is>
          <t>VÄSTERBOTTENS LÄN</t>
        </is>
      </c>
      <c r="E1118" t="inlineStr">
        <is>
          <t>VILHELMINA</t>
        </is>
      </c>
      <c r="F1118" t="inlineStr">
        <is>
          <t>SCA</t>
        </is>
      </c>
      <c r="G1118" t="n">
        <v>21.4</v>
      </c>
      <c r="H1118" t="n">
        <v>0</v>
      </c>
      <c r="I1118" t="n">
        <v>0</v>
      </c>
      <c r="J1118" t="n">
        <v>0</v>
      </c>
      <c r="K1118" t="n">
        <v>0</v>
      </c>
      <c r="L1118" t="n">
        <v>0</v>
      </c>
      <c r="M1118" t="n">
        <v>0</v>
      </c>
      <c r="N1118" t="n">
        <v>0</v>
      </c>
      <c r="O1118" t="n">
        <v>0</v>
      </c>
      <c r="P1118" t="n">
        <v>0</v>
      </c>
      <c r="Q1118" t="n">
        <v>0</v>
      </c>
      <c r="R1118" s="2" t="inlineStr"/>
    </row>
    <row r="1119" ht="15" customHeight="1">
      <c r="A1119" t="inlineStr">
        <is>
          <t>A 20511-2024</t>
        </is>
      </c>
      <c r="B1119" s="1" t="n">
        <v>45435</v>
      </c>
      <c r="C1119" s="1" t="n">
        <v>45628</v>
      </c>
      <c r="D1119" t="inlineStr">
        <is>
          <t>VÄSTERBOTTENS LÄN</t>
        </is>
      </c>
      <c r="E1119" t="inlineStr">
        <is>
          <t>VILHELMINA</t>
        </is>
      </c>
      <c r="F1119" t="inlineStr">
        <is>
          <t>SCA</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20523-2024</t>
        </is>
      </c>
      <c r="B1120" s="1" t="n">
        <v>45436</v>
      </c>
      <c r="C1120" s="1" t="n">
        <v>45628</v>
      </c>
      <c r="D1120" t="inlineStr">
        <is>
          <t>VÄSTERBOTTENS LÄN</t>
        </is>
      </c>
      <c r="E1120" t="inlineStr">
        <is>
          <t>VILHELMINA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20510-2024</t>
        </is>
      </c>
      <c r="B1121" s="1" t="n">
        <v>45436</v>
      </c>
      <c r="C1121" s="1" t="n">
        <v>45628</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20522-2024</t>
        </is>
      </c>
      <c r="B1122" s="1" t="n">
        <v>45435</v>
      </c>
      <c r="C1122" s="1" t="n">
        <v>45628</v>
      </c>
      <c r="D1122" t="inlineStr">
        <is>
          <t>VÄSTERBOTTENS LÄN</t>
        </is>
      </c>
      <c r="E1122" t="inlineStr">
        <is>
          <t>VILHELMINA</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20524-2024</t>
        </is>
      </c>
      <c r="B1123" s="1" t="n">
        <v>45436</v>
      </c>
      <c r="C1123" s="1" t="n">
        <v>45628</v>
      </c>
      <c r="D1123" t="inlineStr">
        <is>
          <t>VÄSTERBOTTENS LÄN</t>
        </is>
      </c>
      <c r="E1123" t="inlineStr">
        <is>
          <t>VILHELMINA</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20769-2024</t>
        </is>
      </c>
      <c r="B1124" s="1" t="n">
        <v>45437</v>
      </c>
      <c r="C1124" s="1" t="n">
        <v>45628</v>
      </c>
      <c r="D1124" t="inlineStr">
        <is>
          <t>VÄSTERBOTTENS LÄN</t>
        </is>
      </c>
      <c r="E1124" t="inlineStr">
        <is>
          <t>VILHELMINA</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20796-2024</t>
        </is>
      </c>
      <c r="B1125" s="1" t="n">
        <v>45439</v>
      </c>
      <c r="C1125" s="1" t="n">
        <v>45628</v>
      </c>
      <c r="D1125" t="inlineStr">
        <is>
          <t>VÄSTERBOTTENS LÄN</t>
        </is>
      </c>
      <c r="E1125" t="inlineStr">
        <is>
          <t>VILHELMINA</t>
        </is>
      </c>
      <c r="F1125" t="inlineStr">
        <is>
          <t>SCA</t>
        </is>
      </c>
      <c r="G1125" t="n">
        <v>22.4</v>
      </c>
      <c r="H1125" t="n">
        <v>0</v>
      </c>
      <c r="I1125" t="n">
        <v>0</v>
      </c>
      <c r="J1125" t="n">
        <v>0</v>
      </c>
      <c r="K1125" t="n">
        <v>0</v>
      </c>
      <c r="L1125" t="n">
        <v>0</v>
      </c>
      <c r="M1125" t="n">
        <v>0</v>
      </c>
      <c r="N1125" t="n">
        <v>0</v>
      </c>
      <c r="O1125" t="n">
        <v>0</v>
      </c>
      <c r="P1125" t="n">
        <v>0</v>
      </c>
      <c r="Q1125" t="n">
        <v>0</v>
      </c>
      <c r="R1125" s="2" t="inlineStr"/>
    </row>
    <row r="1126" ht="15" customHeight="1">
      <c r="A1126" t="inlineStr">
        <is>
          <t>A 20797-2024</t>
        </is>
      </c>
      <c r="B1126" s="1" t="n">
        <v>45438</v>
      </c>
      <c r="C1126" s="1" t="n">
        <v>45628</v>
      </c>
      <c r="D1126" t="inlineStr">
        <is>
          <t>VÄSTERBOTTENS LÄN</t>
        </is>
      </c>
      <c r="E1126" t="inlineStr">
        <is>
          <t>VILHELMINA</t>
        </is>
      </c>
      <c r="F1126" t="inlineStr">
        <is>
          <t>SCA</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21370-2024</t>
        </is>
      </c>
      <c r="B1127" s="1" t="n">
        <v>45441</v>
      </c>
      <c r="C1127" s="1" t="n">
        <v>45628</v>
      </c>
      <c r="D1127" t="inlineStr">
        <is>
          <t>VÄSTERBOTTENS LÄN</t>
        </is>
      </c>
      <c r="E1127" t="inlineStr">
        <is>
          <t>VILHELMINA</t>
        </is>
      </c>
      <c r="F1127" t="inlineStr">
        <is>
          <t>SCA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21348-2024</t>
        </is>
      </c>
      <c r="B1128" s="1" t="n">
        <v>45440</v>
      </c>
      <c r="C1128" s="1" t="n">
        <v>45628</v>
      </c>
      <c r="D1128" t="inlineStr">
        <is>
          <t>VÄSTERBOTTENS LÄN</t>
        </is>
      </c>
      <c r="E1128" t="inlineStr">
        <is>
          <t>VILHELMINA</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21368-2024</t>
        </is>
      </c>
      <c r="B1129" s="1" t="n">
        <v>45441</v>
      </c>
      <c r="C1129" s="1" t="n">
        <v>45628</v>
      </c>
      <c r="D1129" t="inlineStr">
        <is>
          <t>VÄSTERBOTTENS LÄN</t>
        </is>
      </c>
      <c r="E1129" t="inlineStr">
        <is>
          <t>VILHELMINA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21345-2024</t>
        </is>
      </c>
      <c r="B1130" s="1" t="n">
        <v>45441</v>
      </c>
      <c r="C1130" s="1" t="n">
        <v>45628</v>
      </c>
      <c r="D1130" t="inlineStr">
        <is>
          <t>VÄSTERBOTTENS LÄN</t>
        </is>
      </c>
      <c r="E1130" t="inlineStr">
        <is>
          <t>VILHELMINA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21349-2024</t>
        </is>
      </c>
      <c r="B1131" s="1" t="n">
        <v>45440</v>
      </c>
      <c r="C1131" s="1" t="n">
        <v>45628</v>
      </c>
      <c r="D1131" t="inlineStr">
        <is>
          <t>VÄSTERBOTTENS LÄN</t>
        </is>
      </c>
      <c r="E1131" t="inlineStr">
        <is>
          <t>VILHELMINA</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21369-2024</t>
        </is>
      </c>
      <c r="B1132" s="1" t="n">
        <v>45441</v>
      </c>
      <c r="C1132" s="1" t="n">
        <v>45628</v>
      </c>
      <c r="D1132" t="inlineStr">
        <is>
          <t>VÄSTERBOTTENS LÄN</t>
        </is>
      </c>
      <c r="E1132" t="inlineStr">
        <is>
          <t>VILHELMINA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21367-2024</t>
        </is>
      </c>
      <c r="B1133" s="1" t="n">
        <v>45441</v>
      </c>
      <c r="C1133" s="1" t="n">
        <v>45628</v>
      </c>
      <c r="D1133" t="inlineStr">
        <is>
          <t>VÄSTERBOTTENS LÄN</t>
        </is>
      </c>
      <c r="E1133" t="inlineStr">
        <is>
          <t>VILHELMINA</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21371-2024</t>
        </is>
      </c>
      <c r="B1134" s="1" t="n">
        <v>45441</v>
      </c>
      <c r="C1134" s="1" t="n">
        <v>45628</v>
      </c>
      <c r="D1134" t="inlineStr">
        <is>
          <t>VÄSTERBOTTENS LÄN</t>
        </is>
      </c>
      <c r="E1134" t="inlineStr">
        <is>
          <t>VILHELMINA</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21841-2024</t>
        </is>
      </c>
      <c r="B1135" s="1" t="n">
        <v>45443</v>
      </c>
      <c r="C1135" s="1" t="n">
        <v>45628</v>
      </c>
      <c r="D1135" t="inlineStr">
        <is>
          <t>VÄSTERBOTTENS LÄN</t>
        </is>
      </c>
      <c r="E1135" t="inlineStr">
        <is>
          <t>VILHELMINA</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21844-2024</t>
        </is>
      </c>
      <c r="B1136" s="1" t="n">
        <v>45442</v>
      </c>
      <c r="C1136" s="1" t="n">
        <v>45628</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21842-2024</t>
        </is>
      </c>
      <c r="B1137" s="1" t="n">
        <v>45443</v>
      </c>
      <c r="C1137" s="1" t="n">
        <v>45628</v>
      </c>
      <c r="D1137" t="inlineStr">
        <is>
          <t>VÄSTERBOTTENS LÄN</t>
        </is>
      </c>
      <c r="E1137" t="inlineStr">
        <is>
          <t>VILHELMINA</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21843-2024</t>
        </is>
      </c>
      <c r="B1138" s="1" t="n">
        <v>45443</v>
      </c>
      <c r="C1138" s="1" t="n">
        <v>45628</v>
      </c>
      <c r="D1138" t="inlineStr">
        <is>
          <t>VÄSTERBOTTENS LÄN</t>
        </is>
      </c>
      <c r="E1138" t="inlineStr">
        <is>
          <t>VILHELMINA</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22104-2024</t>
        </is>
      </c>
      <c r="B1139" s="1" t="n">
        <v>45443</v>
      </c>
      <c r="C1139" s="1" t="n">
        <v>45628</v>
      </c>
      <c r="D1139" t="inlineStr">
        <is>
          <t>VÄSTERBOTTENS LÄN</t>
        </is>
      </c>
      <c r="E1139" t="inlineStr">
        <is>
          <t>VILHELMINA</t>
        </is>
      </c>
      <c r="F1139" t="inlineStr">
        <is>
          <t>SCA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22108-2024</t>
        </is>
      </c>
      <c r="B1140" s="1" t="n">
        <v>45443</v>
      </c>
      <c r="C1140" s="1" t="n">
        <v>45628</v>
      </c>
      <c r="D1140" t="inlineStr">
        <is>
          <t>VÄSTERBOTTENS LÄN</t>
        </is>
      </c>
      <c r="E1140" t="inlineStr">
        <is>
          <t>VILHELMINA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22105-2024</t>
        </is>
      </c>
      <c r="B1141" s="1" t="n">
        <v>45443</v>
      </c>
      <c r="C1141" s="1" t="n">
        <v>45628</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22109-2024</t>
        </is>
      </c>
      <c r="B1142" s="1" t="n">
        <v>45443</v>
      </c>
      <c r="C1142" s="1" t="n">
        <v>45628</v>
      </c>
      <c r="D1142" t="inlineStr">
        <is>
          <t>VÄSTERBOTTENS LÄN</t>
        </is>
      </c>
      <c r="E1142" t="inlineStr">
        <is>
          <t>VILHELMINA</t>
        </is>
      </c>
      <c r="F1142" t="inlineStr">
        <is>
          <t>SCA</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22107-2024</t>
        </is>
      </c>
      <c r="B1143" s="1" t="n">
        <v>45443</v>
      </c>
      <c r="C1143" s="1" t="n">
        <v>45628</v>
      </c>
      <c r="D1143" t="inlineStr">
        <is>
          <t>VÄSTERBOTTENS LÄN</t>
        </is>
      </c>
      <c r="E1143" t="inlineStr">
        <is>
          <t>VILHELMINA</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22106-2024</t>
        </is>
      </c>
      <c r="B1144" s="1" t="n">
        <v>45444</v>
      </c>
      <c r="C1144" s="1" t="n">
        <v>45628</v>
      </c>
      <c r="D1144" t="inlineStr">
        <is>
          <t>VÄSTERBOTTENS LÄN</t>
        </is>
      </c>
      <c r="E1144" t="inlineStr">
        <is>
          <t>VILHELMINA</t>
        </is>
      </c>
      <c r="F1144" t="inlineStr">
        <is>
          <t>SCA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22751-2024</t>
        </is>
      </c>
      <c r="B1145" s="1" t="n">
        <v>45448</v>
      </c>
      <c r="C1145" s="1" t="n">
        <v>45628</v>
      </c>
      <c r="D1145" t="inlineStr">
        <is>
          <t>VÄSTERBOTTENS LÄN</t>
        </is>
      </c>
      <c r="E1145" t="inlineStr">
        <is>
          <t>VILHELMINA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23176-2024</t>
        </is>
      </c>
      <c r="B1146" s="1" t="n">
        <v>45451</v>
      </c>
      <c r="C1146" s="1" t="n">
        <v>45628</v>
      </c>
      <c r="D1146" t="inlineStr">
        <is>
          <t>VÄSTERBOTTENS LÄN</t>
        </is>
      </c>
      <c r="E1146" t="inlineStr">
        <is>
          <t>VILHELMINA</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23180-2024</t>
        </is>
      </c>
      <c r="B1147" s="1" t="n">
        <v>45451</v>
      </c>
      <c r="C1147" s="1" t="n">
        <v>45628</v>
      </c>
      <c r="D1147" t="inlineStr">
        <is>
          <t>VÄSTERBOTTENS LÄN</t>
        </is>
      </c>
      <c r="E1147" t="inlineStr">
        <is>
          <t>VILHELMINA</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23550-2024</t>
        </is>
      </c>
      <c r="B1148" s="1" t="n">
        <v>45454</v>
      </c>
      <c r="C1148" s="1" t="n">
        <v>45628</v>
      </c>
      <c r="D1148" t="inlineStr">
        <is>
          <t>VÄSTERBOTTENS LÄN</t>
        </is>
      </c>
      <c r="E1148" t="inlineStr">
        <is>
          <t>VILHELMINA</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23538-2024</t>
        </is>
      </c>
      <c r="B1149" s="1" t="n">
        <v>45453</v>
      </c>
      <c r="C1149" s="1" t="n">
        <v>45628</v>
      </c>
      <c r="D1149" t="inlineStr">
        <is>
          <t>VÄSTERBOTTENS LÄN</t>
        </is>
      </c>
      <c r="E1149" t="inlineStr">
        <is>
          <t>VILHELMINA</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23548-2024</t>
        </is>
      </c>
      <c r="B1150" s="1" t="n">
        <v>45454</v>
      </c>
      <c r="C1150" s="1" t="n">
        <v>45628</v>
      </c>
      <c r="D1150" t="inlineStr">
        <is>
          <t>VÄSTERBOTTENS LÄN</t>
        </is>
      </c>
      <c r="E1150" t="inlineStr">
        <is>
          <t>VILHELMINA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23544-2024</t>
        </is>
      </c>
      <c r="B1151" s="1" t="n">
        <v>45454</v>
      </c>
      <c r="C1151" s="1" t="n">
        <v>45628</v>
      </c>
      <c r="D1151" t="inlineStr">
        <is>
          <t>VÄSTERBOTTENS LÄN</t>
        </is>
      </c>
      <c r="E1151" t="inlineStr">
        <is>
          <t>VILHELMINA</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23536-2024</t>
        </is>
      </c>
      <c r="B1152" s="1" t="n">
        <v>45454</v>
      </c>
      <c r="C1152" s="1" t="n">
        <v>45628</v>
      </c>
      <c r="D1152" t="inlineStr">
        <is>
          <t>VÄSTERBOTTENS LÄN</t>
        </is>
      </c>
      <c r="E1152" t="inlineStr">
        <is>
          <t>VILHELMINA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23543-2024</t>
        </is>
      </c>
      <c r="B1153" s="1" t="n">
        <v>45453</v>
      </c>
      <c r="C1153" s="1" t="n">
        <v>45628</v>
      </c>
      <c r="D1153" t="inlineStr">
        <is>
          <t>VÄSTERBOTTENS LÄN</t>
        </is>
      </c>
      <c r="E1153" t="inlineStr">
        <is>
          <t>VILHELMINA</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23545-2024</t>
        </is>
      </c>
      <c r="B1154" s="1" t="n">
        <v>45454</v>
      </c>
      <c r="C1154" s="1" t="n">
        <v>45628</v>
      </c>
      <c r="D1154" t="inlineStr">
        <is>
          <t>VÄSTERBOTTENS LÄN</t>
        </is>
      </c>
      <c r="E1154" t="inlineStr">
        <is>
          <t>VILHELMINA</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23549-2024</t>
        </is>
      </c>
      <c r="B1155" s="1" t="n">
        <v>45454</v>
      </c>
      <c r="C1155" s="1" t="n">
        <v>45628</v>
      </c>
      <c r="D1155" t="inlineStr">
        <is>
          <t>VÄSTERBOTTENS LÄN</t>
        </is>
      </c>
      <c r="E1155" t="inlineStr">
        <is>
          <t>VILHELMINA</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23657-2024</t>
        </is>
      </c>
      <c r="B1156" s="1" t="n">
        <v>45454</v>
      </c>
      <c r="C1156" s="1" t="n">
        <v>45628</v>
      </c>
      <c r="D1156" t="inlineStr">
        <is>
          <t>VÄSTERBOTTENS LÄN</t>
        </is>
      </c>
      <c r="E1156" t="inlineStr">
        <is>
          <t>VILHELMINA</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24428-2024</t>
        </is>
      </c>
      <c r="B1157" s="1" t="n">
        <v>45458</v>
      </c>
      <c r="C1157" s="1" t="n">
        <v>45628</v>
      </c>
      <c r="D1157" t="inlineStr">
        <is>
          <t>VÄSTERBOTTENS LÄN</t>
        </is>
      </c>
      <c r="E1157" t="inlineStr">
        <is>
          <t>VILHELMINA</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24454-2024</t>
        </is>
      </c>
      <c r="B1158" s="1" t="n">
        <v>45458</v>
      </c>
      <c r="C1158" s="1" t="n">
        <v>45628</v>
      </c>
      <c r="D1158" t="inlineStr">
        <is>
          <t>VÄSTERBOTTENS LÄN</t>
        </is>
      </c>
      <c r="E1158" t="inlineStr">
        <is>
          <t>VILHELMINA</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24427-2024</t>
        </is>
      </c>
      <c r="B1159" s="1" t="n">
        <v>45457</v>
      </c>
      <c r="C1159" s="1" t="n">
        <v>45628</v>
      </c>
      <c r="D1159" t="inlineStr">
        <is>
          <t>VÄSTERBOTTENS LÄN</t>
        </is>
      </c>
      <c r="E1159" t="inlineStr">
        <is>
          <t>VILHELMINA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24457-2024</t>
        </is>
      </c>
      <c r="B1160" s="1" t="n">
        <v>45458</v>
      </c>
      <c r="C1160" s="1" t="n">
        <v>45628</v>
      </c>
      <c r="D1160" t="inlineStr">
        <is>
          <t>VÄSTERBOTTENS LÄN</t>
        </is>
      </c>
      <c r="E1160" t="inlineStr">
        <is>
          <t>VILHELMINA</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24426-2024</t>
        </is>
      </c>
      <c r="B1161" s="1" t="n">
        <v>45457</v>
      </c>
      <c r="C1161" s="1" t="n">
        <v>45628</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24455-2024</t>
        </is>
      </c>
      <c r="B1162" s="1" t="n">
        <v>45458</v>
      </c>
      <c r="C1162" s="1" t="n">
        <v>45628</v>
      </c>
      <c r="D1162" t="inlineStr">
        <is>
          <t>VÄSTERBOTTENS LÄN</t>
        </is>
      </c>
      <c r="E1162" t="inlineStr">
        <is>
          <t>VILHELMINA</t>
        </is>
      </c>
      <c r="F1162" t="inlineStr">
        <is>
          <t>SCA</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25036-2024</t>
        </is>
      </c>
      <c r="B1163" s="1" t="n">
        <v>45461</v>
      </c>
      <c r="C1163" s="1" t="n">
        <v>45628</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25037-2024</t>
        </is>
      </c>
      <c r="B1164" s="1" t="n">
        <v>45461</v>
      </c>
      <c r="C1164" s="1" t="n">
        <v>45628</v>
      </c>
      <c r="D1164" t="inlineStr">
        <is>
          <t>VÄSTERBOTTENS LÄN</t>
        </is>
      </c>
      <c r="E1164" t="inlineStr">
        <is>
          <t>VILHELMINA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25374-2024</t>
        </is>
      </c>
      <c r="B1165" s="1" t="n">
        <v>45463</v>
      </c>
      <c r="C1165" s="1" t="n">
        <v>45628</v>
      </c>
      <c r="D1165" t="inlineStr">
        <is>
          <t>VÄSTERBOTTENS LÄN</t>
        </is>
      </c>
      <c r="E1165" t="inlineStr">
        <is>
          <t>VILHELMINA</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25078-2024</t>
        </is>
      </c>
      <c r="B1166" s="1" t="n">
        <v>45462</v>
      </c>
      <c r="C1166" s="1" t="n">
        <v>45628</v>
      </c>
      <c r="D1166" t="inlineStr">
        <is>
          <t>VÄSTERBOTTENS LÄN</t>
        </is>
      </c>
      <c r="E1166" t="inlineStr">
        <is>
          <t>VILHELMINA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25551-2024</t>
        </is>
      </c>
      <c r="B1167" s="1" t="n">
        <v>45463</v>
      </c>
      <c r="C1167" s="1" t="n">
        <v>45628</v>
      </c>
      <c r="D1167" t="inlineStr">
        <is>
          <t>VÄSTERBOTTENS LÄN</t>
        </is>
      </c>
      <c r="E1167" t="inlineStr">
        <is>
          <t>VILHELMINA</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25701-2024</t>
        </is>
      </c>
      <c r="B1168" s="1" t="n">
        <v>45464</v>
      </c>
      <c r="C1168" s="1" t="n">
        <v>45628</v>
      </c>
      <c r="D1168" t="inlineStr">
        <is>
          <t>VÄSTERBOTTENS LÄN</t>
        </is>
      </c>
      <c r="E1168" t="inlineStr">
        <is>
          <t>VILHELMINA</t>
        </is>
      </c>
      <c r="F1168" t="inlineStr">
        <is>
          <t>SCA</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25819-2024</t>
        </is>
      </c>
      <c r="B1169" s="1" t="n">
        <v>45467</v>
      </c>
      <c r="C1169" s="1" t="n">
        <v>45628</v>
      </c>
      <c r="D1169" t="inlineStr">
        <is>
          <t>VÄSTERBOTTENS LÄN</t>
        </is>
      </c>
      <c r="E1169" t="inlineStr">
        <is>
          <t>VILHELMINA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25810-2024</t>
        </is>
      </c>
      <c r="B1170" s="1" t="n">
        <v>45467</v>
      </c>
      <c r="C1170" s="1" t="n">
        <v>45628</v>
      </c>
      <c r="D1170" t="inlineStr">
        <is>
          <t>VÄSTERBOTTENS LÄN</t>
        </is>
      </c>
      <c r="E1170" t="inlineStr">
        <is>
          <t>VILHELMINA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25814-2024</t>
        </is>
      </c>
      <c r="B1171" s="1" t="n">
        <v>45467</v>
      </c>
      <c r="C1171" s="1" t="n">
        <v>45628</v>
      </c>
      <c r="D1171" t="inlineStr">
        <is>
          <t>VÄSTERBOTTENS LÄN</t>
        </is>
      </c>
      <c r="E1171" t="inlineStr">
        <is>
          <t>VILHELMINA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26287-2024</t>
        </is>
      </c>
      <c r="B1172" s="1" t="n">
        <v>45468</v>
      </c>
      <c r="C1172" s="1" t="n">
        <v>45628</v>
      </c>
      <c r="D1172" t="inlineStr">
        <is>
          <t>VÄSTERBOTTENS LÄN</t>
        </is>
      </c>
      <c r="E1172" t="inlineStr">
        <is>
          <t>VILHELMINA</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26137-2024</t>
        </is>
      </c>
      <c r="B1173" s="1" t="n">
        <v>45468</v>
      </c>
      <c r="C1173" s="1" t="n">
        <v>45628</v>
      </c>
      <c r="D1173" t="inlineStr">
        <is>
          <t>VÄSTERBOTTENS LÄN</t>
        </is>
      </c>
      <c r="E1173" t="inlineStr">
        <is>
          <t>VILHELMINA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26381-2024</t>
        </is>
      </c>
      <c r="B1174" s="1" t="n">
        <v>45469</v>
      </c>
      <c r="C1174" s="1" t="n">
        <v>45628</v>
      </c>
      <c r="D1174" t="inlineStr">
        <is>
          <t>VÄSTERBOTTENS LÄN</t>
        </is>
      </c>
      <c r="E1174" t="inlineStr">
        <is>
          <t>VILHELMINA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26499-2024</t>
        </is>
      </c>
      <c r="B1175" s="1" t="n">
        <v>45469</v>
      </c>
      <c r="C1175" s="1" t="n">
        <v>45628</v>
      </c>
      <c r="D1175" t="inlineStr">
        <is>
          <t>VÄSTERBOTTENS LÄN</t>
        </is>
      </c>
      <c r="E1175" t="inlineStr">
        <is>
          <t>VILHELMINA</t>
        </is>
      </c>
      <c r="F1175" t="inlineStr">
        <is>
          <t>Sveaskog</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26660-2024</t>
        </is>
      </c>
      <c r="B1176" s="1" t="n">
        <v>45470</v>
      </c>
      <c r="C1176" s="1" t="n">
        <v>45628</v>
      </c>
      <c r="D1176" t="inlineStr">
        <is>
          <t>VÄSTERBOTTENS LÄN</t>
        </is>
      </c>
      <c r="E1176" t="inlineStr">
        <is>
          <t>VILHELMINA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26947-2024</t>
        </is>
      </c>
      <c r="B1177" s="1" t="n">
        <v>45471</v>
      </c>
      <c r="C1177" s="1" t="n">
        <v>45628</v>
      </c>
      <c r="D1177" t="inlineStr">
        <is>
          <t>VÄSTERBOTTENS LÄN</t>
        </is>
      </c>
      <c r="E1177" t="inlineStr">
        <is>
          <t>VILHELMINA</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26748-2024</t>
        </is>
      </c>
      <c r="B1178" s="1" t="n">
        <v>45470</v>
      </c>
      <c r="C1178" s="1" t="n">
        <v>45628</v>
      </c>
      <c r="D1178" t="inlineStr">
        <is>
          <t>VÄSTERBOTTENS LÄN</t>
        </is>
      </c>
      <c r="E1178" t="inlineStr">
        <is>
          <t>VILHELMINA</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27194-2024</t>
        </is>
      </c>
      <c r="B1179" s="1" t="n">
        <v>45471</v>
      </c>
      <c r="C1179" s="1" t="n">
        <v>45628</v>
      </c>
      <c r="D1179" t="inlineStr">
        <is>
          <t>VÄSTERBOTTENS LÄN</t>
        </is>
      </c>
      <c r="E1179" t="inlineStr">
        <is>
          <t>VILHELMINA</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27271-2024</t>
        </is>
      </c>
      <c r="B1180" s="1" t="n">
        <v>45471</v>
      </c>
      <c r="C1180" s="1" t="n">
        <v>45628</v>
      </c>
      <c r="D1180" t="inlineStr">
        <is>
          <t>VÄSTERBOTTENS LÄN</t>
        </is>
      </c>
      <c r="E1180" t="inlineStr">
        <is>
          <t>VILHELMINA</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27917-2024</t>
        </is>
      </c>
      <c r="B1181" s="1" t="n">
        <v>45476</v>
      </c>
      <c r="C1181" s="1" t="n">
        <v>45628</v>
      </c>
      <c r="D1181" t="inlineStr">
        <is>
          <t>VÄSTERBOTTENS LÄN</t>
        </is>
      </c>
      <c r="E1181" t="inlineStr">
        <is>
          <t>VILHELMINA</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28695-2024</t>
        </is>
      </c>
      <c r="B1182" s="1" t="n">
        <v>45478</v>
      </c>
      <c r="C1182" s="1" t="n">
        <v>45628</v>
      </c>
      <c r="D1182" t="inlineStr">
        <is>
          <t>VÄSTERBOTTENS LÄN</t>
        </is>
      </c>
      <c r="E1182" t="inlineStr">
        <is>
          <t>VILHELMINA</t>
        </is>
      </c>
      <c r="F1182" t="inlineStr">
        <is>
          <t>Allmännings- och besparingsskogar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28869-2024</t>
        </is>
      </c>
      <c r="B1183" s="1" t="n">
        <v>45479</v>
      </c>
      <c r="C1183" s="1" t="n">
        <v>45628</v>
      </c>
      <c r="D1183" t="inlineStr">
        <is>
          <t>VÄSTERBOTTENS LÄN</t>
        </is>
      </c>
      <c r="E1183" t="inlineStr">
        <is>
          <t>VILHELMINA</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28729-2024</t>
        </is>
      </c>
      <c r="B1184" s="1" t="n">
        <v>45478</v>
      </c>
      <c r="C1184" s="1" t="n">
        <v>45628</v>
      </c>
      <c r="D1184" t="inlineStr">
        <is>
          <t>VÄSTERBOTTENS LÄN</t>
        </is>
      </c>
      <c r="E1184" t="inlineStr">
        <is>
          <t>VILHELMINA</t>
        </is>
      </c>
      <c r="F1184" t="inlineStr">
        <is>
          <t>Allmännings- och besparingsskogar</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28870-2024</t>
        </is>
      </c>
      <c r="B1185" s="1" t="n">
        <v>45479</v>
      </c>
      <c r="C1185" s="1" t="n">
        <v>45628</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28656-2024</t>
        </is>
      </c>
      <c r="B1186" s="1" t="n">
        <v>45478</v>
      </c>
      <c r="C1186" s="1" t="n">
        <v>45628</v>
      </c>
      <c r="D1186" t="inlineStr">
        <is>
          <t>VÄSTERBOTTENS LÄN</t>
        </is>
      </c>
      <c r="E1186" t="inlineStr">
        <is>
          <t>VILHELMINA</t>
        </is>
      </c>
      <c r="F1186" t="inlineStr">
        <is>
          <t>Allmännings- och besparingsskogar</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28726-2024</t>
        </is>
      </c>
      <c r="B1187" s="1" t="n">
        <v>45478</v>
      </c>
      <c r="C1187" s="1" t="n">
        <v>45628</v>
      </c>
      <c r="D1187" t="inlineStr">
        <is>
          <t>VÄSTERBOTTENS LÄN</t>
        </is>
      </c>
      <c r="E1187" t="inlineStr">
        <is>
          <t>VILHELMINA</t>
        </is>
      </c>
      <c r="F1187" t="inlineStr">
        <is>
          <t>Allmännings- och besparingsskogar</t>
        </is>
      </c>
      <c r="G1187" t="n">
        <v>15.7</v>
      </c>
      <c r="H1187" t="n">
        <v>0</v>
      </c>
      <c r="I1187" t="n">
        <v>0</v>
      </c>
      <c r="J1187" t="n">
        <v>0</v>
      </c>
      <c r="K1187" t="n">
        <v>0</v>
      </c>
      <c r="L1187" t="n">
        <v>0</v>
      </c>
      <c r="M1187" t="n">
        <v>0</v>
      </c>
      <c r="N1187" t="n">
        <v>0</v>
      </c>
      <c r="O1187" t="n">
        <v>0</v>
      </c>
      <c r="P1187" t="n">
        <v>0</v>
      </c>
      <c r="Q1187" t="n">
        <v>0</v>
      </c>
      <c r="R1187" s="2" t="inlineStr"/>
    </row>
    <row r="1188" ht="15" customHeight="1">
      <c r="A1188" t="inlineStr">
        <is>
          <t>A 28863-2024</t>
        </is>
      </c>
      <c r="B1188" s="1" t="n">
        <v>45479</v>
      </c>
      <c r="C1188" s="1" t="n">
        <v>45628</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28867-2024</t>
        </is>
      </c>
      <c r="B1189" s="1" t="n">
        <v>45479</v>
      </c>
      <c r="C1189" s="1" t="n">
        <v>45628</v>
      </c>
      <c r="D1189" t="inlineStr">
        <is>
          <t>VÄSTERBOTTENS LÄN</t>
        </is>
      </c>
      <c r="E1189" t="inlineStr">
        <is>
          <t>VILHELMINA</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28871-2024</t>
        </is>
      </c>
      <c r="B1190" s="1" t="n">
        <v>45479</v>
      </c>
      <c r="C1190" s="1" t="n">
        <v>45628</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28868-2024</t>
        </is>
      </c>
      <c r="B1191" s="1" t="n">
        <v>45479</v>
      </c>
      <c r="C1191" s="1" t="n">
        <v>45628</v>
      </c>
      <c r="D1191" t="inlineStr">
        <is>
          <t>VÄSTERBOTTENS LÄN</t>
        </is>
      </c>
      <c r="E1191" t="inlineStr">
        <is>
          <t>VILHELMINA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29104-2024</t>
        </is>
      </c>
      <c r="B1192" s="1" t="n">
        <v>45482</v>
      </c>
      <c r="C1192" s="1" t="n">
        <v>45628</v>
      </c>
      <c r="D1192" t="inlineStr">
        <is>
          <t>VÄSTERBOTTENS LÄN</t>
        </is>
      </c>
      <c r="E1192" t="inlineStr">
        <is>
          <t>VILHELMINA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28949-2024</t>
        </is>
      </c>
      <c r="B1193" s="1" t="n">
        <v>45481</v>
      </c>
      <c r="C1193" s="1" t="n">
        <v>45628</v>
      </c>
      <c r="D1193" t="inlineStr">
        <is>
          <t>VÄSTERBOTTENS LÄN</t>
        </is>
      </c>
      <c r="E1193" t="inlineStr">
        <is>
          <t>VILHELMINA</t>
        </is>
      </c>
      <c r="F1193" t="inlineStr">
        <is>
          <t>Sveaskog</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29105-2024</t>
        </is>
      </c>
      <c r="B1194" s="1" t="n">
        <v>45482</v>
      </c>
      <c r="C1194" s="1" t="n">
        <v>45628</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29472-2024</t>
        </is>
      </c>
      <c r="B1195" s="1" t="n">
        <v>45484</v>
      </c>
      <c r="C1195" s="1" t="n">
        <v>45628</v>
      </c>
      <c r="D1195" t="inlineStr">
        <is>
          <t>VÄSTERBOTTENS LÄN</t>
        </is>
      </c>
      <c r="E1195" t="inlineStr">
        <is>
          <t>VILHELMINA</t>
        </is>
      </c>
      <c r="F1195" t="inlineStr">
        <is>
          <t>SCA</t>
        </is>
      </c>
      <c r="G1195" t="n">
        <v>23.6</v>
      </c>
      <c r="H1195" t="n">
        <v>0</v>
      </c>
      <c r="I1195" t="n">
        <v>0</v>
      </c>
      <c r="J1195" t="n">
        <v>0</v>
      </c>
      <c r="K1195" t="n">
        <v>0</v>
      </c>
      <c r="L1195" t="n">
        <v>0</v>
      </c>
      <c r="M1195" t="n">
        <v>0</v>
      </c>
      <c r="N1195" t="n">
        <v>0</v>
      </c>
      <c r="O1195" t="n">
        <v>0</v>
      </c>
      <c r="P1195" t="n">
        <v>0</v>
      </c>
      <c r="Q1195" t="n">
        <v>0</v>
      </c>
      <c r="R1195" s="2" t="inlineStr"/>
    </row>
    <row r="1196" ht="15" customHeight="1">
      <c r="A1196" t="inlineStr">
        <is>
          <t>A 29463-2024</t>
        </is>
      </c>
      <c r="B1196" s="1" t="n">
        <v>45484</v>
      </c>
      <c r="C1196" s="1" t="n">
        <v>45628</v>
      </c>
      <c r="D1196" t="inlineStr">
        <is>
          <t>VÄSTERBOTTENS LÄN</t>
        </is>
      </c>
      <c r="E1196" t="inlineStr">
        <is>
          <t>VILHELMINA</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29503-2024</t>
        </is>
      </c>
      <c r="B1197" s="1" t="n">
        <v>45484</v>
      </c>
      <c r="C1197" s="1" t="n">
        <v>45628</v>
      </c>
      <c r="D1197" t="inlineStr">
        <is>
          <t>VÄSTERBOTTENS LÄN</t>
        </is>
      </c>
      <c r="E1197" t="inlineStr">
        <is>
          <t>VILHELMINA</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29722-2024</t>
        </is>
      </c>
      <c r="B1198" s="1" t="n">
        <v>45485</v>
      </c>
      <c r="C1198" s="1" t="n">
        <v>45628</v>
      </c>
      <c r="D1198" t="inlineStr">
        <is>
          <t>VÄSTERBOTTENS LÄN</t>
        </is>
      </c>
      <c r="E1198" t="inlineStr">
        <is>
          <t>VILHELMINA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29732-2024</t>
        </is>
      </c>
      <c r="B1199" s="1" t="n">
        <v>45485</v>
      </c>
      <c r="C1199" s="1" t="n">
        <v>45628</v>
      </c>
      <c r="D1199" t="inlineStr">
        <is>
          <t>VÄSTERBOTTENS LÄN</t>
        </is>
      </c>
      <c r="E1199" t="inlineStr">
        <is>
          <t>VILHELMINA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29922-2024</t>
        </is>
      </c>
      <c r="B1200" s="1" t="n">
        <v>45488</v>
      </c>
      <c r="C1200" s="1" t="n">
        <v>45628</v>
      </c>
      <c r="D1200" t="inlineStr">
        <is>
          <t>VÄSTERBOTTENS LÄN</t>
        </is>
      </c>
      <c r="E1200" t="inlineStr">
        <is>
          <t>VILHELMINA</t>
        </is>
      </c>
      <c r="F1200" t="inlineStr">
        <is>
          <t>SCA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30331-2024</t>
        </is>
      </c>
      <c r="B1201" s="1" t="n">
        <v>45491</v>
      </c>
      <c r="C1201" s="1" t="n">
        <v>45628</v>
      </c>
      <c r="D1201" t="inlineStr">
        <is>
          <t>VÄSTERBOTTENS LÄN</t>
        </is>
      </c>
      <c r="E1201" t="inlineStr">
        <is>
          <t>VILHELMINA</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30340-2024</t>
        </is>
      </c>
      <c r="B1202" s="1" t="n">
        <v>45491</v>
      </c>
      <c r="C1202" s="1" t="n">
        <v>45628</v>
      </c>
      <c r="D1202" t="inlineStr">
        <is>
          <t>VÄSTERBOTTENS LÄN</t>
        </is>
      </c>
      <c r="E1202" t="inlineStr">
        <is>
          <t>VILHELMINA</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30341-2024</t>
        </is>
      </c>
      <c r="B1203" s="1" t="n">
        <v>45491</v>
      </c>
      <c r="C1203" s="1" t="n">
        <v>45628</v>
      </c>
      <c r="D1203" t="inlineStr">
        <is>
          <t>VÄSTERBOTTENS LÄN</t>
        </is>
      </c>
      <c r="E1203" t="inlineStr">
        <is>
          <t>VILHELMINA</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30583-2024</t>
        </is>
      </c>
      <c r="B1204" s="1" t="n">
        <v>45493</v>
      </c>
      <c r="C1204" s="1" t="n">
        <v>45628</v>
      </c>
      <c r="D1204" t="inlineStr">
        <is>
          <t>VÄSTERBOTTENS LÄN</t>
        </is>
      </c>
      <c r="E1204" t="inlineStr">
        <is>
          <t>VILHELMINA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30577-2024</t>
        </is>
      </c>
      <c r="B1205" s="1" t="n">
        <v>45493</v>
      </c>
      <c r="C1205" s="1" t="n">
        <v>45628</v>
      </c>
      <c r="D1205" t="inlineStr">
        <is>
          <t>VÄSTERBOTTENS LÄN</t>
        </is>
      </c>
      <c r="E1205" t="inlineStr">
        <is>
          <t>VILHELMINA</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30574-2024</t>
        </is>
      </c>
      <c r="B1206" s="1" t="n">
        <v>45493</v>
      </c>
      <c r="C1206" s="1" t="n">
        <v>45628</v>
      </c>
      <c r="D1206" t="inlineStr">
        <is>
          <t>VÄSTERBOTTENS LÄN</t>
        </is>
      </c>
      <c r="E1206" t="inlineStr">
        <is>
          <t>VILHELMINA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30578-2024</t>
        </is>
      </c>
      <c r="B1207" s="1" t="n">
        <v>45493</v>
      </c>
      <c r="C1207" s="1" t="n">
        <v>45628</v>
      </c>
      <c r="D1207" t="inlineStr">
        <is>
          <t>VÄSTERBOTTENS LÄN</t>
        </is>
      </c>
      <c r="E1207" t="inlineStr">
        <is>
          <t>VILHELMINA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30582-2024</t>
        </is>
      </c>
      <c r="B1208" s="1" t="n">
        <v>45492</v>
      </c>
      <c r="C1208" s="1" t="n">
        <v>45628</v>
      </c>
      <c r="D1208" t="inlineStr">
        <is>
          <t>VÄSTERBOTTENS LÄN</t>
        </is>
      </c>
      <c r="E1208" t="inlineStr">
        <is>
          <t>VILHELMINA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30575-2024</t>
        </is>
      </c>
      <c r="B1209" s="1" t="n">
        <v>45493</v>
      </c>
      <c r="C1209" s="1" t="n">
        <v>45628</v>
      </c>
      <c r="D1209" t="inlineStr">
        <is>
          <t>VÄSTERBOTTENS LÄN</t>
        </is>
      </c>
      <c r="E1209" t="inlineStr">
        <is>
          <t>VILHELMINA</t>
        </is>
      </c>
      <c r="F1209" t="inlineStr">
        <is>
          <t>SCA</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30572-2024</t>
        </is>
      </c>
      <c r="B1210" s="1" t="n">
        <v>45493</v>
      </c>
      <c r="C1210" s="1" t="n">
        <v>45628</v>
      </c>
      <c r="D1210" t="inlineStr">
        <is>
          <t>VÄSTERBOTTENS LÄN</t>
        </is>
      </c>
      <c r="E1210" t="inlineStr">
        <is>
          <t>VILHELMINA</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30576-2024</t>
        </is>
      </c>
      <c r="B1211" s="1" t="n">
        <v>45493</v>
      </c>
      <c r="C1211" s="1" t="n">
        <v>45628</v>
      </c>
      <c r="D1211" t="inlineStr">
        <is>
          <t>VÄSTERBOTTENS LÄN</t>
        </is>
      </c>
      <c r="E1211" t="inlineStr">
        <is>
          <t>VILHELMINA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30580-2024</t>
        </is>
      </c>
      <c r="B1212" s="1" t="n">
        <v>45493</v>
      </c>
      <c r="C1212" s="1" t="n">
        <v>45628</v>
      </c>
      <c r="D1212" t="inlineStr">
        <is>
          <t>VÄSTERBOTTENS LÄN</t>
        </is>
      </c>
      <c r="E1212" t="inlineStr">
        <is>
          <t>VILHELMINA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30681-2024</t>
        </is>
      </c>
      <c r="B1213" s="1" t="n">
        <v>45496</v>
      </c>
      <c r="C1213" s="1" t="n">
        <v>45628</v>
      </c>
      <c r="D1213" t="inlineStr">
        <is>
          <t>VÄSTERBOTTENS LÄN</t>
        </is>
      </c>
      <c r="E1213" t="inlineStr">
        <is>
          <t>VILHELMINA</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30817-2024</t>
        </is>
      </c>
      <c r="B1214" s="1" t="n">
        <v>45497</v>
      </c>
      <c r="C1214" s="1" t="n">
        <v>45628</v>
      </c>
      <c r="D1214" t="inlineStr">
        <is>
          <t>VÄSTERBOTTENS LÄN</t>
        </is>
      </c>
      <c r="E1214" t="inlineStr">
        <is>
          <t>VILHELMINA</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31095-2024</t>
        </is>
      </c>
      <c r="B1215" s="1" t="n">
        <v>45502</v>
      </c>
      <c r="C1215" s="1" t="n">
        <v>45628</v>
      </c>
      <c r="D1215" t="inlineStr">
        <is>
          <t>VÄSTERBOTTENS LÄN</t>
        </is>
      </c>
      <c r="E1215" t="inlineStr">
        <is>
          <t>VILHELMINA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31458-2024</t>
        </is>
      </c>
      <c r="B1216" s="1" t="n">
        <v>45506</v>
      </c>
      <c r="C1216" s="1" t="n">
        <v>45628</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31449-2024</t>
        </is>
      </c>
      <c r="B1217" s="1" t="n">
        <v>45506</v>
      </c>
      <c r="C1217" s="1" t="n">
        <v>45628</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31461-2024</t>
        </is>
      </c>
      <c r="B1218" s="1" t="n">
        <v>45506</v>
      </c>
      <c r="C1218" s="1" t="n">
        <v>45628</v>
      </c>
      <c r="D1218" t="inlineStr">
        <is>
          <t>VÄSTERBOTTENS LÄN</t>
        </is>
      </c>
      <c r="E1218" t="inlineStr">
        <is>
          <t>VILHELMINA</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31455-2024</t>
        </is>
      </c>
      <c r="B1219" s="1" t="n">
        <v>45506</v>
      </c>
      <c r="C1219" s="1" t="n">
        <v>45628</v>
      </c>
      <c r="D1219" t="inlineStr">
        <is>
          <t>VÄSTERBOTTENS LÄN</t>
        </is>
      </c>
      <c r="E1219" t="inlineStr">
        <is>
          <t>VILHELMINA</t>
        </is>
      </c>
      <c r="F1219" t="inlineStr">
        <is>
          <t>SCA</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31696-2024</t>
        </is>
      </c>
      <c r="B1220" s="1" t="n">
        <v>45508</v>
      </c>
      <c r="C1220" s="1" t="n">
        <v>45628</v>
      </c>
      <c r="D1220" t="inlineStr">
        <is>
          <t>VÄSTERBOTTENS LÄN</t>
        </is>
      </c>
      <c r="E1220" t="inlineStr">
        <is>
          <t>VILHELMINA</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31851-2024</t>
        </is>
      </c>
      <c r="B1221" s="1" t="n">
        <v>45509</v>
      </c>
      <c r="C1221" s="1" t="n">
        <v>45628</v>
      </c>
      <c r="D1221" t="inlineStr">
        <is>
          <t>VÄSTERBOTTENS LÄN</t>
        </is>
      </c>
      <c r="E1221" t="inlineStr">
        <is>
          <t>VILHELMINA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31868-2024</t>
        </is>
      </c>
      <c r="B1222" s="1" t="n">
        <v>45509</v>
      </c>
      <c r="C1222" s="1" t="n">
        <v>45628</v>
      </c>
      <c r="D1222" t="inlineStr">
        <is>
          <t>VÄSTERBOTTENS LÄN</t>
        </is>
      </c>
      <c r="E1222" t="inlineStr">
        <is>
          <t>VILHELMINA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31896-2024</t>
        </is>
      </c>
      <c r="B1223" s="1" t="n">
        <v>45510</v>
      </c>
      <c r="C1223" s="1" t="n">
        <v>45628</v>
      </c>
      <c r="D1223" t="inlineStr">
        <is>
          <t>VÄSTERBOTTENS LÄN</t>
        </is>
      </c>
      <c r="E1223" t="inlineStr">
        <is>
          <t>VILHELMINA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31895-2024</t>
        </is>
      </c>
      <c r="B1224" s="1" t="n">
        <v>45510</v>
      </c>
      <c r="C1224" s="1" t="n">
        <v>45628</v>
      </c>
      <c r="D1224" t="inlineStr">
        <is>
          <t>VÄSTERBOTTENS LÄN</t>
        </is>
      </c>
      <c r="E1224" t="inlineStr">
        <is>
          <t>VILHELMINA</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31897-2024</t>
        </is>
      </c>
      <c r="B1225" s="1" t="n">
        <v>45509</v>
      </c>
      <c r="C1225" s="1" t="n">
        <v>45628</v>
      </c>
      <c r="D1225" t="inlineStr">
        <is>
          <t>VÄSTERBOTTENS LÄN</t>
        </is>
      </c>
      <c r="E1225" t="inlineStr">
        <is>
          <t>VILHELMINA</t>
        </is>
      </c>
      <c r="F1225" t="inlineStr">
        <is>
          <t>SCA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32252-2024</t>
        </is>
      </c>
      <c r="B1226" s="1" t="n">
        <v>45511</v>
      </c>
      <c r="C1226" s="1" t="n">
        <v>45628</v>
      </c>
      <c r="D1226" t="inlineStr">
        <is>
          <t>VÄSTERBOTTENS LÄN</t>
        </is>
      </c>
      <c r="E1226" t="inlineStr">
        <is>
          <t>VILHELMINA</t>
        </is>
      </c>
      <c r="F1226" t="inlineStr">
        <is>
          <t>SCA</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32253-2024</t>
        </is>
      </c>
      <c r="B1227" s="1" t="n">
        <v>45512</v>
      </c>
      <c r="C1227" s="1" t="n">
        <v>45628</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32455-2024</t>
        </is>
      </c>
      <c r="B1228" s="1" t="n">
        <v>45513</v>
      </c>
      <c r="C1228" s="1" t="n">
        <v>45628</v>
      </c>
      <c r="D1228" t="inlineStr">
        <is>
          <t>VÄSTERBOTTENS LÄN</t>
        </is>
      </c>
      <c r="E1228" t="inlineStr">
        <is>
          <t>VILHELMINA</t>
        </is>
      </c>
      <c r="F1228" t="inlineStr">
        <is>
          <t>SCA</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32683-2024</t>
        </is>
      </c>
      <c r="B1229" s="1" t="n">
        <v>45515</v>
      </c>
      <c r="C1229" s="1" t="n">
        <v>45628</v>
      </c>
      <c r="D1229" t="inlineStr">
        <is>
          <t>VÄSTERBOTTENS LÄN</t>
        </is>
      </c>
      <c r="E1229" t="inlineStr">
        <is>
          <t>VILHELMINA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32901-2024</t>
        </is>
      </c>
      <c r="B1230" s="1" t="n">
        <v>45517</v>
      </c>
      <c r="C1230" s="1" t="n">
        <v>45628</v>
      </c>
      <c r="D1230" t="inlineStr">
        <is>
          <t>VÄSTERBOTTENS LÄN</t>
        </is>
      </c>
      <c r="E1230" t="inlineStr">
        <is>
          <t>VILHELMINA</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32926-2024</t>
        </is>
      </c>
      <c r="B1231" s="1" t="n">
        <v>45517</v>
      </c>
      <c r="C1231" s="1" t="n">
        <v>45628</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32921-2024</t>
        </is>
      </c>
      <c r="B1232" s="1" t="n">
        <v>45517</v>
      </c>
      <c r="C1232" s="1" t="n">
        <v>45628</v>
      </c>
      <c r="D1232" t="inlineStr">
        <is>
          <t>VÄSTERBOTTENS LÄN</t>
        </is>
      </c>
      <c r="E1232" t="inlineStr">
        <is>
          <t>VILHELMINA</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32925-2024</t>
        </is>
      </c>
      <c r="B1233" s="1" t="n">
        <v>45517</v>
      </c>
      <c r="C1233" s="1" t="n">
        <v>45628</v>
      </c>
      <c r="D1233" t="inlineStr">
        <is>
          <t>VÄSTERBOTTENS LÄN</t>
        </is>
      </c>
      <c r="E1233" t="inlineStr">
        <is>
          <t>VILHELMINA</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33319-2024</t>
        </is>
      </c>
      <c r="B1234" s="1" t="n">
        <v>45518</v>
      </c>
      <c r="C1234" s="1" t="n">
        <v>45628</v>
      </c>
      <c r="D1234" t="inlineStr">
        <is>
          <t>VÄSTERBOTTENS LÄN</t>
        </is>
      </c>
      <c r="E1234" t="inlineStr">
        <is>
          <t>VILHELMINA</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33320-2024</t>
        </is>
      </c>
      <c r="B1235" s="1" t="n">
        <v>45518</v>
      </c>
      <c r="C1235" s="1" t="n">
        <v>45628</v>
      </c>
      <c r="D1235" t="inlineStr">
        <is>
          <t>VÄSTERBOTTENS LÄN</t>
        </is>
      </c>
      <c r="E1235" t="inlineStr">
        <is>
          <t>VILHELMINA</t>
        </is>
      </c>
      <c r="F1235" t="inlineStr">
        <is>
          <t>SCA</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33321-2024</t>
        </is>
      </c>
      <c r="B1236" s="1" t="n">
        <v>45519</v>
      </c>
      <c r="C1236" s="1" t="n">
        <v>45628</v>
      </c>
      <c r="D1236" t="inlineStr">
        <is>
          <t>VÄSTERBOTTENS LÄN</t>
        </is>
      </c>
      <c r="E1236" t="inlineStr">
        <is>
          <t>VILHELMINA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33322-2024</t>
        </is>
      </c>
      <c r="B1237" s="1" t="n">
        <v>45518</v>
      </c>
      <c r="C1237" s="1" t="n">
        <v>45628</v>
      </c>
      <c r="D1237" t="inlineStr">
        <is>
          <t>VÄSTERBOTTENS LÄN</t>
        </is>
      </c>
      <c r="E1237" t="inlineStr">
        <is>
          <t>VILHELMINA</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33318-2024</t>
        </is>
      </c>
      <c r="B1238" s="1" t="n">
        <v>45519</v>
      </c>
      <c r="C1238" s="1" t="n">
        <v>45628</v>
      </c>
      <c r="D1238" t="inlineStr">
        <is>
          <t>VÄSTERBOTTENS LÄN</t>
        </is>
      </c>
      <c r="E1238" t="inlineStr">
        <is>
          <t>VILHELMINA</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33630-2024</t>
        </is>
      </c>
      <c r="B1239" s="1" t="n">
        <v>45520</v>
      </c>
      <c r="C1239" s="1" t="n">
        <v>45628</v>
      </c>
      <c r="D1239" t="inlineStr">
        <is>
          <t>VÄSTERBOTTENS LÄN</t>
        </is>
      </c>
      <c r="E1239" t="inlineStr">
        <is>
          <t>VILHELMINA</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33755-2024</t>
        </is>
      </c>
      <c r="B1240" s="1" t="n">
        <v>45520</v>
      </c>
      <c r="C1240" s="1" t="n">
        <v>45628</v>
      </c>
      <c r="D1240" t="inlineStr">
        <is>
          <t>VÄSTERBOTTENS LÄN</t>
        </is>
      </c>
      <c r="E1240" t="inlineStr">
        <is>
          <t>VILHELMINA</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33828-2024</t>
        </is>
      </c>
      <c r="B1241" s="1" t="n">
        <v>45520</v>
      </c>
      <c r="C1241" s="1" t="n">
        <v>45628</v>
      </c>
      <c r="D1241" t="inlineStr">
        <is>
          <t>VÄSTERBOTTENS LÄN</t>
        </is>
      </c>
      <c r="E1241" t="inlineStr">
        <is>
          <t>VILHELMINA</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33786-2024</t>
        </is>
      </c>
      <c r="B1242" s="1" t="n">
        <v>45520</v>
      </c>
      <c r="C1242" s="1" t="n">
        <v>45628</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33823-2024</t>
        </is>
      </c>
      <c r="B1243" s="1" t="n">
        <v>45520</v>
      </c>
      <c r="C1243" s="1" t="n">
        <v>45628</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34135-2024</t>
        </is>
      </c>
      <c r="B1244" s="1" t="n">
        <v>45524</v>
      </c>
      <c r="C1244" s="1" t="n">
        <v>45628</v>
      </c>
      <c r="D1244" t="inlineStr">
        <is>
          <t>VÄSTERBOTTENS LÄN</t>
        </is>
      </c>
      <c r="E1244" t="inlineStr">
        <is>
          <t>VILHELMINA</t>
        </is>
      </c>
      <c r="F1244" t="inlineStr">
        <is>
          <t>Sveaskog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34130-2024</t>
        </is>
      </c>
      <c r="B1245" s="1" t="n">
        <v>45524</v>
      </c>
      <c r="C1245" s="1" t="n">
        <v>45628</v>
      </c>
      <c r="D1245" t="inlineStr">
        <is>
          <t>VÄSTERBOTTENS LÄN</t>
        </is>
      </c>
      <c r="E1245" t="inlineStr">
        <is>
          <t>VILHELMINA</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34762-2024</t>
        </is>
      </c>
      <c r="B1246" s="1" t="n">
        <v>45526</v>
      </c>
      <c r="C1246" s="1" t="n">
        <v>45628</v>
      </c>
      <c r="D1246" t="inlineStr">
        <is>
          <t>VÄSTERBOTTENS LÄN</t>
        </is>
      </c>
      <c r="E1246" t="inlineStr">
        <is>
          <t>VILHELMINA</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34819-2024</t>
        </is>
      </c>
      <c r="B1247" s="1" t="n">
        <v>45526</v>
      </c>
      <c r="C1247" s="1" t="n">
        <v>45628</v>
      </c>
      <c r="D1247" t="inlineStr">
        <is>
          <t>VÄSTERBOTTENS LÄN</t>
        </is>
      </c>
      <c r="E1247" t="inlineStr">
        <is>
          <t>VILHELMINA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34743-2024</t>
        </is>
      </c>
      <c r="B1248" s="1" t="n">
        <v>45526</v>
      </c>
      <c r="C1248" s="1" t="n">
        <v>45628</v>
      </c>
      <c r="D1248" t="inlineStr">
        <is>
          <t>VÄSTERBOTTENS LÄN</t>
        </is>
      </c>
      <c r="E1248" t="inlineStr">
        <is>
          <t>VILHELMINA</t>
        </is>
      </c>
      <c r="F1248" t="inlineStr">
        <is>
          <t>SCA</t>
        </is>
      </c>
      <c r="G1248" t="n">
        <v>28.2</v>
      </c>
      <c r="H1248" t="n">
        <v>0</v>
      </c>
      <c r="I1248" t="n">
        <v>0</v>
      </c>
      <c r="J1248" t="n">
        <v>0</v>
      </c>
      <c r="K1248" t="n">
        <v>0</v>
      </c>
      <c r="L1248" t="n">
        <v>0</v>
      </c>
      <c r="M1248" t="n">
        <v>0</v>
      </c>
      <c r="N1248" t="n">
        <v>0</v>
      </c>
      <c r="O1248" t="n">
        <v>0</v>
      </c>
      <c r="P1248" t="n">
        <v>0</v>
      </c>
      <c r="Q1248" t="n">
        <v>0</v>
      </c>
      <c r="R1248" s="2" t="inlineStr"/>
    </row>
    <row r="1249" ht="15" customHeight="1">
      <c r="A1249" t="inlineStr">
        <is>
          <t>A 34763-2024</t>
        </is>
      </c>
      <c r="B1249" s="1" t="n">
        <v>45526</v>
      </c>
      <c r="C1249" s="1" t="n">
        <v>45628</v>
      </c>
      <c r="D1249" t="inlineStr">
        <is>
          <t>VÄSTERBOTTENS LÄN</t>
        </is>
      </c>
      <c r="E1249" t="inlineStr">
        <is>
          <t>VILHELMINA</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34630-2024</t>
        </is>
      </c>
      <c r="B1250" s="1" t="n">
        <v>45526</v>
      </c>
      <c r="C1250" s="1" t="n">
        <v>45628</v>
      </c>
      <c r="D1250" t="inlineStr">
        <is>
          <t>VÄSTERBOTTENS LÄN</t>
        </is>
      </c>
      <c r="E1250" t="inlineStr">
        <is>
          <t>VILHELMINA</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34719-2024</t>
        </is>
      </c>
      <c r="B1251" s="1" t="n">
        <v>45526</v>
      </c>
      <c r="C1251" s="1" t="n">
        <v>45628</v>
      </c>
      <c r="D1251" t="inlineStr">
        <is>
          <t>VÄSTERBOTTENS LÄN</t>
        </is>
      </c>
      <c r="E1251" t="inlineStr">
        <is>
          <t>VILHELMINA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34764-2024</t>
        </is>
      </c>
      <c r="B1252" s="1" t="n">
        <v>45526</v>
      </c>
      <c r="C1252" s="1" t="n">
        <v>45628</v>
      </c>
      <c r="D1252" t="inlineStr">
        <is>
          <t>VÄSTERBOTTENS LÄN</t>
        </is>
      </c>
      <c r="E1252" t="inlineStr">
        <is>
          <t>VILHELMINA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35156-2024</t>
        </is>
      </c>
      <c r="B1253" s="1" t="n">
        <v>45530</v>
      </c>
      <c r="C1253" s="1" t="n">
        <v>45628</v>
      </c>
      <c r="D1253" t="inlineStr">
        <is>
          <t>VÄSTERBOTTENS LÄN</t>
        </is>
      </c>
      <c r="E1253" t="inlineStr">
        <is>
          <t>VILHELMINA</t>
        </is>
      </c>
      <c r="F1253" t="inlineStr">
        <is>
          <t>Övriga Aktiebolag</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35372-2024</t>
        </is>
      </c>
      <c r="B1254" s="1" t="n">
        <v>45531</v>
      </c>
      <c r="C1254" s="1" t="n">
        <v>45628</v>
      </c>
      <c r="D1254" t="inlineStr">
        <is>
          <t>VÄSTERBOTTENS LÄN</t>
        </is>
      </c>
      <c r="E1254" t="inlineStr">
        <is>
          <t>VILHELMINA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35377-2024</t>
        </is>
      </c>
      <c r="B1255" s="1" t="n">
        <v>45531</v>
      </c>
      <c r="C1255" s="1" t="n">
        <v>45628</v>
      </c>
      <c r="D1255" t="inlineStr">
        <is>
          <t>VÄSTERBOTTENS LÄN</t>
        </is>
      </c>
      <c r="E1255" t="inlineStr">
        <is>
          <t>VILHELMINA</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35393-2024</t>
        </is>
      </c>
      <c r="B1256" s="1" t="n">
        <v>45531</v>
      </c>
      <c r="C1256" s="1" t="n">
        <v>45628</v>
      </c>
      <c r="D1256" t="inlineStr">
        <is>
          <t>VÄSTERBOTTENS LÄN</t>
        </is>
      </c>
      <c r="E1256" t="inlineStr">
        <is>
          <t>VILHELMINA</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35409-2024</t>
        </is>
      </c>
      <c r="B1257" s="1" t="n">
        <v>45531</v>
      </c>
      <c r="C1257" s="1" t="n">
        <v>45628</v>
      </c>
      <c r="D1257" t="inlineStr">
        <is>
          <t>VÄSTERBOTTENS LÄN</t>
        </is>
      </c>
      <c r="E1257" t="inlineStr">
        <is>
          <t>VILHELMINA</t>
        </is>
      </c>
      <c r="F1257" t="inlineStr">
        <is>
          <t>SCA</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35473-2024</t>
        </is>
      </c>
      <c r="B1258" s="1" t="n">
        <v>45531</v>
      </c>
      <c r="C1258" s="1" t="n">
        <v>45628</v>
      </c>
      <c r="D1258" t="inlineStr">
        <is>
          <t>VÄSTERBOTTENS LÄN</t>
        </is>
      </c>
      <c r="E1258" t="inlineStr">
        <is>
          <t>VILHELMINA</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35412-2024</t>
        </is>
      </c>
      <c r="B1259" s="1" t="n">
        <v>45531</v>
      </c>
      <c r="C1259" s="1" t="n">
        <v>45628</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36320-2024</t>
        </is>
      </c>
      <c r="B1260" s="1" t="n">
        <v>45534</v>
      </c>
      <c r="C1260" s="1" t="n">
        <v>45628</v>
      </c>
      <c r="D1260" t="inlineStr">
        <is>
          <t>VÄSTERBOTTENS LÄN</t>
        </is>
      </c>
      <c r="E1260" t="inlineStr">
        <is>
          <t>VILHELMINA</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36293-2024</t>
        </is>
      </c>
      <c r="B1261" s="1" t="n">
        <v>45534</v>
      </c>
      <c r="C1261" s="1" t="n">
        <v>45628</v>
      </c>
      <c r="D1261" t="inlineStr">
        <is>
          <t>VÄSTERBOTTENS LÄN</t>
        </is>
      </c>
      <c r="E1261" t="inlineStr">
        <is>
          <t>VILHELMINA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36301-2024</t>
        </is>
      </c>
      <c r="B1262" s="1" t="n">
        <v>45534</v>
      </c>
      <c r="C1262" s="1" t="n">
        <v>45628</v>
      </c>
      <c r="D1262" t="inlineStr">
        <is>
          <t>VÄSTERBOTTENS LÄN</t>
        </is>
      </c>
      <c r="E1262" t="inlineStr">
        <is>
          <t>VILHELMINA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36333-2024</t>
        </is>
      </c>
      <c r="B1263" s="1" t="n">
        <v>45534</v>
      </c>
      <c r="C1263" s="1" t="n">
        <v>45628</v>
      </c>
      <c r="D1263" t="inlineStr">
        <is>
          <t>VÄSTERBOTTENS LÄN</t>
        </is>
      </c>
      <c r="E1263" t="inlineStr">
        <is>
          <t>VILHELMINA</t>
        </is>
      </c>
      <c r="F1263" t="inlineStr">
        <is>
          <t>SCA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36323-2024</t>
        </is>
      </c>
      <c r="B1264" s="1" t="n">
        <v>45534</v>
      </c>
      <c r="C1264" s="1" t="n">
        <v>45628</v>
      </c>
      <c r="D1264" t="inlineStr">
        <is>
          <t>VÄSTERBOTTENS LÄN</t>
        </is>
      </c>
      <c r="E1264" t="inlineStr">
        <is>
          <t>VILHELMINA</t>
        </is>
      </c>
      <c r="F1264" t="inlineStr">
        <is>
          <t>SCA</t>
        </is>
      </c>
      <c r="G1264" t="n">
        <v>29.7</v>
      </c>
      <c r="H1264" t="n">
        <v>0</v>
      </c>
      <c r="I1264" t="n">
        <v>0</v>
      </c>
      <c r="J1264" t="n">
        <v>0</v>
      </c>
      <c r="K1264" t="n">
        <v>0</v>
      </c>
      <c r="L1264" t="n">
        <v>0</v>
      </c>
      <c r="M1264" t="n">
        <v>0</v>
      </c>
      <c r="N1264" t="n">
        <v>0</v>
      </c>
      <c r="O1264" t="n">
        <v>0</v>
      </c>
      <c r="P1264" t="n">
        <v>0</v>
      </c>
      <c r="Q1264" t="n">
        <v>0</v>
      </c>
      <c r="R1264" s="2" t="inlineStr"/>
    </row>
    <row r="1265" ht="15" customHeight="1">
      <c r="A1265" t="inlineStr">
        <is>
          <t>A 36355-2024</t>
        </is>
      </c>
      <c r="B1265" s="1" t="n">
        <v>45534</v>
      </c>
      <c r="C1265" s="1" t="n">
        <v>45628</v>
      </c>
      <c r="D1265" t="inlineStr">
        <is>
          <t>VÄSTERBOTTENS LÄN</t>
        </is>
      </c>
      <c r="E1265" t="inlineStr">
        <is>
          <t>VILHELMINA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36349-2024</t>
        </is>
      </c>
      <c r="B1266" s="1" t="n">
        <v>45534</v>
      </c>
      <c r="C1266" s="1" t="n">
        <v>45628</v>
      </c>
      <c r="D1266" t="inlineStr">
        <is>
          <t>VÄSTERBOTTENS LÄN</t>
        </is>
      </c>
      <c r="E1266" t="inlineStr">
        <is>
          <t>VILHELMINA</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36348-2024</t>
        </is>
      </c>
      <c r="B1267" s="1" t="n">
        <v>45534</v>
      </c>
      <c r="C1267" s="1" t="n">
        <v>45628</v>
      </c>
      <c r="D1267" t="inlineStr">
        <is>
          <t>VÄSTERBOTTENS LÄN</t>
        </is>
      </c>
      <c r="E1267" t="inlineStr">
        <is>
          <t>VILHELMINA</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36788-2024</t>
        </is>
      </c>
      <c r="B1268" s="1" t="n">
        <v>45538</v>
      </c>
      <c r="C1268" s="1" t="n">
        <v>45628</v>
      </c>
      <c r="D1268" t="inlineStr">
        <is>
          <t>VÄSTERBOTTENS LÄN</t>
        </is>
      </c>
      <c r="E1268" t="inlineStr">
        <is>
          <t>VILHELMINA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36909-2024</t>
        </is>
      </c>
      <c r="B1269" s="1" t="n">
        <v>45538</v>
      </c>
      <c r="C1269" s="1" t="n">
        <v>45628</v>
      </c>
      <c r="D1269" t="inlineStr">
        <is>
          <t>VÄSTERBOTTENS LÄN</t>
        </is>
      </c>
      <c r="E1269" t="inlineStr">
        <is>
          <t>VILHELMINA</t>
        </is>
      </c>
      <c r="F1269" t="inlineStr">
        <is>
          <t>SCA</t>
        </is>
      </c>
      <c r="G1269" t="n">
        <v>16.8</v>
      </c>
      <c r="H1269" t="n">
        <v>0</v>
      </c>
      <c r="I1269" t="n">
        <v>0</v>
      </c>
      <c r="J1269" t="n">
        <v>0</v>
      </c>
      <c r="K1269" t="n">
        <v>0</v>
      </c>
      <c r="L1269" t="n">
        <v>0</v>
      </c>
      <c r="M1269" t="n">
        <v>0</v>
      </c>
      <c r="N1269" t="n">
        <v>0</v>
      </c>
      <c r="O1269" t="n">
        <v>0</v>
      </c>
      <c r="P1269" t="n">
        <v>0</v>
      </c>
      <c r="Q1269" t="n">
        <v>0</v>
      </c>
      <c r="R1269" s="2" t="inlineStr"/>
    </row>
    <row r="1270" ht="15" customHeight="1">
      <c r="A1270" t="inlineStr">
        <is>
          <t>A 37272-2024</t>
        </is>
      </c>
      <c r="B1270" s="1" t="n">
        <v>45540</v>
      </c>
      <c r="C1270" s="1" t="n">
        <v>45628</v>
      </c>
      <c r="D1270" t="inlineStr">
        <is>
          <t>VÄSTERBOTTENS LÄN</t>
        </is>
      </c>
      <c r="E1270" t="inlineStr">
        <is>
          <t>VILHELMINA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37346-2024</t>
        </is>
      </c>
      <c r="B1271" s="1" t="n">
        <v>45540</v>
      </c>
      <c r="C1271" s="1" t="n">
        <v>45628</v>
      </c>
      <c r="D1271" t="inlineStr">
        <is>
          <t>VÄSTERBOTTENS LÄN</t>
        </is>
      </c>
      <c r="E1271" t="inlineStr">
        <is>
          <t>VILHELMINA</t>
        </is>
      </c>
      <c r="G1271" t="n">
        <v>100.3</v>
      </c>
      <c r="H1271" t="n">
        <v>0</v>
      </c>
      <c r="I1271" t="n">
        <v>0</v>
      </c>
      <c r="J1271" t="n">
        <v>0</v>
      </c>
      <c r="K1271" t="n">
        <v>0</v>
      </c>
      <c r="L1271" t="n">
        <v>0</v>
      </c>
      <c r="M1271" t="n">
        <v>0</v>
      </c>
      <c r="N1271" t="n">
        <v>0</v>
      </c>
      <c r="O1271" t="n">
        <v>0</v>
      </c>
      <c r="P1271" t="n">
        <v>0</v>
      </c>
      <c r="Q1271" t="n">
        <v>0</v>
      </c>
      <c r="R1271" s="2" t="inlineStr"/>
    </row>
    <row r="1272" ht="15" customHeight="1">
      <c r="A1272" t="inlineStr">
        <is>
          <t>A 37514-2024</t>
        </is>
      </c>
      <c r="B1272" s="1" t="n">
        <v>45541</v>
      </c>
      <c r="C1272" s="1" t="n">
        <v>45628</v>
      </c>
      <c r="D1272" t="inlineStr">
        <is>
          <t>VÄSTERBOTTENS LÄN</t>
        </is>
      </c>
      <c r="E1272" t="inlineStr">
        <is>
          <t>VILHELMINA</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37715-2024</t>
        </is>
      </c>
      <c r="B1273" s="1" t="n">
        <v>45541</v>
      </c>
      <c r="C1273" s="1" t="n">
        <v>45628</v>
      </c>
      <c r="D1273" t="inlineStr">
        <is>
          <t>VÄSTERBOTTENS LÄN</t>
        </is>
      </c>
      <c r="E1273" t="inlineStr">
        <is>
          <t>VILHELMINA</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37714-2024</t>
        </is>
      </c>
      <c r="B1274" s="1" t="n">
        <v>45541</v>
      </c>
      <c r="C1274" s="1" t="n">
        <v>45628</v>
      </c>
      <c r="D1274" t="inlineStr">
        <is>
          <t>VÄSTERBOTTENS LÄN</t>
        </is>
      </c>
      <c r="E1274" t="inlineStr">
        <is>
          <t>VILHELMINA</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37717-2024</t>
        </is>
      </c>
      <c r="B1275" s="1" t="n">
        <v>45541</v>
      </c>
      <c r="C1275" s="1" t="n">
        <v>45628</v>
      </c>
      <c r="D1275" t="inlineStr">
        <is>
          <t>VÄSTERBOTTENS LÄN</t>
        </is>
      </c>
      <c r="E1275" t="inlineStr">
        <is>
          <t>VILHELMINA</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37716-2024</t>
        </is>
      </c>
      <c r="B1276" s="1" t="n">
        <v>45541</v>
      </c>
      <c r="C1276" s="1" t="n">
        <v>45628</v>
      </c>
      <c r="D1276" t="inlineStr">
        <is>
          <t>VÄSTERBOTTENS LÄN</t>
        </is>
      </c>
      <c r="E1276" t="inlineStr">
        <is>
          <t>VILHELMINA</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38125-2024</t>
        </is>
      </c>
      <c r="B1277" s="1" t="n">
        <v>45545</v>
      </c>
      <c r="C1277" s="1" t="n">
        <v>45628</v>
      </c>
      <c r="D1277" t="inlineStr">
        <is>
          <t>VÄSTERBOTTENS LÄN</t>
        </is>
      </c>
      <c r="E1277" t="inlineStr">
        <is>
          <t>VILHELMINA</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38130-2024</t>
        </is>
      </c>
      <c r="B1278" s="1" t="n">
        <v>45545</v>
      </c>
      <c r="C1278" s="1" t="n">
        <v>45628</v>
      </c>
      <c r="D1278" t="inlineStr">
        <is>
          <t>VÄSTERBOTTENS LÄN</t>
        </is>
      </c>
      <c r="E1278" t="inlineStr">
        <is>
          <t>VILHELMINA</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38124-2024</t>
        </is>
      </c>
      <c r="B1279" s="1" t="n">
        <v>45545</v>
      </c>
      <c r="C1279" s="1" t="n">
        <v>45628</v>
      </c>
      <c r="D1279" t="inlineStr">
        <is>
          <t>VÄSTERBOTTENS LÄN</t>
        </is>
      </c>
      <c r="E1279" t="inlineStr">
        <is>
          <t>VILHELMINA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38126-2024</t>
        </is>
      </c>
      <c r="B1280" s="1" t="n">
        <v>45545</v>
      </c>
      <c r="C1280" s="1" t="n">
        <v>45628</v>
      </c>
      <c r="D1280" t="inlineStr">
        <is>
          <t>VÄSTERBOTTENS LÄN</t>
        </is>
      </c>
      <c r="E1280" t="inlineStr">
        <is>
          <t>VILHELMINA</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38131-2024</t>
        </is>
      </c>
      <c r="B1281" s="1" t="n">
        <v>45545</v>
      </c>
      <c r="C1281" s="1" t="n">
        <v>45628</v>
      </c>
      <c r="D1281" t="inlineStr">
        <is>
          <t>VÄSTERBOTTENS LÄN</t>
        </is>
      </c>
      <c r="E1281" t="inlineStr">
        <is>
          <t>VILHELMINA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38187-2024</t>
        </is>
      </c>
      <c r="B1282" s="1" t="n">
        <v>45545</v>
      </c>
      <c r="C1282" s="1" t="n">
        <v>45628</v>
      </c>
      <c r="D1282" t="inlineStr">
        <is>
          <t>VÄSTERBOTTENS LÄN</t>
        </is>
      </c>
      <c r="E1282" t="inlineStr">
        <is>
          <t>VILHELMINA</t>
        </is>
      </c>
      <c r="F1282" t="inlineStr">
        <is>
          <t>SCA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38123-2024</t>
        </is>
      </c>
      <c r="B1283" s="1" t="n">
        <v>45545</v>
      </c>
      <c r="C1283" s="1" t="n">
        <v>45628</v>
      </c>
      <c r="D1283" t="inlineStr">
        <is>
          <t>VÄSTERBOTTENS LÄN</t>
        </is>
      </c>
      <c r="E1283" t="inlineStr">
        <is>
          <t>VILHELMINA</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38173-2024</t>
        </is>
      </c>
      <c r="B1284" s="1" t="n">
        <v>45545</v>
      </c>
      <c r="C1284" s="1" t="n">
        <v>45628</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38297-2024</t>
        </is>
      </c>
      <c r="B1285" s="1" t="n">
        <v>45545</v>
      </c>
      <c r="C1285" s="1" t="n">
        <v>45628</v>
      </c>
      <c r="D1285" t="inlineStr">
        <is>
          <t>VÄSTERBOTTENS LÄN</t>
        </is>
      </c>
      <c r="E1285" t="inlineStr">
        <is>
          <t>VILHELMINA</t>
        </is>
      </c>
      <c r="G1285" t="n">
        <v>139.8</v>
      </c>
      <c r="H1285" t="n">
        <v>0</v>
      </c>
      <c r="I1285" t="n">
        <v>0</v>
      </c>
      <c r="J1285" t="n">
        <v>0</v>
      </c>
      <c r="K1285" t="n">
        <v>0</v>
      </c>
      <c r="L1285" t="n">
        <v>0</v>
      </c>
      <c r="M1285" t="n">
        <v>0</v>
      </c>
      <c r="N1285" t="n">
        <v>0</v>
      </c>
      <c r="O1285" t="n">
        <v>0</v>
      </c>
      <c r="P1285" t="n">
        <v>0</v>
      </c>
      <c r="Q1285" t="n">
        <v>0</v>
      </c>
      <c r="R1285" s="2" t="inlineStr"/>
    </row>
    <row r="1286" ht="15" customHeight="1">
      <c r="A1286" t="inlineStr">
        <is>
          <t>A 38222-2024</t>
        </is>
      </c>
      <c r="B1286" s="1" t="n">
        <v>45545</v>
      </c>
      <c r="C1286" s="1" t="n">
        <v>45628</v>
      </c>
      <c r="D1286" t="inlineStr">
        <is>
          <t>VÄSTERBOTTENS LÄN</t>
        </is>
      </c>
      <c r="E1286" t="inlineStr">
        <is>
          <t>VILHELMINA</t>
        </is>
      </c>
      <c r="F1286" t="inlineStr">
        <is>
          <t>Sveaskog</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38569-2024</t>
        </is>
      </c>
      <c r="B1287" s="1" t="n">
        <v>45546</v>
      </c>
      <c r="C1287" s="1" t="n">
        <v>45628</v>
      </c>
      <c r="D1287" t="inlineStr">
        <is>
          <t>VÄSTERBOTTENS LÄN</t>
        </is>
      </c>
      <c r="E1287" t="inlineStr">
        <is>
          <t>VILHELMINA</t>
        </is>
      </c>
      <c r="G1287" t="n">
        <v>31.5</v>
      </c>
      <c r="H1287" t="n">
        <v>0</v>
      </c>
      <c r="I1287" t="n">
        <v>0</v>
      </c>
      <c r="J1287" t="n">
        <v>0</v>
      </c>
      <c r="K1287" t="n">
        <v>0</v>
      </c>
      <c r="L1287" t="n">
        <v>0</v>
      </c>
      <c r="M1287" t="n">
        <v>0</v>
      </c>
      <c r="N1287" t="n">
        <v>0</v>
      </c>
      <c r="O1287" t="n">
        <v>0</v>
      </c>
      <c r="P1287" t="n">
        <v>0</v>
      </c>
      <c r="Q1287" t="n">
        <v>0</v>
      </c>
      <c r="R1287" s="2" t="inlineStr"/>
    </row>
    <row r="1288" ht="15" customHeight="1">
      <c r="A1288" t="inlineStr">
        <is>
          <t>A 38555-2024</t>
        </is>
      </c>
      <c r="B1288" s="1" t="n">
        <v>45546</v>
      </c>
      <c r="C1288" s="1" t="n">
        <v>45628</v>
      </c>
      <c r="D1288" t="inlineStr">
        <is>
          <t>VÄSTERBOTTENS LÄN</t>
        </is>
      </c>
      <c r="E1288" t="inlineStr">
        <is>
          <t>VILHELMINA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39035-2024</t>
        </is>
      </c>
      <c r="B1289" s="1" t="n">
        <v>45548</v>
      </c>
      <c r="C1289" s="1" t="n">
        <v>45628</v>
      </c>
      <c r="D1289" t="inlineStr">
        <is>
          <t>VÄSTERBOTTENS LÄN</t>
        </is>
      </c>
      <c r="E1289" t="inlineStr">
        <is>
          <t>VILHELMINA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39613-2024</t>
        </is>
      </c>
      <c r="B1290" s="1" t="n">
        <v>45552</v>
      </c>
      <c r="C1290" s="1" t="n">
        <v>45628</v>
      </c>
      <c r="D1290" t="inlineStr">
        <is>
          <t>VÄSTERBOTTENS LÄN</t>
        </is>
      </c>
      <c r="E1290" t="inlineStr">
        <is>
          <t>VILHELMINA</t>
        </is>
      </c>
      <c r="G1290" t="n">
        <v>19.1</v>
      </c>
      <c r="H1290" t="n">
        <v>0</v>
      </c>
      <c r="I1290" t="n">
        <v>0</v>
      </c>
      <c r="J1290" t="n">
        <v>0</v>
      </c>
      <c r="K1290" t="n">
        <v>0</v>
      </c>
      <c r="L1290" t="n">
        <v>0</v>
      </c>
      <c r="M1290" t="n">
        <v>0</v>
      </c>
      <c r="N1290" t="n">
        <v>0</v>
      </c>
      <c r="O1290" t="n">
        <v>0</v>
      </c>
      <c r="P1290" t="n">
        <v>0</v>
      </c>
      <c r="Q1290" t="n">
        <v>0</v>
      </c>
      <c r="R1290" s="2" t="inlineStr"/>
    </row>
    <row r="1291" ht="15" customHeight="1">
      <c r="A1291" t="inlineStr">
        <is>
          <t>A 39643-2024</t>
        </is>
      </c>
      <c r="B1291" s="1" t="n">
        <v>45552</v>
      </c>
      <c r="C1291" s="1" t="n">
        <v>45628</v>
      </c>
      <c r="D1291" t="inlineStr">
        <is>
          <t>VÄSTERBOTTENS LÄN</t>
        </is>
      </c>
      <c r="E1291" t="inlineStr">
        <is>
          <t>VILHELMINA</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39679-2024</t>
        </is>
      </c>
      <c r="B1292" s="1" t="n">
        <v>45552</v>
      </c>
      <c r="C1292" s="1" t="n">
        <v>45628</v>
      </c>
      <c r="D1292" t="inlineStr">
        <is>
          <t>VÄSTERBOTTENS LÄN</t>
        </is>
      </c>
      <c r="E1292" t="inlineStr">
        <is>
          <t>VILHELMINA</t>
        </is>
      </c>
      <c r="F1292" t="inlineStr">
        <is>
          <t>SCA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39677-2024</t>
        </is>
      </c>
      <c r="B1293" s="1" t="n">
        <v>45552</v>
      </c>
      <c r="C1293" s="1" t="n">
        <v>45628</v>
      </c>
      <c r="D1293" t="inlineStr">
        <is>
          <t>VÄSTERBOTTENS LÄN</t>
        </is>
      </c>
      <c r="E1293" t="inlineStr">
        <is>
          <t>VILHELMINA</t>
        </is>
      </c>
      <c r="F1293" t="inlineStr">
        <is>
          <t>SCA</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39681-2024</t>
        </is>
      </c>
      <c r="B1294" s="1" t="n">
        <v>45552</v>
      </c>
      <c r="C1294" s="1" t="n">
        <v>45628</v>
      </c>
      <c r="D1294" t="inlineStr">
        <is>
          <t>VÄSTERBOTTENS LÄN</t>
        </is>
      </c>
      <c r="E1294" t="inlineStr">
        <is>
          <t>VILHELMINA</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39670-2024</t>
        </is>
      </c>
      <c r="B1295" s="1" t="n">
        <v>45552</v>
      </c>
      <c r="C1295" s="1" t="n">
        <v>45628</v>
      </c>
      <c r="D1295" t="inlineStr">
        <is>
          <t>VÄSTERBOTTENS LÄN</t>
        </is>
      </c>
      <c r="E1295" t="inlineStr">
        <is>
          <t>VILHELMINA</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39678-2024</t>
        </is>
      </c>
      <c r="B1296" s="1" t="n">
        <v>45552</v>
      </c>
      <c r="C1296" s="1" t="n">
        <v>45628</v>
      </c>
      <c r="D1296" t="inlineStr">
        <is>
          <t>VÄSTERBOTTENS LÄN</t>
        </is>
      </c>
      <c r="E1296" t="inlineStr">
        <is>
          <t>VILHELMINA</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39676-2024</t>
        </is>
      </c>
      <c r="B1297" s="1" t="n">
        <v>45552</v>
      </c>
      <c r="C1297" s="1" t="n">
        <v>45628</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39680-2024</t>
        </is>
      </c>
      <c r="B1298" s="1" t="n">
        <v>45552</v>
      </c>
      <c r="C1298" s="1" t="n">
        <v>45628</v>
      </c>
      <c r="D1298" t="inlineStr">
        <is>
          <t>VÄSTERBOTTENS LÄN</t>
        </is>
      </c>
      <c r="E1298" t="inlineStr">
        <is>
          <t>VILHELMINA</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40505-2024</t>
        </is>
      </c>
      <c r="B1299" s="1" t="n">
        <v>45555</v>
      </c>
      <c r="C1299" s="1" t="n">
        <v>45628</v>
      </c>
      <c r="D1299" t="inlineStr">
        <is>
          <t>VÄSTERBOTTENS LÄN</t>
        </is>
      </c>
      <c r="E1299" t="inlineStr">
        <is>
          <t>VILHELMINA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40462-2024</t>
        </is>
      </c>
      <c r="B1300" s="1" t="n">
        <v>45555</v>
      </c>
      <c r="C1300" s="1" t="n">
        <v>45628</v>
      </c>
      <c r="D1300" t="inlineStr">
        <is>
          <t>VÄSTERBOTTENS LÄN</t>
        </is>
      </c>
      <c r="E1300" t="inlineStr">
        <is>
          <t>VILHELMINA</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40726-2024</t>
        </is>
      </c>
      <c r="B1301" s="1" t="n">
        <v>45558</v>
      </c>
      <c r="C1301" s="1" t="n">
        <v>45628</v>
      </c>
      <c r="D1301" t="inlineStr">
        <is>
          <t>VÄSTERBOTTENS LÄN</t>
        </is>
      </c>
      <c r="E1301" t="inlineStr">
        <is>
          <t>VILHELMINA</t>
        </is>
      </c>
      <c r="F1301" t="inlineStr">
        <is>
          <t>Allmännings- och besparingsskogar</t>
        </is>
      </c>
      <c r="G1301" t="n">
        <v>73.59999999999999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40796-2024</t>
        </is>
      </c>
      <c r="B1302" s="1" t="n">
        <v>45558</v>
      </c>
      <c r="C1302" s="1" t="n">
        <v>45628</v>
      </c>
      <c r="D1302" t="inlineStr">
        <is>
          <t>VÄSTERBOTTENS LÄN</t>
        </is>
      </c>
      <c r="E1302" t="inlineStr">
        <is>
          <t>VILHELMINA</t>
        </is>
      </c>
      <c r="F1302" t="inlineStr">
        <is>
          <t>Allmännings- och besparingsskogar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40732-2024</t>
        </is>
      </c>
      <c r="B1303" s="1" t="n">
        <v>45558</v>
      </c>
      <c r="C1303" s="1" t="n">
        <v>45628</v>
      </c>
      <c r="D1303" t="inlineStr">
        <is>
          <t>VÄSTERBOTTENS LÄN</t>
        </is>
      </c>
      <c r="E1303" t="inlineStr">
        <is>
          <t>VILHELMINA</t>
        </is>
      </c>
      <c r="F1303" t="inlineStr">
        <is>
          <t>Allmännings- och besparingsskogar</t>
        </is>
      </c>
      <c r="G1303" t="n">
        <v>89.59999999999999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41644-2024</t>
        </is>
      </c>
      <c r="B1304" s="1" t="n">
        <v>45560</v>
      </c>
      <c r="C1304" s="1" t="n">
        <v>45628</v>
      </c>
      <c r="D1304" t="inlineStr">
        <is>
          <t>VÄSTERBOTTENS LÄN</t>
        </is>
      </c>
      <c r="E1304" t="inlineStr">
        <is>
          <t>VILHELMINA</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42674-2024</t>
        </is>
      </c>
      <c r="B1305" s="1" t="n">
        <v>45565</v>
      </c>
      <c r="C1305" s="1" t="n">
        <v>45628</v>
      </c>
      <c r="D1305" t="inlineStr">
        <is>
          <t>VÄSTERBOTTENS LÄN</t>
        </is>
      </c>
      <c r="E1305" t="inlineStr">
        <is>
          <t>VILHELMINA</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42478-2024</t>
        </is>
      </c>
      <c r="B1306" s="1" t="n">
        <v>45565</v>
      </c>
      <c r="C1306" s="1" t="n">
        <v>45628</v>
      </c>
      <c r="D1306" t="inlineStr">
        <is>
          <t>VÄSTERBOTTENS LÄN</t>
        </is>
      </c>
      <c r="E1306" t="inlineStr">
        <is>
          <t>VILHELMINA</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42976-2024</t>
        </is>
      </c>
      <c r="B1307" s="1" t="n">
        <v>45567</v>
      </c>
      <c r="C1307" s="1" t="n">
        <v>45628</v>
      </c>
      <c r="D1307" t="inlineStr">
        <is>
          <t>VÄSTERBOTTENS LÄN</t>
        </is>
      </c>
      <c r="E1307" t="inlineStr">
        <is>
          <t>VILHELMINA</t>
        </is>
      </c>
      <c r="F1307" t="inlineStr">
        <is>
          <t>SCA</t>
        </is>
      </c>
      <c r="G1307" t="n">
        <v>20.6</v>
      </c>
      <c r="H1307" t="n">
        <v>0</v>
      </c>
      <c r="I1307" t="n">
        <v>0</v>
      </c>
      <c r="J1307" t="n">
        <v>0</v>
      </c>
      <c r="K1307" t="n">
        <v>0</v>
      </c>
      <c r="L1307" t="n">
        <v>0</v>
      </c>
      <c r="M1307" t="n">
        <v>0</v>
      </c>
      <c r="N1307" t="n">
        <v>0</v>
      </c>
      <c r="O1307" t="n">
        <v>0</v>
      </c>
      <c r="P1307" t="n">
        <v>0</v>
      </c>
      <c r="Q1307" t="n">
        <v>0</v>
      </c>
      <c r="R1307" s="2" t="inlineStr"/>
    </row>
    <row r="1308" ht="15" customHeight="1">
      <c r="A1308" t="inlineStr">
        <is>
          <t>A 43251-2024</t>
        </is>
      </c>
      <c r="B1308" s="1" t="n">
        <v>45568</v>
      </c>
      <c r="C1308" s="1" t="n">
        <v>45628</v>
      </c>
      <c r="D1308" t="inlineStr">
        <is>
          <t>VÄSTERBOTTENS LÄN</t>
        </is>
      </c>
      <c r="E1308" t="inlineStr">
        <is>
          <t>VILHELMINA</t>
        </is>
      </c>
      <c r="F1308" t="inlineStr">
        <is>
          <t>SCA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43792-2024</t>
        </is>
      </c>
      <c r="B1309" s="1" t="n">
        <v>45571</v>
      </c>
      <c r="C1309" s="1" t="n">
        <v>45628</v>
      </c>
      <c r="D1309" t="inlineStr">
        <is>
          <t>VÄSTERBOTTENS LÄN</t>
        </is>
      </c>
      <c r="E1309" t="inlineStr">
        <is>
          <t>VILHELMINA</t>
        </is>
      </c>
      <c r="G1309" t="n">
        <v>25.3</v>
      </c>
      <c r="H1309" t="n">
        <v>0</v>
      </c>
      <c r="I1309" t="n">
        <v>0</v>
      </c>
      <c r="J1309" t="n">
        <v>0</v>
      </c>
      <c r="K1309" t="n">
        <v>0</v>
      </c>
      <c r="L1309" t="n">
        <v>0</v>
      </c>
      <c r="M1309" t="n">
        <v>0</v>
      </c>
      <c r="N1309" t="n">
        <v>0</v>
      </c>
      <c r="O1309" t="n">
        <v>0</v>
      </c>
      <c r="P1309" t="n">
        <v>0</v>
      </c>
      <c r="Q1309" t="n">
        <v>0</v>
      </c>
      <c r="R1309" s="2" t="inlineStr"/>
    </row>
    <row r="1310" ht="15" customHeight="1">
      <c r="A1310" t="inlineStr">
        <is>
          <t>A 43791-2024</t>
        </is>
      </c>
      <c r="B1310" s="1" t="n">
        <v>45571</v>
      </c>
      <c r="C1310" s="1" t="n">
        <v>45628</v>
      </c>
      <c r="D1310" t="inlineStr">
        <is>
          <t>VÄSTERBOTTENS LÄN</t>
        </is>
      </c>
      <c r="E1310" t="inlineStr">
        <is>
          <t>VILHELMINA</t>
        </is>
      </c>
      <c r="G1310" t="n">
        <v>30.3</v>
      </c>
      <c r="H1310" t="n">
        <v>0</v>
      </c>
      <c r="I1310" t="n">
        <v>0</v>
      </c>
      <c r="J1310" t="n">
        <v>0</v>
      </c>
      <c r="K1310" t="n">
        <v>0</v>
      </c>
      <c r="L1310" t="n">
        <v>0</v>
      </c>
      <c r="M1310" t="n">
        <v>0</v>
      </c>
      <c r="N1310" t="n">
        <v>0</v>
      </c>
      <c r="O1310" t="n">
        <v>0</v>
      </c>
      <c r="P1310" t="n">
        <v>0</v>
      </c>
      <c r="Q1310" t="n">
        <v>0</v>
      </c>
      <c r="R1310" s="2" t="inlineStr"/>
    </row>
    <row r="1311" ht="15" customHeight="1">
      <c r="A1311" t="inlineStr">
        <is>
          <t>A 43907-2024</t>
        </is>
      </c>
      <c r="B1311" s="1" t="n">
        <v>45572</v>
      </c>
      <c r="C1311" s="1" t="n">
        <v>45628</v>
      </c>
      <c r="D1311" t="inlineStr">
        <is>
          <t>VÄSTERBOTTENS LÄN</t>
        </is>
      </c>
      <c r="E1311" t="inlineStr">
        <is>
          <t>VILHELMINA</t>
        </is>
      </c>
      <c r="F1311" t="inlineStr">
        <is>
          <t>SCA</t>
        </is>
      </c>
      <c r="G1311" t="n">
        <v>21.5</v>
      </c>
      <c r="H1311" t="n">
        <v>0</v>
      </c>
      <c r="I1311" t="n">
        <v>0</v>
      </c>
      <c r="J1311" t="n">
        <v>0</v>
      </c>
      <c r="K1311" t="n">
        <v>0</v>
      </c>
      <c r="L1311" t="n">
        <v>0</v>
      </c>
      <c r="M1311" t="n">
        <v>0</v>
      </c>
      <c r="N1311" t="n">
        <v>0</v>
      </c>
      <c r="O1311" t="n">
        <v>0</v>
      </c>
      <c r="P1311" t="n">
        <v>0</v>
      </c>
      <c r="Q1311" t="n">
        <v>0</v>
      </c>
      <c r="R1311" s="2" t="inlineStr"/>
    </row>
    <row r="1312" ht="15" customHeight="1">
      <c r="A1312" t="inlineStr">
        <is>
          <t>A 43987-2024</t>
        </is>
      </c>
      <c r="B1312" s="1" t="n">
        <v>45572</v>
      </c>
      <c r="C1312" s="1" t="n">
        <v>45628</v>
      </c>
      <c r="D1312" t="inlineStr">
        <is>
          <t>VÄSTERBOTTENS LÄN</t>
        </is>
      </c>
      <c r="E1312" t="inlineStr">
        <is>
          <t>VILHELMINA</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44373-2024</t>
        </is>
      </c>
      <c r="B1313" s="1" t="n">
        <v>45573</v>
      </c>
      <c r="C1313" s="1" t="n">
        <v>45628</v>
      </c>
      <c r="D1313" t="inlineStr">
        <is>
          <t>VÄSTERBOTTENS LÄN</t>
        </is>
      </c>
      <c r="E1313" t="inlineStr">
        <is>
          <t>VILHELMINA</t>
        </is>
      </c>
      <c r="F1313" t="inlineStr">
        <is>
          <t>SCA</t>
        </is>
      </c>
      <c r="G1313" t="n">
        <v>35.1</v>
      </c>
      <c r="H1313" t="n">
        <v>0</v>
      </c>
      <c r="I1313" t="n">
        <v>0</v>
      </c>
      <c r="J1313" t="n">
        <v>0</v>
      </c>
      <c r="K1313" t="n">
        <v>0</v>
      </c>
      <c r="L1313" t="n">
        <v>0</v>
      </c>
      <c r="M1313" t="n">
        <v>0</v>
      </c>
      <c r="N1313" t="n">
        <v>0</v>
      </c>
      <c r="O1313" t="n">
        <v>0</v>
      </c>
      <c r="P1313" t="n">
        <v>0</v>
      </c>
      <c r="Q1313" t="n">
        <v>0</v>
      </c>
      <c r="R1313" s="2" t="inlineStr"/>
    </row>
    <row r="1314" ht="15" customHeight="1">
      <c r="A1314" t="inlineStr">
        <is>
          <t>A 44368-2024</t>
        </is>
      </c>
      <c r="B1314" s="1" t="n">
        <v>45573</v>
      </c>
      <c r="C1314" s="1" t="n">
        <v>45628</v>
      </c>
      <c r="D1314" t="inlineStr">
        <is>
          <t>VÄSTERBOTTENS LÄN</t>
        </is>
      </c>
      <c r="E1314" t="inlineStr">
        <is>
          <t>VILHELMINA</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44374-2024</t>
        </is>
      </c>
      <c r="B1315" s="1" t="n">
        <v>45573</v>
      </c>
      <c r="C1315" s="1" t="n">
        <v>45628</v>
      </c>
      <c r="D1315" t="inlineStr">
        <is>
          <t>VÄSTERBOTTENS LÄN</t>
        </is>
      </c>
      <c r="E1315" t="inlineStr">
        <is>
          <t>VILHELMINA</t>
        </is>
      </c>
      <c r="F1315" t="inlineStr">
        <is>
          <t>SCA</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44370-2024</t>
        </is>
      </c>
      <c r="B1316" s="1" t="n">
        <v>45573</v>
      </c>
      <c r="C1316" s="1" t="n">
        <v>45628</v>
      </c>
      <c r="D1316" t="inlineStr">
        <is>
          <t>VÄSTERBOTTENS LÄN</t>
        </is>
      </c>
      <c r="E1316" t="inlineStr">
        <is>
          <t>VILHELMINA</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44354-2024</t>
        </is>
      </c>
      <c r="B1317" s="1" t="n">
        <v>45573</v>
      </c>
      <c r="C1317" s="1" t="n">
        <v>45628</v>
      </c>
      <c r="D1317" t="inlineStr">
        <is>
          <t>VÄSTERBOTTENS LÄN</t>
        </is>
      </c>
      <c r="E1317" t="inlineStr">
        <is>
          <t>VILHELMINA</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44285-2024</t>
        </is>
      </c>
      <c r="B1318" s="1" t="n">
        <v>45573</v>
      </c>
      <c r="C1318" s="1" t="n">
        <v>45628</v>
      </c>
      <c r="D1318" t="inlineStr">
        <is>
          <t>VÄSTERBOTTENS LÄN</t>
        </is>
      </c>
      <c r="E1318" t="inlineStr">
        <is>
          <t>VILHELMINA</t>
        </is>
      </c>
      <c r="G1318" t="n">
        <v>30.9</v>
      </c>
      <c r="H1318" t="n">
        <v>0</v>
      </c>
      <c r="I1318" t="n">
        <v>0</v>
      </c>
      <c r="J1318" t="n">
        <v>0</v>
      </c>
      <c r="K1318" t="n">
        <v>0</v>
      </c>
      <c r="L1318" t="n">
        <v>0</v>
      </c>
      <c r="M1318" t="n">
        <v>0</v>
      </c>
      <c r="N1318" t="n">
        <v>0</v>
      </c>
      <c r="O1318" t="n">
        <v>0</v>
      </c>
      <c r="P1318" t="n">
        <v>0</v>
      </c>
      <c r="Q1318" t="n">
        <v>0</v>
      </c>
      <c r="R1318" s="2" t="inlineStr"/>
    </row>
    <row r="1319" ht="15" customHeight="1">
      <c r="A1319" t="inlineStr">
        <is>
          <t>A 44375-2024</t>
        </is>
      </c>
      <c r="B1319" s="1" t="n">
        <v>45573</v>
      </c>
      <c r="C1319" s="1" t="n">
        <v>45628</v>
      </c>
      <c r="D1319" t="inlineStr">
        <is>
          <t>VÄSTERBOTTENS LÄN</t>
        </is>
      </c>
      <c r="E1319" t="inlineStr">
        <is>
          <t>VILHELMINA</t>
        </is>
      </c>
      <c r="F1319" t="inlineStr">
        <is>
          <t>SCA</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44371-2024</t>
        </is>
      </c>
      <c r="B1320" s="1" t="n">
        <v>45573</v>
      </c>
      <c r="C1320" s="1" t="n">
        <v>45628</v>
      </c>
      <c r="D1320" t="inlineStr">
        <is>
          <t>VÄSTERBOTTENS LÄN</t>
        </is>
      </c>
      <c r="E1320" t="inlineStr">
        <is>
          <t>VILHELMINA</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44516-2024</t>
        </is>
      </c>
      <c r="B1321" s="1" t="n">
        <v>45574</v>
      </c>
      <c r="C1321" s="1" t="n">
        <v>45628</v>
      </c>
      <c r="D1321" t="inlineStr">
        <is>
          <t>VÄSTERBOTTENS LÄN</t>
        </is>
      </c>
      <c r="E1321" t="inlineStr">
        <is>
          <t>VILHELMINA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44444-2024</t>
        </is>
      </c>
      <c r="B1322" s="1" t="n">
        <v>45574</v>
      </c>
      <c r="C1322" s="1" t="n">
        <v>45628</v>
      </c>
      <c r="D1322" t="inlineStr">
        <is>
          <t>VÄSTERBOTTENS LÄN</t>
        </is>
      </c>
      <c r="E1322" t="inlineStr">
        <is>
          <t>VILHELMINA</t>
        </is>
      </c>
      <c r="F1322" t="inlineStr">
        <is>
          <t>SCA</t>
        </is>
      </c>
      <c r="G1322" t="n">
        <v>10.6</v>
      </c>
      <c r="H1322" t="n">
        <v>0</v>
      </c>
      <c r="I1322" t="n">
        <v>0</v>
      </c>
      <c r="J1322" t="n">
        <v>0</v>
      </c>
      <c r="K1322" t="n">
        <v>0</v>
      </c>
      <c r="L1322" t="n">
        <v>0</v>
      </c>
      <c r="M1322" t="n">
        <v>0</v>
      </c>
      <c r="N1322" t="n">
        <v>0</v>
      </c>
      <c r="O1322" t="n">
        <v>0</v>
      </c>
      <c r="P1322" t="n">
        <v>0</v>
      </c>
      <c r="Q1322" t="n">
        <v>0</v>
      </c>
      <c r="R1322" s="2" t="inlineStr"/>
    </row>
    <row r="1323" ht="15" customHeight="1">
      <c r="A1323" t="inlineStr">
        <is>
          <t>A 44505-2024</t>
        </is>
      </c>
      <c r="B1323" s="1" t="n">
        <v>45574</v>
      </c>
      <c r="C1323" s="1" t="n">
        <v>45628</v>
      </c>
      <c r="D1323" t="inlineStr">
        <is>
          <t>VÄSTERBOTTENS LÄN</t>
        </is>
      </c>
      <c r="E1323" t="inlineStr">
        <is>
          <t>VILHELMINA</t>
        </is>
      </c>
      <c r="G1323" t="n">
        <v>15.5</v>
      </c>
      <c r="H1323" t="n">
        <v>0</v>
      </c>
      <c r="I1323" t="n">
        <v>0</v>
      </c>
      <c r="J1323" t="n">
        <v>0</v>
      </c>
      <c r="K1323" t="n">
        <v>0</v>
      </c>
      <c r="L1323" t="n">
        <v>0</v>
      </c>
      <c r="M1323" t="n">
        <v>0</v>
      </c>
      <c r="N1323" t="n">
        <v>0</v>
      </c>
      <c r="O1323" t="n">
        <v>0</v>
      </c>
      <c r="P1323" t="n">
        <v>0</v>
      </c>
      <c r="Q1323" t="n">
        <v>0</v>
      </c>
      <c r="R1323" s="2" t="inlineStr"/>
    </row>
    <row r="1324" ht="15" customHeight="1">
      <c r="A1324" t="inlineStr">
        <is>
          <t>A 44828-2024</t>
        </is>
      </c>
      <c r="B1324" s="1" t="n">
        <v>45574</v>
      </c>
      <c r="C1324" s="1" t="n">
        <v>45628</v>
      </c>
      <c r="D1324" t="inlineStr">
        <is>
          <t>VÄSTERBOTTENS LÄN</t>
        </is>
      </c>
      <c r="E1324" t="inlineStr">
        <is>
          <t>VILHELMINA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44634-2024</t>
        </is>
      </c>
      <c r="B1325" s="1" t="n">
        <v>45574</v>
      </c>
      <c r="C1325" s="1" t="n">
        <v>45628</v>
      </c>
      <c r="D1325" t="inlineStr">
        <is>
          <t>VÄSTERBOTTENS LÄN</t>
        </is>
      </c>
      <c r="E1325" t="inlineStr">
        <is>
          <t>VILHELMINA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45628</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44874-2024</t>
        </is>
      </c>
      <c r="B1327" s="1" t="n">
        <v>45575</v>
      </c>
      <c r="C1327" s="1" t="n">
        <v>45628</v>
      </c>
      <c r="D1327" t="inlineStr">
        <is>
          <t>VÄSTERBOTTENS LÄN</t>
        </is>
      </c>
      <c r="E1327" t="inlineStr">
        <is>
          <t>VILHELMINA</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45628</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45007-2024</t>
        </is>
      </c>
      <c r="B1329" s="1" t="n">
        <v>45575</v>
      </c>
      <c r="C1329" s="1" t="n">
        <v>45628</v>
      </c>
      <c r="D1329" t="inlineStr">
        <is>
          <t>VÄSTERBOTTENS LÄN</t>
        </is>
      </c>
      <c r="E1329" t="inlineStr">
        <is>
          <t>VILHELMINA</t>
        </is>
      </c>
      <c r="F1329" t="inlineStr">
        <is>
          <t>SCA</t>
        </is>
      </c>
      <c r="G1329" t="n">
        <v>14.8</v>
      </c>
      <c r="H1329" t="n">
        <v>0</v>
      </c>
      <c r="I1329" t="n">
        <v>0</v>
      </c>
      <c r="J1329" t="n">
        <v>0</v>
      </c>
      <c r="K1329" t="n">
        <v>0</v>
      </c>
      <c r="L1329" t="n">
        <v>0</v>
      </c>
      <c r="M1329" t="n">
        <v>0</v>
      </c>
      <c r="N1329" t="n">
        <v>0</v>
      </c>
      <c r="O1329" t="n">
        <v>0</v>
      </c>
      <c r="P1329" t="n">
        <v>0</v>
      </c>
      <c r="Q1329" t="n">
        <v>0</v>
      </c>
      <c r="R1329" s="2" t="inlineStr"/>
    </row>
    <row r="1330" ht="15" customHeight="1">
      <c r="A1330" t="inlineStr">
        <is>
          <t>A 45004-2024</t>
        </is>
      </c>
      <c r="B1330" s="1" t="n">
        <v>45575</v>
      </c>
      <c r="C1330" s="1" t="n">
        <v>45628</v>
      </c>
      <c r="D1330" t="inlineStr">
        <is>
          <t>VÄSTERBOTTENS LÄN</t>
        </is>
      </c>
      <c r="E1330" t="inlineStr">
        <is>
          <t>VILHELMINA</t>
        </is>
      </c>
      <c r="F1330" t="inlineStr">
        <is>
          <t>SCA</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44926-2024</t>
        </is>
      </c>
      <c r="B1331" s="1" t="n">
        <v>45575</v>
      </c>
      <c r="C1331" s="1" t="n">
        <v>45628</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45258-2024</t>
        </is>
      </c>
      <c r="B1332" s="1" t="n">
        <v>45576</v>
      </c>
      <c r="C1332" s="1" t="n">
        <v>45628</v>
      </c>
      <c r="D1332" t="inlineStr">
        <is>
          <t>VÄSTERBOTTENS LÄN</t>
        </is>
      </c>
      <c r="E1332" t="inlineStr">
        <is>
          <t>VILHELMINA</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45308-2024</t>
        </is>
      </c>
      <c r="B1333" s="1" t="n">
        <v>45576</v>
      </c>
      <c r="C1333" s="1" t="n">
        <v>45628</v>
      </c>
      <c r="D1333" t="inlineStr">
        <is>
          <t>VÄSTERBOTTENS LÄN</t>
        </is>
      </c>
      <c r="E1333" t="inlineStr">
        <is>
          <t>VILHELMINA</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45764-2024</t>
        </is>
      </c>
      <c r="B1334" s="1" t="n">
        <v>45579</v>
      </c>
      <c r="C1334" s="1" t="n">
        <v>45628</v>
      </c>
      <c r="D1334" t="inlineStr">
        <is>
          <t>VÄSTERBOTTENS LÄN</t>
        </is>
      </c>
      <c r="E1334" t="inlineStr">
        <is>
          <t>VILHELMINA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45593-2024</t>
        </is>
      </c>
      <c r="B1335" s="1" t="n">
        <v>45579</v>
      </c>
      <c r="C1335" s="1" t="n">
        <v>45628</v>
      </c>
      <c r="D1335" t="inlineStr">
        <is>
          <t>VÄSTERBOTTENS LÄN</t>
        </is>
      </c>
      <c r="E1335" t="inlineStr">
        <is>
          <t>VILHELMINA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46014-2024</t>
        </is>
      </c>
      <c r="B1336" s="1" t="n">
        <v>45580</v>
      </c>
      <c r="C1336" s="1" t="n">
        <v>45628</v>
      </c>
      <c r="D1336" t="inlineStr">
        <is>
          <t>VÄSTERBOTTENS LÄN</t>
        </is>
      </c>
      <c r="E1336" t="inlineStr">
        <is>
          <t>VILHELMINA</t>
        </is>
      </c>
      <c r="F1336" t="inlineStr">
        <is>
          <t>SCA</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46404-2024</t>
        </is>
      </c>
      <c r="B1337" s="1" t="n">
        <v>45582</v>
      </c>
      <c r="C1337" s="1" t="n">
        <v>45628</v>
      </c>
      <c r="D1337" t="inlineStr">
        <is>
          <t>VÄSTERBOTTENS LÄN</t>
        </is>
      </c>
      <c r="E1337" t="inlineStr">
        <is>
          <t>VILHELMINA</t>
        </is>
      </c>
      <c r="F1337" t="inlineStr">
        <is>
          <t>SCA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46392-2024</t>
        </is>
      </c>
      <c r="B1338" s="1" t="n">
        <v>45582</v>
      </c>
      <c r="C1338" s="1" t="n">
        <v>45628</v>
      </c>
      <c r="D1338" t="inlineStr">
        <is>
          <t>VÄSTERBOTTENS LÄN</t>
        </is>
      </c>
      <c r="E1338" t="inlineStr">
        <is>
          <t>VILHELMINA</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46908-2024</t>
        </is>
      </c>
      <c r="B1339" s="1" t="n">
        <v>45583</v>
      </c>
      <c r="C1339" s="1" t="n">
        <v>45628</v>
      </c>
      <c r="D1339" t="inlineStr">
        <is>
          <t>VÄSTERBOTTENS LÄN</t>
        </is>
      </c>
      <c r="E1339" t="inlineStr">
        <is>
          <t>VILHELMINA</t>
        </is>
      </c>
      <c r="F1339" t="inlineStr">
        <is>
          <t>SCA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47010-2024</t>
        </is>
      </c>
      <c r="B1340" s="1" t="n">
        <v>45586</v>
      </c>
      <c r="C1340" s="1" t="n">
        <v>45628</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47011-2024</t>
        </is>
      </c>
      <c r="B1341" s="1" t="n">
        <v>45586</v>
      </c>
      <c r="C1341" s="1" t="n">
        <v>45628</v>
      </c>
      <c r="D1341" t="inlineStr">
        <is>
          <t>VÄSTERBOTTENS LÄN</t>
        </is>
      </c>
      <c r="E1341" t="inlineStr">
        <is>
          <t>VILHELMINA</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47242-2024</t>
        </is>
      </c>
      <c r="B1342" s="1" t="n">
        <v>45586</v>
      </c>
      <c r="C1342" s="1" t="n">
        <v>45628</v>
      </c>
      <c r="D1342" t="inlineStr">
        <is>
          <t>VÄSTERBOTTENS LÄN</t>
        </is>
      </c>
      <c r="E1342" t="inlineStr">
        <is>
          <t>VILHELMINA</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47548-2024</t>
        </is>
      </c>
      <c r="B1343" s="1" t="n">
        <v>45587</v>
      </c>
      <c r="C1343" s="1" t="n">
        <v>45628</v>
      </c>
      <c r="D1343" t="inlineStr">
        <is>
          <t>VÄSTERBOTTENS LÄN</t>
        </is>
      </c>
      <c r="E1343" t="inlineStr">
        <is>
          <t>VILHELMINA</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47297-2024</t>
        </is>
      </c>
      <c r="B1344" s="1" t="n">
        <v>45587</v>
      </c>
      <c r="C1344" s="1" t="n">
        <v>45628</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47440-2024</t>
        </is>
      </c>
      <c r="B1345" s="1" t="n">
        <v>45587</v>
      </c>
      <c r="C1345" s="1" t="n">
        <v>45628</v>
      </c>
      <c r="D1345" t="inlineStr">
        <is>
          <t>VÄSTERBOTTENS LÄN</t>
        </is>
      </c>
      <c r="E1345" t="inlineStr">
        <is>
          <t>VILHELMINA</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48062-2024</t>
        </is>
      </c>
      <c r="B1346" s="1" t="n">
        <v>45589</v>
      </c>
      <c r="C1346" s="1" t="n">
        <v>45628</v>
      </c>
      <c r="D1346" t="inlineStr">
        <is>
          <t>VÄSTERBOTTENS LÄN</t>
        </is>
      </c>
      <c r="E1346" t="inlineStr">
        <is>
          <t>VILHELMINA</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48088-2024</t>
        </is>
      </c>
      <c r="B1347" s="1" t="n">
        <v>45589</v>
      </c>
      <c r="C1347" s="1" t="n">
        <v>45628</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48098-2024</t>
        </is>
      </c>
      <c r="B1348" s="1" t="n">
        <v>45589</v>
      </c>
      <c r="C1348" s="1" t="n">
        <v>45628</v>
      </c>
      <c r="D1348" t="inlineStr">
        <is>
          <t>VÄSTERBOTTENS LÄN</t>
        </is>
      </c>
      <c r="E1348" t="inlineStr">
        <is>
          <t>VILHELMINA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47932-2024</t>
        </is>
      </c>
      <c r="B1349" s="1" t="n">
        <v>45589</v>
      </c>
      <c r="C1349" s="1" t="n">
        <v>45628</v>
      </c>
      <c r="D1349" t="inlineStr">
        <is>
          <t>VÄSTERBOTTENS LÄN</t>
        </is>
      </c>
      <c r="E1349" t="inlineStr">
        <is>
          <t>VILHELMINA</t>
        </is>
      </c>
      <c r="F1349" t="inlineStr">
        <is>
          <t>SCA</t>
        </is>
      </c>
      <c r="G1349" t="n">
        <v>15.4</v>
      </c>
      <c r="H1349" t="n">
        <v>0</v>
      </c>
      <c r="I1349" t="n">
        <v>0</v>
      </c>
      <c r="J1349" t="n">
        <v>0</v>
      </c>
      <c r="K1349" t="n">
        <v>0</v>
      </c>
      <c r="L1349" t="n">
        <v>0</v>
      </c>
      <c r="M1349" t="n">
        <v>0</v>
      </c>
      <c r="N1349" t="n">
        <v>0</v>
      </c>
      <c r="O1349" t="n">
        <v>0</v>
      </c>
      <c r="P1349" t="n">
        <v>0</v>
      </c>
      <c r="Q1349" t="n">
        <v>0</v>
      </c>
      <c r="R1349" s="2" t="inlineStr"/>
    </row>
    <row r="1350" ht="15" customHeight="1">
      <c r="A1350" t="inlineStr">
        <is>
          <t>A 48455-2024</t>
        </is>
      </c>
      <c r="B1350" s="1" t="n">
        <v>45590</v>
      </c>
      <c r="C1350" s="1" t="n">
        <v>45628</v>
      </c>
      <c r="D1350" t="inlineStr">
        <is>
          <t>VÄSTERBOTTENS LÄN</t>
        </is>
      </c>
      <c r="E1350" t="inlineStr">
        <is>
          <t>VILHELMINA</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48229-2024</t>
        </is>
      </c>
      <c r="B1351" s="1" t="n">
        <v>45590</v>
      </c>
      <c r="C1351" s="1" t="n">
        <v>45628</v>
      </c>
      <c r="D1351" t="inlineStr">
        <is>
          <t>VÄSTERBOTTENS LÄN</t>
        </is>
      </c>
      <c r="E1351" t="inlineStr">
        <is>
          <t>VILHELMINA</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48387-2024</t>
        </is>
      </c>
      <c r="B1352" s="1" t="n">
        <v>45590</v>
      </c>
      <c r="C1352" s="1" t="n">
        <v>45628</v>
      </c>
      <c r="D1352" t="inlineStr">
        <is>
          <t>VÄSTERBOTTENS LÄN</t>
        </is>
      </c>
      <c r="E1352" t="inlineStr">
        <is>
          <t>VILHELMINA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49184-2024</t>
        </is>
      </c>
      <c r="B1353" s="1" t="n">
        <v>45595</v>
      </c>
      <c r="C1353" s="1" t="n">
        <v>45628</v>
      </c>
      <c r="D1353" t="inlineStr">
        <is>
          <t>VÄSTERBOTTENS LÄN</t>
        </is>
      </c>
      <c r="E1353" t="inlineStr">
        <is>
          <t>VILHELMINA</t>
        </is>
      </c>
      <c r="F1353" t="inlineStr">
        <is>
          <t>SCA</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49221-2024</t>
        </is>
      </c>
      <c r="B1354" s="1" t="n">
        <v>45595</v>
      </c>
      <c r="C1354" s="1" t="n">
        <v>45628</v>
      </c>
      <c r="D1354" t="inlineStr">
        <is>
          <t>VÄSTERBOTTENS LÄN</t>
        </is>
      </c>
      <c r="E1354" t="inlineStr">
        <is>
          <t>VILHELMINA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49236-2024</t>
        </is>
      </c>
      <c r="B1355" s="1" t="n">
        <v>45595</v>
      </c>
      <c r="C1355" s="1" t="n">
        <v>45628</v>
      </c>
      <c r="D1355" t="inlineStr">
        <is>
          <t>VÄSTERBOTTENS LÄN</t>
        </is>
      </c>
      <c r="E1355" t="inlineStr">
        <is>
          <t>VILHELMINA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49246-2024</t>
        </is>
      </c>
      <c r="B1356" s="1" t="n">
        <v>45595</v>
      </c>
      <c r="C1356" s="1" t="n">
        <v>45628</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49241-2024</t>
        </is>
      </c>
      <c r="B1357" s="1" t="n">
        <v>45595</v>
      </c>
      <c r="C1357" s="1" t="n">
        <v>45628</v>
      </c>
      <c r="D1357" t="inlineStr">
        <is>
          <t>VÄSTERBOTTENS LÄN</t>
        </is>
      </c>
      <c r="E1357" t="inlineStr">
        <is>
          <t>VILHELMINA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49888-2024</t>
        </is>
      </c>
      <c r="B1358" s="1" t="n">
        <v>45597</v>
      </c>
      <c r="C1358" s="1" t="n">
        <v>45628</v>
      </c>
      <c r="D1358" t="inlineStr">
        <is>
          <t>VÄSTERBOTTENS LÄN</t>
        </is>
      </c>
      <c r="E1358" t="inlineStr">
        <is>
          <t>VILHELMINA</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49886-2024</t>
        </is>
      </c>
      <c r="B1359" s="1" t="n">
        <v>45597</v>
      </c>
      <c r="C1359" s="1" t="n">
        <v>45628</v>
      </c>
      <c r="D1359" t="inlineStr">
        <is>
          <t>VÄSTERBOTTENS LÄN</t>
        </is>
      </c>
      <c r="E1359" t="inlineStr">
        <is>
          <t>VILHELMINA</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50885-2024</t>
        </is>
      </c>
      <c r="B1360" s="1" t="n">
        <v>45602</v>
      </c>
      <c r="C1360" s="1" t="n">
        <v>45628</v>
      </c>
      <c r="D1360" t="inlineStr">
        <is>
          <t>VÄSTERBOTTENS LÄN</t>
        </is>
      </c>
      <c r="E1360" t="inlineStr">
        <is>
          <t>VILHELMINA</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51131-2024</t>
        </is>
      </c>
      <c r="B1361" s="1" t="n">
        <v>45603</v>
      </c>
      <c r="C1361" s="1" t="n">
        <v>45628</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51134-2024</t>
        </is>
      </c>
      <c r="B1362" s="1" t="n">
        <v>45603</v>
      </c>
      <c r="C1362" s="1" t="n">
        <v>45628</v>
      </c>
      <c r="D1362" t="inlineStr">
        <is>
          <t>VÄSTERBOTTENS LÄN</t>
        </is>
      </c>
      <c r="E1362" t="inlineStr">
        <is>
          <t>VILHELMINA</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51850-2024</t>
        </is>
      </c>
      <c r="B1363" s="1" t="n">
        <v>45605</v>
      </c>
      <c r="C1363" s="1" t="n">
        <v>45628</v>
      </c>
      <c r="D1363" t="inlineStr">
        <is>
          <t>VÄSTERBOTTENS LÄN</t>
        </is>
      </c>
      <c r="E1363" t="inlineStr">
        <is>
          <t>VILHELMINA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52155-2024</t>
        </is>
      </c>
      <c r="B1364" s="1" t="n">
        <v>45608</v>
      </c>
      <c r="C1364" s="1" t="n">
        <v>45628</v>
      </c>
      <c r="D1364" t="inlineStr">
        <is>
          <t>VÄSTERBOTTENS LÄN</t>
        </is>
      </c>
      <c r="E1364" t="inlineStr">
        <is>
          <t>VILHELMINA</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52457-2024</t>
        </is>
      </c>
      <c r="B1365" s="1" t="n">
        <v>45609</v>
      </c>
      <c r="C1365" s="1" t="n">
        <v>45628</v>
      </c>
      <c r="D1365" t="inlineStr">
        <is>
          <t>VÄSTERBOTTENS LÄN</t>
        </is>
      </c>
      <c r="E1365" t="inlineStr">
        <is>
          <t>VILHELMINA</t>
        </is>
      </c>
      <c r="G1365" t="n">
        <v>33.7</v>
      </c>
      <c r="H1365" t="n">
        <v>0</v>
      </c>
      <c r="I1365" t="n">
        <v>0</v>
      </c>
      <c r="J1365" t="n">
        <v>0</v>
      </c>
      <c r="K1365" t="n">
        <v>0</v>
      </c>
      <c r="L1365" t="n">
        <v>0</v>
      </c>
      <c r="M1365" t="n">
        <v>0</v>
      </c>
      <c r="N1365" t="n">
        <v>0</v>
      </c>
      <c r="O1365" t="n">
        <v>0</v>
      </c>
      <c r="P1365" t="n">
        <v>0</v>
      </c>
      <c r="Q1365" t="n">
        <v>0</v>
      </c>
      <c r="R1365" s="2" t="inlineStr"/>
    </row>
    <row r="1366" ht="15" customHeight="1">
      <c r="A1366" t="inlineStr">
        <is>
          <t>A 52646-2024</t>
        </is>
      </c>
      <c r="B1366" s="1" t="n">
        <v>45610</v>
      </c>
      <c r="C1366" s="1" t="n">
        <v>45628</v>
      </c>
      <c r="D1366" t="inlineStr">
        <is>
          <t>VÄSTERBOTTENS LÄN</t>
        </is>
      </c>
      <c r="E1366" t="inlineStr">
        <is>
          <t>VILHELMINA</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52866-2024</t>
        </is>
      </c>
      <c r="B1367" s="1" t="n">
        <v>45610</v>
      </c>
      <c r="C1367" s="1" t="n">
        <v>45628</v>
      </c>
      <c r="D1367" t="inlineStr">
        <is>
          <t>VÄSTERBOTTENS LÄN</t>
        </is>
      </c>
      <c r="E1367" t="inlineStr">
        <is>
          <t>VILHELMINA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53081-2024</t>
        </is>
      </c>
      <c r="B1368" s="1" t="n">
        <v>45611</v>
      </c>
      <c r="C1368" s="1" t="n">
        <v>45628</v>
      </c>
      <c r="D1368" t="inlineStr">
        <is>
          <t>VÄSTERBOTTENS LÄN</t>
        </is>
      </c>
      <c r="E1368" t="inlineStr">
        <is>
          <t>VILHELMINA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53606-2024</t>
        </is>
      </c>
      <c r="B1369" s="1" t="n">
        <v>45614</v>
      </c>
      <c r="C1369" s="1" t="n">
        <v>45628</v>
      </c>
      <c r="D1369" t="inlineStr">
        <is>
          <t>VÄSTERBOTTENS LÄN</t>
        </is>
      </c>
      <c r="E1369" t="inlineStr">
        <is>
          <t>VILHELMINA</t>
        </is>
      </c>
      <c r="F1369" t="inlineStr">
        <is>
          <t>SCA</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54387-2024</t>
        </is>
      </c>
      <c r="B1370" s="1" t="n">
        <v>45617</v>
      </c>
      <c r="C1370" s="1" t="n">
        <v>45628</v>
      </c>
      <c r="D1370" t="inlineStr">
        <is>
          <t>VÄSTERBOTTENS LÄN</t>
        </is>
      </c>
      <c r="E1370" t="inlineStr">
        <is>
          <t>VILHELMINA</t>
        </is>
      </c>
      <c r="F1370" t="inlineStr">
        <is>
          <t>SCA</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54430-2024</t>
        </is>
      </c>
      <c r="B1371" s="1" t="n">
        <v>45617</v>
      </c>
      <c r="C1371" s="1" t="n">
        <v>45628</v>
      </c>
      <c r="D1371" t="inlineStr">
        <is>
          <t>VÄSTERBOTTENS LÄN</t>
        </is>
      </c>
      <c r="E1371" t="inlineStr">
        <is>
          <t>VILHELMINA</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54459-2024</t>
        </is>
      </c>
      <c r="B1372" s="1" t="n">
        <v>45617</v>
      </c>
      <c r="C1372" s="1" t="n">
        <v>45628</v>
      </c>
      <c r="D1372" t="inlineStr">
        <is>
          <t>VÄSTERBOTTENS LÄN</t>
        </is>
      </c>
      <c r="E1372" t="inlineStr">
        <is>
          <t>VILHELMINA</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54457-2024</t>
        </is>
      </c>
      <c r="B1373" s="1" t="n">
        <v>45617</v>
      </c>
      <c r="C1373" s="1" t="n">
        <v>45628</v>
      </c>
      <c r="D1373" t="inlineStr">
        <is>
          <t>VÄSTERBOTTENS LÄN</t>
        </is>
      </c>
      <c r="E1373" t="inlineStr">
        <is>
          <t>VILHELMINA</t>
        </is>
      </c>
      <c r="F1373" t="inlineStr">
        <is>
          <t>SCA</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54727-2024</t>
        </is>
      </c>
      <c r="B1374" s="1" t="n">
        <v>45618</v>
      </c>
      <c r="C1374" s="1" t="n">
        <v>45628</v>
      </c>
      <c r="D1374" t="inlineStr">
        <is>
          <t>VÄSTERBOTTENS LÄN</t>
        </is>
      </c>
      <c r="E1374" t="inlineStr">
        <is>
          <t>VILHELMINA</t>
        </is>
      </c>
      <c r="F1374" t="inlineStr">
        <is>
          <t>SCA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54804-2024</t>
        </is>
      </c>
      <c r="B1375" s="1" t="n">
        <v>45618</v>
      </c>
      <c r="C1375" s="1" t="n">
        <v>45628</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54724-2024</t>
        </is>
      </c>
      <c r="B1376" s="1" t="n">
        <v>45618</v>
      </c>
      <c r="C1376" s="1" t="n">
        <v>45628</v>
      </c>
      <c r="D1376" t="inlineStr">
        <is>
          <t>VÄSTERBOTTENS LÄN</t>
        </is>
      </c>
      <c r="E1376" t="inlineStr">
        <is>
          <t>VILHELMINA</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55620-2024</t>
        </is>
      </c>
      <c r="B1377" s="1" t="n">
        <v>45622</v>
      </c>
      <c r="C1377" s="1" t="n">
        <v>45628</v>
      </c>
      <c r="D1377" t="inlineStr">
        <is>
          <t>VÄSTERBOTTENS LÄN</t>
        </is>
      </c>
      <c r="E1377" t="inlineStr">
        <is>
          <t>VILHELMINA</t>
        </is>
      </c>
      <c r="F1377" t="inlineStr">
        <is>
          <t>SCA</t>
        </is>
      </c>
      <c r="G1377" t="n">
        <v>21.4</v>
      </c>
      <c r="H1377" t="n">
        <v>0</v>
      </c>
      <c r="I1377" t="n">
        <v>0</v>
      </c>
      <c r="J1377" t="n">
        <v>0</v>
      </c>
      <c r="K1377" t="n">
        <v>0</v>
      </c>
      <c r="L1377" t="n">
        <v>0</v>
      </c>
      <c r="M1377" t="n">
        <v>0</v>
      </c>
      <c r="N1377" t="n">
        <v>0</v>
      </c>
      <c r="O1377" t="n">
        <v>0</v>
      </c>
      <c r="P1377" t="n">
        <v>0</v>
      </c>
      <c r="Q1377" t="n">
        <v>0</v>
      </c>
      <c r="R1377" s="2" t="inlineStr"/>
    </row>
    <row r="1378" ht="15" customHeight="1">
      <c r="A1378" t="inlineStr">
        <is>
          <t>A 55697-2024</t>
        </is>
      </c>
      <c r="B1378" s="1" t="n">
        <v>45622</v>
      </c>
      <c r="C1378" s="1" t="n">
        <v>45628</v>
      </c>
      <c r="D1378" t="inlineStr">
        <is>
          <t>VÄSTERBOTTENS LÄN</t>
        </is>
      </c>
      <c r="E1378" t="inlineStr">
        <is>
          <t>VILHELMINA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55695-2024</t>
        </is>
      </c>
      <c r="B1379" s="1" t="n">
        <v>45622</v>
      </c>
      <c r="C1379" s="1" t="n">
        <v>45628</v>
      </c>
      <c r="D1379" t="inlineStr">
        <is>
          <t>VÄSTERBOTTENS LÄN</t>
        </is>
      </c>
      <c r="E1379" t="inlineStr">
        <is>
          <t>VILHELMINA</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55978-2024</t>
        </is>
      </c>
      <c r="B1380" s="1" t="n">
        <v>45623</v>
      </c>
      <c r="C1380" s="1" t="n">
        <v>45628</v>
      </c>
      <c r="D1380" t="inlineStr">
        <is>
          <t>VÄSTERBOTTENS LÄN</t>
        </is>
      </c>
      <c r="E1380" t="inlineStr">
        <is>
          <t>VILHELMINA</t>
        </is>
      </c>
      <c r="F1380" t="inlineStr">
        <is>
          <t>SCA</t>
        </is>
      </c>
      <c r="G1380" t="n">
        <v>1.5</v>
      </c>
      <c r="H1380" t="n">
        <v>0</v>
      </c>
      <c r="I1380" t="n">
        <v>0</v>
      </c>
      <c r="J1380" t="n">
        <v>0</v>
      </c>
      <c r="K1380" t="n">
        <v>0</v>
      </c>
      <c r="L1380" t="n">
        <v>0</v>
      </c>
      <c r="M1380" t="n">
        <v>0</v>
      </c>
      <c r="N1380" t="n">
        <v>0</v>
      </c>
      <c r="O1380" t="n">
        <v>0</v>
      </c>
      <c r="P1380" t="n">
        <v>0</v>
      </c>
      <c r="Q1380" t="n">
        <v>0</v>
      </c>
      <c r="R1380" s="2" t="inlineStr"/>
    </row>
    <row r="1381">
      <c r="A1381" t="inlineStr">
        <is>
          <t>A 56391-2024</t>
        </is>
      </c>
      <c r="B1381" s="1" t="n">
        <v>45625</v>
      </c>
      <c r="C1381" s="1" t="n">
        <v>45628</v>
      </c>
      <c r="D1381" t="inlineStr">
        <is>
          <t>VÄSTERBOTTENS LÄN</t>
        </is>
      </c>
      <c r="E1381" t="inlineStr">
        <is>
          <t>VILHELMINA</t>
        </is>
      </c>
      <c r="F1381" t="inlineStr">
        <is>
          <t>SCA</t>
        </is>
      </c>
      <c r="G1381" t="n">
        <v>8.699999999999999</v>
      </c>
      <c r="H1381" t="n">
        <v>0</v>
      </c>
      <c r="I1381" t="n">
        <v>0</v>
      </c>
      <c r="J1381" t="n">
        <v>0</v>
      </c>
      <c r="K1381" t="n">
        <v>0</v>
      </c>
      <c r="L1381" t="n">
        <v>0</v>
      </c>
      <c r="M1381" t="n">
        <v>0</v>
      </c>
      <c r="N1381" t="n">
        <v>0</v>
      </c>
      <c r="O1381" t="n">
        <v>0</v>
      </c>
      <c r="P1381" t="n">
        <v>0</v>
      </c>
      <c r="Q1381" t="n">
        <v>0</v>
      </c>
      <c r="R1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2024-12-02T14:48:21Z</dcterms:created>
  <dcterms:modified xmlns:dcterms="http://purl.org/dc/terms/" xmlns:xsi="http://www.w3.org/2001/XMLSchema-instance" xsi:type="dcterms:W3CDTF">2024-12-02T14:48:22Z</dcterms:modified>
</cp:coreProperties>
</file>