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45578</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45578</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45578</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45578</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45578</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45578</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45578</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45578</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45578</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45578</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45578</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45578</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45578</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45578</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45578</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45578</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45578</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45578</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45578</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45578</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45578</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45578</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45578</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45578</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45578</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45578</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45578</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45578</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45578</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45578</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45578</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45578</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45578</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45578</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45578</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45578</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45578</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45578</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45578</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45578</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45578</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45578</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45578</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45578</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45578</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45578</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45578</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45578</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45578</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45578</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45578</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45578</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45578</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45578</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45578</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45578</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45578</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45578</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45578</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45578</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45578</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45578</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45578</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45578</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45578</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45578</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45578</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45578</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45578</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45578</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45578</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45578</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45578</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45578</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45578</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45578</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45578</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45578</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45578</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28662-2024</t>
        </is>
      </c>
      <c r="B91" s="1" t="n">
        <v>45478</v>
      </c>
      <c r="C91" s="1" t="n">
        <v>45578</v>
      </c>
      <c r="D91" t="inlineStr">
        <is>
          <t>VÄSTERBOTTENS LÄN</t>
        </is>
      </c>
      <c r="E91" t="inlineStr">
        <is>
          <t>VILHELMINA</t>
        </is>
      </c>
      <c r="F91" t="inlineStr">
        <is>
          <t>Allmännings- och besparingsskogar</t>
        </is>
      </c>
      <c r="G91" t="n">
        <v>2.2</v>
      </c>
      <c r="H91" t="n">
        <v>2</v>
      </c>
      <c r="I91" t="n">
        <v>2</v>
      </c>
      <c r="J91" t="n">
        <v>6</v>
      </c>
      <c r="K91" t="n">
        <v>0</v>
      </c>
      <c r="L91" t="n">
        <v>0</v>
      </c>
      <c r="M91" t="n">
        <v>0</v>
      </c>
      <c r="N91" t="n">
        <v>0</v>
      </c>
      <c r="O91" t="n">
        <v>6</v>
      </c>
      <c r="P91" t="n">
        <v>0</v>
      </c>
      <c r="Q91" t="n">
        <v>9</v>
      </c>
      <c r="R91" s="2" t="inlineStr">
        <is>
          <t>Garnlav
Granticka
Liten svartspik
Skrovellav
Tretåig hackspett
Vitgrynig nållav
Gytterlav
Luddlav
Lopplummer</t>
        </is>
      </c>
      <c r="S91">
        <f>HYPERLINK("https://klasma.github.io/Logging_2462/artfynd/A 28662-2024 artfynd.xlsx", "A 28662-2024")</f>
        <v/>
      </c>
      <c r="T91">
        <f>HYPERLINK("https://klasma.github.io/Logging_2462/kartor/A 28662-2024 karta.png", "A 28662-2024")</f>
        <v/>
      </c>
      <c r="V91">
        <f>HYPERLINK("https://klasma.github.io/Logging_2462/klagomål/A 28662-2024 FSC-klagomål.docx", "A 28662-2024")</f>
        <v/>
      </c>
      <c r="W91">
        <f>HYPERLINK("https://klasma.github.io/Logging_2462/klagomålsmail/A 28662-2024 FSC-klagomål mail.docx", "A 28662-2024")</f>
        <v/>
      </c>
      <c r="X91">
        <f>HYPERLINK("https://klasma.github.io/Logging_2462/tillsyn/A 28662-2024 tillsynsbegäran.docx", "A 28662-2024")</f>
        <v/>
      </c>
      <c r="Y91">
        <f>HYPERLINK("https://klasma.github.io/Logging_2462/tillsynsmail/A 28662-2024 tillsynsbegäran mail.docx", "A 28662-2024")</f>
        <v/>
      </c>
      <c r="Z91">
        <f>HYPERLINK("https://klasma.github.io/Logging_2462/fåglar/A 28662-2024 prioriterade fågelarter.docx", "A 28662-2024")</f>
        <v/>
      </c>
    </row>
    <row r="92" ht="15" customHeight="1">
      <c r="A92" t="inlineStr">
        <is>
          <t>A 29245-2020</t>
        </is>
      </c>
      <c r="B92" s="1" t="n">
        <v>44000</v>
      </c>
      <c r="C92" s="1" t="n">
        <v>45578</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45578</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45578</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45578</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45578</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45578</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31884-2024</t>
        </is>
      </c>
      <c r="B98" s="1" t="n">
        <v>45510</v>
      </c>
      <c r="C98" s="1" t="n">
        <v>45578</v>
      </c>
      <c r="D98" t="inlineStr">
        <is>
          <t>VÄSTERBOTTENS LÄN</t>
        </is>
      </c>
      <c r="E98" t="inlineStr">
        <is>
          <t>VILHELMINA</t>
        </is>
      </c>
      <c r="F98" t="inlineStr">
        <is>
          <t>SCA</t>
        </is>
      </c>
      <c r="G98" t="n">
        <v>1.6</v>
      </c>
      <c r="H98" t="n">
        <v>2</v>
      </c>
      <c r="I98" t="n">
        <v>2</v>
      </c>
      <c r="J98" t="n">
        <v>6</v>
      </c>
      <c r="K98" t="n">
        <v>0</v>
      </c>
      <c r="L98" t="n">
        <v>0</v>
      </c>
      <c r="M98" t="n">
        <v>0</v>
      </c>
      <c r="N98" t="n">
        <v>0</v>
      </c>
      <c r="O98" t="n">
        <v>6</v>
      </c>
      <c r="P98" t="n">
        <v>0</v>
      </c>
      <c r="Q98" t="n">
        <v>8</v>
      </c>
      <c r="R98" s="2" t="inlineStr">
        <is>
          <t>Garnlav
Granticka
Kolflarnlav
Oljetagging
Skogshare
Spillkråka
Korallblylav
Spindelblomster</t>
        </is>
      </c>
      <c r="S98">
        <f>HYPERLINK("https://klasma.github.io/Logging_2462/artfynd/A 31884-2024 artfynd.xlsx", "A 31884-2024")</f>
        <v/>
      </c>
      <c r="T98">
        <f>HYPERLINK("https://klasma.github.io/Logging_2462/kartor/A 31884-2024 karta.png", "A 31884-2024")</f>
        <v/>
      </c>
      <c r="V98">
        <f>HYPERLINK("https://klasma.github.io/Logging_2462/klagomål/A 31884-2024 FSC-klagomål.docx", "A 31884-2024")</f>
        <v/>
      </c>
      <c r="W98">
        <f>HYPERLINK("https://klasma.github.io/Logging_2462/klagomålsmail/A 31884-2024 FSC-klagomål mail.docx", "A 31884-2024")</f>
        <v/>
      </c>
      <c r="X98">
        <f>HYPERLINK("https://klasma.github.io/Logging_2462/tillsyn/A 31884-2024 tillsynsbegäran.docx", "A 31884-2024")</f>
        <v/>
      </c>
      <c r="Y98">
        <f>HYPERLINK("https://klasma.github.io/Logging_2462/tillsynsmail/A 31884-2024 tillsynsbegäran mail.docx", "A 31884-2024")</f>
        <v/>
      </c>
      <c r="Z98">
        <f>HYPERLINK("https://klasma.github.io/Logging_2462/fåglar/A 31884-2024 prioriterade fågelarter.docx", "A 31884-2024")</f>
        <v/>
      </c>
    </row>
    <row r="99" ht="15" customHeight="1">
      <c r="A99" t="inlineStr">
        <is>
          <t>A 37271-2019</t>
        </is>
      </c>
      <c r="B99" s="1" t="n">
        <v>43677</v>
      </c>
      <c r="C99" s="1" t="n">
        <v>45578</v>
      </c>
      <c r="D99" t="inlineStr">
        <is>
          <t>VÄSTERBOTTENS LÄN</t>
        </is>
      </c>
      <c r="E99" t="inlineStr">
        <is>
          <t>VILHELMINA</t>
        </is>
      </c>
      <c r="F99" t="inlineStr">
        <is>
          <t>Holmen skog AB</t>
        </is>
      </c>
      <c r="G99" t="n">
        <v>5</v>
      </c>
      <c r="H99" t="n">
        <v>1</v>
      </c>
      <c r="I99" t="n">
        <v>0</v>
      </c>
      <c r="J99" t="n">
        <v>7</v>
      </c>
      <c r="K99" t="n">
        <v>0</v>
      </c>
      <c r="L99" t="n">
        <v>0</v>
      </c>
      <c r="M99" t="n">
        <v>0</v>
      </c>
      <c r="N99" t="n">
        <v>0</v>
      </c>
      <c r="O99" t="n">
        <v>7</v>
      </c>
      <c r="P99" t="n">
        <v>0</v>
      </c>
      <c r="Q99" t="n">
        <v>7</v>
      </c>
      <c r="R99" s="2" t="inlineStr">
        <is>
          <t>Gammelgransskål
Garnlav
Granticka
Gränsticka
Harticka
Tretåig hackspett
Vitgrynig nållav</t>
        </is>
      </c>
      <c r="S99">
        <f>HYPERLINK("https://klasma.github.io/Logging_2462/artfynd/A 37271-2019 artfynd.xlsx", "A 37271-2019")</f>
        <v/>
      </c>
      <c r="T99">
        <f>HYPERLINK("https://klasma.github.io/Logging_2462/kartor/A 37271-2019 karta.png", "A 37271-2019")</f>
        <v/>
      </c>
      <c r="V99">
        <f>HYPERLINK("https://klasma.github.io/Logging_2462/klagomål/A 37271-2019 FSC-klagomål.docx", "A 37271-2019")</f>
        <v/>
      </c>
      <c r="W99">
        <f>HYPERLINK("https://klasma.github.io/Logging_2462/klagomålsmail/A 37271-2019 FSC-klagomål mail.docx", "A 37271-2019")</f>
        <v/>
      </c>
      <c r="X99">
        <f>HYPERLINK("https://klasma.github.io/Logging_2462/tillsyn/A 37271-2019 tillsynsbegäran.docx", "A 37271-2019")</f>
        <v/>
      </c>
      <c r="Y99">
        <f>HYPERLINK("https://klasma.github.io/Logging_2462/tillsynsmail/A 37271-2019 tillsynsbegäran mail.docx", "A 37271-2019")</f>
        <v/>
      </c>
      <c r="Z99">
        <f>HYPERLINK("https://klasma.github.io/Logging_2462/fåglar/A 37271-2019 prioriterade fågelarter.docx", "A 37271-2019")</f>
        <v/>
      </c>
    </row>
    <row r="100" ht="15" customHeight="1">
      <c r="A100" t="inlineStr">
        <is>
          <t>A 15852-2022</t>
        </is>
      </c>
      <c r="B100" s="1" t="n">
        <v>44664</v>
      </c>
      <c r="C100" s="1" t="n">
        <v>45578</v>
      </c>
      <c r="D100" t="inlineStr">
        <is>
          <t>VÄSTERBOTTENS LÄN</t>
        </is>
      </c>
      <c r="E100" t="inlineStr">
        <is>
          <t>VILHELMINA</t>
        </is>
      </c>
      <c r="G100" t="n">
        <v>9.300000000000001</v>
      </c>
      <c r="H100" t="n">
        <v>1</v>
      </c>
      <c r="I100" t="n">
        <v>2</v>
      </c>
      <c r="J100" t="n">
        <v>5</v>
      </c>
      <c r="K100" t="n">
        <v>0</v>
      </c>
      <c r="L100" t="n">
        <v>0</v>
      </c>
      <c r="M100" t="n">
        <v>0</v>
      </c>
      <c r="N100" t="n">
        <v>0</v>
      </c>
      <c r="O100" t="n">
        <v>5</v>
      </c>
      <c r="P100" t="n">
        <v>0</v>
      </c>
      <c r="Q100" t="n">
        <v>7</v>
      </c>
      <c r="R100" s="2" t="inlineStr">
        <is>
          <t>Granticka
Harticka
Lunglav
Skrovellav
Ullticka
Spindelblomster
Stuplav</t>
        </is>
      </c>
      <c r="S100">
        <f>HYPERLINK("https://klasma.github.io/Logging_2462/artfynd/A 15852-2022 artfynd.xlsx", "A 15852-2022")</f>
        <v/>
      </c>
      <c r="T100">
        <f>HYPERLINK("https://klasma.github.io/Logging_2462/kartor/A 15852-2022 karta.png", "A 15852-2022")</f>
        <v/>
      </c>
      <c r="V100">
        <f>HYPERLINK("https://klasma.github.io/Logging_2462/klagomål/A 15852-2022 FSC-klagomål.docx", "A 15852-2022")</f>
        <v/>
      </c>
      <c r="W100">
        <f>HYPERLINK("https://klasma.github.io/Logging_2462/klagomålsmail/A 15852-2022 FSC-klagomål mail.docx", "A 15852-2022")</f>
        <v/>
      </c>
      <c r="X100">
        <f>HYPERLINK("https://klasma.github.io/Logging_2462/tillsyn/A 15852-2022 tillsynsbegäran.docx", "A 15852-2022")</f>
        <v/>
      </c>
      <c r="Y100">
        <f>HYPERLINK("https://klasma.github.io/Logging_2462/tillsynsmail/A 15852-2022 tillsynsbegäran mail.docx", "A 15852-2022")</f>
        <v/>
      </c>
    </row>
    <row r="101" ht="15" customHeight="1">
      <c r="A101" t="inlineStr">
        <is>
          <t>A 24829-2023</t>
        </is>
      </c>
      <c r="B101" s="1" t="n">
        <v>45084</v>
      </c>
      <c r="C101" s="1" t="n">
        <v>45578</v>
      </c>
      <c r="D101" t="inlineStr">
        <is>
          <t>VÄSTERBOTTENS LÄN</t>
        </is>
      </c>
      <c r="E101" t="inlineStr">
        <is>
          <t>VILHELMINA</t>
        </is>
      </c>
      <c r="F101" t="inlineStr">
        <is>
          <t>SCA</t>
        </is>
      </c>
      <c r="G101" t="n">
        <v>15.1</v>
      </c>
      <c r="H101" t="n">
        <v>2</v>
      </c>
      <c r="I101" t="n">
        <v>1</v>
      </c>
      <c r="J101" t="n">
        <v>6</v>
      </c>
      <c r="K101" t="n">
        <v>0</v>
      </c>
      <c r="L101" t="n">
        <v>0</v>
      </c>
      <c r="M101" t="n">
        <v>0</v>
      </c>
      <c r="N101" t="n">
        <v>0</v>
      </c>
      <c r="O101" t="n">
        <v>6</v>
      </c>
      <c r="P101" t="n">
        <v>0</v>
      </c>
      <c r="Q101" t="n">
        <v>7</v>
      </c>
      <c r="R101" s="2" t="inlineStr">
        <is>
          <t>Garnlav
Granticka
Harticka
Lunglav
Spillkråka
Tretåig hackspett
Luddlav</t>
        </is>
      </c>
      <c r="S101">
        <f>HYPERLINK("https://klasma.github.io/Logging_2462/artfynd/A 24829-2023 artfynd.xlsx", "A 24829-2023")</f>
        <v/>
      </c>
      <c r="T101">
        <f>HYPERLINK("https://klasma.github.io/Logging_2462/kartor/A 24829-2023 karta.png", "A 24829-2023")</f>
        <v/>
      </c>
      <c r="V101">
        <f>HYPERLINK("https://klasma.github.io/Logging_2462/klagomål/A 24829-2023 FSC-klagomål.docx", "A 24829-2023")</f>
        <v/>
      </c>
      <c r="W101">
        <f>HYPERLINK("https://klasma.github.io/Logging_2462/klagomålsmail/A 24829-2023 FSC-klagomål mail.docx", "A 24829-2023")</f>
        <v/>
      </c>
      <c r="X101">
        <f>HYPERLINK("https://klasma.github.io/Logging_2462/tillsyn/A 24829-2023 tillsynsbegäran.docx", "A 24829-2023")</f>
        <v/>
      </c>
      <c r="Y101">
        <f>HYPERLINK("https://klasma.github.io/Logging_2462/tillsynsmail/A 24829-2023 tillsynsbegäran mail.docx", "A 24829-2023")</f>
        <v/>
      </c>
      <c r="Z101">
        <f>HYPERLINK("https://klasma.github.io/Logging_2462/fåglar/A 24829-2023 prioriterade fågelarter.docx", "A 24829-2023")</f>
        <v/>
      </c>
    </row>
    <row r="102" ht="15" customHeight="1">
      <c r="A102" t="inlineStr">
        <is>
          <t>A 34091-2023</t>
        </is>
      </c>
      <c r="B102" s="1" t="n">
        <v>45125</v>
      </c>
      <c r="C102" s="1" t="n">
        <v>45578</v>
      </c>
      <c r="D102" t="inlineStr">
        <is>
          <t>VÄSTERBOTTENS LÄN</t>
        </is>
      </c>
      <c r="E102" t="inlineStr">
        <is>
          <t>VILHELMINA</t>
        </is>
      </c>
      <c r="G102" t="n">
        <v>18.4</v>
      </c>
      <c r="H102" t="n">
        <v>1</v>
      </c>
      <c r="I102" t="n">
        <v>1</v>
      </c>
      <c r="J102" t="n">
        <v>6</v>
      </c>
      <c r="K102" t="n">
        <v>0</v>
      </c>
      <c r="L102" t="n">
        <v>0</v>
      </c>
      <c r="M102" t="n">
        <v>0</v>
      </c>
      <c r="N102" t="n">
        <v>0</v>
      </c>
      <c r="O102" t="n">
        <v>6</v>
      </c>
      <c r="P102" t="n">
        <v>0</v>
      </c>
      <c r="Q102" t="n">
        <v>7</v>
      </c>
      <c r="R102" s="2" t="inlineStr">
        <is>
          <t>Doftskinn
Garnlav
Granticka
Gränsticka
Skrovellav
Tretåig hackspett
Trådticka</t>
        </is>
      </c>
      <c r="S102">
        <f>HYPERLINK("https://klasma.github.io/Logging_2462/artfynd/A 34091-2023 artfynd.xlsx", "A 34091-2023")</f>
        <v/>
      </c>
      <c r="T102">
        <f>HYPERLINK("https://klasma.github.io/Logging_2462/kartor/A 34091-2023 karta.png", "A 34091-2023")</f>
        <v/>
      </c>
      <c r="V102">
        <f>HYPERLINK("https://klasma.github.io/Logging_2462/klagomål/A 34091-2023 FSC-klagomål.docx", "A 34091-2023")</f>
        <v/>
      </c>
      <c r="W102">
        <f>HYPERLINK("https://klasma.github.io/Logging_2462/klagomålsmail/A 34091-2023 FSC-klagomål mail.docx", "A 34091-2023")</f>
        <v/>
      </c>
      <c r="X102">
        <f>HYPERLINK("https://klasma.github.io/Logging_2462/tillsyn/A 34091-2023 tillsynsbegäran.docx", "A 34091-2023")</f>
        <v/>
      </c>
      <c r="Y102">
        <f>HYPERLINK("https://klasma.github.io/Logging_2462/tillsynsmail/A 34091-2023 tillsynsbegäran mail.docx", "A 34091-2023")</f>
        <v/>
      </c>
      <c r="Z102">
        <f>HYPERLINK("https://klasma.github.io/Logging_2462/fåglar/A 34091-2023 prioriterade fågelarter.docx", "A 34091-2023")</f>
        <v/>
      </c>
    </row>
    <row r="103" ht="15" customHeight="1">
      <c r="A103" t="inlineStr">
        <is>
          <t>A 34418-2023</t>
        </is>
      </c>
      <c r="B103" s="1" t="n">
        <v>45132</v>
      </c>
      <c r="C103" s="1" t="n">
        <v>45578</v>
      </c>
      <c r="D103" t="inlineStr">
        <is>
          <t>VÄSTERBOTTENS LÄN</t>
        </is>
      </c>
      <c r="E103" t="inlineStr">
        <is>
          <t>VILHELMINA</t>
        </is>
      </c>
      <c r="F103" t="inlineStr">
        <is>
          <t>Allmännings- och besparingsskogar</t>
        </is>
      </c>
      <c r="G103" t="n">
        <v>18.3</v>
      </c>
      <c r="H103" t="n">
        <v>1</v>
      </c>
      <c r="I103" t="n">
        <v>0</v>
      </c>
      <c r="J103" t="n">
        <v>6</v>
      </c>
      <c r="K103" t="n">
        <v>1</v>
      </c>
      <c r="L103" t="n">
        <v>0</v>
      </c>
      <c r="M103" t="n">
        <v>0</v>
      </c>
      <c r="N103" t="n">
        <v>0</v>
      </c>
      <c r="O103" t="n">
        <v>7</v>
      </c>
      <c r="P103" t="n">
        <v>1</v>
      </c>
      <c r="Q103" t="n">
        <v>7</v>
      </c>
      <c r="R103" s="2" t="inlineStr">
        <is>
          <t>Ostticka
Gammelgransskål
Garnlav
Gränsticka
Knottrig blåslav
Rödbrun blekspik
Tretåig hackspett</t>
        </is>
      </c>
      <c r="S103">
        <f>HYPERLINK("https://klasma.github.io/Logging_2462/artfynd/A 34418-2023 artfynd.xlsx", "A 34418-2023")</f>
        <v/>
      </c>
      <c r="T103">
        <f>HYPERLINK("https://klasma.github.io/Logging_2462/kartor/A 34418-2023 karta.png", "A 34418-2023")</f>
        <v/>
      </c>
      <c r="V103">
        <f>HYPERLINK("https://klasma.github.io/Logging_2462/klagomål/A 34418-2023 FSC-klagomål.docx", "A 34418-2023")</f>
        <v/>
      </c>
      <c r="W103">
        <f>HYPERLINK("https://klasma.github.io/Logging_2462/klagomålsmail/A 34418-2023 FSC-klagomål mail.docx", "A 34418-2023")</f>
        <v/>
      </c>
      <c r="X103">
        <f>HYPERLINK("https://klasma.github.io/Logging_2462/tillsyn/A 34418-2023 tillsynsbegäran.docx", "A 34418-2023")</f>
        <v/>
      </c>
      <c r="Y103">
        <f>HYPERLINK("https://klasma.github.io/Logging_2462/tillsynsmail/A 34418-2023 tillsynsbegäran mail.docx", "A 34418-2023")</f>
        <v/>
      </c>
      <c r="Z103">
        <f>HYPERLINK("https://klasma.github.io/Logging_2462/fåglar/A 34418-2023 prioriterade fågelarter.docx", "A 34418-2023")</f>
        <v/>
      </c>
    </row>
    <row r="104" ht="15" customHeight="1">
      <c r="A104" t="inlineStr">
        <is>
          <t>A 25564-2024</t>
        </is>
      </c>
      <c r="B104" s="1" t="n">
        <v>45463</v>
      </c>
      <c r="C104" s="1" t="n">
        <v>45578</v>
      </c>
      <c r="D104" t="inlineStr">
        <is>
          <t>VÄSTERBOTTENS LÄN</t>
        </is>
      </c>
      <c r="E104" t="inlineStr">
        <is>
          <t>VILHELMINA</t>
        </is>
      </c>
      <c r="F104" t="inlineStr">
        <is>
          <t>Sveaskog</t>
        </is>
      </c>
      <c r="G104" t="n">
        <v>4.2</v>
      </c>
      <c r="H104" t="n">
        <v>1</v>
      </c>
      <c r="I104" t="n">
        <v>1</v>
      </c>
      <c r="J104" t="n">
        <v>6</v>
      </c>
      <c r="K104" t="n">
        <v>0</v>
      </c>
      <c r="L104" t="n">
        <v>0</v>
      </c>
      <c r="M104" t="n">
        <v>0</v>
      </c>
      <c r="N104" t="n">
        <v>0</v>
      </c>
      <c r="O104" t="n">
        <v>6</v>
      </c>
      <c r="P104" t="n">
        <v>0</v>
      </c>
      <c r="Q104" t="n">
        <v>7</v>
      </c>
      <c r="R104" s="2" t="inlineStr">
        <is>
          <t>Gammelgransskål
Garnlav
Kandelabersvamp
Koralltaggsvamp
Tretåig hackspett
Vedtrappmossa
Blodticka</t>
        </is>
      </c>
      <c r="S104">
        <f>HYPERLINK("https://klasma.github.io/Logging_2462/artfynd/A 25564-2024 artfynd.xlsx", "A 25564-2024")</f>
        <v/>
      </c>
      <c r="T104">
        <f>HYPERLINK("https://klasma.github.io/Logging_2462/kartor/A 25564-2024 karta.png", "A 25564-2024")</f>
        <v/>
      </c>
      <c r="V104">
        <f>HYPERLINK("https://klasma.github.io/Logging_2462/klagomål/A 25564-2024 FSC-klagomål.docx", "A 25564-2024")</f>
        <v/>
      </c>
      <c r="W104">
        <f>HYPERLINK("https://klasma.github.io/Logging_2462/klagomålsmail/A 25564-2024 FSC-klagomål mail.docx", "A 25564-2024")</f>
        <v/>
      </c>
      <c r="X104">
        <f>HYPERLINK("https://klasma.github.io/Logging_2462/tillsyn/A 25564-2024 tillsynsbegäran.docx", "A 25564-2024")</f>
        <v/>
      </c>
      <c r="Y104">
        <f>HYPERLINK("https://klasma.github.io/Logging_2462/tillsynsmail/A 25564-2024 tillsynsbegäran mail.docx", "A 25564-2024")</f>
        <v/>
      </c>
      <c r="Z104">
        <f>HYPERLINK("https://klasma.github.io/Logging_2462/fåglar/A 25564-2024 prioriterade fågelarter.docx", "A 25564-2024")</f>
        <v/>
      </c>
    </row>
    <row r="105" ht="15" customHeight="1">
      <c r="A105" t="inlineStr">
        <is>
          <t>A 49135-2023</t>
        </is>
      </c>
      <c r="B105" s="1" t="n">
        <v>45205</v>
      </c>
      <c r="C105" s="1" t="n">
        <v>45578</v>
      </c>
      <c r="D105" t="inlineStr">
        <is>
          <t>VÄSTERBOTTENS LÄN</t>
        </is>
      </c>
      <c r="E105" t="inlineStr">
        <is>
          <t>VILHELMINA</t>
        </is>
      </c>
      <c r="F105" t="inlineStr">
        <is>
          <t>Allmännings- och besparingsskogar</t>
        </is>
      </c>
      <c r="G105" t="n">
        <v>5.1</v>
      </c>
      <c r="H105" t="n">
        <v>1</v>
      </c>
      <c r="I105" t="n">
        <v>1</v>
      </c>
      <c r="J105" t="n">
        <v>5</v>
      </c>
      <c r="K105" t="n">
        <v>0</v>
      </c>
      <c r="L105" t="n">
        <v>0</v>
      </c>
      <c r="M105" t="n">
        <v>0</v>
      </c>
      <c r="N105" t="n">
        <v>0</v>
      </c>
      <c r="O105" t="n">
        <v>5</v>
      </c>
      <c r="P105" t="n">
        <v>0</v>
      </c>
      <c r="Q105" t="n">
        <v>6</v>
      </c>
      <c r="R105" s="2" t="inlineStr">
        <is>
          <t>Blanksvart spiklav
Blågrå svartspik
Garnlav
Skrovellav
Tretåig hackspett
Skinnlav</t>
        </is>
      </c>
      <c r="S105">
        <f>HYPERLINK("https://klasma.github.io/Logging_2462/artfynd/A 49135-2023 artfynd.xlsx", "A 49135-2023")</f>
        <v/>
      </c>
      <c r="T105">
        <f>HYPERLINK("https://klasma.github.io/Logging_2462/kartor/A 49135-2023 karta.png", "A 49135-2023")</f>
        <v/>
      </c>
      <c r="V105">
        <f>HYPERLINK("https://klasma.github.io/Logging_2462/klagomål/A 49135-2023 FSC-klagomål.docx", "A 49135-2023")</f>
        <v/>
      </c>
      <c r="W105">
        <f>HYPERLINK("https://klasma.github.io/Logging_2462/klagomålsmail/A 49135-2023 FSC-klagomål mail.docx", "A 49135-2023")</f>
        <v/>
      </c>
      <c r="X105">
        <f>HYPERLINK("https://klasma.github.io/Logging_2462/tillsyn/A 49135-2023 tillsynsbegäran.docx", "A 49135-2023")</f>
        <v/>
      </c>
      <c r="Y105">
        <f>HYPERLINK("https://klasma.github.io/Logging_2462/tillsynsmail/A 49135-2023 tillsynsbegäran mail.docx", "A 49135-2023")</f>
        <v/>
      </c>
      <c r="Z105">
        <f>HYPERLINK("https://klasma.github.io/Logging_2462/fåglar/A 49135-2023 prioriterade fågelarter.docx", "A 49135-2023")</f>
        <v/>
      </c>
    </row>
    <row r="106" ht="15" customHeight="1">
      <c r="A106" t="inlineStr">
        <is>
          <t>A 49977-2023</t>
        </is>
      </c>
      <c r="B106" s="1" t="n">
        <v>45208</v>
      </c>
      <c r="C106" s="1" t="n">
        <v>45578</v>
      </c>
      <c r="D106" t="inlineStr">
        <is>
          <t>VÄSTERBOTTENS LÄN</t>
        </is>
      </c>
      <c r="E106" t="inlineStr">
        <is>
          <t>VILHELMINA</t>
        </is>
      </c>
      <c r="F106" t="inlineStr">
        <is>
          <t>Övriga statliga verk och myndigheter</t>
        </is>
      </c>
      <c r="G106" t="n">
        <v>8.1</v>
      </c>
      <c r="H106" t="n">
        <v>1</v>
      </c>
      <c r="I106" t="n">
        <v>2</v>
      </c>
      <c r="J106" t="n">
        <v>4</v>
      </c>
      <c r="K106" t="n">
        <v>0</v>
      </c>
      <c r="L106" t="n">
        <v>0</v>
      </c>
      <c r="M106" t="n">
        <v>0</v>
      </c>
      <c r="N106" t="n">
        <v>0</v>
      </c>
      <c r="O106" t="n">
        <v>4</v>
      </c>
      <c r="P106" t="n">
        <v>0</v>
      </c>
      <c r="Q106" t="n">
        <v>6</v>
      </c>
      <c r="R106" s="2" t="inlineStr">
        <is>
          <t>Leptoporus mollis
Skrovellav
Tretåig hackspett
Vitgrynig nållav
Bårdlav
Fjällig taggsvamp s.str.</t>
        </is>
      </c>
      <c r="S106">
        <f>HYPERLINK("https://klasma.github.io/Logging_2462/artfynd/A 49977-2023 artfynd.xlsx", "A 49977-2023")</f>
        <v/>
      </c>
      <c r="T106">
        <f>HYPERLINK("https://klasma.github.io/Logging_2462/kartor/A 49977-2023 karta.png", "A 49977-2023")</f>
        <v/>
      </c>
      <c r="V106">
        <f>HYPERLINK("https://klasma.github.io/Logging_2462/klagomål/A 49977-2023 FSC-klagomål.docx", "A 49977-2023")</f>
        <v/>
      </c>
      <c r="W106">
        <f>HYPERLINK("https://klasma.github.io/Logging_2462/klagomålsmail/A 49977-2023 FSC-klagomål mail.docx", "A 49977-2023")</f>
        <v/>
      </c>
      <c r="X106">
        <f>HYPERLINK("https://klasma.github.io/Logging_2462/tillsyn/A 49977-2023 tillsynsbegäran.docx", "A 49977-2023")</f>
        <v/>
      </c>
      <c r="Y106">
        <f>HYPERLINK("https://klasma.github.io/Logging_2462/tillsynsmail/A 49977-2023 tillsynsbegäran mail.docx", "A 49977-2023")</f>
        <v/>
      </c>
      <c r="Z106">
        <f>HYPERLINK("https://klasma.github.io/Logging_2462/fåglar/A 49977-2023 prioriterade fågelarter.docx", "A 49977-2023")</f>
        <v/>
      </c>
    </row>
    <row r="107" ht="15" customHeight="1">
      <c r="A107" t="inlineStr">
        <is>
          <t>A 38540-2024</t>
        </is>
      </c>
      <c r="B107" s="1" t="n">
        <v>45546</v>
      </c>
      <c r="C107" s="1" t="n">
        <v>45578</v>
      </c>
      <c r="D107" t="inlineStr">
        <is>
          <t>VÄSTERBOTTENS LÄN</t>
        </is>
      </c>
      <c r="E107" t="inlineStr">
        <is>
          <t>VILHELMINA</t>
        </is>
      </c>
      <c r="G107" t="n">
        <v>2.7</v>
      </c>
      <c r="H107" t="n">
        <v>1</v>
      </c>
      <c r="I107" t="n">
        <v>1</v>
      </c>
      <c r="J107" t="n">
        <v>4</v>
      </c>
      <c r="K107" t="n">
        <v>1</v>
      </c>
      <c r="L107" t="n">
        <v>0</v>
      </c>
      <c r="M107" t="n">
        <v>0</v>
      </c>
      <c r="N107" t="n">
        <v>0</v>
      </c>
      <c r="O107" t="n">
        <v>5</v>
      </c>
      <c r="P107" t="n">
        <v>1</v>
      </c>
      <c r="Q107" t="n">
        <v>6</v>
      </c>
      <c r="R107" s="2" t="inlineStr">
        <is>
          <t>Rynkskinn
Doftskinn
Gammelgransskål
Granticka
Tretåig hackspett
Skogshakmossa</t>
        </is>
      </c>
      <c r="S107">
        <f>HYPERLINK("https://klasma.github.io/Logging_2462/artfynd/A 38540-2024 artfynd.xlsx", "A 38540-2024")</f>
        <v/>
      </c>
      <c r="T107">
        <f>HYPERLINK("https://klasma.github.io/Logging_2462/kartor/A 38540-2024 karta.png", "A 38540-2024")</f>
        <v/>
      </c>
      <c r="V107">
        <f>HYPERLINK("https://klasma.github.io/Logging_2462/klagomål/A 38540-2024 FSC-klagomål.docx", "A 38540-2024")</f>
        <v/>
      </c>
      <c r="W107">
        <f>HYPERLINK("https://klasma.github.io/Logging_2462/klagomålsmail/A 38540-2024 FSC-klagomål mail.docx", "A 38540-2024")</f>
        <v/>
      </c>
      <c r="X107">
        <f>HYPERLINK("https://klasma.github.io/Logging_2462/tillsyn/A 38540-2024 tillsynsbegäran.docx", "A 38540-2024")</f>
        <v/>
      </c>
      <c r="Y107">
        <f>HYPERLINK("https://klasma.github.io/Logging_2462/tillsynsmail/A 38540-2024 tillsynsbegäran mail.docx", "A 38540-2024")</f>
        <v/>
      </c>
      <c r="Z107">
        <f>HYPERLINK("https://klasma.github.io/Logging_2462/fåglar/A 38540-2024 prioriterade fågelarter.docx", "A 38540-2024")</f>
        <v/>
      </c>
    </row>
    <row r="108" ht="15" customHeight="1">
      <c r="A108" t="inlineStr">
        <is>
          <t>A 26888-2019</t>
        </is>
      </c>
      <c r="B108" s="1" t="n">
        <v>43608</v>
      </c>
      <c r="C108" s="1" t="n">
        <v>45578</v>
      </c>
      <c r="D108" t="inlineStr">
        <is>
          <t>VÄSTERBOTTENS LÄN</t>
        </is>
      </c>
      <c r="E108" t="inlineStr">
        <is>
          <t>VILHELMINA</t>
        </is>
      </c>
      <c r="G108" t="n">
        <v>22</v>
      </c>
      <c r="H108" t="n">
        <v>1</v>
      </c>
      <c r="I108" t="n">
        <v>0</v>
      </c>
      <c r="J108" t="n">
        <v>4</v>
      </c>
      <c r="K108" t="n">
        <v>1</v>
      </c>
      <c r="L108" t="n">
        <v>0</v>
      </c>
      <c r="M108" t="n">
        <v>0</v>
      </c>
      <c r="N108" t="n">
        <v>0</v>
      </c>
      <c r="O108" t="n">
        <v>5</v>
      </c>
      <c r="P108" t="n">
        <v>1</v>
      </c>
      <c r="Q108" t="n">
        <v>5</v>
      </c>
      <c r="R108" s="2" t="inlineStr">
        <is>
          <t>Rynkskinn
Garnlav
Granticka
Tretåig hackspett
Ullticka</t>
        </is>
      </c>
      <c r="S108">
        <f>HYPERLINK("https://klasma.github.io/Logging_2462/artfynd/A 26888-2019 artfynd.xlsx", "A 26888-2019")</f>
        <v/>
      </c>
      <c r="T108">
        <f>HYPERLINK("https://klasma.github.io/Logging_2462/kartor/A 26888-2019 karta.png", "A 26888-2019")</f>
        <v/>
      </c>
      <c r="V108">
        <f>HYPERLINK("https://klasma.github.io/Logging_2462/klagomål/A 26888-2019 FSC-klagomål.docx", "A 26888-2019")</f>
        <v/>
      </c>
      <c r="W108">
        <f>HYPERLINK("https://klasma.github.io/Logging_2462/klagomålsmail/A 26888-2019 FSC-klagomål mail.docx", "A 26888-2019")</f>
        <v/>
      </c>
      <c r="X108">
        <f>HYPERLINK("https://klasma.github.io/Logging_2462/tillsyn/A 26888-2019 tillsynsbegäran.docx", "A 26888-2019")</f>
        <v/>
      </c>
      <c r="Y108">
        <f>HYPERLINK("https://klasma.github.io/Logging_2462/tillsynsmail/A 26888-2019 tillsynsbegäran mail.docx", "A 26888-2019")</f>
        <v/>
      </c>
      <c r="Z108">
        <f>HYPERLINK("https://klasma.github.io/Logging_2462/fåglar/A 26888-2019 prioriterade fågelarter.docx", "A 26888-2019")</f>
        <v/>
      </c>
    </row>
    <row r="109" ht="15" customHeight="1">
      <c r="A109" t="inlineStr">
        <is>
          <t>A 48237-2019</t>
        </is>
      </c>
      <c r="B109" s="1" t="n">
        <v>43726</v>
      </c>
      <c r="C109" s="1" t="n">
        <v>45578</v>
      </c>
      <c r="D109" t="inlineStr">
        <is>
          <t>VÄSTERBOTTENS LÄN</t>
        </is>
      </c>
      <c r="E109" t="inlineStr">
        <is>
          <t>VILHELMINA</t>
        </is>
      </c>
      <c r="G109" t="n">
        <v>9</v>
      </c>
      <c r="H109" t="n">
        <v>0</v>
      </c>
      <c r="I109" t="n">
        <v>3</v>
      </c>
      <c r="J109" t="n">
        <v>2</v>
      </c>
      <c r="K109" t="n">
        <v>0</v>
      </c>
      <c r="L109" t="n">
        <v>0</v>
      </c>
      <c r="M109" t="n">
        <v>0</v>
      </c>
      <c r="N109" t="n">
        <v>0</v>
      </c>
      <c r="O109" t="n">
        <v>2</v>
      </c>
      <c r="P109" t="n">
        <v>0</v>
      </c>
      <c r="Q109" t="n">
        <v>5</v>
      </c>
      <c r="R109" s="2" t="inlineStr">
        <is>
          <t>Lunglav
Skrovellav
Bårdlav
Skinnlav
Stuplav</t>
        </is>
      </c>
      <c r="S109">
        <f>HYPERLINK("https://klasma.github.io/Logging_2462/artfynd/A 48237-2019 artfynd.xlsx", "A 48237-2019")</f>
        <v/>
      </c>
      <c r="T109">
        <f>HYPERLINK("https://klasma.github.io/Logging_2462/kartor/A 48237-2019 karta.png", "A 48237-2019")</f>
        <v/>
      </c>
      <c r="V109">
        <f>HYPERLINK("https://klasma.github.io/Logging_2462/klagomål/A 48237-2019 FSC-klagomål.docx", "A 48237-2019")</f>
        <v/>
      </c>
      <c r="W109">
        <f>HYPERLINK("https://klasma.github.io/Logging_2462/klagomålsmail/A 48237-2019 FSC-klagomål mail.docx", "A 48237-2019")</f>
        <v/>
      </c>
      <c r="X109">
        <f>HYPERLINK("https://klasma.github.io/Logging_2462/tillsyn/A 48237-2019 tillsynsbegäran.docx", "A 48237-2019")</f>
        <v/>
      </c>
      <c r="Y109">
        <f>HYPERLINK("https://klasma.github.io/Logging_2462/tillsynsmail/A 48237-2019 tillsynsbegäran mail.docx", "A 48237-2019")</f>
        <v/>
      </c>
    </row>
    <row r="110" ht="15" customHeight="1">
      <c r="A110" t="inlineStr">
        <is>
          <t>A 8255-2022</t>
        </is>
      </c>
      <c r="B110" s="1" t="n">
        <v>44609</v>
      </c>
      <c r="C110" s="1" t="n">
        <v>45578</v>
      </c>
      <c r="D110" t="inlineStr">
        <is>
          <t>VÄSTERBOTTENS LÄN</t>
        </is>
      </c>
      <c r="E110" t="inlineStr">
        <is>
          <t>VILHELMINA</t>
        </is>
      </c>
      <c r="G110" t="n">
        <v>15.7</v>
      </c>
      <c r="H110" t="n">
        <v>0</v>
      </c>
      <c r="I110" t="n">
        <v>1</v>
      </c>
      <c r="J110" t="n">
        <v>4</v>
      </c>
      <c r="K110" t="n">
        <v>0</v>
      </c>
      <c r="L110" t="n">
        <v>0</v>
      </c>
      <c r="M110" t="n">
        <v>0</v>
      </c>
      <c r="N110" t="n">
        <v>0</v>
      </c>
      <c r="O110" t="n">
        <v>4</v>
      </c>
      <c r="P110" t="n">
        <v>0</v>
      </c>
      <c r="Q110" t="n">
        <v>5</v>
      </c>
      <c r="R110" s="2" t="inlineStr">
        <is>
          <t>Gammelgransskål
Granticka
Rosenticka
Skrovellav
Trådticka</t>
        </is>
      </c>
      <c r="S110">
        <f>HYPERLINK("https://klasma.github.io/Logging_2462/artfynd/A 8255-2022 artfynd.xlsx", "A 8255-2022")</f>
        <v/>
      </c>
      <c r="T110">
        <f>HYPERLINK("https://klasma.github.io/Logging_2462/kartor/A 8255-2022 karta.png", "A 8255-2022")</f>
        <v/>
      </c>
      <c r="V110">
        <f>HYPERLINK("https://klasma.github.io/Logging_2462/klagomål/A 8255-2022 FSC-klagomål.docx", "A 8255-2022")</f>
        <v/>
      </c>
      <c r="W110">
        <f>HYPERLINK("https://klasma.github.io/Logging_2462/klagomålsmail/A 8255-2022 FSC-klagomål mail.docx", "A 8255-2022")</f>
        <v/>
      </c>
      <c r="X110">
        <f>HYPERLINK("https://klasma.github.io/Logging_2462/tillsyn/A 8255-2022 tillsynsbegäran.docx", "A 8255-2022")</f>
        <v/>
      </c>
      <c r="Y110">
        <f>HYPERLINK("https://klasma.github.io/Logging_2462/tillsynsmail/A 8255-2022 tillsynsbegäran mail.docx", "A 8255-2022")</f>
        <v/>
      </c>
    </row>
    <row r="111" ht="15" customHeight="1">
      <c r="A111" t="inlineStr">
        <is>
          <t>A 19727-2023</t>
        </is>
      </c>
      <c r="B111" s="1" t="n">
        <v>45050</v>
      </c>
      <c r="C111" s="1" t="n">
        <v>45578</v>
      </c>
      <c r="D111" t="inlineStr">
        <is>
          <t>VÄSTERBOTTENS LÄN</t>
        </is>
      </c>
      <c r="E111" t="inlineStr">
        <is>
          <t>VILHELMINA</t>
        </is>
      </c>
      <c r="G111" t="n">
        <v>11.9</v>
      </c>
      <c r="H111" t="n">
        <v>2</v>
      </c>
      <c r="I111" t="n">
        <v>0</v>
      </c>
      <c r="J111" t="n">
        <v>5</v>
      </c>
      <c r="K111" t="n">
        <v>0</v>
      </c>
      <c r="L111" t="n">
        <v>0</v>
      </c>
      <c r="M111" t="n">
        <v>0</v>
      </c>
      <c r="N111" t="n">
        <v>0</v>
      </c>
      <c r="O111" t="n">
        <v>5</v>
      </c>
      <c r="P111" t="n">
        <v>0</v>
      </c>
      <c r="Q111" t="n">
        <v>5</v>
      </c>
      <c r="R111" s="2" t="inlineStr">
        <is>
          <t>Gammelgransskål
Garnlav
Harticka
Spillkråka
Tretåig hackspett</t>
        </is>
      </c>
      <c r="S111">
        <f>HYPERLINK("https://klasma.github.io/Logging_2462/artfynd/A 19727-2023 artfynd.xlsx", "A 19727-2023")</f>
        <v/>
      </c>
      <c r="T111">
        <f>HYPERLINK("https://klasma.github.io/Logging_2462/kartor/A 19727-2023 karta.png", "A 19727-2023")</f>
        <v/>
      </c>
      <c r="V111">
        <f>HYPERLINK("https://klasma.github.io/Logging_2462/klagomål/A 19727-2023 FSC-klagomål.docx", "A 19727-2023")</f>
        <v/>
      </c>
      <c r="W111">
        <f>HYPERLINK("https://klasma.github.io/Logging_2462/klagomålsmail/A 19727-2023 FSC-klagomål mail.docx", "A 19727-2023")</f>
        <v/>
      </c>
      <c r="X111">
        <f>HYPERLINK("https://klasma.github.io/Logging_2462/tillsyn/A 19727-2023 tillsynsbegäran.docx", "A 19727-2023")</f>
        <v/>
      </c>
      <c r="Y111">
        <f>HYPERLINK("https://klasma.github.io/Logging_2462/tillsynsmail/A 19727-2023 tillsynsbegäran mail.docx", "A 19727-2023")</f>
        <v/>
      </c>
      <c r="Z111">
        <f>HYPERLINK("https://klasma.github.io/Logging_2462/fåglar/A 19727-2023 prioriterade fågelarter.docx", "A 19727-2023")</f>
        <v/>
      </c>
    </row>
    <row r="112" ht="15" customHeight="1">
      <c r="A112" t="inlineStr">
        <is>
          <t>A 38550-2024</t>
        </is>
      </c>
      <c r="B112" s="1" t="n">
        <v>45546</v>
      </c>
      <c r="C112" s="1" t="n">
        <v>45578</v>
      </c>
      <c r="D112" t="inlineStr">
        <is>
          <t>VÄSTERBOTTENS LÄN</t>
        </is>
      </c>
      <c r="E112" t="inlineStr">
        <is>
          <t>VILHELMINA</t>
        </is>
      </c>
      <c r="G112" t="n">
        <v>4.6</v>
      </c>
      <c r="H112" t="n">
        <v>0</v>
      </c>
      <c r="I112" t="n">
        <v>1</v>
      </c>
      <c r="J112" t="n">
        <v>4</v>
      </c>
      <c r="K112" t="n">
        <v>0</v>
      </c>
      <c r="L112" t="n">
        <v>0</v>
      </c>
      <c r="M112" t="n">
        <v>0</v>
      </c>
      <c r="N112" t="n">
        <v>0</v>
      </c>
      <c r="O112" t="n">
        <v>4</v>
      </c>
      <c r="P112" t="n">
        <v>0</v>
      </c>
      <c r="Q112" t="n">
        <v>5</v>
      </c>
      <c r="R112" s="2" t="inlineStr">
        <is>
          <t>Garnlav
Granticka
Harticka
Ullticka
Stuplav</t>
        </is>
      </c>
      <c r="S112">
        <f>HYPERLINK("https://klasma.github.io/Logging_2462/artfynd/A 38550-2024 artfynd.xlsx", "A 38550-2024")</f>
        <v/>
      </c>
      <c r="T112">
        <f>HYPERLINK("https://klasma.github.io/Logging_2462/kartor/A 38550-2024 karta.png", "A 38550-2024")</f>
        <v/>
      </c>
      <c r="V112">
        <f>HYPERLINK("https://klasma.github.io/Logging_2462/klagomål/A 38550-2024 FSC-klagomål.docx", "A 38550-2024")</f>
        <v/>
      </c>
      <c r="W112">
        <f>HYPERLINK("https://klasma.github.io/Logging_2462/klagomålsmail/A 38550-2024 FSC-klagomål mail.docx", "A 38550-2024")</f>
        <v/>
      </c>
      <c r="X112">
        <f>HYPERLINK("https://klasma.github.io/Logging_2462/tillsyn/A 38550-2024 tillsynsbegäran.docx", "A 38550-2024")</f>
        <v/>
      </c>
      <c r="Y112">
        <f>HYPERLINK("https://klasma.github.io/Logging_2462/tillsynsmail/A 38550-2024 tillsynsbegäran mail.docx", "A 38550-2024")</f>
        <v/>
      </c>
    </row>
    <row r="113" ht="15" customHeight="1">
      <c r="A113" t="inlineStr">
        <is>
          <t>A 29234-2020</t>
        </is>
      </c>
      <c r="B113" s="1" t="n">
        <v>44000</v>
      </c>
      <c r="C113" s="1" t="n">
        <v>45578</v>
      </c>
      <c r="D113" t="inlineStr">
        <is>
          <t>VÄSTERBOTTENS LÄN</t>
        </is>
      </c>
      <c r="E113" t="inlineStr">
        <is>
          <t>VILHELMINA</t>
        </is>
      </c>
      <c r="F113" t="inlineStr">
        <is>
          <t>Allmännings- och besparingsskogar</t>
        </is>
      </c>
      <c r="G113" t="n">
        <v>14.1</v>
      </c>
      <c r="H113" t="n">
        <v>0</v>
      </c>
      <c r="I113" t="n">
        <v>1</v>
      </c>
      <c r="J113" t="n">
        <v>3</v>
      </c>
      <c r="K113" t="n">
        <v>0</v>
      </c>
      <c r="L113" t="n">
        <v>0</v>
      </c>
      <c r="M113" t="n">
        <v>0</v>
      </c>
      <c r="N113" t="n">
        <v>0</v>
      </c>
      <c r="O113" t="n">
        <v>3</v>
      </c>
      <c r="P113" t="n">
        <v>0</v>
      </c>
      <c r="Q113" t="n">
        <v>4</v>
      </c>
      <c r="R113" s="2" t="inlineStr">
        <is>
          <t>Garnlav
Granticka
Gränsticka
Stuplav</t>
        </is>
      </c>
      <c r="S113">
        <f>HYPERLINK("https://klasma.github.io/Logging_2462/artfynd/A 29234-2020 artfynd.xlsx", "A 29234-2020")</f>
        <v/>
      </c>
      <c r="T113">
        <f>HYPERLINK("https://klasma.github.io/Logging_2462/kartor/A 29234-2020 karta.png", "A 29234-2020")</f>
        <v/>
      </c>
      <c r="V113">
        <f>HYPERLINK("https://klasma.github.io/Logging_2462/klagomål/A 29234-2020 FSC-klagomål.docx", "A 29234-2020")</f>
        <v/>
      </c>
      <c r="W113">
        <f>HYPERLINK("https://klasma.github.io/Logging_2462/klagomålsmail/A 29234-2020 FSC-klagomål mail.docx", "A 29234-2020")</f>
        <v/>
      </c>
      <c r="X113">
        <f>HYPERLINK("https://klasma.github.io/Logging_2462/tillsyn/A 29234-2020 tillsynsbegäran.docx", "A 29234-2020")</f>
        <v/>
      </c>
      <c r="Y113">
        <f>HYPERLINK("https://klasma.github.io/Logging_2462/tillsynsmail/A 29234-2020 tillsynsbegäran mail.docx", "A 29234-2020")</f>
        <v/>
      </c>
    </row>
    <row r="114" ht="15" customHeight="1">
      <c r="A114" t="inlineStr">
        <is>
          <t>A 900-2021</t>
        </is>
      </c>
      <c r="B114" s="1" t="n">
        <v>44206</v>
      </c>
      <c r="C114" s="1" t="n">
        <v>45578</v>
      </c>
      <c r="D114" t="inlineStr">
        <is>
          <t>VÄSTERBOTTENS LÄN</t>
        </is>
      </c>
      <c r="E114" t="inlineStr">
        <is>
          <t>VILHELMINA</t>
        </is>
      </c>
      <c r="F114" t="inlineStr">
        <is>
          <t>SCA</t>
        </is>
      </c>
      <c r="G114" t="n">
        <v>2.3</v>
      </c>
      <c r="H114" t="n">
        <v>0</v>
      </c>
      <c r="I114" t="n">
        <v>3</v>
      </c>
      <c r="J114" t="n">
        <v>1</v>
      </c>
      <c r="K114" t="n">
        <v>0</v>
      </c>
      <c r="L114" t="n">
        <v>0</v>
      </c>
      <c r="M114" t="n">
        <v>0</v>
      </c>
      <c r="N114" t="n">
        <v>0</v>
      </c>
      <c r="O114" t="n">
        <v>1</v>
      </c>
      <c r="P114" t="n">
        <v>0</v>
      </c>
      <c r="Q114" t="n">
        <v>4</v>
      </c>
      <c r="R114" s="2" t="inlineStr">
        <is>
          <t>Lunglav
Bårdlav
Strutbräken
Stuplav</t>
        </is>
      </c>
      <c r="S114">
        <f>HYPERLINK("https://klasma.github.io/Logging_2462/artfynd/A 900-2021 artfynd.xlsx", "A 900-2021")</f>
        <v/>
      </c>
      <c r="T114">
        <f>HYPERLINK("https://klasma.github.io/Logging_2462/kartor/A 900-2021 karta.png", "A 900-2021")</f>
        <v/>
      </c>
      <c r="V114">
        <f>HYPERLINK("https://klasma.github.io/Logging_2462/klagomål/A 900-2021 FSC-klagomål.docx", "A 900-2021")</f>
        <v/>
      </c>
      <c r="W114">
        <f>HYPERLINK("https://klasma.github.io/Logging_2462/klagomålsmail/A 900-2021 FSC-klagomål mail.docx", "A 900-2021")</f>
        <v/>
      </c>
      <c r="X114">
        <f>HYPERLINK("https://klasma.github.io/Logging_2462/tillsyn/A 900-2021 tillsynsbegäran.docx", "A 900-2021")</f>
        <v/>
      </c>
      <c r="Y114">
        <f>HYPERLINK("https://klasma.github.io/Logging_2462/tillsynsmail/A 900-2021 tillsynsbegäran mail.docx", "A 900-2021")</f>
        <v/>
      </c>
    </row>
    <row r="115" ht="15" customHeight="1">
      <c r="A115" t="inlineStr">
        <is>
          <t>A 31198-2023</t>
        </is>
      </c>
      <c r="B115" s="1" t="n">
        <v>45113</v>
      </c>
      <c r="C115" s="1" t="n">
        <v>45578</v>
      </c>
      <c r="D115" t="inlineStr">
        <is>
          <t>VÄSTERBOTTENS LÄN</t>
        </is>
      </c>
      <c r="E115" t="inlineStr">
        <is>
          <t>VILHELMINA</t>
        </is>
      </c>
      <c r="F115" t="inlineStr">
        <is>
          <t>SCA</t>
        </is>
      </c>
      <c r="G115" t="n">
        <v>4.2</v>
      </c>
      <c r="H115" t="n">
        <v>1</v>
      </c>
      <c r="I115" t="n">
        <v>0</v>
      </c>
      <c r="J115" t="n">
        <v>4</v>
      </c>
      <c r="K115" t="n">
        <v>0</v>
      </c>
      <c r="L115" t="n">
        <v>0</v>
      </c>
      <c r="M115" t="n">
        <v>0</v>
      </c>
      <c r="N115" t="n">
        <v>0</v>
      </c>
      <c r="O115" t="n">
        <v>4</v>
      </c>
      <c r="P115" t="n">
        <v>0</v>
      </c>
      <c r="Q115" t="n">
        <v>4</v>
      </c>
      <c r="R115" s="2" t="inlineStr">
        <is>
          <t>Garnlav
Knottrig blåslav
Tretåig hackspett
Vitgrynig nållav</t>
        </is>
      </c>
      <c r="S115">
        <f>HYPERLINK("https://klasma.github.io/Logging_2462/artfynd/A 31198-2023 artfynd.xlsx", "A 31198-2023")</f>
        <v/>
      </c>
      <c r="T115">
        <f>HYPERLINK("https://klasma.github.io/Logging_2462/kartor/A 31198-2023 karta.png", "A 31198-2023")</f>
        <v/>
      </c>
      <c r="V115">
        <f>HYPERLINK("https://klasma.github.io/Logging_2462/klagomål/A 31198-2023 FSC-klagomål.docx", "A 31198-2023")</f>
        <v/>
      </c>
      <c r="W115">
        <f>HYPERLINK("https://klasma.github.io/Logging_2462/klagomålsmail/A 31198-2023 FSC-klagomål mail.docx", "A 31198-2023")</f>
        <v/>
      </c>
      <c r="X115">
        <f>HYPERLINK("https://klasma.github.io/Logging_2462/tillsyn/A 31198-2023 tillsynsbegäran.docx", "A 31198-2023")</f>
        <v/>
      </c>
      <c r="Y115">
        <f>HYPERLINK("https://klasma.github.io/Logging_2462/tillsynsmail/A 31198-2023 tillsynsbegäran mail.docx", "A 31198-2023")</f>
        <v/>
      </c>
      <c r="Z115">
        <f>HYPERLINK("https://klasma.github.io/Logging_2462/fåglar/A 31198-2023 prioriterade fågelarter.docx", "A 31198-2023")</f>
        <v/>
      </c>
    </row>
    <row r="116" ht="15" customHeight="1">
      <c r="A116" t="inlineStr">
        <is>
          <t>A 44382-2023</t>
        </is>
      </c>
      <c r="B116" s="1" t="n">
        <v>45189</v>
      </c>
      <c r="C116" s="1" t="n">
        <v>45578</v>
      </c>
      <c r="D116" t="inlineStr">
        <is>
          <t>VÄSTERBOTTENS LÄN</t>
        </is>
      </c>
      <c r="E116" t="inlineStr">
        <is>
          <t>VILHELMINA</t>
        </is>
      </c>
      <c r="F116" t="inlineStr">
        <is>
          <t>SCA</t>
        </is>
      </c>
      <c r="G116" t="n">
        <v>2.8</v>
      </c>
      <c r="H116" t="n">
        <v>1</v>
      </c>
      <c r="I116" t="n">
        <v>1</v>
      </c>
      <c r="J116" t="n">
        <v>3</v>
      </c>
      <c r="K116" t="n">
        <v>0</v>
      </c>
      <c r="L116" t="n">
        <v>0</v>
      </c>
      <c r="M116" t="n">
        <v>0</v>
      </c>
      <c r="N116" t="n">
        <v>0</v>
      </c>
      <c r="O116" t="n">
        <v>3</v>
      </c>
      <c r="P116" t="n">
        <v>0</v>
      </c>
      <c r="Q116" t="n">
        <v>4</v>
      </c>
      <c r="R116" s="2" t="inlineStr">
        <is>
          <t>Garnlav
Lunglav
Talltita
Stuplav</t>
        </is>
      </c>
      <c r="S116">
        <f>HYPERLINK("https://klasma.github.io/Logging_2462/artfynd/A 44382-2023 artfynd.xlsx", "A 44382-2023")</f>
        <v/>
      </c>
      <c r="T116">
        <f>HYPERLINK("https://klasma.github.io/Logging_2462/kartor/A 44382-2023 karta.png", "A 44382-2023")</f>
        <v/>
      </c>
      <c r="V116">
        <f>HYPERLINK("https://klasma.github.io/Logging_2462/klagomål/A 44382-2023 FSC-klagomål.docx", "A 44382-2023")</f>
        <v/>
      </c>
      <c r="W116">
        <f>HYPERLINK("https://klasma.github.io/Logging_2462/klagomålsmail/A 44382-2023 FSC-klagomål mail.docx", "A 44382-2023")</f>
        <v/>
      </c>
      <c r="X116">
        <f>HYPERLINK("https://klasma.github.io/Logging_2462/tillsyn/A 44382-2023 tillsynsbegäran.docx", "A 44382-2023")</f>
        <v/>
      </c>
      <c r="Y116">
        <f>HYPERLINK("https://klasma.github.io/Logging_2462/tillsynsmail/A 44382-2023 tillsynsbegäran mail.docx", "A 44382-2023")</f>
        <v/>
      </c>
      <c r="Z116">
        <f>HYPERLINK("https://klasma.github.io/Logging_2462/fåglar/A 44382-2023 prioriterade fågelarter.docx", "A 44382-2023")</f>
        <v/>
      </c>
    </row>
    <row r="117" ht="15" customHeight="1">
      <c r="A117" t="inlineStr">
        <is>
          <t>A 40736-2024</t>
        </is>
      </c>
      <c r="B117" s="1" t="n">
        <v>45558</v>
      </c>
      <c r="C117" s="1" t="n">
        <v>45578</v>
      </c>
      <c r="D117" t="inlineStr">
        <is>
          <t>VÄSTERBOTTENS LÄN</t>
        </is>
      </c>
      <c r="E117" t="inlineStr">
        <is>
          <t>VILHELMINA</t>
        </is>
      </c>
      <c r="F117" t="inlineStr">
        <is>
          <t>Allmännings- och besparingsskogar</t>
        </is>
      </c>
      <c r="G117" t="n">
        <v>284.2</v>
      </c>
      <c r="H117" t="n">
        <v>0</v>
      </c>
      <c r="I117" t="n">
        <v>0</v>
      </c>
      <c r="J117" t="n">
        <v>4</v>
      </c>
      <c r="K117" t="n">
        <v>0</v>
      </c>
      <c r="L117" t="n">
        <v>0</v>
      </c>
      <c r="M117" t="n">
        <v>0</v>
      </c>
      <c r="N117" t="n">
        <v>0</v>
      </c>
      <c r="O117" t="n">
        <v>4</v>
      </c>
      <c r="P117" t="n">
        <v>0</v>
      </c>
      <c r="Q117" t="n">
        <v>4</v>
      </c>
      <c r="R117" s="2" t="inlineStr">
        <is>
          <t>Gammelgransskål
Granticka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63164-2020</t>
        </is>
      </c>
      <c r="B118" s="1" t="n">
        <v>44162</v>
      </c>
      <c r="C118" s="1" t="n">
        <v>45578</v>
      </c>
      <c r="D118" t="inlineStr">
        <is>
          <t>VÄSTERBOTTENS LÄN</t>
        </is>
      </c>
      <c r="E118" t="inlineStr">
        <is>
          <t>VILHELMINA</t>
        </is>
      </c>
      <c r="F118" t="inlineStr">
        <is>
          <t>SCA</t>
        </is>
      </c>
      <c r="G118" t="n">
        <v>5.9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HYPERLINK("https://klasma.github.io/Logging_2462/artfynd/A 63164-2020 artfynd.xlsx", "A 63164-2020")</f>
        <v/>
      </c>
      <c r="T118">
        <f>HYPERLINK("https://klasma.github.io/Logging_2462/kartor/A 63164-2020 karta.png", "A 63164-2020")</f>
        <v/>
      </c>
      <c r="V118">
        <f>HYPERLINK("https://klasma.github.io/Logging_2462/klagomål/A 63164-2020 FSC-klagomål.docx", "A 63164-2020")</f>
        <v/>
      </c>
      <c r="W118">
        <f>HYPERLINK("https://klasma.github.io/Logging_2462/klagomålsmail/A 63164-2020 FSC-klagomål mail.docx", "A 63164-2020")</f>
        <v/>
      </c>
      <c r="X118">
        <f>HYPERLINK("https://klasma.github.io/Logging_2462/tillsyn/A 63164-2020 tillsynsbegäran.docx", "A 63164-2020")</f>
        <v/>
      </c>
      <c r="Y118">
        <f>HYPERLINK("https://klasma.github.io/Logging_2462/tillsynsmail/A 63164-2020 tillsynsbegäran mail.docx", "A 63164-2020")</f>
        <v/>
      </c>
      <c r="Z118">
        <f>HYPERLINK("https://klasma.github.io/Logging_2462/fåglar/A 63164-2020 prioriterade fågelarter.docx", "A 63164-2020")</f>
        <v/>
      </c>
    </row>
    <row r="119" ht="15" customHeight="1">
      <c r="A119" t="inlineStr">
        <is>
          <t>A 34718-2021</t>
        </is>
      </c>
      <c r="B119" s="1" t="n">
        <v>44382</v>
      </c>
      <c r="C119" s="1" t="n">
        <v>45578</v>
      </c>
      <c r="D119" t="inlineStr">
        <is>
          <t>VÄSTERBOTTENS LÄN</t>
        </is>
      </c>
      <c r="E119" t="inlineStr">
        <is>
          <t>VILHELMINA</t>
        </is>
      </c>
      <c r="F119" t="inlineStr">
        <is>
          <t>Allmännings- och besparingsskogar</t>
        </is>
      </c>
      <c r="G119" t="n">
        <v>8</v>
      </c>
      <c r="H119" t="n">
        <v>0</v>
      </c>
      <c r="I119" t="n">
        <v>0</v>
      </c>
      <c r="J119" t="n">
        <v>3</v>
      </c>
      <c r="K119" t="n">
        <v>0</v>
      </c>
      <c r="L119" t="n">
        <v>0</v>
      </c>
      <c r="M119" t="n">
        <v>0</v>
      </c>
      <c r="N119" t="n">
        <v>0</v>
      </c>
      <c r="O119" t="n">
        <v>3</v>
      </c>
      <c r="P119" t="n">
        <v>0</v>
      </c>
      <c r="Q119" t="n">
        <v>3</v>
      </c>
      <c r="R119" s="2" t="inlineStr">
        <is>
          <t>Garnlav
Granticka
Gränsticka</t>
        </is>
      </c>
      <c r="S119">
        <f>HYPERLINK("https://klasma.github.io/Logging_2462/artfynd/A 34718-2021 artfynd.xlsx", "A 34718-2021")</f>
        <v/>
      </c>
      <c r="T119">
        <f>HYPERLINK("https://klasma.github.io/Logging_2462/kartor/A 34718-2021 karta.png", "A 34718-2021")</f>
        <v/>
      </c>
      <c r="V119">
        <f>HYPERLINK("https://klasma.github.io/Logging_2462/klagomål/A 34718-2021 FSC-klagomål.docx", "A 34718-2021")</f>
        <v/>
      </c>
      <c r="W119">
        <f>HYPERLINK("https://klasma.github.io/Logging_2462/klagomålsmail/A 34718-2021 FSC-klagomål mail.docx", "A 34718-2021")</f>
        <v/>
      </c>
      <c r="X119">
        <f>HYPERLINK("https://klasma.github.io/Logging_2462/tillsyn/A 34718-2021 tillsynsbegäran.docx", "A 34718-2021")</f>
        <v/>
      </c>
      <c r="Y119">
        <f>HYPERLINK("https://klasma.github.io/Logging_2462/tillsynsmail/A 34718-2021 tillsynsbegäran mail.docx", "A 34718-2021")</f>
        <v/>
      </c>
    </row>
    <row r="120" ht="15" customHeight="1">
      <c r="A120" t="inlineStr">
        <is>
          <t>A 40687-2021</t>
        </is>
      </c>
      <c r="B120" s="1" t="n">
        <v>44420</v>
      </c>
      <c r="C120" s="1" t="n">
        <v>45578</v>
      </c>
      <c r="D120" t="inlineStr">
        <is>
          <t>VÄSTERBOTTENS LÄN</t>
        </is>
      </c>
      <c r="E120" t="inlineStr">
        <is>
          <t>VILHELMINA</t>
        </is>
      </c>
      <c r="G120" t="n">
        <v>5.4</v>
      </c>
      <c r="H120" t="n">
        <v>1</v>
      </c>
      <c r="I120" t="n">
        <v>1</v>
      </c>
      <c r="J120" t="n">
        <v>2</v>
      </c>
      <c r="K120" t="n">
        <v>0</v>
      </c>
      <c r="L120" t="n">
        <v>0</v>
      </c>
      <c r="M120" t="n">
        <v>0</v>
      </c>
      <c r="N120" t="n">
        <v>0</v>
      </c>
      <c r="O120" t="n">
        <v>2</v>
      </c>
      <c r="P120" t="n">
        <v>0</v>
      </c>
      <c r="Q120" t="n">
        <v>3</v>
      </c>
      <c r="R120" s="2" t="inlineStr">
        <is>
          <t>Garnlav
Granticka
Spindelblomster</t>
        </is>
      </c>
      <c r="S120">
        <f>HYPERLINK("https://klasma.github.io/Logging_2462/artfynd/A 40687-2021 artfynd.xlsx", "A 40687-2021")</f>
        <v/>
      </c>
      <c r="T120">
        <f>HYPERLINK("https://klasma.github.io/Logging_2462/kartor/A 40687-2021 karta.png", "A 40687-2021")</f>
        <v/>
      </c>
      <c r="V120">
        <f>HYPERLINK("https://klasma.github.io/Logging_2462/klagomål/A 40687-2021 FSC-klagomål.docx", "A 40687-2021")</f>
        <v/>
      </c>
      <c r="W120">
        <f>HYPERLINK("https://klasma.github.io/Logging_2462/klagomålsmail/A 40687-2021 FSC-klagomål mail.docx", "A 40687-2021")</f>
        <v/>
      </c>
      <c r="X120">
        <f>HYPERLINK("https://klasma.github.io/Logging_2462/tillsyn/A 40687-2021 tillsynsbegäran.docx", "A 40687-2021")</f>
        <v/>
      </c>
      <c r="Y120">
        <f>HYPERLINK("https://klasma.github.io/Logging_2462/tillsynsmail/A 40687-2021 tillsynsbegäran mail.docx", "A 40687-2021")</f>
        <v/>
      </c>
    </row>
    <row r="121" ht="15" customHeight="1">
      <c r="A121" t="inlineStr">
        <is>
          <t>A 65382-2021</t>
        </is>
      </c>
      <c r="B121" s="1" t="n">
        <v>44515</v>
      </c>
      <c r="C121" s="1" t="n">
        <v>45578</v>
      </c>
      <c r="D121" t="inlineStr">
        <is>
          <t>VÄSTERBOTTENS LÄN</t>
        </is>
      </c>
      <c r="E121" t="inlineStr">
        <is>
          <t>VILHELMINA</t>
        </is>
      </c>
      <c r="G121" t="n">
        <v>10.7</v>
      </c>
      <c r="H121" t="n">
        <v>0</v>
      </c>
      <c r="I121" t="n">
        <v>0</v>
      </c>
      <c r="J121" t="n">
        <v>2</v>
      </c>
      <c r="K121" t="n">
        <v>1</v>
      </c>
      <c r="L121" t="n">
        <v>0</v>
      </c>
      <c r="M121" t="n">
        <v>0</v>
      </c>
      <c r="N121" t="n">
        <v>0</v>
      </c>
      <c r="O121" t="n">
        <v>3</v>
      </c>
      <c r="P121" t="n">
        <v>1</v>
      </c>
      <c r="Q121" t="n">
        <v>3</v>
      </c>
      <c r="R121" s="2" t="inlineStr">
        <is>
          <t>Rynkskinn
Lunglav
Rosenticka</t>
        </is>
      </c>
      <c r="S121">
        <f>HYPERLINK("https://klasma.github.io/Logging_2462/artfynd/A 65382-2021 artfynd.xlsx", "A 65382-2021")</f>
        <v/>
      </c>
      <c r="T121">
        <f>HYPERLINK("https://klasma.github.io/Logging_2462/kartor/A 65382-2021 karta.png", "A 65382-2021")</f>
        <v/>
      </c>
      <c r="V121">
        <f>HYPERLINK("https://klasma.github.io/Logging_2462/klagomål/A 65382-2021 FSC-klagomål.docx", "A 65382-2021")</f>
        <v/>
      </c>
      <c r="W121">
        <f>HYPERLINK("https://klasma.github.io/Logging_2462/klagomålsmail/A 65382-2021 FSC-klagomål mail.docx", "A 65382-2021")</f>
        <v/>
      </c>
      <c r="X121">
        <f>HYPERLINK("https://klasma.github.io/Logging_2462/tillsyn/A 65382-2021 tillsynsbegäran.docx", "A 65382-2021")</f>
        <v/>
      </c>
      <c r="Y121">
        <f>HYPERLINK("https://klasma.github.io/Logging_2462/tillsynsmail/A 65382-2021 tillsynsbegäran mail.docx", "A 65382-2021")</f>
        <v/>
      </c>
    </row>
    <row r="122" ht="15" customHeight="1">
      <c r="A122" t="inlineStr">
        <is>
          <t>A 25503-2022</t>
        </is>
      </c>
      <c r="B122" s="1" t="n">
        <v>44732</v>
      </c>
      <c r="C122" s="1" t="n">
        <v>45578</v>
      </c>
      <c r="D122" t="inlineStr">
        <is>
          <t>VÄSTERBOTTENS LÄN</t>
        </is>
      </c>
      <c r="E122" t="inlineStr">
        <is>
          <t>VILHELMINA</t>
        </is>
      </c>
      <c r="G122" t="n">
        <v>1.9</v>
      </c>
      <c r="H122" t="n">
        <v>0</v>
      </c>
      <c r="I122" t="n">
        <v>3</v>
      </c>
      <c r="J122" t="n">
        <v>0</v>
      </c>
      <c r="K122" t="n">
        <v>0</v>
      </c>
      <c r="L122" t="n">
        <v>0</v>
      </c>
      <c r="M122" t="n">
        <v>0</v>
      </c>
      <c r="N122" t="n">
        <v>0</v>
      </c>
      <c r="O122" t="n">
        <v>0</v>
      </c>
      <c r="P122" t="n">
        <v>0</v>
      </c>
      <c r="Q122" t="n">
        <v>3</v>
      </c>
      <c r="R122" s="2" t="inlineStr">
        <is>
          <t>Gulnål
Skinnlav
Stuplav</t>
        </is>
      </c>
      <c r="S122">
        <f>HYPERLINK("https://klasma.github.io/Logging_2462/artfynd/A 25503-2022 artfynd.xlsx", "A 25503-2022")</f>
        <v/>
      </c>
      <c r="T122">
        <f>HYPERLINK("https://klasma.github.io/Logging_2462/kartor/A 25503-2022 karta.png", "A 25503-2022")</f>
        <v/>
      </c>
      <c r="V122">
        <f>HYPERLINK("https://klasma.github.io/Logging_2462/klagomål/A 25503-2022 FSC-klagomål.docx", "A 25503-2022")</f>
        <v/>
      </c>
      <c r="W122">
        <f>HYPERLINK("https://klasma.github.io/Logging_2462/klagomålsmail/A 25503-2022 FSC-klagomål mail.docx", "A 25503-2022")</f>
        <v/>
      </c>
      <c r="X122">
        <f>HYPERLINK("https://klasma.github.io/Logging_2462/tillsyn/A 25503-2022 tillsynsbegäran.docx", "A 25503-2022")</f>
        <v/>
      </c>
      <c r="Y122">
        <f>HYPERLINK("https://klasma.github.io/Logging_2462/tillsynsmail/A 25503-2022 tillsynsbegäran mail.docx", "A 25503-2022")</f>
        <v/>
      </c>
    </row>
    <row r="123" ht="15" customHeight="1">
      <c r="A123" t="inlineStr">
        <is>
          <t>A 9157-2023</t>
        </is>
      </c>
      <c r="B123" s="1" t="n">
        <v>44972</v>
      </c>
      <c r="C123" s="1" t="n">
        <v>45578</v>
      </c>
      <c r="D123" t="inlineStr">
        <is>
          <t>VÄSTERBOTTENS LÄN</t>
        </is>
      </c>
      <c r="E123" t="inlineStr">
        <is>
          <t>VILHELMINA</t>
        </is>
      </c>
      <c r="F123" t="inlineStr">
        <is>
          <t>Allmännings- och besparingsskogar</t>
        </is>
      </c>
      <c r="G123" t="n">
        <v>408.3</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HYPERLINK("https://klasma.github.io/Logging_2462/artfynd/A 9157-2023 artfynd.xlsx", "A 9157-2023")</f>
        <v/>
      </c>
      <c r="T123">
        <f>HYPERLINK("https://klasma.github.io/Logging_2462/kartor/A 9157-2023 karta.png", "A 9157-2023")</f>
        <v/>
      </c>
      <c r="V123">
        <f>HYPERLINK("https://klasma.github.io/Logging_2462/klagomål/A 9157-2023 FSC-klagomål.docx", "A 9157-2023")</f>
        <v/>
      </c>
      <c r="W123">
        <f>HYPERLINK("https://klasma.github.io/Logging_2462/klagomålsmail/A 9157-2023 FSC-klagomål mail.docx", "A 9157-2023")</f>
        <v/>
      </c>
      <c r="X123">
        <f>HYPERLINK("https://klasma.github.io/Logging_2462/tillsyn/A 9157-2023 tillsynsbegäran.docx", "A 9157-2023")</f>
        <v/>
      </c>
      <c r="Y123">
        <f>HYPERLINK("https://klasma.github.io/Logging_2462/tillsynsmail/A 9157-2023 tillsynsbegäran mail.docx", "A 9157-2023")</f>
        <v/>
      </c>
    </row>
    <row r="124" ht="15" customHeight="1">
      <c r="A124" t="inlineStr">
        <is>
          <t>A 54609-2023</t>
        </is>
      </c>
      <c r="B124" s="1" t="n">
        <v>45233</v>
      </c>
      <c r="C124" s="1" t="n">
        <v>45578</v>
      </c>
      <c r="D124" t="inlineStr">
        <is>
          <t>VÄSTERBOTTENS LÄN</t>
        </is>
      </c>
      <c r="E124" t="inlineStr">
        <is>
          <t>VILHELMINA</t>
        </is>
      </c>
      <c r="F124" t="inlineStr">
        <is>
          <t>SCA</t>
        </is>
      </c>
      <c r="G124" t="n">
        <v>3.3</v>
      </c>
      <c r="H124" t="n">
        <v>3</v>
      </c>
      <c r="I124" t="n">
        <v>0</v>
      </c>
      <c r="J124" t="n">
        <v>2</v>
      </c>
      <c r="K124" t="n">
        <v>0</v>
      </c>
      <c r="L124" t="n">
        <v>0</v>
      </c>
      <c r="M124" t="n">
        <v>0</v>
      </c>
      <c r="N124" t="n">
        <v>0</v>
      </c>
      <c r="O124" t="n">
        <v>2</v>
      </c>
      <c r="P124" t="n">
        <v>0</v>
      </c>
      <c r="Q124" t="n">
        <v>3</v>
      </c>
      <c r="R124" s="2" t="inlineStr">
        <is>
          <t>Buskskvätta
Svartvit flugsnappare
Gråspett</t>
        </is>
      </c>
      <c r="S124">
        <f>HYPERLINK("https://klasma.github.io/Logging_2462/artfynd/A 54609-2023 artfynd.xlsx", "A 54609-2023")</f>
        <v/>
      </c>
      <c r="T124">
        <f>HYPERLINK("https://klasma.github.io/Logging_2462/kartor/A 54609-2023 karta.png", "A 54609-2023")</f>
        <v/>
      </c>
      <c r="V124">
        <f>HYPERLINK("https://klasma.github.io/Logging_2462/klagomål/A 54609-2023 FSC-klagomål.docx", "A 54609-2023")</f>
        <v/>
      </c>
      <c r="W124">
        <f>HYPERLINK("https://klasma.github.io/Logging_2462/klagomålsmail/A 54609-2023 FSC-klagomål mail.docx", "A 54609-2023")</f>
        <v/>
      </c>
      <c r="X124">
        <f>HYPERLINK("https://klasma.github.io/Logging_2462/tillsyn/A 54609-2023 tillsynsbegäran.docx", "A 54609-2023")</f>
        <v/>
      </c>
      <c r="Y124">
        <f>HYPERLINK("https://klasma.github.io/Logging_2462/tillsynsmail/A 54609-2023 tillsynsbegäran mail.docx", "A 54609-2023")</f>
        <v/>
      </c>
      <c r="Z124">
        <f>HYPERLINK("https://klasma.github.io/Logging_2462/fåglar/A 54609-2023 prioriterade fågelarter.docx", "A 54609-2023")</f>
        <v/>
      </c>
    </row>
    <row r="125" ht="15" customHeight="1">
      <c r="A125" t="inlineStr">
        <is>
          <t>A 30810-2024</t>
        </is>
      </c>
      <c r="B125" s="1" t="n">
        <v>45497</v>
      </c>
      <c r="C125" s="1" t="n">
        <v>45578</v>
      </c>
      <c r="D125" t="inlineStr">
        <is>
          <t>VÄSTERBOTTENS LÄN</t>
        </is>
      </c>
      <c r="E125" t="inlineStr">
        <is>
          <t>VILHELMINA</t>
        </is>
      </c>
      <c r="G125" t="n">
        <v>24.7</v>
      </c>
      <c r="H125" t="n">
        <v>1</v>
      </c>
      <c r="I125" t="n">
        <v>0</v>
      </c>
      <c r="J125" t="n">
        <v>3</v>
      </c>
      <c r="K125" t="n">
        <v>0</v>
      </c>
      <c r="L125" t="n">
        <v>0</v>
      </c>
      <c r="M125" t="n">
        <v>0</v>
      </c>
      <c r="N125" t="n">
        <v>0</v>
      </c>
      <c r="O125" t="n">
        <v>3</v>
      </c>
      <c r="P125" t="n">
        <v>0</v>
      </c>
      <c r="Q125" t="n">
        <v>3</v>
      </c>
      <c r="R125" s="2" t="inlineStr">
        <is>
          <t>Harticka
Tretåig hackspett
Ullticka</t>
        </is>
      </c>
      <c r="S125">
        <f>HYPERLINK("https://klasma.github.io/Logging_2462/artfynd/A 30810-2024 artfynd.xlsx", "A 30810-2024")</f>
        <v/>
      </c>
      <c r="T125">
        <f>HYPERLINK("https://klasma.github.io/Logging_2462/kartor/A 30810-2024 karta.png", "A 30810-2024")</f>
        <v/>
      </c>
      <c r="V125">
        <f>HYPERLINK("https://klasma.github.io/Logging_2462/klagomål/A 30810-2024 FSC-klagomål.docx", "A 30810-2024")</f>
        <v/>
      </c>
      <c r="W125">
        <f>HYPERLINK("https://klasma.github.io/Logging_2462/klagomålsmail/A 30810-2024 FSC-klagomål mail.docx", "A 30810-2024")</f>
        <v/>
      </c>
      <c r="X125">
        <f>HYPERLINK("https://klasma.github.io/Logging_2462/tillsyn/A 30810-2024 tillsynsbegäran.docx", "A 30810-2024")</f>
        <v/>
      </c>
      <c r="Y125">
        <f>HYPERLINK("https://klasma.github.io/Logging_2462/tillsynsmail/A 30810-2024 tillsynsbegäran mail.docx", "A 30810-2024")</f>
        <v/>
      </c>
      <c r="Z125">
        <f>HYPERLINK("https://klasma.github.io/Logging_2462/fåglar/A 30810-2024 prioriterade fågelarter.docx", "A 30810-2024")</f>
        <v/>
      </c>
    </row>
    <row r="126" ht="15" customHeight="1">
      <c r="A126" t="inlineStr">
        <is>
          <t>A 32456-2024</t>
        </is>
      </c>
      <c r="B126" s="1" t="n">
        <v>45513</v>
      </c>
      <c r="C126" s="1" t="n">
        <v>45578</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45578</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45578</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45578</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45578</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45578</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45578</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45578</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45578</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45578</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45578</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45578</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45578</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45578</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45578</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45578</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45578</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45578</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45578</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45578</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45578</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45578</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45578</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45578</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45578</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45578</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45578</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51774-2019</t>
        </is>
      </c>
      <c r="B153" s="1" t="n">
        <v>43741</v>
      </c>
      <c r="C153" s="1" t="n">
        <v>45578</v>
      </c>
      <c r="D153" t="inlineStr">
        <is>
          <t>VÄSTERBOTTENS LÄN</t>
        </is>
      </c>
      <c r="E153" t="inlineStr">
        <is>
          <t>VILHELMINA</t>
        </is>
      </c>
      <c r="F153" t="inlineStr">
        <is>
          <t>Allmännings- och besparingsskogar</t>
        </is>
      </c>
      <c r="G153" t="n">
        <v>19.9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51774-2019 artfynd.xlsx", "A 51774-2019")</f>
        <v/>
      </c>
      <c r="T153">
        <f>HYPERLINK("https://klasma.github.io/Logging_2462/kartor/A 51774-2019 karta.png", "A 51774-2019")</f>
        <v/>
      </c>
      <c r="V153">
        <f>HYPERLINK("https://klasma.github.io/Logging_2462/klagomål/A 51774-2019 FSC-klagomål.docx", "A 51774-2019")</f>
        <v/>
      </c>
      <c r="W153">
        <f>HYPERLINK("https://klasma.github.io/Logging_2462/klagomålsmail/A 51774-2019 FSC-klagomål mail.docx", "A 51774-2019")</f>
        <v/>
      </c>
      <c r="X153">
        <f>HYPERLINK("https://klasma.github.io/Logging_2462/tillsyn/A 51774-2019 tillsynsbegäran.docx", "A 51774-2019")</f>
        <v/>
      </c>
      <c r="Y153">
        <f>HYPERLINK("https://klasma.github.io/Logging_2462/tillsynsmail/A 51774-2019 tillsynsbegäran mail.docx", "A 51774-2019")</f>
        <v/>
      </c>
      <c r="Z153">
        <f>HYPERLINK("https://klasma.github.io/Logging_2462/fåglar/A 51774-2019 prioriterade fågelarter.docx", "A 51774-2019")</f>
        <v/>
      </c>
    </row>
    <row r="154" ht="15" customHeight="1">
      <c r="A154" t="inlineStr">
        <is>
          <t>A 59424-2019</t>
        </is>
      </c>
      <c r="B154" s="1" t="n">
        <v>43775</v>
      </c>
      <c r="C154" s="1" t="n">
        <v>45578</v>
      </c>
      <c r="D154" t="inlineStr">
        <is>
          <t>VÄSTERBOTTENS LÄN</t>
        </is>
      </c>
      <c r="E154" t="inlineStr">
        <is>
          <t>VILHELMINA</t>
        </is>
      </c>
      <c r="G154" t="n">
        <v>17.4</v>
      </c>
      <c r="H154" t="n">
        <v>0</v>
      </c>
      <c r="I154" t="n">
        <v>0</v>
      </c>
      <c r="J154" t="n">
        <v>1</v>
      </c>
      <c r="K154" t="n">
        <v>0</v>
      </c>
      <c r="L154" t="n">
        <v>0</v>
      </c>
      <c r="M154" t="n">
        <v>0</v>
      </c>
      <c r="N154" t="n">
        <v>0</v>
      </c>
      <c r="O154" t="n">
        <v>1</v>
      </c>
      <c r="P154" t="n">
        <v>0</v>
      </c>
      <c r="Q154" t="n">
        <v>1</v>
      </c>
      <c r="R154" s="2" t="inlineStr">
        <is>
          <t>Granticka</t>
        </is>
      </c>
      <c r="S154">
        <f>HYPERLINK("https://klasma.github.io/Logging_2462/artfynd/A 59424-2019 artfynd.xlsx", "A 59424-2019")</f>
        <v/>
      </c>
      <c r="T154">
        <f>HYPERLINK("https://klasma.github.io/Logging_2462/kartor/A 59424-2019 karta.png", "A 59424-2019")</f>
        <v/>
      </c>
      <c r="V154">
        <f>HYPERLINK("https://klasma.github.io/Logging_2462/klagomål/A 59424-2019 FSC-klagomål.docx", "A 59424-2019")</f>
        <v/>
      </c>
      <c r="W154">
        <f>HYPERLINK("https://klasma.github.io/Logging_2462/klagomålsmail/A 59424-2019 FSC-klagomål mail.docx", "A 59424-2019")</f>
        <v/>
      </c>
      <c r="X154">
        <f>HYPERLINK("https://klasma.github.io/Logging_2462/tillsyn/A 59424-2019 tillsynsbegäran.docx", "A 59424-2019")</f>
        <v/>
      </c>
      <c r="Y154">
        <f>HYPERLINK("https://klasma.github.io/Logging_2462/tillsynsmail/A 59424-2019 tillsynsbegäran mail.docx", "A 59424-2019")</f>
        <v/>
      </c>
    </row>
    <row r="155" ht="15" customHeight="1">
      <c r="A155" t="inlineStr">
        <is>
          <t>A 220-2020</t>
        </is>
      </c>
      <c r="B155" s="1" t="n">
        <v>43833</v>
      </c>
      <c r="C155" s="1" t="n">
        <v>45578</v>
      </c>
      <c r="D155" t="inlineStr">
        <is>
          <t>VÄSTERBOTTENS LÄN</t>
        </is>
      </c>
      <c r="E155" t="inlineStr">
        <is>
          <t>VILHELMINA</t>
        </is>
      </c>
      <c r="F155" t="inlineStr">
        <is>
          <t>SCA</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HYPERLINK("https://klasma.github.io/Logging_2462/artfynd/A 220-2020 artfynd.xlsx", "A 220-2020")</f>
        <v/>
      </c>
      <c r="T155">
        <f>HYPERLINK("https://klasma.github.io/Logging_2462/kartor/A 220-2020 karta.png", "A 220-2020")</f>
        <v/>
      </c>
      <c r="V155">
        <f>HYPERLINK("https://klasma.github.io/Logging_2462/klagomål/A 220-2020 FSC-klagomål.docx", "A 220-2020")</f>
        <v/>
      </c>
      <c r="W155">
        <f>HYPERLINK("https://klasma.github.io/Logging_2462/klagomålsmail/A 220-2020 FSC-klagomål mail.docx", "A 220-2020")</f>
        <v/>
      </c>
      <c r="X155">
        <f>HYPERLINK("https://klasma.github.io/Logging_2462/tillsyn/A 220-2020 tillsynsbegäran.docx", "A 220-2020")</f>
        <v/>
      </c>
      <c r="Y155">
        <f>HYPERLINK("https://klasma.github.io/Logging_2462/tillsynsmail/A 220-2020 tillsynsbegäran mail.docx", "A 220-2020")</f>
        <v/>
      </c>
    </row>
    <row r="156" ht="15" customHeight="1">
      <c r="A156" t="inlineStr">
        <is>
          <t>A 546-2020</t>
        </is>
      </c>
      <c r="B156" s="1" t="n">
        <v>43837</v>
      </c>
      <c r="C156" s="1" t="n">
        <v>45578</v>
      </c>
      <c r="D156" t="inlineStr">
        <is>
          <t>VÄSTERBOTTENS LÄN</t>
        </is>
      </c>
      <c r="E156" t="inlineStr">
        <is>
          <t>VILHELMINA</t>
        </is>
      </c>
      <c r="F156" t="inlineStr">
        <is>
          <t>SCA</t>
        </is>
      </c>
      <c r="G156" t="n">
        <v>3.1</v>
      </c>
      <c r="H156" t="n">
        <v>0</v>
      </c>
      <c r="I156" t="n">
        <v>0</v>
      </c>
      <c r="J156" t="n">
        <v>1</v>
      </c>
      <c r="K156" t="n">
        <v>0</v>
      </c>
      <c r="L156" t="n">
        <v>0</v>
      </c>
      <c r="M156" t="n">
        <v>0</v>
      </c>
      <c r="N156" t="n">
        <v>0</v>
      </c>
      <c r="O156" t="n">
        <v>1</v>
      </c>
      <c r="P156" t="n">
        <v>0</v>
      </c>
      <c r="Q156" t="n">
        <v>1</v>
      </c>
      <c r="R156" s="2" t="inlineStr">
        <is>
          <t>Vedskivlav</t>
        </is>
      </c>
      <c r="S156">
        <f>HYPERLINK("https://klasma.github.io/Logging_2462/artfynd/A 546-2020 artfynd.xlsx", "A 546-2020")</f>
        <v/>
      </c>
      <c r="T156">
        <f>HYPERLINK("https://klasma.github.io/Logging_2462/kartor/A 546-2020 karta.png", "A 546-2020")</f>
        <v/>
      </c>
      <c r="V156">
        <f>HYPERLINK("https://klasma.github.io/Logging_2462/klagomål/A 546-2020 FSC-klagomål.docx", "A 546-2020")</f>
        <v/>
      </c>
      <c r="W156">
        <f>HYPERLINK("https://klasma.github.io/Logging_2462/klagomålsmail/A 546-2020 FSC-klagomål mail.docx", "A 546-2020")</f>
        <v/>
      </c>
      <c r="X156">
        <f>HYPERLINK("https://klasma.github.io/Logging_2462/tillsyn/A 546-2020 tillsynsbegäran.docx", "A 546-2020")</f>
        <v/>
      </c>
      <c r="Y156">
        <f>HYPERLINK("https://klasma.github.io/Logging_2462/tillsynsmail/A 546-2020 tillsynsbegäran mail.docx", "A 546-2020")</f>
        <v/>
      </c>
    </row>
    <row r="157" ht="15" customHeight="1">
      <c r="A157" t="inlineStr">
        <is>
          <t>A 57861-2020</t>
        </is>
      </c>
      <c r="B157" s="1" t="n">
        <v>44141</v>
      </c>
      <c r="C157" s="1" t="n">
        <v>45578</v>
      </c>
      <c r="D157" t="inlineStr">
        <is>
          <t>VÄSTERBOTTENS LÄN</t>
        </is>
      </c>
      <c r="E157" t="inlineStr">
        <is>
          <t>VILHELMINA</t>
        </is>
      </c>
      <c r="F157" t="inlineStr">
        <is>
          <t>Sveaskog</t>
        </is>
      </c>
      <c r="G157" t="n">
        <v>11.9</v>
      </c>
      <c r="H157" t="n">
        <v>0</v>
      </c>
      <c r="I157" t="n">
        <v>0</v>
      </c>
      <c r="J157" t="n">
        <v>0</v>
      </c>
      <c r="K157" t="n">
        <v>1</v>
      </c>
      <c r="L157" t="n">
        <v>0</v>
      </c>
      <c r="M157" t="n">
        <v>0</v>
      </c>
      <c r="N157" t="n">
        <v>0</v>
      </c>
      <c r="O157" t="n">
        <v>1</v>
      </c>
      <c r="P157" t="n">
        <v>1</v>
      </c>
      <c r="Q157" t="n">
        <v>1</v>
      </c>
      <c r="R157" s="2" t="inlineStr">
        <is>
          <t>Fläckporing</t>
        </is>
      </c>
      <c r="S157">
        <f>HYPERLINK("https://klasma.github.io/Logging_2462/artfynd/A 57861-2020 artfynd.xlsx", "A 57861-2020")</f>
        <v/>
      </c>
      <c r="T157">
        <f>HYPERLINK("https://klasma.github.io/Logging_2462/kartor/A 57861-2020 karta.png", "A 57861-2020")</f>
        <v/>
      </c>
      <c r="V157">
        <f>HYPERLINK("https://klasma.github.io/Logging_2462/klagomål/A 57861-2020 FSC-klagomål.docx", "A 57861-2020")</f>
        <v/>
      </c>
      <c r="W157">
        <f>HYPERLINK("https://klasma.github.io/Logging_2462/klagomålsmail/A 57861-2020 FSC-klagomål mail.docx", "A 57861-2020")</f>
        <v/>
      </c>
      <c r="X157">
        <f>HYPERLINK("https://klasma.github.io/Logging_2462/tillsyn/A 57861-2020 tillsynsbegäran.docx", "A 57861-2020")</f>
        <v/>
      </c>
      <c r="Y157">
        <f>HYPERLINK("https://klasma.github.io/Logging_2462/tillsynsmail/A 57861-2020 tillsynsbegäran mail.docx", "A 57861-2020")</f>
        <v/>
      </c>
    </row>
    <row r="158" ht="15" customHeight="1">
      <c r="A158" t="inlineStr">
        <is>
          <t>A 29376-2021</t>
        </is>
      </c>
      <c r="B158" s="1" t="n">
        <v>44361</v>
      </c>
      <c r="C158" s="1" t="n">
        <v>45578</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32677-2021</t>
        </is>
      </c>
      <c r="B159" s="1" t="n">
        <v>44371</v>
      </c>
      <c r="C159" s="1" t="n">
        <v>45578</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55739-2021</t>
        </is>
      </c>
      <c r="B160" s="1" t="n">
        <v>44476</v>
      </c>
      <c r="C160" s="1" t="n">
        <v>45578</v>
      </c>
      <c r="D160" t="inlineStr">
        <is>
          <t>VÄSTERBOTTENS LÄN</t>
        </is>
      </c>
      <c r="E160" t="inlineStr">
        <is>
          <t>VILHELMINA</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HYPERLINK("https://klasma.github.io/Logging_2462/artfynd/A 55739-2021 artfynd.xlsx", "A 55739-2021")</f>
        <v/>
      </c>
      <c r="T160">
        <f>HYPERLINK("https://klasma.github.io/Logging_2462/kartor/A 55739-2021 karta.png", "A 55739-2021")</f>
        <v/>
      </c>
      <c r="V160">
        <f>HYPERLINK("https://klasma.github.io/Logging_2462/klagomål/A 55739-2021 FSC-klagomål.docx", "A 55739-2021")</f>
        <v/>
      </c>
      <c r="W160">
        <f>HYPERLINK("https://klasma.github.io/Logging_2462/klagomålsmail/A 55739-2021 FSC-klagomål mail.docx", "A 55739-2021")</f>
        <v/>
      </c>
      <c r="X160">
        <f>HYPERLINK("https://klasma.github.io/Logging_2462/tillsyn/A 55739-2021 tillsynsbegäran.docx", "A 55739-2021")</f>
        <v/>
      </c>
      <c r="Y160">
        <f>HYPERLINK("https://klasma.github.io/Logging_2462/tillsynsmail/A 55739-2021 tillsynsbegäran mail.docx", "A 55739-2021")</f>
        <v/>
      </c>
    </row>
    <row r="161" ht="15" customHeight="1">
      <c r="A161" t="inlineStr">
        <is>
          <t>A 60369-2021</t>
        </is>
      </c>
      <c r="B161" s="1" t="n">
        <v>44494</v>
      </c>
      <c r="C161" s="1" t="n">
        <v>45578</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66924-2021</t>
        </is>
      </c>
      <c r="B162" s="1" t="n">
        <v>44522</v>
      </c>
      <c r="C162" s="1" t="n">
        <v>45578</v>
      </c>
      <c r="D162" t="inlineStr">
        <is>
          <t>VÄSTERBOTTENS LÄN</t>
        </is>
      </c>
      <c r="E162" t="inlineStr">
        <is>
          <t>VILHELMINA</t>
        </is>
      </c>
      <c r="F162" t="inlineStr">
        <is>
          <t>Allmännings- och besparingsskogar</t>
        </is>
      </c>
      <c r="G162" t="n">
        <v>335.4</v>
      </c>
      <c r="H162" t="n">
        <v>1</v>
      </c>
      <c r="I162" t="n">
        <v>0</v>
      </c>
      <c r="J162" t="n">
        <v>1</v>
      </c>
      <c r="K162" t="n">
        <v>0</v>
      </c>
      <c r="L162" t="n">
        <v>0</v>
      </c>
      <c r="M162" t="n">
        <v>0</v>
      </c>
      <c r="N162" t="n">
        <v>0</v>
      </c>
      <c r="O162" t="n">
        <v>1</v>
      </c>
      <c r="P162" t="n">
        <v>0</v>
      </c>
      <c r="Q162" t="n">
        <v>1</v>
      </c>
      <c r="R162" s="2" t="inlineStr">
        <is>
          <t>Utter</t>
        </is>
      </c>
      <c r="S162">
        <f>HYPERLINK("https://klasma.github.io/Logging_2462/artfynd/A 66924-2021 artfynd.xlsx", "A 66924-2021")</f>
        <v/>
      </c>
      <c r="T162">
        <f>HYPERLINK("https://klasma.github.io/Logging_2462/kartor/A 66924-2021 karta.png", "A 66924-2021")</f>
        <v/>
      </c>
      <c r="V162">
        <f>HYPERLINK("https://klasma.github.io/Logging_2462/klagomål/A 66924-2021 FSC-klagomål.docx", "A 66924-2021")</f>
        <v/>
      </c>
      <c r="W162">
        <f>HYPERLINK("https://klasma.github.io/Logging_2462/klagomålsmail/A 66924-2021 FSC-klagomål mail.docx", "A 66924-2021")</f>
        <v/>
      </c>
      <c r="X162">
        <f>HYPERLINK("https://klasma.github.io/Logging_2462/tillsyn/A 66924-2021 tillsynsbegäran.docx", "A 66924-2021")</f>
        <v/>
      </c>
      <c r="Y162">
        <f>HYPERLINK("https://klasma.github.io/Logging_2462/tillsynsmail/A 66924-2021 tillsynsbegäran mail.docx", "A 66924-2021")</f>
        <v/>
      </c>
    </row>
    <row r="163" ht="15" customHeight="1">
      <c r="A163" t="inlineStr">
        <is>
          <t>A 68783-2021</t>
        </is>
      </c>
      <c r="B163" s="1" t="n">
        <v>44529</v>
      </c>
      <c r="C163" s="1" t="n">
        <v>45578</v>
      </c>
      <c r="D163" t="inlineStr">
        <is>
          <t>VÄSTERBOTTENS LÄN</t>
        </is>
      </c>
      <c r="E163" t="inlineStr">
        <is>
          <t>VILHELMINA</t>
        </is>
      </c>
      <c r="F163" t="inlineStr">
        <is>
          <t>SCA</t>
        </is>
      </c>
      <c r="G163" t="n">
        <v>7.3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68783-2021 artfynd.xlsx", "A 68783-2021")</f>
        <v/>
      </c>
      <c r="T163">
        <f>HYPERLINK("https://klasma.github.io/Logging_2462/kartor/A 68783-2021 karta.png", "A 68783-2021")</f>
        <v/>
      </c>
      <c r="V163">
        <f>HYPERLINK("https://klasma.github.io/Logging_2462/klagomål/A 68783-2021 FSC-klagomål.docx", "A 68783-2021")</f>
        <v/>
      </c>
      <c r="W163">
        <f>HYPERLINK("https://klasma.github.io/Logging_2462/klagomålsmail/A 68783-2021 FSC-klagomål mail.docx", "A 68783-2021")</f>
        <v/>
      </c>
      <c r="X163">
        <f>HYPERLINK("https://klasma.github.io/Logging_2462/tillsyn/A 68783-2021 tillsynsbegäran.docx", "A 68783-2021")</f>
        <v/>
      </c>
      <c r="Y163">
        <f>HYPERLINK("https://klasma.github.io/Logging_2462/tillsynsmail/A 68783-2021 tillsynsbegäran mail.docx", "A 68783-2021")</f>
        <v/>
      </c>
      <c r="Z163">
        <f>HYPERLINK("https://klasma.github.io/Logging_2462/fåglar/A 68783-2021 prioriterade fågelarter.docx", "A 68783-2021")</f>
        <v/>
      </c>
    </row>
    <row r="164" ht="15" customHeight="1">
      <c r="A164" t="inlineStr">
        <is>
          <t>A 69545-2021</t>
        </is>
      </c>
      <c r="B164" s="1" t="n">
        <v>44531</v>
      </c>
      <c r="C164" s="1" t="n">
        <v>45578</v>
      </c>
      <c r="D164" t="inlineStr">
        <is>
          <t>VÄSTERBOTTENS LÄN</t>
        </is>
      </c>
      <c r="E164" t="inlineStr">
        <is>
          <t>VILHELMINA</t>
        </is>
      </c>
      <c r="F164" t="inlineStr">
        <is>
          <t>SCA</t>
        </is>
      </c>
      <c r="G164" t="n">
        <v>3.8</v>
      </c>
      <c r="H164" t="n">
        <v>0</v>
      </c>
      <c r="I164" t="n">
        <v>1</v>
      </c>
      <c r="J164" t="n">
        <v>0</v>
      </c>
      <c r="K164" t="n">
        <v>0</v>
      </c>
      <c r="L164" t="n">
        <v>0</v>
      </c>
      <c r="M164" t="n">
        <v>0</v>
      </c>
      <c r="N164" t="n">
        <v>0</v>
      </c>
      <c r="O164" t="n">
        <v>0</v>
      </c>
      <c r="P164" t="n">
        <v>0</v>
      </c>
      <c r="Q164" t="n">
        <v>1</v>
      </c>
      <c r="R164" s="2" t="inlineStr">
        <is>
          <t>Norrlandslav</t>
        </is>
      </c>
      <c r="S164">
        <f>HYPERLINK("https://klasma.github.io/Logging_2462/artfynd/A 69545-2021 artfynd.xlsx", "A 69545-2021")</f>
        <v/>
      </c>
      <c r="T164">
        <f>HYPERLINK("https://klasma.github.io/Logging_2462/kartor/A 69545-2021 karta.png", "A 69545-2021")</f>
        <v/>
      </c>
      <c r="V164">
        <f>HYPERLINK("https://klasma.github.io/Logging_2462/klagomål/A 69545-2021 FSC-klagomål.docx", "A 69545-2021")</f>
        <v/>
      </c>
      <c r="W164">
        <f>HYPERLINK("https://klasma.github.io/Logging_2462/klagomålsmail/A 69545-2021 FSC-klagomål mail.docx", "A 69545-2021")</f>
        <v/>
      </c>
      <c r="X164">
        <f>HYPERLINK("https://klasma.github.io/Logging_2462/tillsyn/A 69545-2021 tillsynsbegäran.docx", "A 69545-2021")</f>
        <v/>
      </c>
      <c r="Y164">
        <f>HYPERLINK("https://klasma.github.io/Logging_2462/tillsynsmail/A 69545-2021 tillsynsbegäran mail.docx", "A 69545-2021")</f>
        <v/>
      </c>
    </row>
    <row r="165" ht="15" customHeight="1">
      <c r="A165" t="inlineStr">
        <is>
          <t>A 69915-2021</t>
        </is>
      </c>
      <c r="B165" s="1" t="n">
        <v>44532</v>
      </c>
      <c r="C165" s="1" t="n">
        <v>45578</v>
      </c>
      <c r="D165" t="inlineStr">
        <is>
          <t>VÄSTERBOTTENS LÄN</t>
        </is>
      </c>
      <c r="E165" t="inlineStr">
        <is>
          <t>VILHELMINA</t>
        </is>
      </c>
      <c r="F165" t="inlineStr">
        <is>
          <t>SCA</t>
        </is>
      </c>
      <c r="G165" t="n">
        <v>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69915-2021 artfynd.xlsx", "A 69915-2021")</f>
        <v/>
      </c>
      <c r="T165">
        <f>HYPERLINK("https://klasma.github.io/Logging_2462/kartor/A 69915-2021 karta.png", "A 69915-2021")</f>
        <v/>
      </c>
      <c r="V165">
        <f>HYPERLINK("https://klasma.github.io/Logging_2462/klagomål/A 69915-2021 FSC-klagomål.docx", "A 69915-2021")</f>
        <v/>
      </c>
      <c r="W165">
        <f>HYPERLINK("https://klasma.github.io/Logging_2462/klagomålsmail/A 69915-2021 FSC-klagomål mail.docx", "A 69915-2021")</f>
        <v/>
      </c>
      <c r="X165">
        <f>HYPERLINK("https://klasma.github.io/Logging_2462/tillsyn/A 69915-2021 tillsynsbegäran.docx", "A 69915-2021")</f>
        <v/>
      </c>
      <c r="Y165">
        <f>HYPERLINK("https://klasma.github.io/Logging_2462/tillsynsmail/A 69915-2021 tillsynsbegäran mail.docx", "A 69915-2021")</f>
        <v/>
      </c>
      <c r="Z165">
        <f>HYPERLINK("https://klasma.github.io/Logging_2462/fåglar/A 69915-2021 prioriterade fågelarter.docx", "A 69915-2021")</f>
        <v/>
      </c>
    </row>
    <row r="166" ht="15" customHeight="1">
      <c r="A166" t="inlineStr">
        <is>
          <t>A 74395-2021</t>
        </is>
      </c>
      <c r="B166" s="1" t="n">
        <v>44560</v>
      </c>
      <c r="C166" s="1" t="n">
        <v>45578</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12486-2022</t>
        </is>
      </c>
      <c r="B167" s="1" t="n">
        <v>44638</v>
      </c>
      <c r="C167" s="1" t="n">
        <v>45578</v>
      </c>
      <c r="D167" t="inlineStr">
        <is>
          <t>VÄSTERBOTTENS LÄN</t>
        </is>
      </c>
      <c r="E167" t="inlineStr">
        <is>
          <t>VILHELMINA</t>
        </is>
      </c>
      <c r="G167" t="n">
        <v>19.3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12486-2022 artfynd.xlsx", "A 12486-2022")</f>
        <v/>
      </c>
      <c r="T167">
        <f>HYPERLINK("https://klasma.github.io/Logging_2462/kartor/A 12486-2022 karta.png", "A 12486-2022")</f>
        <v/>
      </c>
      <c r="V167">
        <f>HYPERLINK("https://klasma.github.io/Logging_2462/klagomål/A 12486-2022 FSC-klagomål.docx", "A 12486-2022")</f>
        <v/>
      </c>
      <c r="W167">
        <f>HYPERLINK("https://klasma.github.io/Logging_2462/klagomålsmail/A 12486-2022 FSC-klagomål mail.docx", "A 12486-2022")</f>
        <v/>
      </c>
      <c r="X167">
        <f>HYPERLINK("https://klasma.github.io/Logging_2462/tillsyn/A 12486-2022 tillsynsbegäran.docx", "A 12486-2022")</f>
        <v/>
      </c>
      <c r="Y167">
        <f>HYPERLINK("https://klasma.github.io/Logging_2462/tillsynsmail/A 12486-2022 tillsynsbegäran mail.docx", "A 12486-2022")</f>
        <v/>
      </c>
      <c r="Z167">
        <f>HYPERLINK("https://klasma.github.io/Logging_2462/fåglar/A 12486-2022 prioriterade fågelarter.docx", "A 12486-2022")</f>
        <v/>
      </c>
    </row>
    <row r="168" ht="15" customHeight="1">
      <c r="A168" t="inlineStr">
        <is>
          <t>A 38421-2022</t>
        </is>
      </c>
      <c r="B168" s="1" t="n">
        <v>44812</v>
      </c>
      <c r="C168" s="1" t="n">
        <v>45578</v>
      </c>
      <c r="D168" t="inlineStr">
        <is>
          <t>VÄSTERBOTTENS LÄN</t>
        </is>
      </c>
      <c r="E168" t="inlineStr">
        <is>
          <t>VILHELMINA</t>
        </is>
      </c>
      <c r="F168" t="inlineStr">
        <is>
          <t>SCA</t>
        </is>
      </c>
      <c r="G168" t="n">
        <v>3.2</v>
      </c>
      <c r="H168" t="n">
        <v>0</v>
      </c>
      <c r="I168" t="n">
        <v>0</v>
      </c>
      <c r="J168" t="n">
        <v>1</v>
      </c>
      <c r="K168" t="n">
        <v>0</v>
      </c>
      <c r="L168" t="n">
        <v>0</v>
      </c>
      <c r="M168" t="n">
        <v>0</v>
      </c>
      <c r="N168" t="n">
        <v>0</v>
      </c>
      <c r="O168" t="n">
        <v>1</v>
      </c>
      <c r="P168" t="n">
        <v>0</v>
      </c>
      <c r="Q168" t="n">
        <v>1</v>
      </c>
      <c r="R168" s="2" t="inlineStr">
        <is>
          <t>Ullticka</t>
        </is>
      </c>
      <c r="S168">
        <f>HYPERLINK("https://klasma.github.io/Logging_2462/artfynd/A 38421-2022 artfynd.xlsx", "A 38421-2022")</f>
        <v/>
      </c>
      <c r="T168">
        <f>HYPERLINK("https://klasma.github.io/Logging_2462/kartor/A 38421-2022 karta.png", "A 38421-2022")</f>
        <v/>
      </c>
      <c r="V168">
        <f>HYPERLINK("https://klasma.github.io/Logging_2462/klagomål/A 38421-2022 FSC-klagomål.docx", "A 38421-2022")</f>
        <v/>
      </c>
      <c r="W168">
        <f>HYPERLINK("https://klasma.github.io/Logging_2462/klagomålsmail/A 38421-2022 FSC-klagomål mail.docx", "A 38421-2022")</f>
        <v/>
      </c>
      <c r="X168">
        <f>HYPERLINK("https://klasma.github.io/Logging_2462/tillsyn/A 38421-2022 tillsynsbegäran.docx", "A 38421-2022")</f>
        <v/>
      </c>
      <c r="Y168">
        <f>HYPERLINK("https://klasma.github.io/Logging_2462/tillsynsmail/A 38421-2022 tillsynsbegäran mail.docx", "A 38421-2022")</f>
        <v/>
      </c>
    </row>
    <row r="169" ht="15" customHeight="1">
      <c r="A169" t="inlineStr">
        <is>
          <t>A 41483-2022</t>
        </is>
      </c>
      <c r="B169" s="1" t="n">
        <v>44827</v>
      </c>
      <c r="C169" s="1" t="n">
        <v>45578</v>
      </c>
      <c r="D169" t="inlineStr">
        <is>
          <t>VÄSTERBOTTENS LÄN</t>
        </is>
      </c>
      <c r="E169" t="inlineStr">
        <is>
          <t>VILHELMINA</t>
        </is>
      </c>
      <c r="F169" t="inlineStr">
        <is>
          <t>SCA</t>
        </is>
      </c>
      <c r="G169" t="n">
        <v>4.6</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41483-2022 artfynd.xlsx", "A 41483-2022")</f>
        <v/>
      </c>
      <c r="T169">
        <f>HYPERLINK("https://klasma.github.io/Logging_2462/kartor/A 41483-2022 karta.png", "A 41483-2022")</f>
        <v/>
      </c>
      <c r="V169">
        <f>HYPERLINK("https://klasma.github.io/Logging_2462/klagomål/A 41483-2022 FSC-klagomål.docx", "A 41483-2022")</f>
        <v/>
      </c>
      <c r="W169">
        <f>HYPERLINK("https://klasma.github.io/Logging_2462/klagomålsmail/A 41483-2022 FSC-klagomål mail.docx", "A 41483-2022")</f>
        <v/>
      </c>
      <c r="X169">
        <f>HYPERLINK("https://klasma.github.io/Logging_2462/tillsyn/A 41483-2022 tillsynsbegäran.docx", "A 41483-2022")</f>
        <v/>
      </c>
      <c r="Y169">
        <f>HYPERLINK("https://klasma.github.io/Logging_2462/tillsynsmail/A 41483-2022 tillsynsbegäran mail.docx", "A 41483-2022")</f>
        <v/>
      </c>
      <c r="Z169">
        <f>HYPERLINK("https://klasma.github.io/Logging_2462/fåglar/A 41483-2022 prioriterade fågelarter.docx", "A 41483-2022")</f>
        <v/>
      </c>
    </row>
    <row r="170" ht="15" customHeight="1">
      <c r="A170" t="inlineStr">
        <is>
          <t>A 47251-2022</t>
        </is>
      </c>
      <c r="B170" s="1" t="n">
        <v>44852</v>
      </c>
      <c r="C170" s="1" t="n">
        <v>45578</v>
      </c>
      <c r="D170" t="inlineStr">
        <is>
          <t>VÄSTERBOTTENS LÄN</t>
        </is>
      </c>
      <c r="E170" t="inlineStr">
        <is>
          <t>VILHELMINA</t>
        </is>
      </c>
      <c r="F170" t="inlineStr">
        <is>
          <t>SCA</t>
        </is>
      </c>
      <c r="G170" t="n">
        <v>16.4</v>
      </c>
      <c r="H170" t="n">
        <v>0</v>
      </c>
      <c r="I170" t="n">
        <v>0</v>
      </c>
      <c r="J170" t="n">
        <v>1</v>
      </c>
      <c r="K170" t="n">
        <v>0</v>
      </c>
      <c r="L170" t="n">
        <v>0</v>
      </c>
      <c r="M170" t="n">
        <v>0</v>
      </c>
      <c r="N170" t="n">
        <v>0</v>
      </c>
      <c r="O170" t="n">
        <v>1</v>
      </c>
      <c r="P170" t="n">
        <v>0</v>
      </c>
      <c r="Q170" t="n">
        <v>1</v>
      </c>
      <c r="R170" s="2" t="inlineStr">
        <is>
          <t>Rosenticka</t>
        </is>
      </c>
      <c r="S170">
        <f>HYPERLINK("https://klasma.github.io/Logging_2462/artfynd/A 47251-2022 artfynd.xlsx", "A 47251-2022")</f>
        <v/>
      </c>
      <c r="T170">
        <f>HYPERLINK("https://klasma.github.io/Logging_2462/kartor/A 47251-2022 karta.png", "A 47251-2022")</f>
        <v/>
      </c>
      <c r="V170">
        <f>HYPERLINK("https://klasma.github.io/Logging_2462/klagomål/A 47251-2022 FSC-klagomål.docx", "A 47251-2022")</f>
        <v/>
      </c>
      <c r="W170">
        <f>HYPERLINK("https://klasma.github.io/Logging_2462/klagomålsmail/A 47251-2022 FSC-klagomål mail.docx", "A 47251-2022")</f>
        <v/>
      </c>
      <c r="X170">
        <f>HYPERLINK("https://klasma.github.io/Logging_2462/tillsyn/A 47251-2022 tillsynsbegäran.docx", "A 47251-2022")</f>
        <v/>
      </c>
      <c r="Y170">
        <f>HYPERLINK("https://klasma.github.io/Logging_2462/tillsynsmail/A 47251-2022 tillsynsbegäran mail.docx", "A 47251-2022")</f>
        <v/>
      </c>
    </row>
    <row r="171" ht="15" customHeight="1">
      <c r="A171" t="inlineStr">
        <is>
          <t>A 6604-2023</t>
        </is>
      </c>
      <c r="B171" s="1" t="n">
        <v>44960</v>
      </c>
      <c r="C171" s="1" t="n">
        <v>45578</v>
      </c>
      <c r="D171" t="inlineStr">
        <is>
          <t>VÄSTERBOTTENS LÄN</t>
        </is>
      </c>
      <c r="E171" t="inlineStr">
        <is>
          <t>VILHELMINA</t>
        </is>
      </c>
      <c r="G171" t="n">
        <v>13.4</v>
      </c>
      <c r="H171" t="n">
        <v>0</v>
      </c>
      <c r="I171" t="n">
        <v>1</v>
      </c>
      <c r="J171" t="n">
        <v>0</v>
      </c>
      <c r="K171" t="n">
        <v>0</v>
      </c>
      <c r="L171" t="n">
        <v>0</v>
      </c>
      <c r="M171" t="n">
        <v>0</v>
      </c>
      <c r="N171" t="n">
        <v>0</v>
      </c>
      <c r="O171" t="n">
        <v>0</v>
      </c>
      <c r="P171" t="n">
        <v>0</v>
      </c>
      <c r="Q171" t="n">
        <v>1</v>
      </c>
      <c r="R171" s="2" t="inlineStr">
        <is>
          <t>Luddlav</t>
        </is>
      </c>
      <c r="S171">
        <f>HYPERLINK("https://klasma.github.io/Logging_2462/artfynd/A 6604-2023 artfynd.xlsx", "A 6604-2023")</f>
        <v/>
      </c>
      <c r="T171">
        <f>HYPERLINK("https://klasma.github.io/Logging_2462/kartor/A 6604-2023 karta.png", "A 6604-2023")</f>
        <v/>
      </c>
      <c r="V171">
        <f>HYPERLINK("https://klasma.github.io/Logging_2462/klagomål/A 6604-2023 FSC-klagomål.docx", "A 6604-2023")</f>
        <v/>
      </c>
      <c r="W171">
        <f>HYPERLINK("https://klasma.github.io/Logging_2462/klagomålsmail/A 6604-2023 FSC-klagomål mail.docx", "A 6604-2023")</f>
        <v/>
      </c>
      <c r="X171">
        <f>HYPERLINK("https://klasma.github.io/Logging_2462/tillsyn/A 6604-2023 tillsynsbegäran.docx", "A 6604-2023")</f>
        <v/>
      </c>
      <c r="Y171">
        <f>HYPERLINK("https://klasma.github.io/Logging_2462/tillsynsmail/A 6604-2023 tillsynsbegäran mail.docx", "A 6604-2023")</f>
        <v/>
      </c>
    </row>
    <row r="172" ht="15" customHeight="1">
      <c r="A172" t="inlineStr">
        <is>
          <t>A 9249-2023</t>
        </is>
      </c>
      <c r="B172" s="1" t="n">
        <v>44972</v>
      </c>
      <c r="C172" s="1" t="n">
        <v>45578</v>
      </c>
      <c r="D172" t="inlineStr">
        <is>
          <t>VÄSTERBOTTENS LÄN</t>
        </is>
      </c>
      <c r="E172" t="inlineStr">
        <is>
          <t>VILHELMINA</t>
        </is>
      </c>
      <c r="F172" t="inlineStr">
        <is>
          <t>Allmännings- och besparingsskogar</t>
        </is>
      </c>
      <c r="G172" t="n">
        <v>18</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9249-2023 artfynd.xlsx", "A 9249-2023")</f>
        <v/>
      </c>
      <c r="T172">
        <f>HYPERLINK("https://klasma.github.io/Logging_2462/kartor/A 9249-2023 karta.png", "A 9249-2023")</f>
        <v/>
      </c>
      <c r="V172">
        <f>HYPERLINK("https://klasma.github.io/Logging_2462/klagomål/A 9249-2023 FSC-klagomål.docx", "A 9249-2023")</f>
        <v/>
      </c>
      <c r="W172">
        <f>HYPERLINK("https://klasma.github.io/Logging_2462/klagomålsmail/A 9249-2023 FSC-klagomål mail.docx", "A 9249-2023")</f>
        <v/>
      </c>
      <c r="X172">
        <f>HYPERLINK("https://klasma.github.io/Logging_2462/tillsyn/A 9249-2023 tillsynsbegäran.docx", "A 9249-2023")</f>
        <v/>
      </c>
      <c r="Y172">
        <f>HYPERLINK("https://klasma.github.io/Logging_2462/tillsynsmail/A 9249-2023 tillsynsbegäran mail.docx", "A 9249-2023")</f>
        <v/>
      </c>
      <c r="Z172">
        <f>HYPERLINK("https://klasma.github.io/Logging_2462/fåglar/A 9249-2023 prioriterade fågelarter.docx", "A 9249-2023")</f>
        <v/>
      </c>
    </row>
    <row r="173" ht="15" customHeight="1">
      <c r="A173" t="inlineStr">
        <is>
          <t>A 11832-2023</t>
        </is>
      </c>
      <c r="B173" s="1" t="n">
        <v>44994</v>
      </c>
      <c r="C173" s="1" t="n">
        <v>45578</v>
      </c>
      <c r="D173" t="inlineStr">
        <is>
          <t>VÄSTERBOTTENS LÄN</t>
        </is>
      </c>
      <c r="E173" t="inlineStr">
        <is>
          <t>VILHELMINA</t>
        </is>
      </c>
      <c r="F173" t="inlineStr">
        <is>
          <t>SCA</t>
        </is>
      </c>
      <c r="G173" t="n">
        <v>6.7</v>
      </c>
      <c r="H173" t="n">
        <v>0</v>
      </c>
      <c r="I173" t="n">
        <v>0</v>
      </c>
      <c r="J173" t="n">
        <v>1</v>
      </c>
      <c r="K173" t="n">
        <v>0</v>
      </c>
      <c r="L173" t="n">
        <v>0</v>
      </c>
      <c r="M173" t="n">
        <v>0</v>
      </c>
      <c r="N173" t="n">
        <v>0</v>
      </c>
      <c r="O173" t="n">
        <v>1</v>
      </c>
      <c r="P173" t="n">
        <v>0</v>
      </c>
      <c r="Q173" t="n">
        <v>1</v>
      </c>
      <c r="R173" s="2" t="inlineStr">
        <is>
          <t>Granticka</t>
        </is>
      </c>
      <c r="S173">
        <f>HYPERLINK("https://klasma.github.io/Logging_2462/artfynd/A 11832-2023 artfynd.xlsx", "A 11832-2023")</f>
        <v/>
      </c>
      <c r="T173">
        <f>HYPERLINK("https://klasma.github.io/Logging_2462/kartor/A 11832-2023 karta.png", "A 11832-2023")</f>
        <v/>
      </c>
      <c r="V173">
        <f>HYPERLINK("https://klasma.github.io/Logging_2462/klagomål/A 11832-2023 FSC-klagomål.docx", "A 11832-2023")</f>
        <v/>
      </c>
      <c r="W173">
        <f>HYPERLINK("https://klasma.github.io/Logging_2462/klagomålsmail/A 11832-2023 FSC-klagomål mail.docx", "A 11832-2023")</f>
        <v/>
      </c>
      <c r="X173">
        <f>HYPERLINK("https://klasma.github.io/Logging_2462/tillsyn/A 11832-2023 tillsynsbegäran.docx", "A 11832-2023")</f>
        <v/>
      </c>
      <c r="Y173">
        <f>HYPERLINK("https://klasma.github.io/Logging_2462/tillsynsmail/A 11832-2023 tillsynsbegäran mail.docx", "A 11832-2023")</f>
        <v/>
      </c>
    </row>
    <row r="174" ht="15" customHeight="1">
      <c r="A174" t="inlineStr">
        <is>
          <t>A 29317-2023</t>
        </is>
      </c>
      <c r="B174" s="1" t="n">
        <v>45105</v>
      </c>
      <c r="C174" s="1" t="n">
        <v>45578</v>
      </c>
      <c r="D174" t="inlineStr">
        <is>
          <t>VÄSTERBOTTENS LÄN</t>
        </is>
      </c>
      <c r="E174" t="inlineStr">
        <is>
          <t>VILHELMINA</t>
        </is>
      </c>
      <c r="F174" t="inlineStr">
        <is>
          <t>SCA</t>
        </is>
      </c>
      <c r="G174" t="n">
        <v>18.8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29317-2023 artfynd.xlsx", "A 29317-2023")</f>
        <v/>
      </c>
      <c r="T174">
        <f>HYPERLINK("https://klasma.github.io/Logging_2462/kartor/A 29317-2023 karta.png", "A 29317-2023")</f>
        <v/>
      </c>
      <c r="V174">
        <f>HYPERLINK("https://klasma.github.io/Logging_2462/klagomål/A 29317-2023 FSC-klagomål.docx", "A 29317-2023")</f>
        <v/>
      </c>
      <c r="W174">
        <f>HYPERLINK("https://klasma.github.io/Logging_2462/klagomålsmail/A 29317-2023 FSC-klagomål mail.docx", "A 29317-2023")</f>
        <v/>
      </c>
      <c r="X174">
        <f>HYPERLINK("https://klasma.github.io/Logging_2462/tillsyn/A 29317-2023 tillsynsbegäran.docx", "A 29317-2023")</f>
        <v/>
      </c>
      <c r="Y174">
        <f>HYPERLINK("https://klasma.github.io/Logging_2462/tillsynsmail/A 29317-2023 tillsynsbegäran mail.docx", "A 29317-2023")</f>
        <v/>
      </c>
      <c r="Z174">
        <f>HYPERLINK("https://klasma.github.io/Logging_2462/fåglar/A 29317-2023 prioriterade fågelarter.docx", "A 29317-2023")</f>
        <v/>
      </c>
    </row>
    <row r="175" ht="15" customHeight="1">
      <c r="A175" t="inlineStr">
        <is>
          <t>A 39919-2023</t>
        </is>
      </c>
      <c r="B175" s="1" t="n">
        <v>45166</v>
      </c>
      <c r="C175" s="1" t="n">
        <v>45578</v>
      </c>
      <c r="D175" t="inlineStr">
        <is>
          <t>VÄSTERBOTTENS LÄN</t>
        </is>
      </c>
      <c r="E175" t="inlineStr">
        <is>
          <t>VILHELMINA</t>
        </is>
      </c>
      <c r="G175" t="n">
        <v>22.2</v>
      </c>
      <c r="H175" t="n">
        <v>1</v>
      </c>
      <c r="I175" t="n">
        <v>0</v>
      </c>
      <c r="J175" t="n">
        <v>1</v>
      </c>
      <c r="K175" t="n">
        <v>0</v>
      </c>
      <c r="L175" t="n">
        <v>0</v>
      </c>
      <c r="M175" t="n">
        <v>0</v>
      </c>
      <c r="N175" t="n">
        <v>0</v>
      </c>
      <c r="O175" t="n">
        <v>1</v>
      </c>
      <c r="P175" t="n">
        <v>0</v>
      </c>
      <c r="Q175" t="n">
        <v>1</v>
      </c>
      <c r="R175" s="2" t="inlineStr">
        <is>
          <t>Utter</t>
        </is>
      </c>
      <c r="S175">
        <f>HYPERLINK("https://klasma.github.io/Logging_2462/artfynd/A 39919-2023 artfynd.xlsx", "A 39919-2023")</f>
        <v/>
      </c>
      <c r="T175">
        <f>HYPERLINK("https://klasma.github.io/Logging_2462/kartor/A 39919-2023 karta.png", "A 39919-2023")</f>
        <v/>
      </c>
      <c r="V175">
        <f>HYPERLINK("https://klasma.github.io/Logging_2462/klagomål/A 39919-2023 FSC-klagomål.docx", "A 39919-2023")</f>
        <v/>
      </c>
      <c r="W175">
        <f>HYPERLINK("https://klasma.github.io/Logging_2462/klagomålsmail/A 39919-2023 FSC-klagomål mail.docx", "A 39919-2023")</f>
        <v/>
      </c>
      <c r="X175">
        <f>HYPERLINK("https://klasma.github.io/Logging_2462/tillsyn/A 39919-2023 tillsynsbegäran.docx", "A 39919-2023")</f>
        <v/>
      </c>
      <c r="Y175">
        <f>HYPERLINK("https://klasma.github.io/Logging_2462/tillsynsmail/A 39919-2023 tillsynsbegäran mail.docx", "A 39919-2023")</f>
        <v/>
      </c>
    </row>
    <row r="176" ht="15" customHeight="1">
      <c r="A176" t="inlineStr">
        <is>
          <t>A 56247-2023</t>
        </is>
      </c>
      <c r="B176" s="1" t="n">
        <v>45240</v>
      </c>
      <c r="C176" s="1" t="n">
        <v>45578</v>
      </c>
      <c r="D176" t="inlineStr">
        <is>
          <t>VÄSTERBOTTENS LÄN</t>
        </is>
      </c>
      <c r="E176" t="inlineStr">
        <is>
          <t>VILHELMINA</t>
        </is>
      </c>
      <c r="F176" t="inlineStr">
        <is>
          <t>SCA</t>
        </is>
      </c>
      <c r="G176" t="n">
        <v>1.3</v>
      </c>
      <c r="H176" t="n">
        <v>0</v>
      </c>
      <c r="I176" t="n">
        <v>0</v>
      </c>
      <c r="J176" t="n">
        <v>1</v>
      </c>
      <c r="K176" t="n">
        <v>0</v>
      </c>
      <c r="L176" t="n">
        <v>0</v>
      </c>
      <c r="M176" t="n">
        <v>0</v>
      </c>
      <c r="N176" t="n">
        <v>0</v>
      </c>
      <c r="O176" t="n">
        <v>1</v>
      </c>
      <c r="P176" t="n">
        <v>0</v>
      </c>
      <c r="Q176" t="n">
        <v>1</v>
      </c>
      <c r="R176" s="2" t="inlineStr">
        <is>
          <t>Harticka</t>
        </is>
      </c>
      <c r="S176">
        <f>HYPERLINK("https://klasma.github.io/Logging_2462/artfynd/A 56247-2023 artfynd.xlsx", "A 56247-2023")</f>
        <v/>
      </c>
      <c r="T176">
        <f>HYPERLINK("https://klasma.github.io/Logging_2462/kartor/A 56247-2023 karta.png", "A 56247-2023")</f>
        <v/>
      </c>
      <c r="V176">
        <f>HYPERLINK("https://klasma.github.io/Logging_2462/klagomål/A 56247-2023 FSC-klagomål.docx", "A 56247-2023")</f>
        <v/>
      </c>
      <c r="W176">
        <f>HYPERLINK("https://klasma.github.io/Logging_2462/klagomålsmail/A 56247-2023 FSC-klagomål mail.docx", "A 56247-2023")</f>
        <v/>
      </c>
      <c r="X176">
        <f>HYPERLINK("https://klasma.github.io/Logging_2462/tillsyn/A 56247-2023 tillsynsbegäran.docx", "A 56247-2023")</f>
        <v/>
      </c>
      <c r="Y176">
        <f>HYPERLINK("https://klasma.github.io/Logging_2462/tillsynsmail/A 56247-2023 tillsynsbegäran mail.docx", "A 56247-2023")</f>
        <v/>
      </c>
    </row>
    <row r="177" ht="15" customHeight="1">
      <c r="A177" t="inlineStr">
        <is>
          <t>A 22467-2024</t>
        </is>
      </c>
      <c r="B177" s="1" t="n">
        <v>45447</v>
      </c>
      <c r="C177" s="1" t="n">
        <v>45578</v>
      </c>
      <c r="D177" t="inlineStr">
        <is>
          <t>VÄSTERBOTTENS LÄN</t>
        </is>
      </c>
      <c r="E177" t="inlineStr">
        <is>
          <t>VILHELMINA</t>
        </is>
      </c>
      <c r="F177" t="inlineStr">
        <is>
          <t>SCA</t>
        </is>
      </c>
      <c r="G177" t="n">
        <v>3.1</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22467-2024 artfynd.xlsx", "A 22467-2024")</f>
        <v/>
      </c>
      <c r="T177">
        <f>HYPERLINK("https://klasma.github.io/Logging_2462/kartor/A 22467-2024 karta.png", "A 22467-2024")</f>
        <v/>
      </c>
      <c r="V177">
        <f>HYPERLINK("https://klasma.github.io/Logging_2462/klagomål/A 22467-2024 FSC-klagomål.docx", "A 22467-2024")</f>
        <v/>
      </c>
      <c r="W177">
        <f>HYPERLINK("https://klasma.github.io/Logging_2462/klagomålsmail/A 22467-2024 FSC-klagomål mail.docx", "A 22467-2024")</f>
        <v/>
      </c>
      <c r="X177">
        <f>HYPERLINK("https://klasma.github.io/Logging_2462/tillsyn/A 22467-2024 tillsynsbegäran.docx", "A 22467-2024")</f>
        <v/>
      </c>
      <c r="Y177">
        <f>HYPERLINK("https://klasma.github.io/Logging_2462/tillsynsmail/A 22467-2024 tillsynsbegäran mail.docx", "A 22467-2024")</f>
        <v/>
      </c>
      <c r="Z177">
        <f>HYPERLINK("https://klasma.github.io/Logging_2462/fåglar/A 22467-2024 prioriterade fågelarter.docx", "A 22467-2024")</f>
        <v/>
      </c>
    </row>
    <row r="178" ht="15" customHeight="1">
      <c r="A178" t="inlineStr">
        <is>
          <t>A 22466-2024</t>
        </is>
      </c>
      <c r="B178" s="1" t="n">
        <v>45446</v>
      </c>
      <c r="C178" s="1" t="n">
        <v>45578</v>
      </c>
      <c r="D178" t="inlineStr">
        <is>
          <t>VÄSTERBOTTENS LÄN</t>
        </is>
      </c>
      <c r="E178" t="inlineStr">
        <is>
          <t>VILHELMINA</t>
        </is>
      </c>
      <c r="F178" t="inlineStr">
        <is>
          <t>SCA</t>
        </is>
      </c>
      <c r="G178" t="n">
        <v>3.9</v>
      </c>
      <c r="H178" t="n">
        <v>0</v>
      </c>
      <c r="I178" t="n">
        <v>0</v>
      </c>
      <c r="J178" t="n">
        <v>1</v>
      </c>
      <c r="K178" t="n">
        <v>0</v>
      </c>
      <c r="L178" t="n">
        <v>0</v>
      </c>
      <c r="M178" t="n">
        <v>0</v>
      </c>
      <c r="N178" t="n">
        <v>0</v>
      </c>
      <c r="O178" t="n">
        <v>1</v>
      </c>
      <c r="P178" t="n">
        <v>0</v>
      </c>
      <c r="Q178" t="n">
        <v>1</v>
      </c>
      <c r="R178" s="2" t="inlineStr">
        <is>
          <t>Ullticka</t>
        </is>
      </c>
      <c r="S178">
        <f>HYPERLINK("https://klasma.github.io/Logging_2462/artfynd/A 22466-2024 artfynd.xlsx", "A 22466-2024")</f>
        <v/>
      </c>
      <c r="T178">
        <f>HYPERLINK("https://klasma.github.io/Logging_2462/kartor/A 22466-2024 karta.png", "A 22466-2024")</f>
        <v/>
      </c>
      <c r="V178">
        <f>HYPERLINK("https://klasma.github.io/Logging_2462/klagomål/A 22466-2024 FSC-klagomål.docx", "A 22466-2024")</f>
        <v/>
      </c>
      <c r="W178">
        <f>HYPERLINK("https://klasma.github.io/Logging_2462/klagomålsmail/A 22466-2024 FSC-klagomål mail.docx", "A 22466-2024")</f>
        <v/>
      </c>
      <c r="X178">
        <f>HYPERLINK("https://klasma.github.io/Logging_2462/tillsyn/A 22466-2024 tillsynsbegäran.docx", "A 22466-2024")</f>
        <v/>
      </c>
      <c r="Y178">
        <f>HYPERLINK("https://klasma.github.io/Logging_2462/tillsynsmail/A 22466-2024 tillsynsbegäran mail.docx", "A 22466-2024")</f>
        <v/>
      </c>
    </row>
    <row r="179" ht="15" customHeight="1">
      <c r="A179" t="inlineStr">
        <is>
          <t>A 25368-2024</t>
        </is>
      </c>
      <c r="B179" s="1" t="n">
        <v>45462</v>
      </c>
      <c r="C179" s="1" t="n">
        <v>45578</v>
      </c>
      <c r="D179" t="inlineStr">
        <is>
          <t>VÄSTERBOTTENS LÄN</t>
        </is>
      </c>
      <c r="E179" t="inlineStr">
        <is>
          <t>VILHELMINA</t>
        </is>
      </c>
      <c r="F179" t="inlineStr">
        <is>
          <t>SCA</t>
        </is>
      </c>
      <c r="G179" t="n">
        <v>2.5</v>
      </c>
      <c r="H179" t="n">
        <v>1</v>
      </c>
      <c r="I179" t="n">
        <v>0</v>
      </c>
      <c r="J179" t="n">
        <v>1</v>
      </c>
      <c r="K179" t="n">
        <v>0</v>
      </c>
      <c r="L179" t="n">
        <v>0</v>
      </c>
      <c r="M179" t="n">
        <v>0</v>
      </c>
      <c r="N179" t="n">
        <v>0</v>
      </c>
      <c r="O179" t="n">
        <v>1</v>
      </c>
      <c r="P179" t="n">
        <v>0</v>
      </c>
      <c r="Q179" t="n">
        <v>1</v>
      </c>
      <c r="R179" s="2" t="inlineStr">
        <is>
          <t>Utter</t>
        </is>
      </c>
      <c r="S179">
        <f>HYPERLINK("https://klasma.github.io/Logging_2462/artfynd/A 25368-2024 artfynd.xlsx", "A 25368-2024")</f>
        <v/>
      </c>
      <c r="T179">
        <f>HYPERLINK("https://klasma.github.io/Logging_2462/kartor/A 25368-2024 karta.png", "A 25368-2024")</f>
        <v/>
      </c>
      <c r="V179">
        <f>HYPERLINK("https://klasma.github.io/Logging_2462/klagomål/A 25368-2024 FSC-klagomål.docx", "A 25368-2024")</f>
        <v/>
      </c>
      <c r="W179">
        <f>HYPERLINK("https://klasma.github.io/Logging_2462/klagomålsmail/A 25368-2024 FSC-klagomål mail.docx", "A 25368-2024")</f>
        <v/>
      </c>
      <c r="X179">
        <f>HYPERLINK("https://klasma.github.io/Logging_2462/tillsyn/A 25368-2024 tillsynsbegäran.docx", "A 25368-2024")</f>
        <v/>
      </c>
      <c r="Y179">
        <f>HYPERLINK("https://klasma.github.io/Logging_2462/tillsynsmail/A 25368-2024 tillsynsbegäran mail.docx", "A 25368-2024")</f>
        <v/>
      </c>
    </row>
    <row r="180" ht="15" customHeight="1">
      <c r="A180" t="inlineStr">
        <is>
          <t>A 33913-2024</t>
        </is>
      </c>
      <c r="B180" s="1" t="n">
        <v>45523</v>
      </c>
      <c r="C180" s="1" t="n">
        <v>45578</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34730-2024</t>
        </is>
      </c>
      <c r="B181" s="1" t="n">
        <v>45526</v>
      </c>
      <c r="C181" s="1" t="n">
        <v>45578</v>
      </c>
      <c r="D181" t="inlineStr">
        <is>
          <t>VÄSTERBOTTENS LÄN</t>
        </is>
      </c>
      <c r="E181" t="inlineStr">
        <is>
          <t>VILHELMINA</t>
        </is>
      </c>
      <c r="G181" t="n">
        <v>19.2</v>
      </c>
      <c r="H181" t="n">
        <v>0</v>
      </c>
      <c r="I181" t="n">
        <v>0</v>
      </c>
      <c r="J181" t="n">
        <v>1</v>
      </c>
      <c r="K181" t="n">
        <v>0</v>
      </c>
      <c r="L181" t="n">
        <v>0</v>
      </c>
      <c r="M181" t="n">
        <v>0</v>
      </c>
      <c r="N181" t="n">
        <v>0</v>
      </c>
      <c r="O181" t="n">
        <v>1</v>
      </c>
      <c r="P181" t="n">
        <v>0</v>
      </c>
      <c r="Q181" t="n">
        <v>1</v>
      </c>
      <c r="R181" s="2" t="inlineStr">
        <is>
          <t>Ullticka</t>
        </is>
      </c>
      <c r="S181">
        <f>HYPERLINK("https://klasma.github.io/Logging_2462/artfynd/A 34730-2024 artfynd.xlsx", "A 34730-2024")</f>
        <v/>
      </c>
      <c r="T181">
        <f>HYPERLINK("https://klasma.github.io/Logging_2462/kartor/A 34730-2024 karta.png", "A 34730-2024")</f>
        <v/>
      </c>
      <c r="V181">
        <f>HYPERLINK("https://klasma.github.io/Logging_2462/klagomål/A 34730-2024 FSC-klagomål.docx", "A 34730-2024")</f>
        <v/>
      </c>
      <c r="W181">
        <f>HYPERLINK("https://klasma.github.io/Logging_2462/klagomålsmail/A 34730-2024 FSC-klagomål mail.docx", "A 34730-2024")</f>
        <v/>
      </c>
      <c r="X181">
        <f>HYPERLINK("https://klasma.github.io/Logging_2462/tillsyn/A 34730-2024 tillsynsbegäran.docx", "A 34730-2024")</f>
        <v/>
      </c>
      <c r="Y181">
        <f>HYPERLINK("https://klasma.github.io/Logging_2462/tillsynsmail/A 34730-2024 tillsynsbegäran mail.docx", "A 34730-2024")</f>
        <v/>
      </c>
    </row>
    <row r="182" ht="15" customHeight="1">
      <c r="A182" t="inlineStr">
        <is>
          <t>A 34769-2024</t>
        </is>
      </c>
      <c r="B182" s="1" t="n">
        <v>45526</v>
      </c>
      <c r="C182" s="1" t="n">
        <v>45578</v>
      </c>
      <c r="D182" t="inlineStr">
        <is>
          <t>VÄSTERBOTTENS LÄN</t>
        </is>
      </c>
      <c r="E182" t="inlineStr">
        <is>
          <t>VILHELMINA</t>
        </is>
      </c>
      <c r="F182" t="inlineStr">
        <is>
          <t>SCA</t>
        </is>
      </c>
      <c r="G182" t="n">
        <v>6.7</v>
      </c>
      <c r="H182" t="n">
        <v>0</v>
      </c>
      <c r="I182" t="n">
        <v>0</v>
      </c>
      <c r="J182" t="n">
        <v>0</v>
      </c>
      <c r="K182" t="n">
        <v>1</v>
      </c>
      <c r="L182" t="n">
        <v>0</v>
      </c>
      <c r="M182" t="n">
        <v>0</v>
      </c>
      <c r="N182" t="n">
        <v>0</v>
      </c>
      <c r="O182" t="n">
        <v>1</v>
      </c>
      <c r="P182" t="n">
        <v>1</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38128-2024</t>
        </is>
      </c>
      <c r="B183" s="1" t="n">
        <v>45545</v>
      </c>
      <c r="C183" s="1" t="n">
        <v>45578</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38282-2024</t>
        </is>
      </c>
      <c r="B184" s="1" t="n">
        <v>45545</v>
      </c>
      <c r="C184" s="1" t="n">
        <v>45578</v>
      </c>
      <c r="D184" t="inlineStr">
        <is>
          <t>VÄSTERBOTTENS LÄN</t>
        </is>
      </c>
      <c r="E184" t="inlineStr">
        <is>
          <t>VILHELMINA</t>
        </is>
      </c>
      <c r="F184" t="inlineStr">
        <is>
          <t>SCA</t>
        </is>
      </c>
      <c r="G184" t="n">
        <v>3.4</v>
      </c>
      <c r="H184" t="n">
        <v>0</v>
      </c>
      <c r="I184" t="n">
        <v>0</v>
      </c>
      <c r="J184" t="n">
        <v>1</v>
      </c>
      <c r="K184" t="n">
        <v>0</v>
      </c>
      <c r="L184" t="n">
        <v>0</v>
      </c>
      <c r="M184" t="n">
        <v>0</v>
      </c>
      <c r="N184" t="n">
        <v>0</v>
      </c>
      <c r="O184" t="n">
        <v>1</v>
      </c>
      <c r="P184" t="n">
        <v>0</v>
      </c>
      <c r="Q184" t="n">
        <v>1</v>
      </c>
      <c r="R184" s="2" t="inlineStr">
        <is>
          <t>Gränsticka</t>
        </is>
      </c>
      <c r="S184">
        <f>HYPERLINK("https://klasma.github.io/Logging_2462/artfynd/A 38282-2024 artfynd.xlsx", "A 38282-2024")</f>
        <v/>
      </c>
      <c r="T184">
        <f>HYPERLINK("https://klasma.github.io/Logging_2462/kartor/A 38282-2024 karta.png", "A 38282-2024")</f>
        <v/>
      </c>
      <c r="V184">
        <f>HYPERLINK("https://klasma.github.io/Logging_2462/klagomål/A 38282-2024 FSC-klagomål.docx", "A 38282-2024")</f>
        <v/>
      </c>
      <c r="W184">
        <f>HYPERLINK("https://klasma.github.io/Logging_2462/klagomålsmail/A 38282-2024 FSC-klagomål mail.docx", "A 38282-2024")</f>
        <v/>
      </c>
      <c r="X184">
        <f>HYPERLINK("https://klasma.github.io/Logging_2462/tillsyn/A 38282-2024 tillsynsbegäran.docx", "A 38282-2024")</f>
        <v/>
      </c>
      <c r="Y184">
        <f>HYPERLINK("https://klasma.github.io/Logging_2462/tillsynsmail/A 38282-2024 tillsynsbegäran mail.docx", "A 38282-2024")</f>
        <v/>
      </c>
    </row>
    <row r="185" ht="15" customHeight="1">
      <c r="A185" t="inlineStr">
        <is>
          <t>A 41646-2024</t>
        </is>
      </c>
      <c r="B185" s="1" t="n">
        <v>45560</v>
      </c>
      <c r="C185" s="1" t="n">
        <v>45578</v>
      </c>
      <c r="D185" t="inlineStr">
        <is>
          <t>VÄSTERBOTTENS LÄN</t>
        </is>
      </c>
      <c r="E185" t="inlineStr">
        <is>
          <t>VILHELMINA</t>
        </is>
      </c>
      <c r="F185" t="inlineStr">
        <is>
          <t>SCA</t>
        </is>
      </c>
      <c r="G185" t="n">
        <v>4.8</v>
      </c>
      <c r="H185" t="n">
        <v>0</v>
      </c>
      <c r="I185" t="n">
        <v>0</v>
      </c>
      <c r="J185" t="n">
        <v>1</v>
      </c>
      <c r="K185" t="n">
        <v>0</v>
      </c>
      <c r="L185" t="n">
        <v>0</v>
      </c>
      <c r="M185" t="n">
        <v>0</v>
      </c>
      <c r="N185" t="n">
        <v>0</v>
      </c>
      <c r="O185" t="n">
        <v>1</v>
      </c>
      <c r="P185" t="n">
        <v>0</v>
      </c>
      <c r="Q185" t="n">
        <v>1</v>
      </c>
      <c r="R185" s="2" t="inlineStr">
        <is>
          <t>Ullticka</t>
        </is>
      </c>
      <c r="S185">
        <f>HYPERLINK("https://klasma.github.io/Logging_2462/artfynd/A 41646-2024 artfynd.xlsx", "A 41646-2024")</f>
        <v/>
      </c>
      <c r="T185">
        <f>HYPERLINK("https://klasma.github.io/Logging_2462/kartor/A 41646-2024 karta.png", "A 41646-2024")</f>
        <v/>
      </c>
      <c r="V185">
        <f>HYPERLINK("https://klasma.github.io/Logging_2462/klagomål/A 41646-2024 FSC-klagomål.docx", "A 41646-2024")</f>
        <v/>
      </c>
      <c r="W185">
        <f>HYPERLINK("https://klasma.github.io/Logging_2462/klagomålsmail/A 41646-2024 FSC-klagomål mail.docx", "A 41646-2024")</f>
        <v/>
      </c>
      <c r="X185">
        <f>HYPERLINK("https://klasma.github.io/Logging_2462/tillsyn/A 41646-2024 tillsynsbegäran.docx", "A 41646-2024")</f>
        <v/>
      </c>
      <c r="Y185">
        <f>HYPERLINK("https://klasma.github.io/Logging_2462/tillsynsmail/A 41646-2024 tillsynsbegäran mail.docx", "A 41646-2024")</f>
        <v/>
      </c>
    </row>
    <row r="186" ht="15" customHeight="1">
      <c r="A186" t="inlineStr">
        <is>
          <t>A 42489-2024</t>
        </is>
      </c>
      <c r="B186" s="1" t="n">
        <v>45565</v>
      </c>
      <c r="C186" s="1" t="n">
        <v>45578</v>
      </c>
      <c r="D186" t="inlineStr">
        <is>
          <t>VÄSTERBOTTENS LÄN</t>
        </is>
      </c>
      <c r="E186" t="inlineStr">
        <is>
          <t>VILHELMINA</t>
        </is>
      </c>
      <c r="F186" t="inlineStr">
        <is>
          <t>SCA</t>
        </is>
      </c>
      <c r="G186" t="n">
        <v>1.9</v>
      </c>
      <c r="H186" t="n">
        <v>0</v>
      </c>
      <c r="I186" t="n">
        <v>0</v>
      </c>
      <c r="J186" t="n">
        <v>1</v>
      </c>
      <c r="K186" t="n">
        <v>0</v>
      </c>
      <c r="L186" t="n">
        <v>0</v>
      </c>
      <c r="M186" t="n">
        <v>0</v>
      </c>
      <c r="N186" t="n">
        <v>0</v>
      </c>
      <c r="O186" t="n">
        <v>1</v>
      </c>
      <c r="P186" t="n">
        <v>0</v>
      </c>
      <c r="Q186" t="n">
        <v>1</v>
      </c>
      <c r="R186" s="2" t="inlineStr">
        <is>
          <t>Granticka</t>
        </is>
      </c>
      <c r="S186">
        <f>HYPERLINK("https://klasma.github.io/Logging_2462/artfynd/A 42489-2024 artfynd.xlsx", "A 42489-2024")</f>
        <v/>
      </c>
      <c r="T186">
        <f>HYPERLINK("https://klasma.github.io/Logging_2462/kartor/A 42489-2024 karta.png", "A 42489-2024")</f>
        <v/>
      </c>
      <c r="V186">
        <f>HYPERLINK("https://klasma.github.io/Logging_2462/klagomål/A 42489-2024 FSC-klagomål.docx", "A 42489-2024")</f>
        <v/>
      </c>
      <c r="W186">
        <f>HYPERLINK("https://klasma.github.io/Logging_2462/klagomålsmail/A 42489-2024 FSC-klagomål mail.docx", "A 42489-2024")</f>
        <v/>
      </c>
      <c r="X186">
        <f>HYPERLINK("https://klasma.github.io/Logging_2462/tillsyn/A 42489-2024 tillsynsbegäran.docx", "A 42489-2024")</f>
        <v/>
      </c>
      <c r="Y186">
        <f>HYPERLINK("https://klasma.github.io/Logging_2462/tillsynsmail/A 42489-2024 tillsynsbegäran mail.docx", "A 42489-2024")</f>
        <v/>
      </c>
    </row>
    <row r="187" ht="15" customHeight="1">
      <c r="A187" t="inlineStr">
        <is>
          <t>A 44286-2024</t>
        </is>
      </c>
      <c r="B187" s="1" t="n">
        <v>45573</v>
      </c>
      <c r="C187" s="1" t="n">
        <v>45578</v>
      </c>
      <c r="D187" t="inlineStr">
        <is>
          <t>VÄSTERBOTTENS LÄN</t>
        </is>
      </c>
      <c r="E187" t="inlineStr">
        <is>
          <t>VILHELMINA</t>
        </is>
      </c>
      <c r="G187" t="n">
        <v>29.2</v>
      </c>
      <c r="H187" t="n">
        <v>1</v>
      </c>
      <c r="I187" t="n">
        <v>0</v>
      </c>
      <c r="J187" t="n">
        <v>1</v>
      </c>
      <c r="K187" t="n">
        <v>0</v>
      </c>
      <c r="L187" t="n">
        <v>0</v>
      </c>
      <c r="M187" t="n">
        <v>0</v>
      </c>
      <c r="N187" t="n">
        <v>0</v>
      </c>
      <c r="O187" t="n">
        <v>1</v>
      </c>
      <c r="P187" t="n">
        <v>0</v>
      </c>
      <c r="Q187" t="n">
        <v>1</v>
      </c>
      <c r="R187" s="2" t="inlineStr">
        <is>
          <t>Videsparv</t>
        </is>
      </c>
      <c r="S187">
        <f>HYPERLINK("https://klasma.github.io/Logging_2462/artfynd/A 44286-2024 artfynd.xlsx", "A 44286-2024")</f>
        <v/>
      </c>
      <c r="T187">
        <f>HYPERLINK("https://klasma.github.io/Logging_2462/kartor/A 44286-2024 karta.png", "A 44286-2024")</f>
        <v/>
      </c>
      <c r="V187">
        <f>HYPERLINK("https://klasma.github.io/Logging_2462/klagomål/A 44286-2024 FSC-klagomål.docx", "A 44286-2024")</f>
        <v/>
      </c>
      <c r="W187">
        <f>HYPERLINK("https://klasma.github.io/Logging_2462/klagomålsmail/A 44286-2024 FSC-klagomål mail.docx", "A 44286-2024")</f>
        <v/>
      </c>
      <c r="X187">
        <f>HYPERLINK("https://klasma.github.io/Logging_2462/tillsyn/A 44286-2024 tillsynsbegäran.docx", "A 44286-2024")</f>
        <v/>
      </c>
      <c r="Y187">
        <f>HYPERLINK("https://klasma.github.io/Logging_2462/tillsynsmail/A 44286-2024 tillsynsbegäran mail.docx", "A 44286-2024")</f>
        <v/>
      </c>
      <c r="Z187">
        <f>HYPERLINK("https://klasma.github.io/Logging_2462/fåglar/A 44286-2024 prioriterade fågelarter.docx", "A 44286-2024")</f>
        <v/>
      </c>
    </row>
    <row r="188" ht="15" customHeight="1">
      <c r="A188" t="inlineStr">
        <is>
          <t>A 18521-2019</t>
        </is>
      </c>
      <c r="B188" s="1" t="n">
        <v>43558</v>
      </c>
      <c r="C188" s="1" t="n">
        <v>45578</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18529-2019</t>
        </is>
      </c>
      <c r="B189" s="1" t="n">
        <v>43559</v>
      </c>
      <c r="C189" s="1" t="n">
        <v>45578</v>
      </c>
      <c r="D189" t="inlineStr">
        <is>
          <t>VÄSTERBOTTENS LÄN</t>
        </is>
      </c>
      <c r="E189" t="inlineStr">
        <is>
          <t>VILHELMINA</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18449-2019</t>
        </is>
      </c>
      <c r="B190" s="1" t="n">
        <v>43559</v>
      </c>
      <c r="C190" s="1" t="n">
        <v>45578</v>
      </c>
      <c r="D190" t="inlineStr">
        <is>
          <t>VÄSTERBOTTENS LÄN</t>
        </is>
      </c>
      <c r="E190" t="inlineStr">
        <is>
          <t>VILHELMINA</t>
        </is>
      </c>
      <c r="F190" t="inlineStr">
        <is>
          <t>Kommuner</t>
        </is>
      </c>
      <c r="G190" t="n">
        <v>20.8</v>
      </c>
      <c r="H190" t="n">
        <v>0</v>
      </c>
      <c r="I190" t="n">
        <v>0</v>
      </c>
      <c r="J190" t="n">
        <v>0</v>
      </c>
      <c r="K190" t="n">
        <v>0</v>
      </c>
      <c r="L190" t="n">
        <v>0</v>
      </c>
      <c r="M190" t="n">
        <v>0</v>
      </c>
      <c r="N190" t="n">
        <v>0</v>
      </c>
      <c r="O190" t="n">
        <v>0</v>
      </c>
      <c r="P190" t="n">
        <v>0</v>
      </c>
      <c r="Q190" t="n">
        <v>0</v>
      </c>
      <c r="R190" s="2" t="inlineStr"/>
    </row>
    <row r="191" ht="15" customHeight="1">
      <c r="A191" t="inlineStr">
        <is>
          <t>A 19130-2019</t>
        </is>
      </c>
      <c r="B191" s="1" t="n">
        <v>43564</v>
      </c>
      <c r="C191" s="1" t="n">
        <v>45578</v>
      </c>
      <c r="D191" t="inlineStr">
        <is>
          <t>VÄSTERBOTTENS LÄN</t>
        </is>
      </c>
      <c r="E191" t="inlineStr">
        <is>
          <t>VILHELMINA</t>
        </is>
      </c>
      <c r="G191" t="n">
        <v>5.6</v>
      </c>
      <c r="H191" t="n">
        <v>0</v>
      </c>
      <c r="I191" t="n">
        <v>0</v>
      </c>
      <c r="J191" t="n">
        <v>0</v>
      </c>
      <c r="K191" t="n">
        <v>0</v>
      </c>
      <c r="L191" t="n">
        <v>0</v>
      </c>
      <c r="M191" t="n">
        <v>0</v>
      </c>
      <c r="N191" t="n">
        <v>0</v>
      </c>
      <c r="O191" t="n">
        <v>0</v>
      </c>
      <c r="P191" t="n">
        <v>0</v>
      </c>
      <c r="Q191" t="n">
        <v>0</v>
      </c>
      <c r="R191" s="2" t="inlineStr"/>
    </row>
    <row r="192" ht="15" customHeight="1">
      <c r="A192" t="inlineStr">
        <is>
          <t>A 23278-2019</t>
        </is>
      </c>
      <c r="B192" s="1" t="n">
        <v>43592</v>
      </c>
      <c r="C192" s="1" t="n">
        <v>45578</v>
      </c>
      <c r="D192" t="inlineStr">
        <is>
          <t>VÄSTERBOTTENS LÄN</t>
        </is>
      </c>
      <c r="E192" t="inlineStr">
        <is>
          <t>VILHELMINA</t>
        </is>
      </c>
      <c r="F192" t="inlineStr">
        <is>
          <t>SCA</t>
        </is>
      </c>
      <c r="G192" t="n">
        <v>6.6</v>
      </c>
      <c r="H192" t="n">
        <v>0</v>
      </c>
      <c r="I192" t="n">
        <v>0</v>
      </c>
      <c r="J192" t="n">
        <v>0</v>
      </c>
      <c r="K192" t="n">
        <v>0</v>
      </c>
      <c r="L192" t="n">
        <v>0</v>
      </c>
      <c r="M192" t="n">
        <v>0</v>
      </c>
      <c r="N192" t="n">
        <v>0</v>
      </c>
      <c r="O192" t="n">
        <v>0</v>
      </c>
      <c r="P192" t="n">
        <v>0</v>
      </c>
      <c r="Q192" t="n">
        <v>0</v>
      </c>
      <c r="R192" s="2" t="inlineStr"/>
    </row>
    <row r="193" ht="15" customHeight="1">
      <c r="A193" t="inlineStr">
        <is>
          <t>A 23277-2019</t>
        </is>
      </c>
      <c r="B193" s="1" t="n">
        <v>43592</v>
      </c>
      <c r="C193" s="1" t="n">
        <v>45578</v>
      </c>
      <c r="D193" t="inlineStr">
        <is>
          <t>VÄSTERBOTTENS LÄN</t>
        </is>
      </c>
      <c r="E193" t="inlineStr">
        <is>
          <t>VILHELMINA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23724-2019</t>
        </is>
      </c>
      <c r="B194" s="1" t="n">
        <v>43594</v>
      </c>
      <c r="C194" s="1" t="n">
        <v>45578</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23723-2019</t>
        </is>
      </c>
      <c r="B195" s="1" t="n">
        <v>43594</v>
      </c>
      <c r="C195" s="1" t="n">
        <v>45578</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26852-2019</t>
        </is>
      </c>
      <c r="B196" s="1" t="n">
        <v>43608</v>
      </c>
      <c r="C196" s="1" t="n">
        <v>45578</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26896-2019</t>
        </is>
      </c>
      <c r="B197" s="1" t="n">
        <v>43608</v>
      </c>
      <c r="C197" s="1" t="n">
        <v>45578</v>
      </c>
      <c r="D197" t="inlineStr">
        <is>
          <t>VÄSTERBOTTENS LÄN</t>
        </is>
      </c>
      <c r="E197" t="inlineStr">
        <is>
          <t>VILHELMINA</t>
        </is>
      </c>
      <c r="G197" t="n">
        <v>3.1</v>
      </c>
      <c r="H197" t="n">
        <v>0</v>
      </c>
      <c r="I197" t="n">
        <v>0</v>
      </c>
      <c r="J197" t="n">
        <v>0</v>
      </c>
      <c r="K197" t="n">
        <v>0</v>
      </c>
      <c r="L197" t="n">
        <v>0</v>
      </c>
      <c r="M197" t="n">
        <v>0</v>
      </c>
      <c r="N197" t="n">
        <v>0</v>
      </c>
      <c r="O197" t="n">
        <v>0</v>
      </c>
      <c r="P197" t="n">
        <v>0</v>
      </c>
      <c r="Q197" t="n">
        <v>0</v>
      </c>
      <c r="R197" s="2" t="inlineStr"/>
    </row>
    <row r="198" ht="15" customHeight="1">
      <c r="A198" t="inlineStr">
        <is>
          <t>A 27075-2019</t>
        </is>
      </c>
      <c r="B198" s="1" t="n">
        <v>43612</v>
      </c>
      <c r="C198" s="1" t="n">
        <v>45578</v>
      </c>
      <c r="D198" t="inlineStr">
        <is>
          <t>VÄSTERBOTTENS LÄN</t>
        </is>
      </c>
      <c r="E198" t="inlineStr">
        <is>
          <t>VILHELMINA</t>
        </is>
      </c>
      <c r="G198" t="n">
        <v>4.3</v>
      </c>
      <c r="H198" t="n">
        <v>0</v>
      </c>
      <c r="I198" t="n">
        <v>0</v>
      </c>
      <c r="J198" t="n">
        <v>0</v>
      </c>
      <c r="K198" t="n">
        <v>0</v>
      </c>
      <c r="L198" t="n">
        <v>0</v>
      </c>
      <c r="M198" t="n">
        <v>0</v>
      </c>
      <c r="N198" t="n">
        <v>0</v>
      </c>
      <c r="O198" t="n">
        <v>0</v>
      </c>
      <c r="P198" t="n">
        <v>0</v>
      </c>
      <c r="Q198" t="n">
        <v>0</v>
      </c>
      <c r="R198" s="2" t="inlineStr"/>
    </row>
    <row r="199" ht="15" customHeight="1">
      <c r="A199" t="inlineStr">
        <is>
          <t>A 26763-2019</t>
        </is>
      </c>
      <c r="B199" s="1" t="n">
        <v>43613</v>
      </c>
      <c r="C199" s="1" t="n">
        <v>45578</v>
      </c>
      <c r="D199" t="inlineStr">
        <is>
          <t>VÄSTERBOTTENS LÄN</t>
        </is>
      </c>
      <c r="E199" t="inlineStr">
        <is>
          <t>VILHELMINA</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27254-2019</t>
        </is>
      </c>
      <c r="B200" s="1" t="n">
        <v>43614</v>
      </c>
      <c r="C200" s="1" t="n">
        <v>45578</v>
      </c>
      <c r="D200" t="inlineStr">
        <is>
          <t>VÄSTERBOTTENS LÄN</t>
        </is>
      </c>
      <c r="E200" t="inlineStr">
        <is>
          <t>VILHELMINA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27253-2019</t>
        </is>
      </c>
      <c r="B201" s="1" t="n">
        <v>43614</v>
      </c>
      <c r="C201" s="1" t="n">
        <v>45578</v>
      </c>
      <c r="D201" t="inlineStr">
        <is>
          <t>VÄSTERBOTTENS LÄN</t>
        </is>
      </c>
      <c r="E201" t="inlineStr">
        <is>
          <t>VILHELMINA</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31612-2019</t>
        </is>
      </c>
      <c r="B202" s="1" t="n">
        <v>43640</v>
      </c>
      <c r="C202" s="1" t="n">
        <v>45578</v>
      </c>
      <c r="D202" t="inlineStr">
        <is>
          <t>VÄSTERBOTTENS LÄN</t>
        </is>
      </c>
      <c r="E202" t="inlineStr">
        <is>
          <t>VILHELMINA</t>
        </is>
      </c>
      <c r="G202" t="n">
        <v>1.3</v>
      </c>
      <c r="H202" t="n">
        <v>0</v>
      </c>
      <c r="I202" t="n">
        <v>0</v>
      </c>
      <c r="J202" t="n">
        <v>0</v>
      </c>
      <c r="K202" t="n">
        <v>0</v>
      </c>
      <c r="L202" t="n">
        <v>0</v>
      </c>
      <c r="M202" t="n">
        <v>0</v>
      </c>
      <c r="N202" t="n">
        <v>0</v>
      </c>
      <c r="O202" t="n">
        <v>0</v>
      </c>
      <c r="P202" t="n">
        <v>0</v>
      </c>
      <c r="Q202" t="n">
        <v>0</v>
      </c>
      <c r="R202" s="2" t="inlineStr"/>
    </row>
    <row r="203" ht="15" customHeight="1">
      <c r="A203" t="inlineStr">
        <is>
          <t>A 31615-2019</t>
        </is>
      </c>
      <c r="B203" s="1" t="n">
        <v>43640</v>
      </c>
      <c r="C203" s="1" t="n">
        <v>45578</v>
      </c>
      <c r="D203" t="inlineStr">
        <is>
          <t>VÄSTERBOTTENS LÄN</t>
        </is>
      </c>
      <c r="E203" t="inlineStr">
        <is>
          <t>VILHELMINA</t>
        </is>
      </c>
      <c r="G203" t="n">
        <v>3.1</v>
      </c>
      <c r="H203" t="n">
        <v>0</v>
      </c>
      <c r="I203" t="n">
        <v>0</v>
      </c>
      <c r="J203" t="n">
        <v>0</v>
      </c>
      <c r="K203" t="n">
        <v>0</v>
      </c>
      <c r="L203" t="n">
        <v>0</v>
      </c>
      <c r="M203" t="n">
        <v>0</v>
      </c>
      <c r="N203" t="n">
        <v>0</v>
      </c>
      <c r="O203" t="n">
        <v>0</v>
      </c>
      <c r="P203" t="n">
        <v>0</v>
      </c>
      <c r="Q203" t="n">
        <v>0</v>
      </c>
      <c r="R203" s="2" t="inlineStr"/>
    </row>
    <row r="204" ht="15" customHeight="1">
      <c r="A204" t="inlineStr">
        <is>
          <t>A 31610-2019</t>
        </is>
      </c>
      <c r="B204" s="1" t="n">
        <v>43640</v>
      </c>
      <c r="C204" s="1" t="n">
        <v>45578</v>
      </c>
      <c r="D204" t="inlineStr">
        <is>
          <t>VÄSTERBOTTENS LÄN</t>
        </is>
      </c>
      <c r="E204" t="inlineStr">
        <is>
          <t>VILHELMINA</t>
        </is>
      </c>
      <c r="G204" t="n">
        <v>1</v>
      </c>
      <c r="H204" t="n">
        <v>0</v>
      </c>
      <c r="I204" t="n">
        <v>0</v>
      </c>
      <c r="J204" t="n">
        <v>0</v>
      </c>
      <c r="K204" t="n">
        <v>0</v>
      </c>
      <c r="L204" t="n">
        <v>0</v>
      </c>
      <c r="M204" t="n">
        <v>0</v>
      </c>
      <c r="N204" t="n">
        <v>0</v>
      </c>
      <c r="O204" t="n">
        <v>0</v>
      </c>
      <c r="P204" t="n">
        <v>0</v>
      </c>
      <c r="Q204" t="n">
        <v>0</v>
      </c>
      <c r="R204" s="2" t="inlineStr"/>
    </row>
    <row r="205" ht="15" customHeight="1">
      <c r="A205" t="inlineStr">
        <is>
          <t>A 31607-2019</t>
        </is>
      </c>
      <c r="B205" s="1" t="n">
        <v>43640</v>
      </c>
      <c r="C205" s="1" t="n">
        <v>45578</v>
      </c>
      <c r="D205" t="inlineStr">
        <is>
          <t>VÄSTERBOTTENS LÄN</t>
        </is>
      </c>
      <c r="E205" t="inlineStr">
        <is>
          <t>VILHELMINA</t>
        </is>
      </c>
      <c r="G205" t="n">
        <v>0.4</v>
      </c>
      <c r="H205" t="n">
        <v>0</v>
      </c>
      <c r="I205" t="n">
        <v>0</v>
      </c>
      <c r="J205" t="n">
        <v>0</v>
      </c>
      <c r="K205" t="n">
        <v>0</v>
      </c>
      <c r="L205" t="n">
        <v>0</v>
      </c>
      <c r="M205" t="n">
        <v>0</v>
      </c>
      <c r="N205" t="n">
        <v>0</v>
      </c>
      <c r="O205" t="n">
        <v>0</v>
      </c>
      <c r="P205" t="n">
        <v>0</v>
      </c>
      <c r="Q205" t="n">
        <v>0</v>
      </c>
      <c r="R205" s="2" t="inlineStr"/>
    </row>
    <row r="206" ht="15" customHeight="1">
      <c r="A206" t="inlineStr">
        <is>
          <t>A 31845-2019</t>
        </is>
      </c>
      <c r="B206" s="1" t="n">
        <v>43640</v>
      </c>
      <c r="C206" s="1" t="n">
        <v>45578</v>
      </c>
      <c r="D206" t="inlineStr">
        <is>
          <t>VÄSTERBOTTENS LÄN</t>
        </is>
      </c>
      <c r="E206" t="inlineStr">
        <is>
          <t>VILHELMINA</t>
        </is>
      </c>
      <c r="G206" t="n">
        <v>10.9</v>
      </c>
      <c r="H206" t="n">
        <v>0</v>
      </c>
      <c r="I206" t="n">
        <v>0</v>
      </c>
      <c r="J206" t="n">
        <v>0</v>
      </c>
      <c r="K206" t="n">
        <v>0</v>
      </c>
      <c r="L206" t="n">
        <v>0</v>
      </c>
      <c r="M206" t="n">
        <v>0</v>
      </c>
      <c r="N206" t="n">
        <v>0</v>
      </c>
      <c r="O206" t="n">
        <v>0</v>
      </c>
      <c r="P206" t="n">
        <v>0</v>
      </c>
      <c r="Q206" t="n">
        <v>0</v>
      </c>
      <c r="R206" s="2" t="inlineStr"/>
    </row>
    <row r="207" ht="15" customHeight="1">
      <c r="A207" t="inlineStr">
        <is>
          <t>A 31511-2019</t>
        </is>
      </c>
      <c r="B207" s="1" t="n">
        <v>43641</v>
      </c>
      <c r="C207" s="1" t="n">
        <v>45578</v>
      </c>
      <c r="D207" t="inlineStr">
        <is>
          <t>VÄSTERBOTTENS LÄN</t>
        </is>
      </c>
      <c r="E207" t="inlineStr">
        <is>
          <t>VILHELMINA</t>
        </is>
      </c>
      <c r="G207" t="n">
        <v>21.8</v>
      </c>
      <c r="H207" t="n">
        <v>0</v>
      </c>
      <c r="I207" t="n">
        <v>0</v>
      </c>
      <c r="J207" t="n">
        <v>0</v>
      </c>
      <c r="K207" t="n">
        <v>0</v>
      </c>
      <c r="L207" t="n">
        <v>0</v>
      </c>
      <c r="M207" t="n">
        <v>0</v>
      </c>
      <c r="N207" t="n">
        <v>0</v>
      </c>
      <c r="O207" t="n">
        <v>0</v>
      </c>
      <c r="P207" t="n">
        <v>0</v>
      </c>
      <c r="Q207" t="n">
        <v>0</v>
      </c>
      <c r="R207" s="2" t="inlineStr"/>
    </row>
    <row r="208" ht="15" customHeight="1">
      <c r="A208" t="inlineStr">
        <is>
          <t>A 32731-2019</t>
        </is>
      </c>
      <c r="B208" s="1" t="n">
        <v>43648</v>
      </c>
      <c r="C208" s="1" t="n">
        <v>45578</v>
      </c>
      <c r="D208" t="inlineStr">
        <is>
          <t>VÄSTERBOTTENS LÄN</t>
        </is>
      </c>
      <c r="E208" t="inlineStr">
        <is>
          <t>VILHELMINA</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32787-2019</t>
        </is>
      </c>
      <c r="B209" s="1" t="n">
        <v>43648</v>
      </c>
      <c r="C209" s="1" t="n">
        <v>45578</v>
      </c>
      <c r="D209" t="inlineStr">
        <is>
          <t>VÄSTERBOTTENS LÄN</t>
        </is>
      </c>
      <c r="E209" t="inlineStr">
        <is>
          <t>VILHELMINA</t>
        </is>
      </c>
      <c r="G209" t="n">
        <v>9.4</v>
      </c>
      <c r="H209" t="n">
        <v>0</v>
      </c>
      <c r="I209" t="n">
        <v>0</v>
      </c>
      <c r="J209" t="n">
        <v>0</v>
      </c>
      <c r="K209" t="n">
        <v>0</v>
      </c>
      <c r="L209" t="n">
        <v>0</v>
      </c>
      <c r="M209" t="n">
        <v>0</v>
      </c>
      <c r="N209" t="n">
        <v>0</v>
      </c>
      <c r="O209" t="n">
        <v>0</v>
      </c>
      <c r="P209" t="n">
        <v>0</v>
      </c>
      <c r="Q209" t="n">
        <v>0</v>
      </c>
      <c r="R209" s="2" t="inlineStr"/>
    </row>
    <row r="210" ht="15" customHeight="1">
      <c r="A210" t="inlineStr">
        <is>
          <t>A 34370-2019</t>
        </is>
      </c>
      <c r="B210" s="1" t="n">
        <v>43656</v>
      </c>
      <c r="C210" s="1" t="n">
        <v>45578</v>
      </c>
      <c r="D210" t="inlineStr">
        <is>
          <t>VÄSTERBOTTENS LÄN</t>
        </is>
      </c>
      <c r="E210" t="inlineStr">
        <is>
          <t>VILHELMINA</t>
        </is>
      </c>
      <c r="G210" t="n">
        <v>20.7</v>
      </c>
      <c r="H210" t="n">
        <v>0</v>
      </c>
      <c r="I210" t="n">
        <v>0</v>
      </c>
      <c r="J210" t="n">
        <v>0</v>
      </c>
      <c r="K210" t="n">
        <v>0</v>
      </c>
      <c r="L210" t="n">
        <v>0</v>
      </c>
      <c r="M210" t="n">
        <v>0</v>
      </c>
      <c r="N210" t="n">
        <v>0</v>
      </c>
      <c r="O210" t="n">
        <v>0</v>
      </c>
      <c r="P210" t="n">
        <v>0</v>
      </c>
      <c r="Q210" t="n">
        <v>0</v>
      </c>
      <c r="R210" s="2" t="inlineStr"/>
    </row>
    <row r="211" ht="15" customHeight="1">
      <c r="A211" t="inlineStr">
        <is>
          <t>A 35051-2019</t>
        </is>
      </c>
      <c r="B211" s="1" t="n">
        <v>43661</v>
      </c>
      <c r="C211" s="1" t="n">
        <v>45578</v>
      </c>
      <c r="D211" t="inlineStr">
        <is>
          <t>VÄSTERBOTTENS LÄN</t>
        </is>
      </c>
      <c r="E211" t="inlineStr">
        <is>
          <t>VILHELMINA</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35054-2019</t>
        </is>
      </c>
      <c r="B212" s="1" t="n">
        <v>43661</v>
      </c>
      <c r="C212" s="1" t="n">
        <v>45578</v>
      </c>
      <c r="D212" t="inlineStr">
        <is>
          <t>VÄSTERBOTTENS LÄN</t>
        </is>
      </c>
      <c r="E212" t="inlineStr">
        <is>
          <t>VILHELMINA</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35723-2019</t>
        </is>
      </c>
      <c r="B213" s="1" t="n">
        <v>43664</v>
      </c>
      <c r="C213" s="1" t="n">
        <v>45578</v>
      </c>
      <c r="D213" t="inlineStr">
        <is>
          <t>VÄSTERBOTTENS LÄN</t>
        </is>
      </c>
      <c r="E213" t="inlineStr">
        <is>
          <t>VILHELMINA</t>
        </is>
      </c>
      <c r="G213" t="n">
        <v>16.8</v>
      </c>
      <c r="H213" t="n">
        <v>0</v>
      </c>
      <c r="I213" t="n">
        <v>0</v>
      </c>
      <c r="J213" t="n">
        <v>0</v>
      </c>
      <c r="K213" t="n">
        <v>0</v>
      </c>
      <c r="L213" t="n">
        <v>0</v>
      </c>
      <c r="M213" t="n">
        <v>0</v>
      </c>
      <c r="N213" t="n">
        <v>0</v>
      </c>
      <c r="O213" t="n">
        <v>0</v>
      </c>
      <c r="P213" t="n">
        <v>0</v>
      </c>
      <c r="Q213" t="n">
        <v>0</v>
      </c>
      <c r="R213" s="2" t="inlineStr"/>
    </row>
    <row r="214" ht="15" customHeight="1">
      <c r="A214" t="inlineStr">
        <is>
          <t>A 35737-2019</t>
        </is>
      </c>
      <c r="B214" s="1" t="n">
        <v>43664</v>
      </c>
      <c r="C214" s="1" t="n">
        <v>45578</v>
      </c>
      <c r="D214" t="inlineStr">
        <is>
          <t>VÄSTERBOTTENS LÄN</t>
        </is>
      </c>
      <c r="E214" t="inlineStr">
        <is>
          <t>VILHELMINA</t>
        </is>
      </c>
      <c r="G214" t="n">
        <v>22.4</v>
      </c>
      <c r="H214" t="n">
        <v>0</v>
      </c>
      <c r="I214" t="n">
        <v>0</v>
      </c>
      <c r="J214" t="n">
        <v>0</v>
      </c>
      <c r="K214" t="n">
        <v>0</v>
      </c>
      <c r="L214" t="n">
        <v>0</v>
      </c>
      <c r="M214" t="n">
        <v>0</v>
      </c>
      <c r="N214" t="n">
        <v>0</v>
      </c>
      <c r="O214" t="n">
        <v>0</v>
      </c>
      <c r="P214" t="n">
        <v>0</v>
      </c>
      <c r="Q214" t="n">
        <v>0</v>
      </c>
      <c r="R214" s="2" t="inlineStr"/>
    </row>
    <row r="215" ht="15" customHeight="1">
      <c r="A215" t="inlineStr">
        <is>
          <t>A 35726-2019</t>
        </is>
      </c>
      <c r="B215" s="1" t="n">
        <v>43664</v>
      </c>
      <c r="C215" s="1" t="n">
        <v>45578</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35731-2019</t>
        </is>
      </c>
      <c r="B216" s="1" t="n">
        <v>43665</v>
      </c>
      <c r="C216" s="1" t="n">
        <v>45578</v>
      </c>
      <c r="D216" t="inlineStr">
        <is>
          <t>VÄSTERBOTTENS LÄN</t>
        </is>
      </c>
      <c r="E216" t="inlineStr">
        <is>
          <t>VILHELMINA</t>
        </is>
      </c>
      <c r="G216" t="n">
        <v>0.4</v>
      </c>
      <c r="H216" t="n">
        <v>0</v>
      </c>
      <c r="I216" t="n">
        <v>0</v>
      </c>
      <c r="J216" t="n">
        <v>0</v>
      </c>
      <c r="K216" t="n">
        <v>0</v>
      </c>
      <c r="L216" t="n">
        <v>0</v>
      </c>
      <c r="M216" t="n">
        <v>0</v>
      </c>
      <c r="N216" t="n">
        <v>0</v>
      </c>
      <c r="O216" t="n">
        <v>0</v>
      </c>
      <c r="P216" t="n">
        <v>0</v>
      </c>
      <c r="Q216" t="n">
        <v>0</v>
      </c>
      <c r="R216" s="2" t="inlineStr"/>
    </row>
    <row r="217" ht="15" customHeight="1">
      <c r="A217" t="inlineStr">
        <is>
          <t>A 37824-2019</t>
        </is>
      </c>
      <c r="B217" s="1" t="n">
        <v>43682</v>
      </c>
      <c r="C217" s="1" t="n">
        <v>45578</v>
      </c>
      <c r="D217" t="inlineStr">
        <is>
          <t>VÄSTERBOTTENS LÄN</t>
        </is>
      </c>
      <c r="E217" t="inlineStr">
        <is>
          <t>VILHELMINA</t>
        </is>
      </c>
      <c r="G217" t="n">
        <v>14.2</v>
      </c>
      <c r="H217" t="n">
        <v>0</v>
      </c>
      <c r="I217" t="n">
        <v>0</v>
      </c>
      <c r="J217" t="n">
        <v>0</v>
      </c>
      <c r="K217" t="n">
        <v>0</v>
      </c>
      <c r="L217" t="n">
        <v>0</v>
      </c>
      <c r="M217" t="n">
        <v>0</v>
      </c>
      <c r="N217" t="n">
        <v>0</v>
      </c>
      <c r="O217" t="n">
        <v>0</v>
      </c>
      <c r="P217" t="n">
        <v>0</v>
      </c>
      <c r="Q217" t="n">
        <v>0</v>
      </c>
      <c r="R217" s="2" t="inlineStr"/>
    </row>
    <row r="218" ht="15" customHeight="1">
      <c r="A218" t="inlineStr">
        <is>
          <t>A 40282-2019</t>
        </is>
      </c>
      <c r="B218" s="1" t="n">
        <v>43690</v>
      </c>
      <c r="C218" s="1" t="n">
        <v>45578</v>
      </c>
      <c r="D218" t="inlineStr">
        <is>
          <t>VÄSTERBOTTENS LÄN</t>
        </is>
      </c>
      <c r="E218" t="inlineStr">
        <is>
          <t>VILHELMINA</t>
        </is>
      </c>
      <c r="G218" t="n">
        <v>13.2</v>
      </c>
      <c r="H218" t="n">
        <v>0</v>
      </c>
      <c r="I218" t="n">
        <v>0</v>
      </c>
      <c r="J218" t="n">
        <v>0</v>
      </c>
      <c r="K218" t="n">
        <v>0</v>
      </c>
      <c r="L218" t="n">
        <v>0</v>
      </c>
      <c r="M218" t="n">
        <v>0</v>
      </c>
      <c r="N218" t="n">
        <v>0</v>
      </c>
      <c r="O218" t="n">
        <v>0</v>
      </c>
      <c r="P218" t="n">
        <v>0</v>
      </c>
      <c r="Q218" t="n">
        <v>0</v>
      </c>
      <c r="R218" s="2" t="inlineStr"/>
    </row>
    <row r="219" ht="15" customHeight="1">
      <c r="A219" t="inlineStr">
        <is>
          <t>A 41782-2019</t>
        </is>
      </c>
      <c r="B219" s="1" t="n">
        <v>43699</v>
      </c>
      <c r="C219" s="1" t="n">
        <v>45578</v>
      </c>
      <c r="D219" t="inlineStr">
        <is>
          <t>VÄSTERBOTTENS LÄN</t>
        </is>
      </c>
      <c r="E219" t="inlineStr">
        <is>
          <t>VILHELMINA</t>
        </is>
      </c>
      <c r="F219" t="inlineStr">
        <is>
          <t>SCA</t>
        </is>
      </c>
      <c r="G219" t="n">
        <v>30.8</v>
      </c>
      <c r="H219" t="n">
        <v>0</v>
      </c>
      <c r="I219" t="n">
        <v>0</v>
      </c>
      <c r="J219" t="n">
        <v>0</v>
      </c>
      <c r="K219" t="n">
        <v>0</v>
      </c>
      <c r="L219" t="n">
        <v>0</v>
      </c>
      <c r="M219" t="n">
        <v>0</v>
      </c>
      <c r="N219" t="n">
        <v>0</v>
      </c>
      <c r="O219" t="n">
        <v>0</v>
      </c>
      <c r="P219" t="n">
        <v>0</v>
      </c>
      <c r="Q219" t="n">
        <v>0</v>
      </c>
      <c r="R219" s="2" t="inlineStr"/>
    </row>
    <row r="220" ht="15" customHeight="1">
      <c r="A220" t="inlineStr">
        <is>
          <t>A 42068-2019</t>
        </is>
      </c>
      <c r="B220" s="1" t="n">
        <v>43700</v>
      </c>
      <c r="C220" s="1" t="n">
        <v>45578</v>
      </c>
      <c r="D220" t="inlineStr">
        <is>
          <t>VÄSTERBOTTENS LÄN</t>
        </is>
      </c>
      <c r="E220" t="inlineStr">
        <is>
          <t>VILHELMINA</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42362-2019</t>
        </is>
      </c>
      <c r="B221" s="1" t="n">
        <v>43703</v>
      </c>
      <c r="C221" s="1" t="n">
        <v>45578</v>
      </c>
      <c r="D221" t="inlineStr">
        <is>
          <t>VÄSTERBOTTENS LÄN</t>
        </is>
      </c>
      <c r="E221" t="inlineStr">
        <is>
          <t>VILHELMINA</t>
        </is>
      </c>
      <c r="G221" t="n">
        <v>5.3</v>
      </c>
      <c r="H221" t="n">
        <v>0</v>
      </c>
      <c r="I221" t="n">
        <v>0</v>
      </c>
      <c r="J221" t="n">
        <v>0</v>
      </c>
      <c r="K221" t="n">
        <v>0</v>
      </c>
      <c r="L221" t="n">
        <v>0</v>
      </c>
      <c r="M221" t="n">
        <v>0</v>
      </c>
      <c r="N221" t="n">
        <v>0</v>
      </c>
      <c r="O221" t="n">
        <v>0</v>
      </c>
      <c r="P221" t="n">
        <v>0</v>
      </c>
      <c r="Q221" t="n">
        <v>0</v>
      </c>
      <c r="R221" s="2" t="inlineStr"/>
    </row>
    <row r="222" ht="15" customHeight="1">
      <c r="A222" t="inlineStr">
        <is>
          <t>A 44388-2019</t>
        </is>
      </c>
      <c r="B222" s="1" t="n">
        <v>43705</v>
      </c>
      <c r="C222" s="1" t="n">
        <v>45578</v>
      </c>
      <c r="D222" t="inlineStr">
        <is>
          <t>VÄSTERBOTTENS LÄN</t>
        </is>
      </c>
      <c r="E222" t="inlineStr">
        <is>
          <t>VILHELMINA</t>
        </is>
      </c>
      <c r="G222" t="n">
        <v>17</v>
      </c>
      <c r="H222" t="n">
        <v>0</v>
      </c>
      <c r="I222" t="n">
        <v>0</v>
      </c>
      <c r="J222" t="n">
        <v>0</v>
      </c>
      <c r="K222" t="n">
        <v>0</v>
      </c>
      <c r="L222" t="n">
        <v>0</v>
      </c>
      <c r="M222" t="n">
        <v>0</v>
      </c>
      <c r="N222" t="n">
        <v>0</v>
      </c>
      <c r="O222" t="n">
        <v>0</v>
      </c>
      <c r="P222" t="n">
        <v>0</v>
      </c>
      <c r="Q222" t="n">
        <v>0</v>
      </c>
      <c r="R222" s="2" t="inlineStr"/>
    </row>
    <row r="223" ht="15" customHeight="1">
      <c r="A223" t="inlineStr">
        <is>
          <t>A 44649-2019</t>
        </is>
      </c>
      <c r="B223" s="1" t="n">
        <v>43712</v>
      </c>
      <c r="C223" s="1" t="n">
        <v>45578</v>
      </c>
      <c r="D223" t="inlineStr">
        <is>
          <t>VÄSTERBOTTENS LÄN</t>
        </is>
      </c>
      <c r="E223" t="inlineStr">
        <is>
          <t>VILHELMINA</t>
        </is>
      </c>
      <c r="G223" t="n">
        <v>7.8</v>
      </c>
      <c r="H223" t="n">
        <v>0</v>
      </c>
      <c r="I223" t="n">
        <v>0</v>
      </c>
      <c r="J223" t="n">
        <v>0</v>
      </c>
      <c r="K223" t="n">
        <v>0</v>
      </c>
      <c r="L223" t="n">
        <v>0</v>
      </c>
      <c r="M223" t="n">
        <v>0</v>
      </c>
      <c r="N223" t="n">
        <v>0</v>
      </c>
      <c r="O223" t="n">
        <v>0</v>
      </c>
      <c r="P223" t="n">
        <v>0</v>
      </c>
      <c r="Q223" t="n">
        <v>0</v>
      </c>
      <c r="R223" s="2" t="inlineStr"/>
    </row>
    <row r="224" ht="15" customHeight="1">
      <c r="A224" t="inlineStr">
        <is>
          <t>A 45275-2019</t>
        </is>
      </c>
      <c r="B224" s="1" t="n">
        <v>43714</v>
      </c>
      <c r="C224" s="1" t="n">
        <v>45578</v>
      </c>
      <c r="D224" t="inlineStr">
        <is>
          <t>VÄSTERBOTTENS LÄN</t>
        </is>
      </c>
      <c r="E224" t="inlineStr">
        <is>
          <t>VILHELMINA</t>
        </is>
      </c>
      <c r="F224" t="inlineStr">
        <is>
          <t>SCA</t>
        </is>
      </c>
      <c r="G224" t="n">
        <v>10.3</v>
      </c>
      <c r="H224" t="n">
        <v>0</v>
      </c>
      <c r="I224" t="n">
        <v>0</v>
      </c>
      <c r="J224" t="n">
        <v>0</v>
      </c>
      <c r="K224" t="n">
        <v>0</v>
      </c>
      <c r="L224" t="n">
        <v>0</v>
      </c>
      <c r="M224" t="n">
        <v>0</v>
      </c>
      <c r="N224" t="n">
        <v>0</v>
      </c>
      <c r="O224" t="n">
        <v>0</v>
      </c>
      <c r="P224" t="n">
        <v>0</v>
      </c>
      <c r="Q224" t="n">
        <v>0</v>
      </c>
      <c r="R224" s="2" t="inlineStr"/>
    </row>
    <row r="225" ht="15" customHeight="1">
      <c r="A225" t="inlineStr">
        <is>
          <t>A 47388-2019</t>
        </is>
      </c>
      <c r="B225" s="1" t="n">
        <v>43721</v>
      </c>
      <c r="C225" s="1" t="n">
        <v>45578</v>
      </c>
      <c r="D225" t="inlineStr">
        <is>
          <t>VÄSTERBOTTENS LÄN</t>
        </is>
      </c>
      <c r="E225" t="inlineStr">
        <is>
          <t>VILHELMINA</t>
        </is>
      </c>
      <c r="F225" t="inlineStr">
        <is>
          <t>SCA</t>
        </is>
      </c>
      <c r="G225" t="n">
        <v>15.4</v>
      </c>
      <c r="H225" t="n">
        <v>0</v>
      </c>
      <c r="I225" t="n">
        <v>0</v>
      </c>
      <c r="J225" t="n">
        <v>0</v>
      </c>
      <c r="K225" t="n">
        <v>0</v>
      </c>
      <c r="L225" t="n">
        <v>0</v>
      </c>
      <c r="M225" t="n">
        <v>0</v>
      </c>
      <c r="N225" t="n">
        <v>0</v>
      </c>
      <c r="O225" t="n">
        <v>0</v>
      </c>
      <c r="P225" t="n">
        <v>0</v>
      </c>
      <c r="Q225" t="n">
        <v>0</v>
      </c>
      <c r="R225" s="2" t="inlineStr"/>
    </row>
    <row r="226" ht="15" customHeight="1">
      <c r="A226" t="inlineStr">
        <is>
          <t>A 48259-2019</t>
        </is>
      </c>
      <c r="B226" s="1" t="n">
        <v>43726</v>
      </c>
      <c r="C226" s="1" t="n">
        <v>45578</v>
      </c>
      <c r="D226" t="inlineStr">
        <is>
          <t>VÄSTERBOTTENS LÄN</t>
        </is>
      </c>
      <c r="E226" t="inlineStr">
        <is>
          <t>VILHELMINA</t>
        </is>
      </c>
      <c r="G226" t="n">
        <v>5.2</v>
      </c>
      <c r="H226" t="n">
        <v>0</v>
      </c>
      <c r="I226" t="n">
        <v>0</v>
      </c>
      <c r="J226" t="n">
        <v>0</v>
      </c>
      <c r="K226" t="n">
        <v>0</v>
      </c>
      <c r="L226" t="n">
        <v>0</v>
      </c>
      <c r="M226" t="n">
        <v>0</v>
      </c>
      <c r="N226" t="n">
        <v>0</v>
      </c>
      <c r="O226" t="n">
        <v>0</v>
      </c>
      <c r="P226" t="n">
        <v>0</v>
      </c>
      <c r="Q226" t="n">
        <v>0</v>
      </c>
      <c r="R226" s="2" t="inlineStr"/>
    </row>
    <row r="227" ht="15" customHeight="1">
      <c r="A227" t="inlineStr">
        <is>
          <t>A 49615-2019</t>
        </is>
      </c>
      <c r="B227" s="1" t="n">
        <v>43728</v>
      </c>
      <c r="C227" s="1" t="n">
        <v>45578</v>
      </c>
      <c r="D227" t="inlineStr">
        <is>
          <t>VÄSTERBOTTENS LÄN</t>
        </is>
      </c>
      <c r="E227" t="inlineStr">
        <is>
          <t>VILHELMINA</t>
        </is>
      </c>
      <c r="G227" t="n">
        <v>0.6</v>
      </c>
      <c r="H227" t="n">
        <v>0</v>
      </c>
      <c r="I227" t="n">
        <v>0</v>
      </c>
      <c r="J227" t="n">
        <v>0</v>
      </c>
      <c r="K227" t="n">
        <v>0</v>
      </c>
      <c r="L227" t="n">
        <v>0</v>
      </c>
      <c r="M227" t="n">
        <v>0</v>
      </c>
      <c r="N227" t="n">
        <v>0</v>
      </c>
      <c r="O227" t="n">
        <v>0</v>
      </c>
      <c r="P227" t="n">
        <v>0</v>
      </c>
      <c r="Q227" t="n">
        <v>0</v>
      </c>
      <c r="R227" s="2" t="inlineStr"/>
    </row>
    <row r="228" ht="15" customHeight="1">
      <c r="A228" t="inlineStr">
        <is>
          <t>A 49254-2019</t>
        </is>
      </c>
      <c r="B228" s="1" t="n">
        <v>43731</v>
      </c>
      <c r="C228" s="1" t="n">
        <v>45578</v>
      </c>
      <c r="D228" t="inlineStr">
        <is>
          <t>VÄSTERBOTTENS LÄN</t>
        </is>
      </c>
      <c r="E228" t="inlineStr">
        <is>
          <t>VILHELMINA</t>
        </is>
      </c>
      <c r="G228" t="n">
        <v>10.9</v>
      </c>
      <c r="H228" t="n">
        <v>0</v>
      </c>
      <c r="I228" t="n">
        <v>0</v>
      </c>
      <c r="J228" t="n">
        <v>0</v>
      </c>
      <c r="K228" t="n">
        <v>0</v>
      </c>
      <c r="L228" t="n">
        <v>0</v>
      </c>
      <c r="M228" t="n">
        <v>0</v>
      </c>
      <c r="N228" t="n">
        <v>0</v>
      </c>
      <c r="O228" t="n">
        <v>0</v>
      </c>
      <c r="P228" t="n">
        <v>0</v>
      </c>
      <c r="Q228" t="n">
        <v>0</v>
      </c>
      <c r="R228" s="2" t="inlineStr"/>
    </row>
    <row r="229" ht="15" customHeight="1">
      <c r="A229" t="inlineStr">
        <is>
          <t>A 50006-2019</t>
        </is>
      </c>
      <c r="B229" s="1" t="n">
        <v>43733</v>
      </c>
      <c r="C229" s="1" t="n">
        <v>45578</v>
      </c>
      <c r="D229" t="inlineStr">
        <is>
          <t>VÄSTERBOTTENS LÄN</t>
        </is>
      </c>
      <c r="E229" t="inlineStr">
        <is>
          <t>VILHELMINA</t>
        </is>
      </c>
      <c r="F229" t="inlineStr">
        <is>
          <t>SCA</t>
        </is>
      </c>
      <c r="G229" t="n">
        <v>12.6</v>
      </c>
      <c r="H229" t="n">
        <v>0</v>
      </c>
      <c r="I229" t="n">
        <v>0</v>
      </c>
      <c r="J229" t="n">
        <v>0</v>
      </c>
      <c r="K229" t="n">
        <v>0</v>
      </c>
      <c r="L229" t="n">
        <v>0</v>
      </c>
      <c r="M229" t="n">
        <v>0</v>
      </c>
      <c r="N229" t="n">
        <v>0</v>
      </c>
      <c r="O229" t="n">
        <v>0</v>
      </c>
      <c r="P229" t="n">
        <v>0</v>
      </c>
      <c r="Q229" t="n">
        <v>0</v>
      </c>
      <c r="R229" s="2" t="inlineStr"/>
    </row>
    <row r="230" ht="15" customHeight="1">
      <c r="A230" t="inlineStr">
        <is>
          <t>A 50009-2019</t>
        </is>
      </c>
      <c r="B230" s="1" t="n">
        <v>43733</v>
      </c>
      <c r="C230" s="1" t="n">
        <v>45578</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50008-2019</t>
        </is>
      </c>
      <c r="B231" s="1" t="n">
        <v>43733</v>
      </c>
      <c r="C231" s="1" t="n">
        <v>45578</v>
      </c>
      <c r="D231" t="inlineStr">
        <is>
          <t>VÄSTERBOTTENS LÄN</t>
        </is>
      </c>
      <c r="E231" t="inlineStr">
        <is>
          <t>VILHELMINA</t>
        </is>
      </c>
      <c r="F231" t="inlineStr">
        <is>
          <t>SCA</t>
        </is>
      </c>
      <c r="G231" t="n">
        <v>14.8</v>
      </c>
      <c r="H231" t="n">
        <v>0</v>
      </c>
      <c r="I231" t="n">
        <v>0</v>
      </c>
      <c r="J231" t="n">
        <v>0</v>
      </c>
      <c r="K231" t="n">
        <v>0</v>
      </c>
      <c r="L231" t="n">
        <v>0</v>
      </c>
      <c r="M231" t="n">
        <v>0</v>
      </c>
      <c r="N231" t="n">
        <v>0</v>
      </c>
      <c r="O231" t="n">
        <v>0</v>
      </c>
      <c r="P231" t="n">
        <v>0</v>
      </c>
      <c r="Q231" t="n">
        <v>0</v>
      </c>
      <c r="R231" s="2" t="inlineStr"/>
    </row>
    <row r="232" ht="15" customHeight="1">
      <c r="A232" t="inlineStr">
        <is>
          <t>A 51094-2019</t>
        </is>
      </c>
      <c r="B232" s="1" t="n">
        <v>43739</v>
      </c>
      <c r="C232" s="1" t="n">
        <v>45578</v>
      </c>
      <c r="D232" t="inlineStr">
        <is>
          <t>VÄSTERBOTTENS LÄN</t>
        </is>
      </c>
      <c r="E232" t="inlineStr">
        <is>
          <t>VILHELMINA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51895-2019</t>
        </is>
      </c>
      <c r="B233" s="1" t="n">
        <v>43741</v>
      </c>
      <c r="C233" s="1" t="n">
        <v>45578</v>
      </c>
      <c r="D233" t="inlineStr">
        <is>
          <t>VÄSTERBOTTENS LÄN</t>
        </is>
      </c>
      <c r="E233" t="inlineStr">
        <is>
          <t>VILHELMINA</t>
        </is>
      </c>
      <c r="F233" t="inlineStr">
        <is>
          <t>Allmännings- och besparingsskogar</t>
        </is>
      </c>
      <c r="G233" t="n">
        <v>10.5</v>
      </c>
      <c r="H233" t="n">
        <v>0</v>
      </c>
      <c r="I233" t="n">
        <v>0</v>
      </c>
      <c r="J233" t="n">
        <v>0</v>
      </c>
      <c r="K233" t="n">
        <v>0</v>
      </c>
      <c r="L233" t="n">
        <v>0</v>
      </c>
      <c r="M233" t="n">
        <v>0</v>
      </c>
      <c r="N233" t="n">
        <v>0</v>
      </c>
      <c r="O233" t="n">
        <v>0</v>
      </c>
      <c r="P233" t="n">
        <v>0</v>
      </c>
      <c r="Q233" t="n">
        <v>0</v>
      </c>
      <c r="R233" s="2" t="inlineStr"/>
    </row>
    <row r="234" ht="15" customHeight="1">
      <c r="A234" t="inlineStr">
        <is>
          <t>A 54070-2019</t>
        </is>
      </c>
      <c r="B234" s="1" t="n">
        <v>43746</v>
      </c>
      <c r="C234" s="1" t="n">
        <v>45578</v>
      </c>
      <c r="D234" t="inlineStr">
        <is>
          <t>VÄSTERBOTTENS LÄN</t>
        </is>
      </c>
      <c r="E234" t="inlineStr">
        <is>
          <t>VILHELMINA</t>
        </is>
      </c>
      <c r="G234" t="n">
        <v>2.1</v>
      </c>
      <c r="H234" t="n">
        <v>0</v>
      </c>
      <c r="I234" t="n">
        <v>0</v>
      </c>
      <c r="J234" t="n">
        <v>0</v>
      </c>
      <c r="K234" t="n">
        <v>0</v>
      </c>
      <c r="L234" t="n">
        <v>0</v>
      </c>
      <c r="M234" t="n">
        <v>0</v>
      </c>
      <c r="N234" t="n">
        <v>0</v>
      </c>
      <c r="O234" t="n">
        <v>0</v>
      </c>
      <c r="P234" t="n">
        <v>0</v>
      </c>
      <c r="Q234" t="n">
        <v>0</v>
      </c>
      <c r="R234" s="2" t="inlineStr"/>
    </row>
    <row r="235" ht="15" customHeight="1">
      <c r="A235" t="inlineStr">
        <is>
          <t>A 53750-2019</t>
        </is>
      </c>
      <c r="B235" s="1" t="n">
        <v>43749</v>
      </c>
      <c r="C235" s="1" t="n">
        <v>45578</v>
      </c>
      <c r="D235" t="inlineStr">
        <is>
          <t>VÄSTERBOTTENS LÄN</t>
        </is>
      </c>
      <c r="E235" t="inlineStr">
        <is>
          <t>VILHELMINA</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53757-2019</t>
        </is>
      </c>
      <c r="B236" s="1" t="n">
        <v>43749</v>
      </c>
      <c r="C236" s="1" t="n">
        <v>45578</v>
      </c>
      <c r="D236" t="inlineStr">
        <is>
          <t>VÄSTERBOTTENS LÄN</t>
        </is>
      </c>
      <c r="E236" t="inlineStr">
        <is>
          <t>VILHELMINA</t>
        </is>
      </c>
      <c r="F236" t="inlineStr">
        <is>
          <t>SCA</t>
        </is>
      </c>
      <c r="G236" t="n">
        <v>12.4</v>
      </c>
      <c r="H236" t="n">
        <v>0</v>
      </c>
      <c r="I236" t="n">
        <v>0</v>
      </c>
      <c r="J236" t="n">
        <v>0</v>
      </c>
      <c r="K236" t="n">
        <v>0</v>
      </c>
      <c r="L236" t="n">
        <v>0</v>
      </c>
      <c r="M236" t="n">
        <v>0</v>
      </c>
      <c r="N236" t="n">
        <v>0</v>
      </c>
      <c r="O236" t="n">
        <v>0</v>
      </c>
      <c r="P236" t="n">
        <v>0</v>
      </c>
      <c r="Q236" t="n">
        <v>0</v>
      </c>
      <c r="R236" s="2" t="inlineStr"/>
    </row>
    <row r="237" ht="15" customHeight="1">
      <c r="A237" t="inlineStr">
        <is>
          <t>A 54184-2019</t>
        </is>
      </c>
      <c r="B237" s="1" t="n">
        <v>43753</v>
      </c>
      <c r="C237" s="1" t="n">
        <v>45578</v>
      </c>
      <c r="D237" t="inlineStr">
        <is>
          <t>VÄSTERBOTTENS LÄN</t>
        </is>
      </c>
      <c r="E237" t="inlineStr">
        <is>
          <t>VILHELMINA</t>
        </is>
      </c>
      <c r="F237" t="inlineStr">
        <is>
          <t>Kommuner</t>
        </is>
      </c>
      <c r="G237" t="n">
        <v>10.6</v>
      </c>
      <c r="H237" t="n">
        <v>0</v>
      </c>
      <c r="I237" t="n">
        <v>0</v>
      </c>
      <c r="J237" t="n">
        <v>0</v>
      </c>
      <c r="K237" t="n">
        <v>0</v>
      </c>
      <c r="L237" t="n">
        <v>0</v>
      </c>
      <c r="M237" t="n">
        <v>0</v>
      </c>
      <c r="N237" t="n">
        <v>0</v>
      </c>
      <c r="O237" t="n">
        <v>0</v>
      </c>
      <c r="P237" t="n">
        <v>0</v>
      </c>
      <c r="Q237" t="n">
        <v>0</v>
      </c>
      <c r="R237" s="2" t="inlineStr"/>
    </row>
    <row r="238" ht="15" customHeight="1">
      <c r="A238" t="inlineStr">
        <is>
          <t>A 54985-2019</t>
        </is>
      </c>
      <c r="B238" s="1" t="n">
        <v>43755</v>
      </c>
      <c r="C238" s="1" t="n">
        <v>45578</v>
      </c>
      <c r="D238" t="inlineStr">
        <is>
          <t>VÄSTERBOTTENS LÄN</t>
        </is>
      </c>
      <c r="E238" t="inlineStr">
        <is>
          <t>VILHELMINA</t>
        </is>
      </c>
      <c r="G238" t="n">
        <v>12.2</v>
      </c>
      <c r="H238" t="n">
        <v>0</v>
      </c>
      <c r="I238" t="n">
        <v>0</v>
      </c>
      <c r="J238" t="n">
        <v>0</v>
      </c>
      <c r="K238" t="n">
        <v>0</v>
      </c>
      <c r="L238" t="n">
        <v>0</v>
      </c>
      <c r="M238" t="n">
        <v>0</v>
      </c>
      <c r="N238" t="n">
        <v>0</v>
      </c>
      <c r="O238" t="n">
        <v>0</v>
      </c>
      <c r="P238" t="n">
        <v>0</v>
      </c>
      <c r="Q238" t="n">
        <v>0</v>
      </c>
      <c r="R238" s="2" t="inlineStr"/>
    </row>
    <row r="239" ht="15" customHeight="1">
      <c r="A239" t="inlineStr">
        <is>
          <t>A 57906-2019</t>
        </is>
      </c>
      <c r="B239" s="1" t="n">
        <v>43762</v>
      </c>
      <c r="C239" s="1" t="n">
        <v>45578</v>
      </c>
      <c r="D239" t="inlineStr">
        <is>
          <t>VÄSTERBOTTENS LÄN</t>
        </is>
      </c>
      <c r="E239" t="inlineStr">
        <is>
          <t>VILHELMINA</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57940-2019</t>
        </is>
      </c>
      <c r="B240" s="1" t="n">
        <v>43762</v>
      </c>
      <c r="C240" s="1" t="n">
        <v>45578</v>
      </c>
      <c r="D240" t="inlineStr">
        <is>
          <t>VÄSTERBOTTENS LÄN</t>
        </is>
      </c>
      <c r="E240" t="inlineStr">
        <is>
          <t>VILHELMINA</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56833-2019</t>
        </is>
      </c>
      <c r="B241" s="1" t="n">
        <v>43765</v>
      </c>
      <c r="C241" s="1" t="n">
        <v>45578</v>
      </c>
      <c r="D241" t="inlineStr">
        <is>
          <t>VÄSTERBOTTENS LÄN</t>
        </is>
      </c>
      <c r="E241" t="inlineStr">
        <is>
          <t>VILHELMINA</t>
        </is>
      </c>
      <c r="G241" t="n">
        <v>1.5</v>
      </c>
      <c r="H241" t="n">
        <v>0</v>
      </c>
      <c r="I241" t="n">
        <v>0</v>
      </c>
      <c r="J241" t="n">
        <v>0</v>
      </c>
      <c r="K241" t="n">
        <v>0</v>
      </c>
      <c r="L241" t="n">
        <v>0</v>
      </c>
      <c r="M241" t="n">
        <v>0</v>
      </c>
      <c r="N241" t="n">
        <v>0</v>
      </c>
      <c r="O241" t="n">
        <v>0</v>
      </c>
      <c r="P241" t="n">
        <v>0</v>
      </c>
      <c r="Q241" t="n">
        <v>0</v>
      </c>
      <c r="R241" s="2" t="inlineStr"/>
    </row>
    <row r="242" ht="15" customHeight="1">
      <c r="A242" t="inlineStr">
        <is>
          <t>A 59021-2019</t>
        </is>
      </c>
      <c r="B242" s="1" t="n">
        <v>43774</v>
      </c>
      <c r="C242" s="1" t="n">
        <v>45578</v>
      </c>
      <c r="D242" t="inlineStr">
        <is>
          <t>VÄSTERBOTTENS LÄN</t>
        </is>
      </c>
      <c r="E242" t="inlineStr">
        <is>
          <t>VILHELMINA</t>
        </is>
      </c>
      <c r="G242" t="n">
        <v>6.8</v>
      </c>
      <c r="H242" t="n">
        <v>0</v>
      </c>
      <c r="I242" t="n">
        <v>0</v>
      </c>
      <c r="J242" t="n">
        <v>0</v>
      </c>
      <c r="K242" t="n">
        <v>0</v>
      </c>
      <c r="L242" t="n">
        <v>0</v>
      </c>
      <c r="M242" t="n">
        <v>0</v>
      </c>
      <c r="N242" t="n">
        <v>0</v>
      </c>
      <c r="O242" t="n">
        <v>0</v>
      </c>
      <c r="P242" t="n">
        <v>0</v>
      </c>
      <c r="Q242" t="n">
        <v>0</v>
      </c>
      <c r="R242" s="2" t="inlineStr"/>
    </row>
    <row r="243" ht="15" customHeight="1">
      <c r="A243" t="inlineStr">
        <is>
          <t>A 58962-2019</t>
        </is>
      </c>
      <c r="B243" s="1" t="n">
        <v>43774</v>
      </c>
      <c r="C243" s="1" t="n">
        <v>45578</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59052-2019</t>
        </is>
      </c>
      <c r="B244" s="1" t="n">
        <v>43774</v>
      </c>
      <c r="C244" s="1" t="n">
        <v>45578</v>
      </c>
      <c r="D244" t="inlineStr">
        <is>
          <t>VÄSTERBOTTENS LÄN</t>
        </is>
      </c>
      <c r="E244" t="inlineStr">
        <is>
          <t>VILHELMINA</t>
        </is>
      </c>
      <c r="G244" t="n">
        <v>0.2</v>
      </c>
      <c r="H244" t="n">
        <v>0</v>
      </c>
      <c r="I244" t="n">
        <v>0</v>
      </c>
      <c r="J244" t="n">
        <v>0</v>
      </c>
      <c r="K244" t="n">
        <v>0</v>
      </c>
      <c r="L244" t="n">
        <v>0</v>
      </c>
      <c r="M244" t="n">
        <v>0</v>
      </c>
      <c r="N244" t="n">
        <v>0</v>
      </c>
      <c r="O244" t="n">
        <v>0</v>
      </c>
      <c r="P244" t="n">
        <v>0</v>
      </c>
      <c r="Q244" t="n">
        <v>0</v>
      </c>
      <c r="R244" s="2" t="inlineStr"/>
    </row>
    <row r="245" ht="15" customHeight="1">
      <c r="A245" t="inlineStr">
        <is>
          <t>A 59165-2019</t>
        </is>
      </c>
      <c r="B245" s="1" t="n">
        <v>43775</v>
      </c>
      <c r="C245" s="1" t="n">
        <v>45578</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63027-2019</t>
        </is>
      </c>
      <c r="B246" s="1" t="n">
        <v>43791</v>
      </c>
      <c r="C246" s="1" t="n">
        <v>45578</v>
      </c>
      <c r="D246" t="inlineStr">
        <is>
          <t>VÄSTERBOTTENS LÄN</t>
        </is>
      </c>
      <c r="E246" t="inlineStr">
        <is>
          <t>VILHELMINA</t>
        </is>
      </c>
      <c r="G246" t="n">
        <v>0.5</v>
      </c>
      <c r="H246" t="n">
        <v>0</v>
      </c>
      <c r="I246" t="n">
        <v>0</v>
      </c>
      <c r="J246" t="n">
        <v>0</v>
      </c>
      <c r="K246" t="n">
        <v>0</v>
      </c>
      <c r="L246" t="n">
        <v>0</v>
      </c>
      <c r="M246" t="n">
        <v>0</v>
      </c>
      <c r="N246" t="n">
        <v>0</v>
      </c>
      <c r="O246" t="n">
        <v>0</v>
      </c>
      <c r="P246" t="n">
        <v>0</v>
      </c>
      <c r="Q246" t="n">
        <v>0</v>
      </c>
      <c r="R246" s="2" t="inlineStr"/>
    </row>
    <row r="247" ht="15" customHeight="1">
      <c r="A247" t="inlineStr">
        <is>
          <t>A 66570-2019</t>
        </is>
      </c>
      <c r="B247" s="1" t="n">
        <v>43803</v>
      </c>
      <c r="C247" s="1" t="n">
        <v>45578</v>
      </c>
      <c r="D247" t="inlineStr">
        <is>
          <t>VÄSTERBOTTENS LÄN</t>
        </is>
      </c>
      <c r="E247" t="inlineStr">
        <is>
          <t>VILHELMINA</t>
        </is>
      </c>
      <c r="G247" t="n">
        <v>3.6</v>
      </c>
      <c r="H247" t="n">
        <v>0</v>
      </c>
      <c r="I247" t="n">
        <v>0</v>
      </c>
      <c r="J247" t="n">
        <v>0</v>
      </c>
      <c r="K247" t="n">
        <v>0</v>
      </c>
      <c r="L247" t="n">
        <v>0</v>
      </c>
      <c r="M247" t="n">
        <v>0</v>
      </c>
      <c r="N247" t="n">
        <v>0</v>
      </c>
      <c r="O247" t="n">
        <v>0</v>
      </c>
      <c r="P247" t="n">
        <v>0</v>
      </c>
      <c r="Q247" t="n">
        <v>0</v>
      </c>
      <c r="R247" s="2" t="inlineStr"/>
    </row>
    <row r="248" ht="15" customHeight="1">
      <c r="A248" t="inlineStr">
        <is>
          <t>A 65885-2019</t>
        </is>
      </c>
      <c r="B248" s="1" t="n">
        <v>43805</v>
      </c>
      <c r="C248" s="1" t="n">
        <v>45578</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66311-2019</t>
        </is>
      </c>
      <c r="B249" s="1" t="n">
        <v>43808</v>
      </c>
      <c r="C249" s="1" t="n">
        <v>45578</v>
      </c>
      <c r="D249" t="inlineStr">
        <is>
          <t>VÄSTERBOTTENS LÄN</t>
        </is>
      </c>
      <c r="E249" t="inlineStr">
        <is>
          <t>VILHELMINA</t>
        </is>
      </c>
      <c r="G249" t="n">
        <v>72.90000000000001</v>
      </c>
      <c r="H249" t="n">
        <v>0</v>
      </c>
      <c r="I249" t="n">
        <v>0</v>
      </c>
      <c r="J249" t="n">
        <v>0</v>
      </c>
      <c r="K249" t="n">
        <v>0</v>
      </c>
      <c r="L249" t="n">
        <v>0</v>
      </c>
      <c r="M249" t="n">
        <v>0</v>
      </c>
      <c r="N249" t="n">
        <v>0</v>
      </c>
      <c r="O249" t="n">
        <v>0</v>
      </c>
      <c r="P249" t="n">
        <v>0</v>
      </c>
      <c r="Q249" t="n">
        <v>0</v>
      </c>
      <c r="R249" s="2" t="inlineStr"/>
    </row>
    <row r="250" ht="15" customHeight="1">
      <c r="A250" t="inlineStr">
        <is>
          <t>A 66720-2019</t>
        </is>
      </c>
      <c r="B250" s="1" t="n">
        <v>43810</v>
      </c>
      <c r="C250" s="1" t="n">
        <v>45578</v>
      </c>
      <c r="D250" t="inlineStr">
        <is>
          <t>VÄSTERBOTTENS LÄN</t>
        </is>
      </c>
      <c r="E250" t="inlineStr">
        <is>
          <t>VILHELMINA</t>
        </is>
      </c>
      <c r="G250" t="n">
        <v>0.5</v>
      </c>
      <c r="H250" t="n">
        <v>0</v>
      </c>
      <c r="I250" t="n">
        <v>0</v>
      </c>
      <c r="J250" t="n">
        <v>0</v>
      </c>
      <c r="K250" t="n">
        <v>0</v>
      </c>
      <c r="L250" t="n">
        <v>0</v>
      </c>
      <c r="M250" t="n">
        <v>0</v>
      </c>
      <c r="N250" t="n">
        <v>0</v>
      </c>
      <c r="O250" t="n">
        <v>0</v>
      </c>
      <c r="P250" t="n">
        <v>0</v>
      </c>
      <c r="Q250" t="n">
        <v>0</v>
      </c>
      <c r="R250" s="2" t="inlineStr"/>
    </row>
    <row r="251" ht="15" customHeight="1">
      <c r="A251" t="inlineStr">
        <is>
          <t>A 67814-2019</t>
        </is>
      </c>
      <c r="B251" s="1" t="n">
        <v>43815</v>
      </c>
      <c r="C251" s="1" t="n">
        <v>45578</v>
      </c>
      <c r="D251" t="inlineStr">
        <is>
          <t>VÄSTERBOTTENS LÄN</t>
        </is>
      </c>
      <c r="E251" t="inlineStr">
        <is>
          <t>VILHELMINA</t>
        </is>
      </c>
      <c r="G251" t="n">
        <v>2.9</v>
      </c>
      <c r="H251" t="n">
        <v>0</v>
      </c>
      <c r="I251" t="n">
        <v>0</v>
      </c>
      <c r="J251" t="n">
        <v>0</v>
      </c>
      <c r="K251" t="n">
        <v>0</v>
      </c>
      <c r="L251" t="n">
        <v>0</v>
      </c>
      <c r="M251" t="n">
        <v>0</v>
      </c>
      <c r="N251" t="n">
        <v>0</v>
      </c>
      <c r="O251" t="n">
        <v>0</v>
      </c>
      <c r="P251" t="n">
        <v>0</v>
      </c>
      <c r="Q251" t="n">
        <v>0</v>
      </c>
      <c r="R251" s="2" t="inlineStr"/>
    </row>
    <row r="252" ht="15" customHeight="1">
      <c r="A252" t="inlineStr">
        <is>
          <t>A 219-2020</t>
        </is>
      </c>
      <c r="B252" s="1" t="n">
        <v>43833</v>
      </c>
      <c r="C252" s="1" t="n">
        <v>45578</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217-2020</t>
        </is>
      </c>
      <c r="B253" s="1" t="n">
        <v>43833</v>
      </c>
      <c r="C253" s="1" t="n">
        <v>45578</v>
      </c>
      <c r="D253" t="inlineStr">
        <is>
          <t>VÄSTERBOTTENS LÄN</t>
        </is>
      </c>
      <c r="E253" t="inlineStr">
        <is>
          <t>VILHELMINA</t>
        </is>
      </c>
      <c r="F253" t="inlineStr">
        <is>
          <t>SCA</t>
        </is>
      </c>
      <c r="G253" t="n">
        <v>5.4</v>
      </c>
      <c r="H253" t="n">
        <v>0</v>
      </c>
      <c r="I253" t="n">
        <v>0</v>
      </c>
      <c r="J253" t="n">
        <v>0</v>
      </c>
      <c r="K253" t="n">
        <v>0</v>
      </c>
      <c r="L253" t="n">
        <v>0</v>
      </c>
      <c r="M253" t="n">
        <v>0</v>
      </c>
      <c r="N253" t="n">
        <v>0</v>
      </c>
      <c r="O253" t="n">
        <v>0</v>
      </c>
      <c r="P253" t="n">
        <v>0</v>
      </c>
      <c r="Q253" t="n">
        <v>0</v>
      </c>
      <c r="R253" s="2" t="inlineStr"/>
    </row>
    <row r="254" ht="15" customHeight="1">
      <c r="A254" t="inlineStr">
        <is>
          <t>A 226-2020</t>
        </is>
      </c>
      <c r="B254" s="1" t="n">
        <v>43833</v>
      </c>
      <c r="C254" s="1" t="n">
        <v>45578</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300-2020</t>
        </is>
      </c>
      <c r="B255" s="1" t="n">
        <v>43837</v>
      </c>
      <c r="C255" s="1" t="n">
        <v>45578</v>
      </c>
      <c r="D255" t="inlineStr">
        <is>
          <t>VÄSTERBOTTENS LÄN</t>
        </is>
      </c>
      <c r="E255" t="inlineStr">
        <is>
          <t>VILHELMINA</t>
        </is>
      </c>
      <c r="G255" t="n">
        <v>7.6</v>
      </c>
      <c r="H255" t="n">
        <v>0</v>
      </c>
      <c r="I255" t="n">
        <v>0</v>
      </c>
      <c r="J255" t="n">
        <v>0</v>
      </c>
      <c r="K255" t="n">
        <v>0</v>
      </c>
      <c r="L255" t="n">
        <v>0</v>
      </c>
      <c r="M255" t="n">
        <v>0</v>
      </c>
      <c r="N255" t="n">
        <v>0</v>
      </c>
      <c r="O255" t="n">
        <v>0</v>
      </c>
      <c r="P255" t="n">
        <v>0</v>
      </c>
      <c r="Q255" t="n">
        <v>0</v>
      </c>
      <c r="R255" s="2" t="inlineStr"/>
    </row>
    <row r="256" ht="15" customHeight="1">
      <c r="A256" t="inlineStr">
        <is>
          <t>A 1235-2020</t>
        </is>
      </c>
      <c r="B256" s="1" t="n">
        <v>43837</v>
      </c>
      <c r="C256" s="1" t="n">
        <v>45578</v>
      </c>
      <c r="D256" t="inlineStr">
        <is>
          <t>VÄSTERBOTTENS LÄN</t>
        </is>
      </c>
      <c r="E256" t="inlineStr">
        <is>
          <t>VILHELMINA</t>
        </is>
      </c>
      <c r="G256" t="n">
        <v>5</v>
      </c>
      <c r="H256" t="n">
        <v>0</v>
      </c>
      <c r="I256" t="n">
        <v>0</v>
      </c>
      <c r="J256" t="n">
        <v>0</v>
      </c>
      <c r="K256" t="n">
        <v>0</v>
      </c>
      <c r="L256" t="n">
        <v>0</v>
      </c>
      <c r="M256" t="n">
        <v>0</v>
      </c>
      <c r="N256" t="n">
        <v>0</v>
      </c>
      <c r="O256" t="n">
        <v>0</v>
      </c>
      <c r="P256" t="n">
        <v>0</v>
      </c>
      <c r="Q256" t="n">
        <v>0</v>
      </c>
      <c r="R256" s="2" t="inlineStr"/>
    </row>
    <row r="257" ht="15" customHeight="1">
      <c r="A257" t="inlineStr">
        <is>
          <t>A 802-2020</t>
        </is>
      </c>
      <c r="B257" s="1" t="n">
        <v>43838</v>
      </c>
      <c r="C257" s="1" t="n">
        <v>45578</v>
      </c>
      <c r="D257" t="inlineStr">
        <is>
          <t>VÄSTERBOTTENS LÄN</t>
        </is>
      </c>
      <c r="E257" t="inlineStr">
        <is>
          <t>VILHELMINA</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1992-2020</t>
        </is>
      </c>
      <c r="B258" s="1" t="n">
        <v>43838</v>
      </c>
      <c r="C258" s="1" t="n">
        <v>45578</v>
      </c>
      <c r="D258" t="inlineStr">
        <is>
          <t>VÄSTERBOTTENS LÄN</t>
        </is>
      </c>
      <c r="E258" t="inlineStr">
        <is>
          <t>VILHELMINA</t>
        </is>
      </c>
      <c r="G258" t="n">
        <v>2.3</v>
      </c>
      <c r="H258" t="n">
        <v>0</v>
      </c>
      <c r="I258" t="n">
        <v>0</v>
      </c>
      <c r="J258" t="n">
        <v>0</v>
      </c>
      <c r="K258" t="n">
        <v>0</v>
      </c>
      <c r="L258" t="n">
        <v>0</v>
      </c>
      <c r="M258" t="n">
        <v>0</v>
      </c>
      <c r="N258" t="n">
        <v>0</v>
      </c>
      <c r="O258" t="n">
        <v>0</v>
      </c>
      <c r="P258" t="n">
        <v>0</v>
      </c>
      <c r="Q258" t="n">
        <v>0</v>
      </c>
      <c r="R258" s="2" t="inlineStr"/>
    </row>
    <row r="259" ht="15" customHeight="1">
      <c r="A259" t="inlineStr">
        <is>
          <t>A 3074-2020</t>
        </is>
      </c>
      <c r="B259" s="1" t="n">
        <v>43851</v>
      </c>
      <c r="C259" s="1" t="n">
        <v>45578</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3343-2020</t>
        </is>
      </c>
      <c r="B260" s="1" t="n">
        <v>43852</v>
      </c>
      <c r="C260" s="1" t="n">
        <v>45578</v>
      </c>
      <c r="D260" t="inlineStr">
        <is>
          <t>VÄSTERBOTTENS LÄN</t>
        </is>
      </c>
      <c r="E260" t="inlineStr">
        <is>
          <t>VILHELMINA</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5236-2020</t>
        </is>
      </c>
      <c r="B261" s="1" t="n">
        <v>43854</v>
      </c>
      <c r="C261" s="1" t="n">
        <v>45578</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4586-2020</t>
        </is>
      </c>
      <c r="B262" s="1" t="n">
        <v>43858</v>
      </c>
      <c r="C262" s="1" t="n">
        <v>45578</v>
      </c>
      <c r="D262" t="inlineStr">
        <is>
          <t>VÄSTERBOTTENS LÄN</t>
        </is>
      </c>
      <c r="E262" t="inlineStr">
        <is>
          <t>VILHELMINA</t>
        </is>
      </c>
      <c r="G262" t="n">
        <v>3.4</v>
      </c>
      <c r="H262" t="n">
        <v>0</v>
      </c>
      <c r="I262" t="n">
        <v>0</v>
      </c>
      <c r="J262" t="n">
        <v>0</v>
      </c>
      <c r="K262" t="n">
        <v>0</v>
      </c>
      <c r="L262" t="n">
        <v>0</v>
      </c>
      <c r="M262" t="n">
        <v>0</v>
      </c>
      <c r="N262" t="n">
        <v>0</v>
      </c>
      <c r="O262" t="n">
        <v>0</v>
      </c>
      <c r="P262" t="n">
        <v>0</v>
      </c>
      <c r="Q262" t="n">
        <v>0</v>
      </c>
      <c r="R262" s="2" t="inlineStr"/>
    </row>
    <row r="263" ht="15" customHeight="1">
      <c r="A263" t="inlineStr">
        <is>
          <t>A 5432-2020</t>
        </is>
      </c>
      <c r="B263" s="1" t="n">
        <v>43858</v>
      </c>
      <c r="C263" s="1" t="n">
        <v>45578</v>
      </c>
      <c r="D263" t="inlineStr">
        <is>
          <t>VÄSTERBOTTENS LÄN</t>
        </is>
      </c>
      <c r="E263" t="inlineStr">
        <is>
          <t>VILHELMINA</t>
        </is>
      </c>
      <c r="G263" t="n">
        <v>6.2</v>
      </c>
      <c r="H263" t="n">
        <v>0</v>
      </c>
      <c r="I263" t="n">
        <v>0</v>
      </c>
      <c r="J263" t="n">
        <v>0</v>
      </c>
      <c r="K263" t="n">
        <v>0</v>
      </c>
      <c r="L263" t="n">
        <v>0</v>
      </c>
      <c r="M263" t="n">
        <v>0</v>
      </c>
      <c r="N263" t="n">
        <v>0</v>
      </c>
      <c r="O263" t="n">
        <v>0</v>
      </c>
      <c r="P263" t="n">
        <v>0</v>
      </c>
      <c r="Q263" t="n">
        <v>0</v>
      </c>
      <c r="R263" s="2" t="inlineStr"/>
    </row>
    <row r="264" ht="15" customHeight="1">
      <c r="A264" t="inlineStr">
        <is>
          <t>A 12419-2020</t>
        </is>
      </c>
      <c r="B264" s="1" t="n">
        <v>43896</v>
      </c>
      <c r="C264" s="1" t="n">
        <v>45578</v>
      </c>
      <c r="D264" t="inlineStr">
        <is>
          <t>VÄSTERBOTTENS LÄN</t>
        </is>
      </c>
      <c r="E264" t="inlineStr">
        <is>
          <t>VILHELMINA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12424-2020</t>
        </is>
      </c>
      <c r="B265" s="1" t="n">
        <v>43896</v>
      </c>
      <c r="C265" s="1" t="n">
        <v>45578</v>
      </c>
      <c r="D265" t="inlineStr">
        <is>
          <t>VÄSTERBOTTENS LÄN</t>
        </is>
      </c>
      <c r="E265" t="inlineStr">
        <is>
          <t>VILHELMINA</t>
        </is>
      </c>
      <c r="F265" t="inlineStr">
        <is>
          <t>Kommuner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12423-2020</t>
        </is>
      </c>
      <c r="B266" s="1" t="n">
        <v>43896</v>
      </c>
      <c r="C266" s="1" t="n">
        <v>45578</v>
      </c>
      <c r="D266" t="inlineStr">
        <is>
          <t>VÄSTERBOTTENS LÄN</t>
        </is>
      </c>
      <c r="E266" t="inlineStr">
        <is>
          <t>VILHELMINA</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12451-2020</t>
        </is>
      </c>
      <c r="B267" s="1" t="n">
        <v>43896</v>
      </c>
      <c r="C267" s="1" t="n">
        <v>45578</v>
      </c>
      <c r="D267" t="inlineStr">
        <is>
          <t>VÄSTERBOTTENS LÄN</t>
        </is>
      </c>
      <c r="E267" t="inlineStr">
        <is>
          <t>VILHELMINA</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14738-2020</t>
        </is>
      </c>
      <c r="B268" s="1" t="n">
        <v>43909</v>
      </c>
      <c r="C268" s="1" t="n">
        <v>45578</v>
      </c>
      <c r="D268" t="inlineStr">
        <is>
          <t>VÄSTERBOTTENS LÄN</t>
        </is>
      </c>
      <c r="E268" t="inlineStr">
        <is>
          <t>VILHELMINA</t>
        </is>
      </c>
      <c r="G268" t="n">
        <v>3.9</v>
      </c>
      <c r="H268" t="n">
        <v>0</v>
      </c>
      <c r="I268" t="n">
        <v>0</v>
      </c>
      <c r="J268" t="n">
        <v>0</v>
      </c>
      <c r="K268" t="n">
        <v>0</v>
      </c>
      <c r="L268" t="n">
        <v>0</v>
      </c>
      <c r="M268" t="n">
        <v>0</v>
      </c>
      <c r="N268" t="n">
        <v>0</v>
      </c>
      <c r="O268" t="n">
        <v>0</v>
      </c>
      <c r="P268" t="n">
        <v>0</v>
      </c>
      <c r="Q268" t="n">
        <v>0</v>
      </c>
      <c r="R268" s="2" t="inlineStr"/>
    </row>
    <row r="269" ht="15" customHeight="1">
      <c r="A269" t="inlineStr">
        <is>
          <t>A 15113-2020</t>
        </is>
      </c>
      <c r="B269" s="1" t="n">
        <v>43910</v>
      </c>
      <c r="C269" s="1" t="n">
        <v>45578</v>
      </c>
      <c r="D269" t="inlineStr">
        <is>
          <t>VÄSTERBOTTENS LÄN</t>
        </is>
      </c>
      <c r="E269" t="inlineStr">
        <is>
          <t>VILHELMINA</t>
        </is>
      </c>
      <c r="G269" t="n">
        <v>9.5</v>
      </c>
      <c r="H269" t="n">
        <v>0</v>
      </c>
      <c r="I269" t="n">
        <v>0</v>
      </c>
      <c r="J269" t="n">
        <v>0</v>
      </c>
      <c r="K269" t="n">
        <v>0</v>
      </c>
      <c r="L269" t="n">
        <v>0</v>
      </c>
      <c r="M269" t="n">
        <v>0</v>
      </c>
      <c r="N269" t="n">
        <v>0</v>
      </c>
      <c r="O269" t="n">
        <v>0</v>
      </c>
      <c r="P269" t="n">
        <v>0</v>
      </c>
      <c r="Q269" t="n">
        <v>0</v>
      </c>
      <c r="R269" s="2" t="inlineStr"/>
    </row>
    <row r="270" ht="15" customHeight="1">
      <c r="A270" t="inlineStr">
        <is>
          <t>A 15400-2020</t>
        </is>
      </c>
      <c r="B270" s="1" t="n">
        <v>43913</v>
      </c>
      <c r="C270" s="1" t="n">
        <v>45578</v>
      </c>
      <c r="D270" t="inlineStr">
        <is>
          <t>VÄSTERBOTTENS LÄN</t>
        </is>
      </c>
      <c r="E270" t="inlineStr">
        <is>
          <t>VILHELMINA</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15410-2020</t>
        </is>
      </c>
      <c r="B271" s="1" t="n">
        <v>43913</v>
      </c>
      <c r="C271" s="1" t="n">
        <v>45578</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15399-2020</t>
        </is>
      </c>
      <c r="B272" s="1" t="n">
        <v>43913</v>
      </c>
      <c r="C272" s="1" t="n">
        <v>45578</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15407-2020</t>
        </is>
      </c>
      <c r="B273" s="1" t="n">
        <v>43913</v>
      </c>
      <c r="C273" s="1" t="n">
        <v>45578</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15413-2020</t>
        </is>
      </c>
      <c r="B274" s="1" t="n">
        <v>43913</v>
      </c>
      <c r="C274" s="1" t="n">
        <v>45578</v>
      </c>
      <c r="D274" t="inlineStr">
        <is>
          <t>VÄSTERBOTTENS LÄN</t>
        </is>
      </c>
      <c r="E274" t="inlineStr">
        <is>
          <t>VILHELMINA</t>
        </is>
      </c>
      <c r="F274" t="inlineStr">
        <is>
          <t>SCA</t>
        </is>
      </c>
      <c r="G274" t="n">
        <v>12.1</v>
      </c>
      <c r="H274" t="n">
        <v>0</v>
      </c>
      <c r="I274" t="n">
        <v>0</v>
      </c>
      <c r="J274" t="n">
        <v>0</v>
      </c>
      <c r="K274" t="n">
        <v>0</v>
      </c>
      <c r="L274" t="n">
        <v>0</v>
      </c>
      <c r="M274" t="n">
        <v>0</v>
      </c>
      <c r="N274" t="n">
        <v>0</v>
      </c>
      <c r="O274" t="n">
        <v>0</v>
      </c>
      <c r="P274" t="n">
        <v>0</v>
      </c>
      <c r="Q274" t="n">
        <v>0</v>
      </c>
      <c r="R274" s="2" t="inlineStr"/>
    </row>
    <row r="275" ht="15" customHeight="1">
      <c r="A275" t="inlineStr">
        <is>
          <t>A 15409-2020</t>
        </is>
      </c>
      <c r="B275" s="1" t="n">
        <v>43913</v>
      </c>
      <c r="C275" s="1" t="n">
        <v>45578</v>
      </c>
      <c r="D275" t="inlineStr">
        <is>
          <t>VÄSTERBOTTENS LÄN</t>
        </is>
      </c>
      <c r="E275" t="inlineStr">
        <is>
          <t>VILHELMINA</t>
        </is>
      </c>
      <c r="F275" t="inlineStr">
        <is>
          <t>SCA</t>
        </is>
      </c>
      <c r="G275" t="n">
        <v>11.1</v>
      </c>
      <c r="H275" t="n">
        <v>0</v>
      </c>
      <c r="I275" t="n">
        <v>0</v>
      </c>
      <c r="J275" t="n">
        <v>0</v>
      </c>
      <c r="K275" t="n">
        <v>0</v>
      </c>
      <c r="L275" t="n">
        <v>0</v>
      </c>
      <c r="M275" t="n">
        <v>0</v>
      </c>
      <c r="N275" t="n">
        <v>0</v>
      </c>
      <c r="O275" t="n">
        <v>0</v>
      </c>
      <c r="P275" t="n">
        <v>0</v>
      </c>
      <c r="Q275" t="n">
        <v>0</v>
      </c>
      <c r="R275" s="2" t="inlineStr"/>
    </row>
    <row r="276" ht="15" customHeight="1">
      <c r="A276" t="inlineStr">
        <is>
          <t>A 15411-2020</t>
        </is>
      </c>
      <c r="B276" s="1" t="n">
        <v>43913</v>
      </c>
      <c r="C276" s="1" t="n">
        <v>45578</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17110-2020</t>
        </is>
      </c>
      <c r="B277" s="1" t="n">
        <v>43913</v>
      </c>
      <c r="C277" s="1" t="n">
        <v>45578</v>
      </c>
      <c r="D277" t="inlineStr">
        <is>
          <t>VÄSTERBOTTENS LÄN</t>
        </is>
      </c>
      <c r="E277" t="inlineStr">
        <is>
          <t>VILHELMINA</t>
        </is>
      </c>
      <c r="G277" t="n">
        <v>15.1</v>
      </c>
      <c r="H277" t="n">
        <v>0</v>
      </c>
      <c r="I277" t="n">
        <v>0</v>
      </c>
      <c r="J277" t="n">
        <v>0</v>
      </c>
      <c r="K277" t="n">
        <v>0</v>
      </c>
      <c r="L277" t="n">
        <v>0</v>
      </c>
      <c r="M277" t="n">
        <v>0</v>
      </c>
      <c r="N277" t="n">
        <v>0</v>
      </c>
      <c r="O277" t="n">
        <v>0</v>
      </c>
      <c r="P277" t="n">
        <v>0</v>
      </c>
      <c r="Q277" t="n">
        <v>0</v>
      </c>
      <c r="R277" s="2" t="inlineStr"/>
    </row>
    <row r="278" ht="15" customHeight="1">
      <c r="A278" t="inlineStr">
        <is>
          <t>A 17115-2020</t>
        </is>
      </c>
      <c r="B278" s="1" t="n">
        <v>43913</v>
      </c>
      <c r="C278" s="1" t="n">
        <v>45578</v>
      </c>
      <c r="D278" t="inlineStr">
        <is>
          <t>VÄSTERBOTTENS LÄN</t>
        </is>
      </c>
      <c r="E278" t="inlineStr">
        <is>
          <t>VILHELMINA</t>
        </is>
      </c>
      <c r="G278" t="n">
        <v>19.8</v>
      </c>
      <c r="H278" t="n">
        <v>0</v>
      </c>
      <c r="I278" t="n">
        <v>0</v>
      </c>
      <c r="J278" t="n">
        <v>0</v>
      </c>
      <c r="K278" t="n">
        <v>0</v>
      </c>
      <c r="L278" t="n">
        <v>0</v>
      </c>
      <c r="M278" t="n">
        <v>0</v>
      </c>
      <c r="N278" t="n">
        <v>0</v>
      </c>
      <c r="O278" t="n">
        <v>0</v>
      </c>
      <c r="P278" t="n">
        <v>0</v>
      </c>
      <c r="Q278" t="n">
        <v>0</v>
      </c>
      <c r="R278" s="2" t="inlineStr"/>
    </row>
    <row r="279" ht="15" customHeight="1">
      <c r="A279" t="inlineStr">
        <is>
          <t>A 15489-2020</t>
        </is>
      </c>
      <c r="B279" s="1" t="n">
        <v>43914</v>
      </c>
      <c r="C279" s="1" t="n">
        <v>45578</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15897-2020</t>
        </is>
      </c>
      <c r="B280" s="1" t="n">
        <v>43915</v>
      </c>
      <c r="C280" s="1" t="n">
        <v>45578</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15692-2020</t>
        </is>
      </c>
      <c r="B281" s="1" t="n">
        <v>43915</v>
      </c>
      <c r="C281" s="1" t="n">
        <v>45578</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15750-2020</t>
        </is>
      </c>
      <c r="B282" s="1" t="n">
        <v>43915</v>
      </c>
      <c r="C282" s="1" t="n">
        <v>45578</v>
      </c>
      <c r="D282" t="inlineStr">
        <is>
          <t>VÄSTERBOTTENS LÄN</t>
        </is>
      </c>
      <c r="E282" t="inlineStr">
        <is>
          <t>VILHELMINA</t>
        </is>
      </c>
      <c r="G282" t="n">
        <v>4.8</v>
      </c>
      <c r="H282" t="n">
        <v>0</v>
      </c>
      <c r="I282" t="n">
        <v>0</v>
      </c>
      <c r="J282" t="n">
        <v>0</v>
      </c>
      <c r="K282" t="n">
        <v>0</v>
      </c>
      <c r="L282" t="n">
        <v>0</v>
      </c>
      <c r="M282" t="n">
        <v>0</v>
      </c>
      <c r="N282" t="n">
        <v>0</v>
      </c>
      <c r="O282" t="n">
        <v>0</v>
      </c>
      <c r="P282" t="n">
        <v>0</v>
      </c>
      <c r="Q282" t="n">
        <v>0</v>
      </c>
      <c r="R282" s="2" t="inlineStr"/>
    </row>
    <row r="283" ht="15" customHeight="1">
      <c r="A283" t="inlineStr">
        <is>
          <t>A 15695-2020</t>
        </is>
      </c>
      <c r="B283" s="1" t="n">
        <v>43915</v>
      </c>
      <c r="C283" s="1" t="n">
        <v>45578</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17522-2020</t>
        </is>
      </c>
      <c r="B284" s="1" t="n">
        <v>43923</v>
      </c>
      <c r="C284" s="1" t="n">
        <v>45578</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17619-2020</t>
        </is>
      </c>
      <c r="B285" s="1" t="n">
        <v>43923</v>
      </c>
      <c r="C285" s="1" t="n">
        <v>45578</v>
      </c>
      <c r="D285" t="inlineStr">
        <is>
          <t>VÄSTERBOTTENS LÄN</t>
        </is>
      </c>
      <c r="E285" t="inlineStr">
        <is>
          <t>VILHELMINA</t>
        </is>
      </c>
      <c r="G285" t="n">
        <v>5.5</v>
      </c>
      <c r="H285" t="n">
        <v>0</v>
      </c>
      <c r="I285" t="n">
        <v>0</v>
      </c>
      <c r="J285" t="n">
        <v>0</v>
      </c>
      <c r="K285" t="n">
        <v>0</v>
      </c>
      <c r="L285" t="n">
        <v>0</v>
      </c>
      <c r="M285" t="n">
        <v>0</v>
      </c>
      <c r="N285" t="n">
        <v>0</v>
      </c>
      <c r="O285" t="n">
        <v>0</v>
      </c>
      <c r="P285" t="n">
        <v>0</v>
      </c>
      <c r="Q285" t="n">
        <v>0</v>
      </c>
      <c r="R285" s="2" t="inlineStr"/>
    </row>
    <row r="286" ht="15" customHeight="1">
      <c r="A286" t="inlineStr">
        <is>
          <t>A 17789-2020</t>
        </is>
      </c>
      <c r="B286" s="1" t="n">
        <v>43923</v>
      </c>
      <c r="C286" s="1" t="n">
        <v>45578</v>
      </c>
      <c r="D286" t="inlineStr">
        <is>
          <t>VÄSTERBOTTENS LÄN</t>
        </is>
      </c>
      <c r="E286" t="inlineStr">
        <is>
          <t>VILHELMINA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18165-2020</t>
        </is>
      </c>
      <c r="B287" s="1" t="n">
        <v>43927</v>
      </c>
      <c r="C287" s="1" t="n">
        <v>45578</v>
      </c>
      <c r="D287" t="inlineStr">
        <is>
          <t>VÄSTERBOTTENS LÄN</t>
        </is>
      </c>
      <c r="E287" t="inlineStr">
        <is>
          <t>VILHELMINA</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19009-2020</t>
        </is>
      </c>
      <c r="B288" s="1" t="n">
        <v>43935</v>
      </c>
      <c r="C288" s="1" t="n">
        <v>45578</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20187-2020</t>
        </is>
      </c>
      <c r="B289" s="1" t="n">
        <v>43944</v>
      </c>
      <c r="C289" s="1" t="n">
        <v>45578</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20420-2020</t>
        </is>
      </c>
      <c r="B290" s="1" t="n">
        <v>43945</v>
      </c>
      <c r="C290" s="1" t="n">
        <v>45578</v>
      </c>
      <c r="D290" t="inlineStr">
        <is>
          <t>VÄSTERBOTTENS LÄN</t>
        </is>
      </c>
      <c r="E290" t="inlineStr">
        <is>
          <t>VILHELMINA</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22789-2020</t>
        </is>
      </c>
      <c r="B291" s="1" t="n">
        <v>43964</v>
      </c>
      <c r="C291" s="1" t="n">
        <v>45578</v>
      </c>
      <c r="D291" t="inlineStr">
        <is>
          <t>VÄSTERBOTTENS LÄN</t>
        </is>
      </c>
      <c r="E291" t="inlineStr">
        <is>
          <t>VILHELMINA</t>
        </is>
      </c>
      <c r="G291" t="n">
        <v>1.3</v>
      </c>
      <c r="H291" t="n">
        <v>0</v>
      </c>
      <c r="I291" t="n">
        <v>0</v>
      </c>
      <c r="J291" t="n">
        <v>0</v>
      </c>
      <c r="K291" t="n">
        <v>0</v>
      </c>
      <c r="L291" t="n">
        <v>0</v>
      </c>
      <c r="M291" t="n">
        <v>0</v>
      </c>
      <c r="N291" t="n">
        <v>0</v>
      </c>
      <c r="O291" t="n">
        <v>0</v>
      </c>
      <c r="P291" t="n">
        <v>0</v>
      </c>
      <c r="Q291" t="n">
        <v>0</v>
      </c>
      <c r="R291" s="2" t="inlineStr"/>
    </row>
    <row r="292" ht="15" customHeight="1">
      <c r="A292" t="inlineStr">
        <is>
          <t>A 22791-2020</t>
        </is>
      </c>
      <c r="B292" s="1" t="n">
        <v>43964</v>
      </c>
      <c r="C292" s="1" t="n">
        <v>45578</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23168-2020</t>
        </is>
      </c>
      <c r="B293" s="1" t="n">
        <v>43966</v>
      </c>
      <c r="C293" s="1" t="n">
        <v>45578</v>
      </c>
      <c r="D293" t="inlineStr">
        <is>
          <t>VÄSTERBOTTENS LÄN</t>
        </is>
      </c>
      <c r="E293" t="inlineStr">
        <is>
          <t>VILHELMINA</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23175-2020</t>
        </is>
      </c>
      <c r="B294" s="1" t="n">
        <v>43966</v>
      </c>
      <c r="C294" s="1" t="n">
        <v>45578</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24985-2020</t>
        </is>
      </c>
      <c r="B295" s="1" t="n">
        <v>43977</v>
      </c>
      <c r="C295" s="1" t="n">
        <v>45578</v>
      </c>
      <c r="D295" t="inlineStr">
        <is>
          <t>VÄSTERBOTTENS LÄN</t>
        </is>
      </c>
      <c r="E295" t="inlineStr">
        <is>
          <t>VILHELMINA</t>
        </is>
      </c>
      <c r="F295" t="inlineStr">
        <is>
          <t>Övriga statliga verk och myndigheter</t>
        </is>
      </c>
      <c r="G295" t="n">
        <v>16</v>
      </c>
      <c r="H295" t="n">
        <v>0</v>
      </c>
      <c r="I295" t="n">
        <v>0</v>
      </c>
      <c r="J295" t="n">
        <v>0</v>
      </c>
      <c r="K295" t="n">
        <v>0</v>
      </c>
      <c r="L295" t="n">
        <v>0</v>
      </c>
      <c r="M295" t="n">
        <v>0</v>
      </c>
      <c r="N295" t="n">
        <v>0</v>
      </c>
      <c r="O295" t="n">
        <v>0</v>
      </c>
      <c r="P295" t="n">
        <v>0</v>
      </c>
      <c r="Q295" t="n">
        <v>0</v>
      </c>
      <c r="R295" s="2" t="inlineStr"/>
    </row>
    <row r="296" ht="15" customHeight="1">
      <c r="A296" t="inlineStr">
        <is>
          <t>A 25491-2020</t>
        </is>
      </c>
      <c r="B296" s="1" t="n">
        <v>43983</v>
      </c>
      <c r="C296" s="1" t="n">
        <v>45578</v>
      </c>
      <c r="D296" t="inlineStr">
        <is>
          <t>VÄSTERBOTTENS LÄN</t>
        </is>
      </c>
      <c r="E296" t="inlineStr">
        <is>
          <t>VILHELMINA</t>
        </is>
      </c>
      <c r="F296" t="inlineStr">
        <is>
          <t>Allmännings- och besparingsskogar</t>
        </is>
      </c>
      <c r="G296" t="n">
        <v>26</v>
      </c>
      <c r="H296" t="n">
        <v>0</v>
      </c>
      <c r="I296" t="n">
        <v>0</v>
      </c>
      <c r="J296" t="n">
        <v>0</v>
      </c>
      <c r="K296" t="n">
        <v>0</v>
      </c>
      <c r="L296" t="n">
        <v>0</v>
      </c>
      <c r="M296" t="n">
        <v>0</v>
      </c>
      <c r="N296" t="n">
        <v>0</v>
      </c>
      <c r="O296" t="n">
        <v>0</v>
      </c>
      <c r="P296" t="n">
        <v>0</v>
      </c>
      <c r="Q296" t="n">
        <v>0</v>
      </c>
      <c r="R296" s="2" t="inlineStr"/>
    </row>
    <row r="297" ht="15" customHeight="1">
      <c r="A297" t="inlineStr">
        <is>
          <t>A 25498-2020</t>
        </is>
      </c>
      <c r="B297" s="1" t="n">
        <v>43983</v>
      </c>
      <c r="C297" s="1" t="n">
        <v>45578</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26382-2020</t>
        </is>
      </c>
      <c r="B298" s="1" t="n">
        <v>43986</v>
      </c>
      <c r="C298" s="1" t="n">
        <v>45578</v>
      </c>
      <c r="D298" t="inlineStr">
        <is>
          <t>VÄSTERBOTTENS LÄN</t>
        </is>
      </c>
      <c r="E298" t="inlineStr">
        <is>
          <t>VILHELMINA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26308-2020</t>
        </is>
      </c>
      <c r="B299" s="1" t="n">
        <v>43986</v>
      </c>
      <c r="C299" s="1" t="n">
        <v>45578</v>
      </c>
      <c r="D299" t="inlineStr">
        <is>
          <t>VÄSTERBOTTENS LÄN</t>
        </is>
      </c>
      <c r="E299" t="inlineStr">
        <is>
          <t>VILHELMINA</t>
        </is>
      </c>
      <c r="G299" t="n">
        <v>12.1</v>
      </c>
      <c r="H299" t="n">
        <v>0</v>
      </c>
      <c r="I299" t="n">
        <v>0</v>
      </c>
      <c r="J299" t="n">
        <v>0</v>
      </c>
      <c r="K299" t="n">
        <v>0</v>
      </c>
      <c r="L299" t="n">
        <v>0</v>
      </c>
      <c r="M299" t="n">
        <v>0</v>
      </c>
      <c r="N299" t="n">
        <v>0</v>
      </c>
      <c r="O299" t="n">
        <v>0</v>
      </c>
      <c r="P299" t="n">
        <v>0</v>
      </c>
      <c r="Q299" t="n">
        <v>0</v>
      </c>
      <c r="R299" s="2" t="inlineStr"/>
    </row>
    <row r="300" ht="15" customHeight="1">
      <c r="A300" t="inlineStr">
        <is>
          <t>A 28871-2020</t>
        </is>
      </c>
      <c r="B300" s="1" t="n">
        <v>44000</v>
      </c>
      <c r="C300" s="1" t="n">
        <v>45578</v>
      </c>
      <c r="D300" t="inlineStr">
        <is>
          <t>VÄSTERBOTTENS LÄN</t>
        </is>
      </c>
      <c r="E300" t="inlineStr">
        <is>
          <t>VILHELMINA</t>
        </is>
      </c>
      <c r="F300" t="inlineStr">
        <is>
          <t>Kommuner</t>
        </is>
      </c>
      <c r="G300" t="n">
        <v>0.2</v>
      </c>
      <c r="H300" t="n">
        <v>0</v>
      </c>
      <c r="I300" t="n">
        <v>0</v>
      </c>
      <c r="J300" t="n">
        <v>0</v>
      </c>
      <c r="K300" t="n">
        <v>0</v>
      </c>
      <c r="L300" t="n">
        <v>0</v>
      </c>
      <c r="M300" t="n">
        <v>0</v>
      </c>
      <c r="N300" t="n">
        <v>0</v>
      </c>
      <c r="O300" t="n">
        <v>0</v>
      </c>
      <c r="P300" t="n">
        <v>0</v>
      </c>
      <c r="Q300" t="n">
        <v>0</v>
      </c>
      <c r="R300" s="2" t="inlineStr"/>
    </row>
    <row r="301" ht="15" customHeight="1">
      <c r="A301" t="inlineStr">
        <is>
          <t>A 28864-2020</t>
        </is>
      </c>
      <c r="B301" s="1" t="n">
        <v>44000</v>
      </c>
      <c r="C301" s="1" t="n">
        <v>45578</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30210-2020</t>
        </is>
      </c>
      <c r="B302" s="1" t="n">
        <v>44007</v>
      </c>
      <c r="C302" s="1" t="n">
        <v>45578</v>
      </c>
      <c r="D302" t="inlineStr">
        <is>
          <t>VÄSTERBOTTENS LÄN</t>
        </is>
      </c>
      <c r="E302" t="inlineStr">
        <is>
          <t>VILHELMINA</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30373-2020</t>
        </is>
      </c>
      <c r="B303" s="1" t="n">
        <v>44007</v>
      </c>
      <c r="C303" s="1" t="n">
        <v>45578</v>
      </c>
      <c r="D303" t="inlineStr">
        <is>
          <t>VÄSTERBOTTENS LÄN</t>
        </is>
      </c>
      <c r="E303" t="inlineStr">
        <is>
          <t>VILHELMINA</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33370-2020</t>
        </is>
      </c>
      <c r="B304" s="1" t="n">
        <v>44022</v>
      </c>
      <c r="C304" s="1" t="n">
        <v>45578</v>
      </c>
      <c r="D304" t="inlineStr">
        <is>
          <t>VÄSTERBOTTENS LÄN</t>
        </is>
      </c>
      <c r="E304" t="inlineStr">
        <is>
          <t>VILHELMINA</t>
        </is>
      </c>
      <c r="G304" t="n">
        <v>2.7</v>
      </c>
      <c r="H304" t="n">
        <v>0</v>
      </c>
      <c r="I304" t="n">
        <v>0</v>
      </c>
      <c r="J304" t="n">
        <v>0</v>
      </c>
      <c r="K304" t="n">
        <v>0</v>
      </c>
      <c r="L304" t="n">
        <v>0</v>
      </c>
      <c r="M304" t="n">
        <v>0</v>
      </c>
      <c r="N304" t="n">
        <v>0</v>
      </c>
      <c r="O304" t="n">
        <v>0</v>
      </c>
      <c r="P304" t="n">
        <v>0</v>
      </c>
      <c r="Q304" t="n">
        <v>0</v>
      </c>
      <c r="R304" s="2" t="inlineStr"/>
    </row>
    <row r="305" ht="15" customHeight="1">
      <c r="A305" t="inlineStr">
        <is>
          <t>A 34368-2020</t>
        </is>
      </c>
      <c r="B305" s="1" t="n">
        <v>44032</v>
      </c>
      <c r="C305" s="1" t="n">
        <v>45578</v>
      </c>
      <c r="D305" t="inlineStr">
        <is>
          <t>VÄSTERBOTTENS LÄN</t>
        </is>
      </c>
      <c r="E305" t="inlineStr">
        <is>
          <t>VILHELMINA</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34909-2020</t>
        </is>
      </c>
      <c r="B306" s="1" t="n">
        <v>44036</v>
      </c>
      <c r="C306" s="1" t="n">
        <v>45578</v>
      </c>
      <c r="D306" t="inlineStr">
        <is>
          <t>VÄSTERBOTTENS LÄN</t>
        </is>
      </c>
      <c r="E306" t="inlineStr">
        <is>
          <t>VILHELMINA</t>
        </is>
      </c>
      <c r="G306" t="n">
        <v>1.8</v>
      </c>
      <c r="H306" t="n">
        <v>0</v>
      </c>
      <c r="I306" t="n">
        <v>0</v>
      </c>
      <c r="J306" t="n">
        <v>0</v>
      </c>
      <c r="K306" t="n">
        <v>0</v>
      </c>
      <c r="L306" t="n">
        <v>0</v>
      </c>
      <c r="M306" t="n">
        <v>0</v>
      </c>
      <c r="N306" t="n">
        <v>0</v>
      </c>
      <c r="O306" t="n">
        <v>0</v>
      </c>
      <c r="P306" t="n">
        <v>0</v>
      </c>
      <c r="Q306" t="n">
        <v>0</v>
      </c>
      <c r="R306" s="2" t="inlineStr"/>
    </row>
    <row r="307" ht="15" customHeight="1">
      <c r="A307" t="inlineStr">
        <is>
          <t>A 34987-2020</t>
        </is>
      </c>
      <c r="B307" s="1" t="n">
        <v>44039</v>
      </c>
      <c r="C307" s="1" t="n">
        <v>45578</v>
      </c>
      <c r="D307" t="inlineStr">
        <is>
          <t>VÄSTERBOTTENS LÄN</t>
        </is>
      </c>
      <c r="E307" t="inlineStr">
        <is>
          <t>VILHELMINA</t>
        </is>
      </c>
      <c r="G307" t="n">
        <v>16.6</v>
      </c>
      <c r="H307" t="n">
        <v>0</v>
      </c>
      <c r="I307" t="n">
        <v>0</v>
      </c>
      <c r="J307" t="n">
        <v>0</v>
      </c>
      <c r="K307" t="n">
        <v>0</v>
      </c>
      <c r="L307" t="n">
        <v>0</v>
      </c>
      <c r="M307" t="n">
        <v>0</v>
      </c>
      <c r="N307" t="n">
        <v>0</v>
      </c>
      <c r="O307" t="n">
        <v>0</v>
      </c>
      <c r="P307" t="n">
        <v>0</v>
      </c>
      <c r="Q307" t="n">
        <v>0</v>
      </c>
      <c r="R307" s="2" t="inlineStr"/>
    </row>
    <row r="308" ht="15" customHeight="1">
      <c r="A308" t="inlineStr">
        <is>
          <t>A 36875-2020</t>
        </is>
      </c>
      <c r="B308" s="1" t="n">
        <v>44053</v>
      </c>
      <c r="C308" s="1" t="n">
        <v>45578</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38349-2020</t>
        </is>
      </c>
      <c r="B309" s="1" t="n">
        <v>44060</v>
      </c>
      <c r="C309" s="1" t="n">
        <v>45578</v>
      </c>
      <c r="D309" t="inlineStr">
        <is>
          <t>VÄSTERBOTTENS LÄN</t>
        </is>
      </c>
      <c r="E309" t="inlineStr">
        <is>
          <t>VILHELMINA</t>
        </is>
      </c>
      <c r="F309" t="inlineStr">
        <is>
          <t>SCA</t>
        </is>
      </c>
      <c r="G309" t="n">
        <v>26.8</v>
      </c>
      <c r="H309" t="n">
        <v>0</v>
      </c>
      <c r="I309" t="n">
        <v>0</v>
      </c>
      <c r="J309" t="n">
        <v>0</v>
      </c>
      <c r="K309" t="n">
        <v>0</v>
      </c>
      <c r="L309" t="n">
        <v>0</v>
      </c>
      <c r="M309" t="n">
        <v>0</v>
      </c>
      <c r="N309" t="n">
        <v>0</v>
      </c>
      <c r="O309" t="n">
        <v>0</v>
      </c>
      <c r="P309" t="n">
        <v>0</v>
      </c>
      <c r="Q309" t="n">
        <v>0</v>
      </c>
      <c r="R309" s="2" t="inlineStr"/>
    </row>
    <row r="310" ht="15" customHeight="1">
      <c r="A310" t="inlineStr">
        <is>
          <t>A 40116-2020</t>
        </is>
      </c>
      <c r="B310" s="1" t="n">
        <v>44064</v>
      </c>
      <c r="C310" s="1" t="n">
        <v>45578</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40100-2020</t>
        </is>
      </c>
      <c r="B311" s="1" t="n">
        <v>44064</v>
      </c>
      <c r="C311" s="1" t="n">
        <v>45578</v>
      </c>
      <c r="D311" t="inlineStr">
        <is>
          <t>VÄSTERBOTTENS LÄN</t>
        </is>
      </c>
      <c r="E311" t="inlineStr">
        <is>
          <t>VILHELMINA</t>
        </is>
      </c>
      <c r="G311" t="n">
        <v>22.5</v>
      </c>
      <c r="H311" t="n">
        <v>0</v>
      </c>
      <c r="I311" t="n">
        <v>0</v>
      </c>
      <c r="J311" t="n">
        <v>0</v>
      </c>
      <c r="K311" t="n">
        <v>0</v>
      </c>
      <c r="L311" t="n">
        <v>0</v>
      </c>
      <c r="M311" t="n">
        <v>0</v>
      </c>
      <c r="N311" t="n">
        <v>0</v>
      </c>
      <c r="O311" t="n">
        <v>0</v>
      </c>
      <c r="P311" t="n">
        <v>0</v>
      </c>
      <c r="Q311" t="n">
        <v>0</v>
      </c>
      <c r="R311" s="2" t="inlineStr"/>
    </row>
    <row r="312" ht="15" customHeight="1">
      <c r="A312" t="inlineStr">
        <is>
          <t>A 40842-2020</t>
        </is>
      </c>
      <c r="B312" s="1" t="n">
        <v>44069</v>
      </c>
      <c r="C312" s="1" t="n">
        <v>45578</v>
      </c>
      <c r="D312" t="inlineStr">
        <is>
          <t>VÄSTERBOTTENS LÄN</t>
        </is>
      </c>
      <c r="E312" t="inlineStr">
        <is>
          <t>VILHELMINA</t>
        </is>
      </c>
      <c r="G312" t="n">
        <v>20.4</v>
      </c>
      <c r="H312" t="n">
        <v>0</v>
      </c>
      <c r="I312" t="n">
        <v>0</v>
      </c>
      <c r="J312" t="n">
        <v>0</v>
      </c>
      <c r="K312" t="n">
        <v>0</v>
      </c>
      <c r="L312" t="n">
        <v>0</v>
      </c>
      <c r="M312" t="n">
        <v>0</v>
      </c>
      <c r="N312" t="n">
        <v>0</v>
      </c>
      <c r="O312" t="n">
        <v>0</v>
      </c>
      <c r="P312" t="n">
        <v>0</v>
      </c>
      <c r="Q312" t="n">
        <v>0</v>
      </c>
      <c r="R312" s="2" t="inlineStr"/>
    </row>
    <row r="313" ht="15" customHeight="1">
      <c r="A313" t="inlineStr">
        <is>
          <t>A 41267-2020</t>
        </is>
      </c>
      <c r="B313" s="1" t="n">
        <v>44071</v>
      </c>
      <c r="C313" s="1" t="n">
        <v>45578</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42205-2020</t>
        </is>
      </c>
      <c r="B314" s="1" t="n">
        <v>44075</v>
      </c>
      <c r="C314" s="1" t="n">
        <v>45578</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43080-2020</t>
        </is>
      </c>
      <c r="B315" s="1" t="n">
        <v>44078</v>
      </c>
      <c r="C315" s="1" t="n">
        <v>45578</v>
      </c>
      <c r="D315" t="inlineStr">
        <is>
          <t>VÄSTERBOTTENS LÄN</t>
        </is>
      </c>
      <c r="E315" t="inlineStr">
        <is>
          <t>VILHELMINA</t>
        </is>
      </c>
      <c r="F315" t="inlineStr">
        <is>
          <t>SCA</t>
        </is>
      </c>
      <c r="G315" t="n">
        <v>15.4</v>
      </c>
      <c r="H315" t="n">
        <v>0</v>
      </c>
      <c r="I315" t="n">
        <v>0</v>
      </c>
      <c r="J315" t="n">
        <v>0</v>
      </c>
      <c r="K315" t="n">
        <v>0</v>
      </c>
      <c r="L315" t="n">
        <v>0</v>
      </c>
      <c r="M315" t="n">
        <v>0</v>
      </c>
      <c r="N315" t="n">
        <v>0</v>
      </c>
      <c r="O315" t="n">
        <v>0</v>
      </c>
      <c r="P315" t="n">
        <v>0</v>
      </c>
      <c r="Q315" t="n">
        <v>0</v>
      </c>
      <c r="R315" s="2" t="inlineStr"/>
    </row>
    <row r="316" ht="15" customHeight="1">
      <c r="A316" t="inlineStr">
        <is>
          <t>A 44507-2020</t>
        </is>
      </c>
      <c r="B316" s="1" t="n">
        <v>44084</v>
      </c>
      <c r="C316" s="1" t="n">
        <v>45578</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46509-2020</t>
        </is>
      </c>
      <c r="B317" s="1" t="n">
        <v>44088</v>
      </c>
      <c r="C317" s="1" t="n">
        <v>45578</v>
      </c>
      <c r="D317" t="inlineStr">
        <is>
          <t>VÄSTERBOTTENS LÄN</t>
        </is>
      </c>
      <c r="E317" t="inlineStr">
        <is>
          <t>VILHELMINA</t>
        </is>
      </c>
      <c r="G317" t="n">
        <v>4.5</v>
      </c>
      <c r="H317" t="n">
        <v>0</v>
      </c>
      <c r="I317" t="n">
        <v>0</v>
      </c>
      <c r="J317" t="n">
        <v>0</v>
      </c>
      <c r="K317" t="n">
        <v>0</v>
      </c>
      <c r="L317" t="n">
        <v>0</v>
      </c>
      <c r="M317" t="n">
        <v>0</v>
      </c>
      <c r="N317" t="n">
        <v>0</v>
      </c>
      <c r="O317" t="n">
        <v>0</v>
      </c>
      <c r="P317" t="n">
        <v>0</v>
      </c>
      <c r="Q317" t="n">
        <v>0</v>
      </c>
      <c r="R317" s="2" t="inlineStr"/>
    </row>
    <row r="318" ht="15" customHeight="1">
      <c r="A318" t="inlineStr">
        <is>
          <t>A 46378-2020</t>
        </is>
      </c>
      <c r="B318" s="1" t="n">
        <v>44092</v>
      </c>
      <c r="C318" s="1" t="n">
        <v>45578</v>
      </c>
      <c r="D318" t="inlineStr">
        <is>
          <t>VÄSTERBOTTENS LÄN</t>
        </is>
      </c>
      <c r="E318" t="inlineStr">
        <is>
          <t>VILHELMINA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46373-2020</t>
        </is>
      </c>
      <c r="B319" s="1" t="n">
        <v>44092</v>
      </c>
      <c r="C319" s="1" t="n">
        <v>45578</v>
      </c>
      <c r="D319" t="inlineStr">
        <is>
          <t>VÄSTERBOTTENS LÄN</t>
        </is>
      </c>
      <c r="E319" t="inlineStr">
        <is>
          <t>VILHELMINA</t>
        </is>
      </c>
      <c r="F319" t="inlineStr">
        <is>
          <t>SCA</t>
        </is>
      </c>
      <c r="G319" t="n">
        <v>6.8</v>
      </c>
      <c r="H319" t="n">
        <v>0</v>
      </c>
      <c r="I319" t="n">
        <v>0</v>
      </c>
      <c r="J319" t="n">
        <v>0</v>
      </c>
      <c r="K319" t="n">
        <v>0</v>
      </c>
      <c r="L319" t="n">
        <v>0</v>
      </c>
      <c r="M319" t="n">
        <v>0</v>
      </c>
      <c r="N319" t="n">
        <v>0</v>
      </c>
      <c r="O319" t="n">
        <v>0</v>
      </c>
      <c r="P319" t="n">
        <v>0</v>
      </c>
      <c r="Q319" t="n">
        <v>0</v>
      </c>
      <c r="R319" s="2" t="inlineStr"/>
    </row>
    <row r="320" ht="15" customHeight="1">
      <c r="A320" t="inlineStr">
        <is>
          <t>A 47308-2020</t>
        </is>
      </c>
      <c r="B320" s="1" t="n">
        <v>44092</v>
      </c>
      <c r="C320" s="1" t="n">
        <v>45578</v>
      </c>
      <c r="D320" t="inlineStr">
        <is>
          <t>VÄSTERBOTTENS LÄN</t>
        </is>
      </c>
      <c r="E320" t="inlineStr">
        <is>
          <t>VILHELMINA</t>
        </is>
      </c>
      <c r="F320" t="inlineStr">
        <is>
          <t>Övriga statliga verk och myndigheter</t>
        </is>
      </c>
      <c r="G320" t="n">
        <v>35.3</v>
      </c>
      <c r="H320" t="n">
        <v>0</v>
      </c>
      <c r="I320" t="n">
        <v>0</v>
      </c>
      <c r="J320" t="n">
        <v>0</v>
      </c>
      <c r="K320" t="n">
        <v>0</v>
      </c>
      <c r="L320" t="n">
        <v>0</v>
      </c>
      <c r="M320" t="n">
        <v>0</v>
      </c>
      <c r="N320" t="n">
        <v>0</v>
      </c>
      <c r="O320" t="n">
        <v>0</v>
      </c>
      <c r="P320" t="n">
        <v>0</v>
      </c>
      <c r="Q320" t="n">
        <v>0</v>
      </c>
      <c r="R320" s="2" t="inlineStr"/>
    </row>
    <row r="321" ht="15" customHeight="1">
      <c r="A321" t="inlineStr">
        <is>
          <t>A 48256-2020</t>
        </is>
      </c>
      <c r="B321" s="1" t="n">
        <v>44092</v>
      </c>
      <c r="C321" s="1" t="n">
        <v>45578</v>
      </c>
      <c r="D321" t="inlineStr">
        <is>
          <t>VÄSTERBOTTENS LÄN</t>
        </is>
      </c>
      <c r="E321" t="inlineStr">
        <is>
          <t>VILHELMINA</t>
        </is>
      </c>
      <c r="F321" t="inlineStr">
        <is>
          <t>Övriga statliga verk och myndigheter</t>
        </is>
      </c>
      <c r="G321" t="n">
        <v>13.4</v>
      </c>
      <c r="H321" t="n">
        <v>0</v>
      </c>
      <c r="I321" t="n">
        <v>0</v>
      </c>
      <c r="J321" t="n">
        <v>0</v>
      </c>
      <c r="K321" t="n">
        <v>0</v>
      </c>
      <c r="L321" t="n">
        <v>0</v>
      </c>
      <c r="M321" t="n">
        <v>0</v>
      </c>
      <c r="N321" t="n">
        <v>0</v>
      </c>
      <c r="O321" t="n">
        <v>0</v>
      </c>
      <c r="P321" t="n">
        <v>0</v>
      </c>
      <c r="Q321" t="n">
        <v>0</v>
      </c>
      <c r="R321" s="2" t="inlineStr"/>
    </row>
    <row r="322" ht="15" customHeight="1">
      <c r="A322" t="inlineStr">
        <is>
          <t>A 48019-2020</t>
        </is>
      </c>
      <c r="B322" s="1" t="n">
        <v>44092</v>
      </c>
      <c r="C322" s="1" t="n">
        <v>45578</v>
      </c>
      <c r="D322" t="inlineStr">
        <is>
          <t>VÄSTERBOTTENS LÄN</t>
        </is>
      </c>
      <c r="E322" t="inlineStr">
        <is>
          <t>VILHELMINA</t>
        </is>
      </c>
      <c r="F322" t="inlineStr">
        <is>
          <t>Övriga statliga verk och myndigheter</t>
        </is>
      </c>
      <c r="G322" t="n">
        <v>1.3</v>
      </c>
      <c r="H322" t="n">
        <v>0</v>
      </c>
      <c r="I322" t="n">
        <v>0</v>
      </c>
      <c r="J322" t="n">
        <v>0</v>
      </c>
      <c r="K322" t="n">
        <v>0</v>
      </c>
      <c r="L322" t="n">
        <v>0</v>
      </c>
      <c r="M322" t="n">
        <v>0</v>
      </c>
      <c r="N322" t="n">
        <v>0</v>
      </c>
      <c r="O322" t="n">
        <v>0</v>
      </c>
      <c r="P322" t="n">
        <v>0</v>
      </c>
      <c r="Q322" t="n">
        <v>0</v>
      </c>
      <c r="R322" s="2" t="inlineStr"/>
    </row>
    <row r="323" ht="15" customHeight="1">
      <c r="A323" t="inlineStr">
        <is>
          <t>A 47193-2020</t>
        </is>
      </c>
      <c r="B323" s="1" t="n">
        <v>44097</v>
      </c>
      <c r="C323" s="1" t="n">
        <v>45578</v>
      </c>
      <c r="D323" t="inlineStr">
        <is>
          <t>VÄSTERBOTTENS LÄN</t>
        </is>
      </c>
      <c r="E323" t="inlineStr">
        <is>
          <t>VILHELMINA</t>
        </is>
      </c>
      <c r="G323" t="n">
        <v>6.8</v>
      </c>
      <c r="H323" t="n">
        <v>0</v>
      </c>
      <c r="I323" t="n">
        <v>0</v>
      </c>
      <c r="J323" t="n">
        <v>0</v>
      </c>
      <c r="K323" t="n">
        <v>0</v>
      </c>
      <c r="L323" t="n">
        <v>0</v>
      </c>
      <c r="M323" t="n">
        <v>0</v>
      </c>
      <c r="N323" t="n">
        <v>0</v>
      </c>
      <c r="O323" t="n">
        <v>0</v>
      </c>
      <c r="P323" t="n">
        <v>0</v>
      </c>
      <c r="Q323" t="n">
        <v>0</v>
      </c>
      <c r="R323" s="2" t="inlineStr"/>
    </row>
    <row r="324" ht="15" customHeight="1">
      <c r="A324" t="inlineStr">
        <is>
          <t>A 52165-2020</t>
        </is>
      </c>
      <c r="B324" s="1" t="n">
        <v>44105</v>
      </c>
      <c r="C324" s="1" t="n">
        <v>45578</v>
      </c>
      <c r="D324" t="inlineStr">
        <is>
          <t>VÄSTERBOTTENS LÄN</t>
        </is>
      </c>
      <c r="E324" t="inlineStr">
        <is>
          <t>VILHELMINA</t>
        </is>
      </c>
      <c r="G324" t="n">
        <v>16.1</v>
      </c>
      <c r="H324" t="n">
        <v>0</v>
      </c>
      <c r="I324" t="n">
        <v>0</v>
      </c>
      <c r="J324" t="n">
        <v>0</v>
      </c>
      <c r="K324" t="n">
        <v>0</v>
      </c>
      <c r="L324" t="n">
        <v>0</v>
      </c>
      <c r="M324" t="n">
        <v>0</v>
      </c>
      <c r="N324" t="n">
        <v>0</v>
      </c>
      <c r="O324" t="n">
        <v>0</v>
      </c>
      <c r="P324" t="n">
        <v>0</v>
      </c>
      <c r="Q324" t="n">
        <v>0</v>
      </c>
      <c r="R324" s="2" t="inlineStr"/>
    </row>
    <row r="325" ht="15" customHeight="1">
      <c r="A325" t="inlineStr">
        <is>
          <t>A 52174-2020</t>
        </is>
      </c>
      <c r="B325" s="1" t="n">
        <v>44105</v>
      </c>
      <c r="C325" s="1" t="n">
        <v>45578</v>
      </c>
      <c r="D325" t="inlineStr">
        <is>
          <t>VÄSTERBOTTENS LÄN</t>
        </is>
      </c>
      <c r="E325" t="inlineStr">
        <is>
          <t>VILHELMINA</t>
        </is>
      </c>
      <c r="G325" t="n">
        <v>3</v>
      </c>
      <c r="H325" t="n">
        <v>0</v>
      </c>
      <c r="I325" t="n">
        <v>0</v>
      </c>
      <c r="J325" t="n">
        <v>0</v>
      </c>
      <c r="K325" t="n">
        <v>0</v>
      </c>
      <c r="L325" t="n">
        <v>0</v>
      </c>
      <c r="M325" t="n">
        <v>0</v>
      </c>
      <c r="N325" t="n">
        <v>0</v>
      </c>
      <c r="O325" t="n">
        <v>0</v>
      </c>
      <c r="P325" t="n">
        <v>0</v>
      </c>
      <c r="Q325" t="n">
        <v>0</v>
      </c>
      <c r="R325" s="2" t="inlineStr"/>
    </row>
    <row r="326" ht="15" customHeight="1">
      <c r="A326" t="inlineStr">
        <is>
          <t>A 50139-2020</t>
        </is>
      </c>
      <c r="B326" s="1" t="n">
        <v>44109</v>
      </c>
      <c r="C326" s="1" t="n">
        <v>45578</v>
      </c>
      <c r="D326" t="inlineStr">
        <is>
          <t>VÄSTERBOTTENS LÄN</t>
        </is>
      </c>
      <c r="E326" t="inlineStr">
        <is>
          <t>VILHELMINA</t>
        </is>
      </c>
      <c r="G326" t="n">
        <v>1.2</v>
      </c>
      <c r="H326" t="n">
        <v>0</v>
      </c>
      <c r="I326" t="n">
        <v>0</v>
      </c>
      <c r="J326" t="n">
        <v>0</v>
      </c>
      <c r="K326" t="n">
        <v>0</v>
      </c>
      <c r="L326" t="n">
        <v>0</v>
      </c>
      <c r="M326" t="n">
        <v>0</v>
      </c>
      <c r="N326" t="n">
        <v>0</v>
      </c>
      <c r="O326" t="n">
        <v>0</v>
      </c>
      <c r="P326" t="n">
        <v>0</v>
      </c>
      <c r="Q326" t="n">
        <v>0</v>
      </c>
      <c r="R326" s="2" t="inlineStr"/>
    </row>
    <row r="327" ht="15" customHeight="1">
      <c r="A327" t="inlineStr">
        <is>
          <t>A 52669-2020</t>
        </is>
      </c>
      <c r="B327" s="1" t="n">
        <v>44118</v>
      </c>
      <c r="C327" s="1" t="n">
        <v>45578</v>
      </c>
      <c r="D327" t="inlineStr">
        <is>
          <t>VÄSTERBOTTENS LÄN</t>
        </is>
      </c>
      <c r="E327" t="inlineStr">
        <is>
          <t>VILHELMINA</t>
        </is>
      </c>
      <c r="F327" t="inlineStr">
        <is>
          <t>Allmännings- och besparingsskogar</t>
        </is>
      </c>
      <c r="G327" t="n">
        <v>22.6</v>
      </c>
      <c r="H327" t="n">
        <v>0</v>
      </c>
      <c r="I327" t="n">
        <v>0</v>
      </c>
      <c r="J327" t="n">
        <v>0</v>
      </c>
      <c r="K327" t="n">
        <v>0</v>
      </c>
      <c r="L327" t="n">
        <v>0</v>
      </c>
      <c r="M327" t="n">
        <v>0</v>
      </c>
      <c r="N327" t="n">
        <v>0</v>
      </c>
      <c r="O327" t="n">
        <v>0</v>
      </c>
      <c r="P327" t="n">
        <v>0</v>
      </c>
      <c r="Q327" t="n">
        <v>0</v>
      </c>
      <c r="R327" s="2" t="inlineStr"/>
    </row>
    <row r="328" ht="15" customHeight="1">
      <c r="A328" t="inlineStr">
        <is>
          <t>A 54947-2020</t>
        </is>
      </c>
      <c r="B328" s="1" t="n">
        <v>44129</v>
      </c>
      <c r="C328" s="1" t="n">
        <v>45578</v>
      </c>
      <c r="D328" t="inlineStr">
        <is>
          <t>VÄSTERBOTTENS LÄN</t>
        </is>
      </c>
      <c r="E328" t="inlineStr">
        <is>
          <t>VILHELMINA</t>
        </is>
      </c>
      <c r="G328" t="n">
        <v>6.1</v>
      </c>
      <c r="H328" t="n">
        <v>0</v>
      </c>
      <c r="I328" t="n">
        <v>0</v>
      </c>
      <c r="J328" t="n">
        <v>0</v>
      </c>
      <c r="K328" t="n">
        <v>0</v>
      </c>
      <c r="L328" t="n">
        <v>0</v>
      </c>
      <c r="M328" t="n">
        <v>0</v>
      </c>
      <c r="N328" t="n">
        <v>0</v>
      </c>
      <c r="O328" t="n">
        <v>0</v>
      </c>
      <c r="P328" t="n">
        <v>0</v>
      </c>
      <c r="Q328" t="n">
        <v>0</v>
      </c>
      <c r="R328" s="2" t="inlineStr"/>
    </row>
    <row r="329" ht="15" customHeight="1">
      <c r="A329" t="inlineStr">
        <is>
          <t>A 55440-2020</t>
        </is>
      </c>
      <c r="B329" s="1" t="n">
        <v>44131</v>
      </c>
      <c r="C329" s="1" t="n">
        <v>45578</v>
      </c>
      <c r="D329" t="inlineStr">
        <is>
          <t>VÄSTERBOTTENS LÄN</t>
        </is>
      </c>
      <c r="E329" t="inlineStr">
        <is>
          <t>VILHELMINA</t>
        </is>
      </c>
      <c r="G329" t="n">
        <v>18.3</v>
      </c>
      <c r="H329" t="n">
        <v>0</v>
      </c>
      <c r="I329" t="n">
        <v>0</v>
      </c>
      <c r="J329" t="n">
        <v>0</v>
      </c>
      <c r="K329" t="n">
        <v>0</v>
      </c>
      <c r="L329" t="n">
        <v>0</v>
      </c>
      <c r="M329" t="n">
        <v>0</v>
      </c>
      <c r="N329" t="n">
        <v>0</v>
      </c>
      <c r="O329" t="n">
        <v>0</v>
      </c>
      <c r="P329" t="n">
        <v>0</v>
      </c>
      <c r="Q329" t="n">
        <v>0</v>
      </c>
      <c r="R329" s="2" t="inlineStr"/>
    </row>
    <row r="330" ht="15" customHeight="1">
      <c r="A330" t="inlineStr">
        <is>
          <t>A 58584-2020</t>
        </is>
      </c>
      <c r="B330" s="1" t="n">
        <v>44144</v>
      </c>
      <c r="C330" s="1" t="n">
        <v>45578</v>
      </c>
      <c r="D330" t="inlineStr">
        <is>
          <t>VÄSTERBOTTENS LÄN</t>
        </is>
      </c>
      <c r="E330" t="inlineStr">
        <is>
          <t>VILHELMINA</t>
        </is>
      </c>
      <c r="F330" t="inlineStr">
        <is>
          <t>Övriga statliga verk och myndigheter</t>
        </is>
      </c>
      <c r="G330" t="n">
        <v>20.8</v>
      </c>
      <c r="H330" t="n">
        <v>0</v>
      </c>
      <c r="I330" t="n">
        <v>0</v>
      </c>
      <c r="J330" t="n">
        <v>0</v>
      </c>
      <c r="K330" t="n">
        <v>0</v>
      </c>
      <c r="L330" t="n">
        <v>0</v>
      </c>
      <c r="M330" t="n">
        <v>0</v>
      </c>
      <c r="N330" t="n">
        <v>0</v>
      </c>
      <c r="O330" t="n">
        <v>0</v>
      </c>
      <c r="P330" t="n">
        <v>0</v>
      </c>
      <c r="Q330" t="n">
        <v>0</v>
      </c>
      <c r="R330" s="2" t="inlineStr"/>
    </row>
    <row r="331" ht="15" customHeight="1">
      <c r="A331" t="inlineStr">
        <is>
          <t>A 59587-2020</t>
        </is>
      </c>
      <c r="B331" s="1" t="n">
        <v>44148</v>
      </c>
      <c r="C331" s="1" t="n">
        <v>45578</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60090-2020</t>
        </is>
      </c>
      <c r="B332" s="1" t="n">
        <v>44151</v>
      </c>
      <c r="C332" s="1" t="n">
        <v>45578</v>
      </c>
      <c r="D332" t="inlineStr">
        <is>
          <t>VÄSTERBOTTENS LÄN</t>
        </is>
      </c>
      <c r="E332" t="inlineStr">
        <is>
          <t>VILHELMINA</t>
        </is>
      </c>
      <c r="G332" t="n">
        <v>9</v>
      </c>
      <c r="H332" t="n">
        <v>0</v>
      </c>
      <c r="I332" t="n">
        <v>0</v>
      </c>
      <c r="J332" t="n">
        <v>0</v>
      </c>
      <c r="K332" t="n">
        <v>0</v>
      </c>
      <c r="L332" t="n">
        <v>0</v>
      </c>
      <c r="M332" t="n">
        <v>0</v>
      </c>
      <c r="N332" t="n">
        <v>0</v>
      </c>
      <c r="O332" t="n">
        <v>0</v>
      </c>
      <c r="P332" t="n">
        <v>0</v>
      </c>
      <c r="Q332" t="n">
        <v>0</v>
      </c>
      <c r="R332" s="2" t="inlineStr"/>
    </row>
    <row r="333" ht="15" customHeight="1">
      <c r="A333" t="inlineStr">
        <is>
          <t>A 60812-2020</t>
        </is>
      </c>
      <c r="B333" s="1" t="n">
        <v>44153</v>
      </c>
      <c r="C333" s="1" t="n">
        <v>45578</v>
      </c>
      <c r="D333" t="inlineStr">
        <is>
          <t>VÄSTERBOTTENS LÄN</t>
        </is>
      </c>
      <c r="E333" t="inlineStr">
        <is>
          <t>VILHELMINA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61129-2020</t>
        </is>
      </c>
      <c r="B334" s="1" t="n">
        <v>44154</v>
      </c>
      <c r="C334" s="1" t="n">
        <v>45578</v>
      </c>
      <c r="D334" t="inlineStr">
        <is>
          <t>VÄSTERBOTTENS LÄN</t>
        </is>
      </c>
      <c r="E334" t="inlineStr">
        <is>
          <t>VILHELMINA</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61920-2020</t>
        </is>
      </c>
      <c r="B335" s="1" t="n">
        <v>44155</v>
      </c>
      <c r="C335" s="1" t="n">
        <v>45578</v>
      </c>
      <c r="D335" t="inlineStr">
        <is>
          <t>VÄSTERBOTTENS LÄN</t>
        </is>
      </c>
      <c r="E335" t="inlineStr">
        <is>
          <t>VILHELMINA</t>
        </is>
      </c>
      <c r="G335" t="n">
        <v>7.7</v>
      </c>
      <c r="H335" t="n">
        <v>0</v>
      </c>
      <c r="I335" t="n">
        <v>0</v>
      </c>
      <c r="J335" t="n">
        <v>0</v>
      </c>
      <c r="K335" t="n">
        <v>0</v>
      </c>
      <c r="L335" t="n">
        <v>0</v>
      </c>
      <c r="M335" t="n">
        <v>0</v>
      </c>
      <c r="N335" t="n">
        <v>0</v>
      </c>
      <c r="O335" t="n">
        <v>0</v>
      </c>
      <c r="P335" t="n">
        <v>0</v>
      </c>
      <c r="Q335" t="n">
        <v>0</v>
      </c>
      <c r="R335" s="2" t="inlineStr"/>
    </row>
    <row r="336" ht="15" customHeight="1">
      <c r="A336" t="inlineStr">
        <is>
          <t>A 62874-2020</t>
        </is>
      </c>
      <c r="B336" s="1" t="n">
        <v>44161</v>
      </c>
      <c r="C336" s="1" t="n">
        <v>45578</v>
      </c>
      <c r="D336" t="inlineStr">
        <is>
          <t>VÄSTERBOTTENS LÄN</t>
        </is>
      </c>
      <c r="E336" t="inlineStr">
        <is>
          <t>VILHELMINA</t>
        </is>
      </c>
      <c r="F336" t="inlineStr">
        <is>
          <t>SCA</t>
        </is>
      </c>
      <c r="G336" t="n">
        <v>10.7</v>
      </c>
      <c r="H336" t="n">
        <v>0</v>
      </c>
      <c r="I336" t="n">
        <v>0</v>
      </c>
      <c r="J336" t="n">
        <v>0</v>
      </c>
      <c r="K336" t="n">
        <v>0</v>
      </c>
      <c r="L336" t="n">
        <v>0</v>
      </c>
      <c r="M336" t="n">
        <v>0</v>
      </c>
      <c r="N336" t="n">
        <v>0</v>
      </c>
      <c r="O336" t="n">
        <v>0</v>
      </c>
      <c r="P336" t="n">
        <v>0</v>
      </c>
      <c r="Q336" t="n">
        <v>0</v>
      </c>
      <c r="R336" s="2" t="inlineStr"/>
    </row>
    <row r="337" ht="15" customHeight="1">
      <c r="A337" t="inlineStr">
        <is>
          <t>A 64065-2020</t>
        </is>
      </c>
      <c r="B337" s="1" t="n">
        <v>44165</v>
      </c>
      <c r="C337" s="1" t="n">
        <v>45578</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64254-2020</t>
        </is>
      </c>
      <c r="B338" s="1" t="n">
        <v>44168</v>
      </c>
      <c r="C338" s="1" t="n">
        <v>45578</v>
      </c>
      <c r="D338" t="inlineStr">
        <is>
          <t>VÄSTERBOTTENS LÄN</t>
        </is>
      </c>
      <c r="E338" t="inlineStr">
        <is>
          <t>VILHELMINA</t>
        </is>
      </c>
      <c r="G338" t="n">
        <v>17.6</v>
      </c>
      <c r="H338" t="n">
        <v>0</v>
      </c>
      <c r="I338" t="n">
        <v>0</v>
      </c>
      <c r="J338" t="n">
        <v>0</v>
      </c>
      <c r="K338" t="n">
        <v>0</v>
      </c>
      <c r="L338" t="n">
        <v>0</v>
      </c>
      <c r="M338" t="n">
        <v>0</v>
      </c>
      <c r="N338" t="n">
        <v>0</v>
      </c>
      <c r="O338" t="n">
        <v>0</v>
      </c>
      <c r="P338" t="n">
        <v>0</v>
      </c>
      <c r="Q338" t="n">
        <v>0</v>
      </c>
      <c r="R338" s="2" t="inlineStr"/>
    </row>
    <row r="339" ht="15" customHeight="1">
      <c r="A339" t="inlineStr">
        <is>
          <t>A 64759-2020</t>
        </is>
      </c>
      <c r="B339" s="1" t="n">
        <v>44169</v>
      </c>
      <c r="C339" s="1" t="n">
        <v>45578</v>
      </c>
      <c r="D339" t="inlineStr">
        <is>
          <t>VÄSTERBOTTENS LÄN</t>
        </is>
      </c>
      <c r="E339" t="inlineStr">
        <is>
          <t>VILHELMINA</t>
        </is>
      </c>
      <c r="G339" t="n">
        <v>24.6</v>
      </c>
      <c r="H339" t="n">
        <v>0</v>
      </c>
      <c r="I339" t="n">
        <v>0</v>
      </c>
      <c r="J339" t="n">
        <v>0</v>
      </c>
      <c r="K339" t="n">
        <v>0</v>
      </c>
      <c r="L339" t="n">
        <v>0</v>
      </c>
      <c r="M339" t="n">
        <v>0</v>
      </c>
      <c r="N339" t="n">
        <v>0</v>
      </c>
      <c r="O339" t="n">
        <v>0</v>
      </c>
      <c r="P339" t="n">
        <v>0</v>
      </c>
      <c r="Q339" t="n">
        <v>0</v>
      </c>
      <c r="R339" s="2" t="inlineStr"/>
    </row>
    <row r="340" ht="15" customHeight="1">
      <c r="A340" t="inlineStr">
        <is>
          <t>A 65663-2020</t>
        </is>
      </c>
      <c r="B340" s="1" t="n">
        <v>44172</v>
      </c>
      <c r="C340" s="1" t="n">
        <v>45578</v>
      </c>
      <c r="D340" t="inlineStr">
        <is>
          <t>VÄSTERBOTTENS LÄN</t>
        </is>
      </c>
      <c r="E340" t="inlineStr">
        <is>
          <t>VILHELMINA</t>
        </is>
      </c>
      <c r="G340" t="n">
        <v>3.2</v>
      </c>
      <c r="H340" t="n">
        <v>0</v>
      </c>
      <c r="I340" t="n">
        <v>0</v>
      </c>
      <c r="J340" t="n">
        <v>0</v>
      </c>
      <c r="K340" t="n">
        <v>0</v>
      </c>
      <c r="L340" t="n">
        <v>0</v>
      </c>
      <c r="M340" t="n">
        <v>0</v>
      </c>
      <c r="N340" t="n">
        <v>0</v>
      </c>
      <c r="O340" t="n">
        <v>0</v>
      </c>
      <c r="P340" t="n">
        <v>0</v>
      </c>
      <c r="Q340" t="n">
        <v>0</v>
      </c>
      <c r="R340" s="2" t="inlineStr"/>
    </row>
    <row r="341" ht="15" customHeight="1">
      <c r="A341" t="inlineStr">
        <is>
          <t>A 68641-2020</t>
        </is>
      </c>
      <c r="B341" s="1" t="n">
        <v>44186</v>
      </c>
      <c r="C341" s="1" t="n">
        <v>45578</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68640-2020</t>
        </is>
      </c>
      <c r="B342" s="1" t="n">
        <v>44186</v>
      </c>
      <c r="C342" s="1" t="n">
        <v>45578</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69502-2020</t>
        </is>
      </c>
      <c r="B343" s="1" t="n">
        <v>44193</v>
      </c>
      <c r="C343" s="1" t="n">
        <v>45578</v>
      </c>
      <c r="D343" t="inlineStr">
        <is>
          <t>VÄSTERBOTTENS LÄN</t>
        </is>
      </c>
      <c r="E343" t="inlineStr">
        <is>
          <t>VILHELMINA</t>
        </is>
      </c>
      <c r="G343" t="n">
        <v>19</v>
      </c>
      <c r="H343" t="n">
        <v>0</v>
      </c>
      <c r="I343" t="n">
        <v>0</v>
      </c>
      <c r="J343" t="n">
        <v>0</v>
      </c>
      <c r="K343" t="n">
        <v>0</v>
      </c>
      <c r="L343" t="n">
        <v>0</v>
      </c>
      <c r="M343" t="n">
        <v>0</v>
      </c>
      <c r="N343" t="n">
        <v>0</v>
      </c>
      <c r="O343" t="n">
        <v>0</v>
      </c>
      <c r="P343" t="n">
        <v>0</v>
      </c>
      <c r="Q343" t="n">
        <v>0</v>
      </c>
      <c r="R343" s="2" t="inlineStr"/>
    </row>
    <row r="344" ht="15" customHeight="1">
      <c r="A344" t="inlineStr">
        <is>
          <t>A 69621-2020</t>
        </is>
      </c>
      <c r="B344" s="1" t="n">
        <v>44195</v>
      </c>
      <c r="C344" s="1" t="n">
        <v>45578</v>
      </c>
      <c r="D344" t="inlineStr">
        <is>
          <t>VÄSTERBOTTENS LÄN</t>
        </is>
      </c>
      <c r="E344" t="inlineStr">
        <is>
          <t>VILHELMINA</t>
        </is>
      </c>
      <c r="G344" t="n">
        <v>2.9</v>
      </c>
      <c r="H344" t="n">
        <v>0</v>
      </c>
      <c r="I344" t="n">
        <v>0</v>
      </c>
      <c r="J344" t="n">
        <v>0</v>
      </c>
      <c r="K344" t="n">
        <v>0</v>
      </c>
      <c r="L344" t="n">
        <v>0</v>
      </c>
      <c r="M344" t="n">
        <v>0</v>
      </c>
      <c r="N344" t="n">
        <v>0</v>
      </c>
      <c r="O344" t="n">
        <v>0</v>
      </c>
      <c r="P344" t="n">
        <v>0</v>
      </c>
      <c r="Q344" t="n">
        <v>0</v>
      </c>
      <c r="R344" s="2" t="inlineStr"/>
    </row>
    <row r="345" ht="15" customHeight="1">
      <c r="A345" t="inlineStr">
        <is>
          <t>A 1471-2021</t>
        </is>
      </c>
      <c r="B345" s="1" t="n">
        <v>44208</v>
      </c>
      <c r="C345" s="1" t="n">
        <v>45578</v>
      </c>
      <c r="D345" t="inlineStr">
        <is>
          <t>VÄSTERBOTTENS LÄN</t>
        </is>
      </c>
      <c r="E345" t="inlineStr">
        <is>
          <t>VILHELMINA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1470-2021</t>
        </is>
      </c>
      <c r="B346" s="1" t="n">
        <v>44208</v>
      </c>
      <c r="C346" s="1" t="n">
        <v>45578</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2187-2021</t>
        </is>
      </c>
      <c r="B347" s="1" t="n">
        <v>44211</v>
      </c>
      <c r="C347" s="1" t="n">
        <v>45578</v>
      </c>
      <c r="D347" t="inlineStr">
        <is>
          <t>VÄSTERBOTTENS LÄN</t>
        </is>
      </c>
      <c r="E347" t="inlineStr">
        <is>
          <t>VILHELMINA</t>
        </is>
      </c>
      <c r="F347" t="inlineStr">
        <is>
          <t>Allmännings- och besparingsskogar</t>
        </is>
      </c>
      <c r="G347" t="n">
        <v>21.3</v>
      </c>
      <c r="H347" t="n">
        <v>0</v>
      </c>
      <c r="I347" t="n">
        <v>0</v>
      </c>
      <c r="J347" t="n">
        <v>0</v>
      </c>
      <c r="K347" t="n">
        <v>0</v>
      </c>
      <c r="L347" t="n">
        <v>0</v>
      </c>
      <c r="M347" t="n">
        <v>0</v>
      </c>
      <c r="N347" t="n">
        <v>0</v>
      </c>
      <c r="O347" t="n">
        <v>0</v>
      </c>
      <c r="P347" t="n">
        <v>0</v>
      </c>
      <c r="Q347" t="n">
        <v>0</v>
      </c>
      <c r="R347" s="2" t="inlineStr"/>
    </row>
    <row r="348" ht="15" customHeight="1">
      <c r="A348" t="inlineStr">
        <is>
          <t>A 2189-2021</t>
        </is>
      </c>
      <c r="B348" s="1" t="n">
        <v>44211</v>
      </c>
      <c r="C348" s="1" t="n">
        <v>45578</v>
      </c>
      <c r="D348" t="inlineStr">
        <is>
          <t>VÄSTERBOTTENS LÄN</t>
        </is>
      </c>
      <c r="E348" t="inlineStr">
        <is>
          <t>VILHELMINA</t>
        </is>
      </c>
      <c r="F348" t="inlineStr">
        <is>
          <t>Allmännings- och besparingsskogar</t>
        </is>
      </c>
      <c r="G348" t="n">
        <v>20.1</v>
      </c>
      <c r="H348" t="n">
        <v>0</v>
      </c>
      <c r="I348" t="n">
        <v>0</v>
      </c>
      <c r="J348" t="n">
        <v>0</v>
      </c>
      <c r="K348" t="n">
        <v>0</v>
      </c>
      <c r="L348" t="n">
        <v>0</v>
      </c>
      <c r="M348" t="n">
        <v>0</v>
      </c>
      <c r="N348" t="n">
        <v>0</v>
      </c>
      <c r="O348" t="n">
        <v>0</v>
      </c>
      <c r="P348" t="n">
        <v>0</v>
      </c>
      <c r="Q348" t="n">
        <v>0</v>
      </c>
      <c r="R348" s="2" t="inlineStr"/>
    </row>
    <row r="349" ht="15" customHeight="1">
      <c r="A349" t="inlineStr">
        <is>
          <t>A 2193-2021</t>
        </is>
      </c>
      <c r="B349" s="1" t="n">
        <v>44211</v>
      </c>
      <c r="C349" s="1" t="n">
        <v>45578</v>
      </c>
      <c r="D349" t="inlineStr">
        <is>
          <t>VÄSTERBOTTENS LÄN</t>
        </is>
      </c>
      <c r="E349" t="inlineStr">
        <is>
          <t>VILHELMINA</t>
        </is>
      </c>
      <c r="F349" t="inlineStr">
        <is>
          <t>Allmännings- och besparingsskogar</t>
        </is>
      </c>
      <c r="G349" t="n">
        <v>157.8</v>
      </c>
      <c r="H349" t="n">
        <v>0</v>
      </c>
      <c r="I349" t="n">
        <v>0</v>
      </c>
      <c r="J349" t="n">
        <v>0</v>
      </c>
      <c r="K349" t="n">
        <v>0</v>
      </c>
      <c r="L349" t="n">
        <v>0</v>
      </c>
      <c r="M349" t="n">
        <v>0</v>
      </c>
      <c r="N349" t="n">
        <v>0</v>
      </c>
      <c r="O349" t="n">
        <v>0</v>
      </c>
      <c r="P349" t="n">
        <v>0</v>
      </c>
      <c r="Q349" t="n">
        <v>0</v>
      </c>
      <c r="R349" s="2" t="inlineStr"/>
    </row>
    <row r="350" ht="15" customHeight="1">
      <c r="A350" t="inlineStr">
        <is>
          <t>A 3096-2021</t>
        </is>
      </c>
      <c r="B350" s="1" t="n">
        <v>44216</v>
      </c>
      <c r="C350" s="1" t="n">
        <v>45578</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3435-2021</t>
        </is>
      </c>
      <c r="B351" s="1" t="n">
        <v>44216</v>
      </c>
      <c r="C351" s="1" t="n">
        <v>45578</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6699-2021</t>
        </is>
      </c>
      <c r="B352" s="1" t="n">
        <v>44235</v>
      </c>
      <c r="C352" s="1" t="n">
        <v>45578</v>
      </c>
      <c r="D352" t="inlineStr">
        <is>
          <t>VÄSTERBOTTENS LÄN</t>
        </is>
      </c>
      <c r="E352" t="inlineStr">
        <is>
          <t>VILHELMINA</t>
        </is>
      </c>
      <c r="G352" t="n">
        <v>6.9</v>
      </c>
      <c r="H352" t="n">
        <v>0</v>
      </c>
      <c r="I352" t="n">
        <v>0</v>
      </c>
      <c r="J352" t="n">
        <v>0</v>
      </c>
      <c r="K352" t="n">
        <v>0</v>
      </c>
      <c r="L352" t="n">
        <v>0</v>
      </c>
      <c r="M352" t="n">
        <v>0</v>
      </c>
      <c r="N352" t="n">
        <v>0</v>
      </c>
      <c r="O352" t="n">
        <v>0</v>
      </c>
      <c r="P352" t="n">
        <v>0</v>
      </c>
      <c r="Q352" t="n">
        <v>0</v>
      </c>
      <c r="R352" s="2" t="inlineStr"/>
    </row>
    <row r="353" ht="15" customHeight="1">
      <c r="A353" t="inlineStr">
        <is>
          <t>A 6664-2021</t>
        </is>
      </c>
      <c r="B353" s="1" t="n">
        <v>44235</v>
      </c>
      <c r="C353" s="1" t="n">
        <v>45578</v>
      </c>
      <c r="D353" t="inlineStr">
        <is>
          <t>VÄSTERBOTTENS LÄN</t>
        </is>
      </c>
      <c r="E353" t="inlineStr">
        <is>
          <t>VILHELMINA</t>
        </is>
      </c>
      <c r="G353" t="n">
        <v>2.5</v>
      </c>
      <c r="H353" t="n">
        <v>0</v>
      </c>
      <c r="I353" t="n">
        <v>0</v>
      </c>
      <c r="J353" t="n">
        <v>0</v>
      </c>
      <c r="K353" t="n">
        <v>0</v>
      </c>
      <c r="L353" t="n">
        <v>0</v>
      </c>
      <c r="M353" t="n">
        <v>0</v>
      </c>
      <c r="N353" t="n">
        <v>0</v>
      </c>
      <c r="O353" t="n">
        <v>0</v>
      </c>
      <c r="P353" t="n">
        <v>0</v>
      </c>
      <c r="Q353" t="n">
        <v>0</v>
      </c>
      <c r="R353" s="2" t="inlineStr"/>
    </row>
    <row r="354" ht="15" customHeight="1">
      <c r="A354" t="inlineStr">
        <is>
          <t>A 6653-2021</t>
        </is>
      </c>
      <c r="B354" s="1" t="n">
        <v>44235</v>
      </c>
      <c r="C354" s="1" t="n">
        <v>45578</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6669-2021</t>
        </is>
      </c>
      <c r="B355" s="1" t="n">
        <v>44235</v>
      </c>
      <c r="C355" s="1" t="n">
        <v>45578</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6665-2021</t>
        </is>
      </c>
      <c r="B356" s="1" t="n">
        <v>44235</v>
      </c>
      <c r="C356" s="1" t="n">
        <v>45578</v>
      </c>
      <c r="D356" t="inlineStr">
        <is>
          <t>VÄSTERBOTTENS LÄN</t>
        </is>
      </c>
      <c r="E356" t="inlineStr">
        <is>
          <t>VILHELMINA</t>
        </is>
      </c>
      <c r="G356" t="n">
        <v>20</v>
      </c>
      <c r="H356" t="n">
        <v>0</v>
      </c>
      <c r="I356" t="n">
        <v>0</v>
      </c>
      <c r="J356" t="n">
        <v>0</v>
      </c>
      <c r="K356" t="n">
        <v>0</v>
      </c>
      <c r="L356" t="n">
        <v>0</v>
      </c>
      <c r="M356" t="n">
        <v>0</v>
      </c>
      <c r="N356" t="n">
        <v>0</v>
      </c>
      <c r="O356" t="n">
        <v>0</v>
      </c>
      <c r="P356" t="n">
        <v>0</v>
      </c>
      <c r="Q356" t="n">
        <v>0</v>
      </c>
      <c r="R356" s="2" t="inlineStr"/>
    </row>
    <row r="357" ht="15" customHeight="1">
      <c r="A357" t="inlineStr">
        <is>
          <t>A 6706-2021</t>
        </is>
      </c>
      <c r="B357" s="1" t="n">
        <v>44235</v>
      </c>
      <c r="C357" s="1" t="n">
        <v>45578</v>
      </c>
      <c r="D357" t="inlineStr">
        <is>
          <t>VÄSTERBOTTENS LÄN</t>
        </is>
      </c>
      <c r="E357" t="inlineStr">
        <is>
          <t>VILHELMINA</t>
        </is>
      </c>
      <c r="G357" t="n">
        <v>3.8</v>
      </c>
      <c r="H357" t="n">
        <v>0</v>
      </c>
      <c r="I357" t="n">
        <v>0</v>
      </c>
      <c r="J357" t="n">
        <v>0</v>
      </c>
      <c r="K357" t="n">
        <v>0</v>
      </c>
      <c r="L357" t="n">
        <v>0</v>
      </c>
      <c r="M357" t="n">
        <v>0</v>
      </c>
      <c r="N357" t="n">
        <v>0</v>
      </c>
      <c r="O357" t="n">
        <v>0</v>
      </c>
      <c r="P357" t="n">
        <v>0</v>
      </c>
      <c r="Q357" t="n">
        <v>0</v>
      </c>
      <c r="R357" s="2" t="inlineStr"/>
    </row>
    <row r="358" ht="15" customHeight="1">
      <c r="A358" t="inlineStr">
        <is>
          <t>A 7078-2021</t>
        </is>
      </c>
      <c r="B358" s="1" t="n">
        <v>44237</v>
      </c>
      <c r="C358" s="1" t="n">
        <v>45578</v>
      </c>
      <c r="D358" t="inlineStr">
        <is>
          <t>VÄSTERBOTTENS LÄN</t>
        </is>
      </c>
      <c r="E358" t="inlineStr">
        <is>
          <t>VILHELMINA</t>
        </is>
      </c>
      <c r="F358" t="inlineStr">
        <is>
          <t>SCA</t>
        </is>
      </c>
      <c r="G358" t="n">
        <v>28.4</v>
      </c>
      <c r="H358" t="n">
        <v>0</v>
      </c>
      <c r="I358" t="n">
        <v>0</v>
      </c>
      <c r="J358" t="n">
        <v>0</v>
      </c>
      <c r="K358" t="n">
        <v>0</v>
      </c>
      <c r="L358" t="n">
        <v>0</v>
      </c>
      <c r="M358" t="n">
        <v>0</v>
      </c>
      <c r="N358" t="n">
        <v>0</v>
      </c>
      <c r="O358" t="n">
        <v>0</v>
      </c>
      <c r="P358" t="n">
        <v>0</v>
      </c>
      <c r="Q358" t="n">
        <v>0</v>
      </c>
      <c r="R358" s="2" t="inlineStr"/>
    </row>
    <row r="359" ht="15" customHeight="1">
      <c r="A359" t="inlineStr">
        <is>
          <t>A 8003-2021</t>
        </is>
      </c>
      <c r="B359" s="1" t="n">
        <v>44243</v>
      </c>
      <c r="C359" s="1" t="n">
        <v>45578</v>
      </c>
      <c r="D359" t="inlineStr">
        <is>
          <t>VÄSTERBOTTENS LÄN</t>
        </is>
      </c>
      <c r="E359" t="inlineStr">
        <is>
          <t>VILHELMINA</t>
        </is>
      </c>
      <c r="G359" t="n">
        <v>5.1</v>
      </c>
      <c r="H359" t="n">
        <v>0</v>
      </c>
      <c r="I359" t="n">
        <v>0</v>
      </c>
      <c r="J359" t="n">
        <v>0</v>
      </c>
      <c r="K359" t="n">
        <v>0</v>
      </c>
      <c r="L359" t="n">
        <v>0</v>
      </c>
      <c r="M359" t="n">
        <v>0</v>
      </c>
      <c r="N359" t="n">
        <v>0</v>
      </c>
      <c r="O359" t="n">
        <v>0</v>
      </c>
      <c r="P359" t="n">
        <v>0</v>
      </c>
      <c r="Q359" t="n">
        <v>0</v>
      </c>
      <c r="R359" s="2" t="inlineStr"/>
    </row>
    <row r="360" ht="15" customHeight="1">
      <c r="A360" t="inlineStr">
        <is>
          <t>A 8750-2021</t>
        </is>
      </c>
      <c r="B360" s="1" t="n">
        <v>44246</v>
      </c>
      <c r="C360" s="1" t="n">
        <v>45578</v>
      </c>
      <c r="D360" t="inlineStr">
        <is>
          <t>VÄSTERBOTTENS LÄN</t>
        </is>
      </c>
      <c r="E360" t="inlineStr">
        <is>
          <t>VILHELMINA</t>
        </is>
      </c>
      <c r="G360" t="n">
        <v>5.2</v>
      </c>
      <c r="H360" t="n">
        <v>0</v>
      </c>
      <c r="I360" t="n">
        <v>0</v>
      </c>
      <c r="J360" t="n">
        <v>0</v>
      </c>
      <c r="K360" t="n">
        <v>0</v>
      </c>
      <c r="L360" t="n">
        <v>0</v>
      </c>
      <c r="M360" t="n">
        <v>0</v>
      </c>
      <c r="N360" t="n">
        <v>0</v>
      </c>
      <c r="O360" t="n">
        <v>0</v>
      </c>
      <c r="P360" t="n">
        <v>0</v>
      </c>
      <c r="Q360" t="n">
        <v>0</v>
      </c>
      <c r="R360" s="2" t="inlineStr"/>
    </row>
    <row r="361" ht="15" customHeight="1">
      <c r="A361" t="inlineStr">
        <is>
          <t>A 10075-2021</t>
        </is>
      </c>
      <c r="B361" s="1" t="n">
        <v>44253</v>
      </c>
      <c r="C361" s="1" t="n">
        <v>45578</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9916-2021</t>
        </is>
      </c>
      <c r="B362" s="1" t="n">
        <v>44253</v>
      </c>
      <c r="C362" s="1" t="n">
        <v>45578</v>
      </c>
      <c r="D362" t="inlineStr">
        <is>
          <t>VÄSTERBOTTENS LÄN</t>
        </is>
      </c>
      <c r="E362" t="inlineStr">
        <is>
          <t>VILHELMINA</t>
        </is>
      </c>
      <c r="G362" t="n">
        <v>1</v>
      </c>
      <c r="H362" t="n">
        <v>0</v>
      </c>
      <c r="I362" t="n">
        <v>0</v>
      </c>
      <c r="J362" t="n">
        <v>0</v>
      </c>
      <c r="K362" t="n">
        <v>0</v>
      </c>
      <c r="L362" t="n">
        <v>0</v>
      </c>
      <c r="M362" t="n">
        <v>0</v>
      </c>
      <c r="N362" t="n">
        <v>0</v>
      </c>
      <c r="O362" t="n">
        <v>0</v>
      </c>
      <c r="P362" t="n">
        <v>0</v>
      </c>
      <c r="Q362" t="n">
        <v>0</v>
      </c>
      <c r="R362" s="2" t="inlineStr"/>
    </row>
    <row r="363" ht="15" customHeight="1">
      <c r="A363" t="inlineStr">
        <is>
          <t>A 18802-2021</t>
        </is>
      </c>
      <c r="B363" s="1" t="n">
        <v>44307</v>
      </c>
      <c r="C363" s="1" t="n">
        <v>45578</v>
      </c>
      <c r="D363" t="inlineStr">
        <is>
          <t>VÄSTERBOTTENS LÄN</t>
        </is>
      </c>
      <c r="E363" t="inlineStr">
        <is>
          <t>VILHELMINA</t>
        </is>
      </c>
      <c r="G363" t="n">
        <v>1.2</v>
      </c>
      <c r="H363" t="n">
        <v>0</v>
      </c>
      <c r="I363" t="n">
        <v>0</v>
      </c>
      <c r="J363" t="n">
        <v>0</v>
      </c>
      <c r="K363" t="n">
        <v>0</v>
      </c>
      <c r="L363" t="n">
        <v>0</v>
      </c>
      <c r="M363" t="n">
        <v>0</v>
      </c>
      <c r="N363" t="n">
        <v>0</v>
      </c>
      <c r="O363" t="n">
        <v>0</v>
      </c>
      <c r="P363" t="n">
        <v>0</v>
      </c>
      <c r="Q363" t="n">
        <v>0</v>
      </c>
      <c r="R363" s="2" t="inlineStr"/>
    </row>
    <row r="364" ht="15" customHeight="1">
      <c r="A364" t="inlineStr">
        <is>
          <t>A 18781-2021</t>
        </is>
      </c>
      <c r="B364" s="1" t="n">
        <v>44307</v>
      </c>
      <c r="C364" s="1" t="n">
        <v>45578</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18971-2021</t>
        </is>
      </c>
      <c r="B365" s="1" t="n">
        <v>44307</v>
      </c>
      <c r="C365" s="1" t="n">
        <v>45578</v>
      </c>
      <c r="D365" t="inlineStr">
        <is>
          <t>VÄSTERBOTTENS LÄN</t>
        </is>
      </c>
      <c r="E365" t="inlineStr">
        <is>
          <t>VILHELMINA</t>
        </is>
      </c>
      <c r="G365" t="n">
        <v>2</v>
      </c>
      <c r="H365" t="n">
        <v>0</v>
      </c>
      <c r="I365" t="n">
        <v>0</v>
      </c>
      <c r="J365" t="n">
        <v>0</v>
      </c>
      <c r="K365" t="n">
        <v>0</v>
      </c>
      <c r="L365" t="n">
        <v>0</v>
      </c>
      <c r="M365" t="n">
        <v>0</v>
      </c>
      <c r="N365" t="n">
        <v>0</v>
      </c>
      <c r="O365" t="n">
        <v>0</v>
      </c>
      <c r="P365" t="n">
        <v>0</v>
      </c>
      <c r="Q365" t="n">
        <v>0</v>
      </c>
      <c r="R365" s="2" t="inlineStr"/>
    </row>
    <row r="366" ht="15" customHeight="1">
      <c r="A366" t="inlineStr">
        <is>
          <t>A 18790-2021</t>
        </is>
      </c>
      <c r="B366" s="1" t="n">
        <v>44307</v>
      </c>
      <c r="C366" s="1" t="n">
        <v>45578</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18950-2021</t>
        </is>
      </c>
      <c r="B367" s="1" t="n">
        <v>44307</v>
      </c>
      <c r="C367" s="1" t="n">
        <v>45578</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20568-2021</t>
        </is>
      </c>
      <c r="B368" s="1" t="n">
        <v>44316</v>
      </c>
      <c r="C368" s="1" t="n">
        <v>45578</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20653-2021</t>
        </is>
      </c>
      <c r="B369" s="1" t="n">
        <v>44316</v>
      </c>
      <c r="C369" s="1" t="n">
        <v>45578</v>
      </c>
      <c r="D369" t="inlineStr">
        <is>
          <t>VÄSTERBOTTENS LÄN</t>
        </is>
      </c>
      <c r="E369" t="inlineStr">
        <is>
          <t>VILHELMINA</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21726-2021</t>
        </is>
      </c>
      <c r="B370" s="1" t="n">
        <v>44322</v>
      </c>
      <c r="C370" s="1" t="n">
        <v>45578</v>
      </c>
      <c r="D370" t="inlineStr">
        <is>
          <t>VÄSTERBOTTENS LÄN</t>
        </is>
      </c>
      <c r="E370" t="inlineStr">
        <is>
          <t>VILHELMINA</t>
        </is>
      </c>
      <c r="G370" t="n">
        <v>19.6</v>
      </c>
      <c r="H370" t="n">
        <v>0</v>
      </c>
      <c r="I370" t="n">
        <v>0</v>
      </c>
      <c r="J370" t="n">
        <v>0</v>
      </c>
      <c r="K370" t="n">
        <v>0</v>
      </c>
      <c r="L370" t="n">
        <v>0</v>
      </c>
      <c r="M370" t="n">
        <v>0</v>
      </c>
      <c r="N370" t="n">
        <v>0</v>
      </c>
      <c r="O370" t="n">
        <v>0</v>
      </c>
      <c r="P370" t="n">
        <v>0</v>
      </c>
      <c r="Q370" t="n">
        <v>0</v>
      </c>
      <c r="R370" s="2" t="inlineStr"/>
    </row>
    <row r="371" ht="15" customHeight="1">
      <c r="A371" t="inlineStr">
        <is>
          <t>A 23278-2021</t>
        </is>
      </c>
      <c r="B371" s="1" t="n">
        <v>44328</v>
      </c>
      <c r="C371" s="1" t="n">
        <v>45578</v>
      </c>
      <c r="D371" t="inlineStr">
        <is>
          <t>VÄSTERBOTTENS LÄN</t>
        </is>
      </c>
      <c r="E371" t="inlineStr">
        <is>
          <t>VILHELMINA</t>
        </is>
      </c>
      <c r="F371" t="inlineStr">
        <is>
          <t>Allmännings- och besparingsskogar</t>
        </is>
      </c>
      <c r="G371" t="n">
        <v>13.6</v>
      </c>
      <c r="H371" t="n">
        <v>0</v>
      </c>
      <c r="I371" t="n">
        <v>0</v>
      </c>
      <c r="J371" t="n">
        <v>0</v>
      </c>
      <c r="K371" t="n">
        <v>0</v>
      </c>
      <c r="L371" t="n">
        <v>0</v>
      </c>
      <c r="M371" t="n">
        <v>0</v>
      </c>
      <c r="N371" t="n">
        <v>0</v>
      </c>
      <c r="O371" t="n">
        <v>0</v>
      </c>
      <c r="P371" t="n">
        <v>0</v>
      </c>
      <c r="Q371" t="n">
        <v>0</v>
      </c>
      <c r="R371" s="2" t="inlineStr"/>
    </row>
    <row r="372" ht="15" customHeight="1">
      <c r="A372" t="inlineStr">
        <is>
          <t>A 23270-2021</t>
        </is>
      </c>
      <c r="B372" s="1" t="n">
        <v>44328</v>
      </c>
      <c r="C372" s="1" t="n">
        <v>45578</v>
      </c>
      <c r="D372" t="inlineStr">
        <is>
          <t>VÄSTERBOTTENS LÄN</t>
        </is>
      </c>
      <c r="E372" t="inlineStr">
        <is>
          <t>VILHELMINA</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45578</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24983-2021</t>
        </is>
      </c>
      <c r="B374" s="1" t="n">
        <v>44341</v>
      </c>
      <c r="C374" s="1" t="n">
        <v>45578</v>
      </c>
      <c r="D374" t="inlineStr">
        <is>
          <t>VÄSTERBOTTENS LÄN</t>
        </is>
      </c>
      <c r="E374" t="inlineStr">
        <is>
          <t>VILHELMINA</t>
        </is>
      </c>
      <c r="G374" t="n">
        <v>12.9</v>
      </c>
      <c r="H374" t="n">
        <v>0</v>
      </c>
      <c r="I374" t="n">
        <v>0</v>
      </c>
      <c r="J374" t="n">
        <v>0</v>
      </c>
      <c r="K374" t="n">
        <v>0</v>
      </c>
      <c r="L374" t="n">
        <v>0</v>
      </c>
      <c r="M374" t="n">
        <v>0</v>
      </c>
      <c r="N374" t="n">
        <v>0</v>
      </c>
      <c r="O374" t="n">
        <v>0</v>
      </c>
      <c r="P374" t="n">
        <v>0</v>
      </c>
      <c r="Q374" t="n">
        <v>0</v>
      </c>
      <c r="R374" s="2" t="inlineStr"/>
    </row>
    <row r="375" ht="15" customHeight="1">
      <c r="A375" t="inlineStr">
        <is>
          <t>A 24599-2021</t>
        </is>
      </c>
      <c r="B375" s="1" t="n">
        <v>44341</v>
      </c>
      <c r="C375" s="1" t="n">
        <v>45578</v>
      </c>
      <c r="D375" t="inlineStr">
        <is>
          <t>VÄSTERBOTTENS LÄN</t>
        </is>
      </c>
      <c r="E375" t="inlineStr">
        <is>
          <t>VILHELMINA</t>
        </is>
      </c>
      <c r="G375" t="n">
        <v>14.5</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45578</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26483-2021</t>
        </is>
      </c>
      <c r="B377" s="1" t="n">
        <v>44347</v>
      </c>
      <c r="C377" s="1" t="n">
        <v>45578</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28269-2021</t>
        </is>
      </c>
      <c r="B378" s="1" t="n">
        <v>44356</v>
      </c>
      <c r="C378" s="1" t="n">
        <v>45578</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28272-2021</t>
        </is>
      </c>
      <c r="B379" s="1" t="n">
        <v>44356</v>
      </c>
      <c r="C379" s="1" t="n">
        <v>45578</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28895-2021</t>
        </is>
      </c>
      <c r="B380" s="1" t="n">
        <v>44357</v>
      </c>
      <c r="C380" s="1" t="n">
        <v>45578</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29347-2021</t>
        </is>
      </c>
      <c r="B381" s="1" t="n">
        <v>44361</v>
      </c>
      <c r="C381" s="1" t="n">
        <v>45578</v>
      </c>
      <c r="D381" t="inlineStr">
        <is>
          <t>VÄSTERBOTTENS LÄN</t>
        </is>
      </c>
      <c r="E381" t="inlineStr">
        <is>
          <t>VILHELMINA</t>
        </is>
      </c>
      <c r="F381" t="inlineStr">
        <is>
          <t>Allmännings- och besparingsskogar</t>
        </is>
      </c>
      <c r="G381" t="n">
        <v>52</v>
      </c>
      <c r="H381" t="n">
        <v>0</v>
      </c>
      <c r="I381" t="n">
        <v>0</v>
      </c>
      <c r="J381" t="n">
        <v>0</v>
      </c>
      <c r="K381" t="n">
        <v>0</v>
      </c>
      <c r="L381" t="n">
        <v>0</v>
      </c>
      <c r="M381" t="n">
        <v>0</v>
      </c>
      <c r="N381" t="n">
        <v>0</v>
      </c>
      <c r="O381" t="n">
        <v>0</v>
      </c>
      <c r="P381" t="n">
        <v>0</v>
      </c>
      <c r="Q381" t="n">
        <v>0</v>
      </c>
      <c r="R381" s="2" t="inlineStr"/>
    </row>
    <row r="382" ht="15" customHeight="1">
      <c r="A382" t="inlineStr">
        <is>
          <t>A 29332-2021</t>
        </is>
      </c>
      <c r="B382" s="1" t="n">
        <v>44361</v>
      </c>
      <c r="C382" s="1" t="n">
        <v>45578</v>
      </c>
      <c r="D382" t="inlineStr">
        <is>
          <t>VÄSTERBOTTENS LÄN</t>
        </is>
      </c>
      <c r="E382" t="inlineStr">
        <is>
          <t>VILHELMINA</t>
        </is>
      </c>
      <c r="F382" t="inlineStr">
        <is>
          <t>Allmännings- och besparingsskogar</t>
        </is>
      </c>
      <c r="G382" t="n">
        <v>51.8</v>
      </c>
      <c r="H382" t="n">
        <v>0</v>
      </c>
      <c r="I382" t="n">
        <v>0</v>
      </c>
      <c r="J382" t="n">
        <v>0</v>
      </c>
      <c r="K382" t="n">
        <v>0</v>
      </c>
      <c r="L382" t="n">
        <v>0</v>
      </c>
      <c r="M382" t="n">
        <v>0</v>
      </c>
      <c r="N382" t="n">
        <v>0</v>
      </c>
      <c r="O382" t="n">
        <v>0</v>
      </c>
      <c r="P382" t="n">
        <v>0</v>
      </c>
      <c r="Q382" t="n">
        <v>0</v>
      </c>
      <c r="R382" s="2" t="inlineStr"/>
    </row>
    <row r="383" ht="15" customHeight="1">
      <c r="A383" t="inlineStr">
        <is>
          <t>A 31722-2021</t>
        </is>
      </c>
      <c r="B383" s="1" t="n">
        <v>44370</v>
      </c>
      <c r="C383" s="1" t="n">
        <v>45578</v>
      </c>
      <c r="D383" t="inlineStr">
        <is>
          <t>VÄSTERBOTTENS LÄN</t>
        </is>
      </c>
      <c r="E383" t="inlineStr">
        <is>
          <t>VILHELMINA</t>
        </is>
      </c>
      <c r="G383" t="n">
        <v>2.8</v>
      </c>
      <c r="H383" t="n">
        <v>0</v>
      </c>
      <c r="I383" t="n">
        <v>0</v>
      </c>
      <c r="J383" t="n">
        <v>0</v>
      </c>
      <c r="K383" t="n">
        <v>0</v>
      </c>
      <c r="L383" t="n">
        <v>0</v>
      </c>
      <c r="M383" t="n">
        <v>0</v>
      </c>
      <c r="N383" t="n">
        <v>0</v>
      </c>
      <c r="O383" t="n">
        <v>0</v>
      </c>
      <c r="P383" t="n">
        <v>0</v>
      </c>
      <c r="Q383" t="n">
        <v>0</v>
      </c>
      <c r="R383" s="2" t="inlineStr"/>
    </row>
    <row r="384" ht="15" customHeight="1">
      <c r="A384" t="inlineStr">
        <is>
          <t>A 32665-2021</t>
        </is>
      </c>
      <c r="B384" s="1" t="n">
        <v>44371</v>
      </c>
      <c r="C384" s="1" t="n">
        <v>45578</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32672-2021</t>
        </is>
      </c>
      <c r="B385" s="1" t="n">
        <v>44371</v>
      </c>
      <c r="C385" s="1" t="n">
        <v>45578</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32658-2021</t>
        </is>
      </c>
      <c r="B386" s="1" t="n">
        <v>44371</v>
      </c>
      <c r="C386" s="1" t="n">
        <v>45578</v>
      </c>
      <c r="D386" t="inlineStr">
        <is>
          <t>VÄSTERBOTTENS LÄN</t>
        </is>
      </c>
      <c r="E386" t="inlineStr">
        <is>
          <t>VILHELMINA</t>
        </is>
      </c>
      <c r="G386" t="n">
        <v>2.2</v>
      </c>
      <c r="H386" t="n">
        <v>0</v>
      </c>
      <c r="I386" t="n">
        <v>0</v>
      </c>
      <c r="J386" t="n">
        <v>0</v>
      </c>
      <c r="K386" t="n">
        <v>0</v>
      </c>
      <c r="L386" t="n">
        <v>0</v>
      </c>
      <c r="M386" t="n">
        <v>0</v>
      </c>
      <c r="N386" t="n">
        <v>0</v>
      </c>
      <c r="O386" t="n">
        <v>0</v>
      </c>
      <c r="P386" t="n">
        <v>0</v>
      </c>
      <c r="Q386" t="n">
        <v>0</v>
      </c>
      <c r="R386" s="2" t="inlineStr"/>
    </row>
    <row r="387" ht="15" customHeight="1">
      <c r="A387" t="inlineStr">
        <is>
          <t>A 32655-2021</t>
        </is>
      </c>
      <c r="B387" s="1" t="n">
        <v>44371</v>
      </c>
      <c r="C387" s="1" t="n">
        <v>45578</v>
      </c>
      <c r="D387" t="inlineStr">
        <is>
          <t>VÄSTERBOTTENS LÄN</t>
        </is>
      </c>
      <c r="E387" t="inlineStr">
        <is>
          <t>VILHELMINA</t>
        </is>
      </c>
      <c r="G387" t="n">
        <v>0.2</v>
      </c>
      <c r="H387" t="n">
        <v>0</v>
      </c>
      <c r="I387" t="n">
        <v>0</v>
      </c>
      <c r="J387" t="n">
        <v>0</v>
      </c>
      <c r="K387" t="n">
        <v>0</v>
      </c>
      <c r="L387" t="n">
        <v>0</v>
      </c>
      <c r="M387" t="n">
        <v>0</v>
      </c>
      <c r="N387" t="n">
        <v>0</v>
      </c>
      <c r="O387" t="n">
        <v>0</v>
      </c>
      <c r="P387" t="n">
        <v>0</v>
      </c>
      <c r="Q387" t="n">
        <v>0</v>
      </c>
      <c r="R387" s="2" t="inlineStr"/>
    </row>
    <row r="388" ht="15" customHeight="1">
      <c r="A388" t="inlineStr">
        <is>
          <t>A 31656-2021</t>
        </is>
      </c>
      <c r="B388" s="1" t="n">
        <v>44377</v>
      </c>
      <c r="C388" s="1" t="n">
        <v>45578</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33636-2021</t>
        </is>
      </c>
      <c r="B389" s="1" t="n">
        <v>44378</v>
      </c>
      <c r="C389" s="1" t="n">
        <v>45578</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34394-2021</t>
        </is>
      </c>
      <c r="B390" s="1" t="n">
        <v>44379</v>
      </c>
      <c r="C390" s="1" t="n">
        <v>45578</v>
      </c>
      <c r="D390" t="inlineStr">
        <is>
          <t>VÄSTERBOTTENS LÄN</t>
        </is>
      </c>
      <c r="E390" t="inlineStr">
        <is>
          <t>VILHELMINA</t>
        </is>
      </c>
      <c r="F390" t="inlineStr">
        <is>
          <t>SCA</t>
        </is>
      </c>
      <c r="G390" t="n">
        <v>11.7</v>
      </c>
      <c r="H390" t="n">
        <v>0</v>
      </c>
      <c r="I390" t="n">
        <v>0</v>
      </c>
      <c r="J390" t="n">
        <v>0</v>
      </c>
      <c r="K390" t="n">
        <v>0</v>
      </c>
      <c r="L390" t="n">
        <v>0</v>
      </c>
      <c r="M390" t="n">
        <v>0</v>
      </c>
      <c r="N390" t="n">
        <v>0</v>
      </c>
      <c r="O390" t="n">
        <v>0</v>
      </c>
      <c r="P390" t="n">
        <v>0</v>
      </c>
      <c r="Q390" t="n">
        <v>0</v>
      </c>
      <c r="R390" s="2" t="inlineStr"/>
    </row>
    <row r="391" ht="15" customHeight="1">
      <c r="A391" t="inlineStr">
        <is>
          <t>A 34808-2021</t>
        </is>
      </c>
      <c r="B391" s="1" t="n">
        <v>44382</v>
      </c>
      <c r="C391" s="1" t="n">
        <v>45578</v>
      </c>
      <c r="D391" t="inlineStr">
        <is>
          <t>VÄSTERBOTTENS LÄN</t>
        </is>
      </c>
      <c r="E391" t="inlineStr">
        <is>
          <t>VILHELMINA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35876-2021</t>
        </is>
      </c>
      <c r="B392" s="1" t="n">
        <v>44386</v>
      </c>
      <c r="C392" s="1" t="n">
        <v>45578</v>
      </c>
      <c r="D392" t="inlineStr">
        <is>
          <t>VÄSTERBOTTENS LÄN</t>
        </is>
      </c>
      <c r="E392" t="inlineStr">
        <is>
          <t>VILHELMINA</t>
        </is>
      </c>
      <c r="F392" t="inlineStr">
        <is>
          <t>SCA</t>
        </is>
      </c>
      <c r="G392" t="n">
        <v>6.5</v>
      </c>
      <c r="H392" t="n">
        <v>0</v>
      </c>
      <c r="I392" t="n">
        <v>0</v>
      </c>
      <c r="J392" t="n">
        <v>0</v>
      </c>
      <c r="K392" t="n">
        <v>0</v>
      </c>
      <c r="L392" t="n">
        <v>0</v>
      </c>
      <c r="M392" t="n">
        <v>0</v>
      </c>
      <c r="N392" t="n">
        <v>0</v>
      </c>
      <c r="O392" t="n">
        <v>0</v>
      </c>
      <c r="P392" t="n">
        <v>0</v>
      </c>
      <c r="Q392" t="n">
        <v>0</v>
      </c>
      <c r="R392" s="2" t="inlineStr"/>
    </row>
    <row r="393" ht="15" customHeight="1">
      <c r="A393" t="inlineStr">
        <is>
          <t>A 36139-2021</t>
        </is>
      </c>
      <c r="B393" s="1" t="n">
        <v>44389</v>
      </c>
      <c r="C393" s="1" t="n">
        <v>45578</v>
      </c>
      <c r="D393" t="inlineStr">
        <is>
          <t>VÄSTERBOTTENS LÄN</t>
        </is>
      </c>
      <c r="E393" t="inlineStr">
        <is>
          <t>VILHELMINA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36142-2021</t>
        </is>
      </c>
      <c r="B394" s="1" t="n">
        <v>44389</v>
      </c>
      <c r="C394" s="1" t="n">
        <v>45578</v>
      </c>
      <c r="D394" t="inlineStr">
        <is>
          <t>VÄSTERBOTTENS LÄN</t>
        </is>
      </c>
      <c r="E394" t="inlineStr">
        <is>
          <t>VILHELMINA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36147-2021</t>
        </is>
      </c>
      <c r="B395" s="1" t="n">
        <v>44389</v>
      </c>
      <c r="C395" s="1" t="n">
        <v>45578</v>
      </c>
      <c r="D395" t="inlineStr">
        <is>
          <t>VÄSTERBOTTENS LÄN</t>
        </is>
      </c>
      <c r="E395" t="inlineStr">
        <is>
          <t>VILHELMINA</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36288-2021</t>
        </is>
      </c>
      <c r="B396" s="1" t="n">
        <v>44389</v>
      </c>
      <c r="C396" s="1" t="n">
        <v>45578</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45578</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38327-2021</t>
        </is>
      </c>
      <c r="B398" s="1" t="n">
        <v>44406</v>
      </c>
      <c r="C398" s="1" t="n">
        <v>45578</v>
      </c>
      <c r="D398" t="inlineStr">
        <is>
          <t>VÄSTERBOTTENS LÄN</t>
        </is>
      </c>
      <c r="E398" t="inlineStr">
        <is>
          <t>VILHELMINA</t>
        </is>
      </c>
      <c r="G398" t="n">
        <v>0.4</v>
      </c>
      <c r="H398" t="n">
        <v>0</v>
      </c>
      <c r="I398" t="n">
        <v>0</v>
      </c>
      <c r="J398" t="n">
        <v>0</v>
      </c>
      <c r="K398" t="n">
        <v>0</v>
      </c>
      <c r="L398" t="n">
        <v>0</v>
      </c>
      <c r="M398" t="n">
        <v>0</v>
      </c>
      <c r="N398" t="n">
        <v>0</v>
      </c>
      <c r="O398" t="n">
        <v>0</v>
      </c>
      <c r="P398" t="n">
        <v>0</v>
      </c>
      <c r="Q398" t="n">
        <v>0</v>
      </c>
      <c r="R398" s="2" t="inlineStr"/>
    </row>
    <row r="399" ht="15" customHeight="1">
      <c r="A399" t="inlineStr">
        <is>
          <t>A 39186-2021</t>
        </is>
      </c>
      <c r="B399" s="1" t="n">
        <v>44412</v>
      </c>
      <c r="C399" s="1" t="n">
        <v>45578</v>
      </c>
      <c r="D399" t="inlineStr">
        <is>
          <t>VÄSTERBOTTENS LÄN</t>
        </is>
      </c>
      <c r="E399" t="inlineStr">
        <is>
          <t>VILHELMINA</t>
        </is>
      </c>
      <c r="G399" t="n">
        <v>0.3</v>
      </c>
      <c r="H399" t="n">
        <v>0</v>
      </c>
      <c r="I399" t="n">
        <v>0</v>
      </c>
      <c r="J399" t="n">
        <v>0</v>
      </c>
      <c r="K399" t="n">
        <v>0</v>
      </c>
      <c r="L399" t="n">
        <v>0</v>
      </c>
      <c r="M399" t="n">
        <v>0</v>
      </c>
      <c r="N399" t="n">
        <v>0</v>
      </c>
      <c r="O399" t="n">
        <v>0</v>
      </c>
      <c r="P399" t="n">
        <v>0</v>
      </c>
      <c r="Q399" t="n">
        <v>0</v>
      </c>
      <c r="R399" s="2" t="inlineStr"/>
    </row>
    <row r="400" ht="15" customHeight="1">
      <c r="A400" t="inlineStr">
        <is>
          <t>A 40470-2021</t>
        </is>
      </c>
      <c r="B400" s="1" t="n">
        <v>44420</v>
      </c>
      <c r="C400" s="1" t="n">
        <v>45578</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40471-2021</t>
        </is>
      </c>
      <c r="B401" s="1" t="n">
        <v>44420</v>
      </c>
      <c r="C401" s="1" t="n">
        <v>45578</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40477-2021</t>
        </is>
      </c>
      <c r="B402" s="1" t="n">
        <v>44420</v>
      </c>
      <c r="C402" s="1" t="n">
        <v>45578</v>
      </c>
      <c r="D402" t="inlineStr">
        <is>
          <t>VÄSTERBOTTENS LÄN</t>
        </is>
      </c>
      <c r="E402" t="inlineStr">
        <is>
          <t>VILHELMINA</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40468-2021</t>
        </is>
      </c>
      <c r="B403" s="1" t="n">
        <v>44420</v>
      </c>
      <c r="C403" s="1" t="n">
        <v>45578</v>
      </c>
      <c r="D403" t="inlineStr">
        <is>
          <t>VÄSTERBOTTENS LÄN</t>
        </is>
      </c>
      <c r="E403" t="inlineStr">
        <is>
          <t>VILHELMINA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40476-2021</t>
        </is>
      </c>
      <c r="B404" s="1" t="n">
        <v>44420</v>
      </c>
      <c r="C404" s="1" t="n">
        <v>45578</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40469-2021</t>
        </is>
      </c>
      <c r="B405" s="1" t="n">
        <v>44420</v>
      </c>
      <c r="C405" s="1" t="n">
        <v>45578</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40474-2021</t>
        </is>
      </c>
      <c r="B406" s="1" t="n">
        <v>44420</v>
      </c>
      <c r="C406" s="1" t="n">
        <v>45578</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40472-2021</t>
        </is>
      </c>
      <c r="B407" s="1" t="n">
        <v>44419</v>
      </c>
      <c r="C407" s="1" t="n">
        <v>45578</v>
      </c>
      <c r="D407" t="inlineStr">
        <is>
          <t>VÄSTERBOTTENS LÄN</t>
        </is>
      </c>
      <c r="E407" t="inlineStr">
        <is>
          <t>VILHELMINA</t>
        </is>
      </c>
      <c r="F407" t="inlineStr">
        <is>
          <t>SCA</t>
        </is>
      </c>
      <c r="G407" t="n">
        <v>16.3</v>
      </c>
      <c r="H407" t="n">
        <v>0</v>
      </c>
      <c r="I407" t="n">
        <v>0</v>
      </c>
      <c r="J407" t="n">
        <v>0</v>
      </c>
      <c r="K407" t="n">
        <v>0</v>
      </c>
      <c r="L407" t="n">
        <v>0</v>
      </c>
      <c r="M407" t="n">
        <v>0</v>
      </c>
      <c r="N407" t="n">
        <v>0</v>
      </c>
      <c r="O407" t="n">
        <v>0</v>
      </c>
      <c r="P407" t="n">
        <v>0</v>
      </c>
      <c r="Q407" t="n">
        <v>0</v>
      </c>
      <c r="R407" s="2" t="inlineStr"/>
    </row>
    <row r="408" ht="15" customHeight="1">
      <c r="A408" t="inlineStr">
        <is>
          <t>A 42153-2021</t>
        </is>
      </c>
      <c r="B408" s="1" t="n">
        <v>44426</v>
      </c>
      <c r="C408" s="1" t="n">
        <v>45578</v>
      </c>
      <c r="D408" t="inlineStr">
        <is>
          <t>VÄSTERBOTTENS LÄN</t>
        </is>
      </c>
      <c r="E408" t="inlineStr">
        <is>
          <t>VILHELMINA</t>
        </is>
      </c>
      <c r="F408" t="inlineStr">
        <is>
          <t>Sveaskog</t>
        </is>
      </c>
      <c r="G408" t="n">
        <v>11.5</v>
      </c>
      <c r="H408" t="n">
        <v>0</v>
      </c>
      <c r="I408" t="n">
        <v>0</v>
      </c>
      <c r="J408" t="n">
        <v>0</v>
      </c>
      <c r="K408" t="n">
        <v>0</v>
      </c>
      <c r="L408" t="n">
        <v>0</v>
      </c>
      <c r="M408" t="n">
        <v>0</v>
      </c>
      <c r="N408" t="n">
        <v>0</v>
      </c>
      <c r="O408" t="n">
        <v>0</v>
      </c>
      <c r="P408" t="n">
        <v>0</v>
      </c>
      <c r="Q408" t="n">
        <v>0</v>
      </c>
      <c r="R408" s="2" t="inlineStr"/>
    </row>
    <row r="409" ht="15" customHeight="1">
      <c r="A409" t="inlineStr">
        <is>
          <t>A 43755-2021</t>
        </is>
      </c>
      <c r="B409" s="1" t="n">
        <v>44433</v>
      </c>
      <c r="C409" s="1" t="n">
        <v>45578</v>
      </c>
      <c r="D409" t="inlineStr">
        <is>
          <t>VÄSTERBOTTENS LÄN</t>
        </is>
      </c>
      <c r="E409" t="inlineStr">
        <is>
          <t>VILHELMINA</t>
        </is>
      </c>
      <c r="F409" t="inlineStr">
        <is>
          <t>Sveaskog</t>
        </is>
      </c>
      <c r="G409" t="n">
        <v>10.4</v>
      </c>
      <c r="H409" t="n">
        <v>0</v>
      </c>
      <c r="I409" t="n">
        <v>0</v>
      </c>
      <c r="J409" t="n">
        <v>0</v>
      </c>
      <c r="K409" t="n">
        <v>0</v>
      </c>
      <c r="L409" t="n">
        <v>0</v>
      </c>
      <c r="M409" t="n">
        <v>0</v>
      </c>
      <c r="N409" t="n">
        <v>0</v>
      </c>
      <c r="O409" t="n">
        <v>0</v>
      </c>
      <c r="P409" t="n">
        <v>0</v>
      </c>
      <c r="Q409" t="n">
        <v>0</v>
      </c>
      <c r="R409" s="2" t="inlineStr"/>
    </row>
    <row r="410" ht="15" customHeight="1">
      <c r="A410" t="inlineStr">
        <is>
          <t>A 44136-2021</t>
        </is>
      </c>
      <c r="B410" s="1" t="n">
        <v>44434</v>
      </c>
      <c r="C410" s="1" t="n">
        <v>45578</v>
      </c>
      <c r="D410" t="inlineStr">
        <is>
          <t>VÄSTERBOTTENS LÄN</t>
        </is>
      </c>
      <c r="E410" t="inlineStr">
        <is>
          <t>VILHELMINA</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44238-2021</t>
        </is>
      </c>
      <c r="B411" s="1" t="n">
        <v>44434</v>
      </c>
      <c r="C411" s="1" t="n">
        <v>45578</v>
      </c>
      <c r="D411" t="inlineStr">
        <is>
          <t>VÄSTERBOTTENS LÄN</t>
        </is>
      </c>
      <c r="E411" t="inlineStr">
        <is>
          <t>VILHELMINA</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44239-2021</t>
        </is>
      </c>
      <c r="B412" s="1" t="n">
        <v>44434</v>
      </c>
      <c r="C412" s="1" t="n">
        <v>45578</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44714-2021</t>
        </is>
      </c>
      <c r="B413" s="1" t="n">
        <v>44435</v>
      </c>
      <c r="C413" s="1" t="n">
        <v>45578</v>
      </c>
      <c r="D413" t="inlineStr">
        <is>
          <t>VÄSTERBOTTENS LÄN</t>
        </is>
      </c>
      <c r="E413" t="inlineStr">
        <is>
          <t>VILHELMINA</t>
        </is>
      </c>
      <c r="G413" t="n">
        <v>4.3</v>
      </c>
      <c r="H413" t="n">
        <v>0</v>
      </c>
      <c r="I413" t="n">
        <v>0</v>
      </c>
      <c r="J413" t="n">
        <v>0</v>
      </c>
      <c r="K413" t="n">
        <v>0</v>
      </c>
      <c r="L413" t="n">
        <v>0</v>
      </c>
      <c r="M413" t="n">
        <v>0</v>
      </c>
      <c r="N413" t="n">
        <v>0</v>
      </c>
      <c r="O413" t="n">
        <v>0</v>
      </c>
      <c r="P413" t="n">
        <v>0</v>
      </c>
      <c r="Q413" t="n">
        <v>0</v>
      </c>
      <c r="R413" s="2" t="inlineStr"/>
    </row>
    <row r="414" ht="15" customHeight="1">
      <c r="A414" t="inlineStr">
        <is>
          <t>A 46046-2021</t>
        </is>
      </c>
      <c r="B414" s="1" t="n">
        <v>44442</v>
      </c>
      <c r="C414" s="1" t="n">
        <v>45578</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46045-2021</t>
        </is>
      </c>
      <c r="B415" s="1" t="n">
        <v>44442</v>
      </c>
      <c r="C415" s="1" t="n">
        <v>45578</v>
      </c>
      <c r="D415" t="inlineStr">
        <is>
          <t>VÄSTERBOTTENS LÄN</t>
        </is>
      </c>
      <c r="E415" t="inlineStr">
        <is>
          <t>VILHELMINA</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46372-2021</t>
        </is>
      </c>
      <c r="B416" s="1" t="n">
        <v>44443</v>
      </c>
      <c r="C416" s="1" t="n">
        <v>45578</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46375-2021</t>
        </is>
      </c>
      <c r="B417" s="1" t="n">
        <v>44442</v>
      </c>
      <c r="C417" s="1" t="n">
        <v>45578</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47151-2021</t>
        </is>
      </c>
      <c r="B418" s="1" t="n">
        <v>44447</v>
      </c>
      <c r="C418" s="1" t="n">
        <v>45578</v>
      </c>
      <c r="D418" t="inlineStr">
        <is>
          <t>VÄSTERBOTTENS LÄN</t>
        </is>
      </c>
      <c r="E418" t="inlineStr">
        <is>
          <t>VILHELMINA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48754-2021</t>
        </is>
      </c>
      <c r="B419" s="1" t="n">
        <v>44452</v>
      </c>
      <c r="C419" s="1" t="n">
        <v>45578</v>
      </c>
      <c r="D419" t="inlineStr">
        <is>
          <t>VÄSTERBOTTENS LÄN</t>
        </is>
      </c>
      <c r="E419" t="inlineStr">
        <is>
          <t>VILHELMINA</t>
        </is>
      </c>
      <c r="G419" t="n">
        <v>5.6</v>
      </c>
      <c r="H419" t="n">
        <v>0</v>
      </c>
      <c r="I419" t="n">
        <v>0</v>
      </c>
      <c r="J419" t="n">
        <v>0</v>
      </c>
      <c r="K419" t="n">
        <v>0</v>
      </c>
      <c r="L419" t="n">
        <v>0</v>
      </c>
      <c r="M419" t="n">
        <v>0</v>
      </c>
      <c r="N419" t="n">
        <v>0</v>
      </c>
      <c r="O419" t="n">
        <v>0</v>
      </c>
      <c r="P419" t="n">
        <v>0</v>
      </c>
      <c r="Q419" t="n">
        <v>0</v>
      </c>
      <c r="R419" s="2" t="inlineStr"/>
    </row>
    <row r="420" ht="15" customHeight="1">
      <c r="A420" t="inlineStr">
        <is>
          <t>A 48600-2021</t>
        </is>
      </c>
      <c r="B420" s="1" t="n">
        <v>44452</v>
      </c>
      <c r="C420" s="1" t="n">
        <v>45578</v>
      </c>
      <c r="D420" t="inlineStr">
        <is>
          <t>VÄSTERBOTTENS LÄN</t>
        </is>
      </c>
      <c r="E420" t="inlineStr">
        <is>
          <t>VILHELMINA</t>
        </is>
      </c>
      <c r="F420" t="inlineStr">
        <is>
          <t>Allmännings- och besparingsskogar</t>
        </is>
      </c>
      <c r="G420" t="n">
        <v>48.6</v>
      </c>
      <c r="H420" t="n">
        <v>0</v>
      </c>
      <c r="I420" t="n">
        <v>0</v>
      </c>
      <c r="J420" t="n">
        <v>0</v>
      </c>
      <c r="K420" t="n">
        <v>0</v>
      </c>
      <c r="L420" t="n">
        <v>0</v>
      </c>
      <c r="M420" t="n">
        <v>0</v>
      </c>
      <c r="N420" t="n">
        <v>0</v>
      </c>
      <c r="O420" t="n">
        <v>0</v>
      </c>
      <c r="P420" t="n">
        <v>0</v>
      </c>
      <c r="Q420" t="n">
        <v>0</v>
      </c>
      <c r="R420" s="2" t="inlineStr"/>
    </row>
    <row r="421" ht="15" customHeight="1">
      <c r="A421" t="inlineStr">
        <is>
          <t>A 48756-2021</t>
        </is>
      </c>
      <c r="B421" s="1" t="n">
        <v>44452</v>
      </c>
      <c r="C421" s="1" t="n">
        <v>45578</v>
      </c>
      <c r="D421" t="inlineStr">
        <is>
          <t>VÄSTERBOTTENS LÄN</t>
        </is>
      </c>
      <c r="E421" t="inlineStr">
        <is>
          <t>VILHELMINA</t>
        </is>
      </c>
      <c r="G421" t="n">
        <v>13.3</v>
      </c>
      <c r="H421" t="n">
        <v>0</v>
      </c>
      <c r="I421" t="n">
        <v>0</v>
      </c>
      <c r="J421" t="n">
        <v>0</v>
      </c>
      <c r="K421" t="n">
        <v>0</v>
      </c>
      <c r="L421" t="n">
        <v>0</v>
      </c>
      <c r="M421" t="n">
        <v>0</v>
      </c>
      <c r="N421" t="n">
        <v>0</v>
      </c>
      <c r="O421" t="n">
        <v>0</v>
      </c>
      <c r="P421" t="n">
        <v>0</v>
      </c>
      <c r="Q421" t="n">
        <v>0</v>
      </c>
      <c r="R421" s="2" t="inlineStr"/>
    </row>
    <row r="422" ht="15" customHeight="1">
      <c r="A422" t="inlineStr">
        <is>
          <t>A 48783-2021</t>
        </is>
      </c>
      <c r="B422" s="1" t="n">
        <v>44452</v>
      </c>
      <c r="C422" s="1" t="n">
        <v>45578</v>
      </c>
      <c r="D422" t="inlineStr">
        <is>
          <t>VÄSTERBOTTENS LÄN</t>
        </is>
      </c>
      <c r="E422" t="inlineStr">
        <is>
          <t>VILHELMINA</t>
        </is>
      </c>
      <c r="F422" t="inlineStr">
        <is>
          <t>Allmännings- och besparingsskogar</t>
        </is>
      </c>
      <c r="G422" t="n">
        <v>9.5</v>
      </c>
      <c r="H422" t="n">
        <v>0</v>
      </c>
      <c r="I422" t="n">
        <v>0</v>
      </c>
      <c r="J422" t="n">
        <v>0</v>
      </c>
      <c r="K422" t="n">
        <v>0</v>
      </c>
      <c r="L422" t="n">
        <v>0</v>
      </c>
      <c r="M422" t="n">
        <v>0</v>
      </c>
      <c r="N422" t="n">
        <v>0</v>
      </c>
      <c r="O422" t="n">
        <v>0</v>
      </c>
      <c r="P422" t="n">
        <v>0</v>
      </c>
      <c r="Q422" t="n">
        <v>0</v>
      </c>
      <c r="R422" s="2" t="inlineStr"/>
    </row>
    <row r="423" ht="15" customHeight="1">
      <c r="A423" t="inlineStr">
        <is>
          <t>A 48574-2021</t>
        </is>
      </c>
      <c r="B423" s="1" t="n">
        <v>44452</v>
      </c>
      <c r="C423" s="1" t="n">
        <v>45578</v>
      </c>
      <c r="D423" t="inlineStr">
        <is>
          <t>VÄSTERBOTTENS LÄN</t>
        </is>
      </c>
      <c r="E423" t="inlineStr">
        <is>
          <t>VILHELMINA</t>
        </is>
      </c>
      <c r="F423" t="inlineStr">
        <is>
          <t>Allmännings- och besparingsskogar</t>
        </is>
      </c>
      <c r="G423" t="n">
        <v>85.09999999999999</v>
      </c>
      <c r="H423" t="n">
        <v>0</v>
      </c>
      <c r="I423" t="n">
        <v>0</v>
      </c>
      <c r="J423" t="n">
        <v>0</v>
      </c>
      <c r="K423" t="n">
        <v>0</v>
      </c>
      <c r="L423" t="n">
        <v>0</v>
      </c>
      <c r="M423" t="n">
        <v>0</v>
      </c>
      <c r="N423" t="n">
        <v>0</v>
      </c>
      <c r="O423" t="n">
        <v>0</v>
      </c>
      <c r="P423" t="n">
        <v>0</v>
      </c>
      <c r="Q423" t="n">
        <v>0</v>
      </c>
      <c r="R423" s="2" t="inlineStr"/>
    </row>
    <row r="424" ht="15" customHeight="1">
      <c r="A424" t="inlineStr">
        <is>
          <t>A 49063-2021</t>
        </is>
      </c>
      <c r="B424" s="1" t="n">
        <v>44453</v>
      </c>
      <c r="C424" s="1" t="n">
        <v>45578</v>
      </c>
      <c r="D424" t="inlineStr">
        <is>
          <t>VÄSTERBOTTENS LÄN</t>
        </is>
      </c>
      <c r="E424" t="inlineStr">
        <is>
          <t>VILHELMINA</t>
        </is>
      </c>
      <c r="F424" t="inlineStr">
        <is>
          <t>Övriga statliga verk och myndigheter</t>
        </is>
      </c>
      <c r="G424" t="n">
        <v>42.7</v>
      </c>
      <c r="H424" t="n">
        <v>0</v>
      </c>
      <c r="I424" t="n">
        <v>0</v>
      </c>
      <c r="J424" t="n">
        <v>0</v>
      </c>
      <c r="K424" t="n">
        <v>0</v>
      </c>
      <c r="L424" t="n">
        <v>0</v>
      </c>
      <c r="M424" t="n">
        <v>0</v>
      </c>
      <c r="N424" t="n">
        <v>0</v>
      </c>
      <c r="O424" t="n">
        <v>0</v>
      </c>
      <c r="P424" t="n">
        <v>0</v>
      </c>
      <c r="Q424" t="n">
        <v>0</v>
      </c>
      <c r="R424" s="2" t="inlineStr"/>
    </row>
    <row r="425" ht="15" customHeight="1">
      <c r="A425" t="inlineStr">
        <is>
          <t>A 50635-2021</t>
        </is>
      </c>
      <c r="B425" s="1" t="n">
        <v>44459</v>
      </c>
      <c r="C425" s="1" t="n">
        <v>45578</v>
      </c>
      <c r="D425" t="inlineStr">
        <is>
          <t>VÄSTERBOTTENS LÄN</t>
        </is>
      </c>
      <c r="E425" t="inlineStr">
        <is>
          <t>VILHELMINA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51016-2021</t>
        </is>
      </c>
      <c r="B426" s="1" t="n">
        <v>44461</v>
      </c>
      <c r="C426" s="1" t="n">
        <v>45578</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51018-2021</t>
        </is>
      </c>
      <c r="B427" s="1" t="n">
        <v>44461</v>
      </c>
      <c r="C427" s="1" t="n">
        <v>45578</v>
      </c>
      <c r="D427" t="inlineStr">
        <is>
          <t>VÄSTERBOTTENS LÄN</t>
        </is>
      </c>
      <c r="E427" t="inlineStr">
        <is>
          <t>VILHELMINA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51935-2021</t>
        </is>
      </c>
      <c r="B428" s="1" t="n">
        <v>44462</v>
      </c>
      <c r="C428" s="1" t="n">
        <v>45578</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51933-2021</t>
        </is>
      </c>
      <c r="B429" s="1" t="n">
        <v>44463</v>
      </c>
      <c r="C429" s="1" t="n">
        <v>45578</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53958-2021</t>
        </is>
      </c>
      <c r="B430" s="1" t="n">
        <v>44469</v>
      </c>
      <c r="C430" s="1" t="n">
        <v>45578</v>
      </c>
      <c r="D430" t="inlineStr">
        <is>
          <t>VÄSTERBOTTENS LÄN</t>
        </is>
      </c>
      <c r="E430" t="inlineStr">
        <is>
          <t>VILHELMINA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v>
      </c>
      <c r="C431" s="1" t="n">
        <v>45578</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54765-2021</t>
        </is>
      </c>
      <c r="B432" s="1" t="n">
        <v>44473</v>
      </c>
      <c r="C432" s="1" t="n">
        <v>45578</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55929-2021</t>
        </is>
      </c>
      <c r="B433" s="1" t="n">
        <v>44476</v>
      </c>
      <c r="C433" s="1" t="n">
        <v>45578</v>
      </c>
      <c r="D433" t="inlineStr">
        <is>
          <t>VÄSTERBOTTENS LÄN</t>
        </is>
      </c>
      <c r="E433" t="inlineStr">
        <is>
          <t>VILHELMINA</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55931-2021</t>
        </is>
      </c>
      <c r="B434" s="1" t="n">
        <v>44476</v>
      </c>
      <c r="C434" s="1" t="n">
        <v>45578</v>
      </c>
      <c r="D434" t="inlineStr">
        <is>
          <t>VÄSTERBOTTENS LÄN</t>
        </is>
      </c>
      <c r="E434" t="inlineStr">
        <is>
          <t>VILHELMINA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56947-2021</t>
        </is>
      </c>
      <c r="B435" s="1" t="n">
        <v>44481</v>
      </c>
      <c r="C435" s="1" t="n">
        <v>45578</v>
      </c>
      <c r="D435" t="inlineStr">
        <is>
          <t>VÄSTERBOTTENS LÄN</t>
        </is>
      </c>
      <c r="E435" t="inlineStr">
        <is>
          <t>VILHELMINA</t>
        </is>
      </c>
      <c r="F435" t="inlineStr">
        <is>
          <t>Övriga statliga verk och myndigheter</t>
        </is>
      </c>
      <c r="G435" t="n">
        <v>22.3</v>
      </c>
      <c r="H435" t="n">
        <v>0</v>
      </c>
      <c r="I435" t="n">
        <v>0</v>
      </c>
      <c r="J435" t="n">
        <v>0</v>
      </c>
      <c r="K435" t="n">
        <v>0</v>
      </c>
      <c r="L435" t="n">
        <v>0</v>
      </c>
      <c r="M435" t="n">
        <v>0</v>
      </c>
      <c r="N435" t="n">
        <v>0</v>
      </c>
      <c r="O435" t="n">
        <v>0</v>
      </c>
      <c r="P435" t="n">
        <v>0</v>
      </c>
      <c r="Q435" t="n">
        <v>0</v>
      </c>
      <c r="R435" s="2" t="inlineStr"/>
    </row>
    <row r="436" ht="15" customHeight="1">
      <c r="A436" t="inlineStr">
        <is>
          <t>A 57086-2021</t>
        </is>
      </c>
      <c r="B436" s="1" t="n">
        <v>44482</v>
      </c>
      <c r="C436" s="1" t="n">
        <v>45578</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57167-2021</t>
        </is>
      </c>
      <c r="B437" s="1" t="n">
        <v>44482</v>
      </c>
      <c r="C437" s="1" t="n">
        <v>45578</v>
      </c>
      <c r="D437" t="inlineStr">
        <is>
          <t>VÄSTERBOTTENS LÄN</t>
        </is>
      </c>
      <c r="E437" t="inlineStr">
        <is>
          <t>VILHELMINA</t>
        </is>
      </c>
      <c r="F437" t="inlineStr">
        <is>
          <t>Kommuner</t>
        </is>
      </c>
      <c r="G437" t="n">
        <v>4.9</v>
      </c>
      <c r="H437" t="n">
        <v>0</v>
      </c>
      <c r="I437" t="n">
        <v>0</v>
      </c>
      <c r="J437" t="n">
        <v>0</v>
      </c>
      <c r="K437" t="n">
        <v>0</v>
      </c>
      <c r="L437" t="n">
        <v>0</v>
      </c>
      <c r="M437" t="n">
        <v>0</v>
      </c>
      <c r="N437" t="n">
        <v>0</v>
      </c>
      <c r="O437" t="n">
        <v>0</v>
      </c>
      <c r="P437" t="n">
        <v>0</v>
      </c>
      <c r="Q437" t="n">
        <v>0</v>
      </c>
      <c r="R437" s="2" t="inlineStr"/>
    </row>
    <row r="438" ht="15" customHeight="1">
      <c r="A438" t="inlineStr">
        <is>
          <t>A 57166-2021</t>
        </is>
      </c>
      <c r="B438" s="1" t="n">
        <v>44482</v>
      </c>
      <c r="C438" s="1" t="n">
        <v>45578</v>
      </c>
      <c r="D438" t="inlineStr">
        <is>
          <t>VÄSTERBOTTENS LÄN</t>
        </is>
      </c>
      <c r="E438" t="inlineStr">
        <is>
          <t>VILHELMINA</t>
        </is>
      </c>
      <c r="F438" t="inlineStr">
        <is>
          <t>Kommuner</t>
        </is>
      </c>
      <c r="G438" t="n">
        <v>2.6</v>
      </c>
      <c r="H438" t="n">
        <v>0</v>
      </c>
      <c r="I438" t="n">
        <v>0</v>
      </c>
      <c r="J438" t="n">
        <v>0</v>
      </c>
      <c r="K438" t="n">
        <v>0</v>
      </c>
      <c r="L438" t="n">
        <v>0</v>
      </c>
      <c r="M438" t="n">
        <v>0</v>
      </c>
      <c r="N438" t="n">
        <v>0</v>
      </c>
      <c r="O438" t="n">
        <v>0</v>
      </c>
      <c r="P438" t="n">
        <v>0</v>
      </c>
      <c r="Q438" t="n">
        <v>0</v>
      </c>
      <c r="R438" s="2" t="inlineStr"/>
    </row>
    <row r="439" ht="15" customHeight="1">
      <c r="A439" t="inlineStr">
        <is>
          <t>A 57874-2021</t>
        </is>
      </c>
      <c r="B439" s="1" t="n">
        <v>44484</v>
      </c>
      <c r="C439" s="1" t="n">
        <v>45578</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57875-2021</t>
        </is>
      </c>
      <c r="B440" s="1" t="n">
        <v>44485</v>
      </c>
      <c r="C440" s="1" t="n">
        <v>45578</v>
      </c>
      <c r="D440" t="inlineStr">
        <is>
          <t>VÄSTERBOTTENS LÄN</t>
        </is>
      </c>
      <c r="E440" t="inlineStr">
        <is>
          <t>VILHELMINA</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58377-2021</t>
        </is>
      </c>
      <c r="B441" s="1" t="n">
        <v>44488</v>
      </c>
      <c r="C441" s="1" t="n">
        <v>45578</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58363-2021</t>
        </is>
      </c>
      <c r="B442" s="1" t="n">
        <v>44488</v>
      </c>
      <c r="C442" s="1" t="n">
        <v>45578</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58643-2021</t>
        </is>
      </c>
      <c r="B443" s="1" t="n">
        <v>44489</v>
      </c>
      <c r="C443" s="1" t="n">
        <v>45578</v>
      </c>
      <c r="D443" t="inlineStr">
        <is>
          <t>VÄSTERBOTTENS LÄN</t>
        </is>
      </c>
      <c r="E443" t="inlineStr">
        <is>
          <t>VILHELMINA</t>
        </is>
      </c>
      <c r="F443" t="inlineStr">
        <is>
          <t>Övriga Aktiebolag</t>
        </is>
      </c>
      <c r="G443" t="n">
        <v>30.4</v>
      </c>
      <c r="H443" t="n">
        <v>0</v>
      </c>
      <c r="I443" t="n">
        <v>0</v>
      </c>
      <c r="J443" t="n">
        <v>0</v>
      </c>
      <c r="K443" t="n">
        <v>0</v>
      </c>
      <c r="L443" t="n">
        <v>0</v>
      </c>
      <c r="M443" t="n">
        <v>0</v>
      </c>
      <c r="N443" t="n">
        <v>0</v>
      </c>
      <c r="O443" t="n">
        <v>0</v>
      </c>
      <c r="P443" t="n">
        <v>0</v>
      </c>
      <c r="Q443" t="n">
        <v>0</v>
      </c>
      <c r="R443" s="2" t="inlineStr"/>
    </row>
    <row r="444" ht="15" customHeight="1">
      <c r="A444" t="inlineStr">
        <is>
          <t>A 59172-2021</t>
        </is>
      </c>
      <c r="B444" s="1" t="n">
        <v>44490</v>
      </c>
      <c r="C444" s="1" t="n">
        <v>45578</v>
      </c>
      <c r="D444" t="inlineStr">
        <is>
          <t>VÄSTERBOTTENS LÄN</t>
        </is>
      </c>
      <c r="E444" t="inlineStr">
        <is>
          <t>VILHELMINA</t>
        </is>
      </c>
      <c r="G444" t="n">
        <v>11.5</v>
      </c>
      <c r="H444" t="n">
        <v>0</v>
      </c>
      <c r="I444" t="n">
        <v>0</v>
      </c>
      <c r="J444" t="n">
        <v>0</v>
      </c>
      <c r="K444" t="n">
        <v>0</v>
      </c>
      <c r="L444" t="n">
        <v>0</v>
      </c>
      <c r="M444" t="n">
        <v>0</v>
      </c>
      <c r="N444" t="n">
        <v>0</v>
      </c>
      <c r="O444" t="n">
        <v>0</v>
      </c>
      <c r="P444" t="n">
        <v>0</v>
      </c>
      <c r="Q444" t="n">
        <v>0</v>
      </c>
      <c r="R444" s="2" t="inlineStr"/>
    </row>
    <row r="445" ht="15" customHeight="1">
      <c r="A445" t="inlineStr">
        <is>
          <t>A 59330-2021</t>
        </is>
      </c>
      <c r="B445" s="1" t="n">
        <v>44491</v>
      </c>
      <c r="C445" s="1" t="n">
        <v>45578</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60317-2021</t>
        </is>
      </c>
      <c r="B446" s="1" t="n">
        <v>44496</v>
      </c>
      <c r="C446" s="1" t="n">
        <v>45578</v>
      </c>
      <c r="D446" t="inlineStr">
        <is>
          <t>VÄSTERBOTTENS LÄN</t>
        </is>
      </c>
      <c r="E446" t="inlineStr">
        <is>
          <t>VILHELMINA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61640-2021</t>
        </is>
      </c>
      <c r="B447" s="1" t="n">
        <v>44498</v>
      </c>
      <c r="C447" s="1" t="n">
        <v>45578</v>
      </c>
      <c r="D447" t="inlineStr">
        <is>
          <t>VÄSTERBOTTENS LÄN</t>
        </is>
      </c>
      <c r="E447" t="inlineStr">
        <is>
          <t>VILHELMINA</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61475-2021</t>
        </is>
      </c>
      <c r="B448" s="1" t="n">
        <v>44500</v>
      </c>
      <c r="C448" s="1" t="n">
        <v>45578</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61853-2021</t>
        </is>
      </c>
      <c r="B449" s="1" t="n">
        <v>44501</v>
      </c>
      <c r="C449" s="1" t="n">
        <v>45578</v>
      </c>
      <c r="D449" t="inlineStr">
        <is>
          <t>VÄSTERBOTTENS LÄN</t>
        </is>
      </c>
      <c r="E449" t="inlineStr">
        <is>
          <t>VILHELMINA</t>
        </is>
      </c>
      <c r="F449" t="inlineStr">
        <is>
          <t>SCA</t>
        </is>
      </c>
      <c r="G449" t="n">
        <v>24.8</v>
      </c>
      <c r="H449" t="n">
        <v>0</v>
      </c>
      <c r="I449" t="n">
        <v>0</v>
      </c>
      <c r="J449" t="n">
        <v>0</v>
      </c>
      <c r="K449" t="n">
        <v>0</v>
      </c>
      <c r="L449" t="n">
        <v>0</v>
      </c>
      <c r="M449" t="n">
        <v>0</v>
      </c>
      <c r="N449" t="n">
        <v>0</v>
      </c>
      <c r="O449" t="n">
        <v>0</v>
      </c>
      <c r="P449" t="n">
        <v>0</v>
      </c>
      <c r="Q449" t="n">
        <v>0</v>
      </c>
      <c r="R449" s="2" t="inlineStr"/>
    </row>
    <row r="450" ht="15" customHeight="1">
      <c r="A450" t="inlineStr">
        <is>
          <t>A 62362-2021</t>
        </is>
      </c>
      <c r="B450" s="1" t="n">
        <v>44502</v>
      </c>
      <c r="C450" s="1" t="n">
        <v>45578</v>
      </c>
      <c r="D450" t="inlineStr">
        <is>
          <t>VÄSTERBOTTENS LÄN</t>
        </is>
      </c>
      <c r="E450" t="inlineStr">
        <is>
          <t>VILHELMINA</t>
        </is>
      </c>
      <c r="G450" t="n">
        <v>8.1</v>
      </c>
      <c r="H450" t="n">
        <v>0</v>
      </c>
      <c r="I450" t="n">
        <v>0</v>
      </c>
      <c r="J450" t="n">
        <v>0</v>
      </c>
      <c r="K450" t="n">
        <v>0</v>
      </c>
      <c r="L450" t="n">
        <v>0</v>
      </c>
      <c r="M450" t="n">
        <v>0</v>
      </c>
      <c r="N450" t="n">
        <v>0</v>
      </c>
      <c r="O450" t="n">
        <v>0</v>
      </c>
      <c r="P450" t="n">
        <v>0</v>
      </c>
      <c r="Q450" t="n">
        <v>0</v>
      </c>
      <c r="R450" s="2" t="inlineStr"/>
    </row>
    <row r="451" ht="15" customHeight="1">
      <c r="A451" t="inlineStr">
        <is>
          <t>A 62658-2021</t>
        </is>
      </c>
      <c r="B451" s="1" t="n">
        <v>44503</v>
      </c>
      <c r="C451" s="1" t="n">
        <v>45578</v>
      </c>
      <c r="D451" t="inlineStr">
        <is>
          <t>VÄSTERBOTTENS LÄN</t>
        </is>
      </c>
      <c r="E451" t="inlineStr">
        <is>
          <t>VILHELMINA</t>
        </is>
      </c>
      <c r="F451" t="inlineStr">
        <is>
          <t>SCA</t>
        </is>
      </c>
      <c r="G451" t="n">
        <v>13.4</v>
      </c>
      <c r="H451" t="n">
        <v>0</v>
      </c>
      <c r="I451" t="n">
        <v>0</v>
      </c>
      <c r="J451" t="n">
        <v>0</v>
      </c>
      <c r="K451" t="n">
        <v>0</v>
      </c>
      <c r="L451" t="n">
        <v>0</v>
      </c>
      <c r="M451" t="n">
        <v>0</v>
      </c>
      <c r="N451" t="n">
        <v>0</v>
      </c>
      <c r="O451" t="n">
        <v>0</v>
      </c>
      <c r="P451" t="n">
        <v>0</v>
      </c>
      <c r="Q451" t="n">
        <v>0</v>
      </c>
      <c r="R451" s="2" t="inlineStr"/>
    </row>
    <row r="452" ht="15" customHeight="1">
      <c r="A452" t="inlineStr">
        <is>
          <t>A 63218-2021</t>
        </is>
      </c>
      <c r="B452" s="1" t="n">
        <v>44505</v>
      </c>
      <c r="C452" s="1" t="n">
        <v>45578</v>
      </c>
      <c r="D452" t="inlineStr">
        <is>
          <t>VÄSTERBOTTENS LÄN</t>
        </is>
      </c>
      <c r="E452" t="inlineStr">
        <is>
          <t>VILHELMINA</t>
        </is>
      </c>
      <c r="G452" t="n">
        <v>6.8</v>
      </c>
      <c r="H452" t="n">
        <v>0</v>
      </c>
      <c r="I452" t="n">
        <v>0</v>
      </c>
      <c r="J452" t="n">
        <v>0</v>
      </c>
      <c r="K452" t="n">
        <v>0</v>
      </c>
      <c r="L452" t="n">
        <v>0</v>
      </c>
      <c r="M452" t="n">
        <v>0</v>
      </c>
      <c r="N452" t="n">
        <v>0</v>
      </c>
      <c r="O452" t="n">
        <v>0</v>
      </c>
      <c r="P452" t="n">
        <v>0</v>
      </c>
      <c r="Q452" t="n">
        <v>0</v>
      </c>
      <c r="R452" s="2" t="inlineStr"/>
    </row>
    <row r="453" ht="15" customHeight="1">
      <c r="A453" t="inlineStr">
        <is>
          <t>A 65033-2021</t>
        </is>
      </c>
      <c r="B453" s="1" t="n">
        <v>44511</v>
      </c>
      <c r="C453" s="1" t="n">
        <v>45578</v>
      </c>
      <c r="D453" t="inlineStr">
        <is>
          <t>VÄSTERBOTTENS LÄN</t>
        </is>
      </c>
      <c r="E453" t="inlineStr">
        <is>
          <t>VILHELMINA</t>
        </is>
      </c>
      <c r="G453" t="n">
        <v>1</v>
      </c>
      <c r="H453" t="n">
        <v>0</v>
      </c>
      <c r="I453" t="n">
        <v>0</v>
      </c>
      <c r="J453" t="n">
        <v>0</v>
      </c>
      <c r="K453" t="n">
        <v>0</v>
      </c>
      <c r="L453" t="n">
        <v>0</v>
      </c>
      <c r="M453" t="n">
        <v>0</v>
      </c>
      <c r="N453" t="n">
        <v>0</v>
      </c>
      <c r="O453" t="n">
        <v>0</v>
      </c>
      <c r="P453" t="n">
        <v>0</v>
      </c>
      <c r="Q453" t="n">
        <v>0</v>
      </c>
      <c r="R453" s="2" t="inlineStr"/>
    </row>
    <row r="454" ht="15" customHeight="1">
      <c r="A454" t="inlineStr">
        <is>
          <t>A 65146-2021</t>
        </is>
      </c>
      <c r="B454" s="1" t="n">
        <v>44515</v>
      </c>
      <c r="C454" s="1" t="n">
        <v>45578</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65133-2021</t>
        </is>
      </c>
      <c r="B455" s="1" t="n">
        <v>44515</v>
      </c>
      <c r="C455" s="1" t="n">
        <v>45578</v>
      </c>
      <c r="D455" t="inlineStr">
        <is>
          <t>VÄSTERBOTTENS LÄN</t>
        </is>
      </c>
      <c r="E455" t="inlineStr">
        <is>
          <t>VILHELMINA</t>
        </is>
      </c>
      <c r="G455" t="n">
        <v>16.4</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45578</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65151-2021</t>
        </is>
      </c>
      <c r="B457" s="1" t="n">
        <v>44515</v>
      </c>
      <c r="C457" s="1" t="n">
        <v>45578</v>
      </c>
      <c r="D457" t="inlineStr">
        <is>
          <t>VÄSTERBOTTENS LÄN</t>
        </is>
      </c>
      <c r="E457" t="inlineStr">
        <is>
          <t>VILHELMINA</t>
        </is>
      </c>
      <c r="G457" t="n">
        <v>11.8</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45578</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66259-2021</t>
        </is>
      </c>
      <c r="B459" s="1" t="n">
        <v>44518</v>
      </c>
      <c r="C459" s="1" t="n">
        <v>45578</v>
      </c>
      <c r="D459" t="inlineStr">
        <is>
          <t>VÄSTERBOTTENS LÄN</t>
        </is>
      </c>
      <c r="E459" t="inlineStr">
        <is>
          <t>VILHELMINA</t>
        </is>
      </c>
      <c r="G459" t="n">
        <v>14.6</v>
      </c>
      <c r="H459" t="n">
        <v>0</v>
      </c>
      <c r="I459" t="n">
        <v>0</v>
      </c>
      <c r="J459" t="n">
        <v>0</v>
      </c>
      <c r="K459" t="n">
        <v>0</v>
      </c>
      <c r="L459" t="n">
        <v>0</v>
      </c>
      <c r="M459" t="n">
        <v>0</v>
      </c>
      <c r="N459" t="n">
        <v>0</v>
      </c>
      <c r="O459" t="n">
        <v>0</v>
      </c>
      <c r="P459" t="n">
        <v>0</v>
      </c>
      <c r="Q459" t="n">
        <v>0</v>
      </c>
      <c r="R459" s="2" t="inlineStr"/>
    </row>
    <row r="460" ht="15" customHeight="1">
      <c r="A460" t="inlineStr">
        <is>
          <t>A 66458-2021</t>
        </is>
      </c>
      <c r="B460" s="1" t="n">
        <v>44518</v>
      </c>
      <c r="C460" s="1" t="n">
        <v>45578</v>
      </c>
      <c r="D460" t="inlineStr">
        <is>
          <t>VÄSTERBOTTENS LÄN</t>
        </is>
      </c>
      <c r="E460" t="inlineStr">
        <is>
          <t>VILHELMINA</t>
        </is>
      </c>
      <c r="G460" t="n">
        <v>3.7</v>
      </c>
      <c r="H460" t="n">
        <v>0</v>
      </c>
      <c r="I460" t="n">
        <v>0</v>
      </c>
      <c r="J460" t="n">
        <v>0</v>
      </c>
      <c r="K460" t="n">
        <v>0</v>
      </c>
      <c r="L460" t="n">
        <v>0</v>
      </c>
      <c r="M460" t="n">
        <v>0</v>
      </c>
      <c r="N460" t="n">
        <v>0</v>
      </c>
      <c r="O460" t="n">
        <v>0</v>
      </c>
      <c r="P460" t="n">
        <v>0</v>
      </c>
      <c r="Q460" t="n">
        <v>0</v>
      </c>
      <c r="R460" s="2" t="inlineStr"/>
    </row>
    <row r="461" ht="15" customHeight="1">
      <c r="A461" t="inlineStr">
        <is>
          <t>A 66917-2021</t>
        </is>
      </c>
      <c r="B461" s="1" t="n">
        <v>44522</v>
      </c>
      <c r="C461" s="1" t="n">
        <v>45578</v>
      </c>
      <c r="D461" t="inlineStr">
        <is>
          <t>VÄSTERBOTTENS LÄN</t>
        </is>
      </c>
      <c r="E461" t="inlineStr">
        <is>
          <t>VILHELMINA</t>
        </is>
      </c>
      <c r="F461" t="inlineStr">
        <is>
          <t>Allmännings- och besparingsskogar</t>
        </is>
      </c>
      <c r="G461" t="n">
        <v>11.7</v>
      </c>
      <c r="H461" t="n">
        <v>0</v>
      </c>
      <c r="I461" t="n">
        <v>0</v>
      </c>
      <c r="J461" t="n">
        <v>0</v>
      </c>
      <c r="K461" t="n">
        <v>0</v>
      </c>
      <c r="L461" t="n">
        <v>0</v>
      </c>
      <c r="M461" t="n">
        <v>0</v>
      </c>
      <c r="N461" t="n">
        <v>0</v>
      </c>
      <c r="O461" t="n">
        <v>0</v>
      </c>
      <c r="P461" t="n">
        <v>0</v>
      </c>
      <c r="Q461" t="n">
        <v>0</v>
      </c>
      <c r="R461" s="2" t="inlineStr"/>
    </row>
    <row r="462" ht="15" customHeight="1">
      <c r="A462" t="inlineStr">
        <is>
          <t>A 66952-2021</t>
        </is>
      </c>
      <c r="B462" s="1" t="n">
        <v>44522</v>
      </c>
      <c r="C462" s="1" t="n">
        <v>45578</v>
      </c>
      <c r="D462" t="inlineStr">
        <is>
          <t>VÄSTERBOTTENS LÄN</t>
        </is>
      </c>
      <c r="E462" t="inlineStr">
        <is>
          <t>VILHELMINA</t>
        </is>
      </c>
      <c r="F462" t="inlineStr">
        <is>
          <t>Allmännings- och besparingsskogar</t>
        </is>
      </c>
      <c r="G462" t="n">
        <v>70</v>
      </c>
      <c r="H462" t="n">
        <v>0</v>
      </c>
      <c r="I462" t="n">
        <v>0</v>
      </c>
      <c r="J462" t="n">
        <v>0</v>
      </c>
      <c r="K462" t="n">
        <v>0</v>
      </c>
      <c r="L462" t="n">
        <v>0</v>
      </c>
      <c r="M462" t="n">
        <v>0</v>
      </c>
      <c r="N462" t="n">
        <v>0</v>
      </c>
      <c r="O462" t="n">
        <v>0</v>
      </c>
      <c r="P462" t="n">
        <v>0</v>
      </c>
      <c r="Q462" t="n">
        <v>0</v>
      </c>
      <c r="R462" s="2" t="inlineStr"/>
    </row>
    <row r="463" ht="15" customHeight="1">
      <c r="A463" t="inlineStr">
        <is>
          <t>A 68037-2021</t>
        </is>
      </c>
      <c r="B463" s="1" t="n">
        <v>44525</v>
      </c>
      <c r="C463" s="1" t="n">
        <v>45578</v>
      </c>
      <c r="D463" t="inlineStr">
        <is>
          <t>VÄSTERBOTTENS LÄN</t>
        </is>
      </c>
      <c r="E463" t="inlineStr">
        <is>
          <t>VILHELMINA</t>
        </is>
      </c>
      <c r="G463" t="n">
        <v>2.1</v>
      </c>
      <c r="H463" t="n">
        <v>0</v>
      </c>
      <c r="I463" t="n">
        <v>0</v>
      </c>
      <c r="J463" t="n">
        <v>0</v>
      </c>
      <c r="K463" t="n">
        <v>0</v>
      </c>
      <c r="L463" t="n">
        <v>0</v>
      </c>
      <c r="M463" t="n">
        <v>0</v>
      </c>
      <c r="N463" t="n">
        <v>0</v>
      </c>
      <c r="O463" t="n">
        <v>0</v>
      </c>
      <c r="P463" t="n">
        <v>0</v>
      </c>
      <c r="Q463" t="n">
        <v>0</v>
      </c>
      <c r="R463" s="2" t="inlineStr"/>
    </row>
    <row r="464" ht="15" customHeight="1">
      <c r="A464" t="inlineStr">
        <is>
          <t>A 69362-2021</t>
        </is>
      </c>
      <c r="B464" s="1" t="n">
        <v>44531</v>
      </c>
      <c r="C464" s="1" t="n">
        <v>45578</v>
      </c>
      <c r="D464" t="inlineStr">
        <is>
          <t>VÄSTERBOTTENS LÄN</t>
        </is>
      </c>
      <c r="E464" t="inlineStr">
        <is>
          <t>VILHELMINA</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69366-2021</t>
        </is>
      </c>
      <c r="B465" s="1" t="n">
        <v>44531</v>
      </c>
      <c r="C465" s="1" t="n">
        <v>45578</v>
      </c>
      <c r="D465" t="inlineStr">
        <is>
          <t>VÄSTERBOTTENS LÄN</t>
        </is>
      </c>
      <c r="E465" t="inlineStr">
        <is>
          <t>VILHELMINA</t>
        </is>
      </c>
      <c r="G465" t="n">
        <v>1.2</v>
      </c>
      <c r="H465" t="n">
        <v>0</v>
      </c>
      <c r="I465" t="n">
        <v>0</v>
      </c>
      <c r="J465" t="n">
        <v>0</v>
      </c>
      <c r="K465" t="n">
        <v>0</v>
      </c>
      <c r="L465" t="n">
        <v>0</v>
      </c>
      <c r="M465" t="n">
        <v>0</v>
      </c>
      <c r="N465" t="n">
        <v>0</v>
      </c>
      <c r="O465" t="n">
        <v>0</v>
      </c>
      <c r="P465" t="n">
        <v>0</v>
      </c>
      <c r="Q465" t="n">
        <v>0</v>
      </c>
      <c r="R465" s="2" t="inlineStr"/>
    </row>
    <row r="466" ht="15" customHeight="1">
      <c r="A466" t="inlineStr">
        <is>
          <t>A 69848-2021</t>
        </is>
      </c>
      <c r="B466" s="1" t="n">
        <v>44532</v>
      </c>
      <c r="C466" s="1" t="n">
        <v>45578</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45578</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69850-2021</t>
        </is>
      </c>
      <c r="B468" s="1" t="n">
        <v>44532</v>
      </c>
      <c r="C468" s="1" t="n">
        <v>45578</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70854-2021</t>
        </is>
      </c>
      <c r="B469" s="1" t="n">
        <v>44532</v>
      </c>
      <c r="C469" s="1" t="n">
        <v>45578</v>
      </c>
      <c r="D469" t="inlineStr">
        <is>
          <t>VÄSTERBOTTENS LÄN</t>
        </is>
      </c>
      <c r="E469" t="inlineStr">
        <is>
          <t>VILHELMINA</t>
        </is>
      </c>
      <c r="G469" t="n">
        <v>2.6</v>
      </c>
      <c r="H469" t="n">
        <v>0</v>
      </c>
      <c r="I469" t="n">
        <v>0</v>
      </c>
      <c r="J469" t="n">
        <v>0</v>
      </c>
      <c r="K469" t="n">
        <v>0</v>
      </c>
      <c r="L469" t="n">
        <v>0</v>
      </c>
      <c r="M469" t="n">
        <v>0</v>
      </c>
      <c r="N469" t="n">
        <v>0</v>
      </c>
      <c r="O469" t="n">
        <v>0</v>
      </c>
      <c r="P469" t="n">
        <v>0</v>
      </c>
      <c r="Q469" t="n">
        <v>0</v>
      </c>
      <c r="R469" s="2" t="inlineStr"/>
    </row>
    <row r="470" ht="15" customHeight="1">
      <c r="A470" t="inlineStr">
        <is>
          <t>A 70117-2021</t>
        </is>
      </c>
      <c r="B470" s="1" t="n">
        <v>44533</v>
      </c>
      <c r="C470" s="1" t="n">
        <v>45578</v>
      </c>
      <c r="D470" t="inlineStr">
        <is>
          <t>VÄSTERBOTTENS LÄN</t>
        </is>
      </c>
      <c r="E470" t="inlineStr">
        <is>
          <t>VILHELMINA</t>
        </is>
      </c>
      <c r="G470" t="n">
        <v>3</v>
      </c>
      <c r="H470" t="n">
        <v>0</v>
      </c>
      <c r="I470" t="n">
        <v>0</v>
      </c>
      <c r="J470" t="n">
        <v>0</v>
      </c>
      <c r="K470" t="n">
        <v>0</v>
      </c>
      <c r="L470" t="n">
        <v>0</v>
      </c>
      <c r="M470" t="n">
        <v>0</v>
      </c>
      <c r="N470" t="n">
        <v>0</v>
      </c>
      <c r="O470" t="n">
        <v>0</v>
      </c>
      <c r="P470" t="n">
        <v>0</v>
      </c>
      <c r="Q470" t="n">
        <v>0</v>
      </c>
      <c r="R470" s="2" t="inlineStr"/>
    </row>
    <row r="471" ht="15" customHeight="1">
      <c r="A471" t="inlineStr">
        <is>
          <t>A 70811-2021</t>
        </is>
      </c>
      <c r="B471" s="1" t="n">
        <v>44537</v>
      </c>
      <c r="C471" s="1" t="n">
        <v>45578</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72057-2021</t>
        </is>
      </c>
      <c r="B472" s="1" t="n">
        <v>44540</v>
      </c>
      <c r="C472" s="1" t="n">
        <v>45578</v>
      </c>
      <c r="D472" t="inlineStr">
        <is>
          <t>VÄSTERBOTTENS LÄN</t>
        </is>
      </c>
      <c r="E472" t="inlineStr">
        <is>
          <t>VILHELMINA</t>
        </is>
      </c>
      <c r="G472" t="n">
        <v>7</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45578</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72489-2021</t>
        </is>
      </c>
      <c r="B474" s="1" t="n">
        <v>44545</v>
      </c>
      <c r="C474" s="1" t="n">
        <v>45578</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72494-2021</t>
        </is>
      </c>
      <c r="B475" s="1" t="n">
        <v>44545</v>
      </c>
      <c r="C475" s="1" t="n">
        <v>45578</v>
      </c>
      <c r="D475" t="inlineStr">
        <is>
          <t>VÄSTERBOTTENS LÄN</t>
        </is>
      </c>
      <c r="E475" t="inlineStr">
        <is>
          <t>VILHELMINA</t>
        </is>
      </c>
      <c r="G475" t="n">
        <v>4.2</v>
      </c>
      <c r="H475" t="n">
        <v>0</v>
      </c>
      <c r="I475" t="n">
        <v>0</v>
      </c>
      <c r="J475" t="n">
        <v>0</v>
      </c>
      <c r="K475" t="n">
        <v>0</v>
      </c>
      <c r="L475" t="n">
        <v>0</v>
      </c>
      <c r="M475" t="n">
        <v>0</v>
      </c>
      <c r="N475" t="n">
        <v>0</v>
      </c>
      <c r="O475" t="n">
        <v>0</v>
      </c>
      <c r="P475" t="n">
        <v>0</v>
      </c>
      <c r="Q475" t="n">
        <v>0</v>
      </c>
      <c r="R475" s="2" t="inlineStr"/>
    </row>
    <row r="476" ht="15" customHeight="1">
      <c r="A476" t="inlineStr">
        <is>
          <t>A 72490-2021</t>
        </is>
      </c>
      <c r="B476" s="1" t="n">
        <v>44545</v>
      </c>
      <c r="C476" s="1" t="n">
        <v>45578</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72488-2021</t>
        </is>
      </c>
      <c r="B477" s="1" t="n">
        <v>44545</v>
      </c>
      <c r="C477" s="1" t="n">
        <v>45578</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72487-2021</t>
        </is>
      </c>
      <c r="B478" s="1" t="n">
        <v>44545</v>
      </c>
      <c r="C478" s="1" t="n">
        <v>45578</v>
      </c>
      <c r="D478" t="inlineStr">
        <is>
          <t>VÄSTERBOTTENS LÄN</t>
        </is>
      </c>
      <c r="E478" t="inlineStr">
        <is>
          <t>VILHELMINA</t>
        </is>
      </c>
      <c r="G478" t="n">
        <v>1.2</v>
      </c>
      <c r="H478" t="n">
        <v>0</v>
      </c>
      <c r="I478" t="n">
        <v>0</v>
      </c>
      <c r="J478" t="n">
        <v>0</v>
      </c>
      <c r="K478" t="n">
        <v>0</v>
      </c>
      <c r="L478" t="n">
        <v>0</v>
      </c>
      <c r="M478" t="n">
        <v>0</v>
      </c>
      <c r="N478" t="n">
        <v>0</v>
      </c>
      <c r="O478" t="n">
        <v>0</v>
      </c>
      <c r="P478" t="n">
        <v>0</v>
      </c>
      <c r="Q478" t="n">
        <v>0</v>
      </c>
      <c r="R478" s="2" t="inlineStr"/>
    </row>
    <row r="479" ht="15" customHeight="1">
      <c r="A479" t="inlineStr">
        <is>
          <t>A 72493-2021</t>
        </is>
      </c>
      <c r="B479" s="1" t="n">
        <v>44545</v>
      </c>
      <c r="C479" s="1" t="n">
        <v>45578</v>
      </c>
      <c r="D479" t="inlineStr">
        <is>
          <t>VÄSTERBOTTENS LÄN</t>
        </is>
      </c>
      <c r="E479" t="inlineStr">
        <is>
          <t>VILHELMINA</t>
        </is>
      </c>
      <c r="G479" t="n">
        <v>4.2</v>
      </c>
      <c r="H479" t="n">
        <v>0</v>
      </c>
      <c r="I479" t="n">
        <v>0</v>
      </c>
      <c r="J479" t="n">
        <v>0</v>
      </c>
      <c r="K479" t="n">
        <v>0</v>
      </c>
      <c r="L479" t="n">
        <v>0</v>
      </c>
      <c r="M479" t="n">
        <v>0</v>
      </c>
      <c r="N479" t="n">
        <v>0</v>
      </c>
      <c r="O479" t="n">
        <v>0</v>
      </c>
      <c r="P479" t="n">
        <v>0</v>
      </c>
      <c r="Q479" t="n">
        <v>0</v>
      </c>
      <c r="R479" s="2" t="inlineStr"/>
    </row>
    <row r="480" ht="15" customHeight="1">
      <c r="A480" t="inlineStr">
        <is>
          <t>A 210-2022</t>
        </is>
      </c>
      <c r="B480" s="1" t="n">
        <v>44564</v>
      </c>
      <c r="C480" s="1" t="n">
        <v>45578</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590-2022</t>
        </is>
      </c>
      <c r="B481" s="1" t="n">
        <v>44567</v>
      </c>
      <c r="C481" s="1" t="n">
        <v>45578</v>
      </c>
      <c r="D481" t="inlineStr">
        <is>
          <t>VÄSTERBOTTENS LÄN</t>
        </is>
      </c>
      <c r="E481" t="inlineStr">
        <is>
          <t>VILHELMINA</t>
        </is>
      </c>
      <c r="G481" t="n">
        <v>14.5</v>
      </c>
      <c r="H481" t="n">
        <v>0</v>
      </c>
      <c r="I481" t="n">
        <v>0</v>
      </c>
      <c r="J481" t="n">
        <v>0</v>
      </c>
      <c r="K481" t="n">
        <v>0</v>
      </c>
      <c r="L481" t="n">
        <v>0</v>
      </c>
      <c r="M481" t="n">
        <v>0</v>
      </c>
      <c r="N481" t="n">
        <v>0</v>
      </c>
      <c r="O481" t="n">
        <v>0</v>
      </c>
      <c r="P481" t="n">
        <v>0</v>
      </c>
      <c r="Q481" t="n">
        <v>0</v>
      </c>
      <c r="R481" s="2" t="inlineStr"/>
    </row>
    <row r="482" ht="15" customHeight="1">
      <c r="A482" t="inlineStr">
        <is>
          <t>A 664-2022</t>
        </is>
      </c>
      <c r="B482" s="1" t="n">
        <v>44568</v>
      </c>
      <c r="C482" s="1" t="n">
        <v>45578</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2340-2022</t>
        </is>
      </c>
      <c r="B483" s="1" t="n">
        <v>44578</v>
      </c>
      <c r="C483" s="1" t="n">
        <v>45578</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2341-2022</t>
        </is>
      </c>
      <c r="B484" s="1" t="n">
        <v>44578</v>
      </c>
      <c r="C484" s="1" t="n">
        <v>45578</v>
      </c>
      <c r="D484" t="inlineStr">
        <is>
          <t>VÄSTERBOTTENS LÄN</t>
        </is>
      </c>
      <c r="E484" t="inlineStr">
        <is>
          <t>VILHELMINA</t>
        </is>
      </c>
      <c r="G484" t="n">
        <v>3</v>
      </c>
      <c r="H484" t="n">
        <v>0</v>
      </c>
      <c r="I484" t="n">
        <v>0</v>
      </c>
      <c r="J484" t="n">
        <v>0</v>
      </c>
      <c r="K484" t="n">
        <v>0</v>
      </c>
      <c r="L484" t="n">
        <v>0</v>
      </c>
      <c r="M484" t="n">
        <v>0</v>
      </c>
      <c r="N484" t="n">
        <v>0</v>
      </c>
      <c r="O484" t="n">
        <v>0</v>
      </c>
      <c r="P484" t="n">
        <v>0</v>
      </c>
      <c r="Q484" t="n">
        <v>0</v>
      </c>
      <c r="R484" s="2" t="inlineStr"/>
    </row>
    <row r="485" ht="15" customHeight="1">
      <c r="A485" t="inlineStr">
        <is>
          <t>A 5285-2022</t>
        </is>
      </c>
      <c r="B485" s="1" t="n">
        <v>44594</v>
      </c>
      <c r="C485" s="1" t="n">
        <v>45578</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7156-2022</t>
        </is>
      </c>
      <c r="B486" s="1" t="n">
        <v>44604</v>
      </c>
      <c r="C486" s="1" t="n">
        <v>45578</v>
      </c>
      <c r="D486" t="inlineStr">
        <is>
          <t>VÄSTERBOTTENS LÄN</t>
        </is>
      </c>
      <c r="E486" t="inlineStr">
        <is>
          <t>VILHELMINA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8229-2022</t>
        </is>
      </c>
      <c r="B487" s="1" t="n">
        <v>44609</v>
      </c>
      <c r="C487" s="1" t="n">
        <v>45578</v>
      </c>
      <c r="D487" t="inlineStr">
        <is>
          <t>VÄSTERBOTTENS LÄN</t>
        </is>
      </c>
      <c r="E487" t="inlineStr">
        <is>
          <t>VILHELMINA</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8258-2022</t>
        </is>
      </c>
      <c r="B488" s="1" t="n">
        <v>44609</v>
      </c>
      <c r="C488" s="1" t="n">
        <v>45578</v>
      </c>
      <c r="D488" t="inlineStr">
        <is>
          <t>VÄSTERBOTTENS LÄN</t>
        </is>
      </c>
      <c r="E488" t="inlineStr">
        <is>
          <t>VILHELMINA</t>
        </is>
      </c>
      <c r="G488" t="n">
        <v>31.1</v>
      </c>
      <c r="H488" t="n">
        <v>0</v>
      </c>
      <c r="I488" t="n">
        <v>0</v>
      </c>
      <c r="J488" t="n">
        <v>0</v>
      </c>
      <c r="K488" t="n">
        <v>0</v>
      </c>
      <c r="L488" t="n">
        <v>0</v>
      </c>
      <c r="M488" t="n">
        <v>0</v>
      </c>
      <c r="N488" t="n">
        <v>0</v>
      </c>
      <c r="O488" t="n">
        <v>0</v>
      </c>
      <c r="P488" t="n">
        <v>0</v>
      </c>
      <c r="Q488" t="n">
        <v>0</v>
      </c>
      <c r="R488" s="2" t="inlineStr"/>
    </row>
    <row r="489" ht="15" customHeight="1">
      <c r="A489" t="inlineStr">
        <is>
          <t>A 8731-2022</t>
        </is>
      </c>
      <c r="B489" s="1" t="n">
        <v>44613</v>
      </c>
      <c r="C489" s="1" t="n">
        <v>45578</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8730-2022</t>
        </is>
      </c>
      <c r="B490" s="1" t="n">
        <v>44613</v>
      </c>
      <c r="C490" s="1" t="n">
        <v>45578</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9026-2022</t>
        </is>
      </c>
      <c r="B491" s="1" t="n">
        <v>44615</v>
      </c>
      <c r="C491" s="1" t="n">
        <v>45578</v>
      </c>
      <c r="D491" t="inlineStr">
        <is>
          <t>VÄSTERBOTTENS LÄN</t>
        </is>
      </c>
      <c r="E491" t="inlineStr">
        <is>
          <t>VILHELMINA</t>
        </is>
      </c>
      <c r="G491" t="n">
        <v>25.8</v>
      </c>
      <c r="H491" t="n">
        <v>0</v>
      </c>
      <c r="I491" t="n">
        <v>0</v>
      </c>
      <c r="J491" t="n">
        <v>0</v>
      </c>
      <c r="K491" t="n">
        <v>0</v>
      </c>
      <c r="L491" t="n">
        <v>0</v>
      </c>
      <c r="M491" t="n">
        <v>0</v>
      </c>
      <c r="N491" t="n">
        <v>0</v>
      </c>
      <c r="O491" t="n">
        <v>0</v>
      </c>
      <c r="P491" t="n">
        <v>0</v>
      </c>
      <c r="Q491" t="n">
        <v>0</v>
      </c>
      <c r="R491" s="2" t="inlineStr"/>
    </row>
    <row r="492" ht="15" customHeight="1">
      <c r="A492" t="inlineStr">
        <is>
          <t>A 9162-2022</t>
        </is>
      </c>
      <c r="B492" s="1" t="n">
        <v>44615</v>
      </c>
      <c r="C492" s="1" t="n">
        <v>45578</v>
      </c>
      <c r="D492" t="inlineStr">
        <is>
          <t>VÄSTERBOTTENS LÄN</t>
        </is>
      </c>
      <c r="E492" t="inlineStr">
        <is>
          <t>VILHELMINA</t>
        </is>
      </c>
      <c r="G492" t="n">
        <v>7.2</v>
      </c>
      <c r="H492" t="n">
        <v>0</v>
      </c>
      <c r="I492" t="n">
        <v>0</v>
      </c>
      <c r="J492" t="n">
        <v>0</v>
      </c>
      <c r="K492" t="n">
        <v>0</v>
      </c>
      <c r="L492" t="n">
        <v>0</v>
      </c>
      <c r="M492" t="n">
        <v>0</v>
      </c>
      <c r="N492" t="n">
        <v>0</v>
      </c>
      <c r="O492" t="n">
        <v>0</v>
      </c>
      <c r="P492" t="n">
        <v>0</v>
      </c>
      <c r="Q492" t="n">
        <v>0</v>
      </c>
      <c r="R492" s="2" t="inlineStr"/>
    </row>
    <row r="493" ht="15" customHeight="1">
      <c r="A493" t="inlineStr">
        <is>
          <t>A 9501-2022</t>
        </is>
      </c>
      <c r="B493" s="1" t="n">
        <v>44616</v>
      </c>
      <c r="C493" s="1" t="n">
        <v>45578</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9731-2022</t>
        </is>
      </c>
      <c r="B494" s="1" t="n">
        <v>44617</v>
      </c>
      <c r="C494" s="1" t="n">
        <v>45578</v>
      </c>
      <c r="D494" t="inlineStr">
        <is>
          <t>VÄSTERBOTTENS LÄN</t>
        </is>
      </c>
      <c r="E494" t="inlineStr">
        <is>
          <t>VILHELMINA</t>
        </is>
      </c>
      <c r="F494" t="inlineStr">
        <is>
          <t>SCA</t>
        </is>
      </c>
      <c r="G494" t="n">
        <v>15.9</v>
      </c>
      <c r="H494" t="n">
        <v>0</v>
      </c>
      <c r="I494" t="n">
        <v>0</v>
      </c>
      <c r="J494" t="n">
        <v>0</v>
      </c>
      <c r="K494" t="n">
        <v>0</v>
      </c>
      <c r="L494" t="n">
        <v>0</v>
      </c>
      <c r="M494" t="n">
        <v>0</v>
      </c>
      <c r="N494" t="n">
        <v>0</v>
      </c>
      <c r="O494" t="n">
        <v>0</v>
      </c>
      <c r="P494" t="n">
        <v>0</v>
      </c>
      <c r="Q494" t="n">
        <v>0</v>
      </c>
      <c r="R494" s="2" t="inlineStr"/>
    </row>
    <row r="495" ht="15" customHeight="1">
      <c r="A495" t="inlineStr">
        <is>
          <t>A 9735-2022</t>
        </is>
      </c>
      <c r="B495" s="1" t="n">
        <v>44617</v>
      </c>
      <c r="C495" s="1" t="n">
        <v>45578</v>
      </c>
      <c r="D495" t="inlineStr">
        <is>
          <t>VÄSTERBOTTENS LÄN</t>
        </is>
      </c>
      <c r="E495" t="inlineStr">
        <is>
          <t>VILHELMINA</t>
        </is>
      </c>
      <c r="F495" t="inlineStr">
        <is>
          <t>SCA</t>
        </is>
      </c>
      <c r="G495" t="n">
        <v>12.3</v>
      </c>
      <c r="H495" t="n">
        <v>0</v>
      </c>
      <c r="I495" t="n">
        <v>0</v>
      </c>
      <c r="J495" t="n">
        <v>0</v>
      </c>
      <c r="K495" t="n">
        <v>0</v>
      </c>
      <c r="L495" t="n">
        <v>0</v>
      </c>
      <c r="M495" t="n">
        <v>0</v>
      </c>
      <c r="N495" t="n">
        <v>0</v>
      </c>
      <c r="O495" t="n">
        <v>0</v>
      </c>
      <c r="P495" t="n">
        <v>0</v>
      </c>
      <c r="Q495" t="n">
        <v>0</v>
      </c>
      <c r="R495" s="2" t="inlineStr"/>
    </row>
    <row r="496" ht="15" customHeight="1">
      <c r="A496" t="inlineStr">
        <is>
          <t>A 9734-2022</t>
        </is>
      </c>
      <c r="B496" s="1" t="n">
        <v>44617</v>
      </c>
      <c r="C496" s="1" t="n">
        <v>45578</v>
      </c>
      <c r="D496" t="inlineStr">
        <is>
          <t>VÄSTERBOTTENS LÄN</t>
        </is>
      </c>
      <c r="E496" t="inlineStr">
        <is>
          <t>VILHELMINA</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9732-2022</t>
        </is>
      </c>
      <c r="B497" s="1" t="n">
        <v>44617</v>
      </c>
      <c r="C497" s="1" t="n">
        <v>45578</v>
      </c>
      <c r="D497" t="inlineStr">
        <is>
          <t>VÄSTERBOTTENS LÄN</t>
        </is>
      </c>
      <c r="E497" t="inlineStr">
        <is>
          <t>VILHELMINA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9733-2022</t>
        </is>
      </c>
      <c r="B498" s="1" t="n">
        <v>44617</v>
      </c>
      <c r="C498" s="1" t="n">
        <v>45578</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9777-2022</t>
        </is>
      </c>
      <c r="B499" s="1" t="n">
        <v>44619</v>
      </c>
      <c r="C499" s="1" t="n">
        <v>45578</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9781-2022</t>
        </is>
      </c>
      <c r="B500" s="1" t="n">
        <v>44619</v>
      </c>
      <c r="C500" s="1" t="n">
        <v>45578</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9780-2022</t>
        </is>
      </c>
      <c r="B501" s="1" t="n">
        <v>44619</v>
      </c>
      <c r="C501" s="1" t="n">
        <v>45578</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9779-2022</t>
        </is>
      </c>
      <c r="B502" s="1" t="n">
        <v>44619</v>
      </c>
      <c r="C502" s="1" t="n">
        <v>45578</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10142-2022</t>
        </is>
      </c>
      <c r="B503" s="1" t="n">
        <v>44621</v>
      </c>
      <c r="C503" s="1" t="n">
        <v>45578</v>
      </c>
      <c r="D503" t="inlineStr">
        <is>
          <t>VÄSTERBOTTENS LÄN</t>
        </is>
      </c>
      <c r="E503" t="inlineStr">
        <is>
          <t>VILHELMINA</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10121-2022</t>
        </is>
      </c>
      <c r="B504" s="1" t="n">
        <v>44621</v>
      </c>
      <c r="C504" s="1" t="n">
        <v>45578</v>
      </c>
      <c r="D504" t="inlineStr">
        <is>
          <t>VÄSTERBOTTENS LÄN</t>
        </is>
      </c>
      <c r="E504" t="inlineStr">
        <is>
          <t>VILHELMINA</t>
        </is>
      </c>
      <c r="G504" t="n">
        <v>14.1</v>
      </c>
      <c r="H504" t="n">
        <v>0</v>
      </c>
      <c r="I504" t="n">
        <v>0</v>
      </c>
      <c r="J504" t="n">
        <v>0</v>
      </c>
      <c r="K504" t="n">
        <v>0</v>
      </c>
      <c r="L504" t="n">
        <v>0</v>
      </c>
      <c r="M504" t="n">
        <v>0</v>
      </c>
      <c r="N504" t="n">
        <v>0</v>
      </c>
      <c r="O504" t="n">
        <v>0</v>
      </c>
      <c r="P504" t="n">
        <v>0</v>
      </c>
      <c r="Q504" t="n">
        <v>0</v>
      </c>
      <c r="R504" s="2" t="inlineStr"/>
    </row>
    <row r="505" ht="15" customHeight="1">
      <c r="A505" t="inlineStr">
        <is>
          <t>A 10213-2022</t>
        </is>
      </c>
      <c r="B505" s="1" t="n">
        <v>44622</v>
      </c>
      <c r="C505" s="1" t="n">
        <v>45578</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10548-2022</t>
        </is>
      </c>
      <c r="B506" s="1" t="n">
        <v>44623</v>
      </c>
      <c r="C506" s="1" t="n">
        <v>45578</v>
      </c>
      <c r="D506" t="inlineStr">
        <is>
          <t>VÄSTERBOTTENS LÄN</t>
        </is>
      </c>
      <c r="E506" t="inlineStr">
        <is>
          <t>VILHELMINA</t>
        </is>
      </c>
      <c r="F506" t="inlineStr">
        <is>
          <t>SCA</t>
        </is>
      </c>
      <c r="G506" t="n">
        <v>11.5</v>
      </c>
      <c r="H506" t="n">
        <v>0</v>
      </c>
      <c r="I506" t="n">
        <v>0</v>
      </c>
      <c r="J506" t="n">
        <v>0</v>
      </c>
      <c r="K506" t="n">
        <v>0</v>
      </c>
      <c r="L506" t="n">
        <v>0</v>
      </c>
      <c r="M506" t="n">
        <v>0</v>
      </c>
      <c r="N506" t="n">
        <v>0</v>
      </c>
      <c r="O506" t="n">
        <v>0</v>
      </c>
      <c r="P506" t="n">
        <v>0</v>
      </c>
      <c r="Q506" t="n">
        <v>0</v>
      </c>
      <c r="R506" s="2" t="inlineStr"/>
    </row>
    <row r="507" ht="15" customHeight="1">
      <c r="A507" t="inlineStr">
        <is>
          <t>A 10708-2022</t>
        </is>
      </c>
      <c r="B507" s="1" t="n">
        <v>44625</v>
      </c>
      <c r="C507" s="1" t="n">
        <v>45578</v>
      </c>
      <c r="D507" t="inlineStr">
        <is>
          <t>VÄSTERBOTTENS LÄN</t>
        </is>
      </c>
      <c r="E507" t="inlineStr">
        <is>
          <t>VILHELMINA</t>
        </is>
      </c>
      <c r="G507" t="n">
        <v>21.3</v>
      </c>
      <c r="H507" t="n">
        <v>0</v>
      </c>
      <c r="I507" t="n">
        <v>0</v>
      </c>
      <c r="J507" t="n">
        <v>0</v>
      </c>
      <c r="K507" t="n">
        <v>0</v>
      </c>
      <c r="L507" t="n">
        <v>0</v>
      </c>
      <c r="M507" t="n">
        <v>0</v>
      </c>
      <c r="N507" t="n">
        <v>0</v>
      </c>
      <c r="O507" t="n">
        <v>0</v>
      </c>
      <c r="P507" t="n">
        <v>0</v>
      </c>
      <c r="Q507" t="n">
        <v>0</v>
      </c>
      <c r="R507" s="2" t="inlineStr"/>
    </row>
    <row r="508" ht="15" customHeight="1">
      <c r="A508" t="inlineStr">
        <is>
          <t>A 10833-2022</t>
        </is>
      </c>
      <c r="B508" s="1" t="n">
        <v>44627</v>
      </c>
      <c r="C508" s="1" t="n">
        <v>45578</v>
      </c>
      <c r="D508" t="inlineStr">
        <is>
          <t>VÄSTERBOTTENS LÄN</t>
        </is>
      </c>
      <c r="E508" t="inlineStr">
        <is>
          <t>VILHELMINA</t>
        </is>
      </c>
      <c r="G508" t="n">
        <v>5.4</v>
      </c>
      <c r="H508" t="n">
        <v>0</v>
      </c>
      <c r="I508" t="n">
        <v>0</v>
      </c>
      <c r="J508" t="n">
        <v>0</v>
      </c>
      <c r="K508" t="n">
        <v>0</v>
      </c>
      <c r="L508" t="n">
        <v>0</v>
      </c>
      <c r="M508" t="n">
        <v>0</v>
      </c>
      <c r="N508" t="n">
        <v>0</v>
      </c>
      <c r="O508" t="n">
        <v>0</v>
      </c>
      <c r="P508" t="n">
        <v>0</v>
      </c>
      <c r="Q508" t="n">
        <v>0</v>
      </c>
      <c r="R508" s="2" t="inlineStr"/>
    </row>
    <row r="509" ht="15" customHeight="1">
      <c r="A509" t="inlineStr">
        <is>
          <t>A 10839-2022</t>
        </is>
      </c>
      <c r="B509" s="1" t="n">
        <v>44627</v>
      </c>
      <c r="C509" s="1" t="n">
        <v>45578</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11076-2022</t>
        </is>
      </c>
      <c r="B510" s="1" t="n">
        <v>44628</v>
      </c>
      <c r="C510" s="1" t="n">
        <v>45578</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11114-2022</t>
        </is>
      </c>
      <c r="B511" s="1" t="n">
        <v>44628</v>
      </c>
      <c r="C511" s="1" t="n">
        <v>45578</v>
      </c>
      <c r="D511" t="inlineStr">
        <is>
          <t>VÄSTERBOTTENS LÄN</t>
        </is>
      </c>
      <c r="E511" t="inlineStr">
        <is>
          <t>VILHELMINA</t>
        </is>
      </c>
      <c r="G511" t="n">
        <v>8.6</v>
      </c>
      <c r="H511" t="n">
        <v>0</v>
      </c>
      <c r="I511" t="n">
        <v>0</v>
      </c>
      <c r="J511" t="n">
        <v>0</v>
      </c>
      <c r="K511" t="n">
        <v>0</v>
      </c>
      <c r="L511" t="n">
        <v>0</v>
      </c>
      <c r="M511" t="n">
        <v>0</v>
      </c>
      <c r="N511" t="n">
        <v>0</v>
      </c>
      <c r="O511" t="n">
        <v>0</v>
      </c>
      <c r="P511" t="n">
        <v>0</v>
      </c>
      <c r="Q511" t="n">
        <v>0</v>
      </c>
      <c r="R511" s="2" t="inlineStr"/>
    </row>
    <row r="512" ht="15" customHeight="1">
      <c r="A512" t="inlineStr">
        <is>
          <t>A 11116-2022</t>
        </is>
      </c>
      <c r="B512" s="1" t="n">
        <v>44628</v>
      </c>
      <c r="C512" s="1" t="n">
        <v>45578</v>
      </c>
      <c r="D512" t="inlineStr">
        <is>
          <t>VÄSTERBOTTENS LÄN</t>
        </is>
      </c>
      <c r="E512" t="inlineStr">
        <is>
          <t>VILHELMINA</t>
        </is>
      </c>
      <c r="G512" t="n">
        <v>4.2</v>
      </c>
      <c r="H512" t="n">
        <v>0</v>
      </c>
      <c r="I512" t="n">
        <v>0</v>
      </c>
      <c r="J512" t="n">
        <v>0</v>
      </c>
      <c r="K512" t="n">
        <v>0</v>
      </c>
      <c r="L512" t="n">
        <v>0</v>
      </c>
      <c r="M512" t="n">
        <v>0</v>
      </c>
      <c r="N512" t="n">
        <v>0</v>
      </c>
      <c r="O512" t="n">
        <v>0</v>
      </c>
      <c r="P512" t="n">
        <v>0</v>
      </c>
      <c r="Q512" t="n">
        <v>0</v>
      </c>
      <c r="R512" s="2" t="inlineStr"/>
    </row>
    <row r="513" ht="15" customHeight="1">
      <c r="A513" t="inlineStr">
        <is>
          <t>A 11139-2022</t>
        </is>
      </c>
      <c r="B513" s="1" t="n">
        <v>44628</v>
      </c>
      <c r="C513" s="1" t="n">
        <v>45578</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12065-2022</t>
        </is>
      </c>
      <c r="B514" s="1" t="n">
        <v>44637</v>
      </c>
      <c r="C514" s="1" t="n">
        <v>45578</v>
      </c>
      <c r="D514" t="inlineStr">
        <is>
          <t>VÄSTERBOTTENS LÄN</t>
        </is>
      </c>
      <c r="E514" t="inlineStr">
        <is>
          <t>VILHELMINA</t>
        </is>
      </c>
      <c r="G514" t="n">
        <v>27.7</v>
      </c>
      <c r="H514" t="n">
        <v>0</v>
      </c>
      <c r="I514" t="n">
        <v>0</v>
      </c>
      <c r="J514" t="n">
        <v>0</v>
      </c>
      <c r="K514" t="n">
        <v>0</v>
      </c>
      <c r="L514" t="n">
        <v>0</v>
      </c>
      <c r="M514" t="n">
        <v>0</v>
      </c>
      <c r="N514" t="n">
        <v>0</v>
      </c>
      <c r="O514" t="n">
        <v>0</v>
      </c>
      <c r="P514" t="n">
        <v>0</v>
      </c>
      <c r="Q514" t="n">
        <v>0</v>
      </c>
      <c r="R514" s="2" t="inlineStr"/>
    </row>
    <row r="515" ht="15" customHeight="1">
      <c r="A515" t="inlineStr">
        <is>
          <t>A 12593-2022</t>
        </is>
      </c>
      <c r="B515" s="1" t="n">
        <v>44640</v>
      </c>
      <c r="C515" s="1" t="n">
        <v>45578</v>
      </c>
      <c r="D515" t="inlineStr">
        <is>
          <t>VÄSTERBOTTENS LÄN</t>
        </is>
      </c>
      <c r="E515" t="inlineStr">
        <is>
          <t>VILHELMINA</t>
        </is>
      </c>
      <c r="G515" t="n">
        <v>10.4</v>
      </c>
      <c r="H515" t="n">
        <v>0</v>
      </c>
      <c r="I515" t="n">
        <v>0</v>
      </c>
      <c r="J515" t="n">
        <v>0</v>
      </c>
      <c r="K515" t="n">
        <v>0</v>
      </c>
      <c r="L515" t="n">
        <v>0</v>
      </c>
      <c r="M515" t="n">
        <v>0</v>
      </c>
      <c r="N515" t="n">
        <v>0</v>
      </c>
      <c r="O515" t="n">
        <v>0</v>
      </c>
      <c r="P515" t="n">
        <v>0</v>
      </c>
      <c r="Q515" t="n">
        <v>0</v>
      </c>
      <c r="R515" s="2" t="inlineStr"/>
    </row>
    <row r="516" ht="15" customHeight="1">
      <c r="A516" t="inlineStr">
        <is>
          <t>A 12778-2022</t>
        </is>
      </c>
      <c r="B516" s="1" t="n">
        <v>44642</v>
      </c>
      <c r="C516" s="1" t="n">
        <v>45578</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14959-2022</t>
        </is>
      </c>
      <c r="B517" s="1" t="n">
        <v>44657</v>
      </c>
      <c r="C517" s="1" t="n">
        <v>45578</v>
      </c>
      <c r="D517" t="inlineStr">
        <is>
          <t>VÄSTERBOTTENS LÄN</t>
        </is>
      </c>
      <c r="E517" t="inlineStr">
        <is>
          <t>VILHELMINA</t>
        </is>
      </c>
      <c r="G517" t="n">
        <v>71.8</v>
      </c>
      <c r="H517" t="n">
        <v>0</v>
      </c>
      <c r="I517" t="n">
        <v>0</v>
      </c>
      <c r="J517" t="n">
        <v>0</v>
      </c>
      <c r="K517" t="n">
        <v>0</v>
      </c>
      <c r="L517" t="n">
        <v>0</v>
      </c>
      <c r="M517" t="n">
        <v>0</v>
      </c>
      <c r="N517" t="n">
        <v>0</v>
      </c>
      <c r="O517" t="n">
        <v>0</v>
      </c>
      <c r="P517" t="n">
        <v>0</v>
      </c>
      <c r="Q517" t="n">
        <v>0</v>
      </c>
      <c r="R517" s="2" t="inlineStr"/>
    </row>
    <row r="518" ht="15" customHeight="1">
      <c r="A518" t="inlineStr">
        <is>
          <t>A 14961-2022</t>
        </is>
      </c>
      <c r="B518" s="1" t="n">
        <v>44657</v>
      </c>
      <c r="C518" s="1" t="n">
        <v>45578</v>
      </c>
      <c r="D518" t="inlineStr">
        <is>
          <t>VÄSTERBOTTENS LÄN</t>
        </is>
      </c>
      <c r="E518" t="inlineStr">
        <is>
          <t>VILHELMINA</t>
        </is>
      </c>
      <c r="G518" t="n">
        <v>19.9</v>
      </c>
      <c r="H518" t="n">
        <v>0</v>
      </c>
      <c r="I518" t="n">
        <v>0</v>
      </c>
      <c r="J518" t="n">
        <v>0</v>
      </c>
      <c r="K518" t="n">
        <v>0</v>
      </c>
      <c r="L518" t="n">
        <v>0</v>
      </c>
      <c r="M518" t="n">
        <v>0</v>
      </c>
      <c r="N518" t="n">
        <v>0</v>
      </c>
      <c r="O518" t="n">
        <v>0</v>
      </c>
      <c r="P518" t="n">
        <v>0</v>
      </c>
      <c r="Q518" t="n">
        <v>0</v>
      </c>
      <c r="R518" s="2" t="inlineStr"/>
    </row>
    <row r="519" ht="15" customHeight="1">
      <c r="A519" t="inlineStr">
        <is>
          <t>A 14963-2022</t>
        </is>
      </c>
      <c r="B519" s="1" t="n">
        <v>44657</v>
      </c>
      <c r="C519" s="1" t="n">
        <v>45578</v>
      </c>
      <c r="D519" t="inlineStr">
        <is>
          <t>VÄSTERBOTTENS LÄN</t>
        </is>
      </c>
      <c r="E519" t="inlineStr">
        <is>
          <t>VILHELMINA</t>
        </is>
      </c>
      <c r="G519" t="n">
        <v>11.5</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45578</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17591-2022</t>
        </is>
      </c>
      <c r="B521" s="1" t="n">
        <v>44679</v>
      </c>
      <c r="C521" s="1" t="n">
        <v>45578</v>
      </c>
      <c r="D521" t="inlineStr">
        <is>
          <t>VÄSTERBOTTENS LÄN</t>
        </is>
      </c>
      <c r="E521" t="inlineStr">
        <is>
          <t>VILHELMINA</t>
        </is>
      </c>
      <c r="F521" t="inlineStr">
        <is>
          <t>SCA</t>
        </is>
      </c>
      <c r="G521" t="n">
        <v>10</v>
      </c>
      <c r="H521" t="n">
        <v>0</v>
      </c>
      <c r="I521" t="n">
        <v>0</v>
      </c>
      <c r="J521" t="n">
        <v>0</v>
      </c>
      <c r="K521" t="n">
        <v>0</v>
      </c>
      <c r="L521" t="n">
        <v>0</v>
      </c>
      <c r="M521" t="n">
        <v>0</v>
      </c>
      <c r="N521" t="n">
        <v>0</v>
      </c>
      <c r="O521" t="n">
        <v>0</v>
      </c>
      <c r="P521" t="n">
        <v>0</v>
      </c>
      <c r="Q521" t="n">
        <v>0</v>
      </c>
      <c r="R521" s="2" t="inlineStr"/>
    </row>
    <row r="522" ht="15" customHeight="1">
      <c r="A522" t="inlineStr">
        <is>
          <t>A 17590-2022</t>
        </is>
      </c>
      <c r="B522" s="1" t="n">
        <v>44679</v>
      </c>
      <c r="C522" s="1" t="n">
        <v>45578</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18497-2022</t>
        </is>
      </c>
      <c r="B523" s="1" t="n">
        <v>44686</v>
      </c>
      <c r="C523" s="1" t="n">
        <v>45578</v>
      </c>
      <c r="D523" t="inlineStr">
        <is>
          <t>VÄSTERBOTTENS LÄN</t>
        </is>
      </c>
      <c r="E523" t="inlineStr">
        <is>
          <t>VILHELMINA</t>
        </is>
      </c>
      <c r="F523" t="inlineStr">
        <is>
          <t>Övriga statliga verk och myndigheter</t>
        </is>
      </c>
      <c r="G523" t="n">
        <v>64.7</v>
      </c>
      <c r="H523" t="n">
        <v>0</v>
      </c>
      <c r="I523" t="n">
        <v>0</v>
      </c>
      <c r="J523" t="n">
        <v>0</v>
      </c>
      <c r="K523" t="n">
        <v>0</v>
      </c>
      <c r="L523" t="n">
        <v>0</v>
      </c>
      <c r="M523" t="n">
        <v>0</v>
      </c>
      <c r="N523" t="n">
        <v>0</v>
      </c>
      <c r="O523" t="n">
        <v>0</v>
      </c>
      <c r="P523" t="n">
        <v>0</v>
      </c>
      <c r="Q523" t="n">
        <v>0</v>
      </c>
      <c r="R523" s="2" t="inlineStr"/>
    </row>
    <row r="524" ht="15" customHeight="1">
      <c r="A524" t="inlineStr">
        <is>
          <t>A 18564-2022</t>
        </is>
      </c>
      <c r="B524" s="1" t="n">
        <v>44686</v>
      </c>
      <c r="C524" s="1" t="n">
        <v>45578</v>
      </c>
      <c r="D524" t="inlineStr">
        <is>
          <t>VÄSTERBOTTENS LÄN</t>
        </is>
      </c>
      <c r="E524" t="inlineStr">
        <is>
          <t>VILHELMINA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18995-2022</t>
        </is>
      </c>
      <c r="B525" s="1" t="n">
        <v>44690</v>
      </c>
      <c r="C525" s="1" t="n">
        <v>45578</v>
      </c>
      <c r="D525" t="inlineStr">
        <is>
          <t>VÄSTERBOTTENS LÄN</t>
        </is>
      </c>
      <c r="E525" t="inlineStr">
        <is>
          <t>VILHELMINA</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18996-2022</t>
        </is>
      </c>
      <c r="B526" s="1" t="n">
        <v>44690</v>
      </c>
      <c r="C526" s="1" t="n">
        <v>45578</v>
      </c>
      <c r="D526" t="inlineStr">
        <is>
          <t>VÄSTERBOTTENS LÄN</t>
        </is>
      </c>
      <c r="E526" t="inlineStr">
        <is>
          <t>VILHELMINA</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19394-2022</t>
        </is>
      </c>
      <c r="B527" s="1" t="n">
        <v>44692</v>
      </c>
      <c r="C527" s="1" t="n">
        <v>45578</v>
      </c>
      <c r="D527" t="inlineStr">
        <is>
          <t>VÄSTERBOTTENS LÄN</t>
        </is>
      </c>
      <c r="E527" t="inlineStr">
        <is>
          <t>VILHELMINA</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19471-2022</t>
        </is>
      </c>
      <c r="B528" s="1" t="n">
        <v>44693</v>
      </c>
      <c r="C528" s="1" t="n">
        <v>45578</v>
      </c>
      <c r="D528" t="inlineStr">
        <is>
          <t>VÄSTERBOTTENS LÄN</t>
        </is>
      </c>
      <c r="E528" t="inlineStr">
        <is>
          <t>VILHELMINA</t>
        </is>
      </c>
      <c r="G528" t="n">
        <v>1.6</v>
      </c>
      <c r="H528" t="n">
        <v>0</v>
      </c>
      <c r="I528" t="n">
        <v>0</v>
      </c>
      <c r="J528" t="n">
        <v>0</v>
      </c>
      <c r="K528" t="n">
        <v>0</v>
      </c>
      <c r="L528" t="n">
        <v>0</v>
      </c>
      <c r="M528" t="n">
        <v>0</v>
      </c>
      <c r="N528" t="n">
        <v>0</v>
      </c>
      <c r="O528" t="n">
        <v>0</v>
      </c>
      <c r="P528" t="n">
        <v>0</v>
      </c>
      <c r="Q528" t="n">
        <v>0</v>
      </c>
      <c r="R528" s="2" t="inlineStr"/>
    </row>
    <row r="529" ht="15" customHeight="1">
      <c r="A529" t="inlineStr">
        <is>
          <t>A 19423-2022</t>
        </is>
      </c>
      <c r="B529" s="1" t="n">
        <v>44693</v>
      </c>
      <c r="C529" s="1" t="n">
        <v>45578</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20298-2022</t>
        </is>
      </c>
      <c r="B530" s="1" t="n">
        <v>44698</v>
      </c>
      <c r="C530" s="1" t="n">
        <v>45578</v>
      </c>
      <c r="D530" t="inlineStr">
        <is>
          <t>VÄSTERBOTTENS LÄN</t>
        </is>
      </c>
      <c r="E530" t="inlineStr">
        <is>
          <t>VILHELMINA</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20322-2022</t>
        </is>
      </c>
      <c r="B531" s="1" t="n">
        <v>44698</v>
      </c>
      <c r="C531" s="1" t="n">
        <v>45578</v>
      </c>
      <c r="D531" t="inlineStr">
        <is>
          <t>VÄSTERBOTTENS LÄN</t>
        </is>
      </c>
      <c r="E531" t="inlineStr">
        <is>
          <t>VILHELMINA</t>
        </is>
      </c>
      <c r="G531" t="n">
        <v>10.5</v>
      </c>
      <c r="H531" t="n">
        <v>0</v>
      </c>
      <c r="I531" t="n">
        <v>0</v>
      </c>
      <c r="J531" t="n">
        <v>0</v>
      </c>
      <c r="K531" t="n">
        <v>0</v>
      </c>
      <c r="L531" t="n">
        <v>0</v>
      </c>
      <c r="M531" t="n">
        <v>0</v>
      </c>
      <c r="N531" t="n">
        <v>0</v>
      </c>
      <c r="O531" t="n">
        <v>0</v>
      </c>
      <c r="P531" t="n">
        <v>0</v>
      </c>
      <c r="Q531" t="n">
        <v>0</v>
      </c>
      <c r="R531" s="2" t="inlineStr"/>
    </row>
    <row r="532" ht="15" customHeight="1">
      <c r="A532" t="inlineStr">
        <is>
          <t>A 20720-2022</t>
        </is>
      </c>
      <c r="B532" s="1" t="n">
        <v>44700</v>
      </c>
      <c r="C532" s="1" t="n">
        <v>45578</v>
      </c>
      <c r="D532" t="inlineStr">
        <is>
          <t>VÄSTERBOTTENS LÄN</t>
        </is>
      </c>
      <c r="E532" t="inlineStr">
        <is>
          <t>VILHELMINA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20719-2022</t>
        </is>
      </c>
      <c r="B533" s="1" t="n">
        <v>44701</v>
      </c>
      <c r="C533" s="1" t="n">
        <v>45578</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21806-2022</t>
        </is>
      </c>
      <c r="B534" s="1" t="n">
        <v>44708</v>
      </c>
      <c r="C534" s="1" t="n">
        <v>45578</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21808-2022</t>
        </is>
      </c>
      <c r="B535" s="1" t="n">
        <v>44708</v>
      </c>
      <c r="C535" s="1" t="n">
        <v>45578</v>
      </c>
      <c r="D535" t="inlineStr">
        <is>
          <t>VÄSTERBOTTENS LÄN</t>
        </is>
      </c>
      <c r="E535" t="inlineStr">
        <is>
          <t>VILHELMINA</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21814-2022</t>
        </is>
      </c>
      <c r="B536" s="1" t="n">
        <v>44708</v>
      </c>
      <c r="C536" s="1" t="n">
        <v>45578</v>
      </c>
      <c r="D536" t="inlineStr">
        <is>
          <t>VÄSTERBOTTENS LÄN</t>
        </is>
      </c>
      <c r="E536" t="inlineStr">
        <is>
          <t>VILHELMINA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22325-2022</t>
        </is>
      </c>
      <c r="B537" s="1" t="n">
        <v>44712</v>
      </c>
      <c r="C537" s="1" t="n">
        <v>45578</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22405-2022</t>
        </is>
      </c>
      <c r="B538" s="1" t="n">
        <v>44713</v>
      </c>
      <c r="C538" s="1" t="n">
        <v>45578</v>
      </c>
      <c r="D538" t="inlineStr">
        <is>
          <t>VÄSTERBOTTENS LÄN</t>
        </is>
      </c>
      <c r="E538" t="inlineStr">
        <is>
          <t>VILHELMINA</t>
        </is>
      </c>
      <c r="G538" t="n">
        <v>13.2</v>
      </c>
      <c r="H538" t="n">
        <v>0</v>
      </c>
      <c r="I538" t="n">
        <v>0</v>
      </c>
      <c r="J538" t="n">
        <v>0</v>
      </c>
      <c r="K538" t="n">
        <v>0</v>
      </c>
      <c r="L538" t="n">
        <v>0</v>
      </c>
      <c r="M538" t="n">
        <v>0</v>
      </c>
      <c r="N538" t="n">
        <v>0</v>
      </c>
      <c r="O538" t="n">
        <v>0</v>
      </c>
      <c r="P538" t="n">
        <v>0</v>
      </c>
      <c r="Q538" t="n">
        <v>0</v>
      </c>
      <c r="R538" s="2" t="inlineStr"/>
    </row>
    <row r="539" ht="15" customHeight="1">
      <c r="A539" t="inlineStr">
        <is>
          <t>A 23210-2022</t>
        </is>
      </c>
      <c r="B539" s="1" t="n">
        <v>44719</v>
      </c>
      <c r="C539" s="1" t="n">
        <v>45578</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24296-2022</t>
        </is>
      </c>
      <c r="B540" s="1" t="n">
        <v>44726</v>
      </c>
      <c r="C540" s="1" t="n">
        <v>45578</v>
      </c>
      <c r="D540" t="inlineStr">
        <is>
          <t>VÄSTERBOTTENS LÄN</t>
        </is>
      </c>
      <c r="E540" t="inlineStr">
        <is>
          <t>VILHELMINA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24297-2022</t>
        </is>
      </c>
      <c r="B541" s="1" t="n">
        <v>44725</v>
      </c>
      <c r="C541" s="1" t="n">
        <v>45578</v>
      </c>
      <c r="D541" t="inlineStr">
        <is>
          <t>VÄSTERBOTTENS LÄN</t>
        </is>
      </c>
      <c r="E541" t="inlineStr">
        <is>
          <t>VILHELMINA</t>
        </is>
      </c>
      <c r="G541" t="n">
        <v>2.7</v>
      </c>
      <c r="H541" t="n">
        <v>0</v>
      </c>
      <c r="I541" t="n">
        <v>0</v>
      </c>
      <c r="J541" t="n">
        <v>0</v>
      </c>
      <c r="K541" t="n">
        <v>0</v>
      </c>
      <c r="L541" t="n">
        <v>0</v>
      </c>
      <c r="M541" t="n">
        <v>0</v>
      </c>
      <c r="N541" t="n">
        <v>0</v>
      </c>
      <c r="O541" t="n">
        <v>0</v>
      </c>
      <c r="P541" t="n">
        <v>0</v>
      </c>
      <c r="Q541" t="n">
        <v>0</v>
      </c>
      <c r="R541" s="2" t="inlineStr"/>
    </row>
    <row r="542" ht="15" customHeight="1">
      <c r="A542" t="inlineStr">
        <is>
          <t>A 25923-2022</t>
        </is>
      </c>
      <c r="B542" s="1" t="n">
        <v>44733</v>
      </c>
      <c r="C542" s="1" t="n">
        <v>45578</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26191-2022</t>
        </is>
      </c>
      <c r="B543" s="1" t="n">
        <v>44735</v>
      </c>
      <c r="C543" s="1" t="n">
        <v>45578</v>
      </c>
      <c r="D543" t="inlineStr">
        <is>
          <t>VÄSTERBOTTENS LÄN</t>
        </is>
      </c>
      <c r="E543" t="inlineStr">
        <is>
          <t>VILHELMINA</t>
        </is>
      </c>
      <c r="G543" t="n">
        <v>42.1</v>
      </c>
      <c r="H543" t="n">
        <v>0</v>
      </c>
      <c r="I543" t="n">
        <v>0</v>
      </c>
      <c r="J543" t="n">
        <v>0</v>
      </c>
      <c r="K543" t="n">
        <v>0</v>
      </c>
      <c r="L543" t="n">
        <v>0</v>
      </c>
      <c r="M543" t="n">
        <v>0</v>
      </c>
      <c r="N543" t="n">
        <v>0</v>
      </c>
      <c r="O543" t="n">
        <v>0</v>
      </c>
      <c r="P543" t="n">
        <v>0</v>
      </c>
      <c r="Q543" t="n">
        <v>0</v>
      </c>
      <c r="R543" s="2" t="inlineStr"/>
    </row>
    <row r="544" ht="15" customHeight="1">
      <c r="A544" t="inlineStr">
        <is>
          <t>A 26401-2022</t>
        </is>
      </c>
      <c r="B544" s="1" t="n">
        <v>44735</v>
      </c>
      <c r="C544" s="1" t="n">
        <v>45578</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26409-2022</t>
        </is>
      </c>
      <c r="B545" s="1" t="n">
        <v>44735</v>
      </c>
      <c r="C545" s="1" t="n">
        <v>45578</v>
      </c>
      <c r="D545" t="inlineStr">
        <is>
          <t>VÄSTERBOTTENS LÄN</t>
        </is>
      </c>
      <c r="E545" t="inlineStr">
        <is>
          <t>VILHELMINA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26410-2022</t>
        </is>
      </c>
      <c r="B546" s="1" t="n">
        <v>44735</v>
      </c>
      <c r="C546" s="1" t="n">
        <v>45578</v>
      </c>
      <c r="D546" t="inlineStr">
        <is>
          <t>VÄSTERBOTTENS LÄN</t>
        </is>
      </c>
      <c r="E546" t="inlineStr">
        <is>
          <t>VILHELMINA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27127-2022</t>
        </is>
      </c>
      <c r="B547" s="1" t="n">
        <v>44741</v>
      </c>
      <c r="C547" s="1" t="n">
        <v>45578</v>
      </c>
      <c r="D547" t="inlineStr">
        <is>
          <t>VÄSTERBOTTENS LÄN</t>
        </is>
      </c>
      <c r="E547" t="inlineStr">
        <is>
          <t>VILHELMINA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27865-2022</t>
        </is>
      </c>
      <c r="B548" s="1" t="n">
        <v>44743</v>
      </c>
      <c r="C548" s="1" t="n">
        <v>45578</v>
      </c>
      <c r="D548" t="inlineStr">
        <is>
          <t>VÄSTERBOTTENS LÄN</t>
        </is>
      </c>
      <c r="E548" t="inlineStr">
        <is>
          <t>VILHELMINA</t>
        </is>
      </c>
      <c r="F548" t="inlineStr">
        <is>
          <t>Sveaskog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27881-2022</t>
        </is>
      </c>
      <c r="B549" s="1" t="n">
        <v>44743</v>
      </c>
      <c r="C549" s="1" t="n">
        <v>45578</v>
      </c>
      <c r="D549" t="inlineStr">
        <is>
          <t>VÄSTERBOTTENS LÄN</t>
        </is>
      </c>
      <c r="E549" t="inlineStr">
        <is>
          <t>VILHELMINA</t>
        </is>
      </c>
      <c r="F549" t="inlineStr">
        <is>
          <t>Sveaskog</t>
        </is>
      </c>
      <c r="G549" t="n">
        <v>14.3</v>
      </c>
      <c r="H549" t="n">
        <v>0</v>
      </c>
      <c r="I549" t="n">
        <v>0</v>
      </c>
      <c r="J549" t="n">
        <v>0</v>
      </c>
      <c r="K549" t="n">
        <v>0</v>
      </c>
      <c r="L549" t="n">
        <v>0</v>
      </c>
      <c r="M549" t="n">
        <v>0</v>
      </c>
      <c r="N549" t="n">
        <v>0</v>
      </c>
      <c r="O549" t="n">
        <v>0</v>
      </c>
      <c r="P549" t="n">
        <v>0</v>
      </c>
      <c r="Q549" t="n">
        <v>0</v>
      </c>
      <c r="R549" s="2" t="inlineStr"/>
    </row>
    <row r="550" ht="15" customHeight="1">
      <c r="A550" t="inlineStr">
        <is>
          <t>A 27714-2022</t>
        </is>
      </c>
      <c r="B550" s="1" t="n">
        <v>44743</v>
      </c>
      <c r="C550" s="1" t="n">
        <v>45578</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27848-2022</t>
        </is>
      </c>
      <c r="B551" s="1" t="n">
        <v>44743</v>
      </c>
      <c r="C551" s="1" t="n">
        <v>45578</v>
      </c>
      <c r="D551" t="inlineStr">
        <is>
          <t>VÄSTERBOTTENS LÄN</t>
        </is>
      </c>
      <c r="E551" t="inlineStr">
        <is>
          <t>VILHELMINA</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27880-2022</t>
        </is>
      </c>
      <c r="B552" s="1" t="n">
        <v>44743</v>
      </c>
      <c r="C552" s="1" t="n">
        <v>45578</v>
      </c>
      <c r="D552" t="inlineStr">
        <is>
          <t>VÄSTERBOTTENS LÄN</t>
        </is>
      </c>
      <c r="E552" t="inlineStr">
        <is>
          <t>VILHELMINA</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27889-2022</t>
        </is>
      </c>
      <c r="B553" s="1" t="n">
        <v>44743</v>
      </c>
      <c r="C553" s="1" t="n">
        <v>45578</v>
      </c>
      <c r="D553" t="inlineStr">
        <is>
          <t>VÄSTERBOTTENS LÄN</t>
        </is>
      </c>
      <c r="E553" t="inlineStr">
        <is>
          <t>VILHELMINA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27874-2022</t>
        </is>
      </c>
      <c r="B554" s="1" t="n">
        <v>44743</v>
      </c>
      <c r="C554" s="1" t="n">
        <v>45578</v>
      </c>
      <c r="D554" t="inlineStr">
        <is>
          <t>VÄSTERBOTTENS LÄN</t>
        </is>
      </c>
      <c r="E554" t="inlineStr">
        <is>
          <t>VILHELMINA</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27920-2022</t>
        </is>
      </c>
      <c r="B555" s="1" t="n">
        <v>44743</v>
      </c>
      <c r="C555" s="1" t="n">
        <v>45578</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27844-2022</t>
        </is>
      </c>
      <c r="B556" s="1" t="n">
        <v>44743</v>
      </c>
      <c r="C556" s="1" t="n">
        <v>45578</v>
      </c>
      <c r="D556" t="inlineStr">
        <is>
          <t>VÄSTERBOTTENS LÄN</t>
        </is>
      </c>
      <c r="E556" t="inlineStr">
        <is>
          <t>VILHELMINA</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27879-2022</t>
        </is>
      </c>
      <c r="B557" s="1" t="n">
        <v>44743</v>
      </c>
      <c r="C557" s="1" t="n">
        <v>45578</v>
      </c>
      <c r="D557" t="inlineStr">
        <is>
          <t>VÄSTERBOTTENS LÄN</t>
        </is>
      </c>
      <c r="E557" t="inlineStr">
        <is>
          <t>VILHELMINA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44744</v>
      </c>
      <c r="C558" s="1" t="n">
        <v>45578</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27938-2022</t>
        </is>
      </c>
      <c r="B559" s="1" t="n">
        <v>44744</v>
      </c>
      <c r="C559" s="1" t="n">
        <v>45578</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27922-2022</t>
        </is>
      </c>
      <c r="B560" s="1" t="n">
        <v>44744</v>
      </c>
      <c r="C560" s="1" t="n">
        <v>45578</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27937-2022</t>
        </is>
      </c>
      <c r="B561" s="1" t="n">
        <v>44744</v>
      </c>
      <c r="C561" s="1" t="n">
        <v>45578</v>
      </c>
      <c r="D561" t="inlineStr">
        <is>
          <t>VÄSTERBOTTENS LÄN</t>
        </is>
      </c>
      <c r="E561" t="inlineStr">
        <is>
          <t>VILHELMINA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27935-2022</t>
        </is>
      </c>
      <c r="B562" s="1" t="n">
        <v>44744</v>
      </c>
      <c r="C562" s="1" t="n">
        <v>45578</v>
      </c>
      <c r="D562" t="inlineStr">
        <is>
          <t>VÄSTERBOTTENS LÄN</t>
        </is>
      </c>
      <c r="E562" t="inlineStr">
        <is>
          <t>VILHELMINA</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27919-2022</t>
        </is>
      </c>
      <c r="B563" s="1" t="n">
        <v>44744</v>
      </c>
      <c r="C563" s="1" t="n">
        <v>45578</v>
      </c>
      <c r="D563" t="inlineStr">
        <is>
          <t>VÄSTERBOTTENS LÄN</t>
        </is>
      </c>
      <c r="E563" t="inlineStr">
        <is>
          <t>VILHELMINA</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28378-2022</t>
        </is>
      </c>
      <c r="B564" s="1" t="n">
        <v>44747</v>
      </c>
      <c r="C564" s="1" t="n">
        <v>45578</v>
      </c>
      <c r="D564" t="inlineStr">
        <is>
          <t>VÄSTERBOTTENS LÄN</t>
        </is>
      </c>
      <c r="E564" t="inlineStr">
        <is>
          <t>VILHELMINA</t>
        </is>
      </c>
      <c r="F564" t="inlineStr">
        <is>
          <t>Sveaskog</t>
        </is>
      </c>
      <c r="G564" t="n">
        <v>10.3</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45578</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28485-2022</t>
        </is>
      </c>
      <c r="B566" s="1" t="n">
        <v>44748</v>
      </c>
      <c r="C566" s="1" t="n">
        <v>45578</v>
      </c>
      <c r="D566" t="inlineStr">
        <is>
          <t>VÄSTERBOTTENS LÄN</t>
        </is>
      </c>
      <c r="E566" t="inlineStr">
        <is>
          <t>VILHELMINA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28722-2022</t>
        </is>
      </c>
      <c r="B567" s="1" t="n">
        <v>44748</v>
      </c>
      <c r="C567" s="1" t="n">
        <v>45578</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29555-2022</t>
        </is>
      </c>
      <c r="B568" s="1" t="n">
        <v>44754</v>
      </c>
      <c r="C568" s="1" t="n">
        <v>45578</v>
      </c>
      <c r="D568" t="inlineStr">
        <is>
          <t>VÄSTERBOTTENS LÄN</t>
        </is>
      </c>
      <c r="E568" t="inlineStr">
        <is>
          <t>VILHELMINA</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29773-2022</t>
        </is>
      </c>
      <c r="B569" s="1" t="n">
        <v>44755</v>
      </c>
      <c r="C569" s="1" t="n">
        <v>45578</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29855-2022</t>
        </is>
      </c>
      <c r="B570" s="1" t="n">
        <v>44756</v>
      </c>
      <c r="C570" s="1" t="n">
        <v>45578</v>
      </c>
      <c r="D570" t="inlineStr">
        <is>
          <t>VÄSTERBOTTENS LÄN</t>
        </is>
      </c>
      <c r="E570" t="inlineStr">
        <is>
          <t>VILHELMINA</t>
        </is>
      </c>
      <c r="G570" t="n">
        <v>3.4</v>
      </c>
      <c r="H570" t="n">
        <v>0</v>
      </c>
      <c r="I570" t="n">
        <v>0</v>
      </c>
      <c r="J570" t="n">
        <v>0</v>
      </c>
      <c r="K570" t="n">
        <v>0</v>
      </c>
      <c r="L570" t="n">
        <v>0</v>
      </c>
      <c r="M570" t="n">
        <v>0</v>
      </c>
      <c r="N570" t="n">
        <v>0</v>
      </c>
      <c r="O570" t="n">
        <v>0</v>
      </c>
      <c r="P570" t="n">
        <v>0</v>
      </c>
      <c r="Q570" t="n">
        <v>0</v>
      </c>
      <c r="R570" s="2" t="inlineStr"/>
    </row>
    <row r="571" ht="15" customHeight="1">
      <c r="A571" t="inlineStr">
        <is>
          <t>A 30018-2022</t>
        </is>
      </c>
      <c r="B571" s="1" t="n">
        <v>44756</v>
      </c>
      <c r="C571" s="1" t="n">
        <v>45578</v>
      </c>
      <c r="D571" t="inlineStr">
        <is>
          <t>VÄSTERBOTTENS LÄN</t>
        </is>
      </c>
      <c r="E571" t="inlineStr">
        <is>
          <t>VILHELMINA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30025-2022</t>
        </is>
      </c>
      <c r="B572" s="1" t="n">
        <v>44757</v>
      </c>
      <c r="C572" s="1" t="n">
        <v>45578</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30020-2022</t>
        </is>
      </c>
      <c r="B573" s="1" t="n">
        <v>44757</v>
      </c>
      <c r="C573" s="1" t="n">
        <v>45578</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30019-2022</t>
        </is>
      </c>
      <c r="B574" s="1" t="n">
        <v>44757</v>
      </c>
      <c r="C574" s="1" t="n">
        <v>45578</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30130-2022</t>
        </is>
      </c>
      <c r="B575" s="1" t="n">
        <v>44757</v>
      </c>
      <c r="C575" s="1" t="n">
        <v>45578</v>
      </c>
      <c r="D575" t="inlineStr">
        <is>
          <t>VÄSTERBOTTENS LÄN</t>
        </is>
      </c>
      <c r="E575" t="inlineStr">
        <is>
          <t>VILHELMINA</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31320-2022</t>
        </is>
      </c>
      <c r="B576" s="1" t="n">
        <v>44773</v>
      </c>
      <c r="C576" s="1" t="n">
        <v>45578</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32960-2022</t>
        </is>
      </c>
      <c r="B577" s="1" t="n">
        <v>44784</v>
      </c>
      <c r="C577" s="1" t="n">
        <v>45578</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33001-2022</t>
        </is>
      </c>
      <c r="B578" s="1" t="n">
        <v>44784</v>
      </c>
      <c r="C578" s="1" t="n">
        <v>45578</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33512-2022</t>
        </is>
      </c>
      <c r="B579" s="1" t="n">
        <v>44788</v>
      </c>
      <c r="C579" s="1" t="n">
        <v>45578</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33495-2022</t>
        </is>
      </c>
      <c r="B580" s="1" t="n">
        <v>44788</v>
      </c>
      <c r="C580" s="1" t="n">
        <v>45578</v>
      </c>
      <c r="D580" t="inlineStr">
        <is>
          <t>VÄSTERBOTTENS LÄN</t>
        </is>
      </c>
      <c r="E580" t="inlineStr">
        <is>
          <t>VILHELMINA</t>
        </is>
      </c>
      <c r="G580" t="n">
        <v>1</v>
      </c>
      <c r="H580" t="n">
        <v>0</v>
      </c>
      <c r="I580" t="n">
        <v>0</v>
      </c>
      <c r="J580" t="n">
        <v>0</v>
      </c>
      <c r="K580" t="n">
        <v>0</v>
      </c>
      <c r="L580" t="n">
        <v>0</v>
      </c>
      <c r="M580" t="n">
        <v>0</v>
      </c>
      <c r="N580" t="n">
        <v>0</v>
      </c>
      <c r="O580" t="n">
        <v>0</v>
      </c>
      <c r="P580" t="n">
        <v>0</v>
      </c>
      <c r="Q580" t="n">
        <v>0</v>
      </c>
      <c r="R580" s="2" t="inlineStr"/>
    </row>
    <row r="581" ht="15" customHeight="1">
      <c r="A581" t="inlineStr">
        <is>
          <t>A 33510-2022</t>
        </is>
      </c>
      <c r="B581" s="1" t="n">
        <v>44788</v>
      </c>
      <c r="C581" s="1" t="n">
        <v>45578</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33603-2022</t>
        </is>
      </c>
      <c r="B582" s="1" t="n">
        <v>44789</v>
      </c>
      <c r="C582" s="1" t="n">
        <v>45578</v>
      </c>
      <c r="D582" t="inlineStr">
        <is>
          <t>VÄSTERBOTTENS LÄN</t>
        </is>
      </c>
      <c r="E582" t="inlineStr">
        <is>
          <t>VILHELMINA</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33989-2022</t>
        </is>
      </c>
      <c r="B583" s="1" t="n">
        <v>44790</v>
      </c>
      <c r="C583" s="1" t="n">
        <v>45578</v>
      </c>
      <c r="D583" t="inlineStr">
        <is>
          <t>VÄSTERBOTTENS LÄN</t>
        </is>
      </c>
      <c r="E583" t="inlineStr">
        <is>
          <t>VILHELMINA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35003-2022</t>
        </is>
      </c>
      <c r="B584" s="1" t="n">
        <v>44797</v>
      </c>
      <c r="C584" s="1" t="n">
        <v>45578</v>
      </c>
      <c r="D584" t="inlineStr">
        <is>
          <t>VÄSTERBOTTENS LÄN</t>
        </is>
      </c>
      <c r="E584" t="inlineStr">
        <is>
          <t>VILHELMINA</t>
        </is>
      </c>
      <c r="G584" t="n">
        <v>3.7</v>
      </c>
      <c r="H584" t="n">
        <v>0</v>
      </c>
      <c r="I584" t="n">
        <v>0</v>
      </c>
      <c r="J584" t="n">
        <v>0</v>
      </c>
      <c r="K584" t="n">
        <v>0</v>
      </c>
      <c r="L584" t="n">
        <v>0</v>
      </c>
      <c r="M584" t="n">
        <v>0</v>
      </c>
      <c r="N584" t="n">
        <v>0</v>
      </c>
      <c r="O584" t="n">
        <v>0</v>
      </c>
      <c r="P584" t="n">
        <v>0</v>
      </c>
      <c r="Q584" t="n">
        <v>0</v>
      </c>
      <c r="R584" s="2" t="inlineStr"/>
    </row>
    <row r="585" ht="15" customHeight="1">
      <c r="A585" t="inlineStr">
        <is>
          <t>A 35178-2022</t>
        </is>
      </c>
      <c r="B585" s="1" t="n">
        <v>44797</v>
      </c>
      <c r="C585" s="1" t="n">
        <v>45578</v>
      </c>
      <c r="D585" t="inlineStr">
        <is>
          <t>VÄSTERBOTTENS LÄN</t>
        </is>
      </c>
      <c r="E585" t="inlineStr">
        <is>
          <t>VILHELMINA</t>
        </is>
      </c>
      <c r="F585" t="inlineStr">
        <is>
          <t>Övriga statliga verk och myndigheter</t>
        </is>
      </c>
      <c r="G585" t="n">
        <v>32.5</v>
      </c>
      <c r="H585" t="n">
        <v>0</v>
      </c>
      <c r="I585" t="n">
        <v>0</v>
      </c>
      <c r="J585" t="n">
        <v>0</v>
      </c>
      <c r="K585" t="n">
        <v>0</v>
      </c>
      <c r="L585" t="n">
        <v>0</v>
      </c>
      <c r="M585" t="n">
        <v>0</v>
      </c>
      <c r="N585" t="n">
        <v>0</v>
      </c>
      <c r="O585" t="n">
        <v>0</v>
      </c>
      <c r="P585" t="n">
        <v>0</v>
      </c>
      <c r="Q585" t="n">
        <v>0</v>
      </c>
      <c r="R585" s="2" t="inlineStr"/>
    </row>
    <row r="586" ht="15" customHeight="1">
      <c r="A586" t="inlineStr">
        <is>
          <t>A 35514-2022</t>
        </is>
      </c>
      <c r="B586" s="1" t="n">
        <v>44799</v>
      </c>
      <c r="C586" s="1" t="n">
        <v>45578</v>
      </c>
      <c r="D586" t="inlineStr">
        <is>
          <t>VÄSTERBOTTENS LÄN</t>
        </is>
      </c>
      <c r="E586" t="inlineStr">
        <is>
          <t>VILHELMINA</t>
        </is>
      </c>
      <c r="F586" t="inlineStr">
        <is>
          <t>SCA</t>
        </is>
      </c>
      <c r="G586" t="n">
        <v>10.9</v>
      </c>
      <c r="H586" t="n">
        <v>0</v>
      </c>
      <c r="I586" t="n">
        <v>0</v>
      </c>
      <c r="J586" t="n">
        <v>0</v>
      </c>
      <c r="K586" t="n">
        <v>0</v>
      </c>
      <c r="L586" t="n">
        <v>0</v>
      </c>
      <c r="M586" t="n">
        <v>0</v>
      </c>
      <c r="N586" t="n">
        <v>0</v>
      </c>
      <c r="O586" t="n">
        <v>0</v>
      </c>
      <c r="P586" t="n">
        <v>0</v>
      </c>
      <c r="Q586" t="n">
        <v>0</v>
      </c>
      <c r="R586" s="2" t="inlineStr"/>
    </row>
    <row r="587" ht="15" customHeight="1">
      <c r="A587" t="inlineStr">
        <is>
          <t>A 35506-2022</t>
        </is>
      </c>
      <c r="B587" s="1" t="n">
        <v>44798</v>
      </c>
      <c r="C587" s="1" t="n">
        <v>45578</v>
      </c>
      <c r="D587" t="inlineStr">
        <is>
          <t>VÄSTERBOTTENS LÄN</t>
        </is>
      </c>
      <c r="E587" t="inlineStr">
        <is>
          <t>VILHELMINA</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35515-2022</t>
        </is>
      </c>
      <c r="B588" s="1" t="n">
        <v>44799</v>
      </c>
      <c r="C588" s="1" t="n">
        <v>45578</v>
      </c>
      <c r="D588" t="inlineStr">
        <is>
          <t>VÄSTERBOTTENS LÄN</t>
        </is>
      </c>
      <c r="E588" t="inlineStr">
        <is>
          <t>VILHELMINA</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35513-2022</t>
        </is>
      </c>
      <c r="B589" s="1" t="n">
        <v>44799</v>
      </c>
      <c r="C589" s="1" t="n">
        <v>45578</v>
      </c>
      <c r="D589" t="inlineStr">
        <is>
          <t>VÄSTERBOTTENS LÄN</t>
        </is>
      </c>
      <c r="E589" t="inlineStr">
        <is>
          <t>VILHELMINA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35686-2022</t>
        </is>
      </c>
      <c r="B590" s="1" t="n">
        <v>44799</v>
      </c>
      <c r="C590" s="1" t="n">
        <v>45578</v>
      </c>
      <c r="D590" t="inlineStr">
        <is>
          <t>VÄSTERBOTTENS LÄN</t>
        </is>
      </c>
      <c r="E590" t="inlineStr">
        <is>
          <t>VILHELMINA</t>
        </is>
      </c>
      <c r="F590" t="inlineStr">
        <is>
          <t>Övriga statliga verk och myndigheter</t>
        </is>
      </c>
      <c r="G590" t="n">
        <v>2.6</v>
      </c>
      <c r="H590" t="n">
        <v>0</v>
      </c>
      <c r="I590" t="n">
        <v>0</v>
      </c>
      <c r="J590" t="n">
        <v>0</v>
      </c>
      <c r="K590" t="n">
        <v>0</v>
      </c>
      <c r="L590" t="n">
        <v>0</v>
      </c>
      <c r="M590" t="n">
        <v>0</v>
      </c>
      <c r="N590" t="n">
        <v>0</v>
      </c>
      <c r="O590" t="n">
        <v>0</v>
      </c>
      <c r="P590" t="n">
        <v>0</v>
      </c>
      <c r="Q590" t="n">
        <v>0</v>
      </c>
      <c r="R590" s="2" t="inlineStr"/>
    </row>
    <row r="591" ht="15" customHeight="1">
      <c r="A591" t="inlineStr">
        <is>
          <t>A 36083-2022</t>
        </is>
      </c>
      <c r="B591" s="1" t="n">
        <v>44803</v>
      </c>
      <c r="C591" s="1" t="n">
        <v>45578</v>
      </c>
      <c r="D591" t="inlineStr">
        <is>
          <t>VÄSTERBOTTENS LÄN</t>
        </is>
      </c>
      <c r="E591" t="inlineStr">
        <is>
          <t>VILHELMINA</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36081-2022</t>
        </is>
      </c>
      <c r="B592" s="1" t="n">
        <v>44802</v>
      </c>
      <c r="C592" s="1" t="n">
        <v>45578</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36082-2022</t>
        </is>
      </c>
      <c r="B593" s="1" t="n">
        <v>44802</v>
      </c>
      <c r="C593" s="1" t="n">
        <v>45578</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36329-2022</t>
        </is>
      </c>
      <c r="B594" s="1" t="n">
        <v>44803</v>
      </c>
      <c r="C594" s="1" t="n">
        <v>45578</v>
      </c>
      <c r="D594" t="inlineStr">
        <is>
          <t>VÄSTERBOTTENS LÄN</t>
        </is>
      </c>
      <c r="E594" t="inlineStr">
        <is>
          <t>VILHELMINA</t>
        </is>
      </c>
      <c r="F594" t="inlineStr">
        <is>
          <t>Övriga statliga verk och myndigheter</t>
        </is>
      </c>
      <c r="G594" t="n">
        <v>30</v>
      </c>
      <c r="H594" t="n">
        <v>0</v>
      </c>
      <c r="I594" t="n">
        <v>0</v>
      </c>
      <c r="J594" t="n">
        <v>0</v>
      </c>
      <c r="K594" t="n">
        <v>0</v>
      </c>
      <c r="L594" t="n">
        <v>0</v>
      </c>
      <c r="M594" t="n">
        <v>0</v>
      </c>
      <c r="N594" t="n">
        <v>0</v>
      </c>
      <c r="O594" t="n">
        <v>0</v>
      </c>
      <c r="P594" t="n">
        <v>0</v>
      </c>
      <c r="Q594" t="n">
        <v>0</v>
      </c>
      <c r="R594" s="2" t="inlineStr"/>
    </row>
    <row r="595" ht="15" customHeight="1">
      <c r="A595" t="inlineStr">
        <is>
          <t>A 36929-2022</t>
        </is>
      </c>
      <c r="B595" s="1" t="n">
        <v>44806</v>
      </c>
      <c r="C595" s="1" t="n">
        <v>45578</v>
      </c>
      <c r="D595" t="inlineStr">
        <is>
          <t>VÄSTERBOTTENS LÄN</t>
        </is>
      </c>
      <c r="E595" t="inlineStr">
        <is>
          <t>VILHELMINA</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36931-2022</t>
        </is>
      </c>
      <c r="B596" s="1" t="n">
        <v>44805</v>
      </c>
      <c r="C596" s="1" t="n">
        <v>45578</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36930-2022</t>
        </is>
      </c>
      <c r="B597" s="1" t="n">
        <v>44805</v>
      </c>
      <c r="C597" s="1" t="n">
        <v>45578</v>
      </c>
      <c r="D597" t="inlineStr">
        <is>
          <t>VÄSTERBOTTENS LÄN</t>
        </is>
      </c>
      <c r="E597" t="inlineStr">
        <is>
          <t>VILHELMINA</t>
        </is>
      </c>
      <c r="F597" t="inlineStr">
        <is>
          <t>SCA</t>
        </is>
      </c>
      <c r="G597" t="n">
        <v>7.6</v>
      </c>
      <c r="H597" t="n">
        <v>0</v>
      </c>
      <c r="I597" t="n">
        <v>0</v>
      </c>
      <c r="J597" t="n">
        <v>0</v>
      </c>
      <c r="K597" t="n">
        <v>0</v>
      </c>
      <c r="L597" t="n">
        <v>0</v>
      </c>
      <c r="M597" t="n">
        <v>0</v>
      </c>
      <c r="N597" t="n">
        <v>0</v>
      </c>
      <c r="O597" t="n">
        <v>0</v>
      </c>
      <c r="P597" t="n">
        <v>0</v>
      </c>
      <c r="Q597" t="n">
        <v>0</v>
      </c>
      <c r="R597" s="2" t="inlineStr"/>
    </row>
    <row r="598" ht="15" customHeight="1">
      <c r="A598" t="inlineStr">
        <is>
          <t>A 37322-2022</t>
        </is>
      </c>
      <c r="B598" s="1" t="n">
        <v>44806</v>
      </c>
      <c r="C598" s="1" t="n">
        <v>45578</v>
      </c>
      <c r="D598" t="inlineStr">
        <is>
          <t>VÄSTERBOTTENS LÄN</t>
        </is>
      </c>
      <c r="E598" t="inlineStr">
        <is>
          <t>VILHELMINA</t>
        </is>
      </c>
      <c r="F598" t="inlineStr">
        <is>
          <t>Övriga statliga verk och myndigheter</t>
        </is>
      </c>
      <c r="G598" t="n">
        <v>15.4</v>
      </c>
      <c r="H598" t="n">
        <v>0</v>
      </c>
      <c r="I598" t="n">
        <v>0</v>
      </c>
      <c r="J598" t="n">
        <v>0</v>
      </c>
      <c r="K598" t="n">
        <v>0</v>
      </c>
      <c r="L598" t="n">
        <v>0</v>
      </c>
      <c r="M598" t="n">
        <v>0</v>
      </c>
      <c r="N598" t="n">
        <v>0</v>
      </c>
      <c r="O598" t="n">
        <v>0</v>
      </c>
      <c r="P598" t="n">
        <v>0</v>
      </c>
      <c r="Q598" t="n">
        <v>0</v>
      </c>
      <c r="R598" s="2" t="inlineStr"/>
    </row>
    <row r="599" ht="15" customHeight="1">
      <c r="A599" t="inlineStr">
        <is>
          <t>A 37325-2022</t>
        </is>
      </c>
      <c r="B599" s="1" t="n">
        <v>44806</v>
      </c>
      <c r="C599" s="1" t="n">
        <v>45578</v>
      </c>
      <c r="D599" t="inlineStr">
        <is>
          <t>VÄSTERBOTTENS LÄN</t>
        </is>
      </c>
      <c r="E599" t="inlineStr">
        <is>
          <t>VILHELMINA</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37655-2022</t>
        </is>
      </c>
      <c r="B600" s="1" t="n">
        <v>44810</v>
      </c>
      <c r="C600" s="1" t="n">
        <v>45578</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37661-2022</t>
        </is>
      </c>
      <c r="B601" s="1" t="n">
        <v>44810</v>
      </c>
      <c r="C601" s="1" t="n">
        <v>45578</v>
      </c>
      <c r="D601" t="inlineStr">
        <is>
          <t>VÄSTERBOTTENS LÄN</t>
        </is>
      </c>
      <c r="E601" t="inlineStr">
        <is>
          <t>VILHELMINA</t>
        </is>
      </c>
      <c r="G601" t="n">
        <v>5.8</v>
      </c>
      <c r="H601" t="n">
        <v>0</v>
      </c>
      <c r="I601" t="n">
        <v>0</v>
      </c>
      <c r="J601" t="n">
        <v>0</v>
      </c>
      <c r="K601" t="n">
        <v>0</v>
      </c>
      <c r="L601" t="n">
        <v>0</v>
      </c>
      <c r="M601" t="n">
        <v>0</v>
      </c>
      <c r="N601" t="n">
        <v>0</v>
      </c>
      <c r="O601" t="n">
        <v>0</v>
      </c>
      <c r="P601" t="n">
        <v>0</v>
      </c>
      <c r="Q601" t="n">
        <v>0</v>
      </c>
      <c r="R601" s="2" t="inlineStr"/>
    </row>
    <row r="602" ht="15" customHeight="1">
      <c r="A602" t="inlineStr">
        <is>
          <t>A 38417-2022</t>
        </is>
      </c>
      <c r="B602" s="1" t="n">
        <v>44813</v>
      </c>
      <c r="C602" s="1" t="n">
        <v>45578</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38422-2022</t>
        </is>
      </c>
      <c r="B603" s="1" t="n">
        <v>44812</v>
      </c>
      <c r="C603" s="1" t="n">
        <v>45578</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38416-2022</t>
        </is>
      </c>
      <c r="B604" s="1" t="n">
        <v>44812</v>
      </c>
      <c r="C604" s="1" t="n">
        <v>45578</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38419-2022</t>
        </is>
      </c>
      <c r="B605" s="1" t="n">
        <v>44813</v>
      </c>
      <c r="C605" s="1" t="n">
        <v>45578</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38558-2022</t>
        </is>
      </c>
      <c r="B606" s="1" t="n">
        <v>44813</v>
      </c>
      <c r="C606" s="1" t="n">
        <v>45578</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39389-2022</t>
        </is>
      </c>
      <c r="B607" s="1" t="n">
        <v>44817</v>
      </c>
      <c r="C607" s="1" t="n">
        <v>45578</v>
      </c>
      <c r="D607" t="inlineStr">
        <is>
          <t>VÄSTERBOTTENS LÄN</t>
        </is>
      </c>
      <c r="E607" t="inlineStr">
        <is>
          <t>VILHELMINA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41343-2022</t>
        </is>
      </c>
      <c r="B608" s="1" t="n">
        <v>44824</v>
      </c>
      <c r="C608" s="1" t="n">
        <v>45578</v>
      </c>
      <c r="D608" t="inlineStr">
        <is>
          <t>VÄSTERBOTTENS LÄN</t>
        </is>
      </c>
      <c r="E608" t="inlineStr">
        <is>
          <t>VILHELMINA</t>
        </is>
      </c>
      <c r="G608" t="n">
        <v>6</v>
      </c>
      <c r="H608" t="n">
        <v>0</v>
      </c>
      <c r="I608" t="n">
        <v>0</v>
      </c>
      <c r="J608" t="n">
        <v>0</v>
      </c>
      <c r="K608" t="n">
        <v>0</v>
      </c>
      <c r="L608" t="n">
        <v>0</v>
      </c>
      <c r="M608" t="n">
        <v>0</v>
      </c>
      <c r="N608" t="n">
        <v>0</v>
      </c>
      <c r="O608" t="n">
        <v>0</v>
      </c>
      <c r="P608" t="n">
        <v>0</v>
      </c>
      <c r="Q608" t="n">
        <v>0</v>
      </c>
      <c r="R608" s="2" t="inlineStr"/>
    </row>
    <row r="609" ht="15" customHeight="1">
      <c r="A609" t="inlineStr">
        <is>
          <t>A 41350-2022</t>
        </is>
      </c>
      <c r="B609" s="1" t="n">
        <v>44824</v>
      </c>
      <c r="C609" s="1" t="n">
        <v>45578</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45578</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41482-2022</t>
        </is>
      </c>
      <c r="B611" s="1" t="n">
        <v>44827</v>
      </c>
      <c r="C611" s="1" t="n">
        <v>45578</v>
      </c>
      <c r="D611" t="inlineStr">
        <is>
          <t>VÄSTERBOTTENS LÄN</t>
        </is>
      </c>
      <c r="E611" t="inlineStr">
        <is>
          <t>VILHELMINA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41485-2022</t>
        </is>
      </c>
      <c r="B612" s="1" t="n">
        <v>44827</v>
      </c>
      <c r="C612" s="1" t="n">
        <v>45578</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45578</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42648-2022</t>
        </is>
      </c>
      <c r="B614" s="1" t="n">
        <v>44832</v>
      </c>
      <c r="C614" s="1" t="n">
        <v>45578</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42650-2022</t>
        </is>
      </c>
      <c r="B615" s="1" t="n">
        <v>44831</v>
      </c>
      <c r="C615" s="1" t="n">
        <v>45578</v>
      </c>
      <c r="D615" t="inlineStr">
        <is>
          <t>VÄSTERBOTTENS LÄN</t>
        </is>
      </c>
      <c r="E615" t="inlineStr">
        <is>
          <t>VILHELMINA</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43120-2022</t>
        </is>
      </c>
      <c r="B616" s="1" t="n">
        <v>44834</v>
      </c>
      <c r="C616" s="1" t="n">
        <v>45578</v>
      </c>
      <c r="D616" t="inlineStr">
        <is>
          <t>VÄSTERBOTTENS LÄN</t>
        </is>
      </c>
      <c r="E616" t="inlineStr">
        <is>
          <t>VILHELMINA</t>
        </is>
      </c>
      <c r="G616" t="n">
        <v>13.7</v>
      </c>
      <c r="H616" t="n">
        <v>0</v>
      </c>
      <c r="I616" t="n">
        <v>0</v>
      </c>
      <c r="J616" t="n">
        <v>0</v>
      </c>
      <c r="K616" t="n">
        <v>0</v>
      </c>
      <c r="L616" t="n">
        <v>0</v>
      </c>
      <c r="M616" t="n">
        <v>0</v>
      </c>
      <c r="N616" t="n">
        <v>0</v>
      </c>
      <c r="O616" t="n">
        <v>0</v>
      </c>
      <c r="P616" t="n">
        <v>0</v>
      </c>
      <c r="Q616" t="n">
        <v>0</v>
      </c>
      <c r="R616" s="2" t="inlineStr"/>
    </row>
    <row r="617" ht="15" customHeight="1">
      <c r="A617" t="inlineStr">
        <is>
          <t>A 43144-2022</t>
        </is>
      </c>
      <c r="B617" s="1" t="n">
        <v>44834</v>
      </c>
      <c r="C617" s="1" t="n">
        <v>45578</v>
      </c>
      <c r="D617" t="inlineStr">
        <is>
          <t>VÄSTERBOTTENS LÄN</t>
        </is>
      </c>
      <c r="E617" t="inlineStr">
        <is>
          <t>VILHELMINA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43714-2022</t>
        </is>
      </c>
      <c r="B618" s="1" t="n">
        <v>44837</v>
      </c>
      <c r="C618" s="1" t="n">
        <v>45578</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43741-2022</t>
        </is>
      </c>
      <c r="B619" s="1" t="n">
        <v>44837</v>
      </c>
      <c r="C619" s="1" t="n">
        <v>45578</v>
      </c>
      <c r="D619" t="inlineStr">
        <is>
          <t>VÄSTERBOTTENS LÄN</t>
        </is>
      </c>
      <c r="E619" t="inlineStr">
        <is>
          <t>VILHELMINA</t>
        </is>
      </c>
      <c r="G619" t="n">
        <v>54.2</v>
      </c>
      <c r="H619" t="n">
        <v>0</v>
      </c>
      <c r="I619" t="n">
        <v>0</v>
      </c>
      <c r="J619" t="n">
        <v>0</v>
      </c>
      <c r="K619" t="n">
        <v>0</v>
      </c>
      <c r="L619" t="n">
        <v>0</v>
      </c>
      <c r="M619" t="n">
        <v>0</v>
      </c>
      <c r="N619" t="n">
        <v>0</v>
      </c>
      <c r="O619" t="n">
        <v>0</v>
      </c>
      <c r="P619" t="n">
        <v>0</v>
      </c>
      <c r="Q619" t="n">
        <v>0</v>
      </c>
      <c r="R619" s="2" t="inlineStr"/>
    </row>
    <row r="620" ht="15" customHeight="1">
      <c r="A620" t="inlineStr">
        <is>
          <t>A 45425-2022</t>
        </is>
      </c>
      <c r="B620" s="1" t="n">
        <v>44844</v>
      </c>
      <c r="C620" s="1" t="n">
        <v>45578</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46121-2022</t>
        </is>
      </c>
      <c r="B621" s="1" t="n">
        <v>44847</v>
      </c>
      <c r="C621" s="1" t="n">
        <v>45578</v>
      </c>
      <c r="D621" t="inlineStr">
        <is>
          <t>VÄSTERBOTTENS LÄN</t>
        </is>
      </c>
      <c r="E621" t="inlineStr">
        <is>
          <t>VILHELMINA</t>
        </is>
      </c>
      <c r="G621" t="n">
        <v>2.6</v>
      </c>
      <c r="H621" t="n">
        <v>0</v>
      </c>
      <c r="I621" t="n">
        <v>0</v>
      </c>
      <c r="J621" t="n">
        <v>0</v>
      </c>
      <c r="K621" t="n">
        <v>0</v>
      </c>
      <c r="L621" t="n">
        <v>0</v>
      </c>
      <c r="M621" t="n">
        <v>0</v>
      </c>
      <c r="N621" t="n">
        <v>0</v>
      </c>
      <c r="O621" t="n">
        <v>0</v>
      </c>
      <c r="P621" t="n">
        <v>0</v>
      </c>
      <c r="Q621" t="n">
        <v>0</v>
      </c>
      <c r="R621" s="2" t="inlineStr"/>
    </row>
    <row r="622" ht="15" customHeight="1">
      <c r="A622" t="inlineStr">
        <is>
          <t>A 46071-2022</t>
        </is>
      </c>
      <c r="B622" s="1" t="n">
        <v>44847</v>
      </c>
      <c r="C622" s="1" t="n">
        <v>45578</v>
      </c>
      <c r="D622" t="inlineStr">
        <is>
          <t>VÄSTERBOTTENS LÄN</t>
        </is>
      </c>
      <c r="E622" t="inlineStr">
        <is>
          <t>VILHELMINA</t>
        </is>
      </c>
      <c r="G622" t="n">
        <v>10.6</v>
      </c>
      <c r="H622" t="n">
        <v>0</v>
      </c>
      <c r="I622" t="n">
        <v>0</v>
      </c>
      <c r="J622" t="n">
        <v>0</v>
      </c>
      <c r="K622" t="n">
        <v>0</v>
      </c>
      <c r="L622" t="n">
        <v>0</v>
      </c>
      <c r="M622" t="n">
        <v>0</v>
      </c>
      <c r="N622" t="n">
        <v>0</v>
      </c>
      <c r="O622" t="n">
        <v>0</v>
      </c>
      <c r="P622" t="n">
        <v>0</v>
      </c>
      <c r="Q622" t="n">
        <v>0</v>
      </c>
      <c r="R622" s="2" t="inlineStr"/>
    </row>
    <row r="623" ht="15" customHeight="1">
      <c r="A623" t="inlineStr">
        <is>
          <t>A 46316-2022</t>
        </is>
      </c>
      <c r="B623" s="1" t="n">
        <v>44847</v>
      </c>
      <c r="C623" s="1" t="n">
        <v>45578</v>
      </c>
      <c r="D623" t="inlineStr">
        <is>
          <t>VÄSTERBOTTENS LÄN</t>
        </is>
      </c>
      <c r="E623" t="inlineStr">
        <is>
          <t>VILHELMINA</t>
        </is>
      </c>
      <c r="G623" t="n">
        <v>2.1</v>
      </c>
      <c r="H623" t="n">
        <v>0</v>
      </c>
      <c r="I623" t="n">
        <v>0</v>
      </c>
      <c r="J623" t="n">
        <v>0</v>
      </c>
      <c r="K623" t="n">
        <v>0</v>
      </c>
      <c r="L623" t="n">
        <v>0</v>
      </c>
      <c r="M623" t="n">
        <v>0</v>
      </c>
      <c r="N623" t="n">
        <v>0</v>
      </c>
      <c r="O623" t="n">
        <v>0</v>
      </c>
      <c r="P623" t="n">
        <v>0</v>
      </c>
      <c r="Q623" t="n">
        <v>0</v>
      </c>
      <c r="R623" s="2" t="inlineStr"/>
    </row>
    <row r="624" ht="15" customHeight="1">
      <c r="A624" t="inlineStr">
        <is>
          <t>A 46119-2022</t>
        </is>
      </c>
      <c r="B624" s="1" t="n">
        <v>44847</v>
      </c>
      <c r="C624" s="1" t="n">
        <v>45578</v>
      </c>
      <c r="D624" t="inlineStr">
        <is>
          <t>VÄSTERBOTTENS LÄN</t>
        </is>
      </c>
      <c r="E624" t="inlineStr">
        <is>
          <t>VILHELMINA</t>
        </is>
      </c>
      <c r="G624" t="n">
        <v>12.1</v>
      </c>
      <c r="H624" t="n">
        <v>0</v>
      </c>
      <c r="I624" t="n">
        <v>0</v>
      </c>
      <c r="J624" t="n">
        <v>0</v>
      </c>
      <c r="K624" t="n">
        <v>0</v>
      </c>
      <c r="L624" t="n">
        <v>0</v>
      </c>
      <c r="M624" t="n">
        <v>0</v>
      </c>
      <c r="N624" t="n">
        <v>0</v>
      </c>
      <c r="O624" t="n">
        <v>0</v>
      </c>
      <c r="P624" t="n">
        <v>0</v>
      </c>
      <c r="Q624" t="n">
        <v>0</v>
      </c>
      <c r="R624" s="2" t="inlineStr"/>
    </row>
    <row r="625" ht="15" customHeight="1">
      <c r="A625" t="inlineStr">
        <is>
          <t>A 46318-2022</t>
        </is>
      </c>
      <c r="B625" s="1" t="n">
        <v>44847</v>
      </c>
      <c r="C625" s="1" t="n">
        <v>45578</v>
      </c>
      <c r="D625" t="inlineStr">
        <is>
          <t>VÄSTERBOTTENS LÄN</t>
        </is>
      </c>
      <c r="E625" t="inlineStr">
        <is>
          <t>VILHELMINA</t>
        </is>
      </c>
      <c r="G625" t="n">
        <v>11.7</v>
      </c>
      <c r="H625" t="n">
        <v>0</v>
      </c>
      <c r="I625" t="n">
        <v>0</v>
      </c>
      <c r="J625" t="n">
        <v>0</v>
      </c>
      <c r="K625" t="n">
        <v>0</v>
      </c>
      <c r="L625" t="n">
        <v>0</v>
      </c>
      <c r="M625" t="n">
        <v>0</v>
      </c>
      <c r="N625" t="n">
        <v>0</v>
      </c>
      <c r="O625" t="n">
        <v>0</v>
      </c>
      <c r="P625" t="n">
        <v>0</v>
      </c>
      <c r="Q625" t="n">
        <v>0</v>
      </c>
      <c r="R625" s="2" t="inlineStr"/>
    </row>
    <row r="626" ht="15" customHeight="1">
      <c r="A626" t="inlineStr">
        <is>
          <t>A 47253-2022</t>
        </is>
      </c>
      <c r="B626" s="1" t="n">
        <v>44852</v>
      </c>
      <c r="C626" s="1" t="n">
        <v>45578</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47252-2022</t>
        </is>
      </c>
      <c r="B627" s="1" t="n">
        <v>44852</v>
      </c>
      <c r="C627" s="1" t="n">
        <v>45578</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47254-2022</t>
        </is>
      </c>
      <c r="B628" s="1" t="n">
        <v>44853</v>
      </c>
      <c r="C628" s="1" t="n">
        <v>45578</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47288-2022</t>
        </is>
      </c>
      <c r="B629" s="1" t="n">
        <v>44852</v>
      </c>
      <c r="C629" s="1" t="n">
        <v>45578</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47287-2022</t>
        </is>
      </c>
      <c r="B630" s="1" t="n">
        <v>44853</v>
      </c>
      <c r="C630" s="1" t="n">
        <v>45578</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47285-2022</t>
        </is>
      </c>
      <c r="B631" s="1" t="n">
        <v>44853</v>
      </c>
      <c r="C631" s="1" t="n">
        <v>45578</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47286-2022</t>
        </is>
      </c>
      <c r="B632" s="1" t="n">
        <v>44852</v>
      </c>
      <c r="C632" s="1" t="n">
        <v>45578</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47575-2022</t>
        </is>
      </c>
      <c r="B633" s="1" t="n">
        <v>44853</v>
      </c>
      <c r="C633" s="1" t="n">
        <v>45578</v>
      </c>
      <c r="D633" t="inlineStr">
        <is>
          <t>VÄSTERBOTTENS LÄN</t>
        </is>
      </c>
      <c r="E633" t="inlineStr">
        <is>
          <t>VILHELMINA</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47571-2022</t>
        </is>
      </c>
      <c r="B634" s="1" t="n">
        <v>44853</v>
      </c>
      <c r="C634" s="1" t="n">
        <v>45578</v>
      </c>
      <c r="D634" t="inlineStr">
        <is>
          <t>VÄSTERBOTTENS LÄN</t>
        </is>
      </c>
      <c r="E634" t="inlineStr">
        <is>
          <t>VILHELMINA</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48068-2022</t>
        </is>
      </c>
      <c r="B635" s="1" t="n">
        <v>44855</v>
      </c>
      <c r="C635" s="1" t="n">
        <v>45578</v>
      </c>
      <c r="D635" t="inlineStr">
        <is>
          <t>VÄSTERBOTTENS LÄN</t>
        </is>
      </c>
      <c r="E635" t="inlineStr">
        <is>
          <t>VILHELMINA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48117-2022</t>
        </is>
      </c>
      <c r="B636" s="1" t="n">
        <v>44857</v>
      </c>
      <c r="C636" s="1" t="n">
        <v>45578</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48524-2022</t>
        </is>
      </c>
      <c r="B637" s="1" t="n">
        <v>44859</v>
      </c>
      <c r="C637" s="1" t="n">
        <v>45578</v>
      </c>
      <c r="D637" t="inlineStr">
        <is>
          <t>VÄSTERBOTTENS LÄN</t>
        </is>
      </c>
      <c r="E637" t="inlineStr">
        <is>
          <t>VILHELMINA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48507-2022</t>
        </is>
      </c>
      <c r="B638" s="1" t="n">
        <v>44859</v>
      </c>
      <c r="C638" s="1" t="n">
        <v>45578</v>
      </c>
      <c r="D638" t="inlineStr">
        <is>
          <t>VÄSTERBOTTENS LÄN</t>
        </is>
      </c>
      <c r="E638" t="inlineStr">
        <is>
          <t>VILHELMINA</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48526-2022</t>
        </is>
      </c>
      <c r="B639" s="1" t="n">
        <v>44858</v>
      </c>
      <c r="C639" s="1" t="n">
        <v>45578</v>
      </c>
      <c r="D639" t="inlineStr">
        <is>
          <t>VÄSTERBOTTENS LÄN</t>
        </is>
      </c>
      <c r="E639" t="inlineStr">
        <is>
          <t>VILHELMINA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48515-2022</t>
        </is>
      </c>
      <c r="B640" s="1" t="n">
        <v>44859</v>
      </c>
      <c r="C640" s="1" t="n">
        <v>45578</v>
      </c>
      <c r="D640" t="inlineStr">
        <is>
          <t>VÄSTERBOTTENS LÄN</t>
        </is>
      </c>
      <c r="E640" t="inlineStr">
        <is>
          <t>VILHELMINA</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48551-2022</t>
        </is>
      </c>
      <c r="B641" s="1" t="n">
        <v>44859</v>
      </c>
      <c r="C641" s="1" t="n">
        <v>45578</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48508-2022</t>
        </is>
      </c>
      <c r="B642" s="1" t="n">
        <v>44858</v>
      </c>
      <c r="C642" s="1" t="n">
        <v>45578</v>
      </c>
      <c r="D642" t="inlineStr">
        <is>
          <t>VÄSTERBOTTENS LÄN</t>
        </is>
      </c>
      <c r="E642" t="inlineStr">
        <is>
          <t>VILHELMINA</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48527-2022</t>
        </is>
      </c>
      <c r="B643" s="1" t="n">
        <v>44859</v>
      </c>
      <c r="C643" s="1" t="n">
        <v>45578</v>
      </c>
      <c r="D643" t="inlineStr">
        <is>
          <t>VÄSTERBOTTENS LÄN</t>
        </is>
      </c>
      <c r="E643" t="inlineStr">
        <is>
          <t>VILHELMINA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48775-2022</t>
        </is>
      </c>
      <c r="B644" s="1" t="n">
        <v>44859</v>
      </c>
      <c r="C644" s="1" t="n">
        <v>45578</v>
      </c>
      <c r="D644" t="inlineStr">
        <is>
          <t>VÄSTERBOTTENS LÄN</t>
        </is>
      </c>
      <c r="E644" t="inlineStr">
        <is>
          <t>VILHELMINA</t>
        </is>
      </c>
      <c r="F644" t="inlineStr">
        <is>
          <t>Sveaskog</t>
        </is>
      </c>
      <c r="G644" t="n">
        <v>10.7</v>
      </c>
      <c r="H644" t="n">
        <v>0</v>
      </c>
      <c r="I644" t="n">
        <v>0</v>
      </c>
      <c r="J644" t="n">
        <v>0</v>
      </c>
      <c r="K644" t="n">
        <v>0</v>
      </c>
      <c r="L644" t="n">
        <v>0</v>
      </c>
      <c r="M644" t="n">
        <v>0</v>
      </c>
      <c r="N644" t="n">
        <v>0</v>
      </c>
      <c r="O644" t="n">
        <v>0</v>
      </c>
      <c r="P644" t="n">
        <v>0</v>
      </c>
      <c r="Q644" t="n">
        <v>0</v>
      </c>
      <c r="R644" s="2" t="inlineStr"/>
    </row>
    <row r="645" ht="15" customHeight="1">
      <c r="A645" t="inlineStr">
        <is>
          <t>A 48768-2022</t>
        </is>
      </c>
      <c r="B645" s="1" t="n">
        <v>44859</v>
      </c>
      <c r="C645" s="1" t="n">
        <v>45578</v>
      </c>
      <c r="D645" t="inlineStr">
        <is>
          <t>VÄSTERBOTTENS LÄN</t>
        </is>
      </c>
      <c r="E645" t="inlineStr">
        <is>
          <t>VILHELMINA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49599-2022</t>
        </is>
      </c>
      <c r="B646" s="1" t="n">
        <v>44859</v>
      </c>
      <c r="C646" s="1" t="n">
        <v>45578</v>
      </c>
      <c r="D646" t="inlineStr">
        <is>
          <t>VÄSTERBOTTENS LÄN</t>
        </is>
      </c>
      <c r="E646" t="inlineStr">
        <is>
          <t>VILHELMINA</t>
        </is>
      </c>
      <c r="G646" t="n">
        <v>3.6</v>
      </c>
      <c r="H646" t="n">
        <v>0</v>
      </c>
      <c r="I646" t="n">
        <v>0</v>
      </c>
      <c r="J646" t="n">
        <v>0</v>
      </c>
      <c r="K646" t="n">
        <v>0</v>
      </c>
      <c r="L646" t="n">
        <v>0</v>
      </c>
      <c r="M646" t="n">
        <v>0</v>
      </c>
      <c r="N646" t="n">
        <v>0</v>
      </c>
      <c r="O646" t="n">
        <v>0</v>
      </c>
      <c r="P646" t="n">
        <v>0</v>
      </c>
      <c r="Q646" t="n">
        <v>0</v>
      </c>
      <c r="R646" s="2" t="inlineStr"/>
    </row>
    <row r="647" ht="15" customHeight="1">
      <c r="A647" t="inlineStr">
        <is>
          <t>A 49526-2022</t>
        </is>
      </c>
      <c r="B647" s="1" t="n">
        <v>44862</v>
      </c>
      <c r="C647" s="1" t="n">
        <v>45578</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49640-2022</t>
        </is>
      </c>
      <c r="B648" s="1" t="n">
        <v>44862</v>
      </c>
      <c r="C648" s="1" t="n">
        <v>45578</v>
      </c>
      <c r="D648" t="inlineStr">
        <is>
          <t>VÄSTERBOTTENS LÄN</t>
        </is>
      </c>
      <c r="E648" t="inlineStr">
        <is>
          <t>VILHELMINA</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50883-2022</t>
        </is>
      </c>
      <c r="B649" s="1" t="n">
        <v>44867</v>
      </c>
      <c r="C649" s="1" t="n">
        <v>45578</v>
      </c>
      <c r="D649" t="inlineStr">
        <is>
          <t>VÄSTERBOTTENS LÄN</t>
        </is>
      </c>
      <c r="E649" t="inlineStr">
        <is>
          <t>VILHELMINA</t>
        </is>
      </c>
      <c r="F649" t="inlineStr">
        <is>
          <t>Sveaskog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51017-2022</t>
        </is>
      </c>
      <c r="B650" s="1" t="n">
        <v>44867</v>
      </c>
      <c r="C650" s="1" t="n">
        <v>45578</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52008-2022</t>
        </is>
      </c>
      <c r="B651" s="1" t="n">
        <v>44872</v>
      </c>
      <c r="C651" s="1" t="n">
        <v>45578</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52711-2022</t>
        </is>
      </c>
      <c r="B652" s="1" t="n">
        <v>44874</v>
      </c>
      <c r="C652" s="1" t="n">
        <v>45578</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52704-2022</t>
        </is>
      </c>
      <c r="B653" s="1" t="n">
        <v>44874</v>
      </c>
      <c r="C653" s="1" t="n">
        <v>45578</v>
      </c>
      <c r="D653" t="inlineStr">
        <is>
          <t>VÄSTERBOTTENS LÄN</t>
        </is>
      </c>
      <c r="E653" t="inlineStr">
        <is>
          <t>VILHELMINA</t>
        </is>
      </c>
      <c r="G653" t="n">
        <v>17.4</v>
      </c>
      <c r="H653" t="n">
        <v>0</v>
      </c>
      <c r="I653" t="n">
        <v>0</v>
      </c>
      <c r="J653" t="n">
        <v>0</v>
      </c>
      <c r="K653" t="n">
        <v>0</v>
      </c>
      <c r="L653" t="n">
        <v>0</v>
      </c>
      <c r="M653" t="n">
        <v>0</v>
      </c>
      <c r="N653" t="n">
        <v>0</v>
      </c>
      <c r="O653" t="n">
        <v>0</v>
      </c>
      <c r="P653" t="n">
        <v>0</v>
      </c>
      <c r="Q653" t="n">
        <v>0</v>
      </c>
      <c r="R653" s="2" t="inlineStr"/>
    </row>
    <row r="654" ht="15" customHeight="1">
      <c r="A654" t="inlineStr">
        <is>
          <t>A 52995-2022</t>
        </is>
      </c>
      <c r="B654" s="1" t="n">
        <v>44875</v>
      </c>
      <c r="C654" s="1" t="n">
        <v>45578</v>
      </c>
      <c r="D654" t="inlineStr">
        <is>
          <t>VÄSTERBOTTENS LÄN</t>
        </is>
      </c>
      <c r="E654" t="inlineStr">
        <is>
          <t>VILHELMINA</t>
        </is>
      </c>
      <c r="G654" t="n">
        <v>1.4</v>
      </c>
      <c r="H654" t="n">
        <v>0</v>
      </c>
      <c r="I654" t="n">
        <v>0</v>
      </c>
      <c r="J654" t="n">
        <v>0</v>
      </c>
      <c r="K654" t="n">
        <v>0</v>
      </c>
      <c r="L654" t="n">
        <v>0</v>
      </c>
      <c r="M654" t="n">
        <v>0</v>
      </c>
      <c r="N654" t="n">
        <v>0</v>
      </c>
      <c r="O654" t="n">
        <v>0</v>
      </c>
      <c r="P654" t="n">
        <v>0</v>
      </c>
      <c r="Q654" t="n">
        <v>0</v>
      </c>
      <c r="R654" s="2" t="inlineStr"/>
    </row>
    <row r="655" ht="15" customHeight="1">
      <c r="A655" t="inlineStr">
        <is>
          <t>A 53652-2022</t>
        </is>
      </c>
      <c r="B655" s="1" t="n">
        <v>44879</v>
      </c>
      <c r="C655" s="1" t="n">
        <v>45578</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53654-2022</t>
        </is>
      </c>
      <c r="B656" s="1" t="n">
        <v>44879</v>
      </c>
      <c r="C656" s="1" t="n">
        <v>45578</v>
      </c>
      <c r="D656" t="inlineStr">
        <is>
          <t>VÄSTERBOTTENS LÄN</t>
        </is>
      </c>
      <c r="E656" t="inlineStr">
        <is>
          <t>VILHELMINA</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53658-2022</t>
        </is>
      </c>
      <c r="B657" s="1" t="n">
        <v>44879</v>
      </c>
      <c r="C657" s="1" t="n">
        <v>45578</v>
      </c>
      <c r="D657" t="inlineStr">
        <is>
          <t>VÄSTERBOTTENS LÄN</t>
        </is>
      </c>
      <c r="E657" t="inlineStr">
        <is>
          <t>VILHELMINA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45578</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54727-2022</t>
        </is>
      </c>
      <c r="B659" s="1" t="n">
        <v>44881</v>
      </c>
      <c r="C659" s="1" t="n">
        <v>45578</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55870-2022</t>
        </is>
      </c>
      <c r="B660" s="1" t="n">
        <v>44888</v>
      </c>
      <c r="C660" s="1" t="n">
        <v>45578</v>
      </c>
      <c r="D660" t="inlineStr">
        <is>
          <t>VÄSTERBOTTENS LÄN</t>
        </is>
      </c>
      <c r="E660" t="inlineStr">
        <is>
          <t>VILHELMINA</t>
        </is>
      </c>
      <c r="G660" t="n">
        <v>13.6</v>
      </c>
      <c r="H660" t="n">
        <v>0</v>
      </c>
      <c r="I660" t="n">
        <v>0</v>
      </c>
      <c r="J660" t="n">
        <v>0</v>
      </c>
      <c r="K660" t="n">
        <v>0</v>
      </c>
      <c r="L660" t="n">
        <v>0</v>
      </c>
      <c r="M660" t="n">
        <v>0</v>
      </c>
      <c r="N660" t="n">
        <v>0</v>
      </c>
      <c r="O660" t="n">
        <v>0</v>
      </c>
      <c r="P660" t="n">
        <v>0</v>
      </c>
      <c r="Q660" t="n">
        <v>0</v>
      </c>
      <c r="R660" s="2" t="inlineStr"/>
    </row>
    <row r="661" ht="15" customHeight="1">
      <c r="A661" t="inlineStr">
        <is>
          <t>A 56154-2022</t>
        </is>
      </c>
      <c r="B661" s="1" t="n">
        <v>44889</v>
      </c>
      <c r="C661" s="1" t="n">
        <v>45578</v>
      </c>
      <c r="D661" t="inlineStr">
        <is>
          <t>VÄSTERBOTTENS LÄN</t>
        </is>
      </c>
      <c r="E661" t="inlineStr">
        <is>
          <t>VILHELMINA</t>
        </is>
      </c>
      <c r="G661" t="n">
        <v>30</v>
      </c>
      <c r="H661" t="n">
        <v>0</v>
      </c>
      <c r="I661" t="n">
        <v>0</v>
      </c>
      <c r="J661" t="n">
        <v>0</v>
      </c>
      <c r="K661" t="n">
        <v>0</v>
      </c>
      <c r="L661" t="n">
        <v>0</v>
      </c>
      <c r="M661" t="n">
        <v>0</v>
      </c>
      <c r="N661" t="n">
        <v>0</v>
      </c>
      <c r="O661" t="n">
        <v>0</v>
      </c>
      <c r="P661" t="n">
        <v>0</v>
      </c>
      <c r="Q661" t="n">
        <v>0</v>
      </c>
      <c r="R661" s="2" t="inlineStr"/>
    </row>
    <row r="662" ht="15" customHeight="1">
      <c r="A662" t="inlineStr">
        <is>
          <t>A 56153-2022</t>
        </is>
      </c>
      <c r="B662" s="1" t="n">
        <v>44889</v>
      </c>
      <c r="C662" s="1" t="n">
        <v>45578</v>
      </c>
      <c r="D662" t="inlineStr">
        <is>
          <t>VÄSTERBOTTENS LÄN</t>
        </is>
      </c>
      <c r="E662" t="inlineStr">
        <is>
          <t>VILHELMINA</t>
        </is>
      </c>
      <c r="G662" t="n">
        <v>31.6</v>
      </c>
      <c r="H662" t="n">
        <v>0</v>
      </c>
      <c r="I662" t="n">
        <v>0</v>
      </c>
      <c r="J662" t="n">
        <v>0</v>
      </c>
      <c r="K662" t="n">
        <v>0</v>
      </c>
      <c r="L662" t="n">
        <v>0</v>
      </c>
      <c r="M662" t="n">
        <v>0</v>
      </c>
      <c r="N662" t="n">
        <v>0</v>
      </c>
      <c r="O662" t="n">
        <v>0</v>
      </c>
      <c r="P662" t="n">
        <v>0</v>
      </c>
      <c r="Q662" t="n">
        <v>0</v>
      </c>
      <c r="R662" s="2" t="inlineStr"/>
    </row>
    <row r="663" ht="15" customHeight="1">
      <c r="A663" t="inlineStr">
        <is>
          <t>A 56173-2022</t>
        </is>
      </c>
      <c r="B663" s="1" t="n">
        <v>44889</v>
      </c>
      <c r="C663" s="1" t="n">
        <v>45578</v>
      </c>
      <c r="D663" t="inlineStr">
        <is>
          <t>VÄSTERBOTTENS LÄN</t>
        </is>
      </c>
      <c r="E663" t="inlineStr">
        <is>
          <t>VILHELMINA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56174-2022</t>
        </is>
      </c>
      <c r="B664" s="1" t="n">
        <v>44889</v>
      </c>
      <c r="C664" s="1" t="n">
        <v>45578</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56179-2022</t>
        </is>
      </c>
      <c r="B665" s="1" t="n">
        <v>44889</v>
      </c>
      <c r="C665" s="1" t="n">
        <v>45578</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57332-2022</t>
        </is>
      </c>
      <c r="B666" s="1" t="n">
        <v>44889</v>
      </c>
      <c r="C666" s="1" t="n">
        <v>45578</v>
      </c>
      <c r="D666" t="inlineStr">
        <is>
          <t>VÄSTERBOTTENS LÄN</t>
        </is>
      </c>
      <c r="E666" t="inlineStr">
        <is>
          <t>VILHELMINA</t>
        </is>
      </c>
      <c r="G666" t="n">
        <v>5.1</v>
      </c>
      <c r="H666" t="n">
        <v>0</v>
      </c>
      <c r="I666" t="n">
        <v>0</v>
      </c>
      <c r="J666" t="n">
        <v>0</v>
      </c>
      <c r="K666" t="n">
        <v>0</v>
      </c>
      <c r="L666" t="n">
        <v>0</v>
      </c>
      <c r="M666" t="n">
        <v>0</v>
      </c>
      <c r="N666" t="n">
        <v>0</v>
      </c>
      <c r="O666" t="n">
        <v>0</v>
      </c>
      <c r="P666" t="n">
        <v>0</v>
      </c>
      <c r="Q666" t="n">
        <v>0</v>
      </c>
      <c r="R666" s="2" t="inlineStr"/>
    </row>
    <row r="667" ht="15" customHeight="1">
      <c r="A667" t="inlineStr">
        <is>
          <t>A 57324-2022</t>
        </is>
      </c>
      <c r="B667" s="1" t="n">
        <v>44889</v>
      </c>
      <c r="C667" s="1" t="n">
        <v>45578</v>
      </c>
      <c r="D667" t="inlineStr">
        <is>
          <t>VÄSTERBOTTENS LÄN</t>
        </is>
      </c>
      <c r="E667" t="inlineStr">
        <is>
          <t>VILHELMINA</t>
        </is>
      </c>
      <c r="G667" t="n">
        <v>1.7</v>
      </c>
      <c r="H667" t="n">
        <v>0</v>
      </c>
      <c r="I667" t="n">
        <v>0</v>
      </c>
      <c r="J667" t="n">
        <v>0</v>
      </c>
      <c r="K667" t="n">
        <v>0</v>
      </c>
      <c r="L667" t="n">
        <v>0</v>
      </c>
      <c r="M667" t="n">
        <v>0</v>
      </c>
      <c r="N667" t="n">
        <v>0</v>
      </c>
      <c r="O667" t="n">
        <v>0</v>
      </c>
      <c r="P667" t="n">
        <v>0</v>
      </c>
      <c r="Q667" t="n">
        <v>0</v>
      </c>
      <c r="R667" s="2" t="inlineStr"/>
    </row>
    <row r="668" ht="15" customHeight="1">
      <c r="A668" t="inlineStr">
        <is>
          <t>A 57328-2022</t>
        </is>
      </c>
      <c r="B668" s="1" t="n">
        <v>44889</v>
      </c>
      <c r="C668" s="1" t="n">
        <v>45578</v>
      </c>
      <c r="D668" t="inlineStr">
        <is>
          <t>VÄSTERBOTTENS LÄN</t>
        </is>
      </c>
      <c r="E668" t="inlineStr">
        <is>
          <t>VILHELMINA</t>
        </is>
      </c>
      <c r="G668" t="n">
        <v>9.5</v>
      </c>
      <c r="H668" t="n">
        <v>0</v>
      </c>
      <c r="I668" t="n">
        <v>0</v>
      </c>
      <c r="J668" t="n">
        <v>0</v>
      </c>
      <c r="K668" t="n">
        <v>0</v>
      </c>
      <c r="L668" t="n">
        <v>0</v>
      </c>
      <c r="M668" t="n">
        <v>0</v>
      </c>
      <c r="N668" t="n">
        <v>0</v>
      </c>
      <c r="O668" t="n">
        <v>0</v>
      </c>
      <c r="P668" t="n">
        <v>0</v>
      </c>
      <c r="Q668" t="n">
        <v>0</v>
      </c>
      <c r="R668" s="2" t="inlineStr"/>
    </row>
    <row r="669" ht="15" customHeight="1">
      <c r="A669" t="inlineStr">
        <is>
          <t>A 57339-2022</t>
        </is>
      </c>
      <c r="B669" s="1" t="n">
        <v>44889</v>
      </c>
      <c r="C669" s="1" t="n">
        <v>45578</v>
      </c>
      <c r="D669" t="inlineStr">
        <is>
          <t>VÄSTERBOTTENS LÄN</t>
        </is>
      </c>
      <c r="E669" t="inlineStr">
        <is>
          <t>VILHELMINA</t>
        </is>
      </c>
      <c r="G669" t="n">
        <v>33.1</v>
      </c>
      <c r="H669" t="n">
        <v>0</v>
      </c>
      <c r="I669" t="n">
        <v>0</v>
      </c>
      <c r="J669" t="n">
        <v>0</v>
      </c>
      <c r="K669" t="n">
        <v>0</v>
      </c>
      <c r="L669" t="n">
        <v>0</v>
      </c>
      <c r="M669" t="n">
        <v>0</v>
      </c>
      <c r="N669" t="n">
        <v>0</v>
      </c>
      <c r="O669" t="n">
        <v>0</v>
      </c>
      <c r="P669" t="n">
        <v>0</v>
      </c>
      <c r="Q669" t="n">
        <v>0</v>
      </c>
      <c r="R669" s="2" t="inlineStr"/>
    </row>
    <row r="670" ht="15" customHeight="1">
      <c r="A670" t="inlineStr">
        <is>
          <t>A 56408-2022</t>
        </is>
      </c>
      <c r="B670" s="1" t="n">
        <v>44890</v>
      </c>
      <c r="C670" s="1" t="n">
        <v>45578</v>
      </c>
      <c r="D670" t="inlineStr">
        <is>
          <t>VÄSTERBOTTENS LÄN</t>
        </is>
      </c>
      <c r="E670" t="inlineStr">
        <is>
          <t>VILHELMINA</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56396-2022</t>
        </is>
      </c>
      <c r="B671" s="1" t="n">
        <v>44890</v>
      </c>
      <c r="C671" s="1" t="n">
        <v>45578</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56405-2022</t>
        </is>
      </c>
      <c r="B672" s="1" t="n">
        <v>44890</v>
      </c>
      <c r="C672" s="1" t="n">
        <v>45578</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56409-2022</t>
        </is>
      </c>
      <c r="B673" s="1" t="n">
        <v>44890</v>
      </c>
      <c r="C673" s="1" t="n">
        <v>45578</v>
      </c>
      <c r="D673" t="inlineStr">
        <is>
          <t>VÄSTERBOTTENS LÄN</t>
        </is>
      </c>
      <c r="E673" t="inlineStr">
        <is>
          <t>VILHELMINA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56407-2022</t>
        </is>
      </c>
      <c r="B674" s="1" t="n">
        <v>44890</v>
      </c>
      <c r="C674" s="1" t="n">
        <v>45578</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56406-2022</t>
        </is>
      </c>
      <c r="B675" s="1" t="n">
        <v>44890</v>
      </c>
      <c r="C675" s="1" t="n">
        <v>45578</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56733-2022</t>
        </is>
      </c>
      <c r="B676" s="1" t="n">
        <v>44893</v>
      </c>
      <c r="C676" s="1" t="n">
        <v>45578</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57586-2022</t>
        </is>
      </c>
      <c r="B677" s="1" t="n">
        <v>44896</v>
      </c>
      <c r="C677" s="1" t="n">
        <v>45578</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58938-2022</t>
        </is>
      </c>
      <c r="B678" s="1" t="n">
        <v>44896</v>
      </c>
      <c r="C678" s="1" t="n">
        <v>45578</v>
      </c>
      <c r="D678" t="inlineStr">
        <is>
          <t>VÄSTERBOTTENS LÄN</t>
        </is>
      </c>
      <c r="E678" t="inlineStr">
        <is>
          <t>VILHELMINA</t>
        </is>
      </c>
      <c r="G678" t="n">
        <v>4.1</v>
      </c>
      <c r="H678" t="n">
        <v>0</v>
      </c>
      <c r="I678" t="n">
        <v>0</v>
      </c>
      <c r="J678" t="n">
        <v>0</v>
      </c>
      <c r="K678" t="n">
        <v>0</v>
      </c>
      <c r="L678" t="n">
        <v>0</v>
      </c>
      <c r="M678" t="n">
        <v>0</v>
      </c>
      <c r="N678" t="n">
        <v>0</v>
      </c>
      <c r="O678" t="n">
        <v>0</v>
      </c>
      <c r="P678" t="n">
        <v>0</v>
      </c>
      <c r="Q678" t="n">
        <v>0</v>
      </c>
      <c r="R678" s="2" t="inlineStr"/>
    </row>
    <row r="679" ht="15" customHeight="1">
      <c r="A679" t="inlineStr">
        <is>
          <t>A 58207-2022</t>
        </is>
      </c>
      <c r="B679" s="1" t="n">
        <v>44901</v>
      </c>
      <c r="C679" s="1" t="n">
        <v>45578</v>
      </c>
      <c r="D679" t="inlineStr">
        <is>
          <t>VÄSTERBOTTENS LÄN</t>
        </is>
      </c>
      <c r="E679" t="inlineStr">
        <is>
          <t>VILHELMINA</t>
        </is>
      </c>
      <c r="G679" t="n">
        <v>143.2</v>
      </c>
      <c r="H679" t="n">
        <v>0</v>
      </c>
      <c r="I679" t="n">
        <v>0</v>
      </c>
      <c r="J679" t="n">
        <v>0</v>
      </c>
      <c r="K679" t="n">
        <v>0</v>
      </c>
      <c r="L679" t="n">
        <v>0</v>
      </c>
      <c r="M679" t="n">
        <v>0</v>
      </c>
      <c r="N679" t="n">
        <v>0</v>
      </c>
      <c r="O679" t="n">
        <v>0</v>
      </c>
      <c r="P679" t="n">
        <v>0</v>
      </c>
      <c r="Q679" t="n">
        <v>0</v>
      </c>
      <c r="R679" s="2" t="inlineStr"/>
    </row>
    <row r="680" ht="15" customHeight="1">
      <c r="A680" t="inlineStr">
        <is>
          <t>A 58720-2022</t>
        </is>
      </c>
      <c r="B680" s="1" t="n">
        <v>44902</v>
      </c>
      <c r="C680" s="1" t="n">
        <v>45578</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58739-2022</t>
        </is>
      </c>
      <c r="B681" s="1" t="n">
        <v>44902</v>
      </c>
      <c r="C681" s="1" t="n">
        <v>45578</v>
      </c>
      <c r="D681" t="inlineStr">
        <is>
          <t>VÄSTERBOTTENS LÄN</t>
        </is>
      </c>
      <c r="E681" t="inlineStr">
        <is>
          <t>VILHELMINA</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59030-2022</t>
        </is>
      </c>
      <c r="B682" s="1" t="n">
        <v>44903</v>
      </c>
      <c r="C682" s="1" t="n">
        <v>45578</v>
      </c>
      <c r="D682" t="inlineStr">
        <is>
          <t>VÄSTERBOTTENS LÄN</t>
        </is>
      </c>
      <c r="E682" t="inlineStr">
        <is>
          <t>VILHELMINA</t>
        </is>
      </c>
      <c r="G682" t="n">
        <v>17.8</v>
      </c>
      <c r="H682" t="n">
        <v>0</v>
      </c>
      <c r="I682" t="n">
        <v>0</v>
      </c>
      <c r="J682" t="n">
        <v>0</v>
      </c>
      <c r="K682" t="n">
        <v>0</v>
      </c>
      <c r="L682" t="n">
        <v>0</v>
      </c>
      <c r="M682" t="n">
        <v>0</v>
      </c>
      <c r="N682" t="n">
        <v>0</v>
      </c>
      <c r="O682" t="n">
        <v>0</v>
      </c>
      <c r="P682" t="n">
        <v>0</v>
      </c>
      <c r="Q682" t="n">
        <v>0</v>
      </c>
      <c r="R682" s="2" t="inlineStr"/>
    </row>
    <row r="683" ht="15" customHeight="1">
      <c r="A683" t="inlineStr">
        <is>
          <t>A 60227-2022</t>
        </is>
      </c>
      <c r="B683" s="1" t="n">
        <v>44903</v>
      </c>
      <c r="C683" s="1" t="n">
        <v>45578</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60137-2022</t>
        </is>
      </c>
      <c r="B684" s="1" t="n">
        <v>44909</v>
      </c>
      <c r="C684" s="1" t="n">
        <v>45578</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61270-2022</t>
        </is>
      </c>
      <c r="B685" s="1" t="n">
        <v>44909</v>
      </c>
      <c r="C685" s="1" t="n">
        <v>45578</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60682-2022</t>
        </is>
      </c>
      <c r="B686" s="1" t="n">
        <v>44911</v>
      </c>
      <c r="C686" s="1" t="n">
        <v>45578</v>
      </c>
      <c r="D686" t="inlineStr">
        <is>
          <t>VÄSTERBOTTENS LÄN</t>
        </is>
      </c>
      <c r="E686" t="inlineStr">
        <is>
          <t>VILHELMINA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60549-2022</t>
        </is>
      </c>
      <c r="B687" s="1" t="n">
        <v>44911</v>
      </c>
      <c r="C687" s="1" t="n">
        <v>45578</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45578</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61668-2022</t>
        </is>
      </c>
      <c r="B689" s="1" t="n">
        <v>44917</v>
      </c>
      <c r="C689" s="1" t="n">
        <v>45578</v>
      </c>
      <c r="D689" t="inlineStr">
        <is>
          <t>VÄSTERBOTTENS LÄN</t>
        </is>
      </c>
      <c r="E689" t="inlineStr">
        <is>
          <t>VILHELMINA</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61695-2022</t>
        </is>
      </c>
      <c r="B690" s="1" t="n">
        <v>44917</v>
      </c>
      <c r="C690" s="1" t="n">
        <v>45578</v>
      </c>
      <c r="D690" t="inlineStr">
        <is>
          <t>VÄSTERBOTTENS LÄN</t>
        </is>
      </c>
      <c r="E690" t="inlineStr">
        <is>
          <t>VILHELMINA</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45578</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62543-2022</t>
        </is>
      </c>
      <c r="B692" s="1" t="n">
        <v>44917</v>
      </c>
      <c r="C692" s="1" t="n">
        <v>45578</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62110-2022</t>
        </is>
      </c>
      <c r="B693" s="1" t="n">
        <v>44920</v>
      </c>
      <c r="C693" s="1" t="n">
        <v>45578</v>
      </c>
      <c r="D693" t="inlineStr">
        <is>
          <t>VÄSTERBOTTENS LÄN</t>
        </is>
      </c>
      <c r="E693" t="inlineStr">
        <is>
          <t>VILHELMINA</t>
        </is>
      </c>
      <c r="G693" t="n">
        <v>4.5</v>
      </c>
      <c r="H693" t="n">
        <v>0</v>
      </c>
      <c r="I693" t="n">
        <v>0</v>
      </c>
      <c r="J693" t="n">
        <v>0</v>
      </c>
      <c r="K693" t="n">
        <v>0</v>
      </c>
      <c r="L693" t="n">
        <v>0</v>
      </c>
      <c r="M693" t="n">
        <v>0</v>
      </c>
      <c r="N693" t="n">
        <v>0</v>
      </c>
      <c r="O693" t="n">
        <v>0</v>
      </c>
      <c r="P693" t="n">
        <v>0</v>
      </c>
      <c r="Q693" t="n">
        <v>0</v>
      </c>
      <c r="R693" s="2" t="inlineStr"/>
    </row>
    <row r="694" ht="15" customHeight="1">
      <c r="A694" t="inlineStr">
        <is>
          <t>A 62404-2022</t>
        </is>
      </c>
      <c r="B694" s="1" t="n">
        <v>44923</v>
      </c>
      <c r="C694" s="1" t="n">
        <v>45578</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62405-2022</t>
        </is>
      </c>
      <c r="B695" s="1" t="n">
        <v>44923</v>
      </c>
      <c r="C695" s="1" t="n">
        <v>45578</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45578</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288-2023</t>
        </is>
      </c>
      <c r="B697" s="1" t="n">
        <v>44928</v>
      </c>
      <c r="C697" s="1" t="n">
        <v>45578</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701-2023</t>
        </is>
      </c>
      <c r="B698" s="1" t="n">
        <v>44930</v>
      </c>
      <c r="C698" s="1" t="n">
        <v>45578</v>
      </c>
      <c r="D698" t="inlineStr">
        <is>
          <t>VÄSTERBOTTENS LÄN</t>
        </is>
      </c>
      <c r="E698" t="inlineStr">
        <is>
          <t>VILHELMINA</t>
        </is>
      </c>
      <c r="G698" t="n">
        <v>11.5</v>
      </c>
      <c r="H698" t="n">
        <v>0</v>
      </c>
      <c r="I698" t="n">
        <v>0</v>
      </c>
      <c r="J698" t="n">
        <v>0</v>
      </c>
      <c r="K698" t="n">
        <v>0</v>
      </c>
      <c r="L698" t="n">
        <v>0</v>
      </c>
      <c r="M698" t="n">
        <v>0</v>
      </c>
      <c r="N698" t="n">
        <v>0</v>
      </c>
      <c r="O698" t="n">
        <v>0</v>
      </c>
      <c r="P698" t="n">
        <v>0</v>
      </c>
      <c r="Q698" t="n">
        <v>0</v>
      </c>
      <c r="R698" s="2" t="inlineStr"/>
    </row>
    <row r="699" ht="15" customHeight="1">
      <c r="A699" t="inlineStr">
        <is>
          <t>A 1035-2023</t>
        </is>
      </c>
      <c r="B699" s="1" t="n">
        <v>44935</v>
      </c>
      <c r="C699" s="1" t="n">
        <v>45578</v>
      </c>
      <c r="D699" t="inlineStr">
        <is>
          <t>VÄSTERBOTTENS LÄN</t>
        </is>
      </c>
      <c r="E699" t="inlineStr">
        <is>
          <t>VILHELMINA</t>
        </is>
      </c>
      <c r="G699" t="n">
        <v>10.4</v>
      </c>
      <c r="H699" t="n">
        <v>0</v>
      </c>
      <c r="I699" t="n">
        <v>0</v>
      </c>
      <c r="J699" t="n">
        <v>0</v>
      </c>
      <c r="K699" t="n">
        <v>0</v>
      </c>
      <c r="L699" t="n">
        <v>0</v>
      </c>
      <c r="M699" t="n">
        <v>0</v>
      </c>
      <c r="N699" t="n">
        <v>0</v>
      </c>
      <c r="O699" t="n">
        <v>0</v>
      </c>
      <c r="P699" t="n">
        <v>0</v>
      </c>
      <c r="Q699" t="n">
        <v>0</v>
      </c>
      <c r="R699" s="2" t="inlineStr"/>
    </row>
    <row r="700" ht="15" customHeight="1">
      <c r="A700" t="inlineStr">
        <is>
          <t>A 1776-2023</t>
        </is>
      </c>
      <c r="B700" s="1" t="n">
        <v>44936</v>
      </c>
      <c r="C700" s="1" t="n">
        <v>45578</v>
      </c>
      <c r="D700" t="inlineStr">
        <is>
          <t>VÄSTERBOTTENS LÄN</t>
        </is>
      </c>
      <c r="E700" t="inlineStr">
        <is>
          <t>VILHELMINA</t>
        </is>
      </c>
      <c r="F700" t="inlineStr">
        <is>
          <t>Övriga Aktiebolag</t>
        </is>
      </c>
      <c r="G700" t="n">
        <v>18.4</v>
      </c>
      <c r="H700" t="n">
        <v>0</v>
      </c>
      <c r="I700" t="n">
        <v>0</v>
      </c>
      <c r="J700" t="n">
        <v>0</v>
      </c>
      <c r="K700" t="n">
        <v>0</v>
      </c>
      <c r="L700" t="n">
        <v>0</v>
      </c>
      <c r="M700" t="n">
        <v>0</v>
      </c>
      <c r="N700" t="n">
        <v>0</v>
      </c>
      <c r="O700" t="n">
        <v>0</v>
      </c>
      <c r="P700" t="n">
        <v>0</v>
      </c>
      <c r="Q700" t="n">
        <v>0</v>
      </c>
      <c r="R700" s="2" t="inlineStr"/>
    </row>
    <row r="701" ht="15" customHeight="1">
      <c r="A701" t="inlineStr">
        <is>
          <t>A 1763-2023</t>
        </is>
      </c>
      <c r="B701" s="1" t="n">
        <v>44938</v>
      </c>
      <c r="C701" s="1" t="n">
        <v>45578</v>
      </c>
      <c r="D701" t="inlineStr">
        <is>
          <t>VÄSTERBOTTENS LÄN</t>
        </is>
      </c>
      <c r="E701" t="inlineStr">
        <is>
          <t>VILHELMINA</t>
        </is>
      </c>
      <c r="G701" t="n">
        <v>69.3</v>
      </c>
      <c r="H701" t="n">
        <v>0</v>
      </c>
      <c r="I701" t="n">
        <v>0</v>
      </c>
      <c r="J701" t="n">
        <v>0</v>
      </c>
      <c r="K701" t="n">
        <v>0</v>
      </c>
      <c r="L701" t="n">
        <v>0</v>
      </c>
      <c r="M701" t="n">
        <v>0</v>
      </c>
      <c r="N701" t="n">
        <v>0</v>
      </c>
      <c r="O701" t="n">
        <v>0</v>
      </c>
      <c r="P701" t="n">
        <v>0</v>
      </c>
      <c r="Q701" t="n">
        <v>0</v>
      </c>
      <c r="R701" s="2" t="inlineStr"/>
    </row>
    <row r="702" ht="15" customHeight="1">
      <c r="A702" t="inlineStr">
        <is>
          <t>A 1766-2023</t>
        </is>
      </c>
      <c r="B702" s="1" t="n">
        <v>44938</v>
      </c>
      <c r="C702" s="1" t="n">
        <v>45578</v>
      </c>
      <c r="D702" t="inlineStr">
        <is>
          <t>VÄSTERBOTTENS LÄN</t>
        </is>
      </c>
      <c r="E702" t="inlineStr">
        <is>
          <t>VILHELMINA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2031-2023</t>
        </is>
      </c>
      <c r="B703" s="1" t="n">
        <v>44939</v>
      </c>
      <c r="C703" s="1" t="n">
        <v>45578</v>
      </c>
      <c r="D703" t="inlineStr">
        <is>
          <t>VÄSTERBOTTENS LÄN</t>
        </is>
      </c>
      <c r="E703" t="inlineStr">
        <is>
          <t>VILHELMINA</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2074-2023</t>
        </is>
      </c>
      <c r="B704" s="1" t="n">
        <v>44939</v>
      </c>
      <c r="C704" s="1" t="n">
        <v>45578</v>
      </c>
      <c r="D704" t="inlineStr">
        <is>
          <t>VÄSTERBOTTENS LÄN</t>
        </is>
      </c>
      <c r="E704" t="inlineStr">
        <is>
          <t>VILHELMINA</t>
        </is>
      </c>
      <c r="G704" t="n">
        <v>6.2</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45578</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2034-2023</t>
        </is>
      </c>
      <c r="B706" s="1" t="n">
        <v>44939</v>
      </c>
      <c r="C706" s="1" t="n">
        <v>45578</v>
      </c>
      <c r="D706" t="inlineStr">
        <is>
          <t>VÄSTERBOTTENS LÄN</t>
        </is>
      </c>
      <c r="E706" t="inlineStr">
        <is>
          <t>VILHELMINA</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2125-2023</t>
        </is>
      </c>
      <c r="B707" s="1" t="n">
        <v>44939</v>
      </c>
      <c r="C707" s="1" t="n">
        <v>45578</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2043-2023</t>
        </is>
      </c>
      <c r="B708" s="1" t="n">
        <v>44939</v>
      </c>
      <c r="C708" s="1" t="n">
        <v>45578</v>
      </c>
      <c r="D708" t="inlineStr">
        <is>
          <t>VÄSTERBOTTENS LÄN</t>
        </is>
      </c>
      <c r="E708" t="inlineStr">
        <is>
          <t>VILHELMINA</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2123-2023</t>
        </is>
      </c>
      <c r="B709" s="1" t="n">
        <v>44939</v>
      </c>
      <c r="C709" s="1" t="n">
        <v>45578</v>
      </c>
      <c r="D709" t="inlineStr">
        <is>
          <t>VÄSTERBOTTENS LÄN</t>
        </is>
      </c>
      <c r="E709" t="inlineStr">
        <is>
          <t>VILHELMINA</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2075-2023</t>
        </is>
      </c>
      <c r="B710" s="1" t="n">
        <v>44939</v>
      </c>
      <c r="C710" s="1" t="n">
        <v>45578</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2082-2023</t>
        </is>
      </c>
      <c r="B711" s="1" t="n">
        <v>44939</v>
      </c>
      <c r="C711" s="1" t="n">
        <v>45578</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2124-2023</t>
        </is>
      </c>
      <c r="B712" s="1" t="n">
        <v>44939</v>
      </c>
      <c r="C712" s="1" t="n">
        <v>45578</v>
      </c>
      <c r="D712" t="inlineStr">
        <is>
          <t>VÄSTERBOTTENS LÄN</t>
        </is>
      </c>
      <c r="E712" t="inlineStr">
        <is>
          <t>VILHELMINA</t>
        </is>
      </c>
      <c r="F712" t="inlineStr">
        <is>
          <t>SCA</t>
        </is>
      </c>
      <c r="G712" t="n">
        <v>28.8</v>
      </c>
      <c r="H712" t="n">
        <v>0</v>
      </c>
      <c r="I712" t="n">
        <v>0</v>
      </c>
      <c r="J712" t="n">
        <v>0</v>
      </c>
      <c r="K712" t="n">
        <v>0</v>
      </c>
      <c r="L712" t="n">
        <v>0</v>
      </c>
      <c r="M712" t="n">
        <v>0</v>
      </c>
      <c r="N712" t="n">
        <v>0</v>
      </c>
      <c r="O712" t="n">
        <v>0</v>
      </c>
      <c r="P712" t="n">
        <v>0</v>
      </c>
      <c r="Q712" t="n">
        <v>0</v>
      </c>
      <c r="R712" s="2" t="inlineStr"/>
    </row>
    <row r="713" ht="15" customHeight="1">
      <c r="A713" t="inlineStr">
        <is>
          <t>A 2122-2023</t>
        </is>
      </c>
      <c r="B713" s="1" t="n">
        <v>44939</v>
      </c>
      <c r="C713" s="1" t="n">
        <v>45578</v>
      </c>
      <c r="D713" t="inlineStr">
        <is>
          <t>VÄSTERBOTTENS LÄN</t>
        </is>
      </c>
      <c r="E713" t="inlineStr">
        <is>
          <t>VILHELMINA</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2126-2023</t>
        </is>
      </c>
      <c r="B714" s="1" t="n">
        <v>44939</v>
      </c>
      <c r="C714" s="1" t="n">
        <v>45578</v>
      </c>
      <c r="D714" t="inlineStr">
        <is>
          <t>VÄSTERBOTTENS LÄN</t>
        </is>
      </c>
      <c r="E714" t="inlineStr">
        <is>
          <t>VILHELMINA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45578</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2360-2023</t>
        </is>
      </c>
      <c r="B716" s="1" t="n">
        <v>44942</v>
      </c>
      <c r="C716" s="1" t="n">
        <v>45578</v>
      </c>
      <c r="D716" t="inlineStr">
        <is>
          <t>VÄSTERBOTTENS LÄN</t>
        </is>
      </c>
      <c r="E716" t="inlineStr">
        <is>
          <t>VILHELMINA</t>
        </is>
      </c>
      <c r="G716" t="n">
        <v>2.7</v>
      </c>
      <c r="H716" t="n">
        <v>0</v>
      </c>
      <c r="I716" t="n">
        <v>0</v>
      </c>
      <c r="J716" t="n">
        <v>0</v>
      </c>
      <c r="K716" t="n">
        <v>0</v>
      </c>
      <c r="L716" t="n">
        <v>0</v>
      </c>
      <c r="M716" t="n">
        <v>0</v>
      </c>
      <c r="N716" t="n">
        <v>0</v>
      </c>
      <c r="O716" t="n">
        <v>0</v>
      </c>
      <c r="P716" t="n">
        <v>0</v>
      </c>
      <c r="Q716" t="n">
        <v>0</v>
      </c>
      <c r="R716" s="2" t="inlineStr"/>
    </row>
    <row r="717" ht="15" customHeight="1">
      <c r="A717" t="inlineStr">
        <is>
          <t>A 2403-2023</t>
        </is>
      </c>
      <c r="B717" s="1" t="n">
        <v>44942</v>
      </c>
      <c r="C717" s="1" t="n">
        <v>45578</v>
      </c>
      <c r="D717" t="inlineStr">
        <is>
          <t>VÄSTERBOTTENS LÄN</t>
        </is>
      </c>
      <c r="E717" t="inlineStr">
        <is>
          <t>VILHELMINA</t>
        </is>
      </c>
      <c r="G717" t="n">
        <v>14.5</v>
      </c>
      <c r="H717" t="n">
        <v>0</v>
      </c>
      <c r="I717" t="n">
        <v>0</v>
      </c>
      <c r="J717" t="n">
        <v>0</v>
      </c>
      <c r="K717" t="n">
        <v>0</v>
      </c>
      <c r="L717" t="n">
        <v>0</v>
      </c>
      <c r="M717" t="n">
        <v>0</v>
      </c>
      <c r="N717" t="n">
        <v>0</v>
      </c>
      <c r="O717" t="n">
        <v>0</v>
      </c>
      <c r="P717" t="n">
        <v>0</v>
      </c>
      <c r="Q717" t="n">
        <v>0</v>
      </c>
      <c r="R717" s="2" t="inlineStr"/>
    </row>
    <row r="718" ht="15" customHeight="1">
      <c r="A718" t="inlineStr">
        <is>
          <t>A 2488-2023</t>
        </is>
      </c>
      <c r="B718" s="1" t="n">
        <v>44943</v>
      </c>
      <c r="C718" s="1" t="n">
        <v>45578</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45578</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2604-2023</t>
        </is>
      </c>
      <c r="B720" s="1" t="n">
        <v>44944</v>
      </c>
      <c r="C720" s="1" t="n">
        <v>45578</v>
      </c>
      <c r="D720" t="inlineStr">
        <is>
          <t>VÄSTERBOTTENS LÄN</t>
        </is>
      </c>
      <c r="E720" t="inlineStr">
        <is>
          <t>VILHELMINA</t>
        </is>
      </c>
      <c r="G720" t="n">
        <v>15.4</v>
      </c>
      <c r="H720" t="n">
        <v>0</v>
      </c>
      <c r="I720" t="n">
        <v>0</v>
      </c>
      <c r="J720" t="n">
        <v>0</v>
      </c>
      <c r="K720" t="n">
        <v>0</v>
      </c>
      <c r="L720" t="n">
        <v>0</v>
      </c>
      <c r="M720" t="n">
        <v>0</v>
      </c>
      <c r="N720" t="n">
        <v>0</v>
      </c>
      <c r="O720" t="n">
        <v>0</v>
      </c>
      <c r="P720" t="n">
        <v>0</v>
      </c>
      <c r="Q720" t="n">
        <v>0</v>
      </c>
      <c r="R720" s="2" t="inlineStr"/>
    </row>
    <row r="721" ht="15" customHeight="1">
      <c r="A721" t="inlineStr">
        <is>
          <t>A 2605-2023</t>
        </is>
      </c>
      <c r="B721" s="1" t="n">
        <v>44944</v>
      </c>
      <c r="C721" s="1" t="n">
        <v>45578</v>
      </c>
      <c r="D721" t="inlineStr">
        <is>
          <t>VÄSTERBOTTENS LÄN</t>
        </is>
      </c>
      <c r="E721" t="inlineStr">
        <is>
          <t>VILHELMINA</t>
        </is>
      </c>
      <c r="G721" t="n">
        <v>10.7</v>
      </c>
      <c r="H721" t="n">
        <v>0</v>
      </c>
      <c r="I721" t="n">
        <v>0</v>
      </c>
      <c r="J721" t="n">
        <v>0</v>
      </c>
      <c r="K721" t="n">
        <v>0</v>
      </c>
      <c r="L721" t="n">
        <v>0</v>
      </c>
      <c r="M721" t="n">
        <v>0</v>
      </c>
      <c r="N721" t="n">
        <v>0</v>
      </c>
      <c r="O721" t="n">
        <v>0</v>
      </c>
      <c r="P721" t="n">
        <v>0</v>
      </c>
      <c r="Q721" t="n">
        <v>0</v>
      </c>
      <c r="R721" s="2" t="inlineStr"/>
    </row>
    <row r="722" ht="15" customHeight="1">
      <c r="A722" t="inlineStr">
        <is>
          <t>A 2820-2023</t>
        </is>
      </c>
      <c r="B722" s="1" t="n">
        <v>44944</v>
      </c>
      <c r="C722" s="1" t="n">
        <v>45578</v>
      </c>
      <c r="D722" t="inlineStr">
        <is>
          <t>VÄSTERBOTTENS LÄN</t>
        </is>
      </c>
      <c r="E722" t="inlineStr">
        <is>
          <t>VILHELMINA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3393-2023</t>
        </is>
      </c>
      <c r="B723" s="1" t="n">
        <v>44945</v>
      </c>
      <c r="C723" s="1" t="n">
        <v>45578</v>
      </c>
      <c r="D723" t="inlineStr">
        <is>
          <t>VÄSTERBOTTENS LÄN</t>
        </is>
      </c>
      <c r="E723" t="inlineStr">
        <is>
          <t>VILHELMINA</t>
        </is>
      </c>
      <c r="G723" t="n">
        <v>3.4</v>
      </c>
      <c r="H723" t="n">
        <v>0</v>
      </c>
      <c r="I723" t="n">
        <v>0</v>
      </c>
      <c r="J723" t="n">
        <v>0</v>
      </c>
      <c r="K723" t="n">
        <v>0</v>
      </c>
      <c r="L723" t="n">
        <v>0</v>
      </c>
      <c r="M723" t="n">
        <v>0</v>
      </c>
      <c r="N723" t="n">
        <v>0</v>
      </c>
      <c r="O723" t="n">
        <v>0</v>
      </c>
      <c r="P723" t="n">
        <v>0</v>
      </c>
      <c r="Q723" t="n">
        <v>0</v>
      </c>
      <c r="R723" s="2" t="inlineStr"/>
    </row>
    <row r="724" ht="15" customHeight="1">
      <c r="A724" t="inlineStr">
        <is>
          <t>A 3745-2023</t>
        </is>
      </c>
      <c r="B724" s="1" t="n">
        <v>44949</v>
      </c>
      <c r="C724" s="1" t="n">
        <v>45578</v>
      </c>
      <c r="D724" t="inlineStr">
        <is>
          <t>VÄSTERBOTTENS LÄN</t>
        </is>
      </c>
      <c r="E724" t="inlineStr">
        <is>
          <t>VILHELMINA</t>
        </is>
      </c>
      <c r="G724" t="n">
        <v>36.6</v>
      </c>
      <c r="H724" t="n">
        <v>0</v>
      </c>
      <c r="I724" t="n">
        <v>0</v>
      </c>
      <c r="J724" t="n">
        <v>0</v>
      </c>
      <c r="K724" t="n">
        <v>0</v>
      </c>
      <c r="L724" t="n">
        <v>0</v>
      </c>
      <c r="M724" t="n">
        <v>0</v>
      </c>
      <c r="N724" t="n">
        <v>0</v>
      </c>
      <c r="O724" t="n">
        <v>0</v>
      </c>
      <c r="P724" t="n">
        <v>0</v>
      </c>
      <c r="Q724" t="n">
        <v>0</v>
      </c>
      <c r="R724" s="2" t="inlineStr"/>
    </row>
    <row r="725" ht="15" customHeight="1">
      <c r="A725" t="inlineStr">
        <is>
          <t>A 4344-2023</t>
        </is>
      </c>
      <c r="B725" s="1" t="n">
        <v>44954</v>
      </c>
      <c r="C725" s="1" t="n">
        <v>45578</v>
      </c>
      <c r="D725" t="inlineStr">
        <is>
          <t>VÄSTERBOTTENS LÄN</t>
        </is>
      </c>
      <c r="E725" t="inlineStr">
        <is>
          <t>VILHELMINA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4373-2023</t>
        </is>
      </c>
      <c r="B726" s="1" t="n">
        <v>44955</v>
      </c>
      <c r="C726" s="1" t="n">
        <v>45578</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4919-2023</t>
        </is>
      </c>
      <c r="B727" s="1" t="n">
        <v>44956</v>
      </c>
      <c r="C727" s="1" t="n">
        <v>45578</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5301-2023</t>
        </is>
      </c>
      <c r="B728" s="1" t="n">
        <v>44956</v>
      </c>
      <c r="C728" s="1" t="n">
        <v>45578</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5297-2023</t>
        </is>
      </c>
      <c r="B729" s="1" t="n">
        <v>44956</v>
      </c>
      <c r="C729" s="1" t="n">
        <v>45578</v>
      </c>
      <c r="D729" t="inlineStr">
        <is>
          <t>VÄSTERBOTTENS LÄN</t>
        </is>
      </c>
      <c r="E729" t="inlineStr">
        <is>
          <t>VILHELMINA</t>
        </is>
      </c>
      <c r="G729" t="n">
        <v>10.7</v>
      </c>
      <c r="H729" t="n">
        <v>0</v>
      </c>
      <c r="I729" t="n">
        <v>0</v>
      </c>
      <c r="J729" t="n">
        <v>0</v>
      </c>
      <c r="K729" t="n">
        <v>0</v>
      </c>
      <c r="L729" t="n">
        <v>0</v>
      </c>
      <c r="M729" t="n">
        <v>0</v>
      </c>
      <c r="N729" t="n">
        <v>0</v>
      </c>
      <c r="O729" t="n">
        <v>0</v>
      </c>
      <c r="P729" t="n">
        <v>0</v>
      </c>
      <c r="Q729" t="n">
        <v>0</v>
      </c>
      <c r="R729" s="2" t="inlineStr"/>
    </row>
    <row r="730" ht="15" customHeight="1">
      <c r="A730" t="inlineStr">
        <is>
          <t>A 4869-2023</t>
        </is>
      </c>
      <c r="B730" s="1" t="n">
        <v>44957</v>
      </c>
      <c r="C730" s="1" t="n">
        <v>45578</v>
      </c>
      <c r="D730" t="inlineStr">
        <is>
          <t>VÄSTERBOTTENS LÄN</t>
        </is>
      </c>
      <c r="E730" t="inlineStr">
        <is>
          <t>VILHELMINA</t>
        </is>
      </c>
      <c r="G730" t="n">
        <v>5.7</v>
      </c>
      <c r="H730" t="n">
        <v>0</v>
      </c>
      <c r="I730" t="n">
        <v>0</v>
      </c>
      <c r="J730" t="n">
        <v>0</v>
      </c>
      <c r="K730" t="n">
        <v>0</v>
      </c>
      <c r="L730" t="n">
        <v>0</v>
      </c>
      <c r="M730" t="n">
        <v>0</v>
      </c>
      <c r="N730" t="n">
        <v>0</v>
      </c>
      <c r="O730" t="n">
        <v>0</v>
      </c>
      <c r="P730" t="n">
        <v>0</v>
      </c>
      <c r="Q730" t="n">
        <v>0</v>
      </c>
      <c r="R730" s="2" t="inlineStr"/>
    </row>
    <row r="731" ht="15" customHeight="1">
      <c r="A731" t="inlineStr">
        <is>
          <t>A 5713-2023</t>
        </is>
      </c>
      <c r="B731" s="1" t="n">
        <v>44960</v>
      </c>
      <c r="C731" s="1" t="n">
        <v>45578</v>
      </c>
      <c r="D731" t="inlineStr">
        <is>
          <t>VÄSTERBOTTENS LÄN</t>
        </is>
      </c>
      <c r="E731" t="inlineStr">
        <is>
          <t>VILHELMINA</t>
        </is>
      </c>
      <c r="F731" t="inlineStr">
        <is>
          <t>SCA</t>
        </is>
      </c>
      <c r="G731" t="n">
        <v>33.2</v>
      </c>
      <c r="H731" t="n">
        <v>0</v>
      </c>
      <c r="I731" t="n">
        <v>0</v>
      </c>
      <c r="J731" t="n">
        <v>0</v>
      </c>
      <c r="K731" t="n">
        <v>0</v>
      </c>
      <c r="L731" t="n">
        <v>0</v>
      </c>
      <c r="M731" t="n">
        <v>0</v>
      </c>
      <c r="N731" t="n">
        <v>0</v>
      </c>
      <c r="O731" t="n">
        <v>0</v>
      </c>
      <c r="P731" t="n">
        <v>0</v>
      </c>
      <c r="Q731" t="n">
        <v>0</v>
      </c>
      <c r="R731" s="2" t="inlineStr"/>
    </row>
    <row r="732" ht="15" customHeight="1">
      <c r="A732" t="inlineStr">
        <is>
          <t>A 5697-2023</t>
        </is>
      </c>
      <c r="B732" s="1" t="n">
        <v>44960</v>
      </c>
      <c r="C732" s="1" t="n">
        <v>45578</v>
      </c>
      <c r="D732" t="inlineStr">
        <is>
          <t>VÄSTERBOTTENS LÄN</t>
        </is>
      </c>
      <c r="E732" t="inlineStr">
        <is>
          <t>VILHELMINA</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5699-2023</t>
        </is>
      </c>
      <c r="B733" s="1" t="n">
        <v>44960</v>
      </c>
      <c r="C733" s="1" t="n">
        <v>45578</v>
      </c>
      <c r="D733" t="inlineStr">
        <is>
          <t>VÄSTERBOTTENS LÄN</t>
        </is>
      </c>
      <c r="E733" t="inlineStr">
        <is>
          <t>VILHELMINA</t>
        </is>
      </c>
      <c r="F733" t="inlineStr">
        <is>
          <t>SCA</t>
        </is>
      </c>
      <c r="G733" t="n">
        <v>104.8</v>
      </c>
      <c r="H733" t="n">
        <v>0</v>
      </c>
      <c r="I733" t="n">
        <v>0</v>
      </c>
      <c r="J733" t="n">
        <v>0</v>
      </c>
      <c r="K733" t="n">
        <v>0</v>
      </c>
      <c r="L733" t="n">
        <v>0</v>
      </c>
      <c r="M733" t="n">
        <v>0</v>
      </c>
      <c r="N733" t="n">
        <v>0</v>
      </c>
      <c r="O733" t="n">
        <v>0</v>
      </c>
      <c r="P733" t="n">
        <v>0</v>
      </c>
      <c r="Q733" t="n">
        <v>0</v>
      </c>
      <c r="R733" s="2" t="inlineStr"/>
    </row>
    <row r="734" ht="15" customHeight="1">
      <c r="A734" t="inlineStr">
        <is>
          <t>A 5712-2023</t>
        </is>
      </c>
      <c r="B734" s="1" t="n">
        <v>44960</v>
      </c>
      <c r="C734" s="1" t="n">
        <v>45578</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6616-2023</t>
        </is>
      </c>
      <c r="B735" s="1" t="n">
        <v>44960</v>
      </c>
      <c r="C735" s="1" t="n">
        <v>45578</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6610-2023</t>
        </is>
      </c>
      <c r="B736" s="1" t="n">
        <v>44960</v>
      </c>
      <c r="C736" s="1" t="n">
        <v>45578</v>
      </c>
      <c r="D736" t="inlineStr">
        <is>
          <t>VÄSTERBOTTENS LÄN</t>
        </is>
      </c>
      <c r="E736" t="inlineStr">
        <is>
          <t>VILHELMINA</t>
        </is>
      </c>
      <c r="G736" t="n">
        <v>3.4</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v>
      </c>
      <c r="C737" s="1" t="n">
        <v>45578</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5947-2023</t>
        </is>
      </c>
      <c r="B738" s="1" t="n">
        <v>44963</v>
      </c>
      <c r="C738" s="1" t="n">
        <v>45578</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8215-2023</t>
        </is>
      </c>
      <c r="B739" s="1" t="n">
        <v>44971</v>
      </c>
      <c r="C739" s="1" t="n">
        <v>45578</v>
      </c>
      <c r="D739" t="inlineStr">
        <is>
          <t>VÄSTERBOTTENS LÄN</t>
        </is>
      </c>
      <c r="E739" t="inlineStr">
        <is>
          <t>VILHELMINA</t>
        </is>
      </c>
      <c r="G739" t="n">
        <v>0.8</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45578</v>
      </c>
      <c r="D740" t="inlineStr">
        <is>
          <t>VÄSTERBOTTENS LÄN</t>
        </is>
      </c>
      <c r="E740" t="inlineStr">
        <is>
          <t>VILHELMINA</t>
        </is>
      </c>
      <c r="F740" t="inlineStr">
        <is>
          <t>Allmännings- och besparingsskogar</t>
        </is>
      </c>
      <c r="G740" t="n">
        <v>37.9</v>
      </c>
      <c r="H740" t="n">
        <v>0</v>
      </c>
      <c r="I740" t="n">
        <v>0</v>
      </c>
      <c r="J740" t="n">
        <v>0</v>
      </c>
      <c r="K740" t="n">
        <v>0</v>
      </c>
      <c r="L740" t="n">
        <v>0</v>
      </c>
      <c r="M740" t="n">
        <v>0</v>
      </c>
      <c r="N740" t="n">
        <v>0</v>
      </c>
      <c r="O740" t="n">
        <v>0</v>
      </c>
      <c r="P740" t="n">
        <v>0</v>
      </c>
      <c r="Q740" t="n">
        <v>0</v>
      </c>
      <c r="R740" s="2" t="inlineStr"/>
    </row>
    <row r="741" ht="15" customHeight="1">
      <c r="A741" t="inlineStr">
        <is>
          <t>A 8745-2023</t>
        </is>
      </c>
      <c r="B741" s="1" t="n">
        <v>44972</v>
      </c>
      <c r="C741" s="1" t="n">
        <v>45578</v>
      </c>
      <c r="D741" t="inlineStr">
        <is>
          <t>VÄSTERBOTTENS LÄN</t>
        </is>
      </c>
      <c r="E741" t="inlineStr">
        <is>
          <t>VILHELMINA</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8759-2023</t>
        </is>
      </c>
      <c r="B742" s="1" t="n">
        <v>44972</v>
      </c>
      <c r="C742" s="1" t="n">
        <v>45578</v>
      </c>
      <c r="D742" t="inlineStr">
        <is>
          <t>VÄSTERBOTTENS LÄN</t>
        </is>
      </c>
      <c r="E742" t="inlineStr">
        <is>
          <t>VILHELMINA</t>
        </is>
      </c>
      <c r="F742" t="inlineStr">
        <is>
          <t>Allmännings- och besparingsskogar</t>
        </is>
      </c>
      <c r="G742" t="n">
        <v>23.4</v>
      </c>
      <c r="H742" t="n">
        <v>0</v>
      </c>
      <c r="I742" t="n">
        <v>0</v>
      </c>
      <c r="J742" t="n">
        <v>0</v>
      </c>
      <c r="K742" t="n">
        <v>0</v>
      </c>
      <c r="L742" t="n">
        <v>0</v>
      </c>
      <c r="M742" t="n">
        <v>0</v>
      </c>
      <c r="N742" t="n">
        <v>0</v>
      </c>
      <c r="O742" t="n">
        <v>0</v>
      </c>
      <c r="P742" t="n">
        <v>0</v>
      </c>
      <c r="Q742" t="n">
        <v>0</v>
      </c>
      <c r="R742" s="2" t="inlineStr"/>
    </row>
    <row r="743" ht="15" customHeight="1">
      <c r="A743" t="inlineStr">
        <is>
          <t>A 8733-2023</t>
        </is>
      </c>
      <c r="B743" s="1" t="n">
        <v>44972</v>
      </c>
      <c r="C743" s="1" t="n">
        <v>45578</v>
      </c>
      <c r="D743" t="inlineStr">
        <is>
          <t>VÄSTERBOTTENS LÄN</t>
        </is>
      </c>
      <c r="E743" t="inlineStr">
        <is>
          <t>VILHELMINA</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8726-2023</t>
        </is>
      </c>
      <c r="B744" s="1" t="n">
        <v>44972</v>
      </c>
      <c r="C744" s="1" t="n">
        <v>45578</v>
      </c>
      <c r="D744" t="inlineStr">
        <is>
          <t>VÄSTERBOTTENS LÄN</t>
        </is>
      </c>
      <c r="E744" t="inlineStr">
        <is>
          <t>VILHELMINA</t>
        </is>
      </c>
      <c r="F744" t="inlineStr">
        <is>
          <t>Allmännings- och besparingsskogar</t>
        </is>
      </c>
      <c r="G744" t="n">
        <v>48.5</v>
      </c>
      <c r="H744" t="n">
        <v>0</v>
      </c>
      <c r="I744" t="n">
        <v>0</v>
      </c>
      <c r="J744" t="n">
        <v>0</v>
      </c>
      <c r="K744" t="n">
        <v>0</v>
      </c>
      <c r="L744" t="n">
        <v>0</v>
      </c>
      <c r="M744" t="n">
        <v>0</v>
      </c>
      <c r="N744" t="n">
        <v>0</v>
      </c>
      <c r="O744" t="n">
        <v>0</v>
      </c>
      <c r="P744" t="n">
        <v>0</v>
      </c>
      <c r="Q744" t="n">
        <v>0</v>
      </c>
      <c r="R744" s="2" t="inlineStr"/>
    </row>
    <row r="745" ht="15" customHeight="1">
      <c r="A745" t="inlineStr">
        <is>
          <t>A 8908-2023</t>
        </is>
      </c>
      <c r="B745" s="1" t="n">
        <v>44972</v>
      </c>
      <c r="C745" s="1" t="n">
        <v>45578</v>
      </c>
      <c r="D745" t="inlineStr">
        <is>
          <t>VÄSTERBOTTENS LÄN</t>
        </is>
      </c>
      <c r="E745" t="inlineStr">
        <is>
          <t>VILHELMINA</t>
        </is>
      </c>
      <c r="F745" t="inlineStr">
        <is>
          <t>Allmännings- och besparingsskogar</t>
        </is>
      </c>
      <c r="G745" t="n">
        <v>22.3</v>
      </c>
      <c r="H745" t="n">
        <v>0</v>
      </c>
      <c r="I745" t="n">
        <v>0</v>
      </c>
      <c r="J745" t="n">
        <v>0</v>
      </c>
      <c r="K745" t="n">
        <v>0</v>
      </c>
      <c r="L745" t="n">
        <v>0</v>
      </c>
      <c r="M745" t="n">
        <v>0</v>
      </c>
      <c r="N745" t="n">
        <v>0</v>
      </c>
      <c r="O745" t="n">
        <v>0</v>
      </c>
      <c r="P745" t="n">
        <v>0</v>
      </c>
      <c r="Q745" t="n">
        <v>0</v>
      </c>
      <c r="R745" s="2" t="inlineStr"/>
    </row>
    <row r="746" ht="15" customHeight="1">
      <c r="A746" t="inlineStr">
        <is>
          <t>A 9181-2023</t>
        </is>
      </c>
      <c r="B746" s="1" t="n">
        <v>44972</v>
      </c>
      <c r="C746" s="1" t="n">
        <v>45578</v>
      </c>
      <c r="D746" t="inlineStr">
        <is>
          <t>VÄSTERBOTTENS LÄN</t>
        </is>
      </c>
      <c r="E746" t="inlineStr">
        <is>
          <t>VILHELMINA</t>
        </is>
      </c>
      <c r="F746" t="inlineStr">
        <is>
          <t>Allmännings- och besparingsskogar</t>
        </is>
      </c>
      <c r="G746" t="n">
        <v>213.9</v>
      </c>
      <c r="H746" t="n">
        <v>0</v>
      </c>
      <c r="I746" t="n">
        <v>0</v>
      </c>
      <c r="J746" t="n">
        <v>0</v>
      </c>
      <c r="K746" t="n">
        <v>0</v>
      </c>
      <c r="L746" t="n">
        <v>0</v>
      </c>
      <c r="M746" t="n">
        <v>0</v>
      </c>
      <c r="N746" t="n">
        <v>0</v>
      </c>
      <c r="O746" t="n">
        <v>0</v>
      </c>
      <c r="P746" t="n">
        <v>0</v>
      </c>
      <c r="Q746" t="n">
        <v>0</v>
      </c>
      <c r="R746" s="2" t="inlineStr"/>
    </row>
    <row r="747" ht="15" customHeight="1">
      <c r="A747" t="inlineStr">
        <is>
          <t>A 9170-2023</t>
        </is>
      </c>
      <c r="B747" s="1" t="n">
        <v>44972</v>
      </c>
      <c r="C747" s="1" t="n">
        <v>45578</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45578</v>
      </c>
      <c r="D748" t="inlineStr">
        <is>
          <t>VÄSTERBOTTENS LÄN</t>
        </is>
      </c>
      <c r="E748" t="inlineStr">
        <is>
          <t>VILHELMINA</t>
        </is>
      </c>
      <c r="F748" t="inlineStr">
        <is>
          <t>Allmännings- och besparingsskogar</t>
        </is>
      </c>
      <c r="G748" t="n">
        <v>20.9</v>
      </c>
      <c r="H748" t="n">
        <v>0</v>
      </c>
      <c r="I748" t="n">
        <v>0</v>
      </c>
      <c r="J748" t="n">
        <v>0</v>
      </c>
      <c r="K748" t="n">
        <v>0</v>
      </c>
      <c r="L748" t="n">
        <v>0</v>
      </c>
      <c r="M748" t="n">
        <v>0</v>
      </c>
      <c r="N748" t="n">
        <v>0</v>
      </c>
      <c r="O748" t="n">
        <v>0</v>
      </c>
      <c r="P748" t="n">
        <v>0</v>
      </c>
      <c r="Q748" t="n">
        <v>0</v>
      </c>
      <c r="R748" s="2" t="inlineStr"/>
    </row>
    <row r="749" ht="15" customHeight="1">
      <c r="A749" t="inlineStr">
        <is>
          <t>A 9185-2023</t>
        </is>
      </c>
      <c r="B749" s="1" t="n">
        <v>44972</v>
      </c>
      <c r="C749" s="1" t="n">
        <v>45578</v>
      </c>
      <c r="D749" t="inlineStr">
        <is>
          <t>VÄSTERBOTTENS LÄN</t>
        </is>
      </c>
      <c r="E749" t="inlineStr">
        <is>
          <t>VILHELMINA</t>
        </is>
      </c>
      <c r="F749" t="inlineStr">
        <is>
          <t>Allmännings- och besparingsskogar</t>
        </is>
      </c>
      <c r="G749" t="n">
        <v>4.1</v>
      </c>
      <c r="H749" t="n">
        <v>0</v>
      </c>
      <c r="I749" t="n">
        <v>0</v>
      </c>
      <c r="J749" t="n">
        <v>0</v>
      </c>
      <c r="K749" t="n">
        <v>0</v>
      </c>
      <c r="L749" t="n">
        <v>0</v>
      </c>
      <c r="M749" t="n">
        <v>0</v>
      </c>
      <c r="N749" t="n">
        <v>0</v>
      </c>
      <c r="O749" t="n">
        <v>0</v>
      </c>
      <c r="P749" t="n">
        <v>0</v>
      </c>
      <c r="Q749" t="n">
        <v>0</v>
      </c>
      <c r="R749" s="2" t="inlineStr"/>
    </row>
    <row r="750" ht="15" customHeight="1">
      <c r="A750" t="inlineStr">
        <is>
          <t>A 8027-2023</t>
        </is>
      </c>
      <c r="B750" s="1" t="n">
        <v>44973</v>
      </c>
      <c r="C750" s="1" t="n">
        <v>45578</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8652-2023</t>
        </is>
      </c>
      <c r="B751" s="1" t="n">
        <v>44978</v>
      </c>
      <c r="C751" s="1" t="n">
        <v>45578</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8653-2023</t>
        </is>
      </c>
      <c r="B752" s="1" t="n">
        <v>44977</v>
      </c>
      <c r="C752" s="1" t="n">
        <v>45578</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8650-2023</t>
        </is>
      </c>
      <c r="B753" s="1" t="n">
        <v>44977</v>
      </c>
      <c r="C753" s="1" t="n">
        <v>45578</v>
      </c>
      <c r="D753" t="inlineStr">
        <is>
          <t>VÄSTERBOTTENS LÄN</t>
        </is>
      </c>
      <c r="E753" t="inlineStr">
        <is>
          <t>VILHELMINA</t>
        </is>
      </c>
      <c r="F753" t="inlineStr">
        <is>
          <t>SCA</t>
        </is>
      </c>
      <c r="G753" t="n">
        <v>48.9</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45578</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45578</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9534-2023</t>
        </is>
      </c>
      <c r="B756" s="1" t="n">
        <v>44981</v>
      </c>
      <c r="C756" s="1" t="n">
        <v>45578</v>
      </c>
      <c r="D756" t="inlineStr">
        <is>
          <t>VÄSTERBOTTENS LÄN</t>
        </is>
      </c>
      <c r="E756" t="inlineStr">
        <is>
          <t>VILHELMINA</t>
        </is>
      </c>
      <c r="G756" t="n">
        <v>1.7</v>
      </c>
      <c r="H756" t="n">
        <v>0</v>
      </c>
      <c r="I756" t="n">
        <v>0</v>
      </c>
      <c r="J756" t="n">
        <v>0</v>
      </c>
      <c r="K756" t="n">
        <v>0</v>
      </c>
      <c r="L756" t="n">
        <v>0</v>
      </c>
      <c r="M756" t="n">
        <v>0</v>
      </c>
      <c r="N756" t="n">
        <v>0</v>
      </c>
      <c r="O756" t="n">
        <v>0</v>
      </c>
      <c r="P756" t="n">
        <v>0</v>
      </c>
      <c r="Q756" t="n">
        <v>0</v>
      </c>
      <c r="R756" s="2" t="inlineStr"/>
    </row>
    <row r="757" ht="15" customHeight="1">
      <c r="A757" t="inlineStr">
        <is>
          <t>A 9844-2023</t>
        </is>
      </c>
      <c r="B757" s="1" t="n">
        <v>44984</v>
      </c>
      <c r="C757" s="1" t="n">
        <v>45578</v>
      </c>
      <c r="D757" t="inlineStr">
        <is>
          <t>VÄSTERBOTTENS LÄN</t>
        </is>
      </c>
      <c r="E757" t="inlineStr">
        <is>
          <t>VILHELMINA</t>
        </is>
      </c>
      <c r="G757" t="n">
        <v>21.8</v>
      </c>
      <c r="H757" t="n">
        <v>0</v>
      </c>
      <c r="I757" t="n">
        <v>0</v>
      </c>
      <c r="J757" t="n">
        <v>0</v>
      </c>
      <c r="K757" t="n">
        <v>0</v>
      </c>
      <c r="L757" t="n">
        <v>0</v>
      </c>
      <c r="M757" t="n">
        <v>0</v>
      </c>
      <c r="N757" t="n">
        <v>0</v>
      </c>
      <c r="O757" t="n">
        <v>0</v>
      </c>
      <c r="P757" t="n">
        <v>0</v>
      </c>
      <c r="Q757" t="n">
        <v>0</v>
      </c>
      <c r="R757" s="2" t="inlineStr"/>
    </row>
    <row r="758" ht="15" customHeight="1">
      <c r="A758" t="inlineStr">
        <is>
          <t>A 10941-2023</t>
        </is>
      </c>
      <c r="B758" s="1" t="n">
        <v>44985</v>
      </c>
      <c r="C758" s="1" t="n">
        <v>45578</v>
      </c>
      <c r="D758" t="inlineStr">
        <is>
          <t>VÄSTERBOTTENS LÄN</t>
        </is>
      </c>
      <c r="E758" t="inlineStr">
        <is>
          <t>VILHELMINA</t>
        </is>
      </c>
      <c r="G758" t="n">
        <v>16.7</v>
      </c>
      <c r="H758" t="n">
        <v>0</v>
      </c>
      <c r="I758" t="n">
        <v>0</v>
      </c>
      <c r="J758" t="n">
        <v>0</v>
      </c>
      <c r="K758" t="n">
        <v>0</v>
      </c>
      <c r="L758" t="n">
        <v>0</v>
      </c>
      <c r="M758" t="n">
        <v>0</v>
      </c>
      <c r="N758" t="n">
        <v>0</v>
      </c>
      <c r="O758" t="n">
        <v>0</v>
      </c>
      <c r="P758" t="n">
        <v>0</v>
      </c>
      <c r="Q758" t="n">
        <v>0</v>
      </c>
      <c r="R758" s="2" t="inlineStr"/>
    </row>
    <row r="759" ht="15" customHeight="1">
      <c r="A759" t="inlineStr">
        <is>
          <t>A 10952-2023</t>
        </is>
      </c>
      <c r="B759" s="1" t="n">
        <v>44985</v>
      </c>
      <c r="C759" s="1" t="n">
        <v>45578</v>
      </c>
      <c r="D759" t="inlineStr">
        <is>
          <t>VÄSTERBOTTENS LÄN</t>
        </is>
      </c>
      <c r="E759" t="inlineStr">
        <is>
          <t>VILHELMINA</t>
        </is>
      </c>
      <c r="G759" t="n">
        <v>10.6</v>
      </c>
      <c r="H759" t="n">
        <v>0</v>
      </c>
      <c r="I759" t="n">
        <v>0</v>
      </c>
      <c r="J759" t="n">
        <v>0</v>
      </c>
      <c r="K759" t="n">
        <v>0</v>
      </c>
      <c r="L759" t="n">
        <v>0</v>
      </c>
      <c r="M759" t="n">
        <v>0</v>
      </c>
      <c r="N759" t="n">
        <v>0</v>
      </c>
      <c r="O759" t="n">
        <v>0</v>
      </c>
      <c r="P759" t="n">
        <v>0</v>
      </c>
      <c r="Q759" t="n">
        <v>0</v>
      </c>
      <c r="R759" s="2" t="inlineStr"/>
    </row>
    <row r="760" ht="15" customHeight="1">
      <c r="A760" t="inlineStr">
        <is>
          <t>A 10937-2023</t>
        </is>
      </c>
      <c r="B760" s="1" t="n">
        <v>44985</v>
      </c>
      <c r="C760" s="1" t="n">
        <v>45578</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10947-2023</t>
        </is>
      </c>
      <c r="B761" s="1" t="n">
        <v>44985</v>
      </c>
      <c r="C761" s="1" t="n">
        <v>45578</v>
      </c>
      <c r="D761" t="inlineStr">
        <is>
          <t>VÄSTERBOTTENS LÄN</t>
        </is>
      </c>
      <c r="E761" t="inlineStr">
        <is>
          <t>VILHELMINA</t>
        </is>
      </c>
      <c r="G761" t="n">
        <v>2.1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45578</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10933-2023</t>
        </is>
      </c>
      <c r="B763" s="1" t="n">
        <v>44985</v>
      </c>
      <c r="C763" s="1" t="n">
        <v>45578</v>
      </c>
      <c r="D763" t="inlineStr">
        <is>
          <t>VÄSTERBOTTENS LÄN</t>
        </is>
      </c>
      <c r="E763" t="inlineStr">
        <is>
          <t>VILHELMINA</t>
        </is>
      </c>
      <c r="G763" t="n">
        <v>9.5</v>
      </c>
      <c r="H763" t="n">
        <v>0</v>
      </c>
      <c r="I763" t="n">
        <v>0</v>
      </c>
      <c r="J763" t="n">
        <v>0</v>
      </c>
      <c r="K763" t="n">
        <v>0</v>
      </c>
      <c r="L763" t="n">
        <v>0</v>
      </c>
      <c r="M763" t="n">
        <v>0</v>
      </c>
      <c r="N763" t="n">
        <v>0</v>
      </c>
      <c r="O763" t="n">
        <v>0</v>
      </c>
      <c r="P763" t="n">
        <v>0</v>
      </c>
      <c r="Q763" t="n">
        <v>0</v>
      </c>
      <c r="R763" s="2" t="inlineStr"/>
    </row>
    <row r="764" ht="15" customHeight="1">
      <c r="A764" t="inlineStr">
        <is>
          <t>A 10418-2023</t>
        </is>
      </c>
      <c r="B764" s="1" t="n">
        <v>44987</v>
      </c>
      <c r="C764" s="1" t="n">
        <v>45578</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11323-2023</t>
        </is>
      </c>
      <c r="B765" s="1" t="n">
        <v>44993</v>
      </c>
      <c r="C765" s="1" t="n">
        <v>45578</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11544-2023</t>
        </is>
      </c>
      <c r="B766" s="1" t="n">
        <v>44993</v>
      </c>
      <c r="C766" s="1" t="n">
        <v>45578</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11311-2023</t>
        </is>
      </c>
      <c r="B767" s="1" t="n">
        <v>44993</v>
      </c>
      <c r="C767" s="1" t="n">
        <v>45578</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11825-2023</t>
        </is>
      </c>
      <c r="B768" s="1" t="n">
        <v>44994</v>
      </c>
      <c r="C768" s="1" t="n">
        <v>45578</v>
      </c>
      <c r="D768" t="inlineStr">
        <is>
          <t>VÄSTERBOTTENS LÄN</t>
        </is>
      </c>
      <c r="E768" t="inlineStr">
        <is>
          <t>VILHELMINA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11833-2023</t>
        </is>
      </c>
      <c r="B769" s="1" t="n">
        <v>44994</v>
      </c>
      <c r="C769" s="1" t="n">
        <v>45578</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12043-2023</t>
        </is>
      </c>
      <c r="B770" s="1" t="n">
        <v>44995</v>
      </c>
      <c r="C770" s="1" t="n">
        <v>45578</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12784-2023</t>
        </is>
      </c>
      <c r="B771" s="1" t="n">
        <v>45000</v>
      </c>
      <c r="C771" s="1" t="n">
        <v>45578</v>
      </c>
      <c r="D771" t="inlineStr">
        <is>
          <t>VÄSTERBOTTENS LÄN</t>
        </is>
      </c>
      <c r="E771" t="inlineStr">
        <is>
          <t>VILHELMINA</t>
        </is>
      </c>
      <c r="G771" t="n">
        <v>18.6</v>
      </c>
      <c r="H771" t="n">
        <v>0</v>
      </c>
      <c r="I771" t="n">
        <v>0</v>
      </c>
      <c r="J771" t="n">
        <v>0</v>
      </c>
      <c r="K771" t="n">
        <v>0</v>
      </c>
      <c r="L771" t="n">
        <v>0</v>
      </c>
      <c r="M771" t="n">
        <v>0</v>
      </c>
      <c r="N771" t="n">
        <v>0</v>
      </c>
      <c r="O771" t="n">
        <v>0</v>
      </c>
      <c r="P771" t="n">
        <v>0</v>
      </c>
      <c r="Q771" t="n">
        <v>0</v>
      </c>
      <c r="R771" s="2" t="inlineStr"/>
    </row>
    <row r="772" ht="15" customHeight="1">
      <c r="A772" t="inlineStr">
        <is>
          <t>A 12866-2023</t>
        </is>
      </c>
      <c r="B772" s="1" t="n">
        <v>45000</v>
      </c>
      <c r="C772" s="1" t="n">
        <v>45578</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12825-2023</t>
        </is>
      </c>
      <c r="B773" s="1" t="n">
        <v>45000</v>
      </c>
      <c r="C773" s="1" t="n">
        <v>45578</v>
      </c>
      <c r="D773" t="inlineStr">
        <is>
          <t>VÄSTERBOTTENS LÄN</t>
        </is>
      </c>
      <c r="E773" t="inlineStr">
        <is>
          <t>VILHELMINA</t>
        </is>
      </c>
      <c r="G773" t="n">
        <v>22.4</v>
      </c>
      <c r="H773" t="n">
        <v>0</v>
      </c>
      <c r="I773" t="n">
        <v>0</v>
      </c>
      <c r="J773" t="n">
        <v>0</v>
      </c>
      <c r="K773" t="n">
        <v>0</v>
      </c>
      <c r="L773" t="n">
        <v>0</v>
      </c>
      <c r="M773" t="n">
        <v>0</v>
      </c>
      <c r="N773" t="n">
        <v>0</v>
      </c>
      <c r="O773" t="n">
        <v>0</v>
      </c>
      <c r="P773" t="n">
        <v>0</v>
      </c>
      <c r="Q773" t="n">
        <v>0</v>
      </c>
      <c r="R773" s="2" t="inlineStr"/>
    </row>
    <row r="774" ht="15" customHeight="1">
      <c r="A774" t="inlineStr">
        <is>
          <t>A 15814-2023</t>
        </is>
      </c>
      <c r="B774" s="1" t="n">
        <v>45021</v>
      </c>
      <c r="C774" s="1" t="n">
        <v>45578</v>
      </c>
      <c r="D774" t="inlineStr">
        <is>
          <t>VÄSTERBOTTENS LÄN</t>
        </is>
      </c>
      <c r="E774" t="inlineStr">
        <is>
          <t>VILHELMINA</t>
        </is>
      </c>
      <c r="F774" t="inlineStr">
        <is>
          <t>SCA</t>
        </is>
      </c>
      <c r="G774" t="n">
        <v>69.7</v>
      </c>
      <c r="H774" t="n">
        <v>0</v>
      </c>
      <c r="I774" t="n">
        <v>0</v>
      </c>
      <c r="J774" t="n">
        <v>0</v>
      </c>
      <c r="K774" t="n">
        <v>0</v>
      </c>
      <c r="L774" t="n">
        <v>0</v>
      </c>
      <c r="M774" t="n">
        <v>0</v>
      </c>
      <c r="N774" t="n">
        <v>0</v>
      </c>
      <c r="O774" t="n">
        <v>0</v>
      </c>
      <c r="P774" t="n">
        <v>0</v>
      </c>
      <c r="Q774" t="n">
        <v>0</v>
      </c>
      <c r="R774" s="2" t="inlineStr"/>
    </row>
    <row r="775" ht="15" customHeight="1">
      <c r="A775" t="inlineStr">
        <is>
          <t>A 18554-2023</t>
        </is>
      </c>
      <c r="B775" s="1" t="n">
        <v>45043</v>
      </c>
      <c r="C775" s="1" t="n">
        <v>45578</v>
      </c>
      <c r="D775" t="inlineStr">
        <is>
          <t>VÄSTERBOTTENS LÄN</t>
        </is>
      </c>
      <c r="E775" t="inlineStr">
        <is>
          <t>VILHELMINA</t>
        </is>
      </c>
      <c r="F775" t="inlineStr">
        <is>
          <t>SCA</t>
        </is>
      </c>
      <c r="G775" t="n">
        <v>18.1</v>
      </c>
      <c r="H775" t="n">
        <v>0</v>
      </c>
      <c r="I775" t="n">
        <v>0</v>
      </c>
      <c r="J775" t="n">
        <v>0</v>
      </c>
      <c r="K775" t="n">
        <v>0</v>
      </c>
      <c r="L775" t="n">
        <v>0</v>
      </c>
      <c r="M775" t="n">
        <v>0</v>
      </c>
      <c r="N775" t="n">
        <v>0</v>
      </c>
      <c r="O775" t="n">
        <v>0</v>
      </c>
      <c r="P775" t="n">
        <v>0</v>
      </c>
      <c r="Q775" t="n">
        <v>0</v>
      </c>
      <c r="R775" s="2" t="inlineStr"/>
    </row>
    <row r="776" ht="15" customHeight="1">
      <c r="A776" t="inlineStr">
        <is>
          <t>A 18692-2023</t>
        </is>
      </c>
      <c r="B776" s="1" t="n">
        <v>45042</v>
      </c>
      <c r="C776" s="1" t="n">
        <v>45578</v>
      </c>
      <c r="D776" t="inlineStr">
        <is>
          <t>VÄSTERBOTTENS LÄN</t>
        </is>
      </c>
      <c r="E776" t="inlineStr">
        <is>
          <t>VILHELMINA</t>
        </is>
      </c>
      <c r="F776" t="inlineStr">
        <is>
          <t>Allmännings- och besparingsskogar</t>
        </is>
      </c>
      <c r="G776" t="n">
        <v>0.6</v>
      </c>
      <c r="H776" t="n">
        <v>0</v>
      </c>
      <c r="I776" t="n">
        <v>0</v>
      </c>
      <c r="J776" t="n">
        <v>0</v>
      </c>
      <c r="K776" t="n">
        <v>0</v>
      </c>
      <c r="L776" t="n">
        <v>0</v>
      </c>
      <c r="M776" t="n">
        <v>0</v>
      </c>
      <c r="N776" t="n">
        <v>0</v>
      </c>
      <c r="O776" t="n">
        <v>0</v>
      </c>
      <c r="P776" t="n">
        <v>0</v>
      </c>
      <c r="Q776" t="n">
        <v>0</v>
      </c>
      <c r="R776" s="2" t="inlineStr"/>
    </row>
    <row r="777" ht="15" customHeight="1">
      <c r="A777" t="inlineStr">
        <is>
          <t>A 19060-2023</t>
        </is>
      </c>
      <c r="B777" s="1" t="n">
        <v>45043</v>
      </c>
      <c r="C777" s="1" t="n">
        <v>45578</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19232-2023</t>
        </is>
      </c>
      <c r="B778" s="1" t="n">
        <v>45048</v>
      </c>
      <c r="C778" s="1" t="n">
        <v>45578</v>
      </c>
      <c r="D778" t="inlineStr">
        <is>
          <t>VÄSTERBOTTENS LÄN</t>
        </is>
      </c>
      <c r="E778" t="inlineStr">
        <is>
          <t>VILHELMINA</t>
        </is>
      </c>
      <c r="G778" t="n">
        <v>4.8</v>
      </c>
      <c r="H778" t="n">
        <v>0</v>
      </c>
      <c r="I778" t="n">
        <v>0</v>
      </c>
      <c r="J778" t="n">
        <v>0</v>
      </c>
      <c r="K778" t="n">
        <v>0</v>
      </c>
      <c r="L778" t="n">
        <v>0</v>
      </c>
      <c r="M778" t="n">
        <v>0</v>
      </c>
      <c r="N778" t="n">
        <v>0</v>
      </c>
      <c r="O778" t="n">
        <v>0</v>
      </c>
      <c r="P778" t="n">
        <v>0</v>
      </c>
      <c r="Q778" t="n">
        <v>0</v>
      </c>
      <c r="R778" s="2" t="inlineStr"/>
    </row>
    <row r="779" ht="15" customHeight="1">
      <c r="A779" t="inlineStr">
        <is>
          <t>A 19401-2023</t>
        </is>
      </c>
      <c r="B779" s="1" t="n">
        <v>45048</v>
      </c>
      <c r="C779" s="1" t="n">
        <v>45578</v>
      </c>
      <c r="D779" t="inlineStr">
        <is>
          <t>VÄSTERBOTTENS LÄN</t>
        </is>
      </c>
      <c r="E779" t="inlineStr">
        <is>
          <t>VILHELMINA</t>
        </is>
      </c>
      <c r="G779" t="n">
        <v>5.4</v>
      </c>
      <c r="H779" t="n">
        <v>0</v>
      </c>
      <c r="I779" t="n">
        <v>0</v>
      </c>
      <c r="J779" t="n">
        <v>0</v>
      </c>
      <c r="K779" t="n">
        <v>0</v>
      </c>
      <c r="L779" t="n">
        <v>0</v>
      </c>
      <c r="M779" t="n">
        <v>0</v>
      </c>
      <c r="N779" t="n">
        <v>0</v>
      </c>
      <c r="O779" t="n">
        <v>0</v>
      </c>
      <c r="P779" t="n">
        <v>0</v>
      </c>
      <c r="Q779" t="n">
        <v>0</v>
      </c>
      <c r="R779" s="2" t="inlineStr"/>
    </row>
    <row r="780" ht="15" customHeight="1">
      <c r="A780" t="inlineStr">
        <is>
          <t>A 19397-2023</t>
        </is>
      </c>
      <c r="B780" s="1" t="n">
        <v>45048</v>
      </c>
      <c r="C780" s="1" t="n">
        <v>45578</v>
      </c>
      <c r="D780" t="inlineStr">
        <is>
          <t>VÄSTERBOTTENS LÄN</t>
        </is>
      </c>
      <c r="E780" t="inlineStr">
        <is>
          <t>VILHELMINA</t>
        </is>
      </c>
      <c r="G780" t="n">
        <v>12.8</v>
      </c>
      <c r="H780" t="n">
        <v>0</v>
      </c>
      <c r="I780" t="n">
        <v>0</v>
      </c>
      <c r="J780" t="n">
        <v>0</v>
      </c>
      <c r="K780" t="n">
        <v>0</v>
      </c>
      <c r="L780" t="n">
        <v>0</v>
      </c>
      <c r="M780" t="n">
        <v>0</v>
      </c>
      <c r="N780" t="n">
        <v>0</v>
      </c>
      <c r="O780" t="n">
        <v>0</v>
      </c>
      <c r="P780" t="n">
        <v>0</v>
      </c>
      <c r="Q780" t="n">
        <v>0</v>
      </c>
      <c r="R780" s="2" t="inlineStr"/>
    </row>
    <row r="781" ht="15" customHeight="1">
      <c r="A781" t="inlineStr">
        <is>
          <t>A 19934-2023</t>
        </is>
      </c>
      <c r="B781" s="1" t="n">
        <v>45051</v>
      </c>
      <c r="C781" s="1" t="n">
        <v>45578</v>
      </c>
      <c r="D781" t="inlineStr">
        <is>
          <t>VÄSTERBOTTENS LÄN</t>
        </is>
      </c>
      <c r="E781" t="inlineStr">
        <is>
          <t>VILHELMINA</t>
        </is>
      </c>
      <c r="F781" t="inlineStr">
        <is>
          <t>Övriga statliga verk och myndigheter</t>
        </is>
      </c>
      <c r="G781" t="n">
        <v>28.1</v>
      </c>
      <c r="H781" t="n">
        <v>0</v>
      </c>
      <c r="I781" t="n">
        <v>0</v>
      </c>
      <c r="J781" t="n">
        <v>0</v>
      </c>
      <c r="K781" t="n">
        <v>0</v>
      </c>
      <c r="L781" t="n">
        <v>0</v>
      </c>
      <c r="M781" t="n">
        <v>0</v>
      </c>
      <c r="N781" t="n">
        <v>0</v>
      </c>
      <c r="O781" t="n">
        <v>0</v>
      </c>
      <c r="P781" t="n">
        <v>0</v>
      </c>
      <c r="Q781" t="n">
        <v>0</v>
      </c>
      <c r="R781" s="2" t="inlineStr"/>
    </row>
    <row r="782" ht="15" customHeight="1">
      <c r="A782" t="inlineStr">
        <is>
          <t>A 20090-2023</t>
        </is>
      </c>
      <c r="B782" s="1" t="n">
        <v>45054</v>
      </c>
      <c r="C782" s="1" t="n">
        <v>45578</v>
      </c>
      <c r="D782" t="inlineStr">
        <is>
          <t>VÄSTERBOTTENS LÄN</t>
        </is>
      </c>
      <c r="E782" t="inlineStr">
        <is>
          <t>VILHELMINA</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20454-2023</t>
        </is>
      </c>
      <c r="B783" s="1" t="n">
        <v>45056</v>
      </c>
      <c r="C783" s="1" t="n">
        <v>45578</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20455-2023</t>
        </is>
      </c>
      <c r="B784" s="1" t="n">
        <v>45056</v>
      </c>
      <c r="C784" s="1" t="n">
        <v>45578</v>
      </c>
      <c r="D784" t="inlineStr">
        <is>
          <t>VÄSTERBOTTENS LÄN</t>
        </is>
      </c>
      <c r="E784" t="inlineStr">
        <is>
          <t>VILHELMINA</t>
        </is>
      </c>
      <c r="G784" t="n">
        <v>3.1</v>
      </c>
      <c r="H784" t="n">
        <v>0</v>
      </c>
      <c r="I784" t="n">
        <v>0</v>
      </c>
      <c r="J784" t="n">
        <v>0</v>
      </c>
      <c r="K784" t="n">
        <v>0</v>
      </c>
      <c r="L784" t="n">
        <v>0</v>
      </c>
      <c r="M784" t="n">
        <v>0</v>
      </c>
      <c r="N784" t="n">
        <v>0</v>
      </c>
      <c r="O784" t="n">
        <v>0</v>
      </c>
      <c r="P784" t="n">
        <v>0</v>
      </c>
      <c r="Q784" t="n">
        <v>0</v>
      </c>
      <c r="R784" s="2" t="inlineStr"/>
    </row>
    <row r="785" ht="15" customHeight="1">
      <c r="A785" t="inlineStr">
        <is>
          <t>A 20595-2023</t>
        </is>
      </c>
      <c r="B785" s="1" t="n">
        <v>45057</v>
      </c>
      <c r="C785" s="1" t="n">
        <v>45578</v>
      </c>
      <c r="D785" t="inlineStr">
        <is>
          <t>VÄSTERBOTTENS LÄN</t>
        </is>
      </c>
      <c r="E785" t="inlineStr">
        <is>
          <t>VILHELMINA</t>
        </is>
      </c>
      <c r="F785" t="inlineStr">
        <is>
          <t>SCA</t>
        </is>
      </c>
      <c r="G785" t="n">
        <v>22.7</v>
      </c>
      <c r="H785" t="n">
        <v>0</v>
      </c>
      <c r="I785" t="n">
        <v>0</v>
      </c>
      <c r="J785" t="n">
        <v>0</v>
      </c>
      <c r="K785" t="n">
        <v>0</v>
      </c>
      <c r="L785" t="n">
        <v>0</v>
      </c>
      <c r="M785" t="n">
        <v>0</v>
      </c>
      <c r="N785" t="n">
        <v>0</v>
      </c>
      <c r="O785" t="n">
        <v>0</v>
      </c>
      <c r="P785" t="n">
        <v>0</v>
      </c>
      <c r="Q785" t="n">
        <v>0</v>
      </c>
      <c r="R785" s="2" t="inlineStr"/>
    </row>
    <row r="786" ht="15" customHeight="1">
      <c r="A786" t="inlineStr">
        <is>
          <t>A 21334-2023</t>
        </is>
      </c>
      <c r="B786" s="1" t="n">
        <v>45062</v>
      </c>
      <c r="C786" s="1" t="n">
        <v>45578</v>
      </c>
      <c r="D786" t="inlineStr">
        <is>
          <t>VÄSTERBOTTENS LÄN</t>
        </is>
      </c>
      <c r="E786" t="inlineStr">
        <is>
          <t>VILHELMINA</t>
        </is>
      </c>
      <c r="G786" t="n">
        <v>20</v>
      </c>
      <c r="H786" t="n">
        <v>0</v>
      </c>
      <c r="I786" t="n">
        <v>0</v>
      </c>
      <c r="J786" t="n">
        <v>0</v>
      </c>
      <c r="K786" t="n">
        <v>0</v>
      </c>
      <c r="L786" t="n">
        <v>0</v>
      </c>
      <c r="M786" t="n">
        <v>0</v>
      </c>
      <c r="N786" t="n">
        <v>0</v>
      </c>
      <c r="O786" t="n">
        <v>0</v>
      </c>
      <c r="P786" t="n">
        <v>0</v>
      </c>
      <c r="Q786" t="n">
        <v>0</v>
      </c>
      <c r="R786" s="2" t="inlineStr"/>
    </row>
    <row r="787" ht="15" customHeight="1">
      <c r="A787" t="inlineStr">
        <is>
          <t>A 24373-2023</t>
        </is>
      </c>
      <c r="B787" s="1" t="n">
        <v>45076</v>
      </c>
      <c r="C787" s="1" t="n">
        <v>45578</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24598-2023</t>
        </is>
      </c>
      <c r="B788" s="1" t="n">
        <v>45084</v>
      </c>
      <c r="C788" s="1" t="n">
        <v>45578</v>
      </c>
      <c r="D788" t="inlineStr">
        <is>
          <t>VÄSTERBOTTENS LÄN</t>
        </is>
      </c>
      <c r="E788" t="inlineStr">
        <is>
          <t>VILHELMINA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45578</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25313-2023</t>
        </is>
      </c>
      <c r="B790" s="1" t="n">
        <v>45087</v>
      </c>
      <c r="C790" s="1" t="n">
        <v>45578</v>
      </c>
      <c r="D790" t="inlineStr">
        <is>
          <t>VÄSTERBOTTENS LÄN</t>
        </is>
      </c>
      <c r="E790" t="inlineStr">
        <is>
          <t>VILHELMINA</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45578</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26564-2023</t>
        </is>
      </c>
      <c r="B792" s="1" t="n">
        <v>45089</v>
      </c>
      <c r="C792" s="1" t="n">
        <v>45578</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26557-2023</t>
        </is>
      </c>
      <c r="B793" s="1" t="n">
        <v>45089</v>
      </c>
      <c r="C793" s="1" t="n">
        <v>45578</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45578</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25997-2023</t>
        </is>
      </c>
      <c r="B795" s="1" t="n">
        <v>45090</v>
      </c>
      <c r="C795" s="1" t="n">
        <v>45578</v>
      </c>
      <c r="D795" t="inlineStr">
        <is>
          <t>VÄSTERBOTTENS LÄN</t>
        </is>
      </c>
      <c r="E795" t="inlineStr">
        <is>
          <t>VILHELMINA</t>
        </is>
      </c>
      <c r="G795" t="n">
        <v>7.8</v>
      </c>
      <c r="H795" t="n">
        <v>0</v>
      </c>
      <c r="I795" t="n">
        <v>0</v>
      </c>
      <c r="J795" t="n">
        <v>0</v>
      </c>
      <c r="K795" t="n">
        <v>0</v>
      </c>
      <c r="L795" t="n">
        <v>0</v>
      </c>
      <c r="M795" t="n">
        <v>0</v>
      </c>
      <c r="N795" t="n">
        <v>0</v>
      </c>
      <c r="O795" t="n">
        <v>0</v>
      </c>
      <c r="P795" t="n">
        <v>0</v>
      </c>
      <c r="Q795" t="n">
        <v>0</v>
      </c>
      <c r="R795" s="2" t="inlineStr"/>
    </row>
    <row r="796" ht="15" customHeight="1">
      <c r="A796" t="inlineStr">
        <is>
          <t>A 26657-2023</t>
        </is>
      </c>
      <c r="B796" s="1" t="n">
        <v>45092</v>
      </c>
      <c r="C796" s="1" t="n">
        <v>45578</v>
      </c>
      <c r="D796" t="inlineStr">
        <is>
          <t>VÄSTERBOTTENS LÄN</t>
        </is>
      </c>
      <c r="E796" t="inlineStr">
        <is>
          <t>VILHELMINA</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26663-2023</t>
        </is>
      </c>
      <c r="B797" s="1" t="n">
        <v>45093</v>
      </c>
      <c r="C797" s="1" t="n">
        <v>45578</v>
      </c>
      <c r="D797" t="inlineStr">
        <is>
          <t>VÄSTERBOTTENS LÄN</t>
        </is>
      </c>
      <c r="E797" t="inlineStr">
        <is>
          <t>VILHELMINA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26656-2023</t>
        </is>
      </c>
      <c r="B798" s="1" t="n">
        <v>45092</v>
      </c>
      <c r="C798" s="1" t="n">
        <v>45578</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27601-2023</t>
        </is>
      </c>
      <c r="B799" s="1" t="n">
        <v>45092</v>
      </c>
      <c r="C799" s="1" t="n">
        <v>45578</v>
      </c>
      <c r="D799" t="inlineStr">
        <is>
          <t>VÄSTERBOTTENS LÄN</t>
        </is>
      </c>
      <c r="E799" t="inlineStr">
        <is>
          <t>VILHELMINA</t>
        </is>
      </c>
      <c r="G799" t="n">
        <v>2</v>
      </c>
      <c r="H799" t="n">
        <v>0</v>
      </c>
      <c r="I799" t="n">
        <v>0</v>
      </c>
      <c r="J799" t="n">
        <v>0</v>
      </c>
      <c r="K799" t="n">
        <v>0</v>
      </c>
      <c r="L799" t="n">
        <v>0</v>
      </c>
      <c r="M799" t="n">
        <v>0</v>
      </c>
      <c r="N799" t="n">
        <v>0</v>
      </c>
      <c r="O799" t="n">
        <v>0</v>
      </c>
      <c r="P799" t="n">
        <v>0</v>
      </c>
      <c r="Q799" t="n">
        <v>0</v>
      </c>
      <c r="R799" s="2" t="inlineStr"/>
    </row>
    <row r="800" ht="15" customHeight="1">
      <c r="A800" t="inlineStr">
        <is>
          <t>A 26997-2023</t>
        </is>
      </c>
      <c r="B800" s="1" t="n">
        <v>45093</v>
      </c>
      <c r="C800" s="1" t="n">
        <v>45578</v>
      </c>
      <c r="D800" t="inlineStr">
        <is>
          <t>VÄSTERBOTTENS LÄN</t>
        </is>
      </c>
      <c r="E800" t="inlineStr">
        <is>
          <t>VILHELMINA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27763-2023</t>
        </is>
      </c>
      <c r="B801" s="1" t="n">
        <v>45093</v>
      </c>
      <c r="C801" s="1" t="n">
        <v>45578</v>
      </c>
      <c r="D801" t="inlineStr">
        <is>
          <t>VÄSTERBOTTENS LÄN</t>
        </is>
      </c>
      <c r="E801" t="inlineStr">
        <is>
          <t>VILHELMINA</t>
        </is>
      </c>
      <c r="G801" t="n">
        <v>21.5</v>
      </c>
      <c r="H801" t="n">
        <v>0</v>
      </c>
      <c r="I801" t="n">
        <v>0</v>
      </c>
      <c r="J801" t="n">
        <v>0</v>
      </c>
      <c r="K801" t="n">
        <v>0</v>
      </c>
      <c r="L801" t="n">
        <v>0</v>
      </c>
      <c r="M801" t="n">
        <v>0</v>
      </c>
      <c r="N801" t="n">
        <v>0</v>
      </c>
      <c r="O801" t="n">
        <v>0</v>
      </c>
      <c r="P801" t="n">
        <v>0</v>
      </c>
      <c r="Q801" t="n">
        <v>0</v>
      </c>
      <c r="R801" s="2" t="inlineStr"/>
    </row>
    <row r="802" ht="15" customHeight="1">
      <c r="A802" t="inlineStr">
        <is>
          <t>A 27357-2023</t>
        </is>
      </c>
      <c r="B802" s="1" t="n">
        <v>45096</v>
      </c>
      <c r="C802" s="1" t="n">
        <v>45578</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27355-2023</t>
        </is>
      </c>
      <c r="B803" s="1" t="n">
        <v>45096</v>
      </c>
      <c r="C803" s="1" t="n">
        <v>45578</v>
      </c>
      <c r="D803" t="inlineStr">
        <is>
          <t>VÄSTERBOTTENS LÄN</t>
        </is>
      </c>
      <c r="E803" t="inlineStr">
        <is>
          <t>VILHELMINA</t>
        </is>
      </c>
      <c r="G803" t="n">
        <v>2.6</v>
      </c>
      <c r="H803" t="n">
        <v>0</v>
      </c>
      <c r="I803" t="n">
        <v>0</v>
      </c>
      <c r="J803" t="n">
        <v>0</v>
      </c>
      <c r="K803" t="n">
        <v>0</v>
      </c>
      <c r="L803" t="n">
        <v>0</v>
      </c>
      <c r="M803" t="n">
        <v>0</v>
      </c>
      <c r="N803" t="n">
        <v>0</v>
      </c>
      <c r="O803" t="n">
        <v>0</v>
      </c>
      <c r="P803" t="n">
        <v>0</v>
      </c>
      <c r="Q803" t="n">
        <v>0</v>
      </c>
      <c r="R803" s="2" t="inlineStr"/>
    </row>
    <row r="804" ht="15" customHeight="1">
      <c r="A804" t="inlineStr">
        <is>
          <t>A 28011-2023</t>
        </is>
      </c>
      <c r="B804" s="1" t="n">
        <v>45098</v>
      </c>
      <c r="C804" s="1" t="n">
        <v>45578</v>
      </c>
      <c r="D804" t="inlineStr">
        <is>
          <t>VÄSTERBOTTENS LÄN</t>
        </is>
      </c>
      <c r="E804" t="inlineStr">
        <is>
          <t>VILHELMINA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28380-2023</t>
        </is>
      </c>
      <c r="B805" s="1" t="n">
        <v>45099</v>
      </c>
      <c r="C805" s="1" t="n">
        <v>45578</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28718-2023</t>
        </is>
      </c>
      <c r="B806" s="1" t="n">
        <v>45103</v>
      </c>
      <c r="C806" s="1" t="n">
        <v>45578</v>
      </c>
      <c r="D806" t="inlineStr">
        <is>
          <t>VÄSTERBOTTENS LÄN</t>
        </is>
      </c>
      <c r="E806" t="inlineStr">
        <is>
          <t>VILHELMINA</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28982-2023</t>
        </is>
      </c>
      <c r="B807" s="1" t="n">
        <v>45104</v>
      </c>
      <c r="C807" s="1" t="n">
        <v>45578</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28986-2023</t>
        </is>
      </c>
      <c r="B808" s="1" t="n">
        <v>45104</v>
      </c>
      <c r="C808" s="1" t="n">
        <v>45578</v>
      </c>
      <c r="D808" t="inlineStr">
        <is>
          <t>VÄSTERBOTTENS LÄN</t>
        </is>
      </c>
      <c r="E808" t="inlineStr">
        <is>
          <t>VILHELMINA</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28991-2023</t>
        </is>
      </c>
      <c r="B809" s="1" t="n">
        <v>45104</v>
      </c>
      <c r="C809" s="1" t="n">
        <v>45578</v>
      </c>
      <c r="D809" t="inlineStr">
        <is>
          <t>VÄSTERBOTTENS LÄN</t>
        </is>
      </c>
      <c r="E809" t="inlineStr">
        <is>
          <t>VILHELMINA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28984-2023</t>
        </is>
      </c>
      <c r="B810" s="1" t="n">
        <v>45104</v>
      </c>
      <c r="C810" s="1" t="n">
        <v>45578</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29250-2023</t>
        </is>
      </c>
      <c r="B811" s="1" t="n">
        <v>45105</v>
      </c>
      <c r="C811" s="1" t="n">
        <v>45578</v>
      </c>
      <c r="D811" t="inlineStr">
        <is>
          <t>VÄSTERBOTTENS LÄN</t>
        </is>
      </c>
      <c r="E811" t="inlineStr">
        <is>
          <t>VILHELMINA</t>
        </is>
      </c>
      <c r="F811" t="inlineStr">
        <is>
          <t>Sveaskog</t>
        </is>
      </c>
      <c r="G811" t="n">
        <v>11.3</v>
      </c>
      <c r="H811" t="n">
        <v>0</v>
      </c>
      <c r="I811" t="n">
        <v>0</v>
      </c>
      <c r="J811" t="n">
        <v>0</v>
      </c>
      <c r="K811" t="n">
        <v>0</v>
      </c>
      <c r="L811" t="n">
        <v>0</v>
      </c>
      <c r="M811" t="n">
        <v>0</v>
      </c>
      <c r="N811" t="n">
        <v>0</v>
      </c>
      <c r="O811" t="n">
        <v>0</v>
      </c>
      <c r="P811" t="n">
        <v>0</v>
      </c>
      <c r="Q811" t="n">
        <v>0</v>
      </c>
      <c r="R811" s="2" t="inlineStr"/>
    </row>
    <row r="812" ht="15" customHeight="1">
      <c r="A812" t="inlineStr">
        <is>
          <t>A 29608-2023</t>
        </is>
      </c>
      <c r="B812" s="1" t="n">
        <v>45106</v>
      </c>
      <c r="C812" s="1" t="n">
        <v>45578</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29954-2023</t>
        </is>
      </c>
      <c r="B813" s="1" t="n">
        <v>45107</v>
      </c>
      <c r="C813" s="1" t="n">
        <v>45578</v>
      </c>
      <c r="D813" t="inlineStr">
        <is>
          <t>VÄSTERBOTTENS LÄN</t>
        </is>
      </c>
      <c r="E813" t="inlineStr">
        <is>
          <t>VILHELMINA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30846-2023</t>
        </is>
      </c>
      <c r="B814" s="1" t="n">
        <v>45112</v>
      </c>
      <c r="C814" s="1" t="n">
        <v>45578</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30847-2023</t>
        </is>
      </c>
      <c r="B815" s="1" t="n">
        <v>45112</v>
      </c>
      <c r="C815" s="1" t="n">
        <v>45578</v>
      </c>
      <c r="D815" t="inlineStr">
        <is>
          <t>VÄSTERBOTTENS LÄN</t>
        </is>
      </c>
      <c r="E815" t="inlineStr">
        <is>
          <t>VILHELMINA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30940-2023</t>
        </is>
      </c>
      <c r="B816" s="1" t="n">
        <v>45113</v>
      </c>
      <c r="C816" s="1" t="n">
        <v>45578</v>
      </c>
      <c r="D816" t="inlineStr">
        <is>
          <t>VÄSTERBOTTENS LÄN</t>
        </is>
      </c>
      <c r="E816" t="inlineStr">
        <is>
          <t>VILHELMINA</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30934-2023</t>
        </is>
      </c>
      <c r="B817" s="1" t="n">
        <v>45113</v>
      </c>
      <c r="C817" s="1" t="n">
        <v>45578</v>
      </c>
      <c r="D817" t="inlineStr">
        <is>
          <t>VÄSTERBOTTENS LÄN</t>
        </is>
      </c>
      <c r="E817" t="inlineStr">
        <is>
          <t>VILHELMINA</t>
        </is>
      </c>
      <c r="F817" t="inlineStr">
        <is>
          <t>Sveaskog</t>
        </is>
      </c>
      <c r="G817" t="n">
        <v>11.3</v>
      </c>
      <c r="H817" t="n">
        <v>0</v>
      </c>
      <c r="I817" t="n">
        <v>0</v>
      </c>
      <c r="J817" t="n">
        <v>0</v>
      </c>
      <c r="K817" t="n">
        <v>0</v>
      </c>
      <c r="L817" t="n">
        <v>0</v>
      </c>
      <c r="M817" t="n">
        <v>0</v>
      </c>
      <c r="N817" t="n">
        <v>0</v>
      </c>
      <c r="O817" t="n">
        <v>0</v>
      </c>
      <c r="P817" t="n">
        <v>0</v>
      </c>
      <c r="Q817" t="n">
        <v>0</v>
      </c>
      <c r="R817" s="2" t="inlineStr"/>
    </row>
    <row r="818" ht="15" customHeight="1">
      <c r="A818" t="inlineStr">
        <is>
          <t>A 31495-2023</t>
        </is>
      </c>
      <c r="B818" s="1" t="n">
        <v>45115</v>
      </c>
      <c r="C818" s="1" t="n">
        <v>45578</v>
      </c>
      <c r="D818" t="inlineStr">
        <is>
          <t>VÄSTERBOTTENS LÄN</t>
        </is>
      </c>
      <c r="E818" t="inlineStr">
        <is>
          <t>VILHELMINA</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31496-2023</t>
        </is>
      </c>
      <c r="B819" s="1" t="n">
        <v>45115</v>
      </c>
      <c r="C819" s="1" t="n">
        <v>45578</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33349-2023</t>
        </is>
      </c>
      <c r="B820" s="1" t="n">
        <v>45117</v>
      </c>
      <c r="C820" s="1" t="n">
        <v>45578</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45578</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33675-2023</t>
        </is>
      </c>
      <c r="B822" s="1" t="n">
        <v>45119</v>
      </c>
      <c r="C822" s="1" t="n">
        <v>45578</v>
      </c>
      <c r="D822" t="inlineStr">
        <is>
          <t>VÄSTERBOTTENS LÄN</t>
        </is>
      </c>
      <c r="E822" t="inlineStr">
        <is>
          <t>VILHELMINA</t>
        </is>
      </c>
      <c r="F822" t="inlineStr">
        <is>
          <t>Allmännings- och besparingsskogar</t>
        </is>
      </c>
      <c r="G822" t="n">
        <v>27.9</v>
      </c>
      <c r="H822" t="n">
        <v>0</v>
      </c>
      <c r="I822" t="n">
        <v>0</v>
      </c>
      <c r="J822" t="n">
        <v>0</v>
      </c>
      <c r="K822" t="n">
        <v>0</v>
      </c>
      <c r="L822" t="n">
        <v>0</v>
      </c>
      <c r="M822" t="n">
        <v>0</v>
      </c>
      <c r="N822" t="n">
        <v>0</v>
      </c>
      <c r="O822" t="n">
        <v>0</v>
      </c>
      <c r="P822" t="n">
        <v>0</v>
      </c>
      <c r="Q822" t="n">
        <v>0</v>
      </c>
      <c r="R822" s="2" t="inlineStr"/>
    </row>
    <row r="823" ht="15" customHeight="1">
      <c r="A823" t="inlineStr">
        <is>
          <t>A 33661-2023</t>
        </is>
      </c>
      <c r="B823" s="1" t="n">
        <v>45119</v>
      </c>
      <c r="C823" s="1" t="n">
        <v>45578</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33679-2023</t>
        </is>
      </c>
      <c r="B824" s="1" t="n">
        <v>45119</v>
      </c>
      <c r="C824" s="1" t="n">
        <v>45578</v>
      </c>
      <c r="D824" t="inlineStr">
        <is>
          <t>VÄSTERBOTTENS LÄN</t>
        </is>
      </c>
      <c r="E824" t="inlineStr">
        <is>
          <t>VILHELMINA</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34074-2023</t>
        </is>
      </c>
      <c r="B825" s="1" t="n">
        <v>45125</v>
      </c>
      <c r="C825" s="1" t="n">
        <v>45578</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34087-2023</t>
        </is>
      </c>
      <c r="B826" s="1" t="n">
        <v>45125</v>
      </c>
      <c r="C826" s="1" t="n">
        <v>45578</v>
      </c>
      <c r="D826" t="inlineStr">
        <is>
          <t>VÄSTERBOTTENS LÄN</t>
        </is>
      </c>
      <c r="E826" t="inlineStr">
        <is>
          <t>VILHELMINA</t>
        </is>
      </c>
      <c r="G826" t="n">
        <v>13.2</v>
      </c>
      <c r="H826" t="n">
        <v>0</v>
      </c>
      <c r="I826" t="n">
        <v>0</v>
      </c>
      <c r="J826" t="n">
        <v>0</v>
      </c>
      <c r="K826" t="n">
        <v>0</v>
      </c>
      <c r="L826" t="n">
        <v>0</v>
      </c>
      <c r="M826" t="n">
        <v>0</v>
      </c>
      <c r="N826" t="n">
        <v>0</v>
      </c>
      <c r="O826" t="n">
        <v>0</v>
      </c>
      <c r="P826" t="n">
        <v>0</v>
      </c>
      <c r="Q826" t="n">
        <v>0</v>
      </c>
      <c r="R826" s="2" t="inlineStr"/>
    </row>
    <row r="827" ht="15" customHeight="1">
      <c r="A827" t="inlineStr">
        <is>
          <t>A 34799-2023</t>
        </is>
      </c>
      <c r="B827" s="1" t="n">
        <v>45140</v>
      </c>
      <c r="C827" s="1" t="n">
        <v>45578</v>
      </c>
      <c r="D827" t="inlineStr">
        <is>
          <t>VÄSTERBOTTENS LÄN</t>
        </is>
      </c>
      <c r="E827" t="inlineStr">
        <is>
          <t>VILHELMINA</t>
        </is>
      </c>
      <c r="G827" t="n">
        <v>17.4</v>
      </c>
      <c r="H827" t="n">
        <v>0</v>
      </c>
      <c r="I827" t="n">
        <v>0</v>
      </c>
      <c r="J827" t="n">
        <v>0</v>
      </c>
      <c r="K827" t="n">
        <v>0</v>
      </c>
      <c r="L827" t="n">
        <v>0</v>
      </c>
      <c r="M827" t="n">
        <v>0</v>
      </c>
      <c r="N827" t="n">
        <v>0</v>
      </c>
      <c r="O827" t="n">
        <v>0</v>
      </c>
      <c r="P827" t="n">
        <v>0</v>
      </c>
      <c r="Q827" t="n">
        <v>0</v>
      </c>
      <c r="R827" s="2" t="inlineStr"/>
    </row>
    <row r="828" ht="15" customHeight="1">
      <c r="A828" t="inlineStr">
        <is>
          <t>A 34807-2023</t>
        </is>
      </c>
      <c r="B828" s="1" t="n">
        <v>45140</v>
      </c>
      <c r="C828" s="1" t="n">
        <v>45578</v>
      </c>
      <c r="D828" t="inlineStr">
        <is>
          <t>VÄSTERBOTTENS LÄN</t>
        </is>
      </c>
      <c r="E828" t="inlineStr">
        <is>
          <t>VILHELMINA</t>
        </is>
      </c>
      <c r="G828" t="n">
        <v>8.1</v>
      </c>
      <c r="H828" t="n">
        <v>0</v>
      </c>
      <c r="I828" t="n">
        <v>0</v>
      </c>
      <c r="J828" t="n">
        <v>0</v>
      </c>
      <c r="K828" t="n">
        <v>0</v>
      </c>
      <c r="L828" t="n">
        <v>0</v>
      </c>
      <c r="M828" t="n">
        <v>0</v>
      </c>
      <c r="N828" t="n">
        <v>0</v>
      </c>
      <c r="O828" t="n">
        <v>0</v>
      </c>
      <c r="P828" t="n">
        <v>0</v>
      </c>
      <c r="Q828" t="n">
        <v>0</v>
      </c>
      <c r="R828" s="2" t="inlineStr"/>
    </row>
    <row r="829" ht="15" customHeight="1">
      <c r="A829" t="inlineStr">
        <is>
          <t>A 34809-2023</t>
        </is>
      </c>
      <c r="B829" s="1" t="n">
        <v>45140</v>
      </c>
      <c r="C829" s="1" t="n">
        <v>45578</v>
      </c>
      <c r="D829" t="inlineStr">
        <is>
          <t>VÄSTERBOTTENS LÄN</t>
        </is>
      </c>
      <c r="E829" t="inlineStr">
        <is>
          <t>VILHELMINA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34805-2023</t>
        </is>
      </c>
      <c r="B830" s="1" t="n">
        <v>45140</v>
      </c>
      <c r="C830" s="1" t="n">
        <v>45578</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45143</v>
      </c>
      <c r="C831" s="1" t="n">
        <v>45578</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35018-2023</t>
        </is>
      </c>
      <c r="B832" s="1" t="n">
        <v>45142</v>
      </c>
      <c r="C832" s="1" t="n">
        <v>45578</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35289-2023</t>
        </is>
      </c>
      <c r="B833" s="1" t="n">
        <v>45145</v>
      </c>
      <c r="C833" s="1" t="n">
        <v>45578</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35758-2023</t>
        </is>
      </c>
      <c r="B834" s="1" t="n">
        <v>45148</v>
      </c>
      <c r="C834" s="1" t="n">
        <v>45578</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45148</v>
      </c>
      <c r="C835" s="1" t="n">
        <v>45578</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35759-2023</t>
        </is>
      </c>
      <c r="B836" s="1" t="n">
        <v>45147</v>
      </c>
      <c r="C836" s="1" t="n">
        <v>45578</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35752-2023</t>
        </is>
      </c>
      <c r="B837" s="1" t="n">
        <v>45147</v>
      </c>
      <c r="C837" s="1" t="n">
        <v>45578</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35756-2023</t>
        </is>
      </c>
      <c r="B838" s="1" t="n">
        <v>45148</v>
      </c>
      <c r="C838" s="1" t="n">
        <v>45578</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35760-2023</t>
        </is>
      </c>
      <c r="B839" s="1" t="n">
        <v>45147</v>
      </c>
      <c r="C839" s="1" t="n">
        <v>45578</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35753-2023</t>
        </is>
      </c>
      <c r="B840" s="1" t="n">
        <v>45148</v>
      </c>
      <c r="C840" s="1" t="n">
        <v>45578</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35757-2023</t>
        </is>
      </c>
      <c r="B841" s="1" t="n">
        <v>45148</v>
      </c>
      <c r="C841" s="1" t="n">
        <v>45578</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35968-2023</t>
        </is>
      </c>
      <c r="B842" s="1" t="n">
        <v>45149</v>
      </c>
      <c r="C842" s="1" t="n">
        <v>45578</v>
      </c>
      <c r="D842" t="inlineStr">
        <is>
          <t>VÄSTERBOTTENS LÄN</t>
        </is>
      </c>
      <c r="E842" t="inlineStr">
        <is>
          <t>VILHELMINA</t>
        </is>
      </c>
      <c r="G842" t="n">
        <v>0.8</v>
      </c>
      <c r="H842" t="n">
        <v>0</v>
      </c>
      <c r="I842" t="n">
        <v>0</v>
      </c>
      <c r="J842" t="n">
        <v>0</v>
      </c>
      <c r="K842" t="n">
        <v>0</v>
      </c>
      <c r="L842" t="n">
        <v>0</v>
      </c>
      <c r="M842" t="n">
        <v>0</v>
      </c>
      <c r="N842" t="n">
        <v>0</v>
      </c>
      <c r="O842" t="n">
        <v>0</v>
      </c>
      <c r="P842" t="n">
        <v>0</v>
      </c>
      <c r="Q842" t="n">
        <v>0</v>
      </c>
      <c r="R842" s="2" t="inlineStr"/>
    </row>
    <row r="843" ht="15" customHeight="1">
      <c r="A843" t="inlineStr">
        <is>
          <t>A 35984-2023</t>
        </is>
      </c>
      <c r="B843" s="1" t="n">
        <v>45149</v>
      </c>
      <c r="C843" s="1" t="n">
        <v>45578</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45149</v>
      </c>
      <c r="C844" s="1" t="n">
        <v>45578</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35985-2023</t>
        </is>
      </c>
      <c r="B845" s="1" t="n">
        <v>45148</v>
      </c>
      <c r="C845" s="1" t="n">
        <v>45578</v>
      </c>
      <c r="D845" t="inlineStr">
        <is>
          <t>VÄSTERBOTTENS LÄN</t>
        </is>
      </c>
      <c r="E845" t="inlineStr">
        <is>
          <t>VILHELMINA</t>
        </is>
      </c>
      <c r="F845" t="inlineStr">
        <is>
          <t>SCA</t>
        </is>
      </c>
      <c r="G845" t="n">
        <v>43.8</v>
      </c>
      <c r="H845" t="n">
        <v>0</v>
      </c>
      <c r="I845" t="n">
        <v>0</v>
      </c>
      <c r="J845" t="n">
        <v>0</v>
      </c>
      <c r="K845" t="n">
        <v>0</v>
      </c>
      <c r="L845" t="n">
        <v>0</v>
      </c>
      <c r="M845" t="n">
        <v>0</v>
      </c>
      <c r="N845" t="n">
        <v>0</v>
      </c>
      <c r="O845" t="n">
        <v>0</v>
      </c>
      <c r="P845" t="n">
        <v>0</v>
      </c>
      <c r="Q845" t="n">
        <v>0</v>
      </c>
      <c r="R845" s="2" t="inlineStr"/>
    </row>
    <row r="846" ht="15" customHeight="1">
      <c r="A846" t="inlineStr">
        <is>
          <t>A 36214-2023</t>
        </is>
      </c>
      <c r="B846" s="1" t="n">
        <v>45150</v>
      </c>
      <c r="C846" s="1" t="n">
        <v>45578</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45150</v>
      </c>
      <c r="C847" s="1" t="n">
        <v>45578</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36215-2023</t>
        </is>
      </c>
      <c r="B848" s="1" t="n">
        <v>45150</v>
      </c>
      <c r="C848" s="1" t="n">
        <v>45578</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36216-2023</t>
        </is>
      </c>
      <c r="B849" s="1" t="n">
        <v>45150</v>
      </c>
      <c r="C849" s="1" t="n">
        <v>45578</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36221-2023</t>
        </is>
      </c>
      <c r="B850" s="1" t="n">
        <v>45150</v>
      </c>
      <c r="C850" s="1" t="n">
        <v>45578</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36217-2023</t>
        </is>
      </c>
      <c r="B851" s="1" t="n">
        <v>45150</v>
      </c>
      <c r="C851" s="1" t="n">
        <v>45578</v>
      </c>
      <c r="D851" t="inlineStr">
        <is>
          <t>VÄSTERBOTTENS LÄN</t>
        </is>
      </c>
      <c r="E851" t="inlineStr">
        <is>
          <t>VILHELMINA</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45578</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36376-2023</t>
        </is>
      </c>
      <c r="B853" s="1" t="n">
        <v>45152</v>
      </c>
      <c r="C853" s="1" t="n">
        <v>45578</v>
      </c>
      <c r="D853" t="inlineStr">
        <is>
          <t>VÄSTERBOTTENS LÄN</t>
        </is>
      </c>
      <c r="E853" t="inlineStr">
        <is>
          <t>VILHELMINA</t>
        </is>
      </c>
      <c r="G853" t="n">
        <v>12.7</v>
      </c>
      <c r="H853" t="n">
        <v>0</v>
      </c>
      <c r="I853" t="n">
        <v>0</v>
      </c>
      <c r="J853" t="n">
        <v>0</v>
      </c>
      <c r="K853" t="n">
        <v>0</v>
      </c>
      <c r="L853" t="n">
        <v>0</v>
      </c>
      <c r="M853" t="n">
        <v>0</v>
      </c>
      <c r="N853" t="n">
        <v>0</v>
      </c>
      <c r="O853" t="n">
        <v>0</v>
      </c>
      <c r="P853" t="n">
        <v>0</v>
      </c>
      <c r="Q853" t="n">
        <v>0</v>
      </c>
      <c r="R853" s="2" t="inlineStr"/>
    </row>
    <row r="854" ht="15" customHeight="1">
      <c r="A854" t="inlineStr">
        <is>
          <t>A 36957-2023</t>
        </is>
      </c>
      <c r="B854" s="1" t="n">
        <v>45155</v>
      </c>
      <c r="C854" s="1" t="n">
        <v>45578</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45578</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36996-2023</t>
        </is>
      </c>
      <c r="B856" s="1" t="n">
        <v>45155</v>
      </c>
      <c r="C856" s="1" t="n">
        <v>45578</v>
      </c>
      <c r="D856" t="inlineStr">
        <is>
          <t>VÄSTERBOTTENS LÄN</t>
        </is>
      </c>
      <c r="E856" t="inlineStr">
        <is>
          <t>VILHELMINA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36995-2023</t>
        </is>
      </c>
      <c r="B857" s="1" t="n">
        <v>45154</v>
      </c>
      <c r="C857" s="1" t="n">
        <v>45578</v>
      </c>
      <c r="D857" t="inlineStr">
        <is>
          <t>VÄSTERBOTTENS LÄN</t>
        </is>
      </c>
      <c r="E857" t="inlineStr">
        <is>
          <t>VILHELMINA</t>
        </is>
      </c>
      <c r="F857" t="inlineStr">
        <is>
          <t>SCA</t>
        </is>
      </c>
      <c r="G857" t="n">
        <v>31.7</v>
      </c>
      <c r="H857" t="n">
        <v>0</v>
      </c>
      <c r="I857" t="n">
        <v>0</v>
      </c>
      <c r="J857" t="n">
        <v>0</v>
      </c>
      <c r="K857" t="n">
        <v>0</v>
      </c>
      <c r="L857" t="n">
        <v>0</v>
      </c>
      <c r="M857" t="n">
        <v>0</v>
      </c>
      <c r="N857" t="n">
        <v>0</v>
      </c>
      <c r="O857" t="n">
        <v>0</v>
      </c>
      <c r="P857" t="n">
        <v>0</v>
      </c>
      <c r="Q857" t="n">
        <v>0</v>
      </c>
      <c r="R857" s="2" t="inlineStr"/>
    </row>
    <row r="858" ht="15" customHeight="1">
      <c r="A858" t="inlineStr">
        <is>
          <t>A 37413-2023</t>
        </is>
      </c>
      <c r="B858" s="1" t="n">
        <v>45155</v>
      </c>
      <c r="C858" s="1" t="n">
        <v>45578</v>
      </c>
      <c r="D858" t="inlineStr">
        <is>
          <t>VÄSTERBOTTENS LÄN</t>
        </is>
      </c>
      <c r="E858" t="inlineStr">
        <is>
          <t>VILHELMINA</t>
        </is>
      </c>
      <c r="G858" t="n">
        <v>12.3</v>
      </c>
      <c r="H858" t="n">
        <v>0</v>
      </c>
      <c r="I858" t="n">
        <v>0</v>
      </c>
      <c r="J858" t="n">
        <v>0</v>
      </c>
      <c r="K858" t="n">
        <v>0</v>
      </c>
      <c r="L858" t="n">
        <v>0</v>
      </c>
      <c r="M858" t="n">
        <v>0</v>
      </c>
      <c r="N858" t="n">
        <v>0</v>
      </c>
      <c r="O858" t="n">
        <v>0</v>
      </c>
      <c r="P858" t="n">
        <v>0</v>
      </c>
      <c r="Q858" t="n">
        <v>0</v>
      </c>
      <c r="R858" s="2" t="inlineStr"/>
    </row>
    <row r="859" ht="15" customHeight="1">
      <c r="A859" t="inlineStr">
        <is>
          <t>A 37406-2023</t>
        </is>
      </c>
      <c r="B859" s="1" t="n">
        <v>45155</v>
      </c>
      <c r="C859" s="1" t="n">
        <v>45578</v>
      </c>
      <c r="D859" t="inlineStr">
        <is>
          <t>VÄSTERBOTTENS LÄN</t>
        </is>
      </c>
      <c r="E859" t="inlineStr">
        <is>
          <t>VILHELMINA</t>
        </is>
      </c>
      <c r="G859" t="n">
        <v>13.2</v>
      </c>
      <c r="H859" t="n">
        <v>0</v>
      </c>
      <c r="I859" t="n">
        <v>0</v>
      </c>
      <c r="J859" t="n">
        <v>0</v>
      </c>
      <c r="K859" t="n">
        <v>0</v>
      </c>
      <c r="L859" t="n">
        <v>0</v>
      </c>
      <c r="M859" t="n">
        <v>0</v>
      </c>
      <c r="N859" t="n">
        <v>0</v>
      </c>
      <c r="O859" t="n">
        <v>0</v>
      </c>
      <c r="P859" t="n">
        <v>0</v>
      </c>
      <c r="Q859" t="n">
        <v>0</v>
      </c>
      <c r="R859" s="2" t="inlineStr"/>
    </row>
    <row r="860" ht="15" customHeight="1">
      <c r="A860" t="inlineStr">
        <is>
          <t>A 37773-2023</t>
        </is>
      </c>
      <c r="B860" s="1" t="n">
        <v>45156</v>
      </c>
      <c r="C860" s="1" t="n">
        <v>45578</v>
      </c>
      <c r="D860" t="inlineStr">
        <is>
          <t>VÄSTERBOTTENS LÄN</t>
        </is>
      </c>
      <c r="E860" t="inlineStr">
        <is>
          <t>VILHELMINA</t>
        </is>
      </c>
      <c r="G860" t="n">
        <v>6.5</v>
      </c>
      <c r="H860" t="n">
        <v>0</v>
      </c>
      <c r="I860" t="n">
        <v>0</v>
      </c>
      <c r="J860" t="n">
        <v>0</v>
      </c>
      <c r="K860" t="n">
        <v>0</v>
      </c>
      <c r="L860" t="n">
        <v>0</v>
      </c>
      <c r="M860" t="n">
        <v>0</v>
      </c>
      <c r="N860" t="n">
        <v>0</v>
      </c>
      <c r="O860" t="n">
        <v>0</v>
      </c>
      <c r="P860" t="n">
        <v>0</v>
      </c>
      <c r="Q860" t="n">
        <v>0</v>
      </c>
      <c r="R860" s="2" t="inlineStr"/>
    </row>
    <row r="861" ht="15" customHeight="1">
      <c r="A861" t="inlineStr">
        <is>
          <t>A 37505-2023</t>
        </is>
      </c>
      <c r="B861" s="1" t="n">
        <v>45158</v>
      </c>
      <c r="C861" s="1" t="n">
        <v>45578</v>
      </c>
      <c r="D861" t="inlineStr">
        <is>
          <t>VÄSTERBOTTENS LÄN</t>
        </is>
      </c>
      <c r="E861" t="inlineStr">
        <is>
          <t>VILHELMINA</t>
        </is>
      </c>
      <c r="G861" t="n">
        <v>10.5</v>
      </c>
      <c r="H861" t="n">
        <v>0</v>
      </c>
      <c r="I861" t="n">
        <v>0</v>
      </c>
      <c r="J861" t="n">
        <v>0</v>
      </c>
      <c r="K861" t="n">
        <v>0</v>
      </c>
      <c r="L861" t="n">
        <v>0</v>
      </c>
      <c r="M861" t="n">
        <v>0</v>
      </c>
      <c r="N861" t="n">
        <v>0</v>
      </c>
      <c r="O861" t="n">
        <v>0</v>
      </c>
      <c r="P861" t="n">
        <v>0</v>
      </c>
      <c r="Q861" t="n">
        <v>0</v>
      </c>
      <c r="R861" s="2" t="inlineStr"/>
    </row>
    <row r="862" ht="15" customHeight="1">
      <c r="A862" t="inlineStr">
        <is>
          <t>A 37937-2023</t>
        </is>
      </c>
      <c r="B862" s="1" t="n">
        <v>45159</v>
      </c>
      <c r="C862" s="1" t="n">
        <v>45578</v>
      </c>
      <c r="D862" t="inlineStr">
        <is>
          <t>VÄSTERBOTTENS LÄN</t>
        </is>
      </c>
      <c r="E862" t="inlineStr">
        <is>
          <t>VILHELMINA</t>
        </is>
      </c>
      <c r="G862" t="n">
        <v>2.2</v>
      </c>
      <c r="H862" t="n">
        <v>0</v>
      </c>
      <c r="I862" t="n">
        <v>0</v>
      </c>
      <c r="J862" t="n">
        <v>0</v>
      </c>
      <c r="K862" t="n">
        <v>0</v>
      </c>
      <c r="L862" t="n">
        <v>0</v>
      </c>
      <c r="M862" t="n">
        <v>0</v>
      </c>
      <c r="N862" t="n">
        <v>0</v>
      </c>
      <c r="O862" t="n">
        <v>0</v>
      </c>
      <c r="P862" t="n">
        <v>0</v>
      </c>
      <c r="Q862" t="n">
        <v>0</v>
      </c>
      <c r="R862" s="2" t="inlineStr"/>
    </row>
    <row r="863" ht="15" customHeight="1">
      <c r="A863" t="inlineStr">
        <is>
          <t>A 38363-2023</t>
        </is>
      </c>
      <c r="B863" s="1" t="n">
        <v>45161</v>
      </c>
      <c r="C863" s="1" t="n">
        <v>45578</v>
      </c>
      <c r="D863" t="inlineStr">
        <is>
          <t>VÄSTERBOTTENS LÄN</t>
        </is>
      </c>
      <c r="E863" t="inlineStr">
        <is>
          <t>VILHELMINA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38364-2023</t>
        </is>
      </c>
      <c r="B864" s="1" t="n">
        <v>45161</v>
      </c>
      <c r="C864" s="1" t="n">
        <v>45578</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38361-2023</t>
        </is>
      </c>
      <c r="B865" s="1" t="n">
        <v>45162</v>
      </c>
      <c r="C865" s="1" t="n">
        <v>45578</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38829-2023</t>
        </is>
      </c>
      <c r="B866" s="1" t="n">
        <v>45161</v>
      </c>
      <c r="C866" s="1" t="n">
        <v>45578</v>
      </c>
      <c r="D866" t="inlineStr">
        <is>
          <t>VÄSTERBOTTENS LÄN</t>
        </is>
      </c>
      <c r="E866" t="inlineStr">
        <is>
          <t>VILHELMINA</t>
        </is>
      </c>
      <c r="G866" t="n">
        <v>9.9</v>
      </c>
      <c r="H866" t="n">
        <v>0</v>
      </c>
      <c r="I866" t="n">
        <v>0</v>
      </c>
      <c r="J866" t="n">
        <v>0</v>
      </c>
      <c r="K866" t="n">
        <v>0</v>
      </c>
      <c r="L866" t="n">
        <v>0</v>
      </c>
      <c r="M866" t="n">
        <v>0</v>
      </c>
      <c r="N866" t="n">
        <v>0</v>
      </c>
      <c r="O866" t="n">
        <v>0</v>
      </c>
      <c r="P866" t="n">
        <v>0</v>
      </c>
      <c r="Q866" t="n">
        <v>0</v>
      </c>
      <c r="R866" s="2" t="inlineStr"/>
    </row>
    <row r="867" ht="15" customHeight="1">
      <c r="A867" t="inlineStr">
        <is>
          <t>A 38674-2023</t>
        </is>
      </c>
      <c r="B867" s="1" t="n">
        <v>45163</v>
      </c>
      <c r="C867" s="1" t="n">
        <v>45578</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39914-2023</t>
        </is>
      </c>
      <c r="B868" s="1" t="n">
        <v>45166</v>
      </c>
      <c r="C868" s="1" t="n">
        <v>45578</v>
      </c>
      <c r="D868" t="inlineStr">
        <is>
          <t>VÄSTERBOTTENS LÄN</t>
        </is>
      </c>
      <c r="E868" t="inlineStr">
        <is>
          <t>VILHELMINA</t>
        </is>
      </c>
      <c r="G868" t="n">
        <v>27.5</v>
      </c>
      <c r="H868" t="n">
        <v>0</v>
      </c>
      <c r="I868" t="n">
        <v>0</v>
      </c>
      <c r="J868" t="n">
        <v>0</v>
      </c>
      <c r="K868" t="n">
        <v>0</v>
      </c>
      <c r="L868" t="n">
        <v>0</v>
      </c>
      <c r="M868" t="n">
        <v>0</v>
      </c>
      <c r="N868" t="n">
        <v>0</v>
      </c>
      <c r="O868" t="n">
        <v>0</v>
      </c>
      <c r="P868" t="n">
        <v>0</v>
      </c>
      <c r="Q868" t="n">
        <v>0</v>
      </c>
      <c r="R868" s="2" t="inlineStr"/>
    </row>
    <row r="869" ht="15" customHeight="1">
      <c r="A869" t="inlineStr">
        <is>
          <t>A 40431-2023</t>
        </is>
      </c>
      <c r="B869" s="1" t="n">
        <v>45170</v>
      </c>
      <c r="C869" s="1" t="n">
        <v>45578</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40426-2023</t>
        </is>
      </c>
      <c r="B870" s="1" t="n">
        <v>45169</v>
      </c>
      <c r="C870" s="1" t="n">
        <v>45578</v>
      </c>
      <c r="D870" t="inlineStr">
        <is>
          <t>VÄSTERBOTTENS LÄN</t>
        </is>
      </c>
      <c r="E870" t="inlineStr">
        <is>
          <t>VILHELMINA</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40649-2023</t>
        </is>
      </c>
      <c r="B871" s="1" t="n">
        <v>45170</v>
      </c>
      <c r="C871" s="1" t="n">
        <v>45578</v>
      </c>
      <c r="D871" t="inlineStr">
        <is>
          <t>VÄSTERBOTTENS LÄN</t>
        </is>
      </c>
      <c r="E871" t="inlineStr">
        <is>
          <t>VILHELMINA</t>
        </is>
      </c>
      <c r="G871" t="n">
        <v>18.5</v>
      </c>
      <c r="H871" t="n">
        <v>0</v>
      </c>
      <c r="I871" t="n">
        <v>0</v>
      </c>
      <c r="J871" t="n">
        <v>0</v>
      </c>
      <c r="K871" t="n">
        <v>0</v>
      </c>
      <c r="L871" t="n">
        <v>0</v>
      </c>
      <c r="M871" t="n">
        <v>0</v>
      </c>
      <c r="N871" t="n">
        <v>0</v>
      </c>
      <c r="O871" t="n">
        <v>0</v>
      </c>
      <c r="P871" t="n">
        <v>0</v>
      </c>
      <c r="Q871" t="n">
        <v>0</v>
      </c>
      <c r="R871" s="2" t="inlineStr"/>
    </row>
    <row r="872" ht="15" customHeight="1">
      <c r="A872" t="inlineStr">
        <is>
          <t>A 40785-2023</t>
        </is>
      </c>
      <c r="B872" s="1" t="n">
        <v>45171</v>
      </c>
      <c r="C872" s="1" t="n">
        <v>45578</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40781-2023</t>
        </is>
      </c>
      <c r="B873" s="1" t="n">
        <v>45171</v>
      </c>
      <c r="C873" s="1" t="n">
        <v>45578</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40782-2023</t>
        </is>
      </c>
      <c r="B874" s="1" t="n">
        <v>45171</v>
      </c>
      <c r="C874" s="1" t="n">
        <v>45578</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40783-2023</t>
        </is>
      </c>
      <c r="B875" s="1" t="n">
        <v>45171</v>
      </c>
      <c r="C875" s="1" t="n">
        <v>45578</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40787-2023</t>
        </is>
      </c>
      <c r="B876" s="1" t="n">
        <v>45171</v>
      </c>
      <c r="C876" s="1" t="n">
        <v>45578</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40784-2023</t>
        </is>
      </c>
      <c r="B877" s="1" t="n">
        <v>45171</v>
      </c>
      <c r="C877" s="1" t="n">
        <v>45578</v>
      </c>
      <c r="D877" t="inlineStr">
        <is>
          <t>VÄSTERBOTTENS LÄN</t>
        </is>
      </c>
      <c r="E877" t="inlineStr">
        <is>
          <t>VILHELMINA</t>
        </is>
      </c>
      <c r="F877" t="inlineStr">
        <is>
          <t>SCA</t>
        </is>
      </c>
      <c r="G877" t="n">
        <v>9.1</v>
      </c>
      <c r="H877" t="n">
        <v>0</v>
      </c>
      <c r="I877" t="n">
        <v>0</v>
      </c>
      <c r="J877" t="n">
        <v>0</v>
      </c>
      <c r="K877" t="n">
        <v>0</v>
      </c>
      <c r="L877" t="n">
        <v>0</v>
      </c>
      <c r="M877" t="n">
        <v>0</v>
      </c>
      <c r="N877" t="n">
        <v>0</v>
      </c>
      <c r="O877" t="n">
        <v>0</v>
      </c>
      <c r="P877" t="n">
        <v>0</v>
      </c>
      <c r="Q877" t="n">
        <v>0</v>
      </c>
      <c r="R877" s="2" t="inlineStr"/>
    </row>
    <row r="878" ht="15" customHeight="1">
      <c r="A878" t="inlineStr">
        <is>
          <t>A 40780-2023</t>
        </is>
      </c>
      <c r="B878" s="1" t="n">
        <v>45170</v>
      </c>
      <c r="C878" s="1" t="n">
        <v>45578</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40908-2023</t>
        </is>
      </c>
      <c r="B879" s="1" t="n">
        <v>45173</v>
      </c>
      <c r="C879" s="1" t="n">
        <v>45578</v>
      </c>
      <c r="D879" t="inlineStr">
        <is>
          <t>VÄSTERBOTTENS LÄN</t>
        </is>
      </c>
      <c r="E879" t="inlineStr">
        <is>
          <t>VILHELMINA</t>
        </is>
      </c>
      <c r="G879" t="n">
        <v>3.3</v>
      </c>
      <c r="H879" t="n">
        <v>0</v>
      </c>
      <c r="I879" t="n">
        <v>0</v>
      </c>
      <c r="J879" t="n">
        <v>0</v>
      </c>
      <c r="K879" t="n">
        <v>0</v>
      </c>
      <c r="L879" t="n">
        <v>0</v>
      </c>
      <c r="M879" t="n">
        <v>0</v>
      </c>
      <c r="N879" t="n">
        <v>0</v>
      </c>
      <c r="O879" t="n">
        <v>0</v>
      </c>
      <c r="P879" t="n">
        <v>0</v>
      </c>
      <c r="Q879" t="n">
        <v>0</v>
      </c>
      <c r="R879" s="2" t="inlineStr"/>
    </row>
    <row r="880" ht="15" customHeight="1">
      <c r="A880" t="inlineStr">
        <is>
          <t>A 41931-2023</t>
        </is>
      </c>
      <c r="B880" s="1" t="n">
        <v>45177</v>
      </c>
      <c r="C880" s="1" t="n">
        <v>45578</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41930-2023</t>
        </is>
      </c>
      <c r="B881" s="1" t="n">
        <v>45177</v>
      </c>
      <c r="C881" s="1" t="n">
        <v>45578</v>
      </c>
      <c r="D881" t="inlineStr">
        <is>
          <t>VÄSTERBOTTENS LÄN</t>
        </is>
      </c>
      <c r="E881" t="inlineStr">
        <is>
          <t>VILHELMINA</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41932-2023</t>
        </is>
      </c>
      <c r="B882" s="1" t="n">
        <v>45177</v>
      </c>
      <c r="C882" s="1" t="n">
        <v>45578</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43637-2023</t>
        </is>
      </c>
      <c r="B883" s="1" t="n">
        <v>45186</v>
      </c>
      <c r="C883" s="1" t="n">
        <v>45578</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43948-2023</t>
        </is>
      </c>
      <c r="B884" s="1" t="n">
        <v>45187</v>
      </c>
      <c r="C884" s="1" t="n">
        <v>45578</v>
      </c>
      <c r="D884" t="inlineStr">
        <is>
          <t>VÄSTERBOTTENS LÄN</t>
        </is>
      </c>
      <c r="E884" t="inlineStr">
        <is>
          <t>VILHELMINA</t>
        </is>
      </c>
      <c r="G884" t="n">
        <v>3.7</v>
      </c>
      <c r="H884" t="n">
        <v>0</v>
      </c>
      <c r="I884" t="n">
        <v>0</v>
      </c>
      <c r="J884" t="n">
        <v>0</v>
      </c>
      <c r="K884" t="n">
        <v>0</v>
      </c>
      <c r="L884" t="n">
        <v>0</v>
      </c>
      <c r="M884" t="n">
        <v>0</v>
      </c>
      <c r="N884" t="n">
        <v>0</v>
      </c>
      <c r="O884" t="n">
        <v>0</v>
      </c>
      <c r="P884" t="n">
        <v>0</v>
      </c>
      <c r="Q884" t="n">
        <v>0</v>
      </c>
      <c r="R884" s="2" t="inlineStr"/>
    </row>
    <row r="885" ht="15" customHeight="1">
      <c r="A885" t="inlineStr">
        <is>
          <t>A 45219-2023</t>
        </is>
      </c>
      <c r="B885" s="1" t="n">
        <v>45187</v>
      </c>
      <c r="C885" s="1" t="n">
        <v>45578</v>
      </c>
      <c r="D885" t="inlineStr">
        <is>
          <t>VÄSTERBOTTENS LÄN</t>
        </is>
      </c>
      <c r="E885" t="inlineStr">
        <is>
          <t>VILHELMINA</t>
        </is>
      </c>
      <c r="G885" t="n">
        <v>10.6</v>
      </c>
      <c r="H885" t="n">
        <v>0</v>
      </c>
      <c r="I885" t="n">
        <v>0</v>
      </c>
      <c r="J885" t="n">
        <v>0</v>
      </c>
      <c r="K885" t="n">
        <v>0</v>
      </c>
      <c r="L885" t="n">
        <v>0</v>
      </c>
      <c r="M885" t="n">
        <v>0</v>
      </c>
      <c r="N885" t="n">
        <v>0</v>
      </c>
      <c r="O885" t="n">
        <v>0</v>
      </c>
      <c r="P885" t="n">
        <v>0</v>
      </c>
      <c r="Q885" t="n">
        <v>0</v>
      </c>
      <c r="R885" s="2" t="inlineStr"/>
    </row>
    <row r="886" ht="15" customHeight="1">
      <c r="A886" t="inlineStr">
        <is>
          <t>A 43990-2023</t>
        </is>
      </c>
      <c r="B886" s="1" t="n">
        <v>45188</v>
      </c>
      <c r="C886" s="1" t="n">
        <v>45578</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45215-2023</t>
        </is>
      </c>
      <c r="B887" s="1" t="n">
        <v>45187</v>
      </c>
      <c r="C887" s="1" t="n">
        <v>45578</v>
      </c>
      <c r="D887" t="inlineStr">
        <is>
          <t>VÄSTERBOTTENS LÄN</t>
        </is>
      </c>
      <c r="E887" t="inlineStr">
        <is>
          <t>VILHELMINA</t>
        </is>
      </c>
      <c r="F887" t="inlineStr">
        <is>
          <t>Kommuner</t>
        </is>
      </c>
      <c r="G887" t="n">
        <v>8.6</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45578</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44601-2023</t>
        </is>
      </c>
      <c r="B889" s="1" t="n">
        <v>45189</v>
      </c>
      <c r="C889" s="1" t="n">
        <v>45578</v>
      </c>
      <c r="D889" t="inlineStr">
        <is>
          <t>VÄSTERBOTTENS LÄN</t>
        </is>
      </c>
      <c r="E889" t="inlineStr">
        <is>
          <t>VILHELMINA</t>
        </is>
      </c>
      <c r="F889" t="inlineStr">
        <is>
          <t>Kommuner</t>
        </is>
      </c>
      <c r="G889" t="n">
        <v>16.5</v>
      </c>
      <c r="H889" t="n">
        <v>0</v>
      </c>
      <c r="I889" t="n">
        <v>0</v>
      </c>
      <c r="J889" t="n">
        <v>0</v>
      </c>
      <c r="K889" t="n">
        <v>0</v>
      </c>
      <c r="L889" t="n">
        <v>0</v>
      </c>
      <c r="M889" t="n">
        <v>0</v>
      </c>
      <c r="N889" t="n">
        <v>0</v>
      </c>
      <c r="O889" t="n">
        <v>0</v>
      </c>
      <c r="P889" t="n">
        <v>0</v>
      </c>
      <c r="Q889" t="n">
        <v>0</v>
      </c>
      <c r="R889" s="2" t="inlineStr"/>
    </row>
    <row r="890" ht="15" customHeight="1">
      <c r="A890" t="inlineStr">
        <is>
          <t>A 44695-2023</t>
        </is>
      </c>
      <c r="B890" s="1" t="n">
        <v>45190</v>
      </c>
      <c r="C890" s="1" t="n">
        <v>45578</v>
      </c>
      <c r="D890" t="inlineStr">
        <is>
          <t>VÄSTERBOTTENS LÄN</t>
        </is>
      </c>
      <c r="E890" t="inlineStr">
        <is>
          <t>VILHELMINA</t>
        </is>
      </c>
      <c r="G890" t="n">
        <v>15.6</v>
      </c>
      <c r="H890" t="n">
        <v>0</v>
      </c>
      <c r="I890" t="n">
        <v>0</v>
      </c>
      <c r="J890" t="n">
        <v>0</v>
      </c>
      <c r="K890" t="n">
        <v>0</v>
      </c>
      <c r="L890" t="n">
        <v>0</v>
      </c>
      <c r="M890" t="n">
        <v>0</v>
      </c>
      <c r="N890" t="n">
        <v>0</v>
      </c>
      <c r="O890" t="n">
        <v>0</v>
      </c>
      <c r="P890" t="n">
        <v>0</v>
      </c>
      <c r="Q890" t="n">
        <v>0</v>
      </c>
      <c r="R890" s="2" t="inlineStr"/>
    </row>
    <row r="891" ht="15" customHeight="1">
      <c r="A891" t="inlineStr">
        <is>
          <t>A 45022-2023</t>
        </is>
      </c>
      <c r="B891" s="1" t="n">
        <v>45190</v>
      </c>
      <c r="C891" s="1" t="n">
        <v>45578</v>
      </c>
      <c r="D891" t="inlineStr">
        <is>
          <t>VÄSTERBOTTENS LÄN</t>
        </is>
      </c>
      <c r="E891" t="inlineStr">
        <is>
          <t>VILHELMINA</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46177-2023</t>
        </is>
      </c>
      <c r="B892" s="1" t="n">
        <v>45190</v>
      </c>
      <c r="C892" s="1" t="n">
        <v>45578</v>
      </c>
      <c r="D892" t="inlineStr">
        <is>
          <t>VÄSTERBOTTENS LÄN</t>
        </is>
      </c>
      <c r="E892" t="inlineStr">
        <is>
          <t>VILHELMINA</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46164-2023</t>
        </is>
      </c>
      <c r="B893" s="1" t="n">
        <v>45190</v>
      </c>
      <c r="C893" s="1" t="n">
        <v>45578</v>
      </c>
      <c r="D893" t="inlineStr">
        <is>
          <t>VÄSTERBOTTENS LÄN</t>
        </is>
      </c>
      <c r="E893" t="inlineStr">
        <is>
          <t>VILHELMINA</t>
        </is>
      </c>
      <c r="G893" t="n">
        <v>6.3</v>
      </c>
      <c r="H893" t="n">
        <v>0</v>
      </c>
      <c r="I893" t="n">
        <v>0</v>
      </c>
      <c r="J893" t="n">
        <v>0</v>
      </c>
      <c r="K893" t="n">
        <v>0</v>
      </c>
      <c r="L893" t="n">
        <v>0</v>
      </c>
      <c r="M893" t="n">
        <v>0</v>
      </c>
      <c r="N893" t="n">
        <v>0</v>
      </c>
      <c r="O893" t="n">
        <v>0</v>
      </c>
      <c r="P893" t="n">
        <v>0</v>
      </c>
      <c r="Q893" t="n">
        <v>0</v>
      </c>
      <c r="R893" s="2" t="inlineStr"/>
    </row>
    <row r="894" ht="15" customHeight="1">
      <c r="A894" t="inlineStr">
        <is>
          <t>A 46119-2023</t>
        </is>
      </c>
      <c r="B894" s="1" t="n">
        <v>45190</v>
      </c>
      <c r="C894" s="1" t="n">
        <v>45578</v>
      </c>
      <c r="D894" t="inlineStr">
        <is>
          <t>VÄSTERBOTTENS LÄN</t>
        </is>
      </c>
      <c r="E894" t="inlineStr">
        <is>
          <t>VILHELMINA</t>
        </is>
      </c>
      <c r="G894" t="n">
        <v>17.7</v>
      </c>
      <c r="H894" t="n">
        <v>0</v>
      </c>
      <c r="I894" t="n">
        <v>0</v>
      </c>
      <c r="J894" t="n">
        <v>0</v>
      </c>
      <c r="K894" t="n">
        <v>0</v>
      </c>
      <c r="L894" t="n">
        <v>0</v>
      </c>
      <c r="M894" t="n">
        <v>0</v>
      </c>
      <c r="N894" t="n">
        <v>0</v>
      </c>
      <c r="O894" t="n">
        <v>0</v>
      </c>
      <c r="P894" t="n">
        <v>0</v>
      </c>
      <c r="Q894" t="n">
        <v>0</v>
      </c>
      <c r="R894" s="2" t="inlineStr"/>
    </row>
    <row r="895" ht="15" customHeight="1">
      <c r="A895" t="inlineStr">
        <is>
          <t>A 45672-2023</t>
        </is>
      </c>
      <c r="B895" s="1" t="n">
        <v>45194</v>
      </c>
      <c r="C895" s="1" t="n">
        <v>45578</v>
      </c>
      <c r="D895" t="inlineStr">
        <is>
          <t>VÄSTERBOTTENS LÄN</t>
        </is>
      </c>
      <c r="E895" t="inlineStr">
        <is>
          <t>VILHELMINA</t>
        </is>
      </c>
      <c r="G895" t="n">
        <v>1.5</v>
      </c>
      <c r="H895" t="n">
        <v>0</v>
      </c>
      <c r="I895" t="n">
        <v>0</v>
      </c>
      <c r="J895" t="n">
        <v>0</v>
      </c>
      <c r="K895" t="n">
        <v>0</v>
      </c>
      <c r="L895" t="n">
        <v>0</v>
      </c>
      <c r="M895" t="n">
        <v>0</v>
      </c>
      <c r="N895" t="n">
        <v>0</v>
      </c>
      <c r="O895" t="n">
        <v>0</v>
      </c>
      <c r="P895" t="n">
        <v>0</v>
      </c>
      <c r="Q895" t="n">
        <v>0</v>
      </c>
      <c r="R895" s="2" t="inlineStr"/>
    </row>
    <row r="896" ht="15" customHeight="1">
      <c r="A896" t="inlineStr">
        <is>
          <t>A 45673-2023</t>
        </is>
      </c>
      <c r="B896" s="1" t="n">
        <v>45194</v>
      </c>
      <c r="C896" s="1" t="n">
        <v>45578</v>
      </c>
      <c r="D896" t="inlineStr">
        <is>
          <t>VÄSTERBOTTENS LÄN</t>
        </is>
      </c>
      <c r="E896" t="inlineStr">
        <is>
          <t>VILHELMINA</t>
        </is>
      </c>
      <c r="G896" t="n">
        <v>13.4</v>
      </c>
      <c r="H896" t="n">
        <v>0</v>
      </c>
      <c r="I896" t="n">
        <v>0</v>
      </c>
      <c r="J896" t="n">
        <v>0</v>
      </c>
      <c r="K896" t="n">
        <v>0</v>
      </c>
      <c r="L896" t="n">
        <v>0</v>
      </c>
      <c r="M896" t="n">
        <v>0</v>
      </c>
      <c r="N896" t="n">
        <v>0</v>
      </c>
      <c r="O896" t="n">
        <v>0</v>
      </c>
      <c r="P896" t="n">
        <v>0</v>
      </c>
      <c r="Q896" t="n">
        <v>0</v>
      </c>
      <c r="R896" s="2" t="inlineStr"/>
    </row>
    <row r="897" ht="15" customHeight="1">
      <c r="A897" t="inlineStr">
        <is>
          <t>A 45970-2023</t>
        </is>
      </c>
      <c r="B897" s="1" t="n">
        <v>45195</v>
      </c>
      <c r="C897" s="1" t="n">
        <v>45578</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45971-2023</t>
        </is>
      </c>
      <c r="B898" s="1" t="n">
        <v>45195</v>
      </c>
      <c r="C898" s="1" t="n">
        <v>45578</v>
      </c>
      <c r="D898" t="inlineStr">
        <is>
          <t>VÄSTERBOTTENS LÄN</t>
        </is>
      </c>
      <c r="E898" t="inlineStr">
        <is>
          <t>VILHELMINA</t>
        </is>
      </c>
      <c r="F898" t="inlineStr">
        <is>
          <t>SCA</t>
        </is>
      </c>
      <c r="G898" t="n">
        <v>48.3</v>
      </c>
      <c r="H898" t="n">
        <v>0</v>
      </c>
      <c r="I898" t="n">
        <v>0</v>
      </c>
      <c r="J898" t="n">
        <v>0</v>
      </c>
      <c r="K898" t="n">
        <v>0</v>
      </c>
      <c r="L898" t="n">
        <v>0</v>
      </c>
      <c r="M898" t="n">
        <v>0</v>
      </c>
      <c r="N898" t="n">
        <v>0</v>
      </c>
      <c r="O898" t="n">
        <v>0</v>
      </c>
      <c r="P898" t="n">
        <v>0</v>
      </c>
      <c r="Q898" t="n">
        <v>0</v>
      </c>
      <c r="R898" s="2" t="inlineStr"/>
    </row>
    <row r="899" ht="15" customHeight="1">
      <c r="A899" t="inlineStr">
        <is>
          <t>A 45927-2023</t>
        </is>
      </c>
      <c r="B899" s="1" t="n">
        <v>45196</v>
      </c>
      <c r="C899" s="1" t="n">
        <v>45578</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45965-2023</t>
        </is>
      </c>
      <c r="B900" s="1" t="n">
        <v>45196</v>
      </c>
      <c r="C900" s="1" t="n">
        <v>45578</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45926-2023</t>
        </is>
      </c>
      <c r="B901" s="1" t="n">
        <v>45196</v>
      </c>
      <c r="C901" s="1" t="n">
        <v>45578</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45964-2023</t>
        </is>
      </c>
      <c r="B902" s="1" t="n">
        <v>45195</v>
      </c>
      <c r="C902" s="1" t="n">
        <v>45578</v>
      </c>
      <c r="D902" t="inlineStr">
        <is>
          <t>VÄSTERBOTTENS LÄN</t>
        </is>
      </c>
      <c r="E902" t="inlineStr">
        <is>
          <t>VILHELMINA</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45972-2023</t>
        </is>
      </c>
      <c r="B903" s="1" t="n">
        <v>45195</v>
      </c>
      <c r="C903" s="1" t="n">
        <v>45578</v>
      </c>
      <c r="D903" t="inlineStr">
        <is>
          <t>VÄSTERBOTTENS LÄN</t>
        </is>
      </c>
      <c r="E903" t="inlineStr">
        <is>
          <t>VILHELMINA</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46547-2023</t>
        </is>
      </c>
      <c r="B904" s="1" t="n">
        <v>45198</v>
      </c>
      <c r="C904" s="1" t="n">
        <v>45578</v>
      </c>
      <c r="D904" t="inlineStr">
        <is>
          <t>VÄSTERBOTTENS LÄN</t>
        </is>
      </c>
      <c r="E904" t="inlineStr">
        <is>
          <t>VILHELMINA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46824-2023</t>
        </is>
      </c>
      <c r="B905" s="1" t="n">
        <v>45199</v>
      </c>
      <c r="C905" s="1" t="n">
        <v>45578</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46823-2023</t>
        </is>
      </c>
      <c r="B906" s="1" t="n">
        <v>45199</v>
      </c>
      <c r="C906" s="1" t="n">
        <v>45578</v>
      </c>
      <c r="D906" t="inlineStr">
        <is>
          <t>VÄSTERBOTTENS LÄN</t>
        </is>
      </c>
      <c r="E906" t="inlineStr">
        <is>
          <t>VILHELMINA</t>
        </is>
      </c>
      <c r="F906" t="inlineStr">
        <is>
          <t>SCA</t>
        </is>
      </c>
      <c r="G906" t="n">
        <v>17.1</v>
      </c>
      <c r="H906" t="n">
        <v>0</v>
      </c>
      <c r="I906" t="n">
        <v>0</v>
      </c>
      <c r="J906" t="n">
        <v>0</v>
      </c>
      <c r="K906" t="n">
        <v>0</v>
      </c>
      <c r="L906" t="n">
        <v>0</v>
      </c>
      <c r="M906" t="n">
        <v>0</v>
      </c>
      <c r="N906" t="n">
        <v>0</v>
      </c>
      <c r="O906" t="n">
        <v>0</v>
      </c>
      <c r="P906" t="n">
        <v>0</v>
      </c>
      <c r="Q906" t="n">
        <v>0</v>
      </c>
      <c r="R906" s="2" t="inlineStr"/>
    </row>
    <row r="907" ht="15" customHeight="1">
      <c r="A907" t="inlineStr">
        <is>
          <t>A 47482-2023</t>
        </is>
      </c>
      <c r="B907" s="1" t="n">
        <v>45203</v>
      </c>
      <c r="C907" s="1" t="n">
        <v>45578</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47481-2023</t>
        </is>
      </c>
      <c r="B908" s="1" t="n">
        <v>45203</v>
      </c>
      <c r="C908" s="1" t="n">
        <v>45578</v>
      </c>
      <c r="D908" t="inlineStr">
        <is>
          <t>VÄSTERBOTTENS LÄN</t>
        </is>
      </c>
      <c r="E908" t="inlineStr">
        <is>
          <t>VILHELMINA</t>
        </is>
      </c>
      <c r="F908" t="inlineStr">
        <is>
          <t>SCA</t>
        </is>
      </c>
      <c r="G908" t="n">
        <v>16.4</v>
      </c>
      <c r="H908" t="n">
        <v>0</v>
      </c>
      <c r="I908" t="n">
        <v>0</v>
      </c>
      <c r="J908" t="n">
        <v>0</v>
      </c>
      <c r="K908" t="n">
        <v>0</v>
      </c>
      <c r="L908" t="n">
        <v>0</v>
      </c>
      <c r="M908" t="n">
        <v>0</v>
      </c>
      <c r="N908" t="n">
        <v>0</v>
      </c>
      <c r="O908" t="n">
        <v>0</v>
      </c>
      <c r="P908" t="n">
        <v>0</v>
      </c>
      <c r="Q908" t="n">
        <v>0</v>
      </c>
      <c r="R908" s="2" t="inlineStr"/>
    </row>
    <row r="909" ht="15" customHeight="1">
      <c r="A909" t="inlineStr">
        <is>
          <t>A 47480-2023</t>
        </is>
      </c>
      <c r="B909" s="1" t="n">
        <v>45203</v>
      </c>
      <c r="C909" s="1" t="n">
        <v>45578</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47479-2023</t>
        </is>
      </c>
      <c r="B910" s="1" t="n">
        <v>45203</v>
      </c>
      <c r="C910" s="1" t="n">
        <v>45578</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47483-2023</t>
        </is>
      </c>
      <c r="B911" s="1" t="n">
        <v>45203</v>
      </c>
      <c r="C911" s="1" t="n">
        <v>45578</v>
      </c>
      <c r="D911" t="inlineStr">
        <is>
          <t>VÄSTERBOTTENS LÄN</t>
        </is>
      </c>
      <c r="E911" t="inlineStr">
        <is>
          <t>VILHELMINA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48368-2023</t>
        </is>
      </c>
      <c r="B912" s="1" t="n">
        <v>45205</v>
      </c>
      <c r="C912" s="1" t="n">
        <v>45578</v>
      </c>
      <c r="D912" t="inlineStr">
        <is>
          <t>VÄSTERBOTTENS LÄN</t>
        </is>
      </c>
      <c r="E912" t="inlineStr">
        <is>
          <t>VILHELMINA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48424-2023</t>
        </is>
      </c>
      <c r="B913" s="1" t="n">
        <v>45205</v>
      </c>
      <c r="C913" s="1" t="n">
        <v>45578</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48372-2023</t>
        </is>
      </c>
      <c r="B914" s="1" t="n">
        <v>45205</v>
      </c>
      <c r="C914" s="1" t="n">
        <v>45578</v>
      </c>
      <c r="D914" t="inlineStr">
        <is>
          <t>VÄSTERBOTTENS LÄN</t>
        </is>
      </c>
      <c r="E914" t="inlineStr">
        <is>
          <t>VILHELMINA</t>
        </is>
      </c>
      <c r="F914" t="inlineStr">
        <is>
          <t>Sveaskog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45578</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48422-2023</t>
        </is>
      </c>
      <c r="B916" s="1" t="n">
        <v>45205</v>
      </c>
      <c r="C916" s="1" t="n">
        <v>45578</v>
      </c>
      <c r="D916" t="inlineStr">
        <is>
          <t>VÄSTERBOTTENS LÄN</t>
        </is>
      </c>
      <c r="E916" t="inlineStr">
        <is>
          <t>VILHELMINA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48370-2023</t>
        </is>
      </c>
      <c r="B917" s="1" t="n">
        <v>45205</v>
      </c>
      <c r="C917" s="1" t="n">
        <v>45578</v>
      </c>
      <c r="D917" t="inlineStr">
        <is>
          <t>VÄSTERBOTTENS LÄN</t>
        </is>
      </c>
      <c r="E917" t="inlineStr">
        <is>
          <t>VILHELMINA</t>
        </is>
      </c>
      <c r="F917" t="inlineStr">
        <is>
          <t>Sveaskog</t>
        </is>
      </c>
      <c r="G917" t="n">
        <v>7.7</v>
      </c>
      <c r="H917" t="n">
        <v>0</v>
      </c>
      <c r="I917" t="n">
        <v>0</v>
      </c>
      <c r="J917" t="n">
        <v>0</v>
      </c>
      <c r="K917" t="n">
        <v>0</v>
      </c>
      <c r="L917" t="n">
        <v>0</v>
      </c>
      <c r="M917" t="n">
        <v>0</v>
      </c>
      <c r="N917" t="n">
        <v>0</v>
      </c>
      <c r="O917" t="n">
        <v>0</v>
      </c>
      <c r="P917" t="n">
        <v>0</v>
      </c>
      <c r="Q917" t="n">
        <v>0</v>
      </c>
      <c r="R917" s="2" t="inlineStr"/>
    </row>
    <row r="918" ht="15" customHeight="1">
      <c r="A918" t="inlineStr">
        <is>
          <t>A 48471-2023</t>
        </is>
      </c>
      <c r="B918" s="1" t="n">
        <v>45207</v>
      </c>
      <c r="C918" s="1" t="n">
        <v>45578</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48470-2023</t>
        </is>
      </c>
      <c r="B919" s="1" t="n">
        <v>45207</v>
      </c>
      <c r="C919" s="1" t="n">
        <v>45578</v>
      </c>
      <c r="D919" t="inlineStr">
        <is>
          <t>VÄSTERBOTTENS LÄN</t>
        </is>
      </c>
      <c r="E919" t="inlineStr">
        <is>
          <t>VILHELMINA</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48483-2023</t>
        </is>
      </c>
      <c r="B920" s="1" t="n">
        <v>45207</v>
      </c>
      <c r="C920" s="1" t="n">
        <v>45578</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48472-2023</t>
        </is>
      </c>
      <c r="B921" s="1" t="n">
        <v>45207</v>
      </c>
      <c r="C921" s="1" t="n">
        <v>45578</v>
      </c>
      <c r="D921" t="inlineStr">
        <is>
          <t>VÄSTERBOTTENS LÄN</t>
        </is>
      </c>
      <c r="E921" t="inlineStr">
        <is>
          <t>VILHELMINA</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48505-2023</t>
        </is>
      </c>
      <c r="B922" s="1" t="n">
        <v>45208</v>
      </c>
      <c r="C922" s="1" t="n">
        <v>45578</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50347-2023</t>
        </is>
      </c>
      <c r="B923" s="1" t="n">
        <v>45209</v>
      </c>
      <c r="C923" s="1" t="n">
        <v>45578</v>
      </c>
      <c r="D923" t="inlineStr">
        <is>
          <t>VÄSTERBOTTENS LÄN</t>
        </is>
      </c>
      <c r="E923" t="inlineStr">
        <is>
          <t>VILHELMINA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49310-2023</t>
        </is>
      </c>
      <c r="B924" s="1" t="n">
        <v>45210</v>
      </c>
      <c r="C924" s="1" t="n">
        <v>45578</v>
      </c>
      <c r="D924" t="inlineStr">
        <is>
          <t>VÄSTERBOTTENS LÄN</t>
        </is>
      </c>
      <c r="E924" t="inlineStr">
        <is>
          <t>VILHELMINA</t>
        </is>
      </c>
      <c r="G924" t="n">
        <v>25.1</v>
      </c>
      <c r="H924" t="n">
        <v>0</v>
      </c>
      <c r="I924" t="n">
        <v>0</v>
      </c>
      <c r="J924" t="n">
        <v>0</v>
      </c>
      <c r="K924" t="n">
        <v>0</v>
      </c>
      <c r="L924" t="n">
        <v>0</v>
      </c>
      <c r="M924" t="n">
        <v>0</v>
      </c>
      <c r="N924" t="n">
        <v>0</v>
      </c>
      <c r="O924" t="n">
        <v>0</v>
      </c>
      <c r="P924" t="n">
        <v>0</v>
      </c>
      <c r="Q924" t="n">
        <v>0</v>
      </c>
      <c r="R924" s="2" t="inlineStr"/>
    </row>
    <row r="925" ht="15" customHeight="1">
      <c r="A925" t="inlineStr">
        <is>
          <t>A 49642-2023</t>
        </is>
      </c>
      <c r="B925" s="1" t="n">
        <v>45212</v>
      </c>
      <c r="C925" s="1" t="n">
        <v>45578</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49652-2023</t>
        </is>
      </c>
      <c r="B926" s="1" t="n">
        <v>45212</v>
      </c>
      <c r="C926" s="1" t="n">
        <v>45578</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49860-2023</t>
        </is>
      </c>
      <c r="B927" s="1" t="n">
        <v>45212</v>
      </c>
      <c r="C927" s="1" t="n">
        <v>45578</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50505-2023</t>
        </is>
      </c>
      <c r="B928" s="1" t="n">
        <v>45217</v>
      </c>
      <c r="C928" s="1" t="n">
        <v>45578</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50502-2023</t>
        </is>
      </c>
      <c r="B929" s="1" t="n">
        <v>45217</v>
      </c>
      <c r="C929" s="1" t="n">
        <v>45578</v>
      </c>
      <c r="D929" t="inlineStr">
        <is>
          <t>VÄSTERBOTTENS LÄN</t>
        </is>
      </c>
      <c r="E929" t="inlineStr">
        <is>
          <t>VILHELMINA</t>
        </is>
      </c>
      <c r="F929" t="inlineStr">
        <is>
          <t>SCA</t>
        </is>
      </c>
      <c r="G929" t="n">
        <v>30.6</v>
      </c>
      <c r="H929" t="n">
        <v>0</v>
      </c>
      <c r="I929" t="n">
        <v>0</v>
      </c>
      <c r="J929" t="n">
        <v>0</v>
      </c>
      <c r="K929" t="n">
        <v>0</v>
      </c>
      <c r="L929" t="n">
        <v>0</v>
      </c>
      <c r="M929" t="n">
        <v>0</v>
      </c>
      <c r="N929" t="n">
        <v>0</v>
      </c>
      <c r="O929" t="n">
        <v>0</v>
      </c>
      <c r="P929" t="n">
        <v>0</v>
      </c>
      <c r="Q929" t="n">
        <v>0</v>
      </c>
      <c r="R929" s="2" t="inlineStr"/>
    </row>
    <row r="930" ht="15" customHeight="1">
      <c r="A930" t="inlineStr">
        <is>
          <t>A 50506-2023</t>
        </is>
      </c>
      <c r="B930" s="1" t="n">
        <v>45217</v>
      </c>
      <c r="C930" s="1" t="n">
        <v>45578</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50499-2023</t>
        </is>
      </c>
      <c r="B931" s="1" t="n">
        <v>45217</v>
      </c>
      <c r="C931" s="1" t="n">
        <v>45578</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50500-2023</t>
        </is>
      </c>
      <c r="B932" s="1" t="n">
        <v>45217</v>
      </c>
      <c r="C932" s="1" t="n">
        <v>45578</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50494-2023</t>
        </is>
      </c>
      <c r="B933" s="1" t="n">
        <v>45217</v>
      </c>
      <c r="C933" s="1" t="n">
        <v>45578</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50490-2023</t>
        </is>
      </c>
      <c r="B934" s="1" t="n">
        <v>45217</v>
      </c>
      <c r="C934" s="1" t="n">
        <v>45578</v>
      </c>
      <c r="D934" t="inlineStr">
        <is>
          <t>VÄSTERBOTTENS LÄN</t>
        </is>
      </c>
      <c r="E934" t="inlineStr">
        <is>
          <t>VILHELMINA</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45578</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50501-2023</t>
        </is>
      </c>
      <c r="B936" s="1" t="n">
        <v>45216</v>
      </c>
      <c r="C936" s="1" t="n">
        <v>45578</v>
      </c>
      <c r="D936" t="inlineStr">
        <is>
          <t>VÄSTERBOTTENS LÄN</t>
        </is>
      </c>
      <c r="E936" t="inlineStr">
        <is>
          <t>VILHELMINA</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50489-2023</t>
        </is>
      </c>
      <c r="B937" s="1" t="n">
        <v>45217</v>
      </c>
      <c r="C937" s="1" t="n">
        <v>45578</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50655-2023</t>
        </is>
      </c>
      <c r="B938" s="1" t="n">
        <v>45217</v>
      </c>
      <c r="C938" s="1" t="n">
        <v>45578</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50830-2023</t>
        </is>
      </c>
      <c r="B939" s="1" t="n">
        <v>45218</v>
      </c>
      <c r="C939" s="1" t="n">
        <v>45578</v>
      </c>
      <c r="D939" t="inlineStr">
        <is>
          <t>VÄSTERBOTTENS LÄN</t>
        </is>
      </c>
      <c r="E939" t="inlineStr">
        <is>
          <t>VILHELMINA</t>
        </is>
      </c>
      <c r="F939" t="inlineStr">
        <is>
          <t>SCA</t>
        </is>
      </c>
      <c r="G939" t="n">
        <v>31.1</v>
      </c>
      <c r="H939" t="n">
        <v>0</v>
      </c>
      <c r="I939" t="n">
        <v>0</v>
      </c>
      <c r="J939" t="n">
        <v>0</v>
      </c>
      <c r="K939" t="n">
        <v>0</v>
      </c>
      <c r="L939" t="n">
        <v>0</v>
      </c>
      <c r="M939" t="n">
        <v>0</v>
      </c>
      <c r="N939" t="n">
        <v>0</v>
      </c>
      <c r="O939" t="n">
        <v>0</v>
      </c>
      <c r="P939" t="n">
        <v>0</v>
      </c>
      <c r="Q939" t="n">
        <v>0</v>
      </c>
      <c r="R939" s="2" t="inlineStr"/>
    </row>
    <row r="940" ht="15" customHeight="1">
      <c r="A940" t="inlineStr">
        <is>
          <t>A 51825-2023</t>
        </is>
      </c>
      <c r="B940" s="1" t="n">
        <v>45222</v>
      </c>
      <c r="C940" s="1" t="n">
        <v>45578</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51826-2023</t>
        </is>
      </c>
      <c r="B941" s="1" t="n">
        <v>45223</v>
      </c>
      <c r="C941" s="1" t="n">
        <v>45578</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52123-2023</t>
        </is>
      </c>
      <c r="B942" s="1" t="n">
        <v>45224</v>
      </c>
      <c r="C942" s="1" t="n">
        <v>45578</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52740-2023</t>
        </is>
      </c>
      <c r="B943" s="1" t="n">
        <v>45225</v>
      </c>
      <c r="C943" s="1" t="n">
        <v>45578</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52744-2023</t>
        </is>
      </c>
      <c r="B944" s="1" t="n">
        <v>45226</v>
      </c>
      <c r="C944" s="1" t="n">
        <v>45578</v>
      </c>
      <c r="D944" t="inlineStr">
        <is>
          <t>VÄSTERBOTTENS LÄN</t>
        </is>
      </c>
      <c r="E944" t="inlineStr">
        <is>
          <t>VILHELMINA</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52748-2023</t>
        </is>
      </c>
      <c r="B945" s="1" t="n">
        <v>45225</v>
      </c>
      <c r="C945" s="1" t="n">
        <v>45578</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52745-2023</t>
        </is>
      </c>
      <c r="B946" s="1" t="n">
        <v>45226</v>
      </c>
      <c r="C946" s="1" t="n">
        <v>45578</v>
      </c>
      <c r="D946" t="inlineStr">
        <is>
          <t>VÄSTERBOTTENS LÄN</t>
        </is>
      </c>
      <c r="E946" t="inlineStr">
        <is>
          <t>VILHELMINA</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52749-2023</t>
        </is>
      </c>
      <c r="B947" s="1" t="n">
        <v>45226</v>
      </c>
      <c r="C947" s="1" t="n">
        <v>45578</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52746-2023</t>
        </is>
      </c>
      <c r="B948" s="1" t="n">
        <v>45226</v>
      </c>
      <c r="C948" s="1" t="n">
        <v>45578</v>
      </c>
      <c r="D948" t="inlineStr">
        <is>
          <t>VÄSTERBOTTENS LÄN</t>
        </is>
      </c>
      <c r="E948" t="inlineStr">
        <is>
          <t>VILHELMINA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52747-2023</t>
        </is>
      </c>
      <c r="B949" s="1" t="n">
        <v>45226</v>
      </c>
      <c r="C949" s="1" t="n">
        <v>45578</v>
      </c>
      <c r="D949" t="inlineStr">
        <is>
          <t>VÄSTERBOTTENS LÄN</t>
        </is>
      </c>
      <c r="E949" t="inlineStr">
        <is>
          <t>VILHELMINA</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53034-2023</t>
        </is>
      </c>
      <c r="B950" s="1" t="n">
        <v>45227</v>
      </c>
      <c r="C950" s="1" t="n">
        <v>45578</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54931-2023</t>
        </is>
      </c>
      <c r="B951" s="1" t="n">
        <v>45229</v>
      </c>
      <c r="C951" s="1" t="n">
        <v>45578</v>
      </c>
      <c r="D951" t="inlineStr">
        <is>
          <t>VÄSTERBOTTENS LÄN</t>
        </is>
      </c>
      <c r="E951" t="inlineStr">
        <is>
          <t>VILHELMINA</t>
        </is>
      </c>
      <c r="G951" t="n">
        <v>14.5</v>
      </c>
      <c r="H951" t="n">
        <v>0</v>
      </c>
      <c r="I951" t="n">
        <v>0</v>
      </c>
      <c r="J951" t="n">
        <v>0</v>
      </c>
      <c r="K951" t="n">
        <v>0</v>
      </c>
      <c r="L951" t="n">
        <v>0</v>
      </c>
      <c r="M951" t="n">
        <v>0</v>
      </c>
      <c r="N951" t="n">
        <v>0</v>
      </c>
      <c r="O951" t="n">
        <v>0</v>
      </c>
      <c r="P951" t="n">
        <v>0</v>
      </c>
      <c r="Q951" t="n">
        <v>0</v>
      </c>
      <c r="R951" s="2" t="inlineStr"/>
    </row>
    <row r="952" ht="15" customHeight="1">
      <c r="A952" t="inlineStr">
        <is>
          <t>A 55051-2023</t>
        </is>
      </c>
      <c r="B952" s="1" t="n">
        <v>45229</v>
      </c>
      <c r="C952" s="1" t="n">
        <v>45578</v>
      </c>
      <c r="D952" t="inlineStr">
        <is>
          <t>VÄSTERBOTTENS LÄN</t>
        </is>
      </c>
      <c r="E952" t="inlineStr">
        <is>
          <t>VILHELMINA</t>
        </is>
      </c>
      <c r="G952" t="n">
        <v>12.1</v>
      </c>
      <c r="H952" t="n">
        <v>0</v>
      </c>
      <c r="I952" t="n">
        <v>0</v>
      </c>
      <c r="J952" t="n">
        <v>0</v>
      </c>
      <c r="K952" t="n">
        <v>0</v>
      </c>
      <c r="L952" t="n">
        <v>0</v>
      </c>
      <c r="M952" t="n">
        <v>0</v>
      </c>
      <c r="N952" t="n">
        <v>0</v>
      </c>
      <c r="O952" t="n">
        <v>0</v>
      </c>
      <c r="P952" t="n">
        <v>0</v>
      </c>
      <c r="Q952" t="n">
        <v>0</v>
      </c>
      <c r="R952" s="2" t="inlineStr"/>
    </row>
    <row r="953" ht="15" customHeight="1">
      <c r="A953" t="inlineStr">
        <is>
          <t>A 55200-2023</t>
        </is>
      </c>
      <c r="B953" s="1" t="n">
        <v>45230</v>
      </c>
      <c r="C953" s="1" t="n">
        <v>45578</v>
      </c>
      <c r="D953" t="inlineStr">
        <is>
          <t>VÄSTERBOTTENS LÄN</t>
        </is>
      </c>
      <c r="E953" t="inlineStr">
        <is>
          <t>VILHELMINA</t>
        </is>
      </c>
      <c r="G953" t="n">
        <v>20.8</v>
      </c>
      <c r="H953" t="n">
        <v>0</v>
      </c>
      <c r="I953" t="n">
        <v>0</v>
      </c>
      <c r="J953" t="n">
        <v>0</v>
      </c>
      <c r="K953" t="n">
        <v>0</v>
      </c>
      <c r="L953" t="n">
        <v>0</v>
      </c>
      <c r="M953" t="n">
        <v>0</v>
      </c>
      <c r="N953" t="n">
        <v>0</v>
      </c>
      <c r="O953" t="n">
        <v>0</v>
      </c>
      <c r="P953" t="n">
        <v>0</v>
      </c>
      <c r="Q953" t="n">
        <v>0</v>
      </c>
      <c r="R953" s="2" t="inlineStr"/>
    </row>
    <row r="954" ht="15" customHeight="1">
      <c r="A954" t="inlineStr">
        <is>
          <t>A 55159-2023</t>
        </is>
      </c>
      <c r="B954" s="1" t="n">
        <v>45230</v>
      </c>
      <c r="C954" s="1" t="n">
        <v>45578</v>
      </c>
      <c r="D954" t="inlineStr">
        <is>
          <t>VÄSTERBOTTENS LÄN</t>
        </is>
      </c>
      <c r="E954" t="inlineStr">
        <is>
          <t>VILHELMINA</t>
        </is>
      </c>
      <c r="G954" t="n">
        <v>24.4</v>
      </c>
      <c r="H954" t="n">
        <v>0</v>
      </c>
      <c r="I954" t="n">
        <v>0</v>
      </c>
      <c r="J954" t="n">
        <v>0</v>
      </c>
      <c r="K954" t="n">
        <v>0</v>
      </c>
      <c r="L954" t="n">
        <v>0</v>
      </c>
      <c r="M954" t="n">
        <v>0</v>
      </c>
      <c r="N954" t="n">
        <v>0</v>
      </c>
      <c r="O954" t="n">
        <v>0</v>
      </c>
      <c r="P954" t="n">
        <v>0</v>
      </c>
      <c r="Q954" t="n">
        <v>0</v>
      </c>
      <c r="R954" s="2" t="inlineStr"/>
    </row>
    <row r="955" ht="15" customHeight="1">
      <c r="A955" t="inlineStr">
        <is>
          <t>A 54316-2023</t>
        </is>
      </c>
      <c r="B955" s="1" t="n">
        <v>45232</v>
      </c>
      <c r="C955" s="1" t="n">
        <v>45578</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55714-2023</t>
        </is>
      </c>
      <c r="B956" s="1" t="n">
        <v>45232</v>
      </c>
      <c r="C956" s="1" t="n">
        <v>45578</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55688-2023</t>
        </is>
      </c>
      <c r="B957" s="1" t="n">
        <v>45232</v>
      </c>
      <c r="C957" s="1" t="n">
        <v>45578</v>
      </c>
      <c r="D957" t="inlineStr">
        <is>
          <t>VÄSTERBOTTENS LÄN</t>
        </is>
      </c>
      <c r="E957" t="inlineStr">
        <is>
          <t>VILHELMINA</t>
        </is>
      </c>
      <c r="G957" t="n">
        <v>6.4</v>
      </c>
      <c r="H957" t="n">
        <v>0</v>
      </c>
      <c r="I957" t="n">
        <v>0</v>
      </c>
      <c r="J957" t="n">
        <v>0</v>
      </c>
      <c r="K957" t="n">
        <v>0</v>
      </c>
      <c r="L957" t="n">
        <v>0</v>
      </c>
      <c r="M957" t="n">
        <v>0</v>
      </c>
      <c r="N957" t="n">
        <v>0</v>
      </c>
      <c r="O957" t="n">
        <v>0</v>
      </c>
      <c r="P957" t="n">
        <v>0</v>
      </c>
      <c r="Q957" t="n">
        <v>0</v>
      </c>
      <c r="R957" s="2" t="inlineStr"/>
    </row>
    <row r="958" ht="15" customHeight="1">
      <c r="A958" t="inlineStr">
        <is>
          <t>A 55722-2023</t>
        </is>
      </c>
      <c r="B958" s="1" t="n">
        <v>45232</v>
      </c>
      <c r="C958" s="1" t="n">
        <v>45578</v>
      </c>
      <c r="D958" t="inlineStr">
        <is>
          <t>VÄSTERBOTTENS LÄN</t>
        </is>
      </c>
      <c r="E958" t="inlineStr">
        <is>
          <t>VILHELMINA</t>
        </is>
      </c>
      <c r="G958" t="n">
        <v>5.8</v>
      </c>
      <c r="H958" t="n">
        <v>0</v>
      </c>
      <c r="I958" t="n">
        <v>0</v>
      </c>
      <c r="J958" t="n">
        <v>0</v>
      </c>
      <c r="K958" t="n">
        <v>0</v>
      </c>
      <c r="L958" t="n">
        <v>0</v>
      </c>
      <c r="M958" t="n">
        <v>0</v>
      </c>
      <c r="N958" t="n">
        <v>0</v>
      </c>
      <c r="O958" t="n">
        <v>0</v>
      </c>
      <c r="P958" t="n">
        <v>0</v>
      </c>
      <c r="Q958" t="n">
        <v>0</v>
      </c>
      <c r="R958" s="2" t="inlineStr"/>
    </row>
    <row r="959" ht="15" customHeight="1">
      <c r="A959" t="inlineStr">
        <is>
          <t>A 55706-2023</t>
        </is>
      </c>
      <c r="B959" s="1" t="n">
        <v>45232</v>
      </c>
      <c r="C959" s="1" t="n">
        <v>45578</v>
      </c>
      <c r="D959" t="inlineStr">
        <is>
          <t>VÄSTERBOTTENS LÄN</t>
        </is>
      </c>
      <c r="E959" t="inlineStr">
        <is>
          <t>VILHELMINA</t>
        </is>
      </c>
      <c r="G959" t="n">
        <v>17.3</v>
      </c>
      <c r="H959" t="n">
        <v>0</v>
      </c>
      <c r="I959" t="n">
        <v>0</v>
      </c>
      <c r="J959" t="n">
        <v>0</v>
      </c>
      <c r="K959" t="n">
        <v>0</v>
      </c>
      <c r="L959" t="n">
        <v>0</v>
      </c>
      <c r="M959" t="n">
        <v>0</v>
      </c>
      <c r="N959" t="n">
        <v>0</v>
      </c>
      <c r="O959" t="n">
        <v>0</v>
      </c>
      <c r="P959" t="n">
        <v>0</v>
      </c>
      <c r="Q959" t="n">
        <v>0</v>
      </c>
      <c r="R959" s="2" t="inlineStr"/>
    </row>
    <row r="960" ht="15" customHeight="1">
      <c r="A960" t="inlineStr">
        <is>
          <t>A 54601-2023</t>
        </is>
      </c>
      <c r="B960" s="1" t="n">
        <v>45233</v>
      </c>
      <c r="C960" s="1" t="n">
        <v>45578</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54733-2023</t>
        </is>
      </c>
      <c r="B961" s="1" t="n">
        <v>45236</v>
      </c>
      <c r="C961" s="1" t="n">
        <v>45578</v>
      </c>
      <c r="D961" t="inlineStr">
        <is>
          <t>VÄSTERBOTTENS LÄN</t>
        </is>
      </c>
      <c r="E961" t="inlineStr">
        <is>
          <t>VILHELMINA</t>
        </is>
      </c>
      <c r="F961" t="inlineStr">
        <is>
          <t>Sveaskog</t>
        </is>
      </c>
      <c r="G961" t="n">
        <v>7.1</v>
      </c>
      <c r="H961" t="n">
        <v>0</v>
      </c>
      <c r="I961" t="n">
        <v>0</v>
      </c>
      <c r="J961" t="n">
        <v>0</v>
      </c>
      <c r="K961" t="n">
        <v>0</v>
      </c>
      <c r="L961" t="n">
        <v>0</v>
      </c>
      <c r="M961" t="n">
        <v>0</v>
      </c>
      <c r="N961" t="n">
        <v>0</v>
      </c>
      <c r="O961" t="n">
        <v>0</v>
      </c>
      <c r="P961" t="n">
        <v>0</v>
      </c>
      <c r="Q961" t="n">
        <v>0</v>
      </c>
      <c r="R961" s="2" t="inlineStr"/>
    </row>
    <row r="962" ht="15" customHeight="1">
      <c r="A962" t="inlineStr">
        <is>
          <t>A 54983-2023</t>
        </is>
      </c>
      <c r="B962" s="1" t="n">
        <v>45237</v>
      </c>
      <c r="C962" s="1" t="n">
        <v>45578</v>
      </c>
      <c r="D962" t="inlineStr">
        <is>
          <t>VÄSTERBOTTENS LÄN</t>
        </is>
      </c>
      <c r="E962" t="inlineStr">
        <is>
          <t>VILHELMINA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54984-2023</t>
        </is>
      </c>
      <c r="B963" s="1" t="n">
        <v>45236</v>
      </c>
      <c r="C963" s="1" t="n">
        <v>45578</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54981-2023</t>
        </is>
      </c>
      <c r="B964" s="1" t="n">
        <v>45237</v>
      </c>
      <c r="C964" s="1" t="n">
        <v>45578</v>
      </c>
      <c r="D964" t="inlineStr">
        <is>
          <t>VÄSTERBOTTENS LÄN</t>
        </is>
      </c>
      <c r="E964" t="inlineStr">
        <is>
          <t>VILHELMINA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54985-2023</t>
        </is>
      </c>
      <c r="B965" s="1" t="n">
        <v>45236</v>
      </c>
      <c r="C965" s="1" t="n">
        <v>45578</v>
      </c>
      <c r="D965" t="inlineStr">
        <is>
          <t>VÄSTERBOTTENS LÄN</t>
        </is>
      </c>
      <c r="E965" t="inlineStr">
        <is>
          <t>VILHELMINA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55325-2023</t>
        </is>
      </c>
      <c r="B966" s="1" t="n">
        <v>45237</v>
      </c>
      <c r="C966" s="1" t="n">
        <v>45578</v>
      </c>
      <c r="D966" t="inlineStr">
        <is>
          <t>VÄSTERBOTTENS LÄN</t>
        </is>
      </c>
      <c r="E966" t="inlineStr">
        <is>
          <t>VILHELMINA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55326-2023</t>
        </is>
      </c>
      <c r="B967" s="1" t="n">
        <v>45238</v>
      </c>
      <c r="C967" s="1" t="n">
        <v>45578</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55327-2023</t>
        </is>
      </c>
      <c r="B968" s="1" t="n">
        <v>45238</v>
      </c>
      <c r="C968" s="1" t="n">
        <v>45578</v>
      </c>
      <c r="D968" t="inlineStr">
        <is>
          <t>VÄSTERBOTTENS LÄN</t>
        </is>
      </c>
      <c r="E968" t="inlineStr">
        <is>
          <t>VILHELMINA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55335-2023</t>
        </is>
      </c>
      <c r="B969" s="1" t="n">
        <v>45238</v>
      </c>
      <c r="C969" s="1" t="n">
        <v>45578</v>
      </c>
      <c r="D969" t="inlineStr">
        <is>
          <t>VÄSTERBOTTENS LÄN</t>
        </is>
      </c>
      <c r="E969" t="inlineStr">
        <is>
          <t>VILHELMINA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56754-2023</t>
        </is>
      </c>
      <c r="B970" s="1" t="n">
        <v>45238</v>
      </c>
      <c r="C970" s="1" t="n">
        <v>45578</v>
      </c>
      <c r="D970" t="inlineStr">
        <is>
          <t>VÄSTERBOTTENS LÄN</t>
        </is>
      </c>
      <c r="E970" t="inlineStr">
        <is>
          <t>VILHELMINA</t>
        </is>
      </c>
      <c r="F970" t="inlineStr">
        <is>
          <t>Allmännings- och besparingsskogar</t>
        </is>
      </c>
      <c r="G970" t="n">
        <v>17.7</v>
      </c>
      <c r="H970" t="n">
        <v>0</v>
      </c>
      <c r="I970" t="n">
        <v>0</v>
      </c>
      <c r="J970" t="n">
        <v>0</v>
      </c>
      <c r="K970" t="n">
        <v>0</v>
      </c>
      <c r="L970" t="n">
        <v>0</v>
      </c>
      <c r="M970" t="n">
        <v>0</v>
      </c>
      <c r="N970" t="n">
        <v>0</v>
      </c>
      <c r="O970" t="n">
        <v>0</v>
      </c>
      <c r="P970" t="n">
        <v>0</v>
      </c>
      <c r="Q970" t="n">
        <v>0</v>
      </c>
      <c r="R970" s="2" t="inlineStr"/>
    </row>
    <row r="971" ht="15" customHeight="1">
      <c r="A971" t="inlineStr">
        <is>
          <t>A 56763-2023</t>
        </is>
      </c>
      <c r="B971" s="1" t="n">
        <v>45238</v>
      </c>
      <c r="C971" s="1" t="n">
        <v>45578</v>
      </c>
      <c r="D971" t="inlineStr">
        <is>
          <t>VÄSTERBOTTENS LÄN</t>
        </is>
      </c>
      <c r="E971" t="inlineStr">
        <is>
          <t>VILHELMINA</t>
        </is>
      </c>
      <c r="F971" t="inlineStr">
        <is>
          <t>Allmännings- och besparingsskogar</t>
        </is>
      </c>
      <c r="G971" t="n">
        <v>78</v>
      </c>
      <c r="H971" t="n">
        <v>0</v>
      </c>
      <c r="I971" t="n">
        <v>0</v>
      </c>
      <c r="J971" t="n">
        <v>0</v>
      </c>
      <c r="K971" t="n">
        <v>0</v>
      </c>
      <c r="L971" t="n">
        <v>0</v>
      </c>
      <c r="M971" t="n">
        <v>0</v>
      </c>
      <c r="N971" t="n">
        <v>0</v>
      </c>
      <c r="O971" t="n">
        <v>0</v>
      </c>
      <c r="P971" t="n">
        <v>0</v>
      </c>
      <c r="Q971" t="n">
        <v>0</v>
      </c>
      <c r="R971" s="2" t="inlineStr"/>
    </row>
    <row r="972" ht="15" customHeight="1">
      <c r="A972" t="inlineStr">
        <is>
          <t>A 56823-2023</t>
        </is>
      </c>
      <c r="B972" s="1" t="n">
        <v>45238</v>
      </c>
      <c r="C972" s="1" t="n">
        <v>45578</v>
      </c>
      <c r="D972" t="inlineStr">
        <is>
          <t>VÄSTERBOTTENS LÄN</t>
        </is>
      </c>
      <c r="E972" t="inlineStr">
        <is>
          <t>VILHELMINA</t>
        </is>
      </c>
      <c r="F972" t="inlineStr">
        <is>
          <t>Allmännings- och besparingsskogar</t>
        </is>
      </c>
      <c r="G972" t="n">
        <v>81.40000000000001</v>
      </c>
      <c r="H972" t="n">
        <v>0</v>
      </c>
      <c r="I972" t="n">
        <v>0</v>
      </c>
      <c r="J972" t="n">
        <v>0</v>
      </c>
      <c r="K972" t="n">
        <v>0</v>
      </c>
      <c r="L972" t="n">
        <v>0</v>
      </c>
      <c r="M972" t="n">
        <v>0</v>
      </c>
      <c r="N972" t="n">
        <v>0</v>
      </c>
      <c r="O972" t="n">
        <v>0</v>
      </c>
      <c r="P972" t="n">
        <v>0</v>
      </c>
      <c r="Q972" t="n">
        <v>0</v>
      </c>
      <c r="R972" s="2" t="inlineStr"/>
    </row>
    <row r="973" ht="15" customHeight="1">
      <c r="A973" t="inlineStr">
        <is>
          <t>A 56847-2023</t>
        </is>
      </c>
      <c r="B973" s="1" t="n">
        <v>45238</v>
      </c>
      <c r="C973" s="1" t="n">
        <v>45578</v>
      </c>
      <c r="D973" t="inlineStr">
        <is>
          <t>VÄSTERBOTTENS LÄN</t>
        </is>
      </c>
      <c r="E973" t="inlineStr">
        <is>
          <t>VILHELMINA</t>
        </is>
      </c>
      <c r="F973" t="inlineStr">
        <is>
          <t>Allmännings- och besparingsskogar</t>
        </is>
      </c>
      <c r="G973" t="n">
        <v>41</v>
      </c>
      <c r="H973" t="n">
        <v>0</v>
      </c>
      <c r="I973" t="n">
        <v>0</v>
      </c>
      <c r="J973" t="n">
        <v>0</v>
      </c>
      <c r="K973" t="n">
        <v>0</v>
      </c>
      <c r="L973" t="n">
        <v>0</v>
      </c>
      <c r="M973" t="n">
        <v>0</v>
      </c>
      <c r="N973" t="n">
        <v>0</v>
      </c>
      <c r="O973" t="n">
        <v>0</v>
      </c>
      <c r="P973" t="n">
        <v>0</v>
      </c>
      <c r="Q973" t="n">
        <v>0</v>
      </c>
      <c r="R973" s="2" t="inlineStr"/>
    </row>
    <row r="974" ht="15" customHeight="1">
      <c r="A974" t="inlineStr">
        <is>
          <t>A 56758-2023</t>
        </is>
      </c>
      <c r="B974" s="1" t="n">
        <v>45238</v>
      </c>
      <c r="C974" s="1" t="n">
        <v>45578</v>
      </c>
      <c r="D974" t="inlineStr">
        <is>
          <t>VÄSTERBOTTENS LÄN</t>
        </is>
      </c>
      <c r="E974" t="inlineStr">
        <is>
          <t>VILHELMINA</t>
        </is>
      </c>
      <c r="F974" t="inlineStr">
        <is>
          <t>Allmännings- och besparingsskogar</t>
        </is>
      </c>
      <c r="G974" t="n">
        <v>371.4</v>
      </c>
      <c r="H974" t="n">
        <v>0</v>
      </c>
      <c r="I974" t="n">
        <v>0</v>
      </c>
      <c r="J974" t="n">
        <v>0</v>
      </c>
      <c r="K974" t="n">
        <v>0</v>
      </c>
      <c r="L974" t="n">
        <v>0</v>
      </c>
      <c r="M974" t="n">
        <v>0</v>
      </c>
      <c r="N974" t="n">
        <v>0</v>
      </c>
      <c r="O974" t="n">
        <v>0</v>
      </c>
      <c r="P974" t="n">
        <v>0</v>
      </c>
      <c r="Q974" t="n">
        <v>0</v>
      </c>
      <c r="R974" s="2" t="inlineStr"/>
    </row>
    <row r="975" ht="15" customHeight="1">
      <c r="A975" t="inlineStr">
        <is>
          <t>A 56830-2023</t>
        </is>
      </c>
      <c r="B975" s="1" t="n">
        <v>45238</v>
      </c>
      <c r="C975" s="1" t="n">
        <v>45578</v>
      </c>
      <c r="D975" t="inlineStr">
        <is>
          <t>VÄSTERBOTTENS LÄN</t>
        </is>
      </c>
      <c r="E975" t="inlineStr">
        <is>
          <t>VILHELMINA</t>
        </is>
      </c>
      <c r="F975" t="inlineStr">
        <is>
          <t>Allmännings- och besparingsskogar</t>
        </is>
      </c>
      <c r="G975" t="n">
        <v>66.90000000000001</v>
      </c>
      <c r="H975" t="n">
        <v>0</v>
      </c>
      <c r="I975" t="n">
        <v>0</v>
      </c>
      <c r="J975" t="n">
        <v>0</v>
      </c>
      <c r="K975" t="n">
        <v>0</v>
      </c>
      <c r="L975" t="n">
        <v>0</v>
      </c>
      <c r="M975" t="n">
        <v>0</v>
      </c>
      <c r="N975" t="n">
        <v>0</v>
      </c>
      <c r="O975" t="n">
        <v>0</v>
      </c>
      <c r="P975" t="n">
        <v>0</v>
      </c>
      <c r="Q975" t="n">
        <v>0</v>
      </c>
      <c r="R975" s="2" t="inlineStr"/>
    </row>
    <row r="976" ht="15" customHeight="1">
      <c r="A976" t="inlineStr">
        <is>
          <t>A 55643-2023</t>
        </is>
      </c>
      <c r="B976" s="1" t="n">
        <v>45238</v>
      </c>
      <c r="C976" s="1" t="n">
        <v>45578</v>
      </c>
      <c r="D976" t="inlineStr">
        <is>
          <t>VÄSTERBOTTENS LÄN</t>
        </is>
      </c>
      <c r="E976" t="inlineStr">
        <is>
          <t>VILHELMINA</t>
        </is>
      </c>
      <c r="G976" t="n">
        <v>23.1</v>
      </c>
      <c r="H976" t="n">
        <v>0</v>
      </c>
      <c r="I976" t="n">
        <v>0</v>
      </c>
      <c r="J976" t="n">
        <v>0</v>
      </c>
      <c r="K976" t="n">
        <v>0</v>
      </c>
      <c r="L976" t="n">
        <v>0</v>
      </c>
      <c r="M976" t="n">
        <v>0</v>
      </c>
      <c r="N976" t="n">
        <v>0</v>
      </c>
      <c r="O976" t="n">
        <v>0</v>
      </c>
      <c r="P976" t="n">
        <v>0</v>
      </c>
      <c r="Q976" t="n">
        <v>0</v>
      </c>
      <c r="R976" s="2" t="inlineStr"/>
    </row>
    <row r="977" ht="15" customHeight="1">
      <c r="A977" t="inlineStr">
        <is>
          <t>A 56747-2023</t>
        </is>
      </c>
      <c r="B977" s="1" t="n">
        <v>45238</v>
      </c>
      <c r="C977" s="1" t="n">
        <v>45578</v>
      </c>
      <c r="D977" t="inlineStr">
        <is>
          <t>VÄSTERBOTTENS LÄN</t>
        </is>
      </c>
      <c r="E977" t="inlineStr">
        <is>
          <t>VILHELMINA</t>
        </is>
      </c>
      <c r="F977" t="inlineStr">
        <is>
          <t>Allmännings- och besparingsskogar</t>
        </is>
      </c>
      <c r="G977" t="n">
        <v>16.2</v>
      </c>
      <c r="H977" t="n">
        <v>0</v>
      </c>
      <c r="I977" t="n">
        <v>0</v>
      </c>
      <c r="J977" t="n">
        <v>0</v>
      </c>
      <c r="K977" t="n">
        <v>0</v>
      </c>
      <c r="L977" t="n">
        <v>0</v>
      </c>
      <c r="M977" t="n">
        <v>0</v>
      </c>
      <c r="N977" t="n">
        <v>0</v>
      </c>
      <c r="O977" t="n">
        <v>0</v>
      </c>
      <c r="P977" t="n">
        <v>0</v>
      </c>
      <c r="Q977" t="n">
        <v>0</v>
      </c>
      <c r="R977" s="2" t="inlineStr"/>
    </row>
    <row r="978" ht="15" customHeight="1">
      <c r="A978" t="inlineStr">
        <is>
          <t>A 57137-2023</t>
        </is>
      </c>
      <c r="B978" s="1" t="n">
        <v>45239</v>
      </c>
      <c r="C978" s="1" t="n">
        <v>45578</v>
      </c>
      <c r="D978" t="inlineStr">
        <is>
          <t>VÄSTERBOTTENS LÄN</t>
        </is>
      </c>
      <c r="E978" t="inlineStr">
        <is>
          <t>VILHELMINA</t>
        </is>
      </c>
      <c r="G978" t="n">
        <v>38.8</v>
      </c>
      <c r="H978" t="n">
        <v>0</v>
      </c>
      <c r="I978" t="n">
        <v>0</v>
      </c>
      <c r="J978" t="n">
        <v>0</v>
      </c>
      <c r="K978" t="n">
        <v>0</v>
      </c>
      <c r="L978" t="n">
        <v>0</v>
      </c>
      <c r="M978" t="n">
        <v>0</v>
      </c>
      <c r="N978" t="n">
        <v>0</v>
      </c>
      <c r="O978" t="n">
        <v>0</v>
      </c>
      <c r="P978" t="n">
        <v>0</v>
      </c>
      <c r="Q978" t="n">
        <v>0</v>
      </c>
      <c r="R978" s="2" t="inlineStr"/>
    </row>
    <row r="979" ht="15" customHeight="1">
      <c r="A979" t="inlineStr">
        <is>
          <t>A 57108-2023</t>
        </is>
      </c>
      <c r="B979" s="1" t="n">
        <v>45239</v>
      </c>
      <c r="C979" s="1" t="n">
        <v>45578</v>
      </c>
      <c r="D979" t="inlineStr">
        <is>
          <t>VÄSTERBOTTENS LÄN</t>
        </is>
      </c>
      <c r="E979" t="inlineStr">
        <is>
          <t>VILHELMINA</t>
        </is>
      </c>
      <c r="G979" t="n">
        <v>0.6</v>
      </c>
      <c r="H979" t="n">
        <v>0</v>
      </c>
      <c r="I979" t="n">
        <v>0</v>
      </c>
      <c r="J979" t="n">
        <v>0</v>
      </c>
      <c r="K979" t="n">
        <v>0</v>
      </c>
      <c r="L979" t="n">
        <v>0</v>
      </c>
      <c r="M979" t="n">
        <v>0</v>
      </c>
      <c r="N979" t="n">
        <v>0</v>
      </c>
      <c r="O979" t="n">
        <v>0</v>
      </c>
      <c r="P979" t="n">
        <v>0</v>
      </c>
      <c r="Q979" t="n">
        <v>0</v>
      </c>
      <c r="R979" s="2" t="inlineStr"/>
    </row>
    <row r="980" ht="15" customHeight="1">
      <c r="A980" t="inlineStr">
        <is>
          <t>A 56891-2023</t>
        </is>
      </c>
      <c r="B980" s="1" t="n">
        <v>45239</v>
      </c>
      <c r="C980" s="1" t="n">
        <v>45578</v>
      </c>
      <c r="D980" t="inlineStr">
        <is>
          <t>VÄSTERBOTTENS LÄN</t>
        </is>
      </c>
      <c r="E980" t="inlineStr">
        <is>
          <t>VILHELMINA</t>
        </is>
      </c>
      <c r="G980" t="n">
        <v>1.1</v>
      </c>
      <c r="H980" t="n">
        <v>0</v>
      </c>
      <c r="I980" t="n">
        <v>0</v>
      </c>
      <c r="J980" t="n">
        <v>0</v>
      </c>
      <c r="K980" t="n">
        <v>0</v>
      </c>
      <c r="L980" t="n">
        <v>0</v>
      </c>
      <c r="M980" t="n">
        <v>0</v>
      </c>
      <c r="N980" t="n">
        <v>0</v>
      </c>
      <c r="O980" t="n">
        <v>0</v>
      </c>
      <c r="P980" t="n">
        <v>0</v>
      </c>
      <c r="Q980" t="n">
        <v>0</v>
      </c>
      <c r="R980" s="2" t="inlineStr"/>
    </row>
    <row r="981" ht="15" customHeight="1">
      <c r="A981" t="inlineStr">
        <is>
          <t>A 57123-2023</t>
        </is>
      </c>
      <c r="B981" s="1" t="n">
        <v>45239</v>
      </c>
      <c r="C981" s="1" t="n">
        <v>45578</v>
      </c>
      <c r="D981" t="inlineStr">
        <is>
          <t>VÄSTERBOTTENS LÄN</t>
        </is>
      </c>
      <c r="E981" t="inlineStr">
        <is>
          <t>VILHELMINA</t>
        </is>
      </c>
      <c r="G981" t="n">
        <v>16.1</v>
      </c>
      <c r="H981" t="n">
        <v>0</v>
      </c>
      <c r="I981" t="n">
        <v>0</v>
      </c>
      <c r="J981" t="n">
        <v>0</v>
      </c>
      <c r="K981" t="n">
        <v>0</v>
      </c>
      <c r="L981" t="n">
        <v>0</v>
      </c>
      <c r="M981" t="n">
        <v>0</v>
      </c>
      <c r="N981" t="n">
        <v>0</v>
      </c>
      <c r="O981" t="n">
        <v>0</v>
      </c>
      <c r="P981" t="n">
        <v>0</v>
      </c>
      <c r="Q981" t="n">
        <v>0</v>
      </c>
      <c r="R981" s="2" t="inlineStr"/>
    </row>
    <row r="982" ht="15" customHeight="1">
      <c r="A982" t="inlineStr">
        <is>
          <t>A 57246-2023</t>
        </is>
      </c>
      <c r="B982" s="1" t="n">
        <v>45239</v>
      </c>
      <c r="C982" s="1" t="n">
        <v>45578</v>
      </c>
      <c r="D982" t="inlineStr">
        <is>
          <t>VÄSTERBOTTENS LÄN</t>
        </is>
      </c>
      <c r="E982" t="inlineStr">
        <is>
          <t>VILHELMINA</t>
        </is>
      </c>
      <c r="G982" t="n">
        <v>15.3</v>
      </c>
      <c r="H982" t="n">
        <v>0</v>
      </c>
      <c r="I982" t="n">
        <v>0</v>
      </c>
      <c r="J982" t="n">
        <v>0</v>
      </c>
      <c r="K982" t="n">
        <v>0</v>
      </c>
      <c r="L982" t="n">
        <v>0</v>
      </c>
      <c r="M982" t="n">
        <v>0</v>
      </c>
      <c r="N982" t="n">
        <v>0</v>
      </c>
      <c r="O982" t="n">
        <v>0</v>
      </c>
      <c r="P982" t="n">
        <v>0</v>
      </c>
      <c r="Q982" t="n">
        <v>0</v>
      </c>
      <c r="R982" s="2" t="inlineStr"/>
    </row>
    <row r="983" ht="15" customHeight="1">
      <c r="A983" t="inlineStr">
        <is>
          <t>A 56245-2023</t>
        </is>
      </c>
      <c r="B983" s="1" t="n">
        <v>45240</v>
      </c>
      <c r="C983" s="1" t="n">
        <v>45578</v>
      </c>
      <c r="D983" t="inlineStr">
        <is>
          <t>VÄSTERBOTTENS LÄN</t>
        </is>
      </c>
      <c r="E983" t="inlineStr">
        <is>
          <t>VILHELMINA</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56246-2023</t>
        </is>
      </c>
      <c r="B984" s="1" t="n">
        <v>45240</v>
      </c>
      <c r="C984" s="1" t="n">
        <v>45578</v>
      </c>
      <c r="D984" t="inlineStr">
        <is>
          <t>VÄSTERBOTTENS LÄN</t>
        </is>
      </c>
      <c r="E984" t="inlineStr">
        <is>
          <t>VILHELMINA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56236-2023</t>
        </is>
      </c>
      <c r="B985" s="1" t="n">
        <v>45240</v>
      </c>
      <c r="C985" s="1" t="n">
        <v>45578</v>
      </c>
      <c r="D985" t="inlineStr">
        <is>
          <t>VÄSTERBOTTENS LÄN</t>
        </is>
      </c>
      <c r="E985" t="inlineStr">
        <is>
          <t>VILHELMINA</t>
        </is>
      </c>
      <c r="G985" t="n">
        <v>6.1</v>
      </c>
      <c r="H985" t="n">
        <v>0</v>
      </c>
      <c r="I985" t="n">
        <v>0</v>
      </c>
      <c r="J985" t="n">
        <v>0</v>
      </c>
      <c r="K985" t="n">
        <v>0</v>
      </c>
      <c r="L985" t="n">
        <v>0</v>
      </c>
      <c r="M985" t="n">
        <v>0</v>
      </c>
      <c r="N985" t="n">
        <v>0</v>
      </c>
      <c r="O985" t="n">
        <v>0</v>
      </c>
      <c r="P985" t="n">
        <v>0</v>
      </c>
      <c r="Q985" t="n">
        <v>0</v>
      </c>
      <c r="R985" s="2" t="inlineStr"/>
    </row>
    <row r="986" ht="15" customHeight="1">
      <c r="A986" t="inlineStr">
        <is>
          <t>A 56235-2023</t>
        </is>
      </c>
      <c r="B986" s="1" t="n">
        <v>45240</v>
      </c>
      <c r="C986" s="1" t="n">
        <v>45578</v>
      </c>
      <c r="D986" t="inlineStr">
        <is>
          <t>VÄSTERBOTTENS LÄN</t>
        </is>
      </c>
      <c r="E986" t="inlineStr">
        <is>
          <t>VILHELMINA</t>
        </is>
      </c>
      <c r="G986" t="n">
        <v>12.7</v>
      </c>
      <c r="H986" t="n">
        <v>0</v>
      </c>
      <c r="I986" t="n">
        <v>0</v>
      </c>
      <c r="J986" t="n">
        <v>0</v>
      </c>
      <c r="K986" t="n">
        <v>0</v>
      </c>
      <c r="L986" t="n">
        <v>0</v>
      </c>
      <c r="M986" t="n">
        <v>0</v>
      </c>
      <c r="N986" t="n">
        <v>0</v>
      </c>
      <c r="O986" t="n">
        <v>0</v>
      </c>
      <c r="P986" t="n">
        <v>0</v>
      </c>
      <c r="Q986" t="n">
        <v>0</v>
      </c>
      <c r="R986" s="2" t="inlineStr"/>
    </row>
    <row r="987" ht="15" customHeight="1">
      <c r="A987" t="inlineStr">
        <is>
          <t>A 56617-2023</t>
        </is>
      </c>
      <c r="B987" s="1" t="n">
        <v>45243</v>
      </c>
      <c r="C987" s="1" t="n">
        <v>45578</v>
      </c>
      <c r="D987" t="inlineStr">
        <is>
          <t>VÄSTERBOTTENS LÄN</t>
        </is>
      </c>
      <c r="E987" t="inlineStr">
        <is>
          <t>VILHELMINA</t>
        </is>
      </c>
      <c r="G987" t="n">
        <v>0.9</v>
      </c>
      <c r="H987" t="n">
        <v>0</v>
      </c>
      <c r="I987" t="n">
        <v>0</v>
      </c>
      <c r="J987" t="n">
        <v>0</v>
      </c>
      <c r="K987" t="n">
        <v>0</v>
      </c>
      <c r="L987" t="n">
        <v>0</v>
      </c>
      <c r="M987" t="n">
        <v>0</v>
      </c>
      <c r="N987" t="n">
        <v>0</v>
      </c>
      <c r="O987" t="n">
        <v>0</v>
      </c>
      <c r="P987" t="n">
        <v>0</v>
      </c>
      <c r="Q987" t="n">
        <v>0</v>
      </c>
      <c r="R987" s="2" t="inlineStr"/>
    </row>
    <row r="988" ht="15" customHeight="1">
      <c r="A988" t="inlineStr">
        <is>
          <t>A 56622-2023</t>
        </is>
      </c>
      <c r="B988" s="1" t="n">
        <v>45243</v>
      </c>
      <c r="C988" s="1" t="n">
        <v>45578</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57691-2023</t>
        </is>
      </c>
      <c r="B989" s="1" t="n">
        <v>45243</v>
      </c>
      <c r="C989" s="1" t="n">
        <v>45578</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57058-2023</t>
        </is>
      </c>
      <c r="B990" s="1" t="n">
        <v>45244</v>
      </c>
      <c r="C990" s="1" t="n">
        <v>45578</v>
      </c>
      <c r="D990" t="inlineStr">
        <is>
          <t>VÄSTERBOTTENS LÄN</t>
        </is>
      </c>
      <c r="E990" t="inlineStr">
        <is>
          <t>VILHELMINA</t>
        </is>
      </c>
      <c r="G990" t="n">
        <v>2.9</v>
      </c>
      <c r="H990" t="n">
        <v>0</v>
      </c>
      <c r="I990" t="n">
        <v>0</v>
      </c>
      <c r="J990" t="n">
        <v>0</v>
      </c>
      <c r="K990" t="n">
        <v>0</v>
      </c>
      <c r="L990" t="n">
        <v>0</v>
      </c>
      <c r="M990" t="n">
        <v>0</v>
      </c>
      <c r="N990" t="n">
        <v>0</v>
      </c>
      <c r="O990" t="n">
        <v>0</v>
      </c>
      <c r="P990" t="n">
        <v>0</v>
      </c>
      <c r="Q990" t="n">
        <v>0</v>
      </c>
      <c r="R990" s="2" t="inlineStr"/>
    </row>
    <row r="991" ht="15" customHeight="1">
      <c r="A991" t="inlineStr">
        <is>
          <t>A 57057-2023</t>
        </is>
      </c>
      <c r="B991" s="1" t="n">
        <v>45244</v>
      </c>
      <c r="C991" s="1" t="n">
        <v>45578</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58362-2023</t>
        </is>
      </c>
      <c r="B992" s="1" t="n">
        <v>45245</v>
      </c>
      <c r="C992" s="1" t="n">
        <v>45578</v>
      </c>
      <c r="D992" t="inlineStr">
        <is>
          <t>VÄSTERBOTTENS LÄN</t>
        </is>
      </c>
      <c r="E992" t="inlineStr">
        <is>
          <t>VILHELMINA</t>
        </is>
      </c>
      <c r="G992" t="n">
        <v>13.6</v>
      </c>
      <c r="H992" t="n">
        <v>0</v>
      </c>
      <c r="I992" t="n">
        <v>0</v>
      </c>
      <c r="J992" t="n">
        <v>0</v>
      </c>
      <c r="K992" t="n">
        <v>0</v>
      </c>
      <c r="L992" t="n">
        <v>0</v>
      </c>
      <c r="M992" t="n">
        <v>0</v>
      </c>
      <c r="N992" t="n">
        <v>0</v>
      </c>
      <c r="O992" t="n">
        <v>0</v>
      </c>
      <c r="P992" t="n">
        <v>0</v>
      </c>
      <c r="Q992" t="n">
        <v>0</v>
      </c>
      <c r="R992" s="2" t="inlineStr"/>
    </row>
    <row r="993" ht="15" customHeight="1">
      <c r="A993" t="inlineStr">
        <is>
          <t>A 57795-2023</t>
        </is>
      </c>
      <c r="B993" s="1" t="n">
        <v>45247</v>
      </c>
      <c r="C993" s="1" t="n">
        <v>45578</v>
      </c>
      <c r="D993" t="inlineStr">
        <is>
          <t>VÄSTERBOTTENS LÄN</t>
        </is>
      </c>
      <c r="E993" t="inlineStr">
        <is>
          <t>VILHELMINA</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58833-2023</t>
        </is>
      </c>
      <c r="B994" s="1" t="n">
        <v>45248</v>
      </c>
      <c r="C994" s="1" t="n">
        <v>45578</v>
      </c>
      <c r="D994" t="inlineStr">
        <is>
          <t>VÄSTERBOTTENS LÄN</t>
        </is>
      </c>
      <c r="E994" t="inlineStr">
        <is>
          <t>VILHELMINA</t>
        </is>
      </c>
      <c r="G994" t="n">
        <v>1.5</v>
      </c>
      <c r="H994" t="n">
        <v>0</v>
      </c>
      <c r="I994" t="n">
        <v>0</v>
      </c>
      <c r="J994" t="n">
        <v>0</v>
      </c>
      <c r="K994" t="n">
        <v>0</v>
      </c>
      <c r="L994" t="n">
        <v>0</v>
      </c>
      <c r="M994" t="n">
        <v>0</v>
      </c>
      <c r="N994" t="n">
        <v>0</v>
      </c>
      <c r="O994" t="n">
        <v>0</v>
      </c>
      <c r="P994" t="n">
        <v>0</v>
      </c>
      <c r="Q994" t="n">
        <v>0</v>
      </c>
      <c r="R994" s="2" t="inlineStr"/>
    </row>
    <row r="995" ht="15" customHeight="1">
      <c r="A995" t="inlineStr">
        <is>
          <t>A 58456-2023</t>
        </is>
      </c>
      <c r="B995" s="1" t="n">
        <v>45251</v>
      </c>
      <c r="C995" s="1" t="n">
        <v>45578</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58756-2023</t>
        </is>
      </c>
      <c r="B996" s="1" t="n">
        <v>45251</v>
      </c>
      <c r="C996" s="1" t="n">
        <v>45578</v>
      </c>
      <c r="D996" t="inlineStr">
        <is>
          <t>VÄSTERBOTTENS LÄN</t>
        </is>
      </c>
      <c r="E996" t="inlineStr">
        <is>
          <t>VILHELMINA</t>
        </is>
      </c>
      <c r="G996" t="n">
        <v>1.6</v>
      </c>
      <c r="H996" t="n">
        <v>0</v>
      </c>
      <c r="I996" t="n">
        <v>0</v>
      </c>
      <c r="J996" t="n">
        <v>0</v>
      </c>
      <c r="K996" t="n">
        <v>0</v>
      </c>
      <c r="L996" t="n">
        <v>0</v>
      </c>
      <c r="M996" t="n">
        <v>0</v>
      </c>
      <c r="N996" t="n">
        <v>0</v>
      </c>
      <c r="O996" t="n">
        <v>0</v>
      </c>
      <c r="P996" t="n">
        <v>0</v>
      </c>
      <c r="Q996" t="n">
        <v>0</v>
      </c>
      <c r="R996" s="2" t="inlineStr"/>
    </row>
    <row r="997" ht="15" customHeight="1">
      <c r="A997" t="inlineStr">
        <is>
          <t>A 59117-2023</t>
        </is>
      </c>
      <c r="B997" s="1" t="n">
        <v>45251</v>
      </c>
      <c r="C997" s="1" t="n">
        <v>45578</v>
      </c>
      <c r="D997" t="inlineStr">
        <is>
          <t>VÄSTERBOTTENS LÄN</t>
        </is>
      </c>
      <c r="E997" t="inlineStr">
        <is>
          <t>VILHELMINA</t>
        </is>
      </c>
      <c r="G997" t="n">
        <v>1</v>
      </c>
      <c r="H997" t="n">
        <v>0</v>
      </c>
      <c r="I997" t="n">
        <v>0</v>
      </c>
      <c r="J997" t="n">
        <v>0</v>
      </c>
      <c r="K997" t="n">
        <v>0</v>
      </c>
      <c r="L997" t="n">
        <v>0</v>
      </c>
      <c r="M997" t="n">
        <v>0</v>
      </c>
      <c r="N997" t="n">
        <v>0</v>
      </c>
      <c r="O997" t="n">
        <v>0</v>
      </c>
      <c r="P997" t="n">
        <v>0</v>
      </c>
      <c r="Q997" t="n">
        <v>0</v>
      </c>
      <c r="R997" s="2" t="inlineStr"/>
    </row>
    <row r="998" ht="15" customHeight="1">
      <c r="A998" t="inlineStr">
        <is>
          <t>A 58749-2023</t>
        </is>
      </c>
      <c r="B998" s="1" t="n">
        <v>45251</v>
      </c>
      <c r="C998" s="1" t="n">
        <v>45578</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59110-2023</t>
        </is>
      </c>
      <c r="B999" s="1" t="n">
        <v>45251</v>
      </c>
      <c r="C999" s="1" t="n">
        <v>45578</v>
      </c>
      <c r="D999" t="inlineStr">
        <is>
          <t>VÄSTERBOTTENS LÄN</t>
        </is>
      </c>
      <c r="E999" t="inlineStr">
        <is>
          <t>VILHELMINA</t>
        </is>
      </c>
      <c r="G999" t="n">
        <v>10.1</v>
      </c>
      <c r="H999" t="n">
        <v>0</v>
      </c>
      <c r="I999" t="n">
        <v>0</v>
      </c>
      <c r="J999" t="n">
        <v>0</v>
      </c>
      <c r="K999" t="n">
        <v>0</v>
      </c>
      <c r="L999" t="n">
        <v>0</v>
      </c>
      <c r="M999" t="n">
        <v>0</v>
      </c>
      <c r="N999" t="n">
        <v>0</v>
      </c>
      <c r="O999" t="n">
        <v>0</v>
      </c>
      <c r="P999" t="n">
        <v>0</v>
      </c>
      <c r="Q999" t="n">
        <v>0</v>
      </c>
      <c r="R999" s="2" t="inlineStr"/>
    </row>
    <row r="1000" ht="15" customHeight="1">
      <c r="A1000" t="inlineStr">
        <is>
          <t>A 59083-2023</t>
        </is>
      </c>
      <c r="B1000" s="1" t="n">
        <v>45252</v>
      </c>
      <c r="C1000" s="1" t="n">
        <v>45578</v>
      </c>
      <c r="D1000" t="inlineStr">
        <is>
          <t>VÄSTERBOTTENS LÄN</t>
        </is>
      </c>
      <c r="E1000" t="inlineStr">
        <is>
          <t>VILHELMINA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59664-2023</t>
        </is>
      </c>
      <c r="B1001" s="1" t="n">
        <v>45254</v>
      </c>
      <c r="C1001" s="1" t="n">
        <v>45578</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60035-2023</t>
        </is>
      </c>
      <c r="B1002" s="1" t="n">
        <v>45254</v>
      </c>
      <c r="C1002" s="1" t="n">
        <v>45578</v>
      </c>
      <c r="D1002" t="inlineStr">
        <is>
          <t>VÄSTERBOTTENS LÄN</t>
        </is>
      </c>
      <c r="E1002" t="inlineStr">
        <is>
          <t>VILHELMINA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59663-2023</t>
        </is>
      </c>
      <c r="B1003" s="1" t="n">
        <v>45254</v>
      </c>
      <c r="C1003" s="1" t="n">
        <v>45578</v>
      </c>
      <c r="D1003" t="inlineStr">
        <is>
          <t>VÄSTERBOTTENS LÄN</t>
        </is>
      </c>
      <c r="E1003" t="inlineStr">
        <is>
          <t>VILHELMINA</t>
        </is>
      </c>
      <c r="F1003" t="inlineStr">
        <is>
          <t>SCA</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59671-2023</t>
        </is>
      </c>
      <c r="B1004" s="1" t="n">
        <v>45255</v>
      </c>
      <c r="C1004" s="1" t="n">
        <v>45578</v>
      </c>
      <c r="D1004" t="inlineStr">
        <is>
          <t>VÄSTERBOTTENS LÄN</t>
        </is>
      </c>
      <c r="E1004" t="inlineStr">
        <is>
          <t>VILHELMINA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60782-2023</t>
        </is>
      </c>
      <c r="B1005" s="1" t="n">
        <v>45259</v>
      </c>
      <c r="C1005" s="1" t="n">
        <v>45578</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60842-2023</t>
        </is>
      </c>
      <c r="B1006" s="1" t="n">
        <v>45260</v>
      </c>
      <c r="C1006" s="1" t="n">
        <v>45578</v>
      </c>
      <c r="D1006" t="inlineStr">
        <is>
          <t>VÄSTERBOTTENS LÄN</t>
        </is>
      </c>
      <c r="E1006" t="inlineStr">
        <is>
          <t>VILHELMINA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60841-2023</t>
        </is>
      </c>
      <c r="B1007" s="1" t="n">
        <v>45260</v>
      </c>
      <c r="C1007" s="1" t="n">
        <v>45578</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61778-2023</t>
        </is>
      </c>
      <c r="B1008" s="1" t="n">
        <v>45265</v>
      </c>
      <c r="C1008" s="1" t="n">
        <v>45578</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61777-2023</t>
        </is>
      </c>
      <c r="B1009" s="1" t="n">
        <v>45265</v>
      </c>
      <c r="C1009" s="1" t="n">
        <v>45578</v>
      </c>
      <c r="D1009" t="inlineStr">
        <is>
          <t>VÄSTERBOTTENS LÄN</t>
        </is>
      </c>
      <c r="E1009" t="inlineStr">
        <is>
          <t>VILHELMINA</t>
        </is>
      </c>
      <c r="F1009" t="inlineStr">
        <is>
          <t>SCA</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61780-2023</t>
        </is>
      </c>
      <c r="B1010" s="1" t="n">
        <v>45265</v>
      </c>
      <c r="C1010" s="1" t="n">
        <v>45578</v>
      </c>
      <c r="D1010" t="inlineStr">
        <is>
          <t>VÄSTERBOTTENS LÄN</t>
        </is>
      </c>
      <c r="E1010" t="inlineStr">
        <is>
          <t>VILHELMINA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61779-2023</t>
        </is>
      </c>
      <c r="B1011" s="1" t="n">
        <v>45265</v>
      </c>
      <c r="C1011" s="1" t="n">
        <v>45578</v>
      </c>
      <c r="D1011" t="inlineStr">
        <is>
          <t>VÄSTERBOTTENS LÄN</t>
        </is>
      </c>
      <c r="E1011" t="inlineStr">
        <is>
          <t>VILHELMINA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62015-2023</t>
        </is>
      </c>
      <c r="B1012" s="1" t="n">
        <v>45265</v>
      </c>
      <c r="C1012" s="1" t="n">
        <v>45578</v>
      </c>
      <c r="D1012" t="inlineStr">
        <is>
          <t>VÄSTERBOTTENS LÄN</t>
        </is>
      </c>
      <c r="E1012" t="inlineStr">
        <is>
          <t>VILHELMINA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61973-2023</t>
        </is>
      </c>
      <c r="B1013" s="1" t="n">
        <v>45265</v>
      </c>
      <c r="C1013" s="1" t="n">
        <v>45578</v>
      </c>
      <c r="D1013" t="inlineStr">
        <is>
          <t>VÄSTERBOTTENS LÄN</t>
        </is>
      </c>
      <c r="E1013" t="inlineStr">
        <is>
          <t>VILHELMINA</t>
        </is>
      </c>
      <c r="G1013" t="n">
        <v>24.9</v>
      </c>
      <c r="H1013" t="n">
        <v>0</v>
      </c>
      <c r="I1013" t="n">
        <v>0</v>
      </c>
      <c r="J1013" t="n">
        <v>0</v>
      </c>
      <c r="K1013" t="n">
        <v>0</v>
      </c>
      <c r="L1013" t="n">
        <v>0</v>
      </c>
      <c r="M1013" t="n">
        <v>0</v>
      </c>
      <c r="N1013" t="n">
        <v>0</v>
      </c>
      <c r="O1013" t="n">
        <v>0</v>
      </c>
      <c r="P1013" t="n">
        <v>0</v>
      </c>
      <c r="Q1013" t="n">
        <v>0</v>
      </c>
      <c r="R1013" s="2" t="inlineStr"/>
    </row>
    <row r="1014" ht="15" customHeight="1">
      <c r="A1014" t="inlineStr">
        <is>
          <t>A 62021-2023</t>
        </is>
      </c>
      <c r="B1014" s="1" t="n">
        <v>45265</v>
      </c>
      <c r="C1014" s="1" t="n">
        <v>45578</v>
      </c>
      <c r="D1014" t="inlineStr">
        <is>
          <t>VÄSTERBOTTENS LÄN</t>
        </is>
      </c>
      <c r="E1014" t="inlineStr">
        <is>
          <t>VILHELMINA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62663-2023</t>
        </is>
      </c>
      <c r="B1015" s="1" t="n">
        <v>45267</v>
      </c>
      <c r="C1015" s="1" t="n">
        <v>45578</v>
      </c>
      <c r="D1015" t="inlineStr">
        <is>
          <t>VÄSTERBOTTENS LÄN</t>
        </is>
      </c>
      <c r="E1015" t="inlineStr">
        <is>
          <t>VILHELMINA</t>
        </is>
      </c>
      <c r="F1015" t="inlineStr">
        <is>
          <t>Allmännings- och besparingsskogar</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62673-2023</t>
        </is>
      </c>
      <c r="B1016" s="1" t="n">
        <v>45267</v>
      </c>
      <c r="C1016" s="1" t="n">
        <v>45578</v>
      </c>
      <c r="D1016" t="inlineStr">
        <is>
          <t>VÄSTERBOTTENS LÄN</t>
        </is>
      </c>
      <c r="E1016" t="inlineStr">
        <is>
          <t>VILHELMINA</t>
        </is>
      </c>
      <c r="F1016" t="inlineStr">
        <is>
          <t>Allmännings- och besparingsskogar</t>
        </is>
      </c>
      <c r="G1016" t="n">
        <v>19.8</v>
      </c>
      <c r="H1016" t="n">
        <v>0</v>
      </c>
      <c r="I1016" t="n">
        <v>0</v>
      </c>
      <c r="J1016" t="n">
        <v>0</v>
      </c>
      <c r="K1016" t="n">
        <v>0</v>
      </c>
      <c r="L1016" t="n">
        <v>0</v>
      </c>
      <c r="M1016" t="n">
        <v>0</v>
      </c>
      <c r="N1016" t="n">
        <v>0</v>
      </c>
      <c r="O1016" t="n">
        <v>0</v>
      </c>
      <c r="P1016" t="n">
        <v>0</v>
      </c>
      <c r="Q1016" t="n">
        <v>0</v>
      </c>
      <c r="R1016" s="2" t="inlineStr"/>
    </row>
    <row r="1017" ht="15" customHeight="1">
      <c r="A1017" t="inlineStr">
        <is>
          <t>A 63050-2023</t>
        </is>
      </c>
      <c r="B1017" s="1" t="n">
        <v>45272</v>
      </c>
      <c r="C1017" s="1" t="n">
        <v>45578</v>
      </c>
      <c r="D1017" t="inlineStr">
        <is>
          <t>VÄSTERBOTTENS LÄN</t>
        </is>
      </c>
      <c r="E1017" t="inlineStr">
        <is>
          <t>VILHELMINA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63049-2023</t>
        </is>
      </c>
      <c r="B1018" s="1" t="n">
        <v>45272</v>
      </c>
      <c r="C1018" s="1" t="n">
        <v>45578</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63053-2023</t>
        </is>
      </c>
      <c r="B1019" s="1" t="n">
        <v>45272</v>
      </c>
      <c r="C1019" s="1" t="n">
        <v>45578</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63563-2023</t>
        </is>
      </c>
      <c r="B1020" s="1" t="n">
        <v>45274</v>
      </c>
      <c r="C1020" s="1" t="n">
        <v>45578</v>
      </c>
      <c r="D1020" t="inlineStr">
        <is>
          <t>VÄSTERBOTTENS LÄN</t>
        </is>
      </c>
      <c r="E1020" t="inlineStr">
        <is>
          <t>VILHELMINA</t>
        </is>
      </c>
      <c r="F1020" t="inlineStr">
        <is>
          <t>Övriga Aktiebolag</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63877-2023</t>
        </is>
      </c>
      <c r="B1021" s="1" t="n">
        <v>45278</v>
      </c>
      <c r="C1021" s="1" t="n">
        <v>45578</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64029-2023</t>
        </is>
      </c>
      <c r="B1022" s="1" t="n">
        <v>45278</v>
      </c>
      <c r="C1022" s="1" t="n">
        <v>45578</v>
      </c>
      <c r="D1022" t="inlineStr">
        <is>
          <t>VÄSTERBOTTENS LÄN</t>
        </is>
      </c>
      <c r="E1022" t="inlineStr">
        <is>
          <t>VILHELMINA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64028-2023</t>
        </is>
      </c>
      <c r="B1023" s="1" t="n">
        <v>45278</v>
      </c>
      <c r="C1023" s="1" t="n">
        <v>45578</v>
      </c>
      <c r="D1023" t="inlineStr">
        <is>
          <t>VÄSTERBOTTENS LÄN</t>
        </is>
      </c>
      <c r="E1023" t="inlineStr">
        <is>
          <t>VILHELMINA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64027-2023</t>
        </is>
      </c>
      <c r="B1024" s="1" t="n">
        <v>45278</v>
      </c>
      <c r="C1024" s="1" t="n">
        <v>45578</v>
      </c>
      <c r="D1024" t="inlineStr">
        <is>
          <t>VÄSTERBOTTENS LÄN</t>
        </is>
      </c>
      <c r="E1024" t="inlineStr">
        <is>
          <t>VILHELMINA</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64362-2023</t>
        </is>
      </c>
      <c r="B1025" s="1" t="n">
        <v>45280</v>
      </c>
      <c r="C1025" s="1" t="n">
        <v>45578</v>
      </c>
      <c r="D1025" t="inlineStr">
        <is>
          <t>VÄSTERBOTTENS LÄN</t>
        </is>
      </c>
      <c r="E1025" t="inlineStr">
        <is>
          <t>VILHELMINA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64495-2023</t>
        </is>
      </c>
      <c r="B1026" s="1" t="n">
        <v>45280</v>
      </c>
      <c r="C1026" s="1" t="n">
        <v>45578</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64421-2023</t>
        </is>
      </c>
      <c r="B1027" s="1" t="n">
        <v>45280</v>
      </c>
      <c r="C1027" s="1" t="n">
        <v>45578</v>
      </c>
      <c r="D1027" t="inlineStr">
        <is>
          <t>VÄSTERBOTTENS LÄN</t>
        </is>
      </c>
      <c r="E1027" t="inlineStr">
        <is>
          <t>VILHELMINA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64592-2023</t>
        </is>
      </c>
      <c r="B1028" s="1" t="n">
        <v>45281</v>
      </c>
      <c r="C1028" s="1" t="n">
        <v>45578</v>
      </c>
      <c r="D1028" t="inlineStr">
        <is>
          <t>VÄSTERBOTTENS LÄN</t>
        </is>
      </c>
      <c r="E1028" t="inlineStr">
        <is>
          <t>VILHELMINA</t>
        </is>
      </c>
      <c r="F1028" t="inlineStr">
        <is>
          <t>Kommuner</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65042-2023</t>
        </is>
      </c>
      <c r="B1029" s="1" t="n">
        <v>45282</v>
      </c>
      <c r="C1029" s="1" t="n">
        <v>45578</v>
      </c>
      <c r="D1029" t="inlineStr">
        <is>
          <t>VÄSTERBOTTENS LÄN</t>
        </is>
      </c>
      <c r="E1029" t="inlineStr">
        <is>
          <t>VILHELMINA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367-2024</t>
        </is>
      </c>
      <c r="B1030" s="1" t="n">
        <v>45295</v>
      </c>
      <c r="C1030" s="1" t="n">
        <v>45578</v>
      </c>
      <c r="D1030" t="inlineStr">
        <is>
          <t>VÄSTERBOTTENS LÄN</t>
        </is>
      </c>
      <c r="E1030" t="inlineStr">
        <is>
          <t>VILHELMINA</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370-2024</t>
        </is>
      </c>
      <c r="B1031" s="1" t="n">
        <v>45296</v>
      </c>
      <c r="C1031" s="1" t="n">
        <v>45578</v>
      </c>
      <c r="D1031" t="inlineStr">
        <is>
          <t>VÄSTERBOTTENS LÄN</t>
        </is>
      </c>
      <c r="E1031" t="inlineStr">
        <is>
          <t>VILHELMINA</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475-2024</t>
        </is>
      </c>
      <c r="B1032" s="1" t="n">
        <v>45297</v>
      </c>
      <c r="C1032" s="1" t="n">
        <v>45578</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468-2024</t>
        </is>
      </c>
      <c r="B1033" s="1" t="n">
        <v>45297</v>
      </c>
      <c r="C1033" s="1" t="n">
        <v>45578</v>
      </c>
      <c r="D1033" t="inlineStr">
        <is>
          <t>VÄSTERBOTTENS LÄN</t>
        </is>
      </c>
      <c r="E1033" t="inlineStr">
        <is>
          <t>VILHELMINA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706-2024</t>
        </is>
      </c>
      <c r="B1034" s="1" t="n">
        <v>45300</v>
      </c>
      <c r="C1034" s="1" t="n">
        <v>45578</v>
      </c>
      <c r="D1034" t="inlineStr">
        <is>
          <t>VÄSTERBOTTENS LÄN</t>
        </is>
      </c>
      <c r="E1034" t="inlineStr">
        <is>
          <t>VILHELMINA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1780-2024</t>
        </is>
      </c>
      <c r="B1035" s="1" t="n">
        <v>45307</v>
      </c>
      <c r="C1035" s="1" t="n">
        <v>45578</v>
      </c>
      <c r="D1035" t="inlineStr">
        <is>
          <t>VÄSTERBOTTENS LÄN</t>
        </is>
      </c>
      <c r="E1035" t="inlineStr">
        <is>
          <t>VILHELMINA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1854-2024</t>
        </is>
      </c>
      <c r="B1036" s="1" t="n">
        <v>45307</v>
      </c>
      <c r="C1036" s="1" t="n">
        <v>45578</v>
      </c>
      <c r="D1036" t="inlineStr">
        <is>
          <t>VÄSTERBOTTENS LÄN</t>
        </is>
      </c>
      <c r="E1036" t="inlineStr">
        <is>
          <t>VILHELMINA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1940-2024</t>
        </is>
      </c>
      <c r="B1037" s="1" t="n">
        <v>45308</v>
      </c>
      <c r="C1037" s="1" t="n">
        <v>45578</v>
      </c>
      <c r="D1037" t="inlineStr">
        <is>
          <t>VÄSTERBOTTENS LÄN</t>
        </is>
      </c>
      <c r="E1037" t="inlineStr">
        <is>
          <t>VILHELMINA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2022-2024</t>
        </is>
      </c>
      <c r="B1038" s="1" t="n">
        <v>45308</v>
      </c>
      <c r="C1038" s="1" t="n">
        <v>45578</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2023-2024</t>
        </is>
      </c>
      <c r="B1039" s="1" t="n">
        <v>45308</v>
      </c>
      <c r="C1039" s="1" t="n">
        <v>45578</v>
      </c>
      <c r="D1039" t="inlineStr">
        <is>
          <t>VÄSTERBOTTENS LÄN</t>
        </is>
      </c>
      <c r="E1039" t="inlineStr">
        <is>
          <t>VILHELMINA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3237-2024</t>
        </is>
      </c>
      <c r="B1040" s="1" t="n">
        <v>45316</v>
      </c>
      <c r="C1040" s="1" t="n">
        <v>45578</v>
      </c>
      <c r="D1040" t="inlineStr">
        <is>
          <t>VÄSTERBOTTENS LÄN</t>
        </is>
      </c>
      <c r="E1040" t="inlineStr">
        <is>
          <t>VILHELMINA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3620-2024</t>
        </is>
      </c>
      <c r="B1041" s="1" t="n">
        <v>45320</v>
      </c>
      <c r="C1041" s="1" t="n">
        <v>45578</v>
      </c>
      <c r="D1041" t="inlineStr">
        <is>
          <t>VÄSTERBOTTENS LÄN</t>
        </is>
      </c>
      <c r="E1041" t="inlineStr">
        <is>
          <t>VILHELMINA</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4291-2024</t>
        </is>
      </c>
      <c r="B1042" s="1" t="n">
        <v>45324</v>
      </c>
      <c r="C1042" s="1" t="n">
        <v>45578</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5435-2024</t>
        </is>
      </c>
      <c r="B1043" s="1" t="n">
        <v>45331</v>
      </c>
      <c r="C1043" s="1" t="n">
        <v>45578</v>
      </c>
      <c r="D1043" t="inlineStr">
        <is>
          <t>VÄSTERBOTTENS LÄN</t>
        </is>
      </c>
      <c r="E1043" t="inlineStr">
        <is>
          <t>VILHELMINA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5434-2024</t>
        </is>
      </c>
      <c r="B1044" s="1" t="n">
        <v>45331</v>
      </c>
      <c r="C1044" s="1" t="n">
        <v>45578</v>
      </c>
      <c r="D1044" t="inlineStr">
        <is>
          <t>VÄSTERBOTTENS LÄN</t>
        </is>
      </c>
      <c r="E1044" t="inlineStr">
        <is>
          <t>VILHELMINA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5432-2024</t>
        </is>
      </c>
      <c r="B1045" s="1" t="n">
        <v>45331</v>
      </c>
      <c r="C1045" s="1" t="n">
        <v>45578</v>
      </c>
      <c r="D1045" t="inlineStr">
        <is>
          <t>VÄSTERBOTTENS LÄN</t>
        </is>
      </c>
      <c r="E1045" t="inlineStr">
        <is>
          <t>VILHELMINA</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5549-2024</t>
        </is>
      </c>
      <c r="B1046" s="1" t="n">
        <v>45332</v>
      </c>
      <c r="C1046" s="1" t="n">
        <v>45578</v>
      </c>
      <c r="D1046" t="inlineStr">
        <is>
          <t>VÄSTERBOTTENS LÄN</t>
        </is>
      </c>
      <c r="E1046" t="inlineStr">
        <is>
          <t>VILHELMINA</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5552-2024</t>
        </is>
      </c>
      <c r="B1047" s="1" t="n">
        <v>45332</v>
      </c>
      <c r="C1047" s="1" t="n">
        <v>45578</v>
      </c>
      <c r="D1047" t="inlineStr">
        <is>
          <t>VÄSTERBOTTENS LÄN</t>
        </is>
      </c>
      <c r="E1047" t="inlineStr">
        <is>
          <t>VILHELMINA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5482-2024</t>
        </is>
      </c>
      <c r="B1048" s="1" t="n">
        <v>45333</v>
      </c>
      <c r="C1048" s="1" t="n">
        <v>45578</v>
      </c>
      <c r="D1048" t="inlineStr">
        <is>
          <t>VÄSTERBOTTENS LÄN</t>
        </is>
      </c>
      <c r="E1048" t="inlineStr">
        <is>
          <t>VILHELMINA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5497-2024</t>
        </is>
      </c>
      <c r="B1049" s="1" t="n">
        <v>45334</v>
      </c>
      <c r="C1049" s="1" t="n">
        <v>45578</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6281-2024</t>
        </is>
      </c>
      <c r="B1050" s="1" t="n">
        <v>45337</v>
      </c>
      <c r="C1050" s="1" t="n">
        <v>45578</v>
      </c>
      <c r="D1050" t="inlineStr">
        <is>
          <t>VÄSTERBOTTENS LÄN</t>
        </is>
      </c>
      <c r="E1050" t="inlineStr">
        <is>
          <t>VILHELMINA</t>
        </is>
      </c>
      <c r="F1050" t="inlineStr">
        <is>
          <t>SCA</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6280-2024</t>
        </is>
      </c>
      <c r="B1051" s="1" t="n">
        <v>45337</v>
      </c>
      <c r="C1051" s="1" t="n">
        <v>45578</v>
      </c>
      <c r="D1051" t="inlineStr">
        <is>
          <t>VÄSTERBOTTENS LÄN</t>
        </is>
      </c>
      <c r="E1051" t="inlineStr">
        <is>
          <t>VILHELMINA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6369-2024</t>
        </is>
      </c>
      <c r="B1052" s="1" t="n">
        <v>45338</v>
      </c>
      <c r="C1052" s="1" t="n">
        <v>45578</v>
      </c>
      <c r="D1052" t="inlineStr">
        <is>
          <t>VÄSTERBOTTENS LÄN</t>
        </is>
      </c>
      <c r="E1052" t="inlineStr">
        <is>
          <t>VILHELMINA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6358-2024</t>
        </is>
      </c>
      <c r="B1053" s="1" t="n">
        <v>45338</v>
      </c>
      <c r="C1053" s="1" t="n">
        <v>45578</v>
      </c>
      <c r="D1053" t="inlineStr">
        <is>
          <t>VÄSTERBOTTENS LÄN</t>
        </is>
      </c>
      <c r="E1053" t="inlineStr">
        <is>
          <t>VILHELMINA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7102-2024</t>
        </is>
      </c>
      <c r="B1054" s="1" t="n">
        <v>45343</v>
      </c>
      <c r="C1054" s="1" t="n">
        <v>45578</v>
      </c>
      <c r="D1054" t="inlineStr">
        <is>
          <t>VÄSTERBOTTENS LÄN</t>
        </is>
      </c>
      <c r="E1054" t="inlineStr">
        <is>
          <t>VILHELMINA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7259-2024</t>
        </is>
      </c>
      <c r="B1055" s="1" t="n">
        <v>45344</v>
      </c>
      <c r="C1055" s="1" t="n">
        <v>45578</v>
      </c>
      <c r="D1055" t="inlineStr">
        <is>
          <t>VÄSTERBOTTENS LÄN</t>
        </is>
      </c>
      <c r="E1055" t="inlineStr">
        <is>
          <t>VILHELMINA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7777-2024</t>
        </is>
      </c>
      <c r="B1056" s="1" t="n">
        <v>45349</v>
      </c>
      <c r="C1056" s="1" t="n">
        <v>45578</v>
      </c>
      <c r="D1056" t="inlineStr">
        <is>
          <t>VÄSTERBOTTENS LÄN</t>
        </is>
      </c>
      <c r="E1056" t="inlineStr">
        <is>
          <t>VILHELMINA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8544-2024</t>
        </is>
      </c>
      <c r="B1057" s="1" t="n">
        <v>45351</v>
      </c>
      <c r="C1057" s="1" t="n">
        <v>45578</v>
      </c>
      <c r="D1057" t="inlineStr">
        <is>
          <t>VÄSTERBOTTENS LÄN</t>
        </is>
      </c>
      <c r="E1057" t="inlineStr">
        <is>
          <t>VILHELMINA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8664-2024</t>
        </is>
      </c>
      <c r="B1058" s="1" t="n">
        <v>45356</v>
      </c>
      <c r="C1058" s="1" t="n">
        <v>45578</v>
      </c>
      <c r="D1058" t="inlineStr">
        <is>
          <t>VÄSTERBOTTENS LÄN</t>
        </is>
      </c>
      <c r="E1058" t="inlineStr">
        <is>
          <t>VILHELMINA</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9815-2024</t>
        </is>
      </c>
      <c r="B1059" s="1" t="n">
        <v>45363</v>
      </c>
      <c r="C1059" s="1" t="n">
        <v>45578</v>
      </c>
      <c r="D1059" t="inlineStr">
        <is>
          <t>VÄSTERBOTTENS LÄN</t>
        </is>
      </c>
      <c r="E1059" t="inlineStr">
        <is>
          <t>VILHELMINA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10617-2024</t>
        </is>
      </c>
      <c r="B1060" s="1" t="n">
        <v>45367</v>
      </c>
      <c r="C1060" s="1" t="n">
        <v>45578</v>
      </c>
      <c r="D1060" t="inlineStr">
        <is>
          <t>VÄSTERBOTTENS LÄN</t>
        </is>
      </c>
      <c r="E1060" t="inlineStr">
        <is>
          <t>VILHELMINA</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11538-2024</t>
        </is>
      </c>
      <c r="B1061" s="1" t="n">
        <v>45372</v>
      </c>
      <c r="C1061" s="1" t="n">
        <v>45578</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11806-2024</t>
        </is>
      </c>
      <c r="B1062" s="1" t="n">
        <v>45375</v>
      </c>
      <c r="C1062" s="1" t="n">
        <v>45578</v>
      </c>
      <c r="D1062" t="inlineStr">
        <is>
          <t>VÄSTERBOTTENS LÄN</t>
        </is>
      </c>
      <c r="E1062" t="inlineStr">
        <is>
          <t>VILHELMINA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12118-2024</t>
        </is>
      </c>
      <c r="B1063" s="1" t="n">
        <v>45376</v>
      </c>
      <c r="C1063" s="1" t="n">
        <v>45578</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12189-2024</t>
        </is>
      </c>
      <c r="B1064" s="1" t="n">
        <v>45377</v>
      </c>
      <c r="C1064" s="1" t="n">
        <v>45578</v>
      </c>
      <c r="D1064" t="inlineStr">
        <is>
          <t>VÄSTERBOTTENS LÄN</t>
        </is>
      </c>
      <c r="E1064" t="inlineStr">
        <is>
          <t>VILHELMINA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12192-2024</t>
        </is>
      </c>
      <c r="B1065" s="1" t="n">
        <v>45377</v>
      </c>
      <c r="C1065" s="1" t="n">
        <v>45578</v>
      </c>
      <c r="D1065" t="inlineStr">
        <is>
          <t>VÄSTERBOTTENS LÄN</t>
        </is>
      </c>
      <c r="E1065" t="inlineStr">
        <is>
          <t>VILHELMINA</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12190-2024</t>
        </is>
      </c>
      <c r="B1066" s="1" t="n">
        <v>45377</v>
      </c>
      <c r="C1066" s="1" t="n">
        <v>45578</v>
      </c>
      <c r="D1066" t="inlineStr">
        <is>
          <t>VÄSTERBOTTENS LÄN</t>
        </is>
      </c>
      <c r="E1066" t="inlineStr">
        <is>
          <t>VILHELMINA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12191-2024</t>
        </is>
      </c>
      <c r="B1067" s="1" t="n">
        <v>45377</v>
      </c>
      <c r="C1067" s="1" t="n">
        <v>45578</v>
      </c>
      <c r="D1067" t="inlineStr">
        <is>
          <t>VÄSTERBOTTENS LÄN</t>
        </is>
      </c>
      <c r="E1067" t="inlineStr">
        <is>
          <t>VILHELMINA</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12373-2024</t>
        </is>
      </c>
      <c r="B1068" s="1" t="n">
        <v>45378</v>
      </c>
      <c r="C1068" s="1" t="n">
        <v>45578</v>
      </c>
      <c r="D1068" t="inlineStr">
        <is>
          <t>VÄSTERBOTTENS LÄN</t>
        </is>
      </c>
      <c r="E1068" t="inlineStr">
        <is>
          <t>VILHELMINA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12583-2024</t>
        </is>
      </c>
      <c r="B1069" s="1" t="n">
        <v>45379</v>
      </c>
      <c r="C1069" s="1" t="n">
        <v>45578</v>
      </c>
      <c r="D1069" t="inlineStr">
        <is>
          <t>VÄSTERBOTTENS LÄN</t>
        </is>
      </c>
      <c r="E1069" t="inlineStr">
        <is>
          <t>VILHELMINA</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13557-2024</t>
        </is>
      </c>
      <c r="B1070" s="1" t="n">
        <v>45388</v>
      </c>
      <c r="C1070" s="1" t="n">
        <v>45578</v>
      </c>
      <c r="D1070" t="inlineStr">
        <is>
          <t>VÄSTERBOTTENS LÄN</t>
        </is>
      </c>
      <c r="E1070" t="inlineStr">
        <is>
          <t>VILHELMINA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13768-2024</t>
        </is>
      </c>
      <c r="B1071" s="1" t="n">
        <v>45391</v>
      </c>
      <c r="C1071" s="1" t="n">
        <v>45578</v>
      </c>
      <c r="D1071" t="inlineStr">
        <is>
          <t>VÄSTERBOTTENS LÄN</t>
        </is>
      </c>
      <c r="E1071" t="inlineStr">
        <is>
          <t>VILHELMINA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14366-2024</t>
        </is>
      </c>
      <c r="B1072" s="1" t="n">
        <v>45394</v>
      </c>
      <c r="C1072" s="1" t="n">
        <v>45578</v>
      </c>
      <c r="D1072" t="inlineStr">
        <is>
          <t>VÄSTERBOTTENS LÄN</t>
        </is>
      </c>
      <c r="E1072" t="inlineStr">
        <is>
          <t>VILHELMINA</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14816-2024</t>
        </is>
      </c>
      <c r="B1073" s="1" t="n">
        <v>45397</v>
      </c>
      <c r="C1073" s="1" t="n">
        <v>45578</v>
      </c>
      <c r="D1073" t="inlineStr">
        <is>
          <t>VÄSTERBOTTENS LÄN</t>
        </is>
      </c>
      <c r="E1073" t="inlineStr">
        <is>
          <t>VILHELMINA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14817-2024</t>
        </is>
      </c>
      <c r="B1074" s="1" t="n">
        <v>45398</v>
      </c>
      <c r="C1074" s="1" t="n">
        <v>45578</v>
      </c>
      <c r="D1074" t="inlineStr">
        <is>
          <t>VÄSTERBOTTENS LÄN</t>
        </is>
      </c>
      <c r="E1074" t="inlineStr">
        <is>
          <t>VILHELMINA</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15059-2024</t>
        </is>
      </c>
      <c r="B1075" s="1" t="n">
        <v>45399</v>
      </c>
      <c r="C1075" s="1" t="n">
        <v>45578</v>
      </c>
      <c r="D1075" t="inlineStr">
        <is>
          <t>VÄSTERBOTTENS LÄN</t>
        </is>
      </c>
      <c r="E1075" t="inlineStr">
        <is>
          <t>VILHELMINA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15050-2024</t>
        </is>
      </c>
      <c r="B1076" s="1" t="n">
        <v>45399</v>
      </c>
      <c r="C1076" s="1" t="n">
        <v>45578</v>
      </c>
      <c r="D1076" t="inlineStr">
        <is>
          <t>VÄSTERBOTTENS LÄN</t>
        </is>
      </c>
      <c r="E1076" t="inlineStr">
        <is>
          <t>VILHELMINA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15062-2024</t>
        </is>
      </c>
      <c r="B1077" s="1" t="n">
        <v>45399</v>
      </c>
      <c r="C1077" s="1" t="n">
        <v>45578</v>
      </c>
      <c r="D1077" t="inlineStr">
        <is>
          <t>VÄSTERBOTTENS LÄN</t>
        </is>
      </c>
      <c r="E1077" t="inlineStr">
        <is>
          <t>VILHELMINA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15066-2024</t>
        </is>
      </c>
      <c r="B1078" s="1" t="n">
        <v>45399</v>
      </c>
      <c r="C1078" s="1" t="n">
        <v>45578</v>
      </c>
      <c r="D1078" t="inlineStr">
        <is>
          <t>VÄSTERBOTTENS LÄN</t>
        </is>
      </c>
      <c r="E1078" t="inlineStr">
        <is>
          <t>VILHELMINA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15326-2024</t>
        </is>
      </c>
      <c r="B1079" s="1" t="n">
        <v>45400</v>
      </c>
      <c r="C1079" s="1" t="n">
        <v>45578</v>
      </c>
      <c r="D1079" t="inlineStr">
        <is>
          <t>VÄSTERBOTTENS LÄN</t>
        </is>
      </c>
      <c r="E1079" t="inlineStr">
        <is>
          <t>VILHELMINA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15615-2024</t>
        </is>
      </c>
      <c r="B1080" s="1" t="n">
        <v>45402</v>
      </c>
      <c r="C1080" s="1" t="n">
        <v>45578</v>
      </c>
      <c r="D1080" t="inlineStr">
        <is>
          <t>VÄSTERBOTTENS LÄN</t>
        </is>
      </c>
      <c r="E1080" t="inlineStr">
        <is>
          <t>VILHELMINA</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15617-2024</t>
        </is>
      </c>
      <c r="B1081" s="1" t="n">
        <v>45402</v>
      </c>
      <c r="C1081" s="1" t="n">
        <v>45578</v>
      </c>
      <c r="D1081" t="inlineStr">
        <is>
          <t>VÄSTERBOTTENS LÄN</t>
        </is>
      </c>
      <c r="E1081" t="inlineStr">
        <is>
          <t>VILHELMINA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15639-2024</t>
        </is>
      </c>
      <c r="B1082" s="1" t="n">
        <v>45403</v>
      </c>
      <c r="C1082" s="1" t="n">
        <v>45578</v>
      </c>
      <c r="D1082" t="inlineStr">
        <is>
          <t>VÄSTERBOTTENS LÄN</t>
        </is>
      </c>
      <c r="E1082" t="inlineStr">
        <is>
          <t>VILHELMINA</t>
        </is>
      </c>
      <c r="G1082" t="n">
        <v>81.90000000000001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15969-2024</t>
        </is>
      </c>
      <c r="B1083" s="1" t="n">
        <v>45405</v>
      </c>
      <c r="C1083" s="1" t="n">
        <v>45578</v>
      </c>
      <c r="D1083" t="inlineStr">
        <is>
          <t>VÄSTERBOTTENS LÄN</t>
        </is>
      </c>
      <c r="E1083" t="inlineStr">
        <is>
          <t>VILHELMINA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16608-2024</t>
        </is>
      </c>
      <c r="B1084" s="1" t="n">
        <v>45408</v>
      </c>
      <c r="C1084" s="1" t="n">
        <v>45578</v>
      </c>
      <c r="D1084" t="inlineStr">
        <is>
          <t>VÄSTERBOTTENS LÄN</t>
        </is>
      </c>
      <c r="E1084" t="inlineStr">
        <is>
          <t>VILHELMINA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16626-2024</t>
        </is>
      </c>
      <c r="B1085" s="1" t="n">
        <v>45408</v>
      </c>
      <c r="C1085" s="1" t="n">
        <v>45578</v>
      </c>
      <c r="D1085" t="inlineStr">
        <is>
          <t>VÄSTERBOTTENS LÄN</t>
        </is>
      </c>
      <c r="E1085" t="inlineStr">
        <is>
          <t>VILHELMINA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16712-2024</t>
        </is>
      </c>
      <c r="B1086" s="1" t="n">
        <v>45409</v>
      </c>
      <c r="C1086" s="1" t="n">
        <v>45578</v>
      </c>
      <c r="D1086" t="inlineStr">
        <is>
          <t>VÄSTERBOTTENS LÄN</t>
        </is>
      </c>
      <c r="E1086" t="inlineStr">
        <is>
          <t>VILHELMINA</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16713-2024</t>
        </is>
      </c>
      <c r="B1087" s="1" t="n">
        <v>45409</v>
      </c>
      <c r="C1087" s="1" t="n">
        <v>45578</v>
      </c>
      <c r="D1087" t="inlineStr">
        <is>
          <t>VÄSTERBOTTENS LÄN</t>
        </is>
      </c>
      <c r="E1087" t="inlineStr">
        <is>
          <t>VILHELMINA</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17002-2024</t>
        </is>
      </c>
      <c r="B1088" s="1" t="n">
        <v>45411</v>
      </c>
      <c r="C1088" s="1" t="n">
        <v>45578</v>
      </c>
      <c r="D1088" t="inlineStr">
        <is>
          <t>VÄSTERBOTTENS LÄN</t>
        </is>
      </c>
      <c r="E1088" t="inlineStr">
        <is>
          <t>VILHELMINA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16979-2024</t>
        </is>
      </c>
      <c r="B1089" s="1" t="n">
        <v>45412</v>
      </c>
      <c r="C1089" s="1" t="n">
        <v>45578</v>
      </c>
      <c r="D1089" t="inlineStr">
        <is>
          <t>VÄSTERBOTTENS LÄN</t>
        </is>
      </c>
      <c r="E1089" t="inlineStr">
        <is>
          <t>VILHELMINA</t>
        </is>
      </c>
      <c r="F1089" t="inlineStr">
        <is>
          <t>SCA</t>
        </is>
      </c>
      <c r="G1089" t="n">
        <v>34.1</v>
      </c>
      <c r="H1089" t="n">
        <v>0</v>
      </c>
      <c r="I1089" t="n">
        <v>0</v>
      </c>
      <c r="J1089" t="n">
        <v>0</v>
      </c>
      <c r="K1089" t="n">
        <v>0</v>
      </c>
      <c r="L1089" t="n">
        <v>0</v>
      </c>
      <c r="M1089" t="n">
        <v>0</v>
      </c>
      <c r="N1089" t="n">
        <v>0</v>
      </c>
      <c r="O1089" t="n">
        <v>0</v>
      </c>
      <c r="P1089" t="n">
        <v>0</v>
      </c>
      <c r="Q1089" t="n">
        <v>0</v>
      </c>
      <c r="R1089" s="2" t="inlineStr"/>
    </row>
    <row r="1090" ht="15" customHeight="1">
      <c r="A1090" t="inlineStr">
        <is>
          <t>A 17586-2024</t>
        </is>
      </c>
      <c r="B1090" s="1" t="n">
        <v>45415</v>
      </c>
      <c r="C1090" s="1" t="n">
        <v>45578</v>
      </c>
      <c r="D1090" t="inlineStr">
        <is>
          <t>VÄSTERBOTTENS LÄN</t>
        </is>
      </c>
      <c r="E1090" t="inlineStr">
        <is>
          <t>VILHELMINA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17587-2024</t>
        </is>
      </c>
      <c r="B1091" s="1" t="n">
        <v>45416</v>
      </c>
      <c r="C1091" s="1" t="n">
        <v>45578</v>
      </c>
      <c r="D1091" t="inlineStr">
        <is>
          <t>VÄSTERBOTTENS LÄN</t>
        </is>
      </c>
      <c r="E1091" t="inlineStr">
        <is>
          <t>VILHELMINA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17723-2024</t>
        </is>
      </c>
      <c r="B1092" s="1" t="n">
        <v>45415</v>
      </c>
      <c r="C1092" s="1" t="n">
        <v>45578</v>
      </c>
      <c r="D1092" t="inlineStr">
        <is>
          <t>VÄSTERBOTTENS LÄN</t>
        </is>
      </c>
      <c r="E1092" t="inlineStr">
        <is>
          <t>VILHELMINA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17732-2024</t>
        </is>
      </c>
      <c r="B1093" s="1" t="n">
        <v>45415</v>
      </c>
      <c r="C1093" s="1" t="n">
        <v>45578</v>
      </c>
      <c r="D1093" t="inlineStr">
        <is>
          <t>VÄSTERBOTTENS LÄN</t>
        </is>
      </c>
      <c r="E1093" t="inlineStr">
        <is>
          <t>VILHELMINA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17722-2024</t>
        </is>
      </c>
      <c r="B1094" s="1" t="n">
        <v>45415</v>
      </c>
      <c r="C1094" s="1" t="n">
        <v>45578</v>
      </c>
      <c r="D1094" t="inlineStr">
        <is>
          <t>VÄSTERBOTTENS LÄN</t>
        </is>
      </c>
      <c r="E1094" t="inlineStr">
        <is>
          <t>VILHELMINA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17823-2024</t>
        </is>
      </c>
      <c r="B1095" s="1" t="n">
        <v>45419</v>
      </c>
      <c r="C1095" s="1" t="n">
        <v>45578</v>
      </c>
      <c r="D1095" t="inlineStr">
        <is>
          <t>VÄSTERBOTTENS LÄN</t>
        </is>
      </c>
      <c r="E1095" t="inlineStr">
        <is>
          <t>VILHELMINA</t>
        </is>
      </c>
      <c r="F1095" t="inlineStr">
        <is>
          <t>SCA</t>
        </is>
      </c>
      <c r="G1095" t="n">
        <v>18.7</v>
      </c>
      <c r="H1095" t="n">
        <v>0</v>
      </c>
      <c r="I1095" t="n">
        <v>0</v>
      </c>
      <c r="J1095" t="n">
        <v>0</v>
      </c>
      <c r="K1095" t="n">
        <v>0</v>
      </c>
      <c r="L1095" t="n">
        <v>0</v>
      </c>
      <c r="M1095" t="n">
        <v>0</v>
      </c>
      <c r="N1095" t="n">
        <v>0</v>
      </c>
      <c r="O1095" t="n">
        <v>0</v>
      </c>
      <c r="P1095" t="n">
        <v>0</v>
      </c>
      <c r="Q1095" t="n">
        <v>0</v>
      </c>
      <c r="R1095" s="2" t="inlineStr"/>
    </row>
    <row r="1096" ht="15" customHeight="1">
      <c r="A1096" t="inlineStr">
        <is>
          <t>A 17996-2024</t>
        </is>
      </c>
      <c r="B1096" s="1" t="n">
        <v>45419</v>
      </c>
      <c r="C1096" s="1" t="n">
        <v>45578</v>
      </c>
      <c r="D1096" t="inlineStr">
        <is>
          <t>VÄSTERBOTTENS LÄN</t>
        </is>
      </c>
      <c r="E1096" t="inlineStr">
        <is>
          <t>VILHELMINA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19088-2024</t>
        </is>
      </c>
      <c r="B1097" s="1" t="n">
        <v>45428</v>
      </c>
      <c r="C1097" s="1" t="n">
        <v>45578</v>
      </c>
      <c r="D1097" t="inlineStr">
        <is>
          <t>VÄSTERBOTTENS LÄN</t>
        </is>
      </c>
      <c r="E1097" t="inlineStr">
        <is>
          <t>VILHELMINA</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19083-2024</t>
        </is>
      </c>
      <c r="B1098" s="1" t="n">
        <v>45428</v>
      </c>
      <c r="C1098" s="1" t="n">
        <v>45578</v>
      </c>
      <c r="D1098" t="inlineStr">
        <is>
          <t>VÄSTERBOTTENS LÄN</t>
        </is>
      </c>
      <c r="E1098" t="inlineStr">
        <is>
          <t>VILHELMINA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19349-2024</t>
        </is>
      </c>
      <c r="B1099" s="1" t="n">
        <v>45429</v>
      </c>
      <c r="C1099" s="1" t="n">
        <v>45578</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19585-2024</t>
        </is>
      </c>
      <c r="B1100" s="1" t="n">
        <v>45429</v>
      </c>
      <c r="C1100" s="1" t="n">
        <v>45578</v>
      </c>
      <c r="D1100" t="inlineStr">
        <is>
          <t>VÄSTERBOTTENS LÄN</t>
        </is>
      </c>
      <c r="E1100" t="inlineStr">
        <is>
          <t>VILHELMINA</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19873-2024</t>
        </is>
      </c>
      <c r="B1101" s="1" t="n">
        <v>45433</v>
      </c>
      <c r="C1101" s="1" t="n">
        <v>45578</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20259-2024</t>
        </is>
      </c>
      <c r="B1102" s="1" t="n">
        <v>45435</v>
      </c>
      <c r="C1102" s="1" t="n">
        <v>45578</v>
      </c>
      <c r="D1102" t="inlineStr">
        <is>
          <t>VÄSTERBOTTENS LÄN</t>
        </is>
      </c>
      <c r="E1102" t="inlineStr">
        <is>
          <t>VILHELMINA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20521-2024</t>
        </is>
      </c>
      <c r="B1103" s="1" t="n">
        <v>45436</v>
      </c>
      <c r="C1103" s="1" t="n">
        <v>45578</v>
      </c>
      <c r="D1103" t="inlineStr">
        <is>
          <t>VÄSTERBOTTENS LÄN</t>
        </is>
      </c>
      <c r="E1103" t="inlineStr">
        <is>
          <t>VILHELMINA</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20511-2024</t>
        </is>
      </c>
      <c r="B1104" s="1" t="n">
        <v>45435</v>
      </c>
      <c r="C1104" s="1" t="n">
        <v>45578</v>
      </c>
      <c r="D1104" t="inlineStr">
        <is>
          <t>VÄSTERBOTTENS LÄN</t>
        </is>
      </c>
      <c r="E1104" t="inlineStr">
        <is>
          <t>VILHELMINA</t>
        </is>
      </c>
      <c r="F1104" t="inlineStr">
        <is>
          <t>SCA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20523-2024</t>
        </is>
      </c>
      <c r="B1105" s="1" t="n">
        <v>45436</v>
      </c>
      <c r="C1105" s="1" t="n">
        <v>45578</v>
      </c>
      <c r="D1105" t="inlineStr">
        <is>
          <t>VÄSTERBOTTENS LÄN</t>
        </is>
      </c>
      <c r="E1105" t="inlineStr">
        <is>
          <t>VILHELMINA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20510-2024</t>
        </is>
      </c>
      <c r="B1106" s="1" t="n">
        <v>45436</v>
      </c>
      <c r="C1106" s="1" t="n">
        <v>45578</v>
      </c>
      <c r="D1106" t="inlineStr">
        <is>
          <t>VÄSTERBOTTENS LÄN</t>
        </is>
      </c>
      <c r="E1106" t="inlineStr">
        <is>
          <t>VILHELMINA</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20522-2024</t>
        </is>
      </c>
      <c r="B1107" s="1" t="n">
        <v>45435</v>
      </c>
      <c r="C1107" s="1" t="n">
        <v>45578</v>
      </c>
      <c r="D1107" t="inlineStr">
        <is>
          <t>VÄSTERBOTTENS LÄN</t>
        </is>
      </c>
      <c r="E1107" t="inlineStr">
        <is>
          <t>VILHELMINA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20524-2024</t>
        </is>
      </c>
      <c r="B1108" s="1" t="n">
        <v>45436</v>
      </c>
      <c r="C1108" s="1" t="n">
        <v>45578</v>
      </c>
      <c r="D1108" t="inlineStr">
        <is>
          <t>VÄSTERBOTTENS LÄN</t>
        </is>
      </c>
      <c r="E1108" t="inlineStr">
        <is>
          <t>VILHELMINA</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20769-2024</t>
        </is>
      </c>
      <c r="B1109" s="1" t="n">
        <v>45437</v>
      </c>
      <c r="C1109" s="1" t="n">
        <v>45578</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20796-2024</t>
        </is>
      </c>
      <c r="B1110" s="1" t="n">
        <v>45439</v>
      </c>
      <c r="C1110" s="1" t="n">
        <v>45578</v>
      </c>
      <c r="D1110" t="inlineStr">
        <is>
          <t>VÄSTERBOTTENS LÄN</t>
        </is>
      </c>
      <c r="E1110" t="inlineStr">
        <is>
          <t>VILHELMINA</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20797-2024</t>
        </is>
      </c>
      <c r="B1111" s="1" t="n">
        <v>45438</v>
      </c>
      <c r="C1111" s="1" t="n">
        <v>45578</v>
      </c>
      <c r="D1111" t="inlineStr">
        <is>
          <t>VÄSTERBOTTENS LÄN</t>
        </is>
      </c>
      <c r="E1111" t="inlineStr">
        <is>
          <t>VILHELMINA</t>
        </is>
      </c>
      <c r="F1111" t="inlineStr">
        <is>
          <t>SCA</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21370-2024</t>
        </is>
      </c>
      <c r="B1112" s="1" t="n">
        <v>45441</v>
      </c>
      <c r="C1112" s="1" t="n">
        <v>45578</v>
      </c>
      <c r="D1112" t="inlineStr">
        <is>
          <t>VÄSTERBOTTENS LÄN</t>
        </is>
      </c>
      <c r="E1112" t="inlineStr">
        <is>
          <t>VILHELMINA</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21348-2024</t>
        </is>
      </c>
      <c r="B1113" s="1" t="n">
        <v>45440</v>
      </c>
      <c r="C1113" s="1" t="n">
        <v>45578</v>
      </c>
      <c r="D1113" t="inlineStr">
        <is>
          <t>VÄSTERBOTTENS LÄN</t>
        </is>
      </c>
      <c r="E1113" t="inlineStr">
        <is>
          <t>VILHELMINA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21368-2024</t>
        </is>
      </c>
      <c r="B1114" s="1" t="n">
        <v>45441</v>
      </c>
      <c r="C1114" s="1" t="n">
        <v>45578</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21345-2024</t>
        </is>
      </c>
      <c r="B1115" s="1" t="n">
        <v>45441</v>
      </c>
      <c r="C1115" s="1" t="n">
        <v>45578</v>
      </c>
      <c r="D1115" t="inlineStr">
        <is>
          <t>VÄSTERBOTTENS LÄN</t>
        </is>
      </c>
      <c r="E1115" t="inlineStr">
        <is>
          <t>VILHELMINA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21349-2024</t>
        </is>
      </c>
      <c r="B1116" s="1" t="n">
        <v>45440</v>
      </c>
      <c r="C1116" s="1" t="n">
        <v>45578</v>
      </c>
      <c r="D1116" t="inlineStr">
        <is>
          <t>VÄSTERBOTTENS LÄN</t>
        </is>
      </c>
      <c r="E1116" t="inlineStr">
        <is>
          <t>VILHELMINA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21369-2024</t>
        </is>
      </c>
      <c r="B1117" s="1" t="n">
        <v>45441</v>
      </c>
      <c r="C1117" s="1" t="n">
        <v>45578</v>
      </c>
      <c r="D1117" t="inlineStr">
        <is>
          <t>VÄSTERBOTTENS LÄN</t>
        </is>
      </c>
      <c r="E1117" t="inlineStr">
        <is>
          <t>VILHELMINA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21367-2024</t>
        </is>
      </c>
      <c r="B1118" s="1" t="n">
        <v>45441</v>
      </c>
      <c r="C1118" s="1" t="n">
        <v>45578</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21371-2024</t>
        </is>
      </c>
      <c r="B1119" s="1" t="n">
        <v>45441</v>
      </c>
      <c r="C1119" s="1" t="n">
        <v>45578</v>
      </c>
      <c r="D1119" t="inlineStr">
        <is>
          <t>VÄSTERBOTTENS LÄN</t>
        </is>
      </c>
      <c r="E1119" t="inlineStr">
        <is>
          <t>VILHELMINA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21841-2024</t>
        </is>
      </c>
      <c r="B1120" s="1" t="n">
        <v>45443</v>
      </c>
      <c r="C1120" s="1" t="n">
        <v>45578</v>
      </c>
      <c r="D1120" t="inlineStr">
        <is>
          <t>VÄSTERBOTTENS LÄN</t>
        </is>
      </c>
      <c r="E1120" t="inlineStr">
        <is>
          <t>VILHELMINA</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21844-2024</t>
        </is>
      </c>
      <c r="B1121" s="1" t="n">
        <v>45442</v>
      </c>
      <c r="C1121" s="1" t="n">
        <v>45578</v>
      </c>
      <c r="D1121" t="inlineStr">
        <is>
          <t>VÄSTERBOTTENS LÄN</t>
        </is>
      </c>
      <c r="E1121" t="inlineStr">
        <is>
          <t>VILHELMINA</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21842-2024</t>
        </is>
      </c>
      <c r="B1122" s="1" t="n">
        <v>45443</v>
      </c>
      <c r="C1122" s="1" t="n">
        <v>45578</v>
      </c>
      <c r="D1122" t="inlineStr">
        <is>
          <t>VÄSTERBOTTENS LÄN</t>
        </is>
      </c>
      <c r="E1122" t="inlineStr">
        <is>
          <t>VILHELMINA</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21843-2024</t>
        </is>
      </c>
      <c r="B1123" s="1" t="n">
        <v>45443</v>
      </c>
      <c r="C1123" s="1" t="n">
        <v>45578</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22104-2024</t>
        </is>
      </c>
      <c r="B1124" s="1" t="n">
        <v>45443</v>
      </c>
      <c r="C1124" s="1" t="n">
        <v>45578</v>
      </c>
      <c r="D1124" t="inlineStr">
        <is>
          <t>VÄSTERBOTTENS LÄN</t>
        </is>
      </c>
      <c r="E1124" t="inlineStr">
        <is>
          <t>VILHELMINA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22108-2024</t>
        </is>
      </c>
      <c r="B1125" s="1" t="n">
        <v>45443</v>
      </c>
      <c r="C1125" s="1" t="n">
        <v>45578</v>
      </c>
      <c r="D1125" t="inlineStr">
        <is>
          <t>VÄSTERBOTTENS LÄN</t>
        </is>
      </c>
      <c r="E1125" t="inlineStr">
        <is>
          <t>VILHELMINA</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22105-2024</t>
        </is>
      </c>
      <c r="B1126" s="1" t="n">
        <v>45443</v>
      </c>
      <c r="C1126" s="1" t="n">
        <v>45578</v>
      </c>
      <c r="D1126" t="inlineStr">
        <is>
          <t>VÄSTERBOTTENS LÄN</t>
        </is>
      </c>
      <c r="E1126" t="inlineStr">
        <is>
          <t>VILHELMINA</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22109-2024</t>
        </is>
      </c>
      <c r="B1127" s="1" t="n">
        <v>45443</v>
      </c>
      <c r="C1127" s="1" t="n">
        <v>45578</v>
      </c>
      <c r="D1127" t="inlineStr">
        <is>
          <t>VÄSTERBOTTENS LÄN</t>
        </is>
      </c>
      <c r="E1127" t="inlineStr">
        <is>
          <t>VILHELMINA</t>
        </is>
      </c>
      <c r="F1127" t="inlineStr">
        <is>
          <t>SCA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22107-2024</t>
        </is>
      </c>
      <c r="B1128" s="1" t="n">
        <v>45443</v>
      </c>
      <c r="C1128" s="1" t="n">
        <v>45578</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22106-2024</t>
        </is>
      </c>
      <c r="B1129" s="1" t="n">
        <v>45444</v>
      </c>
      <c r="C1129" s="1" t="n">
        <v>45578</v>
      </c>
      <c r="D1129" t="inlineStr">
        <is>
          <t>VÄSTERBOTTENS LÄN</t>
        </is>
      </c>
      <c r="E1129" t="inlineStr">
        <is>
          <t>VILHELMINA</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22751-2024</t>
        </is>
      </c>
      <c r="B1130" s="1" t="n">
        <v>45448</v>
      </c>
      <c r="C1130" s="1" t="n">
        <v>45578</v>
      </c>
      <c r="D1130" t="inlineStr">
        <is>
          <t>VÄSTERBOTTENS LÄN</t>
        </is>
      </c>
      <c r="E1130" t="inlineStr">
        <is>
          <t>VILHELMINA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23176-2024</t>
        </is>
      </c>
      <c r="B1131" s="1" t="n">
        <v>45451</v>
      </c>
      <c r="C1131" s="1" t="n">
        <v>45578</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23180-2024</t>
        </is>
      </c>
      <c r="B1132" s="1" t="n">
        <v>45451</v>
      </c>
      <c r="C1132" s="1" t="n">
        <v>45578</v>
      </c>
      <c r="D1132" t="inlineStr">
        <is>
          <t>VÄSTERBOTTENS LÄN</t>
        </is>
      </c>
      <c r="E1132" t="inlineStr">
        <is>
          <t>VILHELMINA</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23550-2024</t>
        </is>
      </c>
      <c r="B1133" s="1" t="n">
        <v>45454</v>
      </c>
      <c r="C1133" s="1" t="n">
        <v>45578</v>
      </c>
      <c r="D1133" t="inlineStr">
        <is>
          <t>VÄSTERBOTTENS LÄN</t>
        </is>
      </c>
      <c r="E1133" t="inlineStr">
        <is>
          <t>VILHELMINA</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23538-2024</t>
        </is>
      </c>
      <c r="B1134" s="1" t="n">
        <v>45453</v>
      </c>
      <c r="C1134" s="1" t="n">
        <v>45578</v>
      </c>
      <c r="D1134" t="inlineStr">
        <is>
          <t>VÄSTERBOTTENS LÄN</t>
        </is>
      </c>
      <c r="E1134" t="inlineStr">
        <is>
          <t>VILHELMINA</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23548-2024</t>
        </is>
      </c>
      <c r="B1135" s="1" t="n">
        <v>45454</v>
      </c>
      <c r="C1135" s="1" t="n">
        <v>45578</v>
      </c>
      <c r="D1135" t="inlineStr">
        <is>
          <t>VÄSTERBOTTENS LÄN</t>
        </is>
      </c>
      <c r="E1135" t="inlineStr">
        <is>
          <t>VILHELMINA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23544-2024</t>
        </is>
      </c>
      <c r="B1136" s="1" t="n">
        <v>45454</v>
      </c>
      <c r="C1136" s="1" t="n">
        <v>45578</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23536-2024</t>
        </is>
      </c>
      <c r="B1137" s="1" t="n">
        <v>45454</v>
      </c>
      <c r="C1137" s="1" t="n">
        <v>45578</v>
      </c>
      <c r="D1137" t="inlineStr">
        <is>
          <t>VÄSTERBOTTENS LÄN</t>
        </is>
      </c>
      <c r="E1137" t="inlineStr">
        <is>
          <t>VILHELMINA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23543-2024</t>
        </is>
      </c>
      <c r="B1138" s="1" t="n">
        <v>45453</v>
      </c>
      <c r="C1138" s="1" t="n">
        <v>45578</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23545-2024</t>
        </is>
      </c>
      <c r="B1139" s="1" t="n">
        <v>45454</v>
      </c>
      <c r="C1139" s="1" t="n">
        <v>45578</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23549-2024</t>
        </is>
      </c>
      <c r="B1140" s="1" t="n">
        <v>45454</v>
      </c>
      <c r="C1140" s="1" t="n">
        <v>45578</v>
      </c>
      <c r="D1140" t="inlineStr">
        <is>
          <t>VÄSTERBOTTENS LÄN</t>
        </is>
      </c>
      <c r="E1140" t="inlineStr">
        <is>
          <t>VILHELMINA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23657-2024</t>
        </is>
      </c>
      <c r="B1141" s="1" t="n">
        <v>45454</v>
      </c>
      <c r="C1141" s="1" t="n">
        <v>45578</v>
      </c>
      <c r="D1141" t="inlineStr">
        <is>
          <t>VÄSTERBOTTENS LÄN</t>
        </is>
      </c>
      <c r="E1141" t="inlineStr">
        <is>
          <t>VILHELMINA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24428-2024</t>
        </is>
      </c>
      <c r="B1142" s="1" t="n">
        <v>45458</v>
      </c>
      <c r="C1142" s="1" t="n">
        <v>45578</v>
      </c>
      <c r="D1142" t="inlineStr">
        <is>
          <t>VÄSTERBOTTENS LÄN</t>
        </is>
      </c>
      <c r="E1142" t="inlineStr">
        <is>
          <t>VILHELMINA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24454-2024</t>
        </is>
      </c>
      <c r="B1143" s="1" t="n">
        <v>45458</v>
      </c>
      <c r="C1143" s="1" t="n">
        <v>45578</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24427-2024</t>
        </is>
      </c>
      <c r="B1144" s="1" t="n">
        <v>45457</v>
      </c>
      <c r="C1144" s="1" t="n">
        <v>45578</v>
      </c>
      <c r="D1144" t="inlineStr">
        <is>
          <t>VÄSTERBOTTENS LÄN</t>
        </is>
      </c>
      <c r="E1144" t="inlineStr">
        <is>
          <t>VILHELMINA</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24457-2024</t>
        </is>
      </c>
      <c r="B1145" s="1" t="n">
        <v>45458</v>
      </c>
      <c r="C1145" s="1" t="n">
        <v>45578</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24426-2024</t>
        </is>
      </c>
      <c r="B1146" s="1" t="n">
        <v>45457</v>
      </c>
      <c r="C1146" s="1" t="n">
        <v>45578</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24455-2024</t>
        </is>
      </c>
      <c r="B1147" s="1" t="n">
        <v>45458</v>
      </c>
      <c r="C1147" s="1" t="n">
        <v>45578</v>
      </c>
      <c r="D1147" t="inlineStr">
        <is>
          <t>VÄSTERBOTTENS LÄN</t>
        </is>
      </c>
      <c r="E1147" t="inlineStr">
        <is>
          <t>VILHELMINA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25036-2024</t>
        </is>
      </c>
      <c r="B1148" s="1" t="n">
        <v>45461</v>
      </c>
      <c r="C1148" s="1" t="n">
        <v>45578</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25037-2024</t>
        </is>
      </c>
      <c r="B1149" s="1" t="n">
        <v>45461</v>
      </c>
      <c r="C1149" s="1" t="n">
        <v>45578</v>
      </c>
      <c r="D1149" t="inlineStr">
        <is>
          <t>VÄSTERBOTTENS LÄN</t>
        </is>
      </c>
      <c r="E1149" t="inlineStr">
        <is>
          <t>VILHELMINA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25374-2024</t>
        </is>
      </c>
      <c r="B1150" s="1" t="n">
        <v>45463</v>
      </c>
      <c r="C1150" s="1" t="n">
        <v>45578</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25078-2024</t>
        </is>
      </c>
      <c r="B1151" s="1" t="n">
        <v>45462</v>
      </c>
      <c r="C1151" s="1" t="n">
        <v>45578</v>
      </c>
      <c r="D1151" t="inlineStr">
        <is>
          <t>VÄSTERBOTTENS LÄN</t>
        </is>
      </c>
      <c r="E1151" t="inlineStr">
        <is>
          <t>VILHELMINA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25551-2024</t>
        </is>
      </c>
      <c r="B1152" s="1" t="n">
        <v>45463</v>
      </c>
      <c r="C1152" s="1" t="n">
        <v>45578</v>
      </c>
      <c r="D1152" t="inlineStr">
        <is>
          <t>VÄSTERBOTTENS LÄN</t>
        </is>
      </c>
      <c r="E1152" t="inlineStr">
        <is>
          <t>VILHELMINA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25701-2024</t>
        </is>
      </c>
      <c r="B1153" s="1" t="n">
        <v>45464</v>
      </c>
      <c r="C1153" s="1" t="n">
        <v>45578</v>
      </c>
      <c r="D1153" t="inlineStr">
        <is>
          <t>VÄSTERBOTTENS LÄN</t>
        </is>
      </c>
      <c r="E1153" t="inlineStr">
        <is>
          <t>VILHELMINA</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25819-2024</t>
        </is>
      </c>
      <c r="B1154" s="1" t="n">
        <v>45467</v>
      </c>
      <c r="C1154" s="1" t="n">
        <v>45578</v>
      </c>
      <c r="D1154" t="inlineStr">
        <is>
          <t>VÄSTERBOTTENS LÄN</t>
        </is>
      </c>
      <c r="E1154" t="inlineStr">
        <is>
          <t>VILHELMINA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25810-2024</t>
        </is>
      </c>
      <c r="B1155" s="1" t="n">
        <v>45467</v>
      </c>
      <c r="C1155" s="1" t="n">
        <v>45578</v>
      </c>
      <c r="D1155" t="inlineStr">
        <is>
          <t>VÄSTERBOTTENS LÄN</t>
        </is>
      </c>
      <c r="E1155" t="inlineStr">
        <is>
          <t>VILHELMINA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25814-2024</t>
        </is>
      </c>
      <c r="B1156" s="1" t="n">
        <v>45467</v>
      </c>
      <c r="C1156" s="1" t="n">
        <v>45578</v>
      </c>
      <c r="D1156" t="inlineStr">
        <is>
          <t>VÄSTERBOTTENS LÄN</t>
        </is>
      </c>
      <c r="E1156" t="inlineStr">
        <is>
          <t>VILHELMINA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26287-2024</t>
        </is>
      </c>
      <c r="B1157" s="1" t="n">
        <v>45468</v>
      </c>
      <c r="C1157" s="1" t="n">
        <v>45578</v>
      </c>
      <c r="D1157" t="inlineStr">
        <is>
          <t>VÄSTERBOTTENS LÄN</t>
        </is>
      </c>
      <c r="E1157" t="inlineStr">
        <is>
          <t>VILHELMINA</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26137-2024</t>
        </is>
      </c>
      <c r="B1158" s="1" t="n">
        <v>45468</v>
      </c>
      <c r="C1158" s="1" t="n">
        <v>45578</v>
      </c>
      <c r="D1158" t="inlineStr">
        <is>
          <t>VÄSTERBOTTENS LÄN</t>
        </is>
      </c>
      <c r="E1158" t="inlineStr">
        <is>
          <t>VILHELMINA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26381-2024</t>
        </is>
      </c>
      <c r="B1159" s="1" t="n">
        <v>45469</v>
      </c>
      <c r="C1159" s="1" t="n">
        <v>45578</v>
      </c>
      <c r="D1159" t="inlineStr">
        <is>
          <t>VÄSTERBOTTENS LÄN</t>
        </is>
      </c>
      <c r="E1159" t="inlineStr">
        <is>
          <t>VILHELMINA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26499-2024</t>
        </is>
      </c>
      <c r="B1160" s="1" t="n">
        <v>45469</v>
      </c>
      <c r="C1160" s="1" t="n">
        <v>45578</v>
      </c>
      <c r="D1160" t="inlineStr">
        <is>
          <t>VÄSTERBOTTENS LÄN</t>
        </is>
      </c>
      <c r="E1160" t="inlineStr">
        <is>
          <t>VILHELMINA</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26660-2024</t>
        </is>
      </c>
      <c r="B1161" s="1" t="n">
        <v>45470</v>
      </c>
      <c r="C1161" s="1" t="n">
        <v>45578</v>
      </c>
      <c r="D1161" t="inlineStr">
        <is>
          <t>VÄSTERBOTTENS LÄN</t>
        </is>
      </c>
      <c r="E1161" t="inlineStr">
        <is>
          <t>VILHELMINA</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26947-2024</t>
        </is>
      </c>
      <c r="B1162" s="1" t="n">
        <v>45471</v>
      </c>
      <c r="C1162" s="1" t="n">
        <v>45578</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26748-2024</t>
        </is>
      </c>
      <c r="B1163" s="1" t="n">
        <v>45470</v>
      </c>
      <c r="C1163" s="1" t="n">
        <v>45578</v>
      </c>
      <c r="D1163" t="inlineStr">
        <is>
          <t>VÄSTERBOTTENS LÄN</t>
        </is>
      </c>
      <c r="E1163" t="inlineStr">
        <is>
          <t>VILHELMINA</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27194-2024</t>
        </is>
      </c>
      <c r="B1164" s="1" t="n">
        <v>45471</v>
      </c>
      <c r="C1164" s="1" t="n">
        <v>45578</v>
      </c>
      <c r="D1164" t="inlineStr">
        <is>
          <t>VÄSTERBOTTENS LÄN</t>
        </is>
      </c>
      <c r="E1164" t="inlineStr">
        <is>
          <t>VILHELMINA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27271-2024</t>
        </is>
      </c>
      <c r="B1165" s="1" t="n">
        <v>45471</v>
      </c>
      <c r="C1165" s="1" t="n">
        <v>45578</v>
      </c>
      <c r="D1165" t="inlineStr">
        <is>
          <t>VÄSTERBOTTENS LÄN</t>
        </is>
      </c>
      <c r="E1165" t="inlineStr">
        <is>
          <t>VILHELMINA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27917-2024</t>
        </is>
      </c>
      <c r="B1166" s="1" t="n">
        <v>45476</v>
      </c>
      <c r="C1166" s="1" t="n">
        <v>45578</v>
      </c>
      <c r="D1166" t="inlineStr">
        <is>
          <t>VÄSTERBOTTENS LÄN</t>
        </is>
      </c>
      <c r="E1166" t="inlineStr">
        <is>
          <t>VILHELMINA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28695-2024</t>
        </is>
      </c>
      <c r="B1167" s="1" t="n">
        <v>45478</v>
      </c>
      <c r="C1167" s="1" t="n">
        <v>45578</v>
      </c>
      <c r="D1167" t="inlineStr">
        <is>
          <t>VÄSTERBOTTENS LÄN</t>
        </is>
      </c>
      <c r="E1167" t="inlineStr">
        <is>
          <t>VILHELMINA</t>
        </is>
      </c>
      <c r="F1167" t="inlineStr">
        <is>
          <t>Allmännings- och besparingsskogar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28869-2024</t>
        </is>
      </c>
      <c r="B1168" s="1" t="n">
        <v>45479</v>
      </c>
      <c r="C1168" s="1" t="n">
        <v>45578</v>
      </c>
      <c r="D1168" t="inlineStr">
        <is>
          <t>VÄSTERBOTTENS LÄN</t>
        </is>
      </c>
      <c r="E1168" t="inlineStr">
        <is>
          <t>VILHELMINA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28729-2024</t>
        </is>
      </c>
      <c r="B1169" s="1" t="n">
        <v>45478</v>
      </c>
      <c r="C1169" s="1" t="n">
        <v>45578</v>
      </c>
      <c r="D1169" t="inlineStr">
        <is>
          <t>VÄSTERBOTTENS LÄN</t>
        </is>
      </c>
      <c r="E1169" t="inlineStr">
        <is>
          <t>VILHELMINA</t>
        </is>
      </c>
      <c r="F1169" t="inlineStr">
        <is>
          <t>Allmännings- och besparingsskogar</t>
        </is>
      </c>
      <c r="G1169" t="n">
        <v>16.9</v>
      </c>
      <c r="H1169" t="n">
        <v>0</v>
      </c>
      <c r="I1169" t="n">
        <v>0</v>
      </c>
      <c r="J1169" t="n">
        <v>0</v>
      </c>
      <c r="K1169" t="n">
        <v>0</v>
      </c>
      <c r="L1169" t="n">
        <v>0</v>
      </c>
      <c r="M1169" t="n">
        <v>0</v>
      </c>
      <c r="N1169" t="n">
        <v>0</v>
      </c>
      <c r="O1169" t="n">
        <v>0</v>
      </c>
      <c r="P1169" t="n">
        <v>0</v>
      </c>
      <c r="Q1169" t="n">
        <v>0</v>
      </c>
      <c r="R1169" s="2" t="inlineStr"/>
    </row>
    <row r="1170" ht="15" customHeight="1">
      <c r="A1170" t="inlineStr">
        <is>
          <t>A 28870-2024</t>
        </is>
      </c>
      <c r="B1170" s="1" t="n">
        <v>45479</v>
      </c>
      <c r="C1170" s="1" t="n">
        <v>45578</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28656-2024</t>
        </is>
      </c>
      <c r="B1171" s="1" t="n">
        <v>45478</v>
      </c>
      <c r="C1171" s="1" t="n">
        <v>45578</v>
      </c>
      <c r="D1171" t="inlineStr">
        <is>
          <t>VÄSTERBOTTENS LÄN</t>
        </is>
      </c>
      <c r="E1171" t="inlineStr">
        <is>
          <t>VILHELMINA</t>
        </is>
      </c>
      <c r="F1171" t="inlineStr">
        <is>
          <t>Allmännings- och besparingsskogar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28726-2024</t>
        </is>
      </c>
      <c r="B1172" s="1" t="n">
        <v>45478</v>
      </c>
      <c r="C1172" s="1" t="n">
        <v>45578</v>
      </c>
      <c r="D1172" t="inlineStr">
        <is>
          <t>VÄSTERBOTTENS LÄN</t>
        </is>
      </c>
      <c r="E1172" t="inlineStr">
        <is>
          <t>VILHELMINA</t>
        </is>
      </c>
      <c r="F1172" t="inlineStr">
        <is>
          <t>Allmännings- och besparingsskogar</t>
        </is>
      </c>
      <c r="G1172" t="n">
        <v>15.7</v>
      </c>
      <c r="H1172" t="n">
        <v>0</v>
      </c>
      <c r="I1172" t="n">
        <v>0</v>
      </c>
      <c r="J1172" t="n">
        <v>0</v>
      </c>
      <c r="K1172" t="n">
        <v>0</v>
      </c>
      <c r="L1172" t="n">
        <v>0</v>
      </c>
      <c r="M1172" t="n">
        <v>0</v>
      </c>
      <c r="N1172" t="n">
        <v>0</v>
      </c>
      <c r="O1172" t="n">
        <v>0</v>
      </c>
      <c r="P1172" t="n">
        <v>0</v>
      </c>
      <c r="Q1172" t="n">
        <v>0</v>
      </c>
      <c r="R1172" s="2" t="inlineStr"/>
    </row>
    <row r="1173" ht="15" customHeight="1">
      <c r="A1173" t="inlineStr">
        <is>
          <t>A 28863-2024</t>
        </is>
      </c>
      <c r="B1173" s="1" t="n">
        <v>45479</v>
      </c>
      <c r="C1173" s="1" t="n">
        <v>45578</v>
      </c>
      <c r="D1173" t="inlineStr">
        <is>
          <t>VÄSTERBOTTENS LÄN</t>
        </is>
      </c>
      <c r="E1173" t="inlineStr">
        <is>
          <t>VILHELMINA</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28867-2024</t>
        </is>
      </c>
      <c r="B1174" s="1" t="n">
        <v>45479</v>
      </c>
      <c r="C1174" s="1" t="n">
        <v>45578</v>
      </c>
      <c r="D1174" t="inlineStr">
        <is>
          <t>VÄSTERBOTTENS LÄN</t>
        </is>
      </c>
      <c r="E1174" t="inlineStr">
        <is>
          <t>VILHELMINA</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28871-2024</t>
        </is>
      </c>
      <c r="B1175" s="1" t="n">
        <v>45479</v>
      </c>
      <c r="C1175" s="1" t="n">
        <v>45578</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28868-2024</t>
        </is>
      </c>
      <c r="B1176" s="1" t="n">
        <v>45479</v>
      </c>
      <c r="C1176" s="1" t="n">
        <v>45578</v>
      </c>
      <c r="D1176" t="inlineStr">
        <is>
          <t>VÄSTERBOTTENS LÄN</t>
        </is>
      </c>
      <c r="E1176" t="inlineStr">
        <is>
          <t>VILHELMINA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29104-2024</t>
        </is>
      </c>
      <c r="B1177" s="1" t="n">
        <v>45482</v>
      </c>
      <c r="C1177" s="1" t="n">
        <v>45578</v>
      </c>
      <c r="D1177" t="inlineStr">
        <is>
          <t>VÄSTERBOTTENS LÄN</t>
        </is>
      </c>
      <c r="E1177" t="inlineStr">
        <is>
          <t>VILHELMINA</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28949-2024</t>
        </is>
      </c>
      <c r="B1178" s="1" t="n">
        <v>45481</v>
      </c>
      <c r="C1178" s="1" t="n">
        <v>45578</v>
      </c>
      <c r="D1178" t="inlineStr">
        <is>
          <t>VÄSTERBOTTENS LÄN</t>
        </is>
      </c>
      <c r="E1178" t="inlineStr">
        <is>
          <t>VILHELMINA</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29105-2024</t>
        </is>
      </c>
      <c r="B1179" s="1" t="n">
        <v>45482</v>
      </c>
      <c r="C1179" s="1" t="n">
        <v>45578</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29472-2024</t>
        </is>
      </c>
      <c r="B1180" s="1" t="n">
        <v>45484</v>
      </c>
      <c r="C1180" s="1" t="n">
        <v>45578</v>
      </c>
      <c r="D1180" t="inlineStr">
        <is>
          <t>VÄSTERBOTTENS LÄN</t>
        </is>
      </c>
      <c r="E1180" t="inlineStr">
        <is>
          <t>VILHELMINA</t>
        </is>
      </c>
      <c r="F1180" t="inlineStr">
        <is>
          <t>SCA</t>
        </is>
      </c>
      <c r="G1180" t="n">
        <v>23.6</v>
      </c>
      <c r="H1180" t="n">
        <v>0</v>
      </c>
      <c r="I1180" t="n">
        <v>0</v>
      </c>
      <c r="J1180" t="n">
        <v>0</v>
      </c>
      <c r="K1180" t="n">
        <v>0</v>
      </c>
      <c r="L1180" t="n">
        <v>0</v>
      </c>
      <c r="M1180" t="n">
        <v>0</v>
      </c>
      <c r="N1180" t="n">
        <v>0</v>
      </c>
      <c r="O1180" t="n">
        <v>0</v>
      </c>
      <c r="P1180" t="n">
        <v>0</v>
      </c>
      <c r="Q1180" t="n">
        <v>0</v>
      </c>
      <c r="R1180" s="2" t="inlineStr"/>
    </row>
    <row r="1181" ht="15" customHeight="1">
      <c r="A1181" t="inlineStr">
        <is>
          <t>A 29463-2024</t>
        </is>
      </c>
      <c r="B1181" s="1" t="n">
        <v>45484</v>
      </c>
      <c r="C1181" s="1" t="n">
        <v>45578</v>
      </c>
      <c r="D1181" t="inlineStr">
        <is>
          <t>VÄSTERBOTTENS LÄN</t>
        </is>
      </c>
      <c r="E1181" t="inlineStr">
        <is>
          <t>VILHELMINA</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29503-2024</t>
        </is>
      </c>
      <c r="B1182" s="1" t="n">
        <v>45484</v>
      </c>
      <c r="C1182" s="1" t="n">
        <v>45578</v>
      </c>
      <c r="D1182" t="inlineStr">
        <is>
          <t>VÄSTERBOTTENS LÄN</t>
        </is>
      </c>
      <c r="E1182" t="inlineStr">
        <is>
          <t>VILHELMINA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29722-2024</t>
        </is>
      </c>
      <c r="B1183" s="1" t="n">
        <v>45485</v>
      </c>
      <c r="C1183" s="1" t="n">
        <v>45578</v>
      </c>
      <c r="D1183" t="inlineStr">
        <is>
          <t>VÄSTERBOTTENS LÄN</t>
        </is>
      </c>
      <c r="E1183" t="inlineStr">
        <is>
          <t>VILHELMINA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29732-2024</t>
        </is>
      </c>
      <c r="B1184" s="1" t="n">
        <v>45485</v>
      </c>
      <c r="C1184" s="1" t="n">
        <v>45578</v>
      </c>
      <c r="D1184" t="inlineStr">
        <is>
          <t>VÄSTERBOTTENS LÄN</t>
        </is>
      </c>
      <c r="E1184" t="inlineStr">
        <is>
          <t>VILHELMINA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29922-2024</t>
        </is>
      </c>
      <c r="B1185" s="1" t="n">
        <v>45488</v>
      </c>
      <c r="C1185" s="1" t="n">
        <v>45578</v>
      </c>
      <c r="D1185" t="inlineStr">
        <is>
          <t>VÄSTERBOTTENS LÄN</t>
        </is>
      </c>
      <c r="E1185" t="inlineStr">
        <is>
          <t>VILHELMINA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30331-2024</t>
        </is>
      </c>
      <c r="B1186" s="1" t="n">
        <v>45491</v>
      </c>
      <c r="C1186" s="1" t="n">
        <v>45578</v>
      </c>
      <c r="D1186" t="inlineStr">
        <is>
          <t>VÄSTERBOTTENS LÄN</t>
        </is>
      </c>
      <c r="E1186" t="inlineStr">
        <is>
          <t>VILHELMINA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30340-2024</t>
        </is>
      </c>
      <c r="B1187" s="1" t="n">
        <v>45491</v>
      </c>
      <c r="C1187" s="1" t="n">
        <v>45578</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30341-2024</t>
        </is>
      </c>
      <c r="B1188" s="1" t="n">
        <v>45491</v>
      </c>
      <c r="C1188" s="1" t="n">
        <v>45578</v>
      </c>
      <c r="D1188" t="inlineStr">
        <is>
          <t>VÄSTERBOTTENS LÄN</t>
        </is>
      </c>
      <c r="E1188" t="inlineStr">
        <is>
          <t>VILHELMINA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30583-2024</t>
        </is>
      </c>
      <c r="B1189" s="1" t="n">
        <v>45493</v>
      </c>
      <c r="C1189" s="1" t="n">
        <v>45578</v>
      </c>
      <c r="D1189" t="inlineStr">
        <is>
          <t>VÄSTERBOTTENS LÄN</t>
        </is>
      </c>
      <c r="E1189" t="inlineStr">
        <is>
          <t>VILHELMINA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30577-2024</t>
        </is>
      </c>
      <c r="B1190" s="1" t="n">
        <v>45493</v>
      </c>
      <c r="C1190" s="1" t="n">
        <v>45578</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30574-2024</t>
        </is>
      </c>
      <c r="B1191" s="1" t="n">
        <v>45493</v>
      </c>
      <c r="C1191" s="1" t="n">
        <v>45578</v>
      </c>
      <c r="D1191" t="inlineStr">
        <is>
          <t>VÄSTERBOTTENS LÄN</t>
        </is>
      </c>
      <c r="E1191" t="inlineStr">
        <is>
          <t>VILHELMINA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30578-2024</t>
        </is>
      </c>
      <c r="B1192" s="1" t="n">
        <v>45493</v>
      </c>
      <c r="C1192" s="1" t="n">
        <v>45578</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30582-2024</t>
        </is>
      </c>
      <c r="B1193" s="1" t="n">
        <v>45492</v>
      </c>
      <c r="C1193" s="1" t="n">
        <v>45578</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30575-2024</t>
        </is>
      </c>
      <c r="B1194" s="1" t="n">
        <v>45493</v>
      </c>
      <c r="C1194" s="1" t="n">
        <v>45578</v>
      </c>
      <c r="D1194" t="inlineStr">
        <is>
          <t>VÄSTERBOTTENS LÄN</t>
        </is>
      </c>
      <c r="E1194" t="inlineStr">
        <is>
          <t>VILHELMINA</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30572-2024</t>
        </is>
      </c>
      <c r="B1195" s="1" t="n">
        <v>45493</v>
      </c>
      <c r="C1195" s="1" t="n">
        <v>45578</v>
      </c>
      <c r="D1195" t="inlineStr">
        <is>
          <t>VÄSTERBOTTENS LÄN</t>
        </is>
      </c>
      <c r="E1195" t="inlineStr">
        <is>
          <t>VILHELMINA</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30576-2024</t>
        </is>
      </c>
      <c r="B1196" s="1" t="n">
        <v>45493</v>
      </c>
      <c r="C1196" s="1" t="n">
        <v>45578</v>
      </c>
      <c r="D1196" t="inlineStr">
        <is>
          <t>VÄSTERBOTTENS LÄN</t>
        </is>
      </c>
      <c r="E1196" t="inlineStr">
        <is>
          <t>VILHELMINA</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30580-2024</t>
        </is>
      </c>
      <c r="B1197" s="1" t="n">
        <v>45493</v>
      </c>
      <c r="C1197" s="1" t="n">
        <v>45578</v>
      </c>
      <c r="D1197" t="inlineStr">
        <is>
          <t>VÄSTERBOTTENS LÄN</t>
        </is>
      </c>
      <c r="E1197" t="inlineStr">
        <is>
          <t>VILHELMINA</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30681-2024</t>
        </is>
      </c>
      <c r="B1198" s="1" t="n">
        <v>45496</v>
      </c>
      <c r="C1198" s="1" t="n">
        <v>45578</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30817-2024</t>
        </is>
      </c>
      <c r="B1199" s="1" t="n">
        <v>45497</v>
      </c>
      <c r="C1199" s="1" t="n">
        <v>45578</v>
      </c>
      <c r="D1199" t="inlineStr">
        <is>
          <t>VÄSTERBOTTENS LÄN</t>
        </is>
      </c>
      <c r="E1199" t="inlineStr">
        <is>
          <t>VILHELMINA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31095-2024</t>
        </is>
      </c>
      <c r="B1200" s="1" t="n">
        <v>45502</v>
      </c>
      <c r="C1200" s="1" t="n">
        <v>45578</v>
      </c>
      <c r="D1200" t="inlineStr">
        <is>
          <t>VÄSTERBOTTENS LÄN</t>
        </is>
      </c>
      <c r="E1200" t="inlineStr">
        <is>
          <t>VILHELMINA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31458-2024</t>
        </is>
      </c>
      <c r="B1201" s="1" t="n">
        <v>45506</v>
      </c>
      <c r="C1201" s="1" t="n">
        <v>45578</v>
      </c>
      <c r="D1201" t="inlineStr">
        <is>
          <t>VÄSTERBOTTENS LÄN</t>
        </is>
      </c>
      <c r="E1201" t="inlineStr">
        <is>
          <t>VILHELMINA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31449-2024</t>
        </is>
      </c>
      <c r="B1202" s="1" t="n">
        <v>45506</v>
      </c>
      <c r="C1202" s="1" t="n">
        <v>45578</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31461-2024</t>
        </is>
      </c>
      <c r="B1203" s="1" t="n">
        <v>45506</v>
      </c>
      <c r="C1203" s="1" t="n">
        <v>45578</v>
      </c>
      <c r="D1203" t="inlineStr">
        <is>
          <t>VÄSTERBOTTENS LÄN</t>
        </is>
      </c>
      <c r="E1203" t="inlineStr">
        <is>
          <t>VILHELMINA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31455-2024</t>
        </is>
      </c>
      <c r="B1204" s="1" t="n">
        <v>45506</v>
      </c>
      <c r="C1204" s="1" t="n">
        <v>45578</v>
      </c>
      <c r="D1204" t="inlineStr">
        <is>
          <t>VÄSTERBOTTENS LÄN</t>
        </is>
      </c>
      <c r="E1204" t="inlineStr">
        <is>
          <t>VILHELMINA</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31696-2024</t>
        </is>
      </c>
      <c r="B1205" s="1" t="n">
        <v>45508</v>
      </c>
      <c r="C1205" s="1" t="n">
        <v>45578</v>
      </c>
      <c r="D1205" t="inlineStr">
        <is>
          <t>VÄSTERBOTTENS LÄN</t>
        </is>
      </c>
      <c r="E1205" t="inlineStr">
        <is>
          <t>VILHELMINA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31851-2024</t>
        </is>
      </c>
      <c r="B1206" s="1" t="n">
        <v>45509</v>
      </c>
      <c r="C1206" s="1" t="n">
        <v>45578</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31868-2024</t>
        </is>
      </c>
      <c r="B1207" s="1" t="n">
        <v>45509</v>
      </c>
      <c r="C1207" s="1" t="n">
        <v>45578</v>
      </c>
      <c r="D1207" t="inlineStr">
        <is>
          <t>VÄSTERBOTTENS LÄN</t>
        </is>
      </c>
      <c r="E1207" t="inlineStr">
        <is>
          <t>VILHELMINA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31896-2024</t>
        </is>
      </c>
      <c r="B1208" s="1" t="n">
        <v>45510</v>
      </c>
      <c r="C1208" s="1" t="n">
        <v>45578</v>
      </c>
      <c r="D1208" t="inlineStr">
        <is>
          <t>VÄSTERBOTTENS LÄN</t>
        </is>
      </c>
      <c r="E1208" t="inlineStr">
        <is>
          <t>VILHELMINA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31895-2024</t>
        </is>
      </c>
      <c r="B1209" s="1" t="n">
        <v>45510</v>
      </c>
      <c r="C1209" s="1" t="n">
        <v>45578</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31897-2024</t>
        </is>
      </c>
      <c r="B1210" s="1" t="n">
        <v>45509</v>
      </c>
      <c r="C1210" s="1" t="n">
        <v>45578</v>
      </c>
      <c r="D1210" t="inlineStr">
        <is>
          <t>VÄSTERBOTTENS LÄN</t>
        </is>
      </c>
      <c r="E1210" t="inlineStr">
        <is>
          <t>VILHELMINA</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32252-2024</t>
        </is>
      </c>
      <c r="B1211" s="1" t="n">
        <v>45511</v>
      </c>
      <c r="C1211" s="1" t="n">
        <v>45578</v>
      </c>
      <c r="D1211" t="inlineStr">
        <is>
          <t>VÄSTERBOTTENS LÄN</t>
        </is>
      </c>
      <c r="E1211" t="inlineStr">
        <is>
          <t>VILHELMINA</t>
        </is>
      </c>
      <c r="F1211" t="inlineStr">
        <is>
          <t>SCA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32253-2024</t>
        </is>
      </c>
      <c r="B1212" s="1" t="n">
        <v>45512</v>
      </c>
      <c r="C1212" s="1" t="n">
        <v>45578</v>
      </c>
      <c r="D1212" t="inlineStr">
        <is>
          <t>VÄSTERBOTTENS LÄN</t>
        </is>
      </c>
      <c r="E1212" t="inlineStr">
        <is>
          <t>VILHELMINA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32455-2024</t>
        </is>
      </c>
      <c r="B1213" s="1" t="n">
        <v>45513</v>
      </c>
      <c r="C1213" s="1" t="n">
        <v>45578</v>
      </c>
      <c r="D1213" t="inlineStr">
        <is>
          <t>VÄSTERBOTTENS LÄN</t>
        </is>
      </c>
      <c r="E1213" t="inlineStr">
        <is>
          <t>VILHELMINA</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32683-2024</t>
        </is>
      </c>
      <c r="B1214" s="1" t="n">
        <v>45515</v>
      </c>
      <c r="C1214" s="1" t="n">
        <v>45578</v>
      </c>
      <c r="D1214" t="inlineStr">
        <is>
          <t>VÄSTERBOTTENS LÄN</t>
        </is>
      </c>
      <c r="E1214" t="inlineStr">
        <is>
          <t>VILHELMINA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32901-2024</t>
        </is>
      </c>
      <c r="B1215" s="1" t="n">
        <v>45517</v>
      </c>
      <c r="C1215" s="1" t="n">
        <v>45578</v>
      </c>
      <c r="D1215" t="inlineStr">
        <is>
          <t>VÄSTERBOTTENS LÄN</t>
        </is>
      </c>
      <c r="E1215" t="inlineStr">
        <is>
          <t>VILHELMINA</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32926-2024</t>
        </is>
      </c>
      <c r="B1216" s="1" t="n">
        <v>45517</v>
      </c>
      <c r="C1216" s="1" t="n">
        <v>45578</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32921-2024</t>
        </is>
      </c>
      <c r="B1217" s="1" t="n">
        <v>45517</v>
      </c>
      <c r="C1217" s="1" t="n">
        <v>45578</v>
      </c>
      <c r="D1217" t="inlineStr">
        <is>
          <t>VÄSTERBOTTENS LÄN</t>
        </is>
      </c>
      <c r="E1217" t="inlineStr">
        <is>
          <t>VILHELMINA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32925-2024</t>
        </is>
      </c>
      <c r="B1218" s="1" t="n">
        <v>45517</v>
      </c>
      <c r="C1218" s="1" t="n">
        <v>45578</v>
      </c>
      <c r="D1218" t="inlineStr">
        <is>
          <t>VÄSTERBOTTENS LÄN</t>
        </is>
      </c>
      <c r="E1218" t="inlineStr">
        <is>
          <t>VILHELMINA</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33319-2024</t>
        </is>
      </c>
      <c r="B1219" s="1" t="n">
        <v>45518</v>
      </c>
      <c r="C1219" s="1" t="n">
        <v>45578</v>
      </c>
      <c r="D1219" t="inlineStr">
        <is>
          <t>VÄSTERBOTTENS LÄN</t>
        </is>
      </c>
      <c r="E1219" t="inlineStr">
        <is>
          <t>VILHELMINA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33320-2024</t>
        </is>
      </c>
      <c r="B1220" s="1" t="n">
        <v>45518</v>
      </c>
      <c r="C1220" s="1" t="n">
        <v>45578</v>
      </c>
      <c r="D1220" t="inlineStr">
        <is>
          <t>VÄSTERBOTTENS LÄN</t>
        </is>
      </c>
      <c r="E1220" t="inlineStr">
        <is>
          <t>VILHELMINA</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33321-2024</t>
        </is>
      </c>
      <c r="B1221" s="1" t="n">
        <v>45519</v>
      </c>
      <c r="C1221" s="1" t="n">
        <v>45578</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33322-2024</t>
        </is>
      </c>
      <c r="B1222" s="1" t="n">
        <v>45518</v>
      </c>
      <c r="C1222" s="1" t="n">
        <v>45578</v>
      </c>
      <c r="D1222" t="inlineStr">
        <is>
          <t>VÄSTERBOTTENS LÄN</t>
        </is>
      </c>
      <c r="E1222" t="inlineStr">
        <is>
          <t>VILHELMINA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33318-2024</t>
        </is>
      </c>
      <c r="B1223" s="1" t="n">
        <v>45519</v>
      </c>
      <c r="C1223" s="1" t="n">
        <v>45578</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33630-2024</t>
        </is>
      </c>
      <c r="B1224" s="1" t="n">
        <v>45520</v>
      </c>
      <c r="C1224" s="1" t="n">
        <v>45578</v>
      </c>
      <c r="D1224" t="inlineStr">
        <is>
          <t>VÄSTERBOTTENS LÄN</t>
        </is>
      </c>
      <c r="E1224" t="inlineStr">
        <is>
          <t>VILHELMINA</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33755-2024</t>
        </is>
      </c>
      <c r="B1225" s="1" t="n">
        <v>45520</v>
      </c>
      <c r="C1225" s="1" t="n">
        <v>45578</v>
      </c>
      <c r="D1225" t="inlineStr">
        <is>
          <t>VÄSTERBOTTENS LÄN</t>
        </is>
      </c>
      <c r="E1225" t="inlineStr">
        <is>
          <t>VILHELMINA</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33828-2024</t>
        </is>
      </c>
      <c r="B1226" s="1" t="n">
        <v>45520</v>
      </c>
      <c r="C1226" s="1" t="n">
        <v>45578</v>
      </c>
      <c r="D1226" t="inlineStr">
        <is>
          <t>VÄSTERBOTTENS LÄN</t>
        </is>
      </c>
      <c r="E1226" t="inlineStr">
        <is>
          <t>VILHELMINA</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33786-2024</t>
        </is>
      </c>
      <c r="B1227" s="1" t="n">
        <v>45520</v>
      </c>
      <c r="C1227" s="1" t="n">
        <v>45578</v>
      </c>
      <c r="D1227" t="inlineStr">
        <is>
          <t>VÄSTERBOTTENS LÄN</t>
        </is>
      </c>
      <c r="E1227" t="inlineStr">
        <is>
          <t>VILHELMINA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33823-2024</t>
        </is>
      </c>
      <c r="B1228" s="1" t="n">
        <v>45520</v>
      </c>
      <c r="C1228" s="1" t="n">
        <v>45578</v>
      </c>
      <c r="D1228" t="inlineStr">
        <is>
          <t>VÄSTERBOTTENS LÄN</t>
        </is>
      </c>
      <c r="E1228" t="inlineStr">
        <is>
          <t>VILHELMINA</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34135-2024</t>
        </is>
      </c>
      <c r="B1229" s="1" t="n">
        <v>45524</v>
      </c>
      <c r="C1229" s="1" t="n">
        <v>45578</v>
      </c>
      <c r="D1229" t="inlineStr">
        <is>
          <t>VÄSTERBOTTENS LÄN</t>
        </is>
      </c>
      <c r="E1229" t="inlineStr">
        <is>
          <t>VILHELMINA</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34130-2024</t>
        </is>
      </c>
      <c r="B1230" s="1" t="n">
        <v>45524</v>
      </c>
      <c r="C1230" s="1" t="n">
        <v>45578</v>
      </c>
      <c r="D1230" t="inlineStr">
        <is>
          <t>VÄSTERBOTTENS LÄN</t>
        </is>
      </c>
      <c r="E1230" t="inlineStr">
        <is>
          <t>VILHELMINA</t>
        </is>
      </c>
      <c r="F1230" t="inlineStr">
        <is>
          <t>Sveaskog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34762-2024</t>
        </is>
      </c>
      <c r="B1231" s="1" t="n">
        <v>45526</v>
      </c>
      <c r="C1231" s="1" t="n">
        <v>45578</v>
      </c>
      <c r="D1231" t="inlineStr">
        <is>
          <t>VÄSTERBOTTENS LÄN</t>
        </is>
      </c>
      <c r="E1231" t="inlineStr">
        <is>
          <t>VILHELMINA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34819-2024</t>
        </is>
      </c>
      <c r="B1232" s="1" t="n">
        <v>45526</v>
      </c>
      <c r="C1232" s="1" t="n">
        <v>45578</v>
      </c>
      <c r="D1232" t="inlineStr">
        <is>
          <t>VÄSTERBOTTENS LÄN</t>
        </is>
      </c>
      <c r="E1232" t="inlineStr">
        <is>
          <t>VILHELMINA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34743-2024</t>
        </is>
      </c>
      <c r="B1233" s="1" t="n">
        <v>45526</v>
      </c>
      <c r="C1233" s="1" t="n">
        <v>45578</v>
      </c>
      <c r="D1233" t="inlineStr">
        <is>
          <t>VÄSTERBOTTENS LÄN</t>
        </is>
      </c>
      <c r="E1233" t="inlineStr">
        <is>
          <t>VILHELMINA</t>
        </is>
      </c>
      <c r="F1233" t="inlineStr">
        <is>
          <t>SCA</t>
        </is>
      </c>
      <c r="G1233" t="n">
        <v>28.2</v>
      </c>
      <c r="H1233" t="n">
        <v>0</v>
      </c>
      <c r="I1233" t="n">
        <v>0</v>
      </c>
      <c r="J1233" t="n">
        <v>0</v>
      </c>
      <c r="K1233" t="n">
        <v>0</v>
      </c>
      <c r="L1233" t="n">
        <v>0</v>
      </c>
      <c r="M1233" t="n">
        <v>0</v>
      </c>
      <c r="N1233" t="n">
        <v>0</v>
      </c>
      <c r="O1233" t="n">
        <v>0</v>
      </c>
      <c r="P1233" t="n">
        <v>0</v>
      </c>
      <c r="Q1233" t="n">
        <v>0</v>
      </c>
      <c r="R1233" s="2" t="inlineStr"/>
    </row>
    <row r="1234" ht="15" customHeight="1">
      <c r="A1234" t="inlineStr">
        <is>
          <t>A 34763-2024</t>
        </is>
      </c>
      <c r="B1234" s="1" t="n">
        <v>45526</v>
      </c>
      <c r="C1234" s="1" t="n">
        <v>45578</v>
      </c>
      <c r="D1234" t="inlineStr">
        <is>
          <t>VÄSTERBOTTENS LÄN</t>
        </is>
      </c>
      <c r="E1234" t="inlineStr">
        <is>
          <t>VILHELMINA</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34630-2024</t>
        </is>
      </c>
      <c r="B1235" s="1" t="n">
        <v>45526</v>
      </c>
      <c r="C1235" s="1" t="n">
        <v>45578</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34719-2024</t>
        </is>
      </c>
      <c r="B1236" s="1" t="n">
        <v>45526</v>
      </c>
      <c r="C1236" s="1" t="n">
        <v>45578</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34764-2024</t>
        </is>
      </c>
      <c r="B1237" s="1" t="n">
        <v>45526</v>
      </c>
      <c r="C1237" s="1" t="n">
        <v>45578</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35156-2024</t>
        </is>
      </c>
      <c r="B1238" s="1" t="n">
        <v>45530</v>
      </c>
      <c r="C1238" s="1" t="n">
        <v>45578</v>
      </c>
      <c r="D1238" t="inlineStr">
        <is>
          <t>VÄSTERBOTTENS LÄN</t>
        </is>
      </c>
      <c r="E1238" t="inlineStr">
        <is>
          <t>VILHELMINA</t>
        </is>
      </c>
      <c r="F1238" t="inlineStr">
        <is>
          <t>Övriga Aktiebolag</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35372-2024</t>
        </is>
      </c>
      <c r="B1239" s="1" t="n">
        <v>45531</v>
      </c>
      <c r="C1239" s="1" t="n">
        <v>45578</v>
      </c>
      <c r="D1239" t="inlineStr">
        <is>
          <t>VÄSTERBOTTENS LÄN</t>
        </is>
      </c>
      <c r="E1239" t="inlineStr">
        <is>
          <t>VILHELMINA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35377-2024</t>
        </is>
      </c>
      <c r="B1240" s="1" t="n">
        <v>45531</v>
      </c>
      <c r="C1240" s="1" t="n">
        <v>45578</v>
      </c>
      <c r="D1240" t="inlineStr">
        <is>
          <t>VÄSTERBOTTENS LÄN</t>
        </is>
      </c>
      <c r="E1240" t="inlineStr">
        <is>
          <t>VILHELMINA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35393-2024</t>
        </is>
      </c>
      <c r="B1241" s="1" t="n">
        <v>45531</v>
      </c>
      <c r="C1241" s="1" t="n">
        <v>45578</v>
      </c>
      <c r="D1241" t="inlineStr">
        <is>
          <t>VÄSTERBOTTENS LÄN</t>
        </is>
      </c>
      <c r="E1241" t="inlineStr">
        <is>
          <t>VILHELMINA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35409-2024</t>
        </is>
      </c>
      <c r="B1242" s="1" t="n">
        <v>45531</v>
      </c>
      <c r="C1242" s="1" t="n">
        <v>45578</v>
      </c>
      <c r="D1242" t="inlineStr">
        <is>
          <t>VÄSTERBOTTENS LÄN</t>
        </is>
      </c>
      <c r="E1242" t="inlineStr">
        <is>
          <t>VILHELMINA</t>
        </is>
      </c>
      <c r="F1242" t="inlineStr">
        <is>
          <t>SCA</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35473-2024</t>
        </is>
      </c>
      <c r="B1243" s="1" t="n">
        <v>45531</v>
      </c>
      <c r="C1243" s="1" t="n">
        <v>45578</v>
      </c>
      <c r="D1243" t="inlineStr">
        <is>
          <t>VÄSTERBOTTENS LÄN</t>
        </is>
      </c>
      <c r="E1243" t="inlineStr">
        <is>
          <t>VILHELMINA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35412-2024</t>
        </is>
      </c>
      <c r="B1244" s="1" t="n">
        <v>45531</v>
      </c>
      <c r="C1244" s="1" t="n">
        <v>45578</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36320-2024</t>
        </is>
      </c>
      <c r="B1245" s="1" t="n">
        <v>45534</v>
      </c>
      <c r="C1245" s="1" t="n">
        <v>45578</v>
      </c>
      <c r="D1245" t="inlineStr">
        <is>
          <t>VÄSTERBOTTENS LÄN</t>
        </is>
      </c>
      <c r="E1245" t="inlineStr">
        <is>
          <t>VILHELMINA</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36293-2024</t>
        </is>
      </c>
      <c r="B1246" s="1" t="n">
        <v>45534</v>
      </c>
      <c r="C1246" s="1" t="n">
        <v>45578</v>
      </c>
      <c r="D1246" t="inlineStr">
        <is>
          <t>VÄSTERBOTTENS LÄN</t>
        </is>
      </c>
      <c r="E1246" t="inlineStr">
        <is>
          <t>VILHELMINA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36301-2024</t>
        </is>
      </c>
      <c r="B1247" s="1" t="n">
        <v>45534</v>
      </c>
      <c r="C1247" s="1" t="n">
        <v>45578</v>
      </c>
      <c r="D1247" t="inlineStr">
        <is>
          <t>VÄSTERBOTTENS LÄN</t>
        </is>
      </c>
      <c r="E1247" t="inlineStr">
        <is>
          <t>VILHELMINA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36333-2024</t>
        </is>
      </c>
      <c r="B1248" s="1" t="n">
        <v>45534</v>
      </c>
      <c r="C1248" s="1" t="n">
        <v>45578</v>
      </c>
      <c r="D1248" t="inlineStr">
        <is>
          <t>VÄSTERBOTTENS LÄN</t>
        </is>
      </c>
      <c r="E1248" t="inlineStr">
        <is>
          <t>VILHELMINA</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36323-2024</t>
        </is>
      </c>
      <c r="B1249" s="1" t="n">
        <v>45534</v>
      </c>
      <c r="C1249" s="1" t="n">
        <v>45578</v>
      </c>
      <c r="D1249" t="inlineStr">
        <is>
          <t>VÄSTERBOTTENS LÄN</t>
        </is>
      </c>
      <c r="E1249" t="inlineStr">
        <is>
          <t>VILHELMINA</t>
        </is>
      </c>
      <c r="F1249" t="inlineStr">
        <is>
          <t>SCA</t>
        </is>
      </c>
      <c r="G1249" t="n">
        <v>29.7</v>
      </c>
      <c r="H1249" t="n">
        <v>0</v>
      </c>
      <c r="I1249" t="n">
        <v>0</v>
      </c>
      <c r="J1249" t="n">
        <v>0</v>
      </c>
      <c r="K1249" t="n">
        <v>0</v>
      </c>
      <c r="L1249" t="n">
        <v>0</v>
      </c>
      <c r="M1249" t="n">
        <v>0</v>
      </c>
      <c r="N1249" t="n">
        <v>0</v>
      </c>
      <c r="O1249" t="n">
        <v>0</v>
      </c>
      <c r="P1249" t="n">
        <v>0</v>
      </c>
      <c r="Q1249" t="n">
        <v>0</v>
      </c>
      <c r="R1249" s="2" t="inlineStr"/>
    </row>
    <row r="1250" ht="15" customHeight="1">
      <c r="A1250" t="inlineStr">
        <is>
          <t>A 36355-2024</t>
        </is>
      </c>
      <c r="B1250" s="1" t="n">
        <v>45534</v>
      </c>
      <c r="C1250" s="1" t="n">
        <v>45578</v>
      </c>
      <c r="D1250" t="inlineStr">
        <is>
          <t>VÄSTERBOTTENS LÄN</t>
        </is>
      </c>
      <c r="E1250" t="inlineStr">
        <is>
          <t>VILHELMINA</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36349-2024</t>
        </is>
      </c>
      <c r="B1251" s="1" t="n">
        <v>45534</v>
      </c>
      <c r="C1251" s="1" t="n">
        <v>45578</v>
      </c>
      <c r="D1251" t="inlineStr">
        <is>
          <t>VÄSTERBOTTENS LÄN</t>
        </is>
      </c>
      <c r="E1251" t="inlineStr">
        <is>
          <t>VILHELMINA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36348-2024</t>
        </is>
      </c>
      <c r="B1252" s="1" t="n">
        <v>45534</v>
      </c>
      <c r="C1252" s="1" t="n">
        <v>45578</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36788-2024</t>
        </is>
      </c>
      <c r="B1253" s="1" t="n">
        <v>45538</v>
      </c>
      <c r="C1253" s="1" t="n">
        <v>45578</v>
      </c>
      <c r="D1253" t="inlineStr">
        <is>
          <t>VÄSTERBOTTENS LÄN</t>
        </is>
      </c>
      <c r="E1253" t="inlineStr">
        <is>
          <t>VILHELMINA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36909-2024</t>
        </is>
      </c>
      <c r="B1254" s="1" t="n">
        <v>45538</v>
      </c>
      <c r="C1254" s="1" t="n">
        <v>45578</v>
      </c>
      <c r="D1254" t="inlineStr">
        <is>
          <t>VÄSTERBOTTENS LÄN</t>
        </is>
      </c>
      <c r="E1254" t="inlineStr">
        <is>
          <t>VILHELMINA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45578</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37346-2024</t>
        </is>
      </c>
      <c r="B1256" s="1" t="n">
        <v>45540</v>
      </c>
      <c r="C1256" s="1" t="n">
        <v>45578</v>
      </c>
      <c r="D1256" t="inlineStr">
        <is>
          <t>VÄSTERBOTTENS LÄN</t>
        </is>
      </c>
      <c r="E1256" t="inlineStr">
        <is>
          <t>VILHELMINA</t>
        </is>
      </c>
      <c r="G1256" t="n">
        <v>100.3</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45578</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45578</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45578</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45578</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37716-2024</t>
        </is>
      </c>
      <c r="B1261" s="1" t="n">
        <v>45541</v>
      </c>
      <c r="C1261" s="1" t="n">
        <v>45578</v>
      </c>
      <c r="D1261" t="inlineStr">
        <is>
          <t>VÄSTERBOTTENS LÄN</t>
        </is>
      </c>
      <c r="E1261" t="inlineStr">
        <is>
          <t>VILHELMINA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45578</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45578</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45578</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38126-2024</t>
        </is>
      </c>
      <c r="B1265" s="1" t="n">
        <v>45545</v>
      </c>
      <c r="C1265" s="1" t="n">
        <v>45578</v>
      </c>
      <c r="D1265" t="inlineStr">
        <is>
          <t>VÄSTERBOTTENS LÄN</t>
        </is>
      </c>
      <c r="E1265" t="inlineStr">
        <is>
          <t>VILHELMINA</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38131-2024</t>
        </is>
      </c>
      <c r="B1266" s="1" t="n">
        <v>45545</v>
      </c>
      <c r="C1266" s="1" t="n">
        <v>45578</v>
      </c>
      <c r="D1266" t="inlineStr">
        <is>
          <t>VÄSTERBOTTENS LÄN</t>
        </is>
      </c>
      <c r="E1266" t="inlineStr">
        <is>
          <t>VILHELMINA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38187-2024</t>
        </is>
      </c>
      <c r="B1267" s="1" t="n">
        <v>45545</v>
      </c>
      <c r="C1267" s="1" t="n">
        <v>45578</v>
      </c>
      <c r="D1267" t="inlineStr">
        <is>
          <t>VÄSTERBOTTENS LÄN</t>
        </is>
      </c>
      <c r="E1267" t="inlineStr">
        <is>
          <t>VILHELMINA</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38123-2024</t>
        </is>
      </c>
      <c r="B1268" s="1" t="n">
        <v>45545</v>
      </c>
      <c r="C1268" s="1" t="n">
        <v>45578</v>
      </c>
      <c r="D1268" t="inlineStr">
        <is>
          <t>VÄSTERBOTTENS LÄN</t>
        </is>
      </c>
      <c r="E1268" t="inlineStr">
        <is>
          <t>VILHELMINA</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38173-2024</t>
        </is>
      </c>
      <c r="B1269" s="1" t="n">
        <v>45545</v>
      </c>
      <c r="C1269" s="1" t="n">
        <v>45578</v>
      </c>
      <c r="D1269" t="inlineStr">
        <is>
          <t>VÄSTERBOTTENS LÄN</t>
        </is>
      </c>
      <c r="E1269" t="inlineStr">
        <is>
          <t>VILHELMINA</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45578</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38222-2024</t>
        </is>
      </c>
      <c r="B1271" s="1" t="n">
        <v>45545</v>
      </c>
      <c r="C1271" s="1" t="n">
        <v>45578</v>
      </c>
      <c r="D1271" t="inlineStr">
        <is>
          <t>VÄSTERBOTTENS LÄN</t>
        </is>
      </c>
      <c r="E1271" t="inlineStr">
        <is>
          <t>VILHELMINA</t>
        </is>
      </c>
      <c r="F1271" t="inlineStr">
        <is>
          <t>Sveaskog</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38569-2024</t>
        </is>
      </c>
      <c r="B1272" s="1" t="n">
        <v>45546</v>
      </c>
      <c r="C1272" s="1" t="n">
        <v>45578</v>
      </c>
      <c r="D1272" t="inlineStr">
        <is>
          <t>VÄSTERBOTTENS LÄN</t>
        </is>
      </c>
      <c r="E1272" t="inlineStr">
        <is>
          <t>VILHELMINA</t>
        </is>
      </c>
      <c r="G1272" t="n">
        <v>31.5</v>
      </c>
      <c r="H1272" t="n">
        <v>0</v>
      </c>
      <c r="I1272" t="n">
        <v>0</v>
      </c>
      <c r="J1272" t="n">
        <v>0</v>
      </c>
      <c r="K1272" t="n">
        <v>0</v>
      </c>
      <c r="L1272" t="n">
        <v>0</v>
      </c>
      <c r="M1272" t="n">
        <v>0</v>
      </c>
      <c r="N1272" t="n">
        <v>0</v>
      </c>
      <c r="O1272" t="n">
        <v>0</v>
      </c>
      <c r="P1272" t="n">
        <v>0</v>
      </c>
      <c r="Q1272" t="n">
        <v>0</v>
      </c>
      <c r="R1272" s="2" t="inlineStr"/>
    </row>
    <row r="1273" ht="15" customHeight="1">
      <c r="A1273" t="inlineStr">
        <is>
          <t>A 38555-2024</t>
        </is>
      </c>
      <c r="B1273" s="1" t="n">
        <v>45546</v>
      </c>
      <c r="C1273" s="1" t="n">
        <v>45578</v>
      </c>
      <c r="D1273" t="inlineStr">
        <is>
          <t>VÄSTERBOTTENS LÄN</t>
        </is>
      </c>
      <c r="E1273" t="inlineStr">
        <is>
          <t>VILHELMINA</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39035-2024</t>
        </is>
      </c>
      <c r="B1274" s="1" t="n">
        <v>45548</v>
      </c>
      <c r="C1274" s="1" t="n">
        <v>45578</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39613-2024</t>
        </is>
      </c>
      <c r="B1275" s="1" t="n">
        <v>45552</v>
      </c>
      <c r="C1275" s="1" t="n">
        <v>45578</v>
      </c>
      <c r="D1275" t="inlineStr">
        <is>
          <t>VÄSTERBOTTENS LÄN</t>
        </is>
      </c>
      <c r="E1275" t="inlineStr">
        <is>
          <t>VILHELMINA</t>
        </is>
      </c>
      <c r="G1275" t="n">
        <v>19.1</v>
      </c>
      <c r="H1275" t="n">
        <v>0</v>
      </c>
      <c r="I1275" t="n">
        <v>0</v>
      </c>
      <c r="J1275" t="n">
        <v>0</v>
      </c>
      <c r="K1275" t="n">
        <v>0</v>
      </c>
      <c r="L1275" t="n">
        <v>0</v>
      </c>
      <c r="M1275" t="n">
        <v>0</v>
      </c>
      <c r="N1275" t="n">
        <v>0</v>
      </c>
      <c r="O1275" t="n">
        <v>0</v>
      </c>
      <c r="P1275" t="n">
        <v>0</v>
      </c>
      <c r="Q1275" t="n">
        <v>0</v>
      </c>
      <c r="R1275" s="2" t="inlineStr"/>
    </row>
    <row r="1276" ht="15" customHeight="1">
      <c r="A1276" t="inlineStr">
        <is>
          <t>A 39670-2024</t>
        </is>
      </c>
      <c r="B1276" s="1" t="n">
        <v>45552</v>
      </c>
      <c r="C1276" s="1" t="n">
        <v>45578</v>
      </c>
      <c r="D1276" t="inlineStr">
        <is>
          <t>VÄSTERBOTTENS LÄN</t>
        </is>
      </c>
      <c r="E1276" t="inlineStr">
        <is>
          <t>VILHELMINA</t>
        </is>
      </c>
      <c r="F1276" t="inlineStr">
        <is>
          <t>SCA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39678-2024</t>
        </is>
      </c>
      <c r="B1277" s="1" t="n">
        <v>45552</v>
      </c>
      <c r="C1277" s="1" t="n">
        <v>45578</v>
      </c>
      <c r="D1277" t="inlineStr">
        <is>
          <t>VÄSTERBOTTENS LÄN</t>
        </is>
      </c>
      <c r="E1277" t="inlineStr">
        <is>
          <t>VILHELMINA</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39676-2024</t>
        </is>
      </c>
      <c r="B1278" s="1" t="n">
        <v>45552</v>
      </c>
      <c r="C1278" s="1" t="n">
        <v>45578</v>
      </c>
      <c r="D1278" t="inlineStr">
        <is>
          <t>VÄSTERBOTTENS LÄN</t>
        </is>
      </c>
      <c r="E1278" t="inlineStr">
        <is>
          <t>VILHELMINA</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39680-2024</t>
        </is>
      </c>
      <c r="B1279" s="1" t="n">
        <v>45552</v>
      </c>
      <c r="C1279" s="1" t="n">
        <v>45578</v>
      </c>
      <c r="D1279" t="inlineStr">
        <is>
          <t>VÄSTERBOTTENS LÄN</t>
        </is>
      </c>
      <c r="E1279" t="inlineStr">
        <is>
          <t>VILHELMINA</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39679-2024</t>
        </is>
      </c>
      <c r="B1280" s="1" t="n">
        <v>45552</v>
      </c>
      <c r="C1280" s="1" t="n">
        <v>45578</v>
      </c>
      <c r="D1280" t="inlineStr">
        <is>
          <t>VÄSTERBOTTENS LÄN</t>
        </is>
      </c>
      <c r="E1280" t="inlineStr">
        <is>
          <t>VILHELMINA</t>
        </is>
      </c>
      <c r="F1280" t="inlineStr">
        <is>
          <t>SCA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39643-2024</t>
        </is>
      </c>
      <c r="B1281" s="1" t="n">
        <v>45552</v>
      </c>
      <c r="C1281" s="1" t="n">
        <v>45578</v>
      </c>
      <c r="D1281" t="inlineStr">
        <is>
          <t>VÄSTERBOTTENS LÄN</t>
        </is>
      </c>
      <c r="E1281" t="inlineStr">
        <is>
          <t>VILHELMINA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39677-2024</t>
        </is>
      </c>
      <c r="B1282" s="1" t="n">
        <v>45552</v>
      </c>
      <c r="C1282" s="1" t="n">
        <v>45578</v>
      </c>
      <c r="D1282" t="inlineStr">
        <is>
          <t>VÄSTERBOTTENS LÄN</t>
        </is>
      </c>
      <c r="E1282" t="inlineStr">
        <is>
          <t>VILHELMINA</t>
        </is>
      </c>
      <c r="F1282" t="inlineStr">
        <is>
          <t>SCA</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39681-2024</t>
        </is>
      </c>
      <c r="B1283" s="1" t="n">
        <v>45552</v>
      </c>
      <c r="C1283" s="1" t="n">
        <v>45578</v>
      </c>
      <c r="D1283" t="inlineStr">
        <is>
          <t>VÄSTERBOTTENS LÄN</t>
        </is>
      </c>
      <c r="E1283" t="inlineStr">
        <is>
          <t>VILHELMINA</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45578</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40462-2024</t>
        </is>
      </c>
      <c r="B1285" s="1" t="n">
        <v>45555</v>
      </c>
      <c r="C1285" s="1" t="n">
        <v>45578</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40732-2024</t>
        </is>
      </c>
      <c r="B1286" s="1" t="n">
        <v>45558</v>
      </c>
      <c r="C1286" s="1" t="n">
        <v>45578</v>
      </c>
      <c r="D1286" t="inlineStr">
        <is>
          <t>VÄSTERBOTTENS LÄN</t>
        </is>
      </c>
      <c r="E1286" t="inlineStr">
        <is>
          <t>VILHELMINA</t>
        </is>
      </c>
      <c r="F1286" t="inlineStr">
        <is>
          <t>Allmännings- och besparingsskogar</t>
        </is>
      </c>
      <c r="G1286" t="n">
        <v>89.59999999999999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40733-2024</t>
        </is>
      </c>
      <c r="B1287" s="1" t="n">
        <v>45558</v>
      </c>
      <c r="C1287" s="1" t="n">
        <v>45578</v>
      </c>
      <c r="D1287" t="inlineStr">
        <is>
          <t>VÄSTERBOTTENS LÄN</t>
        </is>
      </c>
      <c r="E1287" t="inlineStr">
        <is>
          <t>VILHELMINA</t>
        </is>
      </c>
      <c r="F1287" t="inlineStr">
        <is>
          <t>Allmännings- och besparingsskogar</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40737-2024</t>
        </is>
      </c>
      <c r="B1288" s="1" t="n">
        <v>45558</v>
      </c>
      <c r="C1288" s="1" t="n">
        <v>45578</v>
      </c>
      <c r="D1288" t="inlineStr">
        <is>
          <t>VÄSTERBOTTENS LÄN</t>
        </is>
      </c>
      <c r="E1288" t="inlineStr">
        <is>
          <t>VILHELMINA</t>
        </is>
      </c>
      <c r="F1288" t="inlineStr">
        <is>
          <t>Allmännings- och besparingsskogar</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40796-2024</t>
        </is>
      </c>
      <c r="B1289" s="1" t="n">
        <v>45558</v>
      </c>
      <c r="C1289" s="1" t="n">
        <v>45578</v>
      </c>
      <c r="D1289" t="inlineStr">
        <is>
          <t>VÄSTERBOTTENS LÄN</t>
        </is>
      </c>
      <c r="E1289" t="inlineStr">
        <is>
          <t>VILHELMINA</t>
        </is>
      </c>
      <c r="F1289" t="inlineStr">
        <is>
          <t>Allmännings- och besparingsskogar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40936-2024</t>
        </is>
      </c>
      <c r="B1290" s="1" t="n">
        <v>45558</v>
      </c>
      <c r="C1290" s="1" t="n">
        <v>45578</v>
      </c>
      <c r="D1290" t="inlineStr">
        <is>
          <t>VÄSTERBOTTENS LÄN</t>
        </is>
      </c>
      <c r="E1290" t="inlineStr">
        <is>
          <t>VILHELMINA</t>
        </is>
      </c>
      <c r="F1290" t="inlineStr">
        <is>
          <t>Allmännings- och besparingsskogar</t>
        </is>
      </c>
      <c r="G1290" t="n">
        <v>12.7</v>
      </c>
      <c r="H1290" t="n">
        <v>0</v>
      </c>
      <c r="I1290" t="n">
        <v>0</v>
      </c>
      <c r="J1290" t="n">
        <v>0</v>
      </c>
      <c r="K1290" t="n">
        <v>0</v>
      </c>
      <c r="L1290" t="n">
        <v>0</v>
      </c>
      <c r="M1290" t="n">
        <v>0</v>
      </c>
      <c r="N1290" t="n">
        <v>0</v>
      </c>
      <c r="O1290" t="n">
        <v>0</v>
      </c>
      <c r="P1290" t="n">
        <v>0</v>
      </c>
      <c r="Q1290" t="n">
        <v>0</v>
      </c>
      <c r="R1290" s="2" t="inlineStr"/>
    </row>
    <row r="1291" ht="15" customHeight="1">
      <c r="A1291" t="inlineStr">
        <is>
          <t>A 40958-2024</t>
        </is>
      </c>
      <c r="B1291" s="1" t="n">
        <v>45558</v>
      </c>
      <c r="C1291" s="1" t="n">
        <v>45578</v>
      </c>
      <c r="D1291" t="inlineStr">
        <is>
          <t>VÄSTERBOTTENS LÄN</t>
        </is>
      </c>
      <c r="E1291" t="inlineStr">
        <is>
          <t>VILHELMINA</t>
        </is>
      </c>
      <c r="F1291" t="inlineStr">
        <is>
          <t>Allmännings- och besparingsskogar</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40978-2024</t>
        </is>
      </c>
      <c r="B1292" s="1" t="n">
        <v>45558</v>
      </c>
      <c r="C1292" s="1" t="n">
        <v>45578</v>
      </c>
      <c r="D1292" t="inlineStr">
        <is>
          <t>VÄSTERBOTTENS LÄN</t>
        </is>
      </c>
      <c r="E1292" t="inlineStr">
        <is>
          <t>VILHELMINA</t>
        </is>
      </c>
      <c r="F1292" t="inlineStr">
        <is>
          <t>Allmännings- och besparingsskogar</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40718-2024</t>
        </is>
      </c>
      <c r="B1293" s="1" t="n">
        <v>45558</v>
      </c>
      <c r="C1293" s="1" t="n">
        <v>45578</v>
      </c>
      <c r="D1293" t="inlineStr">
        <is>
          <t>VÄSTERBOTTENS LÄN</t>
        </is>
      </c>
      <c r="E1293" t="inlineStr">
        <is>
          <t>VILHELMINA</t>
        </is>
      </c>
      <c r="F1293" t="inlineStr">
        <is>
          <t>Allmännings- och besparingsskogar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40726-2024</t>
        </is>
      </c>
      <c r="B1294" s="1" t="n">
        <v>45558</v>
      </c>
      <c r="C1294" s="1" t="n">
        <v>45578</v>
      </c>
      <c r="D1294" t="inlineStr">
        <is>
          <t>VÄSTERBOTTENS LÄN</t>
        </is>
      </c>
      <c r="E1294" t="inlineStr">
        <is>
          <t>VILHELMINA</t>
        </is>
      </c>
      <c r="F1294" t="inlineStr">
        <is>
          <t>Allmännings- och besparingsskogar</t>
        </is>
      </c>
      <c r="G1294" t="n">
        <v>73.59999999999999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40735-2024</t>
        </is>
      </c>
      <c r="B1295" s="1" t="n">
        <v>45558</v>
      </c>
      <c r="C1295" s="1" t="n">
        <v>45578</v>
      </c>
      <c r="D1295" t="inlineStr">
        <is>
          <t>VÄSTERBOTTENS LÄN</t>
        </is>
      </c>
      <c r="E1295" t="inlineStr">
        <is>
          <t>VILHELMINA</t>
        </is>
      </c>
      <c r="F1295" t="inlineStr">
        <is>
          <t>Allmännings- och besparingsskogar</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40918-2024</t>
        </is>
      </c>
      <c r="B1296" s="1" t="n">
        <v>45558</v>
      </c>
      <c r="C1296" s="1" t="n">
        <v>45578</v>
      </c>
      <c r="D1296" t="inlineStr">
        <is>
          <t>VÄSTERBOTTENS LÄN</t>
        </is>
      </c>
      <c r="E1296" t="inlineStr">
        <is>
          <t>VILHELMINA</t>
        </is>
      </c>
      <c r="F1296" t="inlineStr">
        <is>
          <t>Allmännings- och besparingsskogar</t>
        </is>
      </c>
      <c r="G1296" t="n">
        <v>13.9</v>
      </c>
      <c r="H1296" t="n">
        <v>0</v>
      </c>
      <c r="I1296" t="n">
        <v>0</v>
      </c>
      <c r="J1296" t="n">
        <v>0</v>
      </c>
      <c r="K1296" t="n">
        <v>0</v>
      </c>
      <c r="L1296" t="n">
        <v>0</v>
      </c>
      <c r="M1296" t="n">
        <v>0</v>
      </c>
      <c r="N1296" t="n">
        <v>0</v>
      </c>
      <c r="O1296" t="n">
        <v>0</v>
      </c>
      <c r="P1296" t="n">
        <v>0</v>
      </c>
      <c r="Q1296" t="n">
        <v>0</v>
      </c>
      <c r="R1296" s="2" t="inlineStr"/>
    </row>
    <row r="1297" ht="15" customHeight="1">
      <c r="A1297" t="inlineStr">
        <is>
          <t>A 40984-2024</t>
        </is>
      </c>
      <c r="B1297" s="1" t="n">
        <v>45558</v>
      </c>
      <c r="C1297" s="1" t="n">
        <v>45578</v>
      </c>
      <c r="D1297" t="inlineStr">
        <is>
          <t>VÄSTERBOTTENS LÄN</t>
        </is>
      </c>
      <c r="E1297" t="inlineStr">
        <is>
          <t>VILHELMINA</t>
        </is>
      </c>
      <c r="F1297" t="inlineStr">
        <is>
          <t>Allmännings- och besparingsskogar</t>
        </is>
      </c>
      <c r="G1297" t="n">
        <v>12.3</v>
      </c>
      <c r="H1297" t="n">
        <v>0</v>
      </c>
      <c r="I1297" t="n">
        <v>0</v>
      </c>
      <c r="J1297" t="n">
        <v>0</v>
      </c>
      <c r="K1297" t="n">
        <v>0</v>
      </c>
      <c r="L1297" t="n">
        <v>0</v>
      </c>
      <c r="M1297" t="n">
        <v>0</v>
      </c>
      <c r="N1297" t="n">
        <v>0</v>
      </c>
      <c r="O1297" t="n">
        <v>0</v>
      </c>
      <c r="P1297" t="n">
        <v>0</v>
      </c>
      <c r="Q1297" t="n">
        <v>0</v>
      </c>
      <c r="R1297" s="2" t="inlineStr"/>
    </row>
    <row r="1298" ht="15" customHeight="1">
      <c r="A1298" t="inlineStr">
        <is>
          <t>A 41644-2024</t>
        </is>
      </c>
      <c r="B1298" s="1" t="n">
        <v>45560</v>
      </c>
      <c r="C1298" s="1" t="n">
        <v>45578</v>
      </c>
      <c r="D1298" t="inlineStr">
        <is>
          <t>VÄSTERBOTTENS LÄN</t>
        </is>
      </c>
      <c r="E1298" t="inlineStr">
        <is>
          <t>VILHELMINA</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42063-2024</t>
        </is>
      </c>
      <c r="B1299" s="1" t="n">
        <v>45561</v>
      </c>
      <c r="C1299" s="1" t="n">
        <v>45578</v>
      </c>
      <c r="D1299" t="inlineStr">
        <is>
          <t>VÄSTERBOTTENS LÄN</t>
        </is>
      </c>
      <c r="E1299" t="inlineStr">
        <is>
          <t>VILHELMINA</t>
        </is>
      </c>
      <c r="G1299" t="n">
        <v>25.4</v>
      </c>
      <c r="H1299" t="n">
        <v>0</v>
      </c>
      <c r="I1299" t="n">
        <v>0</v>
      </c>
      <c r="J1299" t="n">
        <v>0</v>
      </c>
      <c r="K1299" t="n">
        <v>0</v>
      </c>
      <c r="L1299" t="n">
        <v>0</v>
      </c>
      <c r="M1299" t="n">
        <v>0</v>
      </c>
      <c r="N1299" t="n">
        <v>0</v>
      </c>
      <c r="O1299" t="n">
        <v>0</v>
      </c>
      <c r="P1299" t="n">
        <v>0</v>
      </c>
      <c r="Q1299" t="n">
        <v>0</v>
      </c>
      <c r="R1299" s="2" t="inlineStr"/>
    </row>
    <row r="1300" ht="15" customHeight="1">
      <c r="A1300" t="inlineStr">
        <is>
          <t>A 42478-2024</t>
        </is>
      </c>
      <c r="B1300" s="1" t="n">
        <v>45565</v>
      </c>
      <c r="C1300" s="1" t="n">
        <v>45578</v>
      </c>
      <c r="D1300" t="inlineStr">
        <is>
          <t>VÄSTERBOTTENS LÄN</t>
        </is>
      </c>
      <c r="E1300" t="inlineStr">
        <is>
          <t>VILHELMINA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42490-2024</t>
        </is>
      </c>
      <c r="B1301" s="1" t="n">
        <v>45565</v>
      </c>
      <c r="C1301" s="1" t="n">
        <v>45578</v>
      </c>
      <c r="D1301" t="inlineStr">
        <is>
          <t>VÄSTERBOTTENS LÄN</t>
        </is>
      </c>
      <c r="E1301" t="inlineStr">
        <is>
          <t>VILHELMINA</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42491-2024</t>
        </is>
      </c>
      <c r="B1302" s="1" t="n">
        <v>45565</v>
      </c>
      <c r="C1302" s="1" t="n">
        <v>45578</v>
      </c>
      <c r="D1302" t="inlineStr">
        <is>
          <t>VÄSTERBOTTENS LÄN</t>
        </is>
      </c>
      <c r="E1302" t="inlineStr">
        <is>
          <t>VILHELMINA</t>
        </is>
      </c>
      <c r="F1302" t="inlineStr">
        <is>
          <t>SCA</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45578</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45578</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45578</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43791-2024</t>
        </is>
      </c>
      <c r="B1306" s="1" t="n">
        <v>45571</v>
      </c>
      <c r="C1306" s="1" t="n">
        <v>45578</v>
      </c>
      <c r="D1306" t="inlineStr">
        <is>
          <t>VÄSTERBOTTENS LÄN</t>
        </is>
      </c>
      <c r="E1306" t="inlineStr">
        <is>
          <t>VILHELMINA</t>
        </is>
      </c>
      <c r="G1306" t="n">
        <v>30.3</v>
      </c>
      <c r="H1306" t="n">
        <v>0</v>
      </c>
      <c r="I1306" t="n">
        <v>0</v>
      </c>
      <c r="J1306" t="n">
        <v>0</v>
      </c>
      <c r="K1306" t="n">
        <v>0</v>
      </c>
      <c r="L1306" t="n">
        <v>0</v>
      </c>
      <c r="M1306" t="n">
        <v>0</v>
      </c>
      <c r="N1306" t="n">
        <v>0</v>
      </c>
      <c r="O1306" t="n">
        <v>0</v>
      </c>
      <c r="P1306" t="n">
        <v>0</v>
      </c>
      <c r="Q1306" t="n">
        <v>0</v>
      </c>
      <c r="R1306" s="2" t="inlineStr"/>
    </row>
    <row r="1307" ht="15" customHeight="1">
      <c r="A1307" t="inlineStr">
        <is>
          <t>A 43792-2024</t>
        </is>
      </c>
      <c r="B1307" s="1" t="n">
        <v>45571</v>
      </c>
      <c r="C1307" s="1" t="n">
        <v>45578</v>
      </c>
      <c r="D1307" t="inlineStr">
        <is>
          <t>VÄSTERBOTTENS LÄN</t>
        </is>
      </c>
      <c r="E1307" t="inlineStr">
        <is>
          <t>VILHELMINA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43987-2024</t>
        </is>
      </c>
      <c r="B1308" s="1" t="n">
        <v>45572</v>
      </c>
      <c r="C1308" s="1" t="n">
        <v>45578</v>
      </c>
      <c r="D1308" t="inlineStr">
        <is>
          <t>VÄSTERBOTTENS LÄN</t>
        </is>
      </c>
      <c r="E1308" t="inlineStr">
        <is>
          <t>VILHELMINA</t>
        </is>
      </c>
      <c r="F1308" t="inlineStr">
        <is>
          <t>SCA</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43907-2024</t>
        </is>
      </c>
      <c r="B1309" s="1" t="n">
        <v>45572</v>
      </c>
      <c r="C1309" s="1" t="n">
        <v>45578</v>
      </c>
      <c r="D1309" t="inlineStr">
        <is>
          <t>VÄSTERBOTTENS LÄN</t>
        </is>
      </c>
      <c r="E1309" t="inlineStr">
        <is>
          <t>VILHELMINA</t>
        </is>
      </c>
      <c r="F1309" t="inlineStr">
        <is>
          <t>SCA</t>
        </is>
      </c>
      <c r="G1309" t="n">
        <v>21.5</v>
      </c>
      <c r="H1309" t="n">
        <v>0</v>
      </c>
      <c r="I1309" t="n">
        <v>0</v>
      </c>
      <c r="J1309" t="n">
        <v>0</v>
      </c>
      <c r="K1309" t="n">
        <v>0</v>
      </c>
      <c r="L1309" t="n">
        <v>0</v>
      </c>
      <c r="M1309" t="n">
        <v>0</v>
      </c>
      <c r="N1309" t="n">
        <v>0</v>
      </c>
      <c r="O1309" t="n">
        <v>0</v>
      </c>
      <c r="P1309" t="n">
        <v>0</v>
      </c>
      <c r="Q1309" t="n">
        <v>0</v>
      </c>
      <c r="R1309" s="2" t="inlineStr"/>
    </row>
    <row r="1310" ht="15" customHeight="1">
      <c r="A1310" t="inlineStr">
        <is>
          <t>A 44371-2024</t>
        </is>
      </c>
      <c r="B1310" s="1" t="n">
        <v>45573</v>
      </c>
      <c r="C1310" s="1" t="n">
        <v>45578</v>
      </c>
      <c r="D1310" t="inlineStr">
        <is>
          <t>VÄSTERBOTTENS LÄN</t>
        </is>
      </c>
      <c r="E1310" t="inlineStr">
        <is>
          <t>VILHELMINA</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44375-2024</t>
        </is>
      </c>
      <c r="B1311" s="1" t="n">
        <v>45573</v>
      </c>
      <c r="C1311" s="1" t="n">
        <v>45578</v>
      </c>
      <c r="D1311" t="inlineStr">
        <is>
          <t>VÄSTERBOTTENS LÄN</t>
        </is>
      </c>
      <c r="E1311" t="inlineStr">
        <is>
          <t>VILHELMINA</t>
        </is>
      </c>
      <c r="F1311" t="inlineStr">
        <is>
          <t>SCA</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44368-2024</t>
        </is>
      </c>
      <c r="B1312" s="1" t="n">
        <v>45573</v>
      </c>
      <c r="C1312" s="1" t="n">
        <v>45578</v>
      </c>
      <c r="D1312" t="inlineStr">
        <is>
          <t>VÄSTERBOTTENS LÄN</t>
        </is>
      </c>
      <c r="E1312" t="inlineStr">
        <is>
          <t>VILHELMINA</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44285-2024</t>
        </is>
      </c>
      <c r="B1313" s="1" t="n">
        <v>45573</v>
      </c>
      <c r="C1313" s="1" t="n">
        <v>45578</v>
      </c>
      <c r="D1313" t="inlineStr">
        <is>
          <t>VÄSTERBOTTENS LÄN</t>
        </is>
      </c>
      <c r="E1313" t="inlineStr">
        <is>
          <t>VILHELMINA</t>
        </is>
      </c>
      <c r="G1313" t="n">
        <v>30.9</v>
      </c>
      <c r="H1313" t="n">
        <v>0</v>
      </c>
      <c r="I1313" t="n">
        <v>0</v>
      </c>
      <c r="J1313" t="n">
        <v>0</v>
      </c>
      <c r="K1313" t="n">
        <v>0</v>
      </c>
      <c r="L1313" t="n">
        <v>0</v>
      </c>
      <c r="M1313" t="n">
        <v>0</v>
      </c>
      <c r="N1313" t="n">
        <v>0</v>
      </c>
      <c r="O1313" t="n">
        <v>0</v>
      </c>
      <c r="P1313" t="n">
        <v>0</v>
      </c>
      <c r="Q1313" t="n">
        <v>0</v>
      </c>
      <c r="R1313" s="2" t="inlineStr"/>
    </row>
    <row r="1314" ht="15" customHeight="1">
      <c r="A1314" t="inlineStr">
        <is>
          <t>A 44354-2024</t>
        </is>
      </c>
      <c r="B1314" s="1" t="n">
        <v>45573</v>
      </c>
      <c r="C1314" s="1" t="n">
        <v>45578</v>
      </c>
      <c r="D1314" t="inlineStr">
        <is>
          <t>VÄSTERBOTTENS LÄN</t>
        </is>
      </c>
      <c r="E1314" t="inlineStr">
        <is>
          <t>VILHELMINA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44370-2024</t>
        </is>
      </c>
      <c r="B1315" s="1" t="n">
        <v>45573</v>
      </c>
      <c r="C1315" s="1" t="n">
        <v>45578</v>
      </c>
      <c r="D1315" t="inlineStr">
        <is>
          <t>VÄSTERBOTTENS LÄN</t>
        </is>
      </c>
      <c r="E1315" t="inlineStr">
        <is>
          <t>VILHELMINA</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44374-2024</t>
        </is>
      </c>
      <c r="B1316" s="1" t="n">
        <v>45573</v>
      </c>
      <c r="C1316" s="1" t="n">
        <v>45578</v>
      </c>
      <c r="D1316" t="inlineStr">
        <is>
          <t>VÄSTERBOTTENS LÄN</t>
        </is>
      </c>
      <c r="E1316" t="inlineStr">
        <is>
          <t>VILHELMINA</t>
        </is>
      </c>
      <c r="F1316" t="inlineStr">
        <is>
          <t>SCA</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44373-2024</t>
        </is>
      </c>
      <c r="B1317" s="1" t="n">
        <v>45573</v>
      </c>
      <c r="C1317" s="1" t="n">
        <v>45578</v>
      </c>
      <c r="D1317" t="inlineStr">
        <is>
          <t>VÄSTERBOTTENS LÄN</t>
        </is>
      </c>
      <c r="E1317" t="inlineStr">
        <is>
          <t>VILHELMINA</t>
        </is>
      </c>
      <c r="F1317" t="inlineStr">
        <is>
          <t>SCA</t>
        </is>
      </c>
      <c r="G1317" t="n">
        <v>35.1</v>
      </c>
      <c r="H1317" t="n">
        <v>0</v>
      </c>
      <c r="I1317" t="n">
        <v>0</v>
      </c>
      <c r="J1317" t="n">
        <v>0</v>
      </c>
      <c r="K1317" t="n">
        <v>0</v>
      </c>
      <c r="L1317" t="n">
        <v>0</v>
      </c>
      <c r="M1317" t="n">
        <v>0</v>
      </c>
      <c r="N1317" t="n">
        <v>0</v>
      </c>
      <c r="O1317" t="n">
        <v>0</v>
      </c>
      <c r="P1317" t="n">
        <v>0</v>
      </c>
      <c r="Q1317" t="n">
        <v>0</v>
      </c>
      <c r="R1317" s="2" t="inlineStr"/>
    </row>
    <row r="1318" ht="15" customHeight="1">
      <c r="A1318" t="inlineStr">
        <is>
          <t>A 44444-2024</t>
        </is>
      </c>
      <c r="B1318" s="1" t="n">
        <v>45574</v>
      </c>
      <c r="C1318" s="1" t="n">
        <v>45578</v>
      </c>
      <c r="D1318" t="inlineStr">
        <is>
          <t>VÄSTERBOTTENS LÄN</t>
        </is>
      </c>
      <c r="E1318" t="inlineStr">
        <is>
          <t>VILHELMINA</t>
        </is>
      </c>
      <c r="F1318" t="inlineStr">
        <is>
          <t>SCA</t>
        </is>
      </c>
      <c r="G1318" t="n">
        <v>10.6</v>
      </c>
      <c r="H1318" t="n">
        <v>0</v>
      </c>
      <c r="I1318" t="n">
        <v>0</v>
      </c>
      <c r="J1318" t="n">
        <v>0</v>
      </c>
      <c r="K1318" t="n">
        <v>0</v>
      </c>
      <c r="L1318" t="n">
        <v>0</v>
      </c>
      <c r="M1318" t="n">
        <v>0</v>
      </c>
      <c r="N1318" t="n">
        <v>0</v>
      </c>
      <c r="O1318" t="n">
        <v>0</v>
      </c>
      <c r="P1318" t="n">
        <v>0</v>
      </c>
      <c r="Q1318" t="n">
        <v>0</v>
      </c>
      <c r="R1318" s="2" t="inlineStr"/>
    </row>
    <row r="1319" ht="15" customHeight="1">
      <c r="A1319" t="inlineStr">
        <is>
          <t>A 44516-2024</t>
        </is>
      </c>
      <c r="B1319" s="1" t="n">
        <v>45574</v>
      </c>
      <c r="C1319" s="1" t="n">
        <v>45578</v>
      </c>
      <c r="D1319" t="inlineStr">
        <is>
          <t>VÄSTERBOTTENS LÄN</t>
        </is>
      </c>
      <c r="E1319" t="inlineStr">
        <is>
          <t>VILHELMINA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44828-2024</t>
        </is>
      </c>
      <c r="B1320" s="1" t="n">
        <v>45574</v>
      </c>
      <c r="C1320" s="1" t="n">
        <v>45578</v>
      </c>
      <c r="D1320" t="inlineStr">
        <is>
          <t>VÄSTERBOTTENS LÄN</t>
        </is>
      </c>
      <c r="E1320" t="inlineStr">
        <is>
          <t>VILHELMINA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44505-2024</t>
        </is>
      </c>
      <c r="B1321" s="1" t="n">
        <v>45574</v>
      </c>
      <c r="C1321" s="1" t="n">
        <v>45578</v>
      </c>
      <c r="D1321" t="inlineStr">
        <is>
          <t>VÄSTERBOTTENS LÄN</t>
        </is>
      </c>
      <c r="E1321" t="inlineStr">
        <is>
          <t>VILHELMINA</t>
        </is>
      </c>
      <c r="G1321" t="n">
        <v>15.5</v>
      </c>
      <c r="H1321" t="n">
        <v>0</v>
      </c>
      <c r="I1321" t="n">
        <v>0</v>
      </c>
      <c r="J1321" t="n">
        <v>0</v>
      </c>
      <c r="K1321" t="n">
        <v>0</v>
      </c>
      <c r="L1321" t="n">
        <v>0</v>
      </c>
      <c r="M1321" t="n">
        <v>0</v>
      </c>
      <c r="N1321" t="n">
        <v>0</v>
      </c>
      <c r="O1321" t="n">
        <v>0</v>
      </c>
      <c r="P1321" t="n">
        <v>0</v>
      </c>
      <c r="Q1321" t="n">
        <v>0</v>
      </c>
      <c r="R1321" s="2" t="inlineStr"/>
    </row>
    <row r="1322" ht="15" customHeight="1">
      <c r="A1322" t="inlineStr">
        <is>
          <t>A 44634-2024</t>
        </is>
      </c>
      <c r="B1322" s="1" t="n">
        <v>45574</v>
      </c>
      <c r="C1322" s="1" t="n">
        <v>45578</v>
      </c>
      <c r="D1322" t="inlineStr">
        <is>
          <t>VÄSTERBOTTENS LÄN</t>
        </is>
      </c>
      <c r="E1322" t="inlineStr">
        <is>
          <t>VILHELMINA</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44874-2024</t>
        </is>
      </c>
      <c r="B1323" s="1" t="n">
        <v>45575</v>
      </c>
      <c r="C1323" s="1" t="n">
        <v>45578</v>
      </c>
      <c r="D1323" t="inlineStr">
        <is>
          <t>VÄSTERBOTTENS LÄN</t>
        </is>
      </c>
      <c r="E1323" t="inlineStr">
        <is>
          <t>VILHELMINA</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45578</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45007-2024</t>
        </is>
      </c>
      <c r="B1325" s="1" t="n">
        <v>45575</v>
      </c>
      <c r="C1325" s="1" t="n">
        <v>45578</v>
      </c>
      <c r="D1325" t="inlineStr">
        <is>
          <t>VÄSTERBOTTENS LÄN</t>
        </is>
      </c>
      <c r="E1325" t="inlineStr">
        <is>
          <t>VILHELMINA</t>
        </is>
      </c>
      <c r="F1325" t="inlineStr">
        <is>
          <t>SCA</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45578</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45004-2024</t>
        </is>
      </c>
      <c r="B1327" s="1" t="n">
        <v>45575</v>
      </c>
      <c r="C1327" s="1" t="n">
        <v>45578</v>
      </c>
      <c r="D1327" t="inlineStr">
        <is>
          <t>VÄSTERBOTTENS LÄN</t>
        </is>
      </c>
      <c r="E1327" t="inlineStr">
        <is>
          <t>VILHELMINA</t>
        </is>
      </c>
      <c r="F1327" t="inlineStr">
        <is>
          <t>SCA</t>
        </is>
      </c>
      <c r="G1327" t="n">
        <v>14.4</v>
      </c>
      <c r="H1327" t="n">
        <v>0</v>
      </c>
      <c r="I1327" t="n">
        <v>0</v>
      </c>
      <c r="J1327" t="n">
        <v>0</v>
      </c>
      <c r="K1327" t="n">
        <v>0</v>
      </c>
      <c r="L1327" t="n">
        <v>0</v>
      </c>
      <c r="M1327" t="n">
        <v>0</v>
      </c>
      <c r="N1327" t="n">
        <v>0</v>
      </c>
      <c r="O1327" t="n">
        <v>0</v>
      </c>
      <c r="P1327" t="n">
        <v>0</v>
      </c>
      <c r="Q1327" t="n">
        <v>0</v>
      </c>
      <c r="R1327" s="2" t="inlineStr"/>
    </row>
    <row r="1328" ht="15" customHeight="1">
      <c r="A1328" t="inlineStr">
        <is>
          <t>A 45153-2024</t>
        </is>
      </c>
      <c r="B1328" s="1" t="n">
        <v>45575</v>
      </c>
      <c r="C1328" s="1" t="n">
        <v>45578</v>
      </c>
      <c r="D1328" t="inlineStr">
        <is>
          <t>VÄSTERBOTTENS LÄN</t>
        </is>
      </c>
      <c r="E1328" t="inlineStr">
        <is>
          <t>VILHELMINA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45308-2024</t>
        </is>
      </c>
      <c r="B1329" s="1" t="n">
        <v>45576</v>
      </c>
      <c r="C1329" s="1" t="n">
        <v>45578</v>
      </c>
      <c r="D1329" t="inlineStr">
        <is>
          <t>VÄSTERBOTTENS LÄN</t>
        </is>
      </c>
      <c r="E1329" t="inlineStr">
        <is>
          <t>VILHELMINA</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c r="A1330" t="inlineStr">
        <is>
          <t>A 45258-2024</t>
        </is>
      </c>
      <c r="B1330" s="1" t="n">
        <v>45576</v>
      </c>
      <c r="C1330" s="1" t="n">
        <v>45578</v>
      </c>
      <c r="D1330" t="inlineStr">
        <is>
          <t>VÄSTERBOTTENS LÄN</t>
        </is>
      </c>
      <c r="E1330" t="inlineStr">
        <is>
          <t>VILHELMINA</t>
        </is>
      </c>
      <c r="F1330" t="inlineStr">
        <is>
          <t>SCA</t>
        </is>
      </c>
      <c r="G1330" t="n">
        <v>6.2</v>
      </c>
      <c r="H1330" t="n">
        <v>0</v>
      </c>
      <c r="I1330" t="n">
        <v>0</v>
      </c>
      <c r="J1330" t="n">
        <v>0</v>
      </c>
      <c r="K1330" t="n">
        <v>0</v>
      </c>
      <c r="L1330" t="n">
        <v>0</v>
      </c>
      <c r="M1330" t="n">
        <v>0</v>
      </c>
      <c r="N1330" t="n">
        <v>0</v>
      </c>
      <c r="O1330" t="n">
        <v>0</v>
      </c>
      <c r="P1330" t="n">
        <v>0</v>
      </c>
      <c r="Q1330" t="n">
        <v>0</v>
      </c>
      <c r="R1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2024-10-13T12:14:53Z</dcterms:created>
  <dcterms:modified xmlns:dcterms="http://purl.org/dc/terms/" xmlns:xsi="http://www.w3.org/2001/XMLSchema-instance" xsi:type="dcterms:W3CDTF">2024-10-13T12:14:55Z</dcterms:modified>
</cp:coreProperties>
</file>