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45917</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45917</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45917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45917</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27113-2021</t>
        </is>
      </c>
      <c r="B15" s="1" t="n">
        <v>44350</v>
      </c>
      <c r="C15" s="1" t="n">
        <v>45917</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60375-2021</t>
        </is>
      </c>
      <c r="B16" s="1" t="n">
        <v>44494</v>
      </c>
      <c r="C16" s="1" t="n">
        <v>45917</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45917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45917</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63165-2020</t>
        </is>
      </c>
      <c r="B19" s="1" t="n">
        <v>44162</v>
      </c>
      <c r="C19" s="1" t="n">
        <v>45917</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36958-2023</t>
        </is>
      </c>
      <c r="B20" s="1" t="n">
        <v>45154</v>
      </c>
      <c r="C20" s="1" t="n">
        <v>45917</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45917</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45917</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45917</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46776-2024</t>
        </is>
      </c>
      <c r="B26" s="1" t="n">
        <v>45583</v>
      </c>
      <c r="C26" s="1" t="n">
        <v>45917</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42064-2024</t>
        </is>
      </c>
      <c r="B27" s="1" t="n">
        <v>45561</v>
      </c>
      <c r="C27" s="1" t="n">
        <v>45917</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9057-2023</t>
        </is>
      </c>
      <c r="B28" s="1" t="n">
        <v>44972</v>
      </c>
      <c r="C28" s="1" t="n">
        <v>45917</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45917</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45917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45917</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45917</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45917</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45917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45917</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45917</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45917</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45917</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45917</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45917</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19934-2023</t>
        </is>
      </c>
      <c r="B41" s="1" t="n">
        <v>45051</v>
      </c>
      <c r="C41" s="1" t="n">
        <v>45917</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45917</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48034-2020</t>
        </is>
      </c>
      <c r="B43" s="1" t="n">
        <v>44095</v>
      </c>
      <c r="C43" s="1" t="n">
        <v>45917</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45917</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45917</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7762-2024</t>
        </is>
      </c>
      <c r="B46" s="1" t="n">
        <v>45349</v>
      </c>
      <c r="C46" s="1" t="n">
        <v>45917</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49141-2023</t>
        </is>
      </c>
      <c r="B47" s="1" t="n">
        <v>45205</v>
      </c>
      <c r="C47" s="1" t="n">
        <v>45917</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6658-2021</t>
        </is>
      </c>
      <c r="B48" s="1" t="n">
        <v>44235</v>
      </c>
      <c r="C48" s="1" t="n">
        <v>45917</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14963-2022</t>
        </is>
      </c>
      <c r="B49" s="1" t="n">
        <v>44657</v>
      </c>
      <c r="C49" s="1" t="n">
        <v>45917</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29392-2021</t>
        </is>
      </c>
      <c r="B50" s="1" t="n">
        <v>44361</v>
      </c>
      <c r="C50" s="1" t="n">
        <v>45917</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59038-2024</t>
        </is>
      </c>
      <c r="B51" s="1" t="n">
        <v>45636</v>
      </c>
      <c r="C51" s="1" t="n">
        <v>45917</v>
      </c>
      <c r="D51" t="inlineStr">
        <is>
          <t>VÄSTERBOTTENS LÄN</t>
        </is>
      </c>
      <c r="E51" t="inlineStr">
        <is>
          <t>VILHELMINA</t>
        </is>
      </c>
      <c r="F51" t="inlineStr">
        <is>
          <t>Allmännings- och besparingsskogar</t>
        </is>
      </c>
      <c r="G51" t="n">
        <v>12.1</v>
      </c>
      <c r="H51" t="n">
        <v>2</v>
      </c>
      <c r="I51" t="n">
        <v>1</v>
      </c>
      <c r="J51" t="n">
        <v>8</v>
      </c>
      <c r="K51" t="n">
        <v>0</v>
      </c>
      <c r="L51" t="n">
        <v>0</v>
      </c>
      <c r="M51" t="n">
        <v>0</v>
      </c>
      <c r="N51" t="n">
        <v>0</v>
      </c>
      <c r="O51" t="n">
        <v>8</v>
      </c>
      <c r="P51" t="n">
        <v>0</v>
      </c>
      <c r="Q51" t="n">
        <v>10</v>
      </c>
      <c r="R51" s="2" t="inlineStr">
        <is>
          <t>Gammelgransskål
Garnlav
Granticka
Knottrig blåslav
Rödvingetrast
Ullticka
Vitgrynig nållav
Vitskaftad svartspik
Mörk husmossa
Lavskrika</t>
        </is>
      </c>
      <c r="S51">
        <f>HYPERLINK("https://klasma.github.io/Logging_2462/artfynd/A 59038-2024 artfynd.xlsx", "A 59038-2024")</f>
        <v/>
      </c>
      <c r="T51">
        <f>HYPERLINK("https://klasma.github.io/Logging_2462/kartor/A 59038-2024 karta.png", "A 59038-2024")</f>
        <v/>
      </c>
      <c r="V51">
        <f>HYPERLINK("https://klasma.github.io/Logging_2462/klagomål/A 59038-2024 FSC-klagomål.docx", "A 59038-2024")</f>
        <v/>
      </c>
      <c r="W51">
        <f>HYPERLINK("https://klasma.github.io/Logging_2462/klagomålsmail/A 59038-2024 FSC-klagomål mail.docx", "A 59038-2024")</f>
        <v/>
      </c>
      <c r="X51">
        <f>HYPERLINK("https://klasma.github.io/Logging_2462/tillsyn/A 59038-2024 tillsynsbegäran.docx", "A 59038-2024")</f>
        <v/>
      </c>
      <c r="Y51">
        <f>HYPERLINK("https://klasma.github.io/Logging_2462/tillsynsmail/A 59038-2024 tillsynsbegäran mail.docx", "A 59038-2024")</f>
        <v/>
      </c>
      <c r="Z51">
        <f>HYPERLINK("https://klasma.github.io/Logging_2462/fåglar/A 59038-2024 prioriterade fågelarter.docx", "A 59038-2024")</f>
        <v/>
      </c>
    </row>
    <row r="52" ht="15" customHeight="1">
      <c r="A52" t="inlineStr">
        <is>
          <t>A 15047-2024</t>
        </is>
      </c>
      <c r="B52" s="1" t="n">
        <v>45399</v>
      </c>
      <c r="C52" s="1" t="n">
        <v>45917</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45917</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45917</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45917</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45917</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45917</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45917</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45917</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45917</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30345-2024</t>
        </is>
      </c>
      <c r="B61" s="1" t="n">
        <v>45490</v>
      </c>
      <c r="C61" s="1" t="n">
        <v>45917</v>
      </c>
      <c r="D61" t="inlineStr">
        <is>
          <t>VÄSTERBOTTENS LÄN</t>
        </is>
      </c>
      <c r="E61" t="inlineStr">
        <is>
          <t>VILHELMINA</t>
        </is>
      </c>
      <c r="F61" t="inlineStr">
        <is>
          <t>SCA</t>
        </is>
      </c>
      <c r="G61" t="n">
        <v>4.1</v>
      </c>
      <c r="H61" t="n">
        <v>4</v>
      </c>
      <c r="I61" t="n">
        <v>1</v>
      </c>
      <c r="J61" t="n">
        <v>5</v>
      </c>
      <c r="K61" t="n">
        <v>0</v>
      </c>
      <c r="L61" t="n">
        <v>0</v>
      </c>
      <c r="M61" t="n">
        <v>0</v>
      </c>
      <c r="N61" t="n">
        <v>0</v>
      </c>
      <c r="O61" t="n">
        <v>5</v>
      </c>
      <c r="P61" t="n">
        <v>0</v>
      </c>
      <c r="Q61" t="n">
        <v>8</v>
      </c>
      <c r="R61" s="2" t="inlineStr">
        <is>
          <t>Gammelgransskål
Garnlav
Granticka
Talltita
Tretåig hackspett
Stuplav
Lavskrika
Orre</t>
        </is>
      </c>
      <c r="S61">
        <f>HYPERLINK("https://klasma.github.io/Logging_2462/artfynd/A 30345-2024 artfynd.xlsx", "A 30345-2024")</f>
        <v/>
      </c>
      <c r="T61">
        <f>HYPERLINK("https://klasma.github.io/Logging_2462/kartor/A 30345-2024 karta.png", "A 30345-2024")</f>
        <v/>
      </c>
      <c r="V61">
        <f>HYPERLINK("https://klasma.github.io/Logging_2462/klagomål/A 30345-2024 FSC-klagomål.docx", "A 30345-2024")</f>
        <v/>
      </c>
      <c r="W61">
        <f>HYPERLINK("https://klasma.github.io/Logging_2462/klagomålsmail/A 30345-2024 FSC-klagomål mail.docx", "A 30345-2024")</f>
        <v/>
      </c>
      <c r="X61">
        <f>HYPERLINK("https://klasma.github.io/Logging_2462/tillsyn/A 30345-2024 tillsynsbegäran.docx", "A 30345-2024")</f>
        <v/>
      </c>
      <c r="Y61">
        <f>HYPERLINK("https://klasma.github.io/Logging_2462/tillsynsmail/A 30345-2024 tillsynsbegäran mail.docx", "A 30345-2024")</f>
        <v/>
      </c>
      <c r="Z61">
        <f>HYPERLINK("https://klasma.github.io/Logging_2462/fåglar/A 30345-2024 prioriterade fågelarter.docx", "A 30345-2024")</f>
        <v/>
      </c>
    </row>
    <row r="62" ht="15" customHeight="1">
      <c r="A62" t="inlineStr">
        <is>
          <t>A 33322-2025</t>
        </is>
      </c>
      <c r="B62" s="1" t="n">
        <v>45841.3452662037</v>
      </c>
      <c r="C62" s="1" t="n">
        <v>45917</v>
      </c>
      <c r="D62" t="inlineStr">
        <is>
          <t>VÄSTERBOTTENS LÄN</t>
        </is>
      </c>
      <c r="E62" t="inlineStr">
        <is>
          <t>VILHELMINA</t>
        </is>
      </c>
      <c r="F62" t="inlineStr">
        <is>
          <t>SCA</t>
        </is>
      </c>
      <c r="G62" t="n">
        <v>3.4</v>
      </c>
      <c r="H62" t="n">
        <v>1</v>
      </c>
      <c r="I62" t="n">
        <v>1</v>
      </c>
      <c r="J62" t="n">
        <v>5</v>
      </c>
      <c r="K62" t="n">
        <v>1</v>
      </c>
      <c r="L62" t="n">
        <v>0</v>
      </c>
      <c r="M62" t="n">
        <v>0</v>
      </c>
      <c r="N62" t="n">
        <v>0</v>
      </c>
      <c r="O62" t="n">
        <v>6</v>
      </c>
      <c r="P62" t="n">
        <v>1</v>
      </c>
      <c r="Q62" t="n">
        <v>8</v>
      </c>
      <c r="R62" s="2" t="inlineStr">
        <is>
          <t>Rynkskinn
Gammelgransskål
Garnlav
Granticka
Lunglav
Skrovellav
Bronshjon
Fläcknycklar</t>
        </is>
      </c>
      <c r="S62">
        <f>HYPERLINK("https://klasma.github.io/Logging_2462/artfynd/A 33322-2025 artfynd.xlsx", "A 33322-2025")</f>
        <v/>
      </c>
      <c r="T62">
        <f>HYPERLINK("https://klasma.github.io/Logging_2462/kartor/A 33322-2025 karta.png", "A 33322-2025")</f>
        <v/>
      </c>
      <c r="V62">
        <f>HYPERLINK("https://klasma.github.io/Logging_2462/klagomål/A 33322-2025 FSC-klagomål.docx", "A 33322-2025")</f>
        <v/>
      </c>
      <c r="W62">
        <f>HYPERLINK("https://klasma.github.io/Logging_2462/klagomålsmail/A 33322-2025 FSC-klagomål mail.docx", "A 33322-2025")</f>
        <v/>
      </c>
      <c r="X62">
        <f>HYPERLINK("https://klasma.github.io/Logging_2462/tillsyn/A 33322-2025 tillsynsbegäran.docx", "A 33322-2025")</f>
        <v/>
      </c>
      <c r="Y62">
        <f>HYPERLINK("https://klasma.github.io/Logging_2462/tillsynsmail/A 33322-2025 tillsynsbegäran mail.docx", "A 33322-2025")</f>
        <v/>
      </c>
    </row>
    <row r="63" ht="15" customHeight="1">
      <c r="A63" t="inlineStr">
        <is>
          <t>A 56632-2024</t>
        </is>
      </c>
      <c r="B63" s="1" t="n">
        <v>45625</v>
      </c>
      <c r="C63" s="1" t="n">
        <v>45917</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26191-2022</t>
        </is>
      </c>
      <c r="B64" s="1" t="n">
        <v>44735</v>
      </c>
      <c r="C64" s="1" t="n">
        <v>45917</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45917</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45917</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28799-2024</t>
        </is>
      </c>
      <c r="B67" s="1" t="n">
        <v>45478</v>
      </c>
      <c r="C67" s="1" t="n">
        <v>45917</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45917</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18873-2025</t>
        </is>
      </c>
      <c r="B69" s="1" t="n">
        <v>45764</v>
      </c>
      <c r="C69" s="1" t="n">
        <v>45917</v>
      </c>
      <c r="D69" t="inlineStr">
        <is>
          <t>VÄSTERBOTTENS LÄN</t>
        </is>
      </c>
      <c r="E69" t="inlineStr">
        <is>
          <t>VILHELMINA</t>
        </is>
      </c>
      <c r="G69" t="n">
        <v>7.2</v>
      </c>
      <c r="H69" t="n">
        <v>1</v>
      </c>
      <c r="I69" t="n">
        <v>1</v>
      </c>
      <c r="J69" t="n">
        <v>5</v>
      </c>
      <c r="K69" t="n">
        <v>1</v>
      </c>
      <c r="L69" t="n">
        <v>0</v>
      </c>
      <c r="M69" t="n">
        <v>0</v>
      </c>
      <c r="N69" t="n">
        <v>0</v>
      </c>
      <c r="O69" t="n">
        <v>6</v>
      </c>
      <c r="P69" t="n">
        <v>1</v>
      </c>
      <c r="Q69" t="n">
        <v>7</v>
      </c>
      <c r="R69" s="2" t="inlineStr">
        <is>
          <t>Rynkskinn
Doftskinn
Granticka
Harticka
Rosenticka
Tretåig hackspett
Trådticka</t>
        </is>
      </c>
      <c r="S69">
        <f>HYPERLINK("https://klasma.github.io/Logging_2462/artfynd/A 18873-2025 artfynd.xlsx", "A 18873-2025")</f>
        <v/>
      </c>
      <c r="T69">
        <f>HYPERLINK("https://klasma.github.io/Logging_2462/kartor/A 18873-2025 karta.png", "A 18873-2025")</f>
        <v/>
      </c>
      <c r="V69">
        <f>HYPERLINK("https://klasma.github.io/Logging_2462/klagomål/A 18873-2025 FSC-klagomål.docx", "A 18873-2025")</f>
        <v/>
      </c>
      <c r="W69">
        <f>HYPERLINK("https://klasma.github.io/Logging_2462/klagomålsmail/A 18873-2025 FSC-klagomål mail.docx", "A 18873-2025")</f>
        <v/>
      </c>
      <c r="X69">
        <f>HYPERLINK("https://klasma.github.io/Logging_2462/tillsyn/A 18873-2025 tillsynsbegäran.docx", "A 18873-2025")</f>
        <v/>
      </c>
      <c r="Y69">
        <f>HYPERLINK("https://klasma.github.io/Logging_2462/tillsynsmail/A 18873-2025 tillsynsbegäran mail.docx", "A 18873-2025")</f>
        <v/>
      </c>
      <c r="Z69">
        <f>HYPERLINK("https://klasma.github.io/Logging_2462/fåglar/A 18873-2025 prioriterade fågelarter.docx", "A 18873-2025")</f>
        <v/>
      </c>
    </row>
    <row r="70" ht="15" customHeight="1">
      <c r="A70" t="inlineStr">
        <is>
          <t>A 15852-2022</t>
        </is>
      </c>
      <c r="B70" s="1" t="n">
        <v>44664</v>
      </c>
      <c r="C70" s="1" t="n">
        <v>45917</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35393-2024</t>
        </is>
      </c>
      <c r="B71" s="1" t="n">
        <v>45531</v>
      </c>
      <c r="C71" s="1" t="n">
        <v>45917</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45917</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47932-2024</t>
        </is>
      </c>
      <c r="B73" s="1" t="n">
        <v>45589</v>
      </c>
      <c r="C73" s="1" t="n">
        <v>45917</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45917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25564-2024</t>
        </is>
      </c>
      <c r="B75" s="1" t="n">
        <v>45463</v>
      </c>
      <c r="C75" s="1" t="n">
        <v>45917</v>
      </c>
      <c r="D75" t="inlineStr">
        <is>
          <t>VÄSTERBOTTENS LÄN</t>
        </is>
      </c>
      <c r="E75" t="inlineStr">
        <is>
          <t>VILHELMINA</t>
        </is>
      </c>
      <c r="F75" t="inlineStr">
        <is>
          <t>Sveaskog</t>
        </is>
      </c>
      <c r="G75" t="n">
        <v>4.2</v>
      </c>
      <c r="H75" t="n">
        <v>1</v>
      </c>
      <c r="I75" t="n">
        <v>1</v>
      </c>
      <c r="J75" t="n">
        <v>6</v>
      </c>
      <c r="K75" t="n">
        <v>0</v>
      </c>
      <c r="L75" t="n">
        <v>0</v>
      </c>
      <c r="M75" t="n">
        <v>0</v>
      </c>
      <c r="N75" t="n">
        <v>0</v>
      </c>
      <c r="O75" t="n">
        <v>6</v>
      </c>
      <c r="P75" t="n">
        <v>0</v>
      </c>
      <c r="Q75" t="n">
        <v>7</v>
      </c>
      <c r="R75" s="2" t="inlineStr">
        <is>
          <t>Gammelgransskål
Garnlav
Kandelabersvamp
Koralltaggsvamp
Tretåig hackspett
Vedtrappmossa
Blodticka</t>
        </is>
      </c>
      <c r="S75">
        <f>HYPERLINK("https://klasma.github.io/Logging_2462/artfynd/A 25564-2024 artfynd.xlsx", "A 25564-2024")</f>
        <v/>
      </c>
      <c r="T75">
        <f>HYPERLINK("https://klasma.github.io/Logging_2462/kartor/A 25564-2024 karta.png", "A 25564-2024")</f>
        <v/>
      </c>
      <c r="V75">
        <f>HYPERLINK("https://klasma.github.io/Logging_2462/klagomål/A 25564-2024 FSC-klagomål.docx", "A 25564-2024")</f>
        <v/>
      </c>
      <c r="W75">
        <f>HYPERLINK("https://klasma.github.io/Logging_2462/klagomålsmail/A 25564-2024 FSC-klagomål mail.docx", "A 25564-2024")</f>
        <v/>
      </c>
      <c r="X75">
        <f>HYPERLINK("https://klasma.github.io/Logging_2462/tillsyn/A 25564-2024 tillsynsbegäran.docx", "A 25564-2024")</f>
        <v/>
      </c>
      <c r="Y75">
        <f>HYPERLINK("https://klasma.github.io/Logging_2462/tillsynsmail/A 25564-2024 tillsynsbegäran mail.docx", "A 25564-2024")</f>
        <v/>
      </c>
      <c r="Z75">
        <f>HYPERLINK("https://klasma.github.io/Logging_2462/fåglar/A 25564-2024 prioriterade fågelarter.docx", "A 25564-2024")</f>
        <v/>
      </c>
    </row>
    <row r="76" ht="15" customHeight="1">
      <c r="A76" t="inlineStr">
        <is>
          <t>A 57099-2024</t>
        </is>
      </c>
      <c r="B76" s="1" t="n">
        <v>45629</v>
      </c>
      <c r="C76" s="1" t="n">
        <v>45917</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49135-2023</t>
        </is>
      </c>
      <c r="B77" s="1" t="n">
        <v>45205</v>
      </c>
      <c r="C77" s="1" t="n">
        <v>45917</v>
      </c>
      <c r="D77" t="inlineStr">
        <is>
          <t>VÄSTERBOTTENS LÄN</t>
        </is>
      </c>
      <c r="E77" t="inlineStr">
        <is>
          <t>VILHELMINA</t>
        </is>
      </c>
      <c r="F77" t="inlineStr">
        <is>
          <t>Allmännings- och besparingsskogar</t>
        </is>
      </c>
      <c r="G77" t="n">
        <v>5.1</v>
      </c>
      <c r="H77" t="n">
        <v>1</v>
      </c>
      <c r="I77" t="n">
        <v>1</v>
      </c>
      <c r="J77" t="n">
        <v>5</v>
      </c>
      <c r="K77" t="n">
        <v>0</v>
      </c>
      <c r="L77" t="n">
        <v>0</v>
      </c>
      <c r="M77" t="n">
        <v>0</v>
      </c>
      <c r="N77" t="n">
        <v>0</v>
      </c>
      <c r="O77" t="n">
        <v>5</v>
      </c>
      <c r="P77" t="n">
        <v>0</v>
      </c>
      <c r="Q77" t="n">
        <v>6</v>
      </c>
      <c r="R77" s="2" t="inlineStr">
        <is>
          <t>Blanksvart spiklav
Blågrå svartspik
Garnlav
Skrovellav
Tretåig hackspett
Skinnlav</t>
        </is>
      </c>
      <c r="S77">
        <f>HYPERLINK("https://klasma.github.io/Logging_2462/artfynd/A 49135-2023 artfynd.xlsx", "A 49135-2023")</f>
        <v/>
      </c>
      <c r="T77">
        <f>HYPERLINK("https://klasma.github.io/Logging_2462/kartor/A 49135-2023 karta.png", "A 49135-2023")</f>
        <v/>
      </c>
      <c r="V77">
        <f>HYPERLINK("https://klasma.github.io/Logging_2462/klagomål/A 49135-2023 FSC-klagomål.docx", "A 49135-2023")</f>
        <v/>
      </c>
      <c r="W77">
        <f>HYPERLINK("https://klasma.github.io/Logging_2462/klagomålsmail/A 49135-2023 FSC-klagomål mail.docx", "A 49135-2023")</f>
        <v/>
      </c>
      <c r="X77">
        <f>HYPERLINK("https://klasma.github.io/Logging_2462/tillsyn/A 49135-2023 tillsynsbegäran.docx", "A 49135-2023")</f>
        <v/>
      </c>
      <c r="Y77">
        <f>HYPERLINK("https://klasma.github.io/Logging_2462/tillsynsmail/A 49135-2023 tillsynsbegäran mail.docx", "A 49135-2023")</f>
        <v/>
      </c>
      <c r="Z77">
        <f>HYPERLINK("https://klasma.github.io/Logging_2462/fåglar/A 49135-2023 prioriterade fågelarter.docx", "A 49135-2023")</f>
        <v/>
      </c>
    </row>
    <row r="78" ht="15" customHeight="1">
      <c r="A78" t="inlineStr">
        <is>
          <t>A 38128-2024</t>
        </is>
      </c>
      <c r="B78" s="1" t="n">
        <v>45545</v>
      </c>
      <c r="C78" s="1" t="n">
        <v>45917</v>
      </c>
      <c r="D78" t="inlineStr">
        <is>
          <t>VÄSTERBOTTENS LÄN</t>
        </is>
      </c>
      <c r="E78" t="inlineStr">
        <is>
          <t>VILHELMINA</t>
        </is>
      </c>
      <c r="F78" t="inlineStr">
        <is>
          <t>SCA</t>
        </is>
      </c>
      <c r="G78" t="n">
        <v>9.5</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HYPERLINK("https://klasma.github.io/Logging_2462/artfynd/A 38128-2024 artfynd.xlsx", "A 38128-2024")</f>
        <v/>
      </c>
      <c r="T78">
        <f>HYPERLINK("https://klasma.github.io/Logging_2462/kartor/A 38128-2024 karta.png", "A 38128-2024")</f>
        <v/>
      </c>
      <c r="V78">
        <f>HYPERLINK("https://klasma.github.io/Logging_2462/klagomål/A 38128-2024 FSC-klagomål.docx", "A 38128-2024")</f>
        <v/>
      </c>
      <c r="W78">
        <f>HYPERLINK("https://klasma.github.io/Logging_2462/klagomålsmail/A 38128-2024 FSC-klagomål mail.docx", "A 38128-2024")</f>
        <v/>
      </c>
      <c r="X78">
        <f>HYPERLINK("https://klasma.github.io/Logging_2462/tillsyn/A 38128-2024 tillsynsbegäran.docx", "A 38128-2024")</f>
        <v/>
      </c>
      <c r="Y78">
        <f>HYPERLINK("https://klasma.github.io/Logging_2462/tillsynsmail/A 38128-2024 tillsynsbegäran mail.docx", "A 38128-2024")</f>
        <v/>
      </c>
      <c r="Z78">
        <f>HYPERLINK("https://klasma.github.io/Logging_2462/fåglar/A 38128-2024 prioriterade fågelarter.docx", "A 38128-2024")</f>
        <v/>
      </c>
    </row>
    <row r="79" ht="15" customHeight="1">
      <c r="A79" t="inlineStr">
        <is>
          <t>A 39678-2024</t>
        </is>
      </c>
      <c r="B79" s="1" t="n">
        <v>45552</v>
      </c>
      <c r="C79" s="1" t="n">
        <v>45917</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38540-2024</t>
        </is>
      </c>
      <c r="B80" s="1" t="n">
        <v>45546</v>
      </c>
      <c r="C80" s="1" t="n">
        <v>45917</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25040-2025</t>
        </is>
      </c>
      <c r="B81" s="1" t="n">
        <v>45799.65734953704</v>
      </c>
      <c r="C81" s="1" t="n">
        <v>45917</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45917</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44874-2024</t>
        </is>
      </c>
      <c r="B83" s="1" t="n">
        <v>45575</v>
      </c>
      <c r="C83" s="1" t="n">
        <v>45917</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896-2025</t>
        </is>
      </c>
      <c r="B84" s="1" t="n">
        <v>45665</v>
      </c>
      <c r="C84" s="1" t="n">
        <v>45917</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45917</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38124-2024</t>
        </is>
      </c>
      <c r="B86" s="1" t="n">
        <v>45545</v>
      </c>
      <c r="C86" s="1" t="n">
        <v>45917</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28867-2024</t>
        </is>
      </c>
      <c r="B87" s="1" t="n">
        <v>45478</v>
      </c>
      <c r="C87" s="1" t="n">
        <v>45917</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40736-2024</t>
        </is>
      </c>
      <c r="B88" s="1" t="n">
        <v>45558</v>
      </c>
      <c r="C88" s="1" t="n">
        <v>45917</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45917</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45917</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45917</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45917</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45917</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38123-2024</t>
        </is>
      </c>
      <c r="B94" s="1" t="n">
        <v>45545</v>
      </c>
      <c r="C94" s="1" t="n">
        <v>45917</v>
      </c>
      <c r="D94" t="inlineStr">
        <is>
          <t>VÄSTERBOTTENS LÄN</t>
        </is>
      </c>
      <c r="E94" t="inlineStr">
        <is>
          <t>VILHELMINA</t>
        </is>
      </c>
      <c r="F94" t="inlineStr">
        <is>
          <t>SCA</t>
        </is>
      </c>
      <c r="G94" t="n">
        <v>4.8</v>
      </c>
      <c r="H94" t="n">
        <v>2</v>
      </c>
      <c r="I94" t="n">
        <v>0</v>
      </c>
      <c r="J94" t="n">
        <v>3</v>
      </c>
      <c r="K94" t="n">
        <v>0</v>
      </c>
      <c r="L94" t="n">
        <v>0</v>
      </c>
      <c r="M94" t="n">
        <v>0</v>
      </c>
      <c r="N94" t="n">
        <v>0</v>
      </c>
      <c r="O94" t="n">
        <v>3</v>
      </c>
      <c r="P94" t="n">
        <v>0</v>
      </c>
      <c r="Q94" t="n">
        <v>3</v>
      </c>
      <c r="R94" s="2" t="inlineStr">
        <is>
          <t>Garnlav
Spillkråka
Tretåig hackspett</t>
        </is>
      </c>
      <c r="S94">
        <f>HYPERLINK("https://klasma.github.io/Logging_2462/artfynd/A 38123-2024 artfynd.xlsx", "A 38123-2024")</f>
        <v/>
      </c>
      <c r="T94">
        <f>HYPERLINK("https://klasma.github.io/Logging_2462/kartor/A 38123-2024 karta.png", "A 38123-2024")</f>
        <v/>
      </c>
      <c r="V94">
        <f>HYPERLINK("https://klasma.github.io/Logging_2462/klagomål/A 38123-2024 FSC-klagomål.docx", "A 38123-2024")</f>
        <v/>
      </c>
      <c r="W94">
        <f>HYPERLINK("https://klasma.github.io/Logging_2462/klagomålsmail/A 38123-2024 FSC-klagomål mail.docx", "A 38123-2024")</f>
        <v/>
      </c>
      <c r="X94">
        <f>HYPERLINK("https://klasma.github.io/Logging_2462/tillsyn/A 38123-2024 tillsynsbegäran.docx", "A 38123-2024")</f>
        <v/>
      </c>
      <c r="Y94">
        <f>HYPERLINK("https://klasma.github.io/Logging_2462/tillsynsmail/A 38123-2024 tillsynsbegäran mail.docx", "A 38123-2024")</f>
        <v/>
      </c>
      <c r="Z94">
        <f>HYPERLINK("https://klasma.github.io/Logging_2462/fåglar/A 38123-2024 prioriterade fågelarter.docx", "A 38123-2024")</f>
        <v/>
      </c>
    </row>
    <row r="95" ht="15" customHeight="1">
      <c r="A95" t="inlineStr">
        <is>
          <t>A 32779-2025</t>
        </is>
      </c>
      <c r="B95" s="1" t="n">
        <v>45839.46946759259</v>
      </c>
      <c r="C95" s="1" t="n">
        <v>45917</v>
      </c>
      <c r="D95" t="inlineStr">
        <is>
          <t>VÄSTERBOTTENS LÄN</t>
        </is>
      </c>
      <c r="E95" t="inlineStr">
        <is>
          <t>VILHELMINA</t>
        </is>
      </c>
      <c r="F95" t="inlineStr">
        <is>
          <t>SCA</t>
        </is>
      </c>
      <c r="G95" t="n">
        <v>13.6</v>
      </c>
      <c r="H95" t="n">
        <v>0</v>
      </c>
      <c r="I95" t="n">
        <v>1</v>
      </c>
      <c r="J95" t="n">
        <v>2</v>
      </c>
      <c r="K95" t="n">
        <v>0</v>
      </c>
      <c r="L95" t="n">
        <v>0</v>
      </c>
      <c r="M95" t="n">
        <v>0</v>
      </c>
      <c r="N95" t="n">
        <v>0</v>
      </c>
      <c r="O95" t="n">
        <v>2</v>
      </c>
      <c r="P95" t="n">
        <v>0</v>
      </c>
      <c r="Q95" t="n">
        <v>3</v>
      </c>
      <c r="R95" s="2" t="inlineStr">
        <is>
          <t>Doftskinn
Lunglav
Stuplav</t>
        </is>
      </c>
      <c r="S95">
        <f>HYPERLINK("https://klasma.github.io/Logging_2462/artfynd/A 32779-2025 artfynd.xlsx", "A 32779-2025")</f>
        <v/>
      </c>
      <c r="T95">
        <f>HYPERLINK("https://klasma.github.io/Logging_2462/kartor/A 32779-2025 karta.png", "A 32779-2025")</f>
        <v/>
      </c>
      <c r="V95">
        <f>HYPERLINK("https://klasma.github.io/Logging_2462/klagomål/A 32779-2025 FSC-klagomål.docx", "A 32779-2025")</f>
        <v/>
      </c>
      <c r="W95">
        <f>HYPERLINK("https://klasma.github.io/Logging_2462/klagomålsmail/A 32779-2025 FSC-klagomål mail.docx", "A 32779-2025")</f>
        <v/>
      </c>
      <c r="X95">
        <f>HYPERLINK("https://klasma.github.io/Logging_2462/tillsyn/A 32779-2025 tillsynsbegäran.docx", "A 32779-2025")</f>
        <v/>
      </c>
      <c r="Y95">
        <f>HYPERLINK("https://klasma.github.io/Logging_2462/tillsynsmail/A 32779-2025 tillsynsbegäran mail.docx", "A 32779-2025")</f>
        <v/>
      </c>
    </row>
    <row r="96" ht="15" customHeight="1">
      <c r="A96" t="inlineStr">
        <is>
          <t>A 41646-2024</t>
        </is>
      </c>
      <c r="B96" s="1" t="n">
        <v>45560</v>
      </c>
      <c r="C96" s="1" t="n">
        <v>45917</v>
      </c>
      <c r="D96" t="inlineStr">
        <is>
          <t>VÄSTERBOTTENS LÄN</t>
        </is>
      </c>
      <c r="E96" t="inlineStr">
        <is>
          <t>VILHELMINA</t>
        </is>
      </c>
      <c r="F96" t="inlineStr">
        <is>
          <t>SCA</t>
        </is>
      </c>
      <c r="G96" t="n">
        <v>4.8</v>
      </c>
      <c r="H96" t="n">
        <v>1</v>
      </c>
      <c r="I96" t="n">
        <v>0</v>
      </c>
      <c r="J96" t="n">
        <v>3</v>
      </c>
      <c r="K96" t="n">
        <v>0</v>
      </c>
      <c r="L96" t="n">
        <v>0</v>
      </c>
      <c r="M96" t="n">
        <v>0</v>
      </c>
      <c r="N96" t="n">
        <v>0</v>
      </c>
      <c r="O96" t="n">
        <v>3</v>
      </c>
      <c r="P96" t="n">
        <v>0</v>
      </c>
      <c r="Q96" t="n">
        <v>3</v>
      </c>
      <c r="R96" s="2" t="inlineStr">
        <is>
          <t>Garnlav
Tretåig hackspett
Ullticka</t>
        </is>
      </c>
      <c r="S96">
        <f>HYPERLINK("https://klasma.github.io/Logging_2462/artfynd/A 41646-2024 artfynd.xlsx", "A 41646-2024")</f>
        <v/>
      </c>
      <c r="T96">
        <f>HYPERLINK("https://klasma.github.io/Logging_2462/kartor/A 41646-2024 karta.png", "A 41646-2024")</f>
        <v/>
      </c>
      <c r="V96">
        <f>HYPERLINK("https://klasma.github.io/Logging_2462/klagomål/A 41646-2024 FSC-klagomål.docx", "A 41646-2024")</f>
        <v/>
      </c>
      <c r="W96">
        <f>HYPERLINK("https://klasma.github.io/Logging_2462/klagomålsmail/A 41646-2024 FSC-klagomål mail.docx", "A 41646-2024")</f>
        <v/>
      </c>
      <c r="X96">
        <f>HYPERLINK("https://klasma.github.io/Logging_2462/tillsyn/A 41646-2024 tillsynsbegäran.docx", "A 41646-2024")</f>
        <v/>
      </c>
      <c r="Y96">
        <f>HYPERLINK("https://klasma.github.io/Logging_2462/tillsynsmail/A 41646-2024 tillsynsbegäran mail.docx", "A 41646-2024")</f>
        <v/>
      </c>
      <c r="Z96">
        <f>HYPERLINK("https://klasma.github.io/Logging_2462/fåglar/A 41646-2024 prioriterade fågelarter.docx", "A 41646-2024")</f>
        <v/>
      </c>
    </row>
    <row r="97" ht="15" customHeight="1">
      <c r="A97" t="inlineStr">
        <is>
          <t>A 42063-2024</t>
        </is>
      </c>
      <c r="B97" s="1" t="n">
        <v>45561</v>
      </c>
      <c r="C97" s="1" t="n">
        <v>45917</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56618-2024</t>
        </is>
      </c>
      <c r="B98" s="1" t="n">
        <v>45625</v>
      </c>
      <c r="C98" s="1" t="n">
        <v>45917</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65382-2021</t>
        </is>
      </c>
      <c r="B99" s="1" t="n">
        <v>44515</v>
      </c>
      <c r="C99" s="1" t="n">
        <v>45917</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38534-2024</t>
        </is>
      </c>
      <c r="B100" s="1" t="n">
        <v>45546</v>
      </c>
      <c r="C100" s="1" t="n">
        <v>45917</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9157-2023</t>
        </is>
      </c>
      <c r="B101" s="1" t="n">
        <v>44972</v>
      </c>
      <c r="C101" s="1" t="n">
        <v>45917</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60737-2024</t>
        </is>
      </c>
      <c r="B102" s="1" t="n">
        <v>45644</v>
      </c>
      <c r="C102" s="1" t="n">
        <v>45917</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16463-2025</t>
        </is>
      </c>
      <c r="B103" s="1" t="n">
        <v>45751</v>
      </c>
      <c r="C103" s="1" t="n">
        <v>45917</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11980-2021</t>
        </is>
      </c>
      <c r="B104" s="1" t="n">
        <v>44266</v>
      </c>
      <c r="C104" s="1" t="n">
        <v>45917</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19234-2021</t>
        </is>
      </c>
      <c r="B105" s="1" t="n">
        <v>44309</v>
      </c>
      <c r="C105" s="1" t="n">
        <v>45917</v>
      </c>
      <c r="D105" t="inlineStr">
        <is>
          <t>VÄSTERBOTTENS LÄN</t>
        </is>
      </c>
      <c r="E105" t="inlineStr">
        <is>
          <t>VILHELMINA</t>
        </is>
      </c>
      <c r="F105" t="inlineStr">
        <is>
          <t>Övriga Aktiebolag</t>
        </is>
      </c>
      <c r="G105" t="n">
        <v>12</v>
      </c>
      <c r="H105" t="n">
        <v>0</v>
      </c>
      <c r="I105" t="n">
        <v>0</v>
      </c>
      <c r="J105" t="n">
        <v>2</v>
      </c>
      <c r="K105" t="n">
        <v>0</v>
      </c>
      <c r="L105" t="n">
        <v>0</v>
      </c>
      <c r="M105" t="n">
        <v>0</v>
      </c>
      <c r="N105" t="n">
        <v>0</v>
      </c>
      <c r="O105" t="n">
        <v>2</v>
      </c>
      <c r="P105" t="n">
        <v>0</v>
      </c>
      <c r="Q105" t="n">
        <v>2</v>
      </c>
      <c r="R105" s="2" t="inlineStr">
        <is>
          <t>Granticka
Harticka</t>
        </is>
      </c>
      <c r="S105">
        <f>HYPERLINK("https://klasma.github.io/Logging_2462/artfynd/A 19234-2021 artfynd.xlsx", "A 19234-2021")</f>
        <v/>
      </c>
      <c r="T105">
        <f>HYPERLINK("https://klasma.github.io/Logging_2462/kartor/A 19234-2021 karta.png", "A 19234-2021")</f>
        <v/>
      </c>
      <c r="V105">
        <f>HYPERLINK("https://klasma.github.io/Logging_2462/klagomål/A 19234-2021 FSC-klagomål.docx", "A 19234-2021")</f>
        <v/>
      </c>
      <c r="W105">
        <f>HYPERLINK("https://klasma.github.io/Logging_2462/klagomålsmail/A 19234-2021 FSC-klagomål mail.docx", "A 19234-2021")</f>
        <v/>
      </c>
      <c r="X105">
        <f>HYPERLINK("https://klasma.github.io/Logging_2462/tillsyn/A 19234-2021 tillsynsbegäran.docx", "A 19234-2021")</f>
        <v/>
      </c>
      <c r="Y105">
        <f>HYPERLINK("https://klasma.github.io/Logging_2462/tillsynsmail/A 19234-2021 tillsynsbegäran mail.docx", "A 19234-2021")</f>
        <v/>
      </c>
    </row>
    <row r="106" ht="15" customHeight="1">
      <c r="A106" t="inlineStr">
        <is>
          <t>A 57861-2020</t>
        </is>
      </c>
      <c r="B106" s="1" t="n">
        <v>44141</v>
      </c>
      <c r="C106" s="1" t="n">
        <v>45917</v>
      </c>
      <c r="D106" t="inlineStr">
        <is>
          <t>VÄSTERBOTTENS LÄN</t>
        </is>
      </c>
      <c r="E106" t="inlineStr">
        <is>
          <t>VILHELMINA</t>
        </is>
      </c>
      <c r="F106" t="inlineStr">
        <is>
          <t>Sveaskog</t>
        </is>
      </c>
      <c r="G106" t="n">
        <v>11.9</v>
      </c>
      <c r="H106" t="n">
        <v>0</v>
      </c>
      <c r="I106" t="n">
        <v>0</v>
      </c>
      <c r="J106" t="n">
        <v>1</v>
      </c>
      <c r="K106" t="n">
        <v>1</v>
      </c>
      <c r="L106" t="n">
        <v>0</v>
      </c>
      <c r="M106" t="n">
        <v>0</v>
      </c>
      <c r="N106" t="n">
        <v>0</v>
      </c>
      <c r="O106" t="n">
        <v>2</v>
      </c>
      <c r="P106" t="n">
        <v>1</v>
      </c>
      <c r="Q106" t="n">
        <v>2</v>
      </c>
      <c r="R106" s="2" t="inlineStr">
        <is>
          <t>Fläckporing
Mörk kolflarnlav</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54779-2024</t>
        </is>
      </c>
      <c r="B107" s="1" t="n">
        <v>45618</v>
      </c>
      <c r="C107" s="1" t="n">
        <v>45917</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46391-2024</t>
        </is>
      </c>
      <c r="B108" s="1" t="n">
        <v>45582</v>
      </c>
      <c r="C108" s="1" t="n">
        <v>45917</v>
      </c>
      <c r="D108" t="inlineStr">
        <is>
          <t>VÄSTERBOTTENS LÄN</t>
        </is>
      </c>
      <c r="E108" t="inlineStr">
        <is>
          <t>VILHELMINA</t>
        </is>
      </c>
      <c r="F108" t="inlineStr">
        <is>
          <t>SCA</t>
        </is>
      </c>
      <c r="G108" t="n">
        <v>23.4</v>
      </c>
      <c r="H108" t="n">
        <v>0</v>
      </c>
      <c r="I108" t="n">
        <v>0</v>
      </c>
      <c r="J108" t="n">
        <v>2</v>
      </c>
      <c r="K108" t="n">
        <v>0</v>
      </c>
      <c r="L108" t="n">
        <v>0</v>
      </c>
      <c r="M108" t="n">
        <v>0</v>
      </c>
      <c r="N108" t="n">
        <v>0</v>
      </c>
      <c r="O108" t="n">
        <v>2</v>
      </c>
      <c r="P108" t="n">
        <v>0</v>
      </c>
      <c r="Q108" t="n">
        <v>2</v>
      </c>
      <c r="R108" s="2" t="inlineStr">
        <is>
          <t>Granticka
Gränsticka</t>
        </is>
      </c>
      <c r="S108">
        <f>HYPERLINK("https://klasma.github.io/Logging_2462/artfynd/A 46391-2024 artfynd.xlsx", "A 46391-2024")</f>
        <v/>
      </c>
      <c r="T108">
        <f>HYPERLINK("https://klasma.github.io/Logging_2462/kartor/A 46391-2024 karta.png", "A 46391-2024")</f>
        <v/>
      </c>
      <c r="V108">
        <f>HYPERLINK("https://klasma.github.io/Logging_2462/klagomål/A 46391-2024 FSC-klagomål.docx", "A 46391-2024")</f>
        <v/>
      </c>
      <c r="W108">
        <f>HYPERLINK("https://klasma.github.io/Logging_2462/klagomålsmail/A 46391-2024 FSC-klagomål mail.docx", "A 46391-2024")</f>
        <v/>
      </c>
      <c r="X108">
        <f>HYPERLINK("https://klasma.github.io/Logging_2462/tillsyn/A 46391-2024 tillsynsbegäran.docx", "A 46391-2024")</f>
        <v/>
      </c>
      <c r="Y108">
        <f>HYPERLINK("https://klasma.github.io/Logging_2462/tillsynsmail/A 46391-2024 tillsynsbegäran mail.docx", "A 46391-2024")</f>
        <v/>
      </c>
    </row>
    <row r="109" ht="15" customHeight="1">
      <c r="A109" t="inlineStr">
        <is>
          <t>A 29140-2025</t>
        </is>
      </c>
      <c r="B109" s="1" t="n">
        <v>45821</v>
      </c>
      <c r="C109" s="1" t="n">
        <v>45917</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37785-2021</t>
        </is>
      </c>
      <c r="B110" s="1" t="n">
        <v>44401</v>
      </c>
      <c r="C110" s="1" t="n">
        <v>45917</v>
      </c>
      <c r="D110" t="inlineStr">
        <is>
          <t>VÄSTERBOTTENS LÄN</t>
        </is>
      </c>
      <c r="E110" t="inlineStr">
        <is>
          <t>VILHELMINA</t>
        </is>
      </c>
      <c r="G110" t="n">
        <v>51.5</v>
      </c>
      <c r="H110" t="n">
        <v>1</v>
      </c>
      <c r="I110" t="n">
        <v>0</v>
      </c>
      <c r="J110" t="n">
        <v>1</v>
      </c>
      <c r="K110" t="n">
        <v>0</v>
      </c>
      <c r="L110" t="n">
        <v>0</v>
      </c>
      <c r="M110" t="n">
        <v>0</v>
      </c>
      <c r="N110" t="n">
        <v>0</v>
      </c>
      <c r="O110" t="n">
        <v>1</v>
      </c>
      <c r="P110" t="n">
        <v>0</v>
      </c>
      <c r="Q110" t="n">
        <v>2</v>
      </c>
      <c r="R110" s="2" t="inlineStr">
        <is>
          <t>Ullticka
Fläcknycklar</t>
        </is>
      </c>
      <c r="S110">
        <f>HYPERLINK("https://klasma.github.io/Logging_2462/artfynd/A 37785-2021 artfynd.xlsx", "A 37785-2021")</f>
        <v/>
      </c>
      <c r="T110">
        <f>HYPERLINK("https://klasma.github.io/Logging_2462/kartor/A 37785-2021 karta.png", "A 37785-2021")</f>
        <v/>
      </c>
      <c r="V110">
        <f>HYPERLINK("https://klasma.github.io/Logging_2462/klagomål/A 37785-2021 FSC-klagomål.docx", "A 37785-2021")</f>
        <v/>
      </c>
      <c r="W110">
        <f>HYPERLINK("https://klasma.github.io/Logging_2462/klagomålsmail/A 37785-2021 FSC-klagomål mail.docx", "A 37785-2021")</f>
        <v/>
      </c>
      <c r="X110">
        <f>HYPERLINK("https://klasma.github.io/Logging_2462/tillsyn/A 37785-2021 tillsynsbegäran.docx", "A 37785-2021")</f>
        <v/>
      </c>
      <c r="Y110">
        <f>HYPERLINK("https://klasma.github.io/Logging_2462/tillsynsmail/A 37785-2021 tillsynsbegäran mail.docx", "A 37785-2021")</f>
        <v/>
      </c>
    </row>
    <row r="111" ht="15" customHeight="1">
      <c r="A111" t="inlineStr">
        <is>
          <t>A 64030-2023</t>
        </is>
      </c>
      <c r="B111" s="1" t="n">
        <v>45278</v>
      </c>
      <c r="C111" s="1" t="n">
        <v>45917</v>
      </c>
      <c r="D111" t="inlineStr">
        <is>
          <t>VÄSTERBOTTENS LÄN</t>
        </is>
      </c>
      <c r="E111" t="inlineStr">
        <is>
          <t>VILHELMINA</t>
        </is>
      </c>
      <c r="F111" t="inlineStr">
        <is>
          <t>SCA</t>
        </is>
      </c>
      <c r="G111" t="n">
        <v>1.7</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64030-2023 artfynd.xlsx", "A 64030-2023")</f>
        <v/>
      </c>
      <c r="T111">
        <f>HYPERLINK("https://klasma.github.io/Logging_2462/kartor/A 64030-2023 karta.png", "A 64030-2023")</f>
        <v/>
      </c>
      <c r="V111">
        <f>HYPERLINK("https://klasma.github.io/Logging_2462/klagomål/A 64030-2023 FSC-klagomål.docx", "A 64030-2023")</f>
        <v/>
      </c>
      <c r="W111">
        <f>HYPERLINK("https://klasma.github.io/Logging_2462/klagomålsmail/A 64030-2023 FSC-klagomål mail.docx", "A 64030-2023")</f>
        <v/>
      </c>
      <c r="X111">
        <f>HYPERLINK("https://klasma.github.io/Logging_2462/tillsyn/A 64030-2023 tillsynsbegäran.docx", "A 64030-2023")</f>
        <v/>
      </c>
      <c r="Y111">
        <f>HYPERLINK("https://klasma.github.io/Logging_2462/tillsynsmail/A 64030-2023 tillsynsbegäran mail.docx", "A 64030-2023")</f>
        <v/>
      </c>
      <c r="Z111">
        <f>HYPERLINK("https://klasma.github.io/Logging_2462/fåglar/A 64030-2023 prioriterade fågelarter.docx", "A 64030-2023")</f>
        <v/>
      </c>
    </row>
    <row r="112" ht="15" customHeight="1">
      <c r="A112" t="inlineStr">
        <is>
          <t>A 28012-2023</t>
        </is>
      </c>
      <c r="B112" s="1" t="n">
        <v>45098</v>
      </c>
      <c r="C112" s="1" t="n">
        <v>45917</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31735-2025</t>
        </is>
      </c>
      <c r="B113" s="1" t="n">
        <v>45834.47067129629</v>
      </c>
      <c r="C113" s="1" t="n">
        <v>45917</v>
      </c>
      <c r="D113" t="inlineStr">
        <is>
          <t>VÄSTERBOTTENS LÄN</t>
        </is>
      </c>
      <c r="E113" t="inlineStr">
        <is>
          <t>VILHELMINA</t>
        </is>
      </c>
      <c r="F113" t="inlineStr">
        <is>
          <t>SCA</t>
        </is>
      </c>
      <c r="G113" t="n">
        <v>7.4</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31735-2025 artfynd.xlsx", "A 31735-2025")</f>
        <v/>
      </c>
      <c r="T113">
        <f>HYPERLINK("https://klasma.github.io/Logging_2462/kartor/A 31735-2025 karta.png", "A 31735-2025")</f>
        <v/>
      </c>
      <c r="V113">
        <f>HYPERLINK("https://klasma.github.io/Logging_2462/klagomål/A 31735-2025 FSC-klagomål.docx", "A 31735-2025")</f>
        <v/>
      </c>
      <c r="W113">
        <f>HYPERLINK("https://klasma.github.io/Logging_2462/klagomålsmail/A 31735-2025 FSC-klagomål mail.docx", "A 31735-2025")</f>
        <v/>
      </c>
      <c r="X113">
        <f>HYPERLINK("https://klasma.github.io/Logging_2462/tillsyn/A 31735-2025 tillsynsbegäran.docx", "A 31735-2025")</f>
        <v/>
      </c>
      <c r="Y113">
        <f>HYPERLINK("https://klasma.github.io/Logging_2462/tillsynsmail/A 31735-2025 tillsynsbegäran mail.docx", "A 31735-2025")</f>
        <v/>
      </c>
    </row>
    <row r="114" ht="15" customHeight="1">
      <c r="A114" t="inlineStr">
        <is>
          <t>A 37513-2024</t>
        </is>
      </c>
      <c r="B114" s="1" t="n">
        <v>45541.38572916666</v>
      </c>
      <c r="C114" s="1" t="n">
        <v>45917</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41645-2024</t>
        </is>
      </c>
      <c r="B115" s="1" t="n">
        <v>45560</v>
      </c>
      <c r="C115" s="1" t="n">
        <v>45917</v>
      </c>
      <c r="D115" t="inlineStr">
        <is>
          <t>VÄSTERBOTTENS LÄN</t>
        </is>
      </c>
      <c r="E115" t="inlineStr">
        <is>
          <t>VILHELMINA</t>
        </is>
      </c>
      <c r="F115" t="inlineStr">
        <is>
          <t>SCA</t>
        </is>
      </c>
      <c r="G115" t="n">
        <v>10.4</v>
      </c>
      <c r="H115" t="n">
        <v>1</v>
      </c>
      <c r="I115" t="n">
        <v>1</v>
      </c>
      <c r="J115" t="n">
        <v>1</v>
      </c>
      <c r="K115" t="n">
        <v>0</v>
      </c>
      <c r="L115" t="n">
        <v>0</v>
      </c>
      <c r="M115" t="n">
        <v>0</v>
      </c>
      <c r="N115" t="n">
        <v>0</v>
      </c>
      <c r="O115" t="n">
        <v>1</v>
      </c>
      <c r="P115" t="n">
        <v>0</v>
      </c>
      <c r="Q115" t="n">
        <v>2</v>
      </c>
      <c r="R115" s="2" t="inlineStr">
        <is>
          <t>Gammelgransskål
Lappranunkel</t>
        </is>
      </c>
      <c r="S115">
        <f>HYPERLINK("https://klasma.github.io/Logging_2462/artfynd/A 41645-2024 artfynd.xlsx", "A 41645-2024")</f>
        <v/>
      </c>
      <c r="T115">
        <f>HYPERLINK("https://klasma.github.io/Logging_2462/kartor/A 41645-2024 karta.png", "A 41645-2024")</f>
        <v/>
      </c>
      <c r="V115">
        <f>HYPERLINK("https://klasma.github.io/Logging_2462/klagomål/A 41645-2024 FSC-klagomål.docx", "A 41645-2024")</f>
        <v/>
      </c>
      <c r="W115">
        <f>HYPERLINK("https://klasma.github.io/Logging_2462/klagomålsmail/A 41645-2024 FSC-klagomål mail.docx", "A 41645-2024")</f>
        <v/>
      </c>
      <c r="X115">
        <f>HYPERLINK("https://klasma.github.io/Logging_2462/tillsyn/A 41645-2024 tillsynsbegäran.docx", "A 41645-2024")</f>
        <v/>
      </c>
      <c r="Y115">
        <f>HYPERLINK("https://klasma.github.io/Logging_2462/tillsynsmail/A 41645-2024 tillsynsbegäran mail.docx", "A 41645-2024")</f>
        <v/>
      </c>
    </row>
    <row r="116" ht="15" customHeight="1">
      <c r="A116" t="inlineStr">
        <is>
          <t>A 69023-2021</t>
        </is>
      </c>
      <c r="B116" s="1" t="n">
        <v>44529</v>
      </c>
      <c r="C116" s="1" t="n">
        <v>45917</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25037-2024</t>
        </is>
      </c>
      <c r="B117" s="1" t="n">
        <v>45461</v>
      </c>
      <c r="C117" s="1" t="n">
        <v>45917</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6704-2021</t>
        </is>
      </c>
      <c r="B118" s="1" t="n">
        <v>44235</v>
      </c>
      <c r="C118" s="1" t="n">
        <v>45917</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45917</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42274-2025</t>
        </is>
      </c>
      <c r="B120" s="1" t="n">
        <v>45903</v>
      </c>
      <c r="C120" s="1" t="n">
        <v>45917</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60379-2024</t>
        </is>
      </c>
      <c r="B121" s="1" t="n">
        <v>45643</v>
      </c>
      <c r="C121" s="1" t="n">
        <v>45917</v>
      </c>
      <c r="D121" t="inlineStr">
        <is>
          <t>VÄSTERBOTTENS LÄN</t>
        </is>
      </c>
      <c r="E121" t="inlineStr">
        <is>
          <t>VILHELMINA</t>
        </is>
      </c>
      <c r="F121" t="inlineStr">
        <is>
          <t>SCA</t>
        </is>
      </c>
      <c r="G121" t="n">
        <v>12.4</v>
      </c>
      <c r="H121" t="n">
        <v>0</v>
      </c>
      <c r="I121" t="n">
        <v>0</v>
      </c>
      <c r="J121" t="n">
        <v>2</v>
      </c>
      <c r="K121" t="n">
        <v>0</v>
      </c>
      <c r="L121" t="n">
        <v>0</v>
      </c>
      <c r="M121" t="n">
        <v>0</v>
      </c>
      <c r="N121" t="n">
        <v>0</v>
      </c>
      <c r="O121" t="n">
        <v>2</v>
      </c>
      <c r="P121" t="n">
        <v>0</v>
      </c>
      <c r="Q121" t="n">
        <v>2</v>
      </c>
      <c r="R121" s="2" t="inlineStr">
        <is>
          <t>Skrovellav
Ullticka</t>
        </is>
      </c>
      <c r="S121">
        <f>HYPERLINK("https://klasma.github.io/Logging_2462/artfynd/A 60379-2024 artfynd.xlsx", "A 60379-2024")</f>
        <v/>
      </c>
      <c r="T121">
        <f>HYPERLINK("https://klasma.github.io/Logging_2462/kartor/A 60379-2024 karta.png", "A 60379-2024")</f>
        <v/>
      </c>
      <c r="V121">
        <f>HYPERLINK("https://klasma.github.io/Logging_2462/klagomål/A 60379-2024 FSC-klagomål.docx", "A 60379-2024")</f>
        <v/>
      </c>
      <c r="W121">
        <f>HYPERLINK("https://klasma.github.io/Logging_2462/klagomålsmail/A 60379-2024 FSC-klagomål mail.docx", "A 60379-2024")</f>
        <v/>
      </c>
      <c r="X121">
        <f>HYPERLINK("https://klasma.github.io/Logging_2462/tillsyn/A 60379-2024 tillsynsbegäran.docx", "A 60379-2024")</f>
        <v/>
      </c>
      <c r="Y121">
        <f>HYPERLINK("https://klasma.github.io/Logging_2462/tillsynsmail/A 60379-2024 tillsynsbegäran mail.docx", "A 60379-2024")</f>
        <v/>
      </c>
    </row>
    <row r="122" ht="15" customHeight="1">
      <c r="A122" t="inlineStr">
        <is>
          <t>A 36998-2025</t>
        </is>
      </c>
      <c r="B122" s="1" t="n">
        <v>45874</v>
      </c>
      <c r="C122" s="1" t="n">
        <v>45917</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20983-2025</t>
        </is>
      </c>
      <c r="B123" s="1" t="n">
        <v>45777.46910879629</v>
      </c>
      <c r="C123" s="1" t="n">
        <v>45917</v>
      </c>
      <c r="D123" t="inlineStr">
        <is>
          <t>VÄSTERBOTTENS LÄN</t>
        </is>
      </c>
      <c r="E123" t="inlineStr">
        <is>
          <t>VILHELMINA</t>
        </is>
      </c>
      <c r="F123" t="inlineStr">
        <is>
          <t>SCA</t>
        </is>
      </c>
      <c r="G123" t="n">
        <v>1.2</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20983-2025 artfynd.xlsx", "A 20983-2025")</f>
        <v/>
      </c>
      <c r="T123">
        <f>HYPERLINK("https://klasma.github.io/Logging_2462/kartor/A 20983-2025 karta.png", "A 20983-2025")</f>
        <v/>
      </c>
      <c r="V123">
        <f>HYPERLINK("https://klasma.github.io/Logging_2462/klagomål/A 20983-2025 FSC-klagomål.docx", "A 20983-2025")</f>
        <v/>
      </c>
      <c r="W123">
        <f>HYPERLINK("https://klasma.github.io/Logging_2462/klagomålsmail/A 20983-2025 FSC-klagomål mail.docx", "A 20983-2025")</f>
        <v/>
      </c>
      <c r="X123">
        <f>HYPERLINK("https://klasma.github.io/Logging_2462/tillsyn/A 20983-2025 tillsynsbegäran.docx", "A 20983-2025")</f>
        <v/>
      </c>
      <c r="Y123">
        <f>HYPERLINK("https://klasma.github.io/Logging_2462/tillsynsmail/A 20983-2025 tillsynsbegäran mail.docx", "A 20983-2025")</f>
        <v/>
      </c>
      <c r="Z123">
        <f>HYPERLINK("https://klasma.github.io/Logging_2462/fåglar/A 20983-2025 prioriterade fågelarter.docx", "A 20983-2025")</f>
        <v/>
      </c>
    </row>
    <row r="124" ht="15" customHeight="1">
      <c r="A124" t="inlineStr">
        <is>
          <t>A 30717-2023</t>
        </is>
      </c>
      <c r="B124" s="1" t="n">
        <v>45112</v>
      </c>
      <c r="C124" s="1" t="n">
        <v>45917</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69626-2020</t>
        </is>
      </c>
      <c r="B125" s="1" t="n">
        <v>44195</v>
      </c>
      <c r="C125" s="1" t="n">
        <v>45917</v>
      </c>
      <c r="D125" t="inlineStr">
        <is>
          <t>VÄSTERBOTTENS LÄN</t>
        </is>
      </c>
      <c r="E125" t="inlineStr">
        <is>
          <t>VILHELMINA</t>
        </is>
      </c>
      <c r="G125" t="n">
        <v>10.2</v>
      </c>
      <c r="H125" t="n">
        <v>2</v>
      </c>
      <c r="I125" t="n">
        <v>0</v>
      </c>
      <c r="J125" t="n">
        <v>2</v>
      </c>
      <c r="K125" t="n">
        <v>0</v>
      </c>
      <c r="L125" t="n">
        <v>0</v>
      </c>
      <c r="M125" t="n">
        <v>0</v>
      </c>
      <c r="N125" t="n">
        <v>0</v>
      </c>
      <c r="O125" t="n">
        <v>2</v>
      </c>
      <c r="P125" t="n">
        <v>0</v>
      </c>
      <c r="Q125" t="n">
        <v>2</v>
      </c>
      <c r="R125" s="2" t="inlineStr">
        <is>
          <t>Duvhök
Tretåig hackspett</t>
        </is>
      </c>
      <c r="S125">
        <f>HYPERLINK("https://klasma.github.io/Logging_2462/artfynd/A 69626-2020 artfynd.xlsx", "A 69626-2020")</f>
        <v/>
      </c>
      <c r="T125">
        <f>HYPERLINK("https://klasma.github.io/Logging_2462/kartor/A 69626-2020 karta.png", "A 69626-2020")</f>
        <v/>
      </c>
      <c r="V125">
        <f>HYPERLINK("https://klasma.github.io/Logging_2462/klagomål/A 69626-2020 FSC-klagomål.docx", "A 69626-2020")</f>
        <v/>
      </c>
      <c r="W125">
        <f>HYPERLINK("https://klasma.github.io/Logging_2462/klagomålsmail/A 69626-2020 FSC-klagomål mail.docx", "A 69626-2020")</f>
        <v/>
      </c>
      <c r="X125">
        <f>HYPERLINK("https://klasma.github.io/Logging_2462/tillsyn/A 69626-2020 tillsynsbegäran.docx", "A 69626-2020")</f>
        <v/>
      </c>
      <c r="Y125">
        <f>HYPERLINK("https://klasma.github.io/Logging_2462/tillsynsmail/A 69626-2020 tillsynsbegäran mail.docx", "A 69626-2020")</f>
        <v/>
      </c>
      <c r="Z125">
        <f>HYPERLINK("https://klasma.github.io/Logging_2462/fåglar/A 69626-2020 prioriterade fågelarter.docx", "A 69626-2020")</f>
        <v/>
      </c>
    </row>
    <row r="126" ht="15" customHeight="1">
      <c r="A126" t="inlineStr">
        <is>
          <t>A 69915-2021</t>
        </is>
      </c>
      <c r="B126" s="1" t="n">
        <v>44532</v>
      </c>
      <c r="C126" s="1" t="n">
        <v>45917</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45917</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29317-2023</t>
        </is>
      </c>
      <c r="B128" s="1" t="n">
        <v>45105</v>
      </c>
      <c r="C128" s="1" t="n">
        <v>45917</v>
      </c>
      <c r="D128" t="inlineStr">
        <is>
          <t>VÄSTERBOTTENS LÄN</t>
        </is>
      </c>
      <c r="E128" t="inlineStr">
        <is>
          <t>VILHELMINA</t>
        </is>
      </c>
      <c r="F128" t="inlineStr">
        <is>
          <t>SCA</t>
        </is>
      </c>
      <c r="G128" t="n">
        <v>18.8</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29317-2023 artfynd.xlsx", "A 29317-2023")</f>
        <v/>
      </c>
      <c r="T128">
        <f>HYPERLINK("https://klasma.github.io/Logging_2462/kartor/A 29317-2023 karta.png", "A 29317-2023")</f>
        <v/>
      </c>
      <c r="V128">
        <f>HYPERLINK("https://klasma.github.io/Logging_2462/klagomål/A 29317-2023 FSC-klagomål.docx", "A 29317-2023")</f>
        <v/>
      </c>
      <c r="W128">
        <f>HYPERLINK("https://klasma.github.io/Logging_2462/klagomålsmail/A 29317-2023 FSC-klagomål mail.docx", "A 29317-2023")</f>
        <v/>
      </c>
      <c r="X128">
        <f>HYPERLINK("https://klasma.github.io/Logging_2462/tillsyn/A 29317-2023 tillsynsbegäran.docx", "A 29317-2023")</f>
        <v/>
      </c>
      <c r="Y128">
        <f>HYPERLINK("https://klasma.github.io/Logging_2462/tillsynsmail/A 29317-2023 tillsynsbegäran mail.docx", "A 29317-2023")</f>
        <v/>
      </c>
      <c r="Z128">
        <f>HYPERLINK("https://klasma.github.io/Logging_2462/fåglar/A 29317-2023 prioriterade fågelarter.docx", "A 29317-2023")</f>
        <v/>
      </c>
    </row>
    <row r="129" ht="15" customHeight="1">
      <c r="A129" t="inlineStr">
        <is>
          <t>A 34730-2024</t>
        </is>
      </c>
      <c r="B129" s="1" t="n">
        <v>45526</v>
      </c>
      <c r="C129" s="1" t="n">
        <v>45917</v>
      </c>
      <c r="D129" t="inlineStr">
        <is>
          <t>VÄSTERBOTTENS LÄN</t>
        </is>
      </c>
      <c r="E129" t="inlineStr">
        <is>
          <t>VILHELMINA</t>
        </is>
      </c>
      <c r="G129" t="n">
        <v>19.2</v>
      </c>
      <c r="H129" t="n">
        <v>0</v>
      </c>
      <c r="I129" t="n">
        <v>0</v>
      </c>
      <c r="J129" t="n">
        <v>1</v>
      </c>
      <c r="K129" t="n">
        <v>0</v>
      </c>
      <c r="L129" t="n">
        <v>0</v>
      </c>
      <c r="M129" t="n">
        <v>0</v>
      </c>
      <c r="N129" t="n">
        <v>0</v>
      </c>
      <c r="O129" t="n">
        <v>1</v>
      </c>
      <c r="P129" t="n">
        <v>0</v>
      </c>
      <c r="Q129" t="n">
        <v>1</v>
      </c>
      <c r="R129" s="2" t="inlineStr">
        <is>
          <t>Ullticka</t>
        </is>
      </c>
      <c r="S129">
        <f>HYPERLINK("https://klasma.github.io/Logging_2462/artfynd/A 34730-2024 artfynd.xlsx", "A 34730-2024")</f>
        <v/>
      </c>
      <c r="T129">
        <f>HYPERLINK("https://klasma.github.io/Logging_2462/kartor/A 34730-2024 karta.png", "A 34730-2024")</f>
        <v/>
      </c>
      <c r="V129">
        <f>HYPERLINK("https://klasma.github.io/Logging_2462/klagomål/A 34730-2024 FSC-klagomål.docx", "A 34730-2024")</f>
        <v/>
      </c>
      <c r="W129">
        <f>HYPERLINK("https://klasma.github.io/Logging_2462/klagomålsmail/A 34730-2024 FSC-klagomål mail.docx", "A 34730-2024")</f>
        <v/>
      </c>
      <c r="X129">
        <f>HYPERLINK("https://klasma.github.io/Logging_2462/tillsyn/A 34730-2024 tillsynsbegäran.docx", "A 34730-2024")</f>
        <v/>
      </c>
      <c r="Y129">
        <f>HYPERLINK("https://klasma.github.io/Logging_2462/tillsynsmail/A 34730-2024 tillsynsbegäran mail.docx", "A 34730-2024")</f>
        <v/>
      </c>
    </row>
    <row r="130" ht="15" customHeight="1">
      <c r="A130" t="inlineStr">
        <is>
          <t>A 59001-2024</t>
        </is>
      </c>
      <c r="B130" s="1" t="n">
        <v>45636</v>
      </c>
      <c r="C130" s="1" t="n">
        <v>45917</v>
      </c>
      <c r="D130" t="inlineStr">
        <is>
          <t>VÄSTERBOTTENS LÄN</t>
        </is>
      </c>
      <c r="E130" t="inlineStr">
        <is>
          <t>VILHELMINA</t>
        </is>
      </c>
      <c r="F130" t="inlineStr">
        <is>
          <t>Allmännings- och besparingsskogar</t>
        </is>
      </c>
      <c r="G130" t="n">
        <v>32.5</v>
      </c>
      <c r="H130" t="n">
        <v>0</v>
      </c>
      <c r="I130" t="n">
        <v>0</v>
      </c>
      <c r="J130" t="n">
        <v>1</v>
      </c>
      <c r="K130" t="n">
        <v>0</v>
      </c>
      <c r="L130" t="n">
        <v>0</v>
      </c>
      <c r="M130" t="n">
        <v>0</v>
      </c>
      <c r="N130" t="n">
        <v>0</v>
      </c>
      <c r="O130" t="n">
        <v>1</v>
      </c>
      <c r="P130" t="n">
        <v>0</v>
      </c>
      <c r="Q130" t="n">
        <v>1</v>
      </c>
      <c r="R130" s="2" t="inlineStr">
        <is>
          <t>Gammelgransskål</t>
        </is>
      </c>
      <c r="S130">
        <f>HYPERLINK("https://klasma.github.io/Logging_2462/artfynd/A 59001-2024 artfynd.xlsx", "A 59001-2024")</f>
        <v/>
      </c>
      <c r="T130">
        <f>HYPERLINK("https://klasma.github.io/Logging_2462/kartor/A 59001-2024 karta.png", "A 59001-2024")</f>
        <v/>
      </c>
      <c r="V130">
        <f>HYPERLINK("https://klasma.github.io/Logging_2462/klagomål/A 59001-2024 FSC-klagomål.docx", "A 59001-2024")</f>
        <v/>
      </c>
      <c r="W130">
        <f>HYPERLINK("https://klasma.github.io/Logging_2462/klagomålsmail/A 59001-2024 FSC-klagomål mail.docx", "A 59001-2024")</f>
        <v/>
      </c>
      <c r="X130">
        <f>HYPERLINK("https://klasma.github.io/Logging_2462/tillsyn/A 59001-2024 tillsynsbegäran.docx", "A 59001-2024")</f>
        <v/>
      </c>
      <c r="Y130">
        <f>HYPERLINK("https://klasma.github.io/Logging_2462/tillsynsmail/A 59001-2024 tillsynsbegäran mail.docx", "A 59001-2024")</f>
        <v/>
      </c>
    </row>
    <row r="131" ht="15" customHeight="1">
      <c r="A131" t="inlineStr">
        <is>
          <t>A 29121-2025</t>
        </is>
      </c>
      <c r="B131" s="1" t="n">
        <v>45821</v>
      </c>
      <c r="C131" s="1" t="n">
        <v>45917</v>
      </c>
      <c r="D131" t="inlineStr">
        <is>
          <t>VÄSTERBOTTENS LÄN</t>
        </is>
      </c>
      <c r="E131" t="inlineStr">
        <is>
          <t>VILHELMINA</t>
        </is>
      </c>
      <c r="F131" t="inlineStr">
        <is>
          <t>SCA</t>
        </is>
      </c>
      <c r="G131" t="n">
        <v>4.4</v>
      </c>
      <c r="H131" t="n">
        <v>0</v>
      </c>
      <c r="I131" t="n">
        <v>0</v>
      </c>
      <c r="J131" t="n">
        <v>1</v>
      </c>
      <c r="K131" t="n">
        <v>0</v>
      </c>
      <c r="L131" t="n">
        <v>0</v>
      </c>
      <c r="M131" t="n">
        <v>0</v>
      </c>
      <c r="N131" t="n">
        <v>0</v>
      </c>
      <c r="O131" t="n">
        <v>1</v>
      </c>
      <c r="P131" t="n">
        <v>0</v>
      </c>
      <c r="Q131" t="n">
        <v>1</v>
      </c>
      <c r="R131" s="2" t="inlineStr">
        <is>
          <t>Ullticka</t>
        </is>
      </c>
      <c r="S131">
        <f>HYPERLINK("https://klasma.github.io/Logging_2462/artfynd/A 29121-2025 artfynd.xlsx", "A 29121-2025")</f>
        <v/>
      </c>
      <c r="T131">
        <f>HYPERLINK("https://klasma.github.io/Logging_2462/kartor/A 29121-2025 karta.png", "A 29121-2025")</f>
        <v/>
      </c>
      <c r="V131">
        <f>HYPERLINK("https://klasma.github.io/Logging_2462/klagomål/A 29121-2025 FSC-klagomål.docx", "A 29121-2025")</f>
        <v/>
      </c>
      <c r="W131">
        <f>HYPERLINK("https://klasma.github.io/Logging_2462/klagomålsmail/A 29121-2025 FSC-klagomål mail.docx", "A 29121-2025")</f>
        <v/>
      </c>
      <c r="X131">
        <f>HYPERLINK("https://klasma.github.io/Logging_2462/tillsyn/A 29121-2025 tillsynsbegäran.docx", "A 29121-2025")</f>
        <v/>
      </c>
      <c r="Y131">
        <f>HYPERLINK("https://klasma.github.io/Logging_2462/tillsynsmail/A 29121-2025 tillsynsbegäran mail.docx", "A 29121-2025")</f>
        <v/>
      </c>
    </row>
    <row r="132" ht="15" customHeight="1">
      <c r="A132" t="inlineStr">
        <is>
          <t>A 38131-2024</t>
        </is>
      </c>
      <c r="B132" s="1" t="n">
        <v>45545</v>
      </c>
      <c r="C132" s="1" t="n">
        <v>45917</v>
      </c>
      <c r="D132" t="inlineStr">
        <is>
          <t>VÄSTERBOTTENS LÄN</t>
        </is>
      </c>
      <c r="E132" t="inlineStr">
        <is>
          <t>VILHELMINA</t>
        </is>
      </c>
      <c r="F132" t="inlineStr">
        <is>
          <t>SCA</t>
        </is>
      </c>
      <c r="G132" t="n">
        <v>1.5</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38131-2024 artfynd.xlsx", "A 38131-2024")</f>
        <v/>
      </c>
      <c r="T132">
        <f>HYPERLINK("https://klasma.github.io/Logging_2462/kartor/A 38131-2024 karta.png", "A 38131-2024")</f>
        <v/>
      </c>
      <c r="V132">
        <f>HYPERLINK("https://klasma.github.io/Logging_2462/klagomål/A 38131-2024 FSC-klagomål.docx", "A 38131-2024")</f>
        <v/>
      </c>
      <c r="W132">
        <f>HYPERLINK("https://klasma.github.io/Logging_2462/klagomålsmail/A 38131-2024 FSC-klagomål mail.docx", "A 38131-2024")</f>
        <v/>
      </c>
      <c r="X132">
        <f>HYPERLINK("https://klasma.github.io/Logging_2462/tillsyn/A 38131-2024 tillsynsbegäran.docx", "A 38131-2024")</f>
        <v/>
      </c>
      <c r="Y132">
        <f>HYPERLINK("https://klasma.github.io/Logging_2462/tillsynsmail/A 38131-2024 tillsynsbegäran mail.docx", "A 38131-2024")</f>
        <v/>
      </c>
      <c r="Z132">
        <f>HYPERLINK("https://klasma.github.io/Logging_2462/fåglar/A 38131-2024 prioriterade fågelarter.docx", "A 38131-2024")</f>
        <v/>
      </c>
    </row>
    <row r="133" ht="15" customHeight="1">
      <c r="A133" t="inlineStr">
        <is>
          <t>A 29434-2025</t>
        </is>
      </c>
      <c r="B133" s="1" t="n">
        <v>45824</v>
      </c>
      <c r="C133" s="1" t="n">
        <v>45917</v>
      </c>
      <c r="D133" t="inlineStr">
        <is>
          <t>VÄSTERBOTTENS LÄN</t>
        </is>
      </c>
      <c r="E133" t="inlineStr">
        <is>
          <t>VILHELMINA</t>
        </is>
      </c>
      <c r="F133" t="inlineStr">
        <is>
          <t>SCA</t>
        </is>
      </c>
      <c r="G133" t="n">
        <v>5.9</v>
      </c>
      <c r="H133" t="n">
        <v>0</v>
      </c>
      <c r="I133" t="n">
        <v>1</v>
      </c>
      <c r="J133" t="n">
        <v>0</v>
      </c>
      <c r="K133" t="n">
        <v>0</v>
      </c>
      <c r="L133" t="n">
        <v>0</v>
      </c>
      <c r="M133" t="n">
        <v>0</v>
      </c>
      <c r="N133" t="n">
        <v>0</v>
      </c>
      <c r="O133" t="n">
        <v>0</v>
      </c>
      <c r="P133" t="n">
        <v>0</v>
      </c>
      <c r="Q133" t="n">
        <v>1</v>
      </c>
      <c r="R133" s="2" t="inlineStr">
        <is>
          <t>Tibast</t>
        </is>
      </c>
      <c r="S133">
        <f>HYPERLINK("https://klasma.github.io/Logging_2462/artfynd/A 29434-2025 artfynd.xlsx", "A 29434-2025")</f>
        <v/>
      </c>
      <c r="T133">
        <f>HYPERLINK("https://klasma.github.io/Logging_2462/kartor/A 29434-2025 karta.png", "A 29434-2025")</f>
        <v/>
      </c>
      <c r="V133">
        <f>HYPERLINK("https://klasma.github.io/Logging_2462/klagomål/A 29434-2025 FSC-klagomål.docx", "A 29434-2025")</f>
        <v/>
      </c>
      <c r="W133">
        <f>HYPERLINK("https://klasma.github.io/Logging_2462/klagomålsmail/A 29434-2025 FSC-klagomål mail.docx", "A 29434-2025")</f>
        <v/>
      </c>
      <c r="X133">
        <f>HYPERLINK("https://klasma.github.io/Logging_2462/tillsyn/A 29434-2025 tillsynsbegäran.docx", "A 29434-2025")</f>
        <v/>
      </c>
      <c r="Y133">
        <f>HYPERLINK("https://klasma.github.io/Logging_2462/tillsynsmail/A 29434-2025 tillsynsbegäran mail.docx", "A 29434-2025")</f>
        <v/>
      </c>
    </row>
    <row r="134" ht="15" customHeight="1">
      <c r="A134" t="inlineStr">
        <is>
          <t>A 13523-2025</t>
        </is>
      </c>
      <c r="B134" s="1" t="n">
        <v>45736</v>
      </c>
      <c r="C134" s="1" t="n">
        <v>45917</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13523-2025 artfynd.xlsx", "A 13523-2025")</f>
        <v/>
      </c>
      <c r="T134">
        <f>HYPERLINK("https://klasma.github.io/Logging_2462/kartor/A 13523-2025 karta.png", "A 13523-2025")</f>
        <v/>
      </c>
      <c r="V134">
        <f>HYPERLINK("https://klasma.github.io/Logging_2462/klagomål/A 13523-2025 FSC-klagomål.docx", "A 13523-2025")</f>
        <v/>
      </c>
      <c r="W134">
        <f>HYPERLINK("https://klasma.github.io/Logging_2462/klagomålsmail/A 13523-2025 FSC-klagomål mail.docx", "A 13523-2025")</f>
        <v/>
      </c>
      <c r="X134">
        <f>HYPERLINK("https://klasma.github.io/Logging_2462/tillsyn/A 13523-2025 tillsynsbegäran.docx", "A 13523-2025")</f>
        <v/>
      </c>
      <c r="Y134">
        <f>HYPERLINK("https://klasma.github.io/Logging_2462/tillsynsmail/A 13523-2025 tillsynsbegäran mail.docx", "A 13523-2025")</f>
        <v/>
      </c>
    </row>
    <row r="135" ht="15" customHeight="1">
      <c r="A135" t="inlineStr">
        <is>
          <t>A 32677-2021</t>
        </is>
      </c>
      <c r="B135" s="1" t="n">
        <v>44371</v>
      </c>
      <c r="C135" s="1" t="n">
        <v>45917</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11832-2023</t>
        </is>
      </c>
      <c r="B136" s="1" t="n">
        <v>44994</v>
      </c>
      <c r="C136" s="1" t="n">
        <v>45917</v>
      </c>
      <c r="D136" t="inlineStr">
        <is>
          <t>VÄSTERBOTTENS LÄN</t>
        </is>
      </c>
      <c r="E136" t="inlineStr">
        <is>
          <t>VILHELMINA</t>
        </is>
      </c>
      <c r="F136" t="inlineStr">
        <is>
          <t>SCA</t>
        </is>
      </c>
      <c r="G136" t="n">
        <v>6.7</v>
      </c>
      <c r="H136" t="n">
        <v>0</v>
      </c>
      <c r="I136" t="n">
        <v>0</v>
      </c>
      <c r="J136" t="n">
        <v>1</v>
      </c>
      <c r="K136" t="n">
        <v>0</v>
      </c>
      <c r="L136" t="n">
        <v>0</v>
      </c>
      <c r="M136" t="n">
        <v>0</v>
      </c>
      <c r="N136" t="n">
        <v>0</v>
      </c>
      <c r="O136" t="n">
        <v>1</v>
      </c>
      <c r="P136" t="n">
        <v>0</v>
      </c>
      <c r="Q136" t="n">
        <v>1</v>
      </c>
      <c r="R136" s="2" t="inlineStr">
        <is>
          <t>Granticka</t>
        </is>
      </c>
      <c r="S136">
        <f>HYPERLINK("https://klasma.github.io/Logging_2462/artfynd/A 11832-2023 artfynd.xlsx", "A 11832-2023")</f>
        <v/>
      </c>
      <c r="T136">
        <f>HYPERLINK("https://klasma.github.io/Logging_2462/kartor/A 11832-2023 karta.png", "A 11832-2023")</f>
        <v/>
      </c>
      <c r="V136">
        <f>HYPERLINK("https://klasma.github.io/Logging_2462/klagomål/A 11832-2023 FSC-klagomål.docx", "A 11832-2023")</f>
        <v/>
      </c>
      <c r="W136">
        <f>HYPERLINK("https://klasma.github.io/Logging_2462/klagomålsmail/A 11832-2023 FSC-klagomål mail.docx", "A 11832-2023")</f>
        <v/>
      </c>
      <c r="X136">
        <f>HYPERLINK("https://klasma.github.io/Logging_2462/tillsyn/A 11832-2023 tillsynsbegäran.docx", "A 11832-2023")</f>
        <v/>
      </c>
      <c r="Y136">
        <f>HYPERLINK("https://klasma.github.io/Logging_2462/tillsynsmail/A 11832-2023 tillsynsbegäran mail.docx", "A 11832-2023")</f>
        <v/>
      </c>
    </row>
    <row r="137" ht="15" customHeight="1">
      <c r="A137" t="inlineStr">
        <is>
          <t>A 38929-2025</t>
        </is>
      </c>
      <c r="B137" s="1" t="n">
        <v>45887</v>
      </c>
      <c r="C137" s="1" t="n">
        <v>45917</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59664-2023</t>
        </is>
      </c>
      <c r="B138" s="1" t="n">
        <v>45254</v>
      </c>
      <c r="C138" s="1" t="n">
        <v>45917</v>
      </c>
      <c r="D138" t="inlineStr">
        <is>
          <t>VÄSTERBOTTENS LÄN</t>
        </is>
      </c>
      <c r="E138" t="inlineStr">
        <is>
          <t>VILHELMINA</t>
        </is>
      </c>
      <c r="F138" t="inlineStr">
        <is>
          <t>SCA</t>
        </is>
      </c>
      <c r="G138" t="n">
        <v>3.3</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59664-2023 artfynd.xlsx", "A 59664-2023")</f>
        <v/>
      </c>
      <c r="T138">
        <f>HYPERLINK("https://klasma.github.io/Logging_2462/kartor/A 59664-2023 karta.png", "A 59664-2023")</f>
        <v/>
      </c>
      <c r="V138">
        <f>HYPERLINK("https://klasma.github.io/Logging_2462/klagomål/A 59664-2023 FSC-klagomål.docx", "A 59664-2023")</f>
        <v/>
      </c>
      <c r="W138">
        <f>HYPERLINK("https://klasma.github.io/Logging_2462/klagomålsmail/A 59664-2023 FSC-klagomål mail.docx", "A 59664-2023")</f>
        <v/>
      </c>
      <c r="X138">
        <f>HYPERLINK("https://klasma.github.io/Logging_2462/tillsyn/A 59664-2023 tillsynsbegäran.docx", "A 59664-2023")</f>
        <v/>
      </c>
      <c r="Y138">
        <f>HYPERLINK("https://klasma.github.io/Logging_2462/tillsynsmail/A 59664-2023 tillsynsbegäran mail.docx", "A 59664-2023")</f>
        <v/>
      </c>
      <c r="Z138">
        <f>HYPERLINK("https://klasma.github.io/Logging_2462/fåglar/A 59664-2023 prioriterade fågelarter.docx", "A 59664-2023")</f>
        <v/>
      </c>
    </row>
    <row r="139" ht="15" customHeight="1">
      <c r="A139" t="inlineStr">
        <is>
          <t>A 44286-2024</t>
        </is>
      </c>
      <c r="B139" s="1" t="n">
        <v>45573</v>
      </c>
      <c r="C139" s="1" t="n">
        <v>45917</v>
      </c>
      <c r="D139" t="inlineStr">
        <is>
          <t>VÄSTERBOTTENS LÄN</t>
        </is>
      </c>
      <c r="E139" t="inlineStr">
        <is>
          <t>VILHELMINA</t>
        </is>
      </c>
      <c r="G139" t="n">
        <v>29.2</v>
      </c>
      <c r="H139" t="n">
        <v>1</v>
      </c>
      <c r="I139" t="n">
        <v>0</v>
      </c>
      <c r="J139" t="n">
        <v>1</v>
      </c>
      <c r="K139" t="n">
        <v>0</v>
      </c>
      <c r="L139" t="n">
        <v>0</v>
      </c>
      <c r="M139" t="n">
        <v>0</v>
      </c>
      <c r="N139" t="n">
        <v>0</v>
      </c>
      <c r="O139" t="n">
        <v>1</v>
      </c>
      <c r="P139" t="n">
        <v>0</v>
      </c>
      <c r="Q139" t="n">
        <v>1</v>
      </c>
      <c r="R139" s="2" t="inlineStr">
        <is>
          <t>Videsparv</t>
        </is>
      </c>
      <c r="S139">
        <f>HYPERLINK("https://klasma.github.io/Logging_2462/artfynd/A 44286-2024 artfynd.xlsx", "A 44286-2024")</f>
        <v/>
      </c>
      <c r="T139">
        <f>HYPERLINK("https://klasma.github.io/Logging_2462/kartor/A 44286-2024 karta.png", "A 44286-2024")</f>
        <v/>
      </c>
      <c r="V139">
        <f>HYPERLINK("https://klasma.github.io/Logging_2462/klagomål/A 44286-2024 FSC-klagomål.docx", "A 44286-2024")</f>
        <v/>
      </c>
      <c r="W139">
        <f>HYPERLINK("https://klasma.github.io/Logging_2462/klagomålsmail/A 44286-2024 FSC-klagomål mail.docx", "A 44286-2024")</f>
        <v/>
      </c>
      <c r="X139">
        <f>HYPERLINK("https://klasma.github.io/Logging_2462/tillsyn/A 44286-2024 tillsynsbegäran.docx", "A 44286-2024")</f>
        <v/>
      </c>
      <c r="Y139">
        <f>HYPERLINK("https://klasma.github.io/Logging_2462/tillsynsmail/A 44286-2024 tillsynsbegäran mail.docx", "A 44286-2024")</f>
        <v/>
      </c>
      <c r="Z139">
        <f>HYPERLINK("https://klasma.github.io/Logging_2462/fåglar/A 44286-2024 prioriterade fågelarter.docx", "A 44286-2024")</f>
        <v/>
      </c>
    </row>
    <row r="140" ht="15" customHeight="1">
      <c r="A140" t="inlineStr">
        <is>
          <t>A 60369-2021</t>
        </is>
      </c>
      <c r="B140" s="1" t="n">
        <v>44494</v>
      </c>
      <c r="C140" s="1" t="n">
        <v>45917</v>
      </c>
      <c r="D140" t="inlineStr">
        <is>
          <t>VÄSTERBOTTENS LÄN</t>
        </is>
      </c>
      <c r="E140" t="inlineStr">
        <is>
          <t>VILHELMINA</t>
        </is>
      </c>
      <c r="G140" t="n">
        <v>0.6</v>
      </c>
      <c r="H140" t="n">
        <v>0</v>
      </c>
      <c r="I140" t="n">
        <v>1</v>
      </c>
      <c r="J140" t="n">
        <v>0</v>
      </c>
      <c r="K140" t="n">
        <v>0</v>
      </c>
      <c r="L140" t="n">
        <v>0</v>
      </c>
      <c r="M140" t="n">
        <v>0</v>
      </c>
      <c r="N140" t="n">
        <v>0</v>
      </c>
      <c r="O140" t="n">
        <v>0</v>
      </c>
      <c r="P140" t="n">
        <v>0</v>
      </c>
      <c r="Q140" t="n">
        <v>1</v>
      </c>
      <c r="R140" s="2" t="inlineStr">
        <is>
          <t>Stuplav</t>
        </is>
      </c>
      <c r="S140">
        <f>HYPERLINK("https://klasma.github.io/Logging_2462/artfynd/A 60369-2021 artfynd.xlsx", "A 60369-2021")</f>
        <v/>
      </c>
      <c r="T140">
        <f>HYPERLINK("https://klasma.github.io/Logging_2462/kartor/A 60369-2021 karta.png", "A 60369-2021")</f>
        <v/>
      </c>
      <c r="V140">
        <f>HYPERLINK("https://klasma.github.io/Logging_2462/klagomål/A 60369-2021 FSC-klagomål.docx", "A 60369-2021")</f>
        <v/>
      </c>
      <c r="W140">
        <f>HYPERLINK("https://klasma.github.io/Logging_2462/klagomålsmail/A 60369-2021 FSC-klagomål mail.docx", "A 60369-2021")</f>
        <v/>
      </c>
      <c r="X140">
        <f>HYPERLINK("https://klasma.github.io/Logging_2462/tillsyn/A 60369-2021 tillsynsbegäran.docx", "A 60369-2021")</f>
        <v/>
      </c>
      <c r="Y140">
        <f>HYPERLINK("https://klasma.github.io/Logging_2462/tillsynsmail/A 60369-2021 tillsynsbegäran mail.docx", "A 60369-2021")</f>
        <v/>
      </c>
    </row>
    <row r="141" ht="15" customHeight="1">
      <c r="A141" t="inlineStr">
        <is>
          <t>A 66924-2021</t>
        </is>
      </c>
      <c r="B141" s="1" t="n">
        <v>44522</v>
      </c>
      <c r="C141" s="1" t="n">
        <v>45917</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33913-2024</t>
        </is>
      </c>
      <c r="B142" s="1" t="n">
        <v>45523.38783564815</v>
      </c>
      <c r="C142" s="1" t="n">
        <v>45917</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33913-2024 artfynd.xlsx", "A 33913-2024")</f>
        <v/>
      </c>
      <c r="T142">
        <f>HYPERLINK("https://klasma.github.io/Logging_2462/kartor/A 33913-2024 karta.png", "A 33913-2024")</f>
        <v/>
      </c>
      <c r="V142">
        <f>HYPERLINK("https://klasma.github.io/Logging_2462/klagomål/A 33913-2024 FSC-klagomål.docx", "A 33913-2024")</f>
        <v/>
      </c>
      <c r="W142">
        <f>HYPERLINK("https://klasma.github.io/Logging_2462/klagomålsmail/A 33913-2024 FSC-klagomål mail.docx", "A 33913-2024")</f>
        <v/>
      </c>
      <c r="X142">
        <f>HYPERLINK("https://klasma.github.io/Logging_2462/tillsyn/A 33913-2024 tillsynsbegäran.docx", "A 33913-2024")</f>
        <v/>
      </c>
      <c r="Y142">
        <f>HYPERLINK("https://klasma.github.io/Logging_2462/tillsynsmail/A 33913-2024 tillsynsbegäran mail.docx", "A 33913-2024")</f>
        <v/>
      </c>
    </row>
    <row r="143" ht="15" customHeight="1">
      <c r="A143" t="inlineStr">
        <is>
          <t>A 56247-2023</t>
        </is>
      </c>
      <c r="B143" s="1" t="n">
        <v>45240</v>
      </c>
      <c r="C143" s="1" t="n">
        <v>45917</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17253-2025</t>
        </is>
      </c>
      <c r="B144" s="1" t="n">
        <v>45756</v>
      </c>
      <c r="C144" s="1" t="n">
        <v>45917</v>
      </c>
      <c r="D144" t="inlineStr">
        <is>
          <t>VÄSTERBOTTENS LÄN</t>
        </is>
      </c>
      <c r="E144" t="inlineStr">
        <is>
          <t>VILHELMINA</t>
        </is>
      </c>
      <c r="F144" t="inlineStr">
        <is>
          <t>SCA</t>
        </is>
      </c>
      <c r="G144" t="n">
        <v>6.5</v>
      </c>
      <c r="H144" t="n">
        <v>0</v>
      </c>
      <c r="I144" t="n">
        <v>0</v>
      </c>
      <c r="J144" t="n">
        <v>1</v>
      </c>
      <c r="K144" t="n">
        <v>0</v>
      </c>
      <c r="L144" t="n">
        <v>0</v>
      </c>
      <c r="M144" t="n">
        <v>0</v>
      </c>
      <c r="N144" t="n">
        <v>0</v>
      </c>
      <c r="O144" t="n">
        <v>1</v>
      </c>
      <c r="P144" t="n">
        <v>0</v>
      </c>
      <c r="Q144" t="n">
        <v>1</v>
      </c>
      <c r="R144" s="2" t="inlineStr">
        <is>
          <t>Granticka</t>
        </is>
      </c>
      <c r="S144">
        <f>HYPERLINK("https://klasma.github.io/Logging_2462/artfynd/A 17253-2025 artfynd.xlsx", "A 17253-2025")</f>
        <v/>
      </c>
      <c r="T144">
        <f>HYPERLINK("https://klasma.github.io/Logging_2462/kartor/A 17253-2025 karta.png", "A 17253-2025")</f>
        <v/>
      </c>
      <c r="V144">
        <f>HYPERLINK("https://klasma.github.io/Logging_2462/klagomål/A 17253-2025 FSC-klagomål.docx", "A 17253-2025")</f>
        <v/>
      </c>
      <c r="W144">
        <f>HYPERLINK("https://klasma.github.io/Logging_2462/klagomålsmail/A 17253-2025 FSC-klagomål mail.docx", "A 17253-2025")</f>
        <v/>
      </c>
      <c r="X144">
        <f>HYPERLINK("https://klasma.github.io/Logging_2462/tillsyn/A 17253-2025 tillsynsbegäran.docx", "A 17253-2025")</f>
        <v/>
      </c>
      <c r="Y144">
        <f>HYPERLINK("https://klasma.github.io/Logging_2462/tillsynsmail/A 17253-2025 tillsynsbegäran mail.docx", "A 17253-2025")</f>
        <v/>
      </c>
    </row>
    <row r="145" ht="15" customHeight="1">
      <c r="A145" t="inlineStr">
        <is>
          <t>A 42489-2024</t>
        </is>
      </c>
      <c r="B145" s="1" t="n">
        <v>45565</v>
      </c>
      <c r="C145" s="1" t="n">
        <v>45917</v>
      </c>
      <c r="D145" t="inlineStr">
        <is>
          <t>VÄSTERBOTTENS LÄN</t>
        </is>
      </c>
      <c r="E145" t="inlineStr">
        <is>
          <t>VILHELMINA</t>
        </is>
      </c>
      <c r="F145" t="inlineStr">
        <is>
          <t>SCA</t>
        </is>
      </c>
      <c r="G145" t="n">
        <v>1.9</v>
      </c>
      <c r="H145" t="n">
        <v>0</v>
      </c>
      <c r="I145" t="n">
        <v>0</v>
      </c>
      <c r="J145" t="n">
        <v>1</v>
      </c>
      <c r="K145" t="n">
        <v>0</v>
      </c>
      <c r="L145" t="n">
        <v>0</v>
      </c>
      <c r="M145" t="n">
        <v>0</v>
      </c>
      <c r="N145" t="n">
        <v>0</v>
      </c>
      <c r="O145" t="n">
        <v>1</v>
      </c>
      <c r="P145" t="n">
        <v>0</v>
      </c>
      <c r="Q145" t="n">
        <v>1</v>
      </c>
      <c r="R145" s="2" t="inlineStr">
        <is>
          <t>Granticka</t>
        </is>
      </c>
      <c r="S145">
        <f>HYPERLINK("https://klasma.github.io/Logging_2462/artfynd/A 42489-2024 artfynd.xlsx", "A 42489-2024")</f>
        <v/>
      </c>
      <c r="T145">
        <f>HYPERLINK("https://klasma.github.io/Logging_2462/kartor/A 42489-2024 karta.png", "A 42489-2024")</f>
        <v/>
      </c>
      <c r="V145">
        <f>HYPERLINK("https://klasma.github.io/Logging_2462/klagomål/A 42489-2024 FSC-klagomål.docx", "A 42489-2024")</f>
        <v/>
      </c>
      <c r="W145">
        <f>HYPERLINK("https://klasma.github.io/Logging_2462/klagomålsmail/A 42489-2024 FSC-klagomål mail.docx", "A 42489-2024")</f>
        <v/>
      </c>
      <c r="X145">
        <f>HYPERLINK("https://klasma.github.io/Logging_2462/tillsyn/A 42489-2024 tillsynsbegäran.docx", "A 42489-2024")</f>
        <v/>
      </c>
      <c r="Y145">
        <f>HYPERLINK("https://klasma.github.io/Logging_2462/tillsynsmail/A 42489-2024 tillsynsbegäran mail.docx", "A 42489-2024")</f>
        <v/>
      </c>
    </row>
    <row r="146" ht="15" customHeight="1">
      <c r="A146" t="inlineStr">
        <is>
          <t>A 47248-2024</t>
        </is>
      </c>
      <c r="B146" s="1" t="n">
        <v>45586</v>
      </c>
      <c r="C146" s="1" t="n">
        <v>45917</v>
      </c>
      <c r="D146" t="inlineStr">
        <is>
          <t>VÄSTERBOTTENS LÄN</t>
        </is>
      </c>
      <c r="E146" t="inlineStr">
        <is>
          <t>VILHELMINA</t>
        </is>
      </c>
      <c r="F146" t="inlineStr">
        <is>
          <t>SCA</t>
        </is>
      </c>
      <c r="G146" t="n">
        <v>4</v>
      </c>
      <c r="H146" t="n">
        <v>0</v>
      </c>
      <c r="I146" t="n">
        <v>0</v>
      </c>
      <c r="J146" t="n">
        <v>1</v>
      </c>
      <c r="K146" t="n">
        <v>0</v>
      </c>
      <c r="L146" t="n">
        <v>0</v>
      </c>
      <c r="M146" t="n">
        <v>0</v>
      </c>
      <c r="N146" t="n">
        <v>0</v>
      </c>
      <c r="O146" t="n">
        <v>1</v>
      </c>
      <c r="P146" t="n">
        <v>0</v>
      </c>
      <c r="Q146" t="n">
        <v>1</v>
      </c>
      <c r="R146" s="2" t="inlineStr">
        <is>
          <t>Granticka</t>
        </is>
      </c>
      <c r="S146">
        <f>HYPERLINK("https://klasma.github.io/Logging_2462/artfynd/A 47248-2024 artfynd.xlsx", "A 47248-2024")</f>
        <v/>
      </c>
      <c r="T146">
        <f>HYPERLINK("https://klasma.github.io/Logging_2462/kartor/A 47248-2024 karta.png", "A 47248-2024")</f>
        <v/>
      </c>
      <c r="V146">
        <f>HYPERLINK("https://klasma.github.io/Logging_2462/klagomål/A 47248-2024 FSC-klagomål.docx", "A 47248-2024")</f>
        <v/>
      </c>
      <c r="W146">
        <f>HYPERLINK("https://klasma.github.io/Logging_2462/klagomålsmail/A 47248-2024 FSC-klagomål mail.docx", "A 47248-2024")</f>
        <v/>
      </c>
      <c r="X146">
        <f>HYPERLINK("https://klasma.github.io/Logging_2462/tillsyn/A 47248-2024 tillsynsbegäran.docx", "A 47248-2024")</f>
        <v/>
      </c>
      <c r="Y146">
        <f>HYPERLINK("https://klasma.github.io/Logging_2462/tillsynsmail/A 47248-2024 tillsynsbegäran mail.docx", "A 47248-2024")</f>
        <v/>
      </c>
    </row>
    <row r="147" ht="15" customHeight="1">
      <c r="A147" t="inlineStr">
        <is>
          <t>A 25368-2024</t>
        </is>
      </c>
      <c r="B147" s="1" t="n">
        <v>45462</v>
      </c>
      <c r="C147" s="1" t="n">
        <v>45917</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25374-2024</t>
        </is>
      </c>
      <c r="B148" s="1" t="n">
        <v>45462.96118055555</v>
      </c>
      <c r="C148" s="1" t="n">
        <v>45917</v>
      </c>
      <c r="D148" t="inlineStr">
        <is>
          <t>VÄSTERBOTTENS LÄN</t>
        </is>
      </c>
      <c r="E148" t="inlineStr">
        <is>
          <t>VILHELMINA</t>
        </is>
      </c>
      <c r="F148" t="inlineStr">
        <is>
          <t>SCA</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25374-2024 artfynd.xlsx", "A 25374-2024")</f>
        <v/>
      </c>
      <c r="T148">
        <f>HYPERLINK("https://klasma.github.io/Logging_2462/kartor/A 25374-2024 karta.png", "A 25374-2024")</f>
        <v/>
      </c>
      <c r="V148">
        <f>HYPERLINK("https://klasma.github.io/Logging_2462/klagomål/A 25374-2024 FSC-klagomål.docx", "A 25374-2024")</f>
        <v/>
      </c>
      <c r="W148">
        <f>HYPERLINK("https://klasma.github.io/Logging_2462/klagomålsmail/A 25374-2024 FSC-klagomål mail.docx", "A 25374-2024")</f>
        <v/>
      </c>
      <c r="X148">
        <f>HYPERLINK("https://klasma.github.io/Logging_2462/tillsyn/A 25374-2024 tillsynsbegäran.docx", "A 25374-2024")</f>
        <v/>
      </c>
      <c r="Y148">
        <f>HYPERLINK("https://klasma.github.io/Logging_2462/tillsynsmail/A 25374-2024 tillsynsbegäran mail.docx", "A 25374-2024")</f>
        <v/>
      </c>
      <c r="Z148">
        <f>HYPERLINK("https://klasma.github.io/Logging_2462/fåglar/A 25374-2024 prioriterade fågelarter.docx", "A 25374-2024")</f>
        <v/>
      </c>
    </row>
    <row r="149" ht="15" customHeight="1">
      <c r="A149" t="inlineStr">
        <is>
          <t>A 74395-2021</t>
        </is>
      </c>
      <c r="B149" s="1" t="n">
        <v>44560</v>
      </c>
      <c r="C149" s="1" t="n">
        <v>45917</v>
      </c>
      <c r="D149" t="inlineStr">
        <is>
          <t>VÄSTERBOTTENS LÄN</t>
        </is>
      </c>
      <c r="E149" t="inlineStr">
        <is>
          <t>VILHELMINA</t>
        </is>
      </c>
      <c r="G149" t="n">
        <v>37.6</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74395-2021 artfynd.xlsx", "A 74395-2021")</f>
        <v/>
      </c>
      <c r="T149">
        <f>HYPERLINK("https://klasma.github.io/Logging_2462/kartor/A 74395-2021 karta.png", "A 74395-2021")</f>
        <v/>
      </c>
      <c r="V149">
        <f>HYPERLINK("https://klasma.github.io/Logging_2462/klagomål/A 74395-2021 FSC-klagomål.docx", "A 74395-2021")</f>
        <v/>
      </c>
      <c r="W149">
        <f>HYPERLINK("https://klasma.github.io/Logging_2462/klagomålsmail/A 74395-2021 FSC-klagomål mail.docx", "A 74395-2021")</f>
        <v/>
      </c>
      <c r="X149">
        <f>HYPERLINK("https://klasma.github.io/Logging_2462/tillsyn/A 74395-2021 tillsynsbegäran.docx", "A 74395-2021")</f>
        <v/>
      </c>
      <c r="Y149">
        <f>HYPERLINK("https://klasma.github.io/Logging_2462/tillsynsmail/A 74395-2021 tillsynsbegäran mail.docx", "A 74395-2021")</f>
        <v/>
      </c>
      <c r="Z149">
        <f>HYPERLINK("https://klasma.github.io/Logging_2462/fåglar/A 74395-2021 prioriterade fågelarter.docx", "A 74395-2021")</f>
        <v/>
      </c>
    </row>
    <row r="150" ht="15" customHeight="1">
      <c r="A150" t="inlineStr">
        <is>
          <t>A 25977-2025</t>
        </is>
      </c>
      <c r="B150" s="1" t="n">
        <v>45804</v>
      </c>
      <c r="C150" s="1" t="n">
        <v>45917</v>
      </c>
      <c r="D150" t="inlineStr">
        <is>
          <t>VÄSTERBOTTENS LÄN</t>
        </is>
      </c>
      <c r="E150" t="inlineStr">
        <is>
          <t>VILHELMINA</t>
        </is>
      </c>
      <c r="F150" t="inlineStr">
        <is>
          <t>SCA</t>
        </is>
      </c>
      <c r="G150" t="n">
        <v>6.2</v>
      </c>
      <c r="H150" t="n">
        <v>0</v>
      </c>
      <c r="I150" t="n">
        <v>0</v>
      </c>
      <c r="J150" t="n">
        <v>1</v>
      </c>
      <c r="K150" t="n">
        <v>0</v>
      </c>
      <c r="L150" t="n">
        <v>0</v>
      </c>
      <c r="M150" t="n">
        <v>0</v>
      </c>
      <c r="N150" t="n">
        <v>0</v>
      </c>
      <c r="O150" t="n">
        <v>1</v>
      </c>
      <c r="P150" t="n">
        <v>0</v>
      </c>
      <c r="Q150" t="n">
        <v>1</v>
      </c>
      <c r="R150" s="2" t="inlineStr">
        <is>
          <t>Rosenticka</t>
        </is>
      </c>
      <c r="S150">
        <f>HYPERLINK("https://klasma.github.io/Logging_2462/artfynd/A 25977-2025 artfynd.xlsx", "A 25977-2025")</f>
        <v/>
      </c>
      <c r="T150">
        <f>HYPERLINK("https://klasma.github.io/Logging_2462/kartor/A 25977-2025 karta.png", "A 25977-2025")</f>
        <v/>
      </c>
      <c r="V150">
        <f>HYPERLINK("https://klasma.github.io/Logging_2462/klagomål/A 25977-2025 FSC-klagomål.docx", "A 25977-2025")</f>
        <v/>
      </c>
      <c r="W150">
        <f>HYPERLINK("https://klasma.github.io/Logging_2462/klagomålsmail/A 25977-2025 FSC-klagomål mail.docx", "A 25977-2025")</f>
        <v/>
      </c>
      <c r="X150">
        <f>HYPERLINK("https://klasma.github.io/Logging_2462/tillsyn/A 25977-2025 tillsynsbegäran.docx", "A 25977-2025")</f>
        <v/>
      </c>
      <c r="Y150">
        <f>HYPERLINK("https://klasma.github.io/Logging_2462/tillsynsmail/A 25977-2025 tillsynsbegäran mail.docx", "A 25977-2025")</f>
        <v/>
      </c>
    </row>
    <row r="151" ht="15" customHeight="1">
      <c r="A151" t="inlineStr">
        <is>
          <t>A 38282-2024</t>
        </is>
      </c>
      <c r="B151" s="1" t="n">
        <v>45545</v>
      </c>
      <c r="C151" s="1" t="n">
        <v>45917</v>
      </c>
      <c r="D151" t="inlineStr">
        <is>
          <t>VÄSTERBOTTENS LÄN</t>
        </is>
      </c>
      <c r="E151" t="inlineStr">
        <is>
          <t>VILHELMINA</t>
        </is>
      </c>
      <c r="F151" t="inlineStr">
        <is>
          <t>SCA</t>
        </is>
      </c>
      <c r="G151" t="n">
        <v>3.4</v>
      </c>
      <c r="H151" t="n">
        <v>0</v>
      </c>
      <c r="I151" t="n">
        <v>0</v>
      </c>
      <c r="J151" t="n">
        <v>1</v>
      </c>
      <c r="K151" t="n">
        <v>0</v>
      </c>
      <c r="L151" t="n">
        <v>0</v>
      </c>
      <c r="M151" t="n">
        <v>0</v>
      </c>
      <c r="N151" t="n">
        <v>0</v>
      </c>
      <c r="O151" t="n">
        <v>1</v>
      </c>
      <c r="P151" t="n">
        <v>0</v>
      </c>
      <c r="Q151" t="n">
        <v>1</v>
      </c>
      <c r="R151" s="2" t="inlineStr">
        <is>
          <t>Gränsticka</t>
        </is>
      </c>
      <c r="S151">
        <f>HYPERLINK("https://klasma.github.io/Logging_2462/artfynd/A 38282-2024 artfynd.xlsx", "A 38282-2024")</f>
        <v/>
      </c>
      <c r="T151">
        <f>HYPERLINK("https://klasma.github.io/Logging_2462/kartor/A 38282-2024 karta.png", "A 38282-2024")</f>
        <v/>
      </c>
      <c r="V151">
        <f>HYPERLINK("https://klasma.github.io/Logging_2462/klagomål/A 38282-2024 FSC-klagomål.docx", "A 38282-2024")</f>
        <v/>
      </c>
      <c r="W151">
        <f>HYPERLINK("https://klasma.github.io/Logging_2462/klagomålsmail/A 38282-2024 FSC-klagomål mail.docx", "A 38282-2024")</f>
        <v/>
      </c>
      <c r="X151">
        <f>HYPERLINK("https://klasma.github.io/Logging_2462/tillsyn/A 38282-2024 tillsynsbegäran.docx", "A 38282-2024")</f>
        <v/>
      </c>
      <c r="Y151">
        <f>HYPERLINK("https://klasma.github.io/Logging_2462/tillsynsmail/A 38282-2024 tillsynsbegäran mail.docx", "A 38282-2024")</f>
        <v/>
      </c>
    </row>
    <row r="152" ht="15" customHeight="1">
      <c r="A152" t="inlineStr">
        <is>
          <t>A 34769-2024</t>
        </is>
      </c>
      <c r="B152" s="1" t="n">
        <v>45526.62043981482</v>
      </c>
      <c r="C152" s="1" t="n">
        <v>45917</v>
      </c>
      <c r="D152" t="inlineStr">
        <is>
          <t>VÄSTERBOTTENS LÄN</t>
        </is>
      </c>
      <c r="E152" t="inlineStr">
        <is>
          <t>VILHELMINA</t>
        </is>
      </c>
      <c r="F152" t="inlineStr">
        <is>
          <t>SCA</t>
        </is>
      </c>
      <c r="G152" t="n">
        <v>6.7</v>
      </c>
      <c r="H152" t="n">
        <v>0</v>
      </c>
      <c r="I152" t="n">
        <v>0</v>
      </c>
      <c r="J152" t="n">
        <v>0</v>
      </c>
      <c r="K152" t="n">
        <v>1</v>
      </c>
      <c r="L152" t="n">
        <v>0</v>
      </c>
      <c r="M152" t="n">
        <v>0</v>
      </c>
      <c r="N152" t="n">
        <v>0</v>
      </c>
      <c r="O152" t="n">
        <v>1</v>
      </c>
      <c r="P152" t="n">
        <v>1</v>
      </c>
      <c r="Q152" t="n">
        <v>1</v>
      </c>
      <c r="R152" s="2" t="inlineStr">
        <is>
          <t>Rynkskinn</t>
        </is>
      </c>
      <c r="S152">
        <f>HYPERLINK("https://klasma.github.io/Logging_2462/artfynd/A 34769-2024 artfynd.xlsx", "A 34769-2024")</f>
        <v/>
      </c>
      <c r="T152">
        <f>HYPERLINK("https://klasma.github.io/Logging_2462/kartor/A 34769-2024 karta.png", "A 34769-2024")</f>
        <v/>
      </c>
      <c r="V152">
        <f>HYPERLINK("https://klasma.github.io/Logging_2462/klagomål/A 34769-2024 FSC-klagomål.docx", "A 34769-2024")</f>
        <v/>
      </c>
      <c r="W152">
        <f>HYPERLINK("https://klasma.github.io/Logging_2462/klagomålsmail/A 34769-2024 FSC-klagomål mail.docx", "A 34769-2024")</f>
        <v/>
      </c>
      <c r="X152">
        <f>HYPERLINK("https://klasma.github.io/Logging_2462/tillsyn/A 34769-2024 tillsynsbegäran.docx", "A 34769-2024")</f>
        <v/>
      </c>
      <c r="Y152">
        <f>HYPERLINK("https://klasma.github.io/Logging_2462/tillsynsmail/A 34769-2024 tillsynsbegäran mail.docx", "A 34769-2024")</f>
        <v/>
      </c>
    </row>
    <row r="153" ht="15" customHeight="1">
      <c r="A153" t="inlineStr">
        <is>
          <t>A 29376-2021</t>
        </is>
      </c>
      <c r="B153" s="1" t="n">
        <v>44361</v>
      </c>
      <c r="C153" s="1" t="n">
        <v>45917</v>
      </c>
      <c r="D153" t="inlineStr">
        <is>
          <t>VÄSTERBOTTENS LÄN</t>
        </is>
      </c>
      <c r="E153" t="inlineStr">
        <is>
          <t>VILHELMINA</t>
        </is>
      </c>
      <c r="F153" t="inlineStr">
        <is>
          <t>Allmännings- och besparingsskogar</t>
        </is>
      </c>
      <c r="G153" t="n">
        <v>110.8</v>
      </c>
      <c r="H153" t="n">
        <v>1</v>
      </c>
      <c r="I153" t="n">
        <v>0</v>
      </c>
      <c r="J153" t="n">
        <v>0</v>
      </c>
      <c r="K153" t="n">
        <v>0</v>
      </c>
      <c r="L153" t="n">
        <v>0</v>
      </c>
      <c r="M153" t="n">
        <v>0</v>
      </c>
      <c r="N153" t="n">
        <v>0</v>
      </c>
      <c r="O153" t="n">
        <v>0</v>
      </c>
      <c r="P153" t="n">
        <v>0</v>
      </c>
      <c r="Q153" t="n">
        <v>1</v>
      </c>
      <c r="R153" s="2" t="inlineStr">
        <is>
          <t>Lavskrika</t>
        </is>
      </c>
      <c r="S153">
        <f>HYPERLINK("https://klasma.github.io/Logging_2462/artfynd/A 29376-2021 artfynd.xlsx", "A 29376-2021")</f>
        <v/>
      </c>
      <c r="T153">
        <f>HYPERLINK("https://klasma.github.io/Logging_2462/kartor/A 29376-2021 karta.png", "A 29376-2021")</f>
        <v/>
      </c>
      <c r="V153">
        <f>HYPERLINK("https://klasma.github.io/Logging_2462/klagomål/A 29376-2021 FSC-klagomål.docx", "A 29376-2021")</f>
        <v/>
      </c>
      <c r="W153">
        <f>HYPERLINK("https://klasma.github.io/Logging_2462/klagomålsmail/A 29376-2021 FSC-klagomål mail.docx", "A 29376-2021")</f>
        <v/>
      </c>
      <c r="X153">
        <f>HYPERLINK("https://klasma.github.io/Logging_2462/tillsyn/A 29376-2021 tillsynsbegäran.docx", "A 29376-2021")</f>
        <v/>
      </c>
      <c r="Y153">
        <f>HYPERLINK("https://klasma.github.io/Logging_2462/tillsynsmail/A 29376-2021 tillsynsbegäran mail.docx", "A 29376-2021")</f>
        <v/>
      </c>
      <c r="Z153">
        <f>HYPERLINK("https://klasma.github.io/Logging_2462/fåglar/A 29376-2021 prioriterade fågelarter.docx", "A 29376-2021")</f>
        <v/>
      </c>
    </row>
    <row r="154" ht="15" customHeight="1">
      <c r="A154" t="inlineStr">
        <is>
          <t>A 38416-2022</t>
        </is>
      </c>
      <c r="B154" s="1" t="n">
        <v>44812</v>
      </c>
      <c r="C154" s="1" t="n">
        <v>45917</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45917</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45917</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45917</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45917</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9779-2022</t>
        </is>
      </c>
      <c r="B159" s="1" t="n">
        <v>44619.87392361111</v>
      </c>
      <c r="C159" s="1" t="n">
        <v>45917</v>
      </c>
      <c r="D159" t="inlineStr">
        <is>
          <t>VÄSTERBOTTENS LÄN</t>
        </is>
      </c>
      <c r="E159" t="inlineStr">
        <is>
          <t>VILHELMINA</t>
        </is>
      </c>
      <c r="G159" t="n">
        <v>0.8</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45917</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45917</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66259-2021</t>
        </is>
      </c>
      <c r="B162" s="1" t="n">
        <v>44518</v>
      </c>
      <c r="C162" s="1" t="n">
        <v>45917</v>
      </c>
      <c r="D162" t="inlineStr">
        <is>
          <t>VÄSTERBOTTENS LÄN</t>
        </is>
      </c>
      <c r="E162" t="inlineStr">
        <is>
          <t>VILHELMINA</t>
        </is>
      </c>
      <c r="G162" t="n">
        <v>14.6</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45917</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45917</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45917</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45917</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45917</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45917</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45917</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45917</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45917</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45917</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45917</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45917</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45917</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45917</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45917</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45917</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45917</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45917</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45917</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45917</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45917</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45917</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45917</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45917</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45917</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45917</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45917</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45917</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45917</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45917</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45917</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45917</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45917</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45917</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45917</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45917</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45917</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39186-2021</t>
        </is>
      </c>
      <c r="B200" s="1" t="n">
        <v>44412</v>
      </c>
      <c r="C200" s="1" t="n">
        <v>45917</v>
      </c>
      <c r="D200" t="inlineStr">
        <is>
          <t>VÄSTERBOTTENS LÄN</t>
        </is>
      </c>
      <c r="E200" t="inlineStr">
        <is>
          <t>VILHELMINA</t>
        </is>
      </c>
      <c r="G200" t="n">
        <v>0.3</v>
      </c>
      <c r="H200" t="n">
        <v>0</v>
      </c>
      <c r="I200" t="n">
        <v>0</v>
      </c>
      <c r="J200" t="n">
        <v>0</v>
      </c>
      <c r="K200" t="n">
        <v>0</v>
      </c>
      <c r="L200" t="n">
        <v>0</v>
      </c>
      <c r="M200" t="n">
        <v>0</v>
      </c>
      <c r="N200" t="n">
        <v>0</v>
      </c>
      <c r="O200" t="n">
        <v>0</v>
      </c>
      <c r="P200" t="n">
        <v>0</v>
      </c>
      <c r="Q200" t="n">
        <v>0</v>
      </c>
      <c r="R200" s="2" t="inlineStr"/>
    </row>
    <row r="201" ht="15" customHeight="1">
      <c r="A201" t="inlineStr">
        <is>
          <t>A 21814-2022</t>
        </is>
      </c>
      <c r="B201" s="1" t="n">
        <v>44708</v>
      </c>
      <c r="C201" s="1" t="n">
        <v>45917</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31722-2021</t>
        </is>
      </c>
      <c r="B202" s="1" t="n">
        <v>44369.91984953704</v>
      </c>
      <c r="C202" s="1" t="n">
        <v>45917</v>
      </c>
      <c r="D202" t="inlineStr">
        <is>
          <t>VÄSTERBOTTENS LÄN</t>
        </is>
      </c>
      <c r="E202" t="inlineStr">
        <is>
          <t>VILHELMINA</t>
        </is>
      </c>
      <c r="G202" t="n">
        <v>2.8</v>
      </c>
      <c r="H202" t="n">
        <v>0</v>
      </c>
      <c r="I202" t="n">
        <v>0</v>
      </c>
      <c r="J202" t="n">
        <v>0</v>
      </c>
      <c r="K202" t="n">
        <v>0</v>
      </c>
      <c r="L202" t="n">
        <v>0</v>
      </c>
      <c r="M202" t="n">
        <v>0</v>
      </c>
      <c r="N202" t="n">
        <v>0</v>
      </c>
      <c r="O202" t="n">
        <v>0</v>
      </c>
      <c r="P202" t="n">
        <v>0</v>
      </c>
      <c r="Q202" t="n">
        <v>0</v>
      </c>
      <c r="R202" s="2" t="inlineStr"/>
    </row>
    <row r="203" ht="15" customHeight="1">
      <c r="A203" t="inlineStr">
        <is>
          <t>A 31656-2021</t>
        </is>
      </c>
      <c r="B203" s="1" t="n">
        <v>44377</v>
      </c>
      <c r="C203" s="1" t="n">
        <v>45917</v>
      </c>
      <c r="D203" t="inlineStr">
        <is>
          <t>VÄSTERBOTTENS LÄN</t>
        </is>
      </c>
      <c r="E203" t="inlineStr">
        <is>
          <t>VILHELMINA</t>
        </is>
      </c>
      <c r="G203" t="n">
        <v>0.9</v>
      </c>
      <c r="H203" t="n">
        <v>0</v>
      </c>
      <c r="I203" t="n">
        <v>0</v>
      </c>
      <c r="J203" t="n">
        <v>0</v>
      </c>
      <c r="K203" t="n">
        <v>0</v>
      </c>
      <c r="L203" t="n">
        <v>0</v>
      </c>
      <c r="M203" t="n">
        <v>0</v>
      </c>
      <c r="N203" t="n">
        <v>0</v>
      </c>
      <c r="O203" t="n">
        <v>0</v>
      </c>
      <c r="P203" t="n">
        <v>0</v>
      </c>
      <c r="Q203" t="n">
        <v>0</v>
      </c>
      <c r="R203" s="2" t="inlineStr"/>
    </row>
    <row r="204" ht="15" customHeight="1">
      <c r="A204" t="inlineStr">
        <is>
          <t>A 40471-2021</t>
        </is>
      </c>
      <c r="B204" s="1" t="n">
        <v>44419.94237268518</v>
      </c>
      <c r="C204" s="1" t="n">
        <v>45917</v>
      </c>
      <c r="D204" t="inlineStr">
        <is>
          <t>VÄSTERBOTTENS LÄN</t>
        </is>
      </c>
      <c r="E204" t="inlineStr">
        <is>
          <t>VILHELMINA</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40476-2021</t>
        </is>
      </c>
      <c r="B205" s="1" t="n">
        <v>44419.94289351852</v>
      </c>
      <c r="C205" s="1" t="n">
        <v>45917</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40477-2021</t>
        </is>
      </c>
      <c r="B206" s="1" t="n">
        <v>44419.94302083334</v>
      </c>
      <c r="C206" s="1" t="n">
        <v>45917</v>
      </c>
      <c r="D206" t="inlineStr">
        <is>
          <t>VÄSTERBOTTENS LÄN</t>
        </is>
      </c>
      <c r="E206" t="inlineStr">
        <is>
          <t>VILHELMINA</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30018-2022</t>
        </is>
      </c>
      <c r="B207" s="1" t="n">
        <v>44756</v>
      </c>
      <c r="C207" s="1" t="n">
        <v>45917</v>
      </c>
      <c r="D207" t="inlineStr">
        <is>
          <t>VÄSTERBOTTENS LÄN</t>
        </is>
      </c>
      <c r="E207" t="inlineStr">
        <is>
          <t>VILHELMINA</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69850-2021</t>
        </is>
      </c>
      <c r="B208" s="1" t="n">
        <v>44532</v>
      </c>
      <c r="C208" s="1" t="n">
        <v>45917</v>
      </c>
      <c r="D208" t="inlineStr">
        <is>
          <t>VÄSTERBOTTENS LÄN</t>
        </is>
      </c>
      <c r="E208" t="inlineStr">
        <is>
          <t>VILHELMINA</t>
        </is>
      </c>
      <c r="G208" t="n">
        <v>6.8</v>
      </c>
      <c r="H208" t="n">
        <v>0</v>
      </c>
      <c r="I208" t="n">
        <v>0</v>
      </c>
      <c r="J208" t="n">
        <v>0</v>
      </c>
      <c r="K208" t="n">
        <v>0</v>
      </c>
      <c r="L208" t="n">
        <v>0</v>
      </c>
      <c r="M208" t="n">
        <v>0</v>
      </c>
      <c r="N208" t="n">
        <v>0</v>
      </c>
      <c r="O208" t="n">
        <v>0</v>
      </c>
      <c r="P208" t="n">
        <v>0</v>
      </c>
      <c r="Q208" t="n">
        <v>0</v>
      </c>
      <c r="R208" s="2" t="inlineStr"/>
    </row>
    <row r="209" ht="15" customHeight="1">
      <c r="A209" t="inlineStr">
        <is>
          <t>A 28895-2021</t>
        </is>
      </c>
      <c r="B209" s="1" t="n">
        <v>44357</v>
      </c>
      <c r="C209" s="1" t="n">
        <v>45917</v>
      </c>
      <c r="D209" t="inlineStr">
        <is>
          <t>VÄSTERBOTTENS LÄN</t>
        </is>
      </c>
      <c r="E209" t="inlineStr">
        <is>
          <t>VILHELMINA</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48600-2021</t>
        </is>
      </c>
      <c r="B210" s="1" t="n">
        <v>44452</v>
      </c>
      <c r="C210" s="1" t="n">
        <v>45917</v>
      </c>
      <c r="D210" t="inlineStr">
        <is>
          <t>VÄSTERBOTTENS LÄN</t>
        </is>
      </c>
      <c r="E210" t="inlineStr">
        <is>
          <t>VILHELMINA</t>
        </is>
      </c>
      <c r="F210" t="inlineStr">
        <is>
          <t>Allmännings- och besparingsskogar</t>
        </is>
      </c>
      <c r="G210" t="n">
        <v>48.6</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45917</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45917</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45917</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24599-2021</t>
        </is>
      </c>
      <c r="B214" s="1" t="n">
        <v>44341</v>
      </c>
      <c r="C214" s="1" t="n">
        <v>45917</v>
      </c>
      <c r="D214" t="inlineStr">
        <is>
          <t>VÄSTERBOTTENS LÄN</t>
        </is>
      </c>
      <c r="E214" t="inlineStr">
        <is>
          <t>VILHELMINA</t>
        </is>
      </c>
      <c r="G214" t="n">
        <v>14.5</v>
      </c>
      <c r="H214" t="n">
        <v>0</v>
      </c>
      <c r="I214" t="n">
        <v>0</v>
      </c>
      <c r="J214" t="n">
        <v>0</v>
      </c>
      <c r="K214" t="n">
        <v>0</v>
      </c>
      <c r="L214" t="n">
        <v>0</v>
      </c>
      <c r="M214" t="n">
        <v>0</v>
      </c>
      <c r="N214" t="n">
        <v>0</v>
      </c>
      <c r="O214" t="n">
        <v>0</v>
      </c>
      <c r="P214" t="n">
        <v>0</v>
      </c>
      <c r="Q214" t="n">
        <v>0</v>
      </c>
      <c r="R214" s="2" t="inlineStr"/>
    </row>
    <row r="215" ht="15" customHeight="1">
      <c r="A215" t="inlineStr">
        <is>
          <t>A 24983-2021</t>
        </is>
      </c>
      <c r="B215" s="1" t="n">
        <v>44341</v>
      </c>
      <c r="C215" s="1" t="n">
        <v>45917</v>
      </c>
      <c r="D215" t="inlineStr">
        <is>
          <t>VÄSTERBOTTENS LÄN</t>
        </is>
      </c>
      <c r="E215" t="inlineStr">
        <is>
          <t>VILHELMINA</t>
        </is>
      </c>
      <c r="G215" t="n">
        <v>12.9</v>
      </c>
      <c r="H215" t="n">
        <v>0</v>
      </c>
      <c r="I215" t="n">
        <v>0</v>
      </c>
      <c r="J215" t="n">
        <v>0</v>
      </c>
      <c r="K215" t="n">
        <v>0</v>
      </c>
      <c r="L215" t="n">
        <v>0</v>
      </c>
      <c r="M215" t="n">
        <v>0</v>
      </c>
      <c r="N215" t="n">
        <v>0</v>
      </c>
      <c r="O215" t="n">
        <v>0</v>
      </c>
      <c r="P215" t="n">
        <v>0</v>
      </c>
      <c r="Q215" t="n">
        <v>0</v>
      </c>
      <c r="R215" s="2" t="inlineStr"/>
    </row>
    <row r="216" ht="15" customHeight="1">
      <c r="A216" t="inlineStr">
        <is>
          <t>A 64759-2020</t>
        </is>
      </c>
      <c r="B216" s="1" t="n">
        <v>44169</v>
      </c>
      <c r="C216" s="1" t="n">
        <v>45917</v>
      </c>
      <c r="D216" t="inlineStr">
        <is>
          <t>VÄSTERBOTTENS LÄN</t>
        </is>
      </c>
      <c r="E216" t="inlineStr">
        <is>
          <t>VILHELMINA</t>
        </is>
      </c>
      <c r="G216" t="n">
        <v>24.6</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45917</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45917</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45917</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9732-2022</t>
        </is>
      </c>
      <c r="B220" s="1" t="n">
        <v>44617.9343287037</v>
      </c>
      <c r="C220" s="1" t="n">
        <v>45917</v>
      </c>
      <c r="D220" t="inlineStr">
        <is>
          <t>VÄSTERBOTTENS LÄN</t>
        </is>
      </c>
      <c r="E220" t="inlineStr">
        <is>
          <t>VILHELMINA</t>
        </is>
      </c>
      <c r="F220" t="inlineStr">
        <is>
          <t>SCA</t>
        </is>
      </c>
      <c r="G220" t="n">
        <v>6.9</v>
      </c>
      <c r="H220" t="n">
        <v>0</v>
      </c>
      <c r="I220" t="n">
        <v>0</v>
      </c>
      <c r="J220" t="n">
        <v>0</v>
      </c>
      <c r="K220" t="n">
        <v>0</v>
      </c>
      <c r="L220" t="n">
        <v>0</v>
      </c>
      <c r="M220" t="n">
        <v>0</v>
      </c>
      <c r="N220" t="n">
        <v>0</v>
      </c>
      <c r="O220" t="n">
        <v>0</v>
      </c>
      <c r="P220" t="n">
        <v>0</v>
      </c>
      <c r="Q220" t="n">
        <v>0</v>
      </c>
      <c r="R220" s="2" t="inlineStr"/>
    </row>
    <row r="221" ht="15" customHeight="1">
      <c r="A221" t="inlineStr">
        <is>
          <t>A 43741-2022</t>
        </is>
      </c>
      <c r="B221" s="1" t="n">
        <v>44837</v>
      </c>
      <c r="C221" s="1" t="n">
        <v>45917</v>
      </c>
      <c r="D221" t="inlineStr">
        <is>
          <t>VÄSTERBOTTENS LÄN</t>
        </is>
      </c>
      <c r="E221" t="inlineStr">
        <is>
          <t>VILHELMINA</t>
        </is>
      </c>
      <c r="G221" t="n">
        <v>54.2</v>
      </c>
      <c r="H221" t="n">
        <v>0</v>
      </c>
      <c r="I221" t="n">
        <v>0</v>
      </c>
      <c r="J221" t="n">
        <v>0</v>
      </c>
      <c r="K221" t="n">
        <v>0</v>
      </c>
      <c r="L221" t="n">
        <v>0</v>
      </c>
      <c r="M221" t="n">
        <v>0</v>
      </c>
      <c r="N221" t="n">
        <v>0</v>
      </c>
      <c r="O221" t="n">
        <v>0</v>
      </c>
      <c r="P221" t="n">
        <v>0</v>
      </c>
      <c r="Q221" t="n">
        <v>0</v>
      </c>
      <c r="R221" s="2" t="inlineStr"/>
    </row>
    <row r="222" ht="15" customHeight="1">
      <c r="A222" t="inlineStr">
        <is>
          <t>A 2189-2021</t>
        </is>
      </c>
      <c r="B222" s="1" t="n">
        <v>44211</v>
      </c>
      <c r="C222" s="1" t="n">
        <v>45917</v>
      </c>
      <c r="D222" t="inlineStr">
        <is>
          <t>VÄSTERBOTTENS LÄN</t>
        </is>
      </c>
      <c r="E222" t="inlineStr">
        <is>
          <t>VILHELMINA</t>
        </is>
      </c>
      <c r="F222" t="inlineStr">
        <is>
          <t>Allmännings- och besparingsskogar</t>
        </is>
      </c>
      <c r="G222" t="n">
        <v>20.1</v>
      </c>
      <c r="H222" t="n">
        <v>0</v>
      </c>
      <c r="I222" t="n">
        <v>0</v>
      </c>
      <c r="J222" t="n">
        <v>0</v>
      </c>
      <c r="K222" t="n">
        <v>0</v>
      </c>
      <c r="L222" t="n">
        <v>0</v>
      </c>
      <c r="M222" t="n">
        <v>0</v>
      </c>
      <c r="N222" t="n">
        <v>0</v>
      </c>
      <c r="O222" t="n">
        <v>0</v>
      </c>
      <c r="P222" t="n">
        <v>0</v>
      </c>
      <c r="Q222" t="n">
        <v>0</v>
      </c>
      <c r="R222" s="2" t="inlineStr"/>
    </row>
    <row r="223" ht="15" customHeight="1">
      <c r="A223" t="inlineStr">
        <is>
          <t>A 33603-2022</t>
        </is>
      </c>
      <c r="B223" s="1" t="n">
        <v>44789.49009259259</v>
      </c>
      <c r="C223" s="1" t="n">
        <v>45917</v>
      </c>
      <c r="D223" t="inlineStr">
        <is>
          <t>VÄSTERBOTTENS LÄN</t>
        </is>
      </c>
      <c r="E223" t="inlineStr">
        <is>
          <t>VILHELMINA</t>
        </is>
      </c>
      <c r="F223" t="inlineStr">
        <is>
          <t>Sveaskog</t>
        </is>
      </c>
      <c r="G223" t="n">
        <v>15.1</v>
      </c>
      <c r="H223" t="n">
        <v>0</v>
      </c>
      <c r="I223" t="n">
        <v>0</v>
      </c>
      <c r="J223" t="n">
        <v>0</v>
      </c>
      <c r="K223" t="n">
        <v>0</v>
      </c>
      <c r="L223" t="n">
        <v>0</v>
      </c>
      <c r="M223" t="n">
        <v>0</v>
      </c>
      <c r="N223" t="n">
        <v>0</v>
      </c>
      <c r="O223" t="n">
        <v>0</v>
      </c>
      <c r="P223" t="n">
        <v>0</v>
      </c>
      <c r="Q223" t="n">
        <v>0</v>
      </c>
      <c r="R223" s="2" t="inlineStr"/>
    </row>
    <row r="224" ht="15" customHeight="1">
      <c r="A224" t="inlineStr">
        <is>
          <t>A 27920-2022</t>
        </is>
      </c>
      <c r="B224" s="1" t="n">
        <v>44743</v>
      </c>
      <c r="C224" s="1" t="n">
        <v>45917</v>
      </c>
      <c r="D224" t="inlineStr">
        <is>
          <t>VÄSTERBOTTENS LÄN</t>
        </is>
      </c>
      <c r="E224" t="inlineStr">
        <is>
          <t>VILHELMINA</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57086-2021</t>
        </is>
      </c>
      <c r="B225" s="1" t="n">
        <v>44482</v>
      </c>
      <c r="C225" s="1" t="n">
        <v>45917</v>
      </c>
      <c r="D225" t="inlineStr">
        <is>
          <t>VÄSTERBOTTENS LÄN</t>
        </is>
      </c>
      <c r="E225" t="inlineStr">
        <is>
          <t>VILHELMINA</t>
        </is>
      </c>
      <c r="G225" t="n">
        <v>1.5</v>
      </c>
      <c r="H225" t="n">
        <v>0</v>
      </c>
      <c r="I225" t="n">
        <v>0</v>
      </c>
      <c r="J225" t="n">
        <v>0</v>
      </c>
      <c r="K225" t="n">
        <v>0</v>
      </c>
      <c r="L225" t="n">
        <v>0</v>
      </c>
      <c r="M225" t="n">
        <v>0</v>
      </c>
      <c r="N225" t="n">
        <v>0</v>
      </c>
      <c r="O225" t="n">
        <v>0</v>
      </c>
      <c r="P225" t="n">
        <v>0</v>
      </c>
      <c r="Q225" t="n">
        <v>0</v>
      </c>
      <c r="R225" s="2" t="inlineStr"/>
    </row>
    <row r="226" ht="15" customHeight="1">
      <c r="A226" t="inlineStr">
        <is>
          <t>A 29773-2022</t>
        </is>
      </c>
      <c r="B226" s="1" t="n">
        <v>44755.62866898148</v>
      </c>
      <c r="C226" s="1" t="n">
        <v>45917</v>
      </c>
      <c r="D226" t="inlineStr">
        <is>
          <t>VÄSTERBOTTENS LÄN</t>
        </is>
      </c>
      <c r="E226" t="inlineStr">
        <is>
          <t>VILHELMINA</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53658-2022</t>
        </is>
      </c>
      <c r="B227" s="1" t="n">
        <v>44879</v>
      </c>
      <c r="C227" s="1" t="n">
        <v>45917</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27194-2024</t>
        </is>
      </c>
      <c r="B228" s="1" t="n">
        <v>45471</v>
      </c>
      <c r="C228" s="1" t="n">
        <v>45917</v>
      </c>
      <c r="D228" t="inlineStr">
        <is>
          <t>VÄSTERBOTTENS LÄN</t>
        </is>
      </c>
      <c r="E228" t="inlineStr">
        <is>
          <t>VILHELMINA</t>
        </is>
      </c>
      <c r="G228" t="n">
        <v>8.5</v>
      </c>
      <c r="H228" t="n">
        <v>0</v>
      </c>
      <c r="I228" t="n">
        <v>0</v>
      </c>
      <c r="J228" t="n">
        <v>0</v>
      </c>
      <c r="K228" t="n">
        <v>0</v>
      </c>
      <c r="L228" t="n">
        <v>0</v>
      </c>
      <c r="M228" t="n">
        <v>0</v>
      </c>
      <c r="N228" t="n">
        <v>0</v>
      </c>
      <c r="O228" t="n">
        <v>0</v>
      </c>
      <c r="P228" t="n">
        <v>0</v>
      </c>
      <c r="Q228" t="n">
        <v>0</v>
      </c>
      <c r="R228" s="2" t="inlineStr"/>
    </row>
    <row r="229" ht="15" customHeight="1">
      <c r="A229" t="inlineStr">
        <is>
          <t>A 13200-2025</t>
        </is>
      </c>
      <c r="B229" s="1" t="n">
        <v>45735</v>
      </c>
      <c r="C229" s="1" t="n">
        <v>45917</v>
      </c>
      <c r="D229" t="inlineStr">
        <is>
          <t>VÄSTERBOTTENS LÄN</t>
        </is>
      </c>
      <c r="E229" t="inlineStr">
        <is>
          <t>VILHELMINA</t>
        </is>
      </c>
      <c r="F229" t="inlineStr">
        <is>
          <t>SCA</t>
        </is>
      </c>
      <c r="G229" t="n">
        <v>5.5</v>
      </c>
      <c r="H229" t="n">
        <v>0</v>
      </c>
      <c r="I229" t="n">
        <v>0</v>
      </c>
      <c r="J229" t="n">
        <v>0</v>
      </c>
      <c r="K229" t="n">
        <v>0</v>
      </c>
      <c r="L229" t="n">
        <v>0</v>
      </c>
      <c r="M229" t="n">
        <v>0</v>
      </c>
      <c r="N229" t="n">
        <v>0</v>
      </c>
      <c r="O229" t="n">
        <v>0</v>
      </c>
      <c r="P229" t="n">
        <v>0</v>
      </c>
      <c r="Q229" t="n">
        <v>0</v>
      </c>
      <c r="R229" s="2" t="inlineStr"/>
    </row>
    <row r="230" ht="15" customHeight="1">
      <c r="A230" t="inlineStr">
        <is>
          <t>A 41330-2022</t>
        </is>
      </c>
      <c r="B230" s="1" t="n">
        <v>44826</v>
      </c>
      <c r="C230" s="1" t="n">
        <v>45917</v>
      </c>
      <c r="D230" t="inlineStr">
        <is>
          <t>VÄSTERBOTTENS LÄN</t>
        </is>
      </c>
      <c r="E230" t="inlineStr">
        <is>
          <t>VILHELMINA</t>
        </is>
      </c>
      <c r="G230" t="n">
        <v>3.4</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45917</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8718-2025</t>
        </is>
      </c>
      <c r="B232" s="1" t="n">
        <v>45712</v>
      </c>
      <c r="C232" s="1" t="n">
        <v>45917</v>
      </c>
      <c r="D232" t="inlineStr">
        <is>
          <t>VÄSTERBOTTENS LÄN</t>
        </is>
      </c>
      <c r="E232" t="inlineStr">
        <is>
          <t>VILHELMINA</t>
        </is>
      </c>
      <c r="G232" t="n">
        <v>21.3</v>
      </c>
      <c r="H232" t="n">
        <v>0</v>
      </c>
      <c r="I232" t="n">
        <v>0</v>
      </c>
      <c r="J232" t="n">
        <v>0</v>
      </c>
      <c r="K232" t="n">
        <v>0</v>
      </c>
      <c r="L232" t="n">
        <v>0</v>
      </c>
      <c r="M232" t="n">
        <v>0</v>
      </c>
      <c r="N232" t="n">
        <v>0</v>
      </c>
      <c r="O232" t="n">
        <v>0</v>
      </c>
      <c r="P232" t="n">
        <v>0</v>
      </c>
      <c r="Q232" t="n">
        <v>0</v>
      </c>
      <c r="R232" s="2" t="inlineStr"/>
    </row>
    <row r="233" ht="15" customHeight="1">
      <c r="A233" t="inlineStr">
        <is>
          <t>A 35686-2022</t>
        </is>
      </c>
      <c r="B233" s="1" t="n">
        <v>44799</v>
      </c>
      <c r="C233" s="1" t="n">
        <v>45917</v>
      </c>
      <c r="D233" t="inlineStr">
        <is>
          <t>VÄSTERBOTTENS LÄN</t>
        </is>
      </c>
      <c r="E233" t="inlineStr">
        <is>
          <t>VILHELMINA</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45917</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45917</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45917</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60317-2021</t>
        </is>
      </c>
      <c r="B237" s="1" t="n">
        <v>44495.94003472223</v>
      </c>
      <c r="C237" s="1" t="n">
        <v>45917</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70854-2021</t>
        </is>
      </c>
      <c r="B238" s="1" t="n">
        <v>44532</v>
      </c>
      <c r="C238" s="1" t="n">
        <v>45917</v>
      </c>
      <c r="D238" t="inlineStr">
        <is>
          <t>VÄSTERBOTTENS LÄN</t>
        </is>
      </c>
      <c r="E238" t="inlineStr">
        <is>
          <t>VILHELMINA</t>
        </is>
      </c>
      <c r="G238" t="n">
        <v>2.6</v>
      </c>
      <c r="H238" t="n">
        <v>0</v>
      </c>
      <c r="I238" t="n">
        <v>0</v>
      </c>
      <c r="J238" t="n">
        <v>0</v>
      </c>
      <c r="K238" t="n">
        <v>0</v>
      </c>
      <c r="L238" t="n">
        <v>0</v>
      </c>
      <c r="M238" t="n">
        <v>0</v>
      </c>
      <c r="N238" t="n">
        <v>0</v>
      </c>
      <c r="O238" t="n">
        <v>0</v>
      </c>
      <c r="P238" t="n">
        <v>0</v>
      </c>
      <c r="Q238" t="n">
        <v>0</v>
      </c>
      <c r="R238" s="2" t="inlineStr"/>
    </row>
    <row r="239" ht="15" customHeight="1">
      <c r="A239" t="inlineStr">
        <is>
          <t>A 19909-2025</t>
        </is>
      </c>
      <c r="B239" s="1" t="n">
        <v>45771.60482638889</v>
      </c>
      <c r="C239" s="1" t="n">
        <v>45917</v>
      </c>
      <c r="D239" t="inlineStr">
        <is>
          <t>VÄSTERBOTTENS LÄN</t>
        </is>
      </c>
      <c r="E239" t="inlineStr">
        <is>
          <t>VILHELMINA</t>
        </is>
      </c>
      <c r="G239" t="n">
        <v>12.4</v>
      </c>
      <c r="H239" t="n">
        <v>0</v>
      </c>
      <c r="I239" t="n">
        <v>0</v>
      </c>
      <c r="J239" t="n">
        <v>0</v>
      </c>
      <c r="K239" t="n">
        <v>0</v>
      </c>
      <c r="L239" t="n">
        <v>0</v>
      </c>
      <c r="M239" t="n">
        <v>0</v>
      </c>
      <c r="N239" t="n">
        <v>0</v>
      </c>
      <c r="O239" t="n">
        <v>0</v>
      </c>
      <c r="P239" t="n">
        <v>0</v>
      </c>
      <c r="Q239" t="n">
        <v>0</v>
      </c>
      <c r="R239" s="2" t="inlineStr"/>
    </row>
    <row r="240" ht="15" customHeight="1">
      <c r="A240" t="inlineStr">
        <is>
          <t>A 27874-2022</t>
        </is>
      </c>
      <c r="B240" s="1" t="n">
        <v>44743</v>
      </c>
      <c r="C240" s="1" t="n">
        <v>45917</v>
      </c>
      <c r="D240" t="inlineStr">
        <is>
          <t>VÄSTERBOTTENS LÄN</t>
        </is>
      </c>
      <c r="E240" t="inlineStr">
        <is>
          <t>VILHELMINA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27880-2022</t>
        </is>
      </c>
      <c r="B241" s="1" t="n">
        <v>44743</v>
      </c>
      <c r="C241" s="1" t="n">
        <v>45917</v>
      </c>
      <c r="D241" t="inlineStr">
        <is>
          <t>VÄSTERBOTTENS LÄN</t>
        </is>
      </c>
      <c r="E241" t="inlineStr">
        <is>
          <t>VILHELMINA</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45965-2023</t>
        </is>
      </c>
      <c r="B242" s="1" t="n">
        <v>45195.94755787037</v>
      </c>
      <c r="C242" s="1" t="n">
        <v>45917</v>
      </c>
      <c r="D242" t="inlineStr">
        <is>
          <t>VÄSTERBOTTENS LÄN</t>
        </is>
      </c>
      <c r="E242" t="inlineStr">
        <is>
          <t>VILHELMINA</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47287-2022</t>
        </is>
      </c>
      <c r="B243" s="1" t="n">
        <v>44852.95145833334</v>
      </c>
      <c r="C243" s="1" t="n">
        <v>45917</v>
      </c>
      <c r="D243" t="inlineStr">
        <is>
          <t>VÄSTERBOTTENS LÄN</t>
        </is>
      </c>
      <c r="E243" t="inlineStr">
        <is>
          <t>VILHELMINA</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47288-2022</t>
        </is>
      </c>
      <c r="B244" s="1" t="n">
        <v>44852</v>
      </c>
      <c r="C244" s="1" t="n">
        <v>45917</v>
      </c>
      <c r="D244" t="inlineStr">
        <is>
          <t>VÄSTERBOTTENS LÄN</t>
        </is>
      </c>
      <c r="E244" t="inlineStr">
        <is>
          <t>VILHELMINA</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8003-2021</t>
        </is>
      </c>
      <c r="B245" s="1" t="n">
        <v>44243</v>
      </c>
      <c r="C245" s="1" t="n">
        <v>45917</v>
      </c>
      <c r="D245" t="inlineStr">
        <is>
          <t>VÄSTERBOTTENS LÄN</t>
        </is>
      </c>
      <c r="E245" t="inlineStr">
        <is>
          <t>VILHELMINA</t>
        </is>
      </c>
      <c r="G245" t="n">
        <v>5.1</v>
      </c>
      <c r="H245" t="n">
        <v>0</v>
      </c>
      <c r="I245" t="n">
        <v>0</v>
      </c>
      <c r="J245" t="n">
        <v>0</v>
      </c>
      <c r="K245" t="n">
        <v>0</v>
      </c>
      <c r="L245" t="n">
        <v>0</v>
      </c>
      <c r="M245" t="n">
        <v>0</v>
      </c>
      <c r="N245" t="n">
        <v>0</v>
      </c>
      <c r="O245" t="n">
        <v>0</v>
      </c>
      <c r="P245" t="n">
        <v>0</v>
      </c>
      <c r="Q245" t="n">
        <v>0</v>
      </c>
      <c r="R245" s="2" t="inlineStr"/>
    </row>
    <row r="246" ht="15" customHeight="1">
      <c r="A246" t="inlineStr">
        <is>
          <t>A 31896-2024</t>
        </is>
      </c>
      <c r="B246" s="1" t="n">
        <v>45509</v>
      </c>
      <c r="C246" s="1" t="n">
        <v>45917</v>
      </c>
      <c r="D246" t="inlineStr">
        <is>
          <t>VÄSTERBOTTENS LÄN</t>
        </is>
      </c>
      <c r="E246" t="inlineStr">
        <is>
          <t>VILHELMINA</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2193-2021</t>
        </is>
      </c>
      <c r="B247" s="1" t="n">
        <v>44211</v>
      </c>
      <c r="C247" s="1" t="n">
        <v>45917</v>
      </c>
      <c r="D247" t="inlineStr">
        <is>
          <t>VÄSTERBOTTENS LÄN</t>
        </is>
      </c>
      <c r="E247" t="inlineStr">
        <is>
          <t>VILHELMINA</t>
        </is>
      </c>
      <c r="F247" t="inlineStr">
        <is>
          <t>Allmännings- och besparingsskogar</t>
        </is>
      </c>
      <c r="G247" t="n">
        <v>157.8</v>
      </c>
      <c r="H247" t="n">
        <v>0</v>
      </c>
      <c r="I247" t="n">
        <v>0</v>
      </c>
      <c r="J247" t="n">
        <v>0</v>
      </c>
      <c r="K247" t="n">
        <v>0</v>
      </c>
      <c r="L247" t="n">
        <v>0</v>
      </c>
      <c r="M247" t="n">
        <v>0</v>
      </c>
      <c r="N247" t="n">
        <v>0</v>
      </c>
      <c r="O247" t="n">
        <v>0</v>
      </c>
      <c r="P247" t="n">
        <v>0</v>
      </c>
      <c r="Q247" t="n">
        <v>0</v>
      </c>
      <c r="R247" s="2" t="inlineStr"/>
    </row>
    <row r="248" ht="15" customHeight="1">
      <c r="A248" t="inlineStr">
        <is>
          <t>A 39914-2023</t>
        </is>
      </c>
      <c r="B248" s="1" t="n">
        <v>45166</v>
      </c>
      <c r="C248" s="1" t="n">
        <v>45917</v>
      </c>
      <c r="D248" t="inlineStr">
        <is>
          <t>VÄSTERBOTTENS LÄN</t>
        </is>
      </c>
      <c r="E248" t="inlineStr">
        <is>
          <t>VILHELMINA</t>
        </is>
      </c>
      <c r="G248" t="n">
        <v>27.5</v>
      </c>
      <c r="H248" t="n">
        <v>0</v>
      </c>
      <c r="I248" t="n">
        <v>0</v>
      </c>
      <c r="J248" t="n">
        <v>0</v>
      </c>
      <c r="K248" t="n">
        <v>0</v>
      </c>
      <c r="L248" t="n">
        <v>0</v>
      </c>
      <c r="M248" t="n">
        <v>0</v>
      </c>
      <c r="N248" t="n">
        <v>0</v>
      </c>
      <c r="O248" t="n">
        <v>0</v>
      </c>
      <c r="P248" t="n">
        <v>0</v>
      </c>
      <c r="Q248" t="n">
        <v>0</v>
      </c>
      <c r="R248" s="2" t="inlineStr"/>
    </row>
    <row r="249" ht="15" customHeight="1">
      <c r="A249" t="inlineStr">
        <is>
          <t>A 48574-2021</t>
        </is>
      </c>
      <c r="B249" s="1" t="n">
        <v>44452</v>
      </c>
      <c r="C249" s="1" t="n">
        <v>45917</v>
      </c>
      <c r="D249" t="inlineStr">
        <is>
          <t>VÄSTERBOTTENS LÄN</t>
        </is>
      </c>
      <c r="E249" t="inlineStr">
        <is>
          <t>VILHELMINA</t>
        </is>
      </c>
      <c r="F249" t="inlineStr">
        <is>
          <t>Allmännings- och besparingsskogar</t>
        </is>
      </c>
      <c r="G249" t="n">
        <v>85.09999999999999</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45917</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45917</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27844-2022</t>
        </is>
      </c>
      <c r="B252" s="1" t="n">
        <v>44743.620625</v>
      </c>
      <c r="C252" s="1" t="n">
        <v>45917</v>
      </c>
      <c r="D252" t="inlineStr">
        <is>
          <t>VÄSTERBOTTENS LÄN</t>
        </is>
      </c>
      <c r="E252" t="inlineStr">
        <is>
          <t>VILHELMINA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12190-2024</t>
        </is>
      </c>
      <c r="B253" s="1" t="n">
        <v>45377.94954861111</v>
      </c>
      <c r="C253" s="1" t="n">
        <v>45917</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51935-2021</t>
        </is>
      </c>
      <c r="B254" s="1" t="n">
        <v>44462</v>
      </c>
      <c r="C254" s="1" t="n">
        <v>45917</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8726-2023</t>
        </is>
      </c>
      <c r="B255" s="1" t="n">
        <v>44972</v>
      </c>
      <c r="C255" s="1" t="n">
        <v>45917</v>
      </c>
      <c r="D255" t="inlineStr">
        <is>
          <t>VÄSTERBOTTENS LÄN</t>
        </is>
      </c>
      <c r="E255" t="inlineStr">
        <is>
          <t>VILHELMINA</t>
        </is>
      </c>
      <c r="F255" t="inlineStr">
        <is>
          <t>Allmännings- och besparingsskogar</t>
        </is>
      </c>
      <c r="G255" t="n">
        <v>50</v>
      </c>
      <c r="H255" t="n">
        <v>0</v>
      </c>
      <c r="I255" t="n">
        <v>0</v>
      </c>
      <c r="J255" t="n">
        <v>0</v>
      </c>
      <c r="K255" t="n">
        <v>0</v>
      </c>
      <c r="L255" t="n">
        <v>0</v>
      </c>
      <c r="M255" t="n">
        <v>0</v>
      </c>
      <c r="N255" t="n">
        <v>0</v>
      </c>
      <c r="O255" t="n">
        <v>0</v>
      </c>
      <c r="P255" t="n">
        <v>0</v>
      </c>
      <c r="Q255" t="n">
        <v>0</v>
      </c>
      <c r="R255" s="2" t="inlineStr"/>
    </row>
    <row r="256" ht="15" customHeight="1">
      <c r="A256" t="inlineStr">
        <is>
          <t>A 72487-2021</t>
        </is>
      </c>
      <c r="B256" s="1" t="n">
        <v>44545.92033564814</v>
      </c>
      <c r="C256" s="1" t="n">
        <v>45917</v>
      </c>
      <c r="D256" t="inlineStr">
        <is>
          <t>VÄSTERBOTTENS LÄN</t>
        </is>
      </c>
      <c r="E256" t="inlineStr">
        <is>
          <t>VILHELMINA</t>
        </is>
      </c>
      <c r="G256" t="n">
        <v>1.2</v>
      </c>
      <c r="H256" t="n">
        <v>0</v>
      </c>
      <c r="I256" t="n">
        <v>0</v>
      </c>
      <c r="J256" t="n">
        <v>0</v>
      </c>
      <c r="K256" t="n">
        <v>0</v>
      </c>
      <c r="L256" t="n">
        <v>0</v>
      </c>
      <c r="M256" t="n">
        <v>0</v>
      </c>
      <c r="N256" t="n">
        <v>0</v>
      </c>
      <c r="O256" t="n">
        <v>0</v>
      </c>
      <c r="P256" t="n">
        <v>0</v>
      </c>
      <c r="Q256" t="n">
        <v>0</v>
      </c>
      <c r="R256" s="2" t="inlineStr"/>
    </row>
    <row r="257" ht="15" customHeight="1">
      <c r="A257" t="inlineStr">
        <is>
          <t>A 15617-2024</t>
        </is>
      </c>
      <c r="B257" s="1" t="n">
        <v>45401.94358796296</v>
      </c>
      <c r="C257" s="1" t="n">
        <v>45917</v>
      </c>
      <c r="D257" t="inlineStr">
        <is>
          <t>VÄSTERBOTTENS LÄN</t>
        </is>
      </c>
      <c r="E257" t="inlineStr">
        <is>
          <t>VILHELMINA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29463-2024</t>
        </is>
      </c>
      <c r="B258" s="1" t="n">
        <v>45483.96994212963</v>
      </c>
      <c r="C258" s="1" t="n">
        <v>45917</v>
      </c>
      <c r="D258" t="inlineStr">
        <is>
          <t>VÄSTERBOTTENS LÄN</t>
        </is>
      </c>
      <c r="E258" t="inlineStr">
        <is>
          <t>VILHELMINA</t>
        </is>
      </c>
      <c r="F258" t="inlineStr">
        <is>
          <t>SCA</t>
        </is>
      </c>
      <c r="G258" t="n">
        <v>4.4</v>
      </c>
      <c r="H258" t="n">
        <v>0</v>
      </c>
      <c r="I258" t="n">
        <v>0</v>
      </c>
      <c r="J258" t="n">
        <v>0</v>
      </c>
      <c r="K258" t="n">
        <v>0</v>
      </c>
      <c r="L258" t="n">
        <v>0</v>
      </c>
      <c r="M258" t="n">
        <v>0</v>
      </c>
      <c r="N258" t="n">
        <v>0</v>
      </c>
      <c r="O258" t="n">
        <v>0</v>
      </c>
      <c r="P258" t="n">
        <v>0</v>
      </c>
      <c r="Q258" t="n">
        <v>0</v>
      </c>
      <c r="R258" s="2" t="inlineStr"/>
    </row>
    <row r="259" ht="15" customHeight="1">
      <c r="A259" t="inlineStr">
        <is>
          <t>A 36348-2024</t>
        </is>
      </c>
      <c r="B259" s="1" t="n">
        <v>45534.64422453703</v>
      </c>
      <c r="C259" s="1" t="n">
        <v>45917</v>
      </c>
      <c r="D259" t="inlineStr">
        <is>
          <t>VÄSTERBOTTENS LÄN</t>
        </is>
      </c>
      <c r="E259" t="inlineStr">
        <is>
          <t>VILHELMINA</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36355-2024</t>
        </is>
      </c>
      <c r="B260" s="1" t="n">
        <v>45534.64508101852</v>
      </c>
      <c r="C260" s="1" t="n">
        <v>45917</v>
      </c>
      <c r="D260" t="inlineStr">
        <is>
          <t>VÄSTERBOTTENS LÄN</t>
        </is>
      </c>
      <c r="E260" t="inlineStr">
        <is>
          <t>VILHELMINA</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17432-2025</t>
        </is>
      </c>
      <c r="B261" s="1" t="n">
        <v>45757</v>
      </c>
      <c r="C261" s="1" t="n">
        <v>45917</v>
      </c>
      <c r="D261" t="inlineStr">
        <is>
          <t>VÄSTERBOTTENS LÄN</t>
        </is>
      </c>
      <c r="E261" t="inlineStr">
        <is>
          <t>VILHELMINA</t>
        </is>
      </c>
      <c r="G261" t="n">
        <v>4.6</v>
      </c>
      <c r="H261" t="n">
        <v>0</v>
      </c>
      <c r="I261" t="n">
        <v>0</v>
      </c>
      <c r="J261" t="n">
        <v>0</v>
      </c>
      <c r="K261" t="n">
        <v>0</v>
      </c>
      <c r="L261" t="n">
        <v>0</v>
      </c>
      <c r="M261" t="n">
        <v>0</v>
      </c>
      <c r="N261" t="n">
        <v>0</v>
      </c>
      <c r="O261" t="n">
        <v>0</v>
      </c>
      <c r="P261" t="n">
        <v>0</v>
      </c>
      <c r="Q261" t="n">
        <v>0</v>
      </c>
      <c r="R261" s="2" t="inlineStr"/>
    </row>
    <row r="262" ht="15" customHeight="1">
      <c r="A262" t="inlineStr">
        <is>
          <t>A 15805-2025</t>
        </is>
      </c>
      <c r="B262" s="1" t="n">
        <v>45748</v>
      </c>
      <c r="C262" s="1" t="n">
        <v>45917</v>
      </c>
      <c r="D262" t="inlineStr">
        <is>
          <t>VÄSTERBOTTENS LÄN</t>
        </is>
      </c>
      <c r="E262" t="inlineStr">
        <is>
          <t>VILHELMINA</t>
        </is>
      </c>
      <c r="G262" t="n">
        <v>1.4</v>
      </c>
      <c r="H262" t="n">
        <v>0</v>
      </c>
      <c r="I262" t="n">
        <v>0</v>
      </c>
      <c r="J262" t="n">
        <v>0</v>
      </c>
      <c r="K262" t="n">
        <v>0</v>
      </c>
      <c r="L262" t="n">
        <v>0</v>
      </c>
      <c r="M262" t="n">
        <v>0</v>
      </c>
      <c r="N262" t="n">
        <v>0</v>
      </c>
      <c r="O262" t="n">
        <v>0</v>
      </c>
      <c r="P262" t="n">
        <v>0</v>
      </c>
      <c r="Q262" t="n">
        <v>0</v>
      </c>
      <c r="R262" s="2" t="inlineStr"/>
    </row>
    <row r="263" ht="15" customHeight="1">
      <c r="A263" t="inlineStr">
        <is>
          <t>A 32253-2024</t>
        </is>
      </c>
      <c r="B263" s="1" t="n">
        <v>45511.95214120371</v>
      </c>
      <c r="C263" s="1" t="n">
        <v>45917</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58833-2023</t>
        </is>
      </c>
      <c r="B264" s="1" t="n">
        <v>45248</v>
      </c>
      <c r="C264" s="1" t="n">
        <v>45917</v>
      </c>
      <c r="D264" t="inlineStr">
        <is>
          <t>VÄSTERBOTTENS LÄN</t>
        </is>
      </c>
      <c r="E264" t="inlineStr">
        <is>
          <t>VILHELMINA</t>
        </is>
      </c>
      <c r="G264" t="n">
        <v>1.5</v>
      </c>
      <c r="H264" t="n">
        <v>0</v>
      </c>
      <c r="I264" t="n">
        <v>0</v>
      </c>
      <c r="J264" t="n">
        <v>0</v>
      </c>
      <c r="K264" t="n">
        <v>0</v>
      </c>
      <c r="L264" t="n">
        <v>0</v>
      </c>
      <c r="M264" t="n">
        <v>0</v>
      </c>
      <c r="N264" t="n">
        <v>0</v>
      </c>
      <c r="O264" t="n">
        <v>0</v>
      </c>
      <c r="P264" t="n">
        <v>0</v>
      </c>
      <c r="Q264" t="n">
        <v>0</v>
      </c>
      <c r="R264" s="2" t="inlineStr"/>
    </row>
    <row r="265" ht="15" customHeight="1">
      <c r="A265" t="inlineStr">
        <is>
          <t>A 60035-2023</t>
        </is>
      </c>
      <c r="B265" s="1" t="n">
        <v>45254</v>
      </c>
      <c r="C265" s="1" t="n">
        <v>45917</v>
      </c>
      <c r="D265" t="inlineStr">
        <is>
          <t>VÄSTERBOTTENS LÄN</t>
        </is>
      </c>
      <c r="E265" t="inlineStr">
        <is>
          <t>VILHELMINA</t>
        </is>
      </c>
      <c r="G265" t="n">
        <v>2</v>
      </c>
      <c r="H265" t="n">
        <v>0</v>
      </c>
      <c r="I265" t="n">
        <v>0</v>
      </c>
      <c r="J265" t="n">
        <v>0</v>
      </c>
      <c r="K265" t="n">
        <v>0</v>
      </c>
      <c r="L265" t="n">
        <v>0</v>
      </c>
      <c r="M265" t="n">
        <v>0</v>
      </c>
      <c r="N265" t="n">
        <v>0</v>
      </c>
      <c r="O265" t="n">
        <v>0</v>
      </c>
      <c r="P265" t="n">
        <v>0</v>
      </c>
      <c r="Q265" t="n">
        <v>0</v>
      </c>
      <c r="R265" s="2" t="inlineStr"/>
    </row>
    <row r="266" ht="15" customHeight="1">
      <c r="A266" t="inlineStr">
        <is>
          <t>A 26018-2025</t>
        </is>
      </c>
      <c r="B266" s="1" t="n">
        <v>45804.67799768518</v>
      </c>
      <c r="C266" s="1" t="n">
        <v>45917</v>
      </c>
      <c r="D266" t="inlineStr">
        <is>
          <t>VÄSTERBOTTENS LÄN</t>
        </is>
      </c>
      <c r="E266" t="inlineStr">
        <is>
          <t>VILHELMINA</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57795-2023</t>
        </is>
      </c>
      <c r="B267" s="1" t="n">
        <v>45246.96861111111</v>
      </c>
      <c r="C267" s="1" t="n">
        <v>45917</v>
      </c>
      <c r="D267" t="inlineStr">
        <is>
          <t>VÄSTERBOTTENS LÄN</t>
        </is>
      </c>
      <c r="E267" t="inlineStr">
        <is>
          <t>VILHELMINA</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25942-2025</t>
        </is>
      </c>
      <c r="B268" s="1" t="n">
        <v>45804.59461805555</v>
      </c>
      <c r="C268" s="1" t="n">
        <v>45917</v>
      </c>
      <c r="D268" t="inlineStr">
        <is>
          <t>VÄSTERBOTTENS LÄN</t>
        </is>
      </c>
      <c r="E268" t="inlineStr">
        <is>
          <t>VILHELMINA</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52174-2020</t>
        </is>
      </c>
      <c r="B269" s="1" t="n">
        <v>44105</v>
      </c>
      <c r="C269" s="1" t="n">
        <v>45917</v>
      </c>
      <c r="D269" t="inlineStr">
        <is>
          <t>VÄSTERBOTTENS LÄN</t>
        </is>
      </c>
      <c r="E269" t="inlineStr">
        <is>
          <t>VILHELMINA</t>
        </is>
      </c>
      <c r="G269" t="n">
        <v>3</v>
      </c>
      <c r="H269" t="n">
        <v>0</v>
      </c>
      <c r="I269" t="n">
        <v>0</v>
      </c>
      <c r="J269" t="n">
        <v>0</v>
      </c>
      <c r="K269" t="n">
        <v>0</v>
      </c>
      <c r="L269" t="n">
        <v>0</v>
      </c>
      <c r="M269" t="n">
        <v>0</v>
      </c>
      <c r="N269" t="n">
        <v>0</v>
      </c>
      <c r="O269" t="n">
        <v>0</v>
      </c>
      <c r="P269" t="n">
        <v>0</v>
      </c>
      <c r="Q269" t="n">
        <v>0</v>
      </c>
      <c r="R269" s="2" t="inlineStr"/>
    </row>
    <row r="270" ht="15" customHeight="1">
      <c r="A270" t="inlineStr">
        <is>
          <t>A 55697-2024</t>
        </is>
      </c>
      <c r="B270" s="1" t="n">
        <v>45622</v>
      </c>
      <c r="C270" s="1" t="n">
        <v>45917</v>
      </c>
      <c r="D270" t="inlineStr">
        <is>
          <t>VÄSTERBOTTENS LÄN</t>
        </is>
      </c>
      <c r="E270" t="inlineStr">
        <is>
          <t>VILHELMINA</t>
        </is>
      </c>
      <c r="G270" t="n">
        <v>3.2</v>
      </c>
      <c r="H270" t="n">
        <v>0</v>
      </c>
      <c r="I270" t="n">
        <v>0</v>
      </c>
      <c r="J270" t="n">
        <v>0</v>
      </c>
      <c r="K270" t="n">
        <v>0</v>
      </c>
      <c r="L270" t="n">
        <v>0</v>
      </c>
      <c r="M270" t="n">
        <v>0</v>
      </c>
      <c r="N270" t="n">
        <v>0</v>
      </c>
      <c r="O270" t="n">
        <v>0</v>
      </c>
      <c r="P270" t="n">
        <v>0</v>
      </c>
      <c r="Q270" t="n">
        <v>0</v>
      </c>
      <c r="R270" s="2" t="inlineStr"/>
    </row>
    <row r="271" ht="15" customHeight="1">
      <c r="A271" t="inlineStr">
        <is>
          <t>A 46908-2024</t>
        </is>
      </c>
      <c r="B271" s="1" t="n">
        <v>45583</v>
      </c>
      <c r="C271" s="1" t="n">
        <v>45917</v>
      </c>
      <c r="D271" t="inlineStr">
        <is>
          <t>VÄSTERBOTTENS LÄN</t>
        </is>
      </c>
      <c r="E271" t="inlineStr">
        <is>
          <t>VILHELMINA</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59003-2024</t>
        </is>
      </c>
      <c r="B272" s="1" t="n">
        <v>45636</v>
      </c>
      <c r="C272" s="1" t="n">
        <v>45917</v>
      </c>
      <c r="D272" t="inlineStr">
        <is>
          <t>VÄSTERBOTTENS LÄN</t>
        </is>
      </c>
      <c r="E272" t="inlineStr">
        <is>
          <t>VILHELMINA</t>
        </is>
      </c>
      <c r="F272" t="inlineStr">
        <is>
          <t>Allmännings- och besparingsskogar</t>
        </is>
      </c>
      <c r="G272" t="n">
        <v>21.8</v>
      </c>
      <c r="H272" t="n">
        <v>0</v>
      </c>
      <c r="I272" t="n">
        <v>0</v>
      </c>
      <c r="J272" t="n">
        <v>0</v>
      </c>
      <c r="K272" t="n">
        <v>0</v>
      </c>
      <c r="L272" t="n">
        <v>0</v>
      </c>
      <c r="M272" t="n">
        <v>0</v>
      </c>
      <c r="N272" t="n">
        <v>0</v>
      </c>
      <c r="O272" t="n">
        <v>0</v>
      </c>
      <c r="P272" t="n">
        <v>0</v>
      </c>
      <c r="Q272" t="n">
        <v>0</v>
      </c>
      <c r="R272" s="2" t="inlineStr"/>
    </row>
    <row r="273" ht="15" customHeight="1">
      <c r="A273" t="inlineStr">
        <is>
          <t>A 56627-2024</t>
        </is>
      </c>
      <c r="B273" s="1" t="n">
        <v>45625</v>
      </c>
      <c r="C273" s="1" t="n">
        <v>45917</v>
      </c>
      <c r="D273" t="inlineStr">
        <is>
          <t>VÄSTERBOTTENS LÄN</t>
        </is>
      </c>
      <c r="E273" t="inlineStr">
        <is>
          <t>VILHELMINA</t>
        </is>
      </c>
      <c r="F273" t="inlineStr">
        <is>
          <t>Allmännings- och besparingsskogar</t>
        </is>
      </c>
      <c r="G273" t="n">
        <v>21.5</v>
      </c>
      <c r="H273" t="n">
        <v>0</v>
      </c>
      <c r="I273" t="n">
        <v>0</v>
      </c>
      <c r="J273" t="n">
        <v>0</v>
      </c>
      <c r="K273" t="n">
        <v>0</v>
      </c>
      <c r="L273" t="n">
        <v>0</v>
      </c>
      <c r="M273" t="n">
        <v>0</v>
      </c>
      <c r="N273" t="n">
        <v>0</v>
      </c>
      <c r="O273" t="n">
        <v>0</v>
      </c>
      <c r="P273" t="n">
        <v>0</v>
      </c>
      <c r="Q273" t="n">
        <v>0</v>
      </c>
      <c r="R273" s="2" t="inlineStr"/>
    </row>
    <row r="274" ht="15" customHeight="1">
      <c r="A274" t="inlineStr">
        <is>
          <t>A 26098-2025</t>
        </is>
      </c>
      <c r="B274" s="1" t="n">
        <v>45805</v>
      </c>
      <c r="C274" s="1" t="n">
        <v>45917</v>
      </c>
      <c r="D274" t="inlineStr">
        <is>
          <t>VÄSTERBOTTENS LÄN</t>
        </is>
      </c>
      <c r="E274" t="inlineStr">
        <is>
          <t>VILHELMINA</t>
        </is>
      </c>
      <c r="F274" t="inlineStr">
        <is>
          <t>Övriga statliga verk och myndigheter</t>
        </is>
      </c>
      <c r="G274" t="n">
        <v>5.4</v>
      </c>
      <c r="H274" t="n">
        <v>0</v>
      </c>
      <c r="I274" t="n">
        <v>0</v>
      </c>
      <c r="J274" t="n">
        <v>0</v>
      </c>
      <c r="K274" t="n">
        <v>0</v>
      </c>
      <c r="L274" t="n">
        <v>0</v>
      </c>
      <c r="M274" t="n">
        <v>0</v>
      </c>
      <c r="N274" t="n">
        <v>0</v>
      </c>
      <c r="O274" t="n">
        <v>0</v>
      </c>
      <c r="P274" t="n">
        <v>0</v>
      </c>
      <c r="Q274" t="n">
        <v>0</v>
      </c>
      <c r="R274" s="2" t="inlineStr"/>
    </row>
    <row r="275" ht="15" customHeight="1">
      <c r="A275" t="inlineStr">
        <is>
          <t>A 55695-2024</t>
        </is>
      </c>
      <c r="B275" s="1" t="n">
        <v>45622</v>
      </c>
      <c r="C275" s="1" t="n">
        <v>45917</v>
      </c>
      <c r="D275" t="inlineStr">
        <is>
          <t>VÄSTERBOTTENS LÄN</t>
        </is>
      </c>
      <c r="E275" t="inlineStr">
        <is>
          <t>VILHELMINA</t>
        </is>
      </c>
      <c r="G275" t="n">
        <v>7.2</v>
      </c>
      <c r="H275" t="n">
        <v>0</v>
      </c>
      <c r="I275" t="n">
        <v>0</v>
      </c>
      <c r="J275" t="n">
        <v>0</v>
      </c>
      <c r="K275" t="n">
        <v>0</v>
      </c>
      <c r="L275" t="n">
        <v>0</v>
      </c>
      <c r="M275" t="n">
        <v>0</v>
      </c>
      <c r="N275" t="n">
        <v>0</v>
      </c>
      <c r="O275" t="n">
        <v>0</v>
      </c>
      <c r="P275" t="n">
        <v>0</v>
      </c>
      <c r="Q275" t="n">
        <v>0</v>
      </c>
      <c r="R275" s="2" t="inlineStr"/>
    </row>
    <row r="276" ht="15" customHeight="1">
      <c r="A276" t="inlineStr">
        <is>
          <t>A 27355-2023</t>
        </is>
      </c>
      <c r="B276" s="1" t="n">
        <v>45096</v>
      </c>
      <c r="C276" s="1" t="n">
        <v>45917</v>
      </c>
      <c r="D276" t="inlineStr">
        <is>
          <t>VÄSTERBOTTENS LÄN</t>
        </is>
      </c>
      <c r="E276" t="inlineStr">
        <is>
          <t>VILHELMINA</t>
        </is>
      </c>
      <c r="G276" t="n">
        <v>2.6</v>
      </c>
      <c r="H276" t="n">
        <v>0</v>
      </c>
      <c r="I276" t="n">
        <v>0</v>
      </c>
      <c r="J276" t="n">
        <v>0</v>
      </c>
      <c r="K276" t="n">
        <v>0</v>
      </c>
      <c r="L276" t="n">
        <v>0</v>
      </c>
      <c r="M276" t="n">
        <v>0</v>
      </c>
      <c r="N276" t="n">
        <v>0</v>
      </c>
      <c r="O276" t="n">
        <v>0</v>
      </c>
      <c r="P276" t="n">
        <v>0</v>
      </c>
      <c r="Q276" t="n">
        <v>0</v>
      </c>
      <c r="R276" s="2" t="inlineStr"/>
    </row>
    <row r="277" ht="15" customHeight="1">
      <c r="A277" t="inlineStr">
        <is>
          <t>A 59018-2024</t>
        </is>
      </c>
      <c r="B277" s="1" t="n">
        <v>45636</v>
      </c>
      <c r="C277" s="1" t="n">
        <v>45917</v>
      </c>
      <c r="D277" t="inlineStr">
        <is>
          <t>VÄSTERBOTTENS LÄN</t>
        </is>
      </c>
      <c r="E277" t="inlineStr">
        <is>
          <t>VILHELMINA</t>
        </is>
      </c>
      <c r="F277" t="inlineStr">
        <is>
          <t>Allmännings- och besparingsskogar</t>
        </is>
      </c>
      <c r="G277" t="n">
        <v>13.9</v>
      </c>
      <c r="H277" t="n">
        <v>0</v>
      </c>
      <c r="I277" t="n">
        <v>0</v>
      </c>
      <c r="J277" t="n">
        <v>0</v>
      </c>
      <c r="K277" t="n">
        <v>0</v>
      </c>
      <c r="L277" t="n">
        <v>0</v>
      </c>
      <c r="M277" t="n">
        <v>0</v>
      </c>
      <c r="N277" t="n">
        <v>0</v>
      </c>
      <c r="O277" t="n">
        <v>0</v>
      </c>
      <c r="P277" t="n">
        <v>0</v>
      </c>
      <c r="Q277" t="n">
        <v>0</v>
      </c>
      <c r="R277" s="2" t="inlineStr"/>
    </row>
    <row r="278" ht="15" customHeight="1">
      <c r="A278" t="inlineStr">
        <is>
          <t>A 28380-2023</t>
        </is>
      </c>
      <c r="B278" s="1" t="n">
        <v>45099</v>
      </c>
      <c r="C278" s="1" t="n">
        <v>45917</v>
      </c>
      <c r="D278" t="inlineStr">
        <is>
          <t>VÄSTERBOTTENS LÄN</t>
        </is>
      </c>
      <c r="E278" t="inlineStr">
        <is>
          <t>VILHELMINA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58946-2024</t>
        </is>
      </c>
      <c r="B279" s="1" t="n">
        <v>45636.55063657407</v>
      </c>
      <c r="C279" s="1" t="n">
        <v>45917</v>
      </c>
      <c r="D279" t="inlineStr">
        <is>
          <t>VÄSTERBOTTENS LÄN</t>
        </is>
      </c>
      <c r="E279" t="inlineStr">
        <is>
          <t>VILHELMINA</t>
        </is>
      </c>
      <c r="F279" t="inlineStr">
        <is>
          <t>Kommuner</t>
        </is>
      </c>
      <c r="G279" t="n">
        <v>4.9</v>
      </c>
      <c r="H279" t="n">
        <v>0</v>
      </c>
      <c r="I279" t="n">
        <v>0</v>
      </c>
      <c r="J279" t="n">
        <v>0</v>
      </c>
      <c r="K279" t="n">
        <v>0</v>
      </c>
      <c r="L279" t="n">
        <v>0</v>
      </c>
      <c r="M279" t="n">
        <v>0</v>
      </c>
      <c r="N279" t="n">
        <v>0</v>
      </c>
      <c r="O279" t="n">
        <v>0</v>
      </c>
      <c r="P279" t="n">
        <v>0</v>
      </c>
      <c r="Q279" t="n">
        <v>0</v>
      </c>
      <c r="R279" s="2" t="inlineStr"/>
    </row>
    <row r="280" ht="15" customHeight="1">
      <c r="A280" t="inlineStr">
        <is>
          <t>A 58999-2024</t>
        </is>
      </c>
      <c r="B280" s="1" t="n">
        <v>45636</v>
      </c>
      <c r="C280" s="1" t="n">
        <v>45917</v>
      </c>
      <c r="D280" t="inlineStr">
        <is>
          <t>VÄSTERBOTTENS LÄN</t>
        </is>
      </c>
      <c r="E280" t="inlineStr">
        <is>
          <t>VILHELMINA</t>
        </is>
      </c>
      <c r="F280" t="inlineStr">
        <is>
          <t>Allmännings- och besparingsskogar</t>
        </is>
      </c>
      <c r="G280" t="n">
        <v>12.3</v>
      </c>
      <c r="H280" t="n">
        <v>0</v>
      </c>
      <c r="I280" t="n">
        <v>0</v>
      </c>
      <c r="J280" t="n">
        <v>0</v>
      </c>
      <c r="K280" t="n">
        <v>0</v>
      </c>
      <c r="L280" t="n">
        <v>0</v>
      </c>
      <c r="M280" t="n">
        <v>0</v>
      </c>
      <c r="N280" t="n">
        <v>0</v>
      </c>
      <c r="O280" t="n">
        <v>0</v>
      </c>
      <c r="P280" t="n">
        <v>0</v>
      </c>
      <c r="Q280" t="n">
        <v>0</v>
      </c>
      <c r="R280" s="2" t="inlineStr"/>
    </row>
    <row r="281" ht="15" customHeight="1">
      <c r="A281" t="inlineStr">
        <is>
          <t>A 56629-2024</t>
        </is>
      </c>
      <c r="B281" s="1" t="n">
        <v>45625</v>
      </c>
      <c r="C281" s="1" t="n">
        <v>45917</v>
      </c>
      <c r="D281" t="inlineStr">
        <is>
          <t>VÄSTERBOTTENS LÄN</t>
        </is>
      </c>
      <c r="E281" t="inlineStr">
        <is>
          <t>VILHELMINA</t>
        </is>
      </c>
      <c r="F281" t="inlineStr">
        <is>
          <t>Allmännings- och besparingsskogar</t>
        </is>
      </c>
      <c r="G281" t="n">
        <v>19.7</v>
      </c>
      <c r="H281" t="n">
        <v>0</v>
      </c>
      <c r="I281" t="n">
        <v>0</v>
      </c>
      <c r="J281" t="n">
        <v>0</v>
      </c>
      <c r="K281" t="n">
        <v>0</v>
      </c>
      <c r="L281" t="n">
        <v>0</v>
      </c>
      <c r="M281" t="n">
        <v>0</v>
      </c>
      <c r="N281" t="n">
        <v>0</v>
      </c>
      <c r="O281" t="n">
        <v>0</v>
      </c>
      <c r="P281" t="n">
        <v>0</v>
      </c>
      <c r="Q281" t="n">
        <v>0</v>
      </c>
      <c r="R281" s="2" t="inlineStr"/>
    </row>
    <row r="282" ht="15" customHeight="1">
      <c r="A282" t="inlineStr">
        <is>
          <t>A 56624-2024</t>
        </is>
      </c>
      <c r="B282" s="1" t="n">
        <v>45625</v>
      </c>
      <c r="C282" s="1" t="n">
        <v>45917</v>
      </c>
      <c r="D282" t="inlineStr">
        <is>
          <t>VÄSTERBOTTENS LÄN</t>
        </is>
      </c>
      <c r="E282" t="inlineStr">
        <is>
          <t>VILHELMINA</t>
        </is>
      </c>
      <c r="F282" t="inlineStr">
        <is>
          <t>Allmännings- och besparingsskogar</t>
        </is>
      </c>
      <c r="G282" t="n">
        <v>17.8</v>
      </c>
      <c r="H282" t="n">
        <v>0</v>
      </c>
      <c r="I282" t="n">
        <v>0</v>
      </c>
      <c r="J282" t="n">
        <v>0</v>
      </c>
      <c r="K282" t="n">
        <v>0</v>
      </c>
      <c r="L282" t="n">
        <v>0</v>
      </c>
      <c r="M282" t="n">
        <v>0</v>
      </c>
      <c r="N282" t="n">
        <v>0</v>
      </c>
      <c r="O282" t="n">
        <v>0</v>
      </c>
      <c r="P282" t="n">
        <v>0</v>
      </c>
      <c r="Q282" t="n">
        <v>0</v>
      </c>
      <c r="R282" s="2" t="inlineStr"/>
    </row>
    <row r="283" ht="15" customHeight="1">
      <c r="A283" t="inlineStr">
        <is>
          <t>A 59011-2024</t>
        </is>
      </c>
      <c r="B283" s="1" t="n">
        <v>45636</v>
      </c>
      <c r="C283" s="1" t="n">
        <v>45917</v>
      </c>
      <c r="D283" t="inlineStr">
        <is>
          <t>VÄSTERBOTTENS LÄN</t>
        </is>
      </c>
      <c r="E283" t="inlineStr">
        <is>
          <t>VILHELMINA</t>
        </is>
      </c>
      <c r="F283" t="inlineStr">
        <is>
          <t>Allmännings- och besparingsskogar</t>
        </is>
      </c>
      <c r="G283" t="n">
        <v>35.2</v>
      </c>
      <c r="H283" t="n">
        <v>0</v>
      </c>
      <c r="I283" t="n">
        <v>0</v>
      </c>
      <c r="J283" t="n">
        <v>0</v>
      </c>
      <c r="K283" t="n">
        <v>0</v>
      </c>
      <c r="L283" t="n">
        <v>0</v>
      </c>
      <c r="M283" t="n">
        <v>0</v>
      </c>
      <c r="N283" t="n">
        <v>0</v>
      </c>
      <c r="O283" t="n">
        <v>0</v>
      </c>
      <c r="P283" t="n">
        <v>0</v>
      </c>
      <c r="Q283" t="n">
        <v>0</v>
      </c>
      <c r="R283" s="2" t="inlineStr"/>
    </row>
    <row r="284" ht="15" customHeight="1">
      <c r="A284" t="inlineStr">
        <is>
          <t>A 65151-2021</t>
        </is>
      </c>
      <c r="B284" s="1" t="n">
        <v>44515</v>
      </c>
      <c r="C284" s="1" t="n">
        <v>45917</v>
      </c>
      <c r="D284" t="inlineStr">
        <is>
          <t>VÄSTERBOTTENS LÄN</t>
        </is>
      </c>
      <c r="E284" t="inlineStr">
        <is>
          <t>VILHELMINA</t>
        </is>
      </c>
      <c r="G284" t="n">
        <v>11.8</v>
      </c>
      <c r="H284" t="n">
        <v>0</v>
      </c>
      <c r="I284" t="n">
        <v>0</v>
      </c>
      <c r="J284" t="n">
        <v>0</v>
      </c>
      <c r="K284" t="n">
        <v>0</v>
      </c>
      <c r="L284" t="n">
        <v>0</v>
      </c>
      <c r="M284" t="n">
        <v>0</v>
      </c>
      <c r="N284" t="n">
        <v>0</v>
      </c>
      <c r="O284" t="n">
        <v>0</v>
      </c>
      <c r="P284" t="n">
        <v>0</v>
      </c>
      <c r="Q284" t="n">
        <v>0</v>
      </c>
      <c r="R284" s="2" t="inlineStr"/>
    </row>
    <row r="285" ht="15" customHeight="1">
      <c r="A285" t="inlineStr">
        <is>
          <t>A 47010-2024</t>
        </is>
      </c>
      <c r="B285" s="1" t="n">
        <v>45586</v>
      </c>
      <c r="C285" s="1" t="n">
        <v>45917</v>
      </c>
      <c r="D285" t="inlineStr">
        <is>
          <t>VÄSTERBOTTENS LÄN</t>
        </is>
      </c>
      <c r="E285" t="inlineStr">
        <is>
          <t>VILHELMINA</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65159-2021</t>
        </is>
      </c>
      <c r="B286" s="1" t="n">
        <v>44515</v>
      </c>
      <c r="C286" s="1" t="n">
        <v>45917</v>
      </c>
      <c r="D286" t="inlineStr">
        <is>
          <t>VÄSTERBOTTENS LÄN</t>
        </is>
      </c>
      <c r="E286" t="inlineStr">
        <is>
          <t>VILHELMINA</t>
        </is>
      </c>
      <c r="G286" t="n">
        <v>5</v>
      </c>
      <c r="H286" t="n">
        <v>0</v>
      </c>
      <c r="I286" t="n">
        <v>0</v>
      </c>
      <c r="J286" t="n">
        <v>0</v>
      </c>
      <c r="K286" t="n">
        <v>0</v>
      </c>
      <c r="L286" t="n">
        <v>0</v>
      </c>
      <c r="M286" t="n">
        <v>0</v>
      </c>
      <c r="N286" t="n">
        <v>0</v>
      </c>
      <c r="O286" t="n">
        <v>0</v>
      </c>
      <c r="P286" t="n">
        <v>0</v>
      </c>
      <c r="Q286" t="n">
        <v>0</v>
      </c>
      <c r="R286" s="2" t="inlineStr"/>
    </row>
    <row r="287" ht="15" customHeight="1">
      <c r="A287" t="inlineStr">
        <is>
          <t>A 21345-2024</t>
        </is>
      </c>
      <c r="B287" s="1" t="n">
        <v>45440.92866898148</v>
      </c>
      <c r="C287" s="1" t="n">
        <v>45917</v>
      </c>
      <c r="D287" t="inlineStr">
        <is>
          <t>VÄSTERBOTTENS LÄN</t>
        </is>
      </c>
      <c r="E287" t="inlineStr">
        <is>
          <t>VILHELMINA</t>
        </is>
      </c>
      <c r="G287" t="n">
        <v>3</v>
      </c>
      <c r="H287" t="n">
        <v>0</v>
      </c>
      <c r="I287" t="n">
        <v>0</v>
      </c>
      <c r="J287" t="n">
        <v>0</v>
      </c>
      <c r="K287" t="n">
        <v>0</v>
      </c>
      <c r="L287" t="n">
        <v>0</v>
      </c>
      <c r="M287" t="n">
        <v>0</v>
      </c>
      <c r="N287" t="n">
        <v>0</v>
      </c>
      <c r="O287" t="n">
        <v>0</v>
      </c>
      <c r="P287" t="n">
        <v>0</v>
      </c>
      <c r="Q287" t="n">
        <v>0</v>
      </c>
      <c r="R287" s="2" t="inlineStr"/>
    </row>
    <row r="288" ht="15" customHeight="1">
      <c r="A288" t="inlineStr">
        <is>
          <t>A 45672-2023</t>
        </is>
      </c>
      <c r="B288" s="1" t="n">
        <v>45194</v>
      </c>
      <c r="C288" s="1" t="n">
        <v>45917</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8859-2023</t>
        </is>
      </c>
      <c r="B289" s="1" t="n">
        <v>44978</v>
      </c>
      <c r="C289" s="1" t="n">
        <v>45917</v>
      </c>
      <c r="D289" t="inlineStr">
        <is>
          <t>VÄSTERBOTTENS LÄN</t>
        </is>
      </c>
      <c r="E289" t="inlineStr">
        <is>
          <t>VILHELMINA</t>
        </is>
      </c>
      <c r="G289" t="n">
        <v>6.3</v>
      </c>
      <c r="H289" t="n">
        <v>0</v>
      </c>
      <c r="I289" t="n">
        <v>0</v>
      </c>
      <c r="J289" t="n">
        <v>0</v>
      </c>
      <c r="K289" t="n">
        <v>0</v>
      </c>
      <c r="L289" t="n">
        <v>0</v>
      </c>
      <c r="M289" t="n">
        <v>0</v>
      </c>
      <c r="N289" t="n">
        <v>0</v>
      </c>
      <c r="O289" t="n">
        <v>0</v>
      </c>
      <c r="P289" t="n">
        <v>0</v>
      </c>
      <c r="Q289" t="n">
        <v>0</v>
      </c>
      <c r="R289" s="2" t="inlineStr"/>
    </row>
    <row r="290" ht="15" customHeight="1">
      <c r="A290" t="inlineStr">
        <is>
          <t>A 26722-2025</t>
        </is>
      </c>
      <c r="B290" s="1" t="n">
        <v>45810</v>
      </c>
      <c r="C290" s="1" t="n">
        <v>45917</v>
      </c>
      <c r="D290" t="inlineStr">
        <is>
          <t>VÄSTERBOTTENS LÄN</t>
        </is>
      </c>
      <c r="E290" t="inlineStr">
        <is>
          <t>VILHELMINA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8555-2023</t>
        </is>
      </c>
      <c r="B291" s="1" t="n">
        <v>44972</v>
      </c>
      <c r="C291" s="1" t="n">
        <v>45917</v>
      </c>
      <c r="D291" t="inlineStr">
        <is>
          <t>VÄSTERBOTTENS LÄN</t>
        </is>
      </c>
      <c r="E291" t="inlineStr">
        <is>
          <t>VILHELMINA</t>
        </is>
      </c>
      <c r="F291" t="inlineStr">
        <is>
          <t>Allmännings- och besparingsskogar</t>
        </is>
      </c>
      <c r="G291" t="n">
        <v>39</v>
      </c>
      <c r="H291" t="n">
        <v>0</v>
      </c>
      <c r="I291" t="n">
        <v>0</v>
      </c>
      <c r="J291" t="n">
        <v>0</v>
      </c>
      <c r="K291" t="n">
        <v>0</v>
      </c>
      <c r="L291" t="n">
        <v>0</v>
      </c>
      <c r="M291" t="n">
        <v>0</v>
      </c>
      <c r="N291" t="n">
        <v>0</v>
      </c>
      <c r="O291" t="n">
        <v>0</v>
      </c>
      <c r="P291" t="n">
        <v>0</v>
      </c>
      <c r="Q291" t="n">
        <v>0</v>
      </c>
      <c r="R291" s="2" t="inlineStr"/>
    </row>
    <row r="292" ht="15" customHeight="1">
      <c r="A292" t="inlineStr">
        <is>
          <t>A 28486-2022</t>
        </is>
      </c>
      <c r="B292" s="1" t="n">
        <v>44747</v>
      </c>
      <c r="C292" s="1" t="n">
        <v>45917</v>
      </c>
      <c r="D292" t="inlineStr">
        <is>
          <t>VÄSTERBOTTENS LÄN</t>
        </is>
      </c>
      <c r="E292" t="inlineStr">
        <is>
          <t>VILHELMINA</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26663-2023</t>
        </is>
      </c>
      <c r="B293" s="1" t="n">
        <v>45092.94042824074</v>
      </c>
      <c r="C293" s="1" t="n">
        <v>45917</v>
      </c>
      <c r="D293" t="inlineStr">
        <is>
          <t>VÄSTERBOTTENS LÄN</t>
        </is>
      </c>
      <c r="E293" t="inlineStr">
        <is>
          <t>VILHELMINA</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54985-2023</t>
        </is>
      </c>
      <c r="B294" s="1" t="n">
        <v>45236</v>
      </c>
      <c r="C294" s="1" t="n">
        <v>45917</v>
      </c>
      <c r="D294" t="inlineStr">
        <is>
          <t>VÄSTERBOTTENS LÄN</t>
        </is>
      </c>
      <c r="E294" t="inlineStr">
        <is>
          <t>VILHELMINA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46119-2022</t>
        </is>
      </c>
      <c r="B295" s="1" t="n">
        <v>44847</v>
      </c>
      <c r="C295" s="1" t="n">
        <v>45917</v>
      </c>
      <c r="D295" t="inlineStr">
        <is>
          <t>VÄSTERBOTTENS LÄN</t>
        </is>
      </c>
      <c r="E295" t="inlineStr">
        <is>
          <t>VILHELMINA</t>
        </is>
      </c>
      <c r="G295" t="n">
        <v>12.1</v>
      </c>
      <c r="H295" t="n">
        <v>0</v>
      </c>
      <c r="I295" t="n">
        <v>0</v>
      </c>
      <c r="J295" t="n">
        <v>0</v>
      </c>
      <c r="K295" t="n">
        <v>0</v>
      </c>
      <c r="L295" t="n">
        <v>0</v>
      </c>
      <c r="M295" t="n">
        <v>0</v>
      </c>
      <c r="N295" t="n">
        <v>0</v>
      </c>
      <c r="O295" t="n">
        <v>0</v>
      </c>
      <c r="P295" t="n">
        <v>0</v>
      </c>
      <c r="Q295" t="n">
        <v>0</v>
      </c>
      <c r="R295" s="2" t="inlineStr"/>
    </row>
    <row r="296" ht="15" customHeight="1">
      <c r="A296" t="inlineStr">
        <is>
          <t>A 46121-2022</t>
        </is>
      </c>
      <c r="B296" s="1" t="n">
        <v>44847</v>
      </c>
      <c r="C296" s="1" t="n">
        <v>45917</v>
      </c>
      <c r="D296" t="inlineStr">
        <is>
          <t>VÄSTERBOTTENS LÄN</t>
        </is>
      </c>
      <c r="E296" t="inlineStr">
        <is>
          <t>VILHELMINA</t>
        </is>
      </c>
      <c r="G296" t="n">
        <v>2.6</v>
      </c>
      <c r="H296" t="n">
        <v>0</v>
      </c>
      <c r="I296" t="n">
        <v>0</v>
      </c>
      <c r="J296" t="n">
        <v>0</v>
      </c>
      <c r="K296" t="n">
        <v>0</v>
      </c>
      <c r="L296" t="n">
        <v>0</v>
      </c>
      <c r="M296" t="n">
        <v>0</v>
      </c>
      <c r="N296" t="n">
        <v>0</v>
      </c>
      <c r="O296" t="n">
        <v>0</v>
      </c>
      <c r="P296" t="n">
        <v>0</v>
      </c>
      <c r="Q296" t="n">
        <v>0</v>
      </c>
      <c r="R296" s="2" t="inlineStr"/>
    </row>
    <row r="297" ht="15" customHeight="1">
      <c r="A297" t="inlineStr">
        <is>
          <t>A 20769-2024</t>
        </is>
      </c>
      <c r="B297" s="1" t="n">
        <v>45436.94604166667</v>
      </c>
      <c r="C297" s="1" t="n">
        <v>45917</v>
      </c>
      <c r="D297" t="inlineStr">
        <is>
          <t>VÄSTERBOTTENS LÄN</t>
        </is>
      </c>
      <c r="E297" t="inlineStr">
        <is>
          <t>VILHELMINA</t>
        </is>
      </c>
      <c r="F297" t="inlineStr">
        <is>
          <t>SCA</t>
        </is>
      </c>
      <c r="G297" t="n">
        <v>7</v>
      </c>
      <c r="H297" t="n">
        <v>0</v>
      </c>
      <c r="I297" t="n">
        <v>0</v>
      </c>
      <c r="J297" t="n">
        <v>0</v>
      </c>
      <c r="K297" t="n">
        <v>0</v>
      </c>
      <c r="L297" t="n">
        <v>0</v>
      </c>
      <c r="M297" t="n">
        <v>0</v>
      </c>
      <c r="N297" t="n">
        <v>0</v>
      </c>
      <c r="O297" t="n">
        <v>0</v>
      </c>
      <c r="P297" t="n">
        <v>0</v>
      </c>
      <c r="Q297" t="n">
        <v>0</v>
      </c>
      <c r="R297" s="2" t="inlineStr"/>
    </row>
    <row r="298" ht="15" customHeight="1">
      <c r="A298" t="inlineStr">
        <is>
          <t>A 49599-2022</t>
        </is>
      </c>
      <c r="B298" s="1" t="n">
        <v>44859</v>
      </c>
      <c r="C298" s="1" t="n">
        <v>45917</v>
      </c>
      <c r="D298" t="inlineStr">
        <is>
          <t>VÄSTERBOTTENS LÄN</t>
        </is>
      </c>
      <c r="E298" t="inlineStr">
        <is>
          <t>VILHELMINA</t>
        </is>
      </c>
      <c r="G298" t="n">
        <v>3.6</v>
      </c>
      <c r="H298" t="n">
        <v>0</v>
      </c>
      <c r="I298" t="n">
        <v>0</v>
      </c>
      <c r="J298" t="n">
        <v>0</v>
      </c>
      <c r="K298" t="n">
        <v>0</v>
      </c>
      <c r="L298" t="n">
        <v>0</v>
      </c>
      <c r="M298" t="n">
        <v>0</v>
      </c>
      <c r="N298" t="n">
        <v>0</v>
      </c>
      <c r="O298" t="n">
        <v>0</v>
      </c>
      <c r="P298" t="n">
        <v>0</v>
      </c>
      <c r="Q298" t="n">
        <v>0</v>
      </c>
      <c r="R298" s="2" t="inlineStr"/>
    </row>
    <row r="299" ht="15" customHeight="1">
      <c r="A299" t="inlineStr">
        <is>
          <t>A 23261-2021</t>
        </is>
      </c>
      <c r="B299" s="1" t="n">
        <v>44330</v>
      </c>
      <c r="C299" s="1" t="n">
        <v>45917</v>
      </c>
      <c r="D299" t="inlineStr">
        <is>
          <t>VÄSTERBOTTENS LÄN</t>
        </is>
      </c>
      <c r="E299" t="inlineStr">
        <is>
          <t>VILHELMINA</t>
        </is>
      </c>
      <c r="G299" t="n">
        <v>4.5</v>
      </c>
      <c r="H299" t="n">
        <v>0</v>
      </c>
      <c r="I299" t="n">
        <v>0</v>
      </c>
      <c r="J299" t="n">
        <v>0</v>
      </c>
      <c r="K299" t="n">
        <v>0</v>
      </c>
      <c r="L299" t="n">
        <v>0</v>
      </c>
      <c r="M299" t="n">
        <v>0</v>
      </c>
      <c r="N299" t="n">
        <v>0</v>
      </c>
      <c r="O299" t="n">
        <v>0</v>
      </c>
      <c r="P299" t="n">
        <v>0</v>
      </c>
      <c r="Q299" t="n">
        <v>0</v>
      </c>
      <c r="R299" s="2" t="inlineStr"/>
    </row>
    <row r="300" ht="15" customHeight="1">
      <c r="A300" t="inlineStr">
        <is>
          <t>A 63877-2023</t>
        </is>
      </c>
      <c r="B300" s="1" t="n">
        <v>45278</v>
      </c>
      <c r="C300" s="1" t="n">
        <v>45917</v>
      </c>
      <c r="D300" t="inlineStr">
        <is>
          <t>VÄSTERBOTTENS LÄN</t>
        </is>
      </c>
      <c r="E300" t="inlineStr">
        <is>
          <t>VILHELMINA</t>
        </is>
      </c>
      <c r="G300" t="n">
        <v>1.2</v>
      </c>
      <c r="H300" t="n">
        <v>0</v>
      </c>
      <c r="I300" t="n">
        <v>0</v>
      </c>
      <c r="J300" t="n">
        <v>0</v>
      </c>
      <c r="K300" t="n">
        <v>0</v>
      </c>
      <c r="L300" t="n">
        <v>0</v>
      </c>
      <c r="M300" t="n">
        <v>0</v>
      </c>
      <c r="N300" t="n">
        <v>0</v>
      </c>
      <c r="O300" t="n">
        <v>0</v>
      </c>
      <c r="P300" t="n">
        <v>0</v>
      </c>
      <c r="Q300" t="n">
        <v>0</v>
      </c>
      <c r="R300" s="2" t="inlineStr"/>
    </row>
    <row r="301" ht="15" customHeight="1">
      <c r="A301" t="inlineStr">
        <is>
          <t>A 26744-2025</t>
        </is>
      </c>
      <c r="B301" s="1" t="n">
        <v>45810.53185185185</v>
      </c>
      <c r="C301" s="1" t="n">
        <v>45917</v>
      </c>
      <c r="D301" t="inlineStr">
        <is>
          <t>VÄSTERBOTTENS LÄN</t>
        </is>
      </c>
      <c r="E301" t="inlineStr">
        <is>
          <t>VILHELMINA</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26790-2025</t>
        </is>
      </c>
      <c r="B302" s="1" t="n">
        <v>45810.59417824074</v>
      </c>
      <c r="C302" s="1" t="n">
        <v>45917</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26745-2025</t>
        </is>
      </c>
      <c r="B303" s="1" t="n">
        <v>45810.53188657408</v>
      </c>
      <c r="C303" s="1" t="n">
        <v>45917</v>
      </c>
      <c r="D303" t="inlineStr">
        <is>
          <t>VÄSTERBOTTENS LÄN</t>
        </is>
      </c>
      <c r="E303" t="inlineStr">
        <is>
          <t>VILHELMINA</t>
        </is>
      </c>
      <c r="F303" t="inlineStr">
        <is>
          <t>SCA</t>
        </is>
      </c>
      <c r="G303" t="n">
        <v>0.3</v>
      </c>
      <c r="H303" t="n">
        <v>0</v>
      </c>
      <c r="I303" t="n">
        <v>0</v>
      </c>
      <c r="J303" t="n">
        <v>0</v>
      </c>
      <c r="K303" t="n">
        <v>0</v>
      </c>
      <c r="L303" t="n">
        <v>0</v>
      </c>
      <c r="M303" t="n">
        <v>0</v>
      </c>
      <c r="N303" t="n">
        <v>0</v>
      </c>
      <c r="O303" t="n">
        <v>0</v>
      </c>
      <c r="P303" t="n">
        <v>0</v>
      </c>
      <c r="Q303" t="n">
        <v>0</v>
      </c>
      <c r="R303" s="2" t="inlineStr"/>
    </row>
    <row r="304" ht="15" customHeight="1">
      <c r="A304" t="inlineStr">
        <is>
          <t>A 48472-2023</t>
        </is>
      </c>
      <c r="B304" s="1" t="n">
        <v>45206.95761574074</v>
      </c>
      <c r="C304" s="1" t="n">
        <v>45917</v>
      </c>
      <c r="D304" t="inlineStr">
        <is>
          <t>VÄSTERBOTTENS LÄN</t>
        </is>
      </c>
      <c r="E304" t="inlineStr">
        <is>
          <t>VILHELMINA</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15050-2024</t>
        </is>
      </c>
      <c r="B305" s="1" t="n">
        <v>45399</v>
      </c>
      <c r="C305" s="1" t="n">
        <v>45917</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15059-2024</t>
        </is>
      </c>
      <c r="B306" s="1" t="n">
        <v>45399</v>
      </c>
      <c r="C306" s="1" t="n">
        <v>45917</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43637-2023</t>
        </is>
      </c>
      <c r="B307" s="1" t="n">
        <v>45186.51590277778</v>
      </c>
      <c r="C307" s="1" t="n">
        <v>45917</v>
      </c>
      <c r="D307" t="inlineStr">
        <is>
          <t>VÄSTERBOTTENS LÄN</t>
        </is>
      </c>
      <c r="E307" t="inlineStr">
        <is>
          <t>VILHELMINA</t>
        </is>
      </c>
      <c r="G307" t="n">
        <v>3.3</v>
      </c>
      <c r="H307" t="n">
        <v>0</v>
      </c>
      <c r="I307" t="n">
        <v>0</v>
      </c>
      <c r="J307" t="n">
        <v>0</v>
      </c>
      <c r="K307" t="n">
        <v>0</v>
      </c>
      <c r="L307" t="n">
        <v>0</v>
      </c>
      <c r="M307" t="n">
        <v>0</v>
      </c>
      <c r="N307" t="n">
        <v>0</v>
      </c>
      <c r="O307" t="n">
        <v>0</v>
      </c>
      <c r="P307" t="n">
        <v>0</v>
      </c>
      <c r="Q307" t="n">
        <v>0</v>
      </c>
      <c r="R307" s="2" t="inlineStr"/>
    </row>
    <row r="308" ht="15" customHeight="1">
      <c r="A308" t="inlineStr">
        <is>
          <t>A 60682-2022</t>
        </is>
      </c>
      <c r="B308" s="1" t="n">
        <v>44911.94</v>
      </c>
      <c r="C308" s="1" t="n">
        <v>45917</v>
      </c>
      <c r="D308" t="inlineStr">
        <is>
          <t>VÄSTERBOTTENS LÄN</t>
        </is>
      </c>
      <c r="E308" t="inlineStr">
        <is>
          <t>VILHELMINA</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18790-2021</t>
        </is>
      </c>
      <c r="B309" s="1" t="n">
        <v>44307</v>
      </c>
      <c r="C309" s="1" t="n">
        <v>45917</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36082-2022</t>
        </is>
      </c>
      <c r="B310" s="1" t="n">
        <v>44802</v>
      </c>
      <c r="C310" s="1" t="n">
        <v>45917</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16608-2024</t>
        </is>
      </c>
      <c r="B311" s="1" t="n">
        <v>45408</v>
      </c>
      <c r="C311" s="1" t="n">
        <v>45917</v>
      </c>
      <c r="D311" t="inlineStr">
        <is>
          <t>VÄSTERBOTTENS LÄN</t>
        </is>
      </c>
      <c r="E311" t="inlineStr">
        <is>
          <t>VILHELMINA</t>
        </is>
      </c>
      <c r="G311" t="n">
        <v>17.5</v>
      </c>
      <c r="H311" t="n">
        <v>0</v>
      </c>
      <c r="I311" t="n">
        <v>0</v>
      </c>
      <c r="J311" t="n">
        <v>0</v>
      </c>
      <c r="K311" t="n">
        <v>0</v>
      </c>
      <c r="L311" t="n">
        <v>0</v>
      </c>
      <c r="M311" t="n">
        <v>0</v>
      </c>
      <c r="N311" t="n">
        <v>0</v>
      </c>
      <c r="O311" t="n">
        <v>0</v>
      </c>
      <c r="P311" t="n">
        <v>0</v>
      </c>
      <c r="Q311" t="n">
        <v>0</v>
      </c>
      <c r="R311" s="2" t="inlineStr"/>
    </row>
    <row r="312" ht="15" customHeight="1">
      <c r="A312" t="inlineStr">
        <is>
          <t>A 37716-2024</t>
        </is>
      </c>
      <c r="B312" s="1" t="n">
        <v>45541.63592592593</v>
      </c>
      <c r="C312" s="1" t="n">
        <v>45917</v>
      </c>
      <c r="D312" t="inlineStr">
        <is>
          <t>VÄSTERBOTTENS LÄN</t>
        </is>
      </c>
      <c r="E312" t="inlineStr">
        <is>
          <t>VILHELMINA</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37717-2024</t>
        </is>
      </c>
      <c r="B313" s="1" t="n">
        <v>45541</v>
      </c>
      <c r="C313" s="1" t="n">
        <v>45917</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46071-2022</t>
        </is>
      </c>
      <c r="B314" s="1" t="n">
        <v>44847</v>
      </c>
      <c r="C314" s="1" t="n">
        <v>45917</v>
      </c>
      <c r="D314" t="inlineStr">
        <is>
          <t>VÄSTERBOTTENS LÄN</t>
        </is>
      </c>
      <c r="E314" t="inlineStr">
        <is>
          <t>VILHELMINA</t>
        </is>
      </c>
      <c r="G314" t="n">
        <v>10.6</v>
      </c>
      <c r="H314" t="n">
        <v>0</v>
      </c>
      <c r="I314" t="n">
        <v>0</v>
      </c>
      <c r="J314" t="n">
        <v>0</v>
      </c>
      <c r="K314" t="n">
        <v>0</v>
      </c>
      <c r="L314" t="n">
        <v>0</v>
      </c>
      <c r="M314" t="n">
        <v>0</v>
      </c>
      <c r="N314" t="n">
        <v>0</v>
      </c>
      <c r="O314" t="n">
        <v>0</v>
      </c>
      <c r="P314" t="n">
        <v>0</v>
      </c>
      <c r="Q314" t="n">
        <v>0</v>
      </c>
      <c r="R314" s="2" t="inlineStr"/>
    </row>
    <row r="315" ht="15" customHeight="1">
      <c r="A315" t="inlineStr">
        <is>
          <t>A 26381-2024</t>
        </is>
      </c>
      <c r="B315" s="1" t="n">
        <v>45469</v>
      </c>
      <c r="C315" s="1" t="n">
        <v>45917</v>
      </c>
      <c r="D315" t="inlineStr">
        <is>
          <t>VÄSTERBOTTENS LÄN</t>
        </is>
      </c>
      <c r="E315" t="inlineStr">
        <is>
          <t>VILHELMINA</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47483-2023</t>
        </is>
      </c>
      <c r="B316" s="1" t="n">
        <v>45202.9413425926</v>
      </c>
      <c r="C316" s="1" t="n">
        <v>45917</v>
      </c>
      <c r="D316" t="inlineStr">
        <is>
          <t>VÄSTERBOTTENS LÄN</t>
        </is>
      </c>
      <c r="E316" t="inlineStr">
        <is>
          <t>VILHELMINA</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45258-2024</t>
        </is>
      </c>
      <c r="B317" s="1" t="n">
        <v>45576.34444444445</v>
      </c>
      <c r="C317" s="1" t="n">
        <v>45917</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10941-2023</t>
        </is>
      </c>
      <c r="B318" s="1" t="n">
        <v>44985</v>
      </c>
      <c r="C318" s="1" t="n">
        <v>45917</v>
      </c>
      <c r="D318" t="inlineStr">
        <is>
          <t>VÄSTERBOTTENS LÄN</t>
        </is>
      </c>
      <c r="E318" t="inlineStr">
        <is>
          <t>VILHELMINA</t>
        </is>
      </c>
      <c r="G318" t="n">
        <v>16.7</v>
      </c>
      <c r="H318" t="n">
        <v>0</v>
      </c>
      <c r="I318" t="n">
        <v>0</v>
      </c>
      <c r="J318" t="n">
        <v>0</v>
      </c>
      <c r="K318" t="n">
        <v>0</v>
      </c>
      <c r="L318" t="n">
        <v>0</v>
      </c>
      <c r="M318" t="n">
        <v>0</v>
      </c>
      <c r="N318" t="n">
        <v>0</v>
      </c>
      <c r="O318" t="n">
        <v>0</v>
      </c>
      <c r="P318" t="n">
        <v>0</v>
      </c>
      <c r="Q318" t="n">
        <v>0</v>
      </c>
      <c r="R318" s="2" t="inlineStr"/>
    </row>
    <row r="319" ht="15" customHeight="1">
      <c r="A319" t="inlineStr">
        <is>
          <t>A 38222-2024</t>
        </is>
      </c>
      <c r="B319" s="1" t="n">
        <v>45545.53619212963</v>
      </c>
      <c r="C319" s="1" t="n">
        <v>45917</v>
      </c>
      <c r="D319" t="inlineStr">
        <is>
          <t>VÄSTERBOTTENS LÄN</t>
        </is>
      </c>
      <c r="E319" t="inlineStr">
        <is>
          <t>VILHELMINA</t>
        </is>
      </c>
      <c r="F319" t="inlineStr">
        <is>
          <t>Sveaskog</t>
        </is>
      </c>
      <c r="G319" t="n">
        <v>6</v>
      </c>
      <c r="H319" t="n">
        <v>0</v>
      </c>
      <c r="I319" t="n">
        <v>0</v>
      </c>
      <c r="J319" t="n">
        <v>0</v>
      </c>
      <c r="K319" t="n">
        <v>0</v>
      </c>
      <c r="L319" t="n">
        <v>0</v>
      </c>
      <c r="M319" t="n">
        <v>0</v>
      </c>
      <c r="N319" t="n">
        <v>0</v>
      </c>
      <c r="O319" t="n">
        <v>0</v>
      </c>
      <c r="P319" t="n">
        <v>0</v>
      </c>
      <c r="Q319" t="n">
        <v>0</v>
      </c>
      <c r="R319" s="2" t="inlineStr"/>
    </row>
    <row r="320" ht="15" customHeight="1">
      <c r="A320" t="inlineStr">
        <is>
          <t>A 17996-2024</t>
        </is>
      </c>
      <c r="B320" s="1" t="n">
        <v>45419</v>
      </c>
      <c r="C320" s="1" t="n">
        <v>45917</v>
      </c>
      <c r="D320" t="inlineStr">
        <is>
          <t>VÄSTERBOTTENS LÄN</t>
        </is>
      </c>
      <c r="E320" t="inlineStr">
        <is>
          <t>VILHELMINA</t>
        </is>
      </c>
      <c r="G320" t="n">
        <v>5.3</v>
      </c>
      <c r="H320" t="n">
        <v>0</v>
      </c>
      <c r="I320" t="n">
        <v>0</v>
      </c>
      <c r="J320" t="n">
        <v>0</v>
      </c>
      <c r="K320" t="n">
        <v>0</v>
      </c>
      <c r="L320" t="n">
        <v>0</v>
      </c>
      <c r="M320" t="n">
        <v>0</v>
      </c>
      <c r="N320" t="n">
        <v>0</v>
      </c>
      <c r="O320" t="n">
        <v>0</v>
      </c>
      <c r="P320" t="n">
        <v>0</v>
      </c>
      <c r="Q320" t="n">
        <v>0</v>
      </c>
      <c r="R320" s="2" t="inlineStr"/>
    </row>
    <row r="321" ht="15" customHeight="1">
      <c r="A321" t="inlineStr">
        <is>
          <t>A 23180-2024</t>
        </is>
      </c>
      <c r="B321" s="1" t="n">
        <v>45450.9444212963</v>
      </c>
      <c r="C321" s="1" t="n">
        <v>45917</v>
      </c>
      <c r="D321" t="inlineStr">
        <is>
          <t>VÄSTERBOTTENS LÄN</t>
        </is>
      </c>
      <c r="E321" t="inlineStr">
        <is>
          <t>VILHELMINA</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12990-2025</t>
        </is>
      </c>
      <c r="B322" s="1" t="n">
        <v>45734</v>
      </c>
      <c r="C322" s="1" t="n">
        <v>45917</v>
      </c>
      <c r="D322" t="inlineStr">
        <is>
          <t>VÄSTERBOTTENS LÄN</t>
        </is>
      </c>
      <c r="E322" t="inlineStr">
        <is>
          <t>VILHELMINA</t>
        </is>
      </c>
      <c r="G322" t="n">
        <v>11.2</v>
      </c>
      <c r="H322" t="n">
        <v>0</v>
      </c>
      <c r="I322" t="n">
        <v>0</v>
      </c>
      <c r="J322" t="n">
        <v>0</v>
      </c>
      <c r="K322" t="n">
        <v>0</v>
      </c>
      <c r="L322" t="n">
        <v>0</v>
      </c>
      <c r="M322" t="n">
        <v>0</v>
      </c>
      <c r="N322" t="n">
        <v>0</v>
      </c>
      <c r="O322" t="n">
        <v>0</v>
      </c>
      <c r="P322" t="n">
        <v>0</v>
      </c>
      <c r="Q322" t="n">
        <v>0</v>
      </c>
      <c r="R322" s="2" t="inlineStr"/>
    </row>
    <row r="323" ht="15" customHeight="1">
      <c r="A323" t="inlineStr">
        <is>
          <t>A 3237-2024</t>
        </is>
      </c>
      <c r="B323" s="1" t="n">
        <v>45316.9474537037</v>
      </c>
      <c r="C323" s="1" t="n">
        <v>45917</v>
      </c>
      <c r="D323" t="inlineStr">
        <is>
          <t>VÄSTERBOTTENS LÄN</t>
        </is>
      </c>
      <c r="E323" t="inlineStr">
        <is>
          <t>VILHELMINA</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17186-2025</t>
        </is>
      </c>
      <c r="B324" s="1" t="n">
        <v>45756</v>
      </c>
      <c r="C324" s="1" t="n">
        <v>45917</v>
      </c>
      <c r="D324" t="inlineStr">
        <is>
          <t>VÄSTERBOTTENS LÄN</t>
        </is>
      </c>
      <c r="E324" t="inlineStr">
        <is>
          <t>VILHELMINA</t>
        </is>
      </c>
      <c r="F324" t="inlineStr">
        <is>
          <t>SCA</t>
        </is>
      </c>
      <c r="G324" t="n">
        <v>12.3</v>
      </c>
      <c r="H324" t="n">
        <v>0</v>
      </c>
      <c r="I324" t="n">
        <v>0</v>
      </c>
      <c r="J324" t="n">
        <v>0</v>
      </c>
      <c r="K324" t="n">
        <v>0</v>
      </c>
      <c r="L324" t="n">
        <v>0</v>
      </c>
      <c r="M324" t="n">
        <v>0</v>
      </c>
      <c r="N324" t="n">
        <v>0</v>
      </c>
      <c r="O324" t="n">
        <v>0</v>
      </c>
      <c r="P324" t="n">
        <v>0</v>
      </c>
      <c r="Q324" t="n">
        <v>0</v>
      </c>
      <c r="R324" s="2" t="inlineStr"/>
    </row>
    <row r="325" ht="15" customHeight="1">
      <c r="A325" t="inlineStr">
        <is>
          <t>A 17302-2025</t>
        </is>
      </c>
      <c r="B325" s="1" t="n">
        <v>45756</v>
      </c>
      <c r="C325" s="1" t="n">
        <v>45917</v>
      </c>
      <c r="D325" t="inlineStr">
        <is>
          <t>VÄSTERBOTTENS LÄN</t>
        </is>
      </c>
      <c r="E325" t="inlineStr">
        <is>
          <t>VILHELMINA</t>
        </is>
      </c>
      <c r="G325" t="n">
        <v>6.6</v>
      </c>
      <c r="H325" t="n">
        <v>0</v>
      </c>
      <c r="I325" t="n">
        <v>0</v>
      </c>
      <c r="J325" t="n">
        <v>0</v>
      </c>
      <c r="K325" t="n">
        <v>0</v>
      </c>
      <c r="L325" t="n">
        <v>0</v>
      </c>
      <c r="M325" t="n">
        <v>0</v>
      </c>
      <c r="N325" t="n">
        <v>0</v>
      </c>
      <c r="O325" t="n">
        <v>0</v>
      </c>
      <c r="P325" t="n">
        <v>0</v>
      </c>
      <c r="Q325" t="n">
        <v>0</v>
      </c>
      <c r="R325" s="2" t="inlineStr"/>
    </row>
    <row r="326" ht="15" customHeight="1">
      <c r="A326" t="inlineStr">
        <is>
          <t>A 17314-2025</t>
        </is>
      </c>
      <c r="B326" s="1" t="n">
        <v>45756</v>
      </c>
      <c r="C326" s="1" t="n">
        <v>45917</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27601-2025</t>
        </is>
      </c>
      <c r="B327" s="1" t="n">
        <v>45813.52791666667</v>
      </c>
      <c r="C327" s="1" t="n">
        <v>45917</v>
      </c>
      <c r="D327" t="inlineStr">
        <is>
          <t>VÄSTERBOTTENS LÄN</t>
        </is>
      </c>
      <c r="E327" t="inlineStr">
        <is>
          <t>VILHELMINA</t>
        </is>
      </c>
      <c r="F327" t="inlineStr">
        <is>
          <t>Övriga statliga verk och myndigheter</t>
        </is>
      </c>
      <c r="G327" t="n">
        <v>36.5</v>
      </c>
      <c r="H327" t="n">
        <v>0</v>
      </c>
      <c r="I327" t="n">
        <v>0</v>
      </c>
      <c r="J327" t="n">
        <v>0</v>
      </c>
      <c r="K327" t="n">
        <v>0</v>
      </c>
      <c r="L327" t="n">
        <v>0</v>
      </c>
      <c r="M327" t="n">
        <v>0</v>
      </c>
      <c r="N327" t="n">
        <v>0</v>
      </c>
      <c r="O327" t="n">
        <v>0</v>
      </c>
      <c r="P327" t="n">
        <v>0</v>
      </c>
      <c r="Q327" t="n">
        <v>0</v>
      </c>
      <c r="R327" s="2" t="inlineStr"/>
    </row>
    <row r="328" ht="15" customHeight="1">
      <c r="A328" t="inlineStr">
        <is>
          <t>A 48068-2022</t>
        </is>
      </c>
      <c r="B328" s="1" t="n">
        <v>44855</v>
      </c>
      <c r="C328" s="1" t="n">
        <v>45917</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27945-2025</t>
        </is>
      </c>
      <c r="B329" s="1" t="n">
        <v>45817</v>
      </c>
      <c r="C329" s="1" t="n">
        <v>45917</v>
      </c>
      <c r="D329" t="inlineStr">
        <is>
          <t>VÄSTERBOTTENS LÄN</t>
        </is>
      </c>
      <c r="E329" t="inlineStr">
        <is>
          <t>VILHELMINA</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36288-2021</t>
        </is>
      </c>
      <c r="B330" s="1" t="n">
        <v>44389</v>
      </c>
      <c r="C330" s="1" t="n">
        <v>45917</v>
      </c>
      <c r="D330" t="inlineStr">
        <is>
          <t>VÄSTERBOTTENS LÄN</t>
        </is>
      </c>
      <c r="E330" t="inlineStr">
        <is>
          <t>VILHELMINA</t>
        </is>
      </c>
      <c r="G330" t="n">
        <v>20.5</v>
      </c>
      <c r="H330" t="n">
        <v>0</v>
      </c>
      <c r="I330" t="n">
        <v>0</v>
      </c>
      <c r="J330" t="n">
        <v>0</v>
      </c>
      <c r="K330" t="n">
        <v>0</v>
      </c>
      <c r="L330" t="n">
        <v>0</v>
      </c>
      <c r="M330" t="n">
        <v>0</v>
      </c>
      <c r="N330" t="n">
        <v>0</v>
      </c>
      <c r="O330" t="n">
        <v>0</v>
      </c>
      <c r="P330" t="n">
        <v>0</v>
      </c>
      <c r="Q330" t="n">
        <v>0</v>
      </c>
      <c r="R330" s="2" t="inlineStr"/>
    </row>
    <row r="331" ht="15" customHeight="1">
      <c r="A331" t="inlineStr">
        <is>
          <t>A 55722-2023</t>
        </is>
      </c>
      <c r="B331" s="1" t="n">
        <v>45232</v>
      </c>
      <c r="C331" s="1" t="n">
        <v>45917</v>
      </c>
      <c r="D331" t="inlineStr">
        <is>
          <t>VÄSTERBOTTENS LÄN</t>
        </is>
      </c>
      <c r="E331" t="inlineStr">
        <is>
          <t>VILHELMINA</t>
        </is>
      </c>
      <c r="G331" t="n">
        <v>5.8</v>
      </c>
      <c r="H331" t="n">
        <v>0</v>
      </c>
      <c r="I331" t="n">
        <v>0</v>
      </c>
      <c r="J331" t="n">
        <v>0</v>
      </c>
      <c r="K331" t="n">
        <v>0</v>
      </c>
      <c r="L331" t="n">
        <v>0</v>
      </c>
      <c r="M331" t="n">
        <v>0</v>
      </c>
      <c r="N331" t="n">
        <v>0</v>
      </c>
      <c r="O331" t="n">
        <v>0</v>
      </c>
      <c r="P331" t="n">
        <v>0</v>
      </c>
      <c r="Q331" t="n">
        <v>0</v>
      </c>
      <c r="R331" s="2" t="inlineStr"/>
    </row>
    <row r="332" ht="15" customHeight="1">
      <c r="A332" t="inlineStr">
        <is>
          <t>A 12189-2024</t>
        </is>
      </c>
      <c r="B332" s="1" t="n">
        <v>45377.94945601852</v>
      </c>
      <c r="C332" s="1" t="n">
        <v>45917</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36909-2024</t>
        </is>
      </c>
      <c r="B333" s="1" t="n">
        <v>45538.63577546296</v>
      </c>
      <c r="C333" s="1" t="n">
        <v>45917</v>
      </c>
      <c r="D333" t="inlineStr">
        <is>
          <t>VÄSTERBOTTENS LÄN</t>
        </is>
      </c>
      <c r="E333" t="inlineStr">
        <is>
          <t>VILHELMINA</t>
        </is>
      </c>
      <c r="F333" t="inlineStr">
        <is>
          <t>SCA</t>
        </is>
      </c>
      <c r="G333" t="n">
        <v>16.8</v>
      </c>
      <c r="H333" t="n">
        <v>0</v>
      </c>
      <c r="I333" t="n">
        <v>0</v>
      </c>
      <c r="J333" t="n">
        <v>0</v>
      </c>
      <c r="K333" t="n">
        <v>0</v>
      </c>
      <c r="L333" t="n">
        <v>0</v>
      </c>
      <c r="M333" t="n">
        <v>0</v>
      </c>
      <c r="N333" t="n">
        <v>0</v>
      </c>
      <c r="O333" t="n">
        <v>0</v>
      </c>
      <c r="P333" t="n">
        <v>0</v>
      </c>
      <c r="Q333" t="n">
        <v>0</v>
      </c>
      <c r="R333" s="2" t="inlineStr"/>
    </row>
    <row r="334" ht="15" customHeight="1">
      <c r="A334" t="inlineStr">
        <is>
          <t>A 2054-2023</t>
        </is>
      </c>
      <c r="B334" s="1" t="n">
        <v>44939</v>
      </c>
      <c r="C334" s="1" t="n">
        <v>45917</v>
      </c>
      <c r="D334" t="inlineStr">
        <is>
          <t>VÄSTERBOTTENS LÄN</t>
        </is>
      </c>
      <c r="E334" t="inlineStr">
        <is>
          <t>VILHELMINA</t>
        </is>
      </c>
      <c r="F334" t="inlineStr">
        <is>
          <t>Sveaskog</t>
        </is>
      </c>
      <c r="G334" t="n">
        <v>19.2</v>
      </c>
      <c r="H334" t="n">
        <v>0</v>
      </c>
      <c r="I334" t="n">
        <v>0</v>
      </c>
      <c r="J334" t="n">
        <v>0</v>
      </c>
      <c r="K334" t="n">
        <v>0</v>
      </c>
      <c r="L334" t="n">
        <v>0</v>
      </c>
      <c r="M334" t="n">
        <v>0</v>
      </c>
      <c r="N334" t="n">
        <v>0</v>
      </c>
      <c r="O334" t="n">
        <v>0</v>
      </c>
      <c r="P334" t="n">
        <v>0</v>
      </c>
      <c r="Q334" t="n">
        <v>0</v>
      </c>
      <c r="R334" s="2" t="inlineStr"/>
    </row>
    <row r="335" ht="15" customHeight="1">
      <c r="A335" t="inlineStr">
        <is>
          <t>A 22107-2024</t>
        </is>
      </c>
      <c r="B335" s="1" t="n">
        <v>45443</v>
      </c>
      <c r="C335" s="1" t="n">
        <v>45917</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41644-2024</t>
        </is>
      </c>
      <c r="B336" s="1" t="n">
        <v>45560</v>
      </c>
      <c r="C336" s="1" t="n">
        <v>45917</v>
      </c>
      <c r="D336" t="inlineStr">
        <is>
          <t>VÄSTERBOTTENS LÄN</t>
        </is>
      </c>
      <c r="E336" t="inlineStr">
        <is>
          <t>VILHELMINA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21965-2025</t>
        </is>
      </c>
      <c r="B337" s="1" t="n">
        <v>45784</v>
      </c>
      <c r="C337" s="1" t="n">
        <v>45917</v>
      </c>
      <c r="D337" t="inlineStr">
        <is>
          <t>VÄSTERBOTTENS LÄN</t>
        </is>
      </c>
      <c r="E337" t="inlineStr">
        <is>
          <t>VILHELMINA</t>
        </is>
      </c>
      <c r="G337" t="n">
        <v>7.4</v>
      </c>
      <c r="H337" t="n">
        <v>0</v>
      </c>
      <c r="I337" t="n">
        <v>0</v>
      </c>
      <c r="J337" t="n">
        <v>0</v>
      </c>
      <c r="K337" t="n">
        <v>0</v>
      </c>
      <c r="L337" t="n">
        <v>0</v>
      </c>
      <c r="M337" t="n">
        <v>0</v>
      </c>
      <c r="N337" t="n">
        <v>0</v>
      </c>
      <c r="O337" t="n">
        <v>0</v>
      </c>
      <c r="P337" t="n">
        <v>0</v>
      </c>
      <c r="Q337" t="n">
        <v>0</v>
      </c>
      <c r="R337" s="2" t="inlineStr"/>
    </row>
    <row r="338" ht="15" customHeight="1">
      <c r="A338" t="inlineStr">
        <is>
          <t>A 28019-2025</t>
        </is>
      </c>
      <c r="B338" s="1" t="n">
        <v>45817.61545138889</v>
      </c>
      <c r="C338" s="1" t="n">
        <v>45917</v>
      </c>
      <c r="D338" t="inlineStr">
        <is>
          <t>VÄSTERBOTTENS LÄN</t>
        </is>
      </c>
      <c r="E338" t="inlineStr">
        <is>
          <t>VILHELMINA</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48422-2023</t>
        </is>
      </c>
      <c r="B339" s="1" t="n">
        <v>45205</v>
      </c>
      <c r="C339" s="1" t="n">
        <v>45917</v>
      </c>
      <c r="D339" t="inlineStr">
        <is>
          <t>VÄSTERBOTTENS LÄN</t>
        </is>
      </c>
      <c r="E339" t="inlineStr">
        <is>
          <t>VILHELMINA</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27943-2025</t>
        </is>
      </c>
      <c r="B340" s="1" t="n">
        <v>45817.51078703703</v>
      </c>
      <c r="C340" s="1" t="n">
        <v>45917</v>
      </c>
      <c r="D340" t="inlineStr">
        <is>
          <t>VÄSTERBOTTENS LÄN</t>
        </is>
      </c>
      <c r="E340" t="inlineStr">
        <is>
          <t>VILHELMINA</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48483-2023</t>
        </is>
      </c>
      <c r="B341" s="1" t="n">
        <v>45206.95854166667</v>
      </c>
      <c r="C341" s="1" t="n">
        <v>45917</v>
      </c>
      <c r="D341" t="inlineStr">
        <is>
          <t>VÄSTERBOTTENS LÄN</t>
        </is>
      </c>
      <c r="E341" t="inlineStr">
        <is>
          <t>VILHELMINA</t>
        </is>
      </c>
      <c r="F341" t="inlineStr">
        <is>
          <t>SCA</t>
        </is>
      </c>
      <c r="G341" t="n">
        <v>7.6</v>
      </c>
      <c r="H341" t="n">
        <v>0</v>
      </c>
      <c r="I341" t="n">
        <v>0</v>
      </c>
      <c r="J341" t="n">
        <v>0</v>
      </c>
      <c r="K341" t="n">
        <v>0</v>
      </c>
      <c r="L341" t="n">
        <v>0</v>
      </c>
      <c r="M341" t="n">
        <v>0</v>
      </c>
      <c r="N341" t="n">
        <v>0</v>
      </c>
      <c r="O341" t="n">
        <v>0</v>
      </c>
      <c r="P341" t="n">
        <v>0</v>
      </c>
      <c r="Q341" t="n">
        <v>0</v>
      </c>
      <c r="R341" s="2" t="inlineStr"/>
    </row>
    <row r="342" ht="15" customHeight="1">
      <c r="A342" t="inlineStr">
        <is>
          <t>A 48505-2023</t>
        </is>
      </c>
      <c r="B342" s="1" t="n">
        <v>45207.93900462963</v>
      </c>
      <c r="C342" s="1" t="n">
        <v>45917</v>
      </c>
      <c r="D342" t="inlineStr">
        <is>
          <t>VÄSTERBOTTENS LÄN</t>
        </is>
      </c>
      <c r="E342" t="inlineStr">
        <is>
          <t>VILHELMINA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27952-2025</t>
        </is>
      </c>
      <c r="B343" s="1" t="n">
        <v>45817.53157407408</v>
      </c>
      <c r="C343" s="1" t="n">
        <v>45917</v>
      </c>
      <c r="D343" t="inlineStr">
        <is>
          <t>VÄSTERBOTTENS LÄN</t>
        </is>
      </c>
      <c r="E343" t="inlineStr">
        <is>
          <t>VILHELMINA</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50489-2023</t>
        </is>
      </c>
      <c r="B344" s="1" t="n">
        <v>45216.95556712963</v>
      </c>
      <c r="C344" s="1" t="n">
        <v>45917</v>
      </c>
      <c r="D344" t="inlineStr">
        <is>
          <t>VÄSTERBOTTENS LÄN</t>
        </is>
      </c>
      <c r="E344" t="inlineStr">
        <is>
          <t>VILHELMINA</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50506-2023</t>
        </is>
      </c>
      <c r="B345" s="1" t="n">
        <v>45216.9580787037</v>
      </c>
      <c r="C345" s="1" t="n">
        <v>45917</v>
      </c>
      <c r="D345" t="inlineStr">
        <is>
          <t>VÄSTERBOTTENS LÄN</t>
        </is>
      </c>
      <c r="E345" t="inlineStr">
        <is>
          <t>VILHELMINA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28016-2025</t>
        </is>
      </c>
      <c r="B346" s="1" t="n">
        <v>45817.61506944444</v>
      </c>
      <c r="C346" s="1" t="n">
        <v>45917</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23544-2024</t>
        </is>
      </c>
      <c r="B347" s="1" t="n">
        <v>45453.95314814815</v>
      </c>
      <c r="C347" s="1" t="n">
        <v>45917</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23545-2024</t>
        </is>
      </c>
      <c r="B348" s="1" t="n">
        <v>45453.95326388889</v>
      </c>
      <c r="C348" s="1" t="n">
        <v>45917</v>
      </c>
      <c r="D348" t="inlineStr">
        <is>
          <t>VÄSTERBOTTENS LÄN</t>
        </is>
      </c>
      <c r="E348" t="inlineStr">
        <is>
          <t>VILHELMINA</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28050-2025</t>
        </is>
      </c>
      <c r="B349" s="1" t="n">
        <v>45817.65658564815</v>
      </c>
      <c r="C349" s="1" t="n">
        <v>45917</v>
      </c>
      <c r="D349" t="inlineStr">
        <is>
          <t>VÄSTERBOTTENS LÄN</t>
        </is>
      </c>
      <c r="E349" t="inlineStr">
        <is>
          <t>VILHELMINA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28144-2025</t>
        </is>
      </c>
      <c r="B350" s="1" t="n">
        <v>45818</v>
      </c>
      <c r="C350" s="1" t="n">
        <v>45917</v>
      </c>
      <c r="D350" t="inlineStr">
        <is>
          <t>VÄSTERBOTTENS LÄN</t>
        </is>
      </c>
      <c r="E350" t="inlineStr">
        <is>
          <t>VILHELMINA</t>
        </is>
      </c>
      <c r="F350" t="inlineStr">
        <is>
          <t>SCA</t>
        </is>
      </c>
      <c r="G350" t="n">
        <v>10.8</v>
      </c>
      <c r="H350" t="n">
        <v>0</v>
      </c>
      <c r="I350" t="n">
        <v>0</v>
      </c>
      <c r="J350" t="n">
        <v>0</v>
      </c>
      <c r="K350" t="n">
        <v>0</v>
      </c>
      <c r="L350" t="n">
        <v>0</v>
      </c>
      <c r="M350" t="n">
        <v>0</v>
      </c>
      <c r="N350" t="n">
        <v>0</v>
      </c>
      <c r="O350" t="n">
        <v>0</v>
      </c>
      <c r="P350" t="n">
        <v>0</v>
      </c>
      <c r="Q350" t="n">
        <v>0</v>
      </c>
      <c r="R350" s="2" t="inlineStr"/>
    </row>
    <row r="351" ht="15" customHeight="1">
      <c r="A351" t="inlineStr">
        <is>
          <t>A 31868-2024</t>
        </is>
      </c>
      <c r="B351" s="1" t="n">
        <v>45509</v>
      </c>
      <c r="C351" s="1" t="n">
        <v>45917</v>
      </c>
      <c r="D351" t="inlineStr">
        <is>
          <t>VÄSTERBOTTENS LÄN</t>
        </is>
      </c>
      <c r="E351" t="inlineStr">
        <is>
          <t>VILHELMINA</t>
        </is>
      </c>
      <c r="G351" t="n">
        <v>4.5</v>
      </c>
      <c r="H351" t="n">
        <v>0</v>
      </c>
      <c r="I351" t="n">
        <v>0</v>
      </c>
      <c r="J351" t="n">
        <v>0</v>
      </c>
      <c r="K351" t="n">
        <v>0</v>
      </c>
      <c r="L351" t="n">
        <v>0</v>
      </c>
      <c r="M351" t="n">
        <v>0</v>
      </c>
      <c r="N351" t="n">
        <v>0</v>
      </c>
      <c r="O351" t="n">
        <v>0</v>
      </c>
      <c r="P351" t="n">
        <v>0</v>
      </c>
      <c r="Q351" t="n">
        <v>0</v>
      </c>
      <c r="R351" s="2" t="inlineStr"/>
    </row>
    <row r="352" ht="15" customHeight="1">
      <c r="A352" t="inlineStr">
        <is>
          <t>A 18564-2022</t>
        </is>
      </c>
      <c r="B352" s="1" t="n">
        <v>44686</v>
      </c>
      <c r="C352" s="1" t="n">
        <v>45917</v>
      </c>
      <c r="D352" t="inlineStr">
        <is>
          <t>VÄSTERBOTTENS LÄN</t>
        </is>
      </c>
      <c r="E352" t="inlineStr">
        <is>
          <t>VILHELMINA</t>
        </is>
      </c>
      <c r="F352" t="inlineStr">
        <is>
          <t>SCA</t>
        </is>
      </c>
      <c r="G352" t="n">
        <v>6</v>
      </c>
      <c r="H352" t="n">
        <v>0</v>
      </c>
      <c r="I352" t="n">
        <v>0</v>
      </c>
      <c r="J352" t="n">
        <v>0</v>
      </c>
      <c r="K352" t="n">
        <v>0</v>
      </c>
      <c r="L352" t="n">
        <v>0</v>
      </c>
      <c r="M352" t="n">
        <v>0</v>
      </c>
      <c r="N352" t="n">
        <v>0</v>
      </c>
      <c r="O352" t="n">
        <v>0</v>
      </c>
      <c r="P352" t="n">
        <v>0</v>
      </c>
      <c r="Q352" t="n">
        <v>0</v>
      </c>
      <c r="R352" s="2" t="inlineStr"/>
    </row>
    <row r="353" ht="15" customHeight="1">
      <c r="A353" t="inlineStr">
        <is>
          <t>A 28071-2025</t>
        </is>
      </c>
      <c r="B353" s="1" t="n">
        <v>45817.67755787037</v>
      </c>
      <c r="C353" s="1" t="n">
        <v>45917</v>
      </c>
      <c r="D353" t="inlineStr">
        <is>
          <t>VÄSTERBOTTENS LÄN</t>
        </is>
      </c>
      <c r="E353" t="inlineStr">
        <is>
          <t>VILHELMINA</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28897-2025</t>
        </is>
      </c>
      <c r="B354" s="1" t="n">
        <v>45820.6360300926</v>
      </c>
      <c r="C354" s="1" t="n">
        <v>45917</v>
      </c>
      <c r="D354" t="inlineStr">
        <is>
          <t>VÄSTERBOTTENS LÄN</t>
        </is>
      </c>
      <c r="E354" t="inlineStr">
        <is>
          <t>VILHELMINA</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38569-2024</t>
        </is>
      </c>
      <c r="B355" s="1" t="n">
        <v>45546.63689814815</v>
      </c>
      <c r="C355" s="1" t="n">
        <v>45917</v>
      </c>
      <c r="D355" t="inlineStr">
        <is>
          <t>VÄSTERBOTTENS LÄN</t>
        </is>
      </c>
      <c r="E355" t="inlineStr">
        <is>
          <t>VILHELMINA</t>
        </is>
      </c>
      <c r="G355" t="n">
        <v>31.5</v>
      </c>
      <c r="H355" t="n">
        <v>0</v>
      </c>
      <c r="I355" t="n">
        <v>0</v>
      </c>
      <c r="J355" t="n">
        <v>0</v>
      </c>
      <c r="K355" t="n">
        <v>0</v>
      </c>
      <c r="L355" t="n">
        <v>0</v>
      </c>
      <c r="M355" t="n">
        <v>0</v>
      </c>
      <c r="N355" t="n">
        <v>0</v>
      </c>
      <c r="O355" t="n">
        <v>0</v>
      </c>
      <c r="P355" t="n">
        <v>0</v>
      </c>
      <c r="Q355" t="n">
        <v>0</v>
      </c>
      <c r="R355" s="2" t="inlineStr"/>
    </row>
    <row r="356" ht="15" customHeight="1">
      <c r="A356" t="inlineStr">
        <is>
          <t>A 8215-2023</t>
        </is>
      </c>
      <c r="B356" s="1" t="n">
        <v>44971</v>
      </c>
      <c r="C356" s="1" t="n">
        <v>45917</v>
      </c>
      <c r="D356" t="inlineStr">
        <is>
          <t>VÄSTERBOTTENS LÄN</t>
        </is>
      </c>
      <c r="E356" t="inlineStr">
        <is>
          <t>VILHELMINA</t>
        </is>
      </c>
      <c r="G356" t="n">
        <v>0.8</v>
      </c>
      <c r="H356" t="n">
        <v>0</v>
      </c>
      <c r="I356" t="n">
        <v>0</v>
      </c>
      <c r="J356" t="n">
        <v>0</v>
      </c>
      <c r="K356" t="n">
        <v>0</v>
      </c>
      <c r="L356" t="n">
        <v>0</v>
      </c>
      <c r="M356" t="n">
        <v>0</v>
      </c>
      <c r="N356" t="n">
        <v>0</v>
      </c>
      <c r="O356" t="n">
        <v>0</v>
      </c>
      <c r="P356" t="n">
        <v>0</v>
      </c>
      <c r="Q356" t="n">
        <v>0</v>
      </c>
      <c r="R356" s="2" t="inlineStr"/>
    </row>
    <row r="357" ht="15" customHeight="1">
      <c r="A357" t="inlineStr">
        <is>
          <t>A 48754-2021</t>
        </is>
      </c>
      <c r="B357" s="1" t="n">
        <v>44452</v>
      </c>
      <c r="C357" s="1" t="n">
        <v>45917</v>
      </c>
      <c r="D357" t="inlineStr">
        <is>
          <t>VÄSTERBOTTENS LÄN</t>
        </is>
      </c>
      <c r="E357" t="inlineStr">
        <is>
          <t>VILHELMINA</t>
        </is>
      </c>
      <c r="G357" t="n">
        <v>5.6</v>
      </c>
      <c r="H357" t="n">
        <v>0</v>
      </c>
      <c r="I357" t="n">
        <v>0</v>
      </c>
      <c r="J357" t="n">
        <v>0</v>
      </c>
      <c r="K357" t="n">
        <v>0</v>
      </c>
      <c r="L357" t="n">
        <v>0</v>
      </c>
      <c r="M357" t="n">
        <v>0</v>
      </c>
      <c r="N357" t="n">
        <v>0</v>
      </c>
      <c r="O357" t="n">
        <v>0</v>
      </c>
      <c r="P357" t="n">
        <v>0</v>
      </c>
      <c r="Q357" t="n">
        <v>0</v>
      </c>
      <c r="R357" s="2" t="inlineStr"/>
    </row>
    <row r="358" ht="15" customHeight="1">
      <c r="A358" t="inlineStr">
        <is>
          <t>A 48756-2021</t>
        </is>
      </c>
      <c r="B358" s="1" t="n">
        <v>44452</v>
      </c>
      <c r="C358" s="1" t="n">
        <v>45917</v>
      </c>
      <c r="D358" t="inlineStr">
        <is>
          <t>VÄSTERBOTTENS LÄN</t>
        </is>
      </c>
      <c r="E358" t="inlineStr">
        <is>
          <t>VILHELMINA</t>
        </is>
      </c>
      <c r="G358" t="n">
        <v>13.3</v>
      </c>
      <c r="H358" t="n">
        <v>0</v>
      </c>
      <c r="I358" t="n">
        <v>0</v>
      </c>
      <c r="J358" t="n">
        <v>0</v>
      </c>
      <c r="K358" t="n">
        <v>0</v>
      </c>
      <c r="L358" t="n">
        <v>0</v>
      </c>
      <c r="M358" t="n">
        <v>0</v>
      </c>
      <c r="N358" t="n">
        <v>0</v>
      </c>
      <c r="O358" t="n">
        <v>0</v>
      </c>
      <c r="P358" t="n">
        <v>0</v>
      </c>
      <c r="Q358" t="n">
        <v>0</v>
      </c>
      <c r="R358" s="2" t="inlineStr"/>
    </row>
    <row r="359" ht="15" customHeight="1">
      <c r="A359" t="inlineStr">
        <is>
          <t>A 59030-2022</t>
        </is>
      </c>
      <c r="B359" s="1" t="n">
        <v>44903</v>
      </c>
      <c r="C359" s="1" t="n">
        <v>45917</v>
      </c>
      <c r="D359" t="inlineStr">
        <is>
          <t>VÄSTERBOTTENS LÄN</t>
        </is>
      </c>
      <c r="E359" t="inlineStr">
        <is>
          <t>VILHELMINA</t>
        </is>
      </c>
      <c r="G359" t="n">
        <v>17.8</v>
      </c>
      <c r="H359" t="n">
        <v>0</v>
      </c>
      <c r="I359" t="n">
        <v>0</v>
      </c>
      <c r="J359" t="n">
        <v>0</v>
      </c>
      <c r="K359" t="n">
        <v>0</v>
      </c>
      <c r="L359" t="n">
        <v>0</v>
      </c>
      <c r="M359" t="n">
        <v>0</v>
      </c>
      <c r="N359" t="n">
        <v>0</v>
      </c>
      <c r="O359" t="n">
        <v>0</v>
      </c>
      <c r="P359" t="n">
        <v>0</v>
      </c>
      <c r="Q359" t="n">
        <v>0</v>
      </c>
      <c r="R359" s="2" t="inlineStr"/>
    </row>
    <row r="360" ht="15" customHeight="1">
      <c r="A360" t="inlineStr">
        <is>
          <t>A 20510-2024</t>
        </is>
      </c>
      <c r="B360" s="1" t="n">
        <v>45435.94324074074</v>
      </c>
      <c r="C360" s="1" t="n">
        <v>45917</v>
      </c>
      <c r="D360" t="inlineStr">
        <is>
          <t>VÄSTERBOTTENS LÄN</t>
        </is>
      </c>
      <c r="E360" t="inlineStr">
        <is>
          <t>VILHELMINA</t>
        </is>
      </c>
      <c r="F360" t="inlineStr">
        <is>
          <t>SCA</t>
        </is>
      </c>
      <c r="G360" t="n">
        <v>7.7</v>
      </c>
      <c r="H360" t="n">
        <v>0</v>
      </c>
      <c r="I360" t="n">
        <v>0</v>
      </c>
      <c r="J360" t="n">
        <v>0</v>
      </c>
      <c r="K360" t="n">
        <v>0</v>
      </c>
      <c r="L360" t="n">
        <v>0</v>
      </c>
      <c r="M360" t="n">
        <v>0</v>
      </c>
      <c r="N360" t="n">
        <v>0</v>
      </c>
      <c r="O360" t="n">
        <v>0</v>
      </c>
      <c r="P360" t="n">
        <v>0</v>
      </c>
      <c r="Q360" t="n">
        <v>0</v>
      </c>
      <c r="R360" s="2" t="inlineStr"/>
    </row>
    <row r="361" ht="15" customHeight="1">
      <c r="A361" t="inlineStr">
        <is>
          <t>A 20523-2024</t>
        </is>
      </c>
      <c r="B361" s="1" t="n">
        <v>45435.94553240741</v>
      </c>
      <c r="C361" s="1" t="n">
        <v>45917</v>
      </c>
      <c r="D361" t="inlineStr">
        <is>
          <t>VÄSTERBOTTENS LÄN</t>
        </is>
      </c>
      <c r="E361" t="inlineStr">
        <is>
          <t>VILHELMINA</t>
        </is>
      </c>
      <c r="F361" t="inlineStr">
        <is>
          <t>SCA</t>
        </is>
      </c>
      <c r="G361" t="n">
        <v>3.2</v>
      </c>
      <c r="H361" t="n">
        <v>0</v>
      </c>
      <c r="I361" t="n">
        <v>0</v>
      </c>
      <c r="J361" t="n">
        <v>0</v>
      </c>
      <c r="K361" t="n">
        <v>0</v>
      </c>
      <c r="L361" t="n">
        <v>0</v>
      </c>
      <c r="M361" t="n">
        <v>0</v>
      </c>
      <c r="N361" t="n">
        <v>0</v>
      </c>
      <c r="O361" t="n">
        <v>0</v>
      </c>
      <c r="P361" t="n">
        <v>0</v>
      </c>
      <c r="Q361" t="n">
        <v>0</v>
      </c>
      <c r="R361" s="2" t="inlineStr"/>
    </row>
    <row r="362" ht="15" customHeight="1">
      <c r="A362" t="inlineStr">
        <is>
          <t>A 29203-2025</t>
        </is>
      </c>
      <c r="B362" s="1" t="n">
        <v>45823</v>
      </c>
      <c r="C362" s="1" t="n">
        <v>45917</v>
      </c>
      <c r="D362" t="inlineStr">
        <is>
          <t>VÄSTERBOTTENS LÄN</t>
        </is>
      </c>
      <c r="E362" t="inlineStr">
        <is>
          <t>VILHELMINA</t>
        </is>
      </c>
      <c r="G362" t="n">
        <v>2.3</v>
      </c>
      <c r="H362" t="n">
        <v>0</v>
      </c>
      <c r="I362" t="n">
        <v>0</v>
      </c>
      <c r="J362" t="n">
        <v>0</v>
      </c>
      <c r="K362" t="n">
        <v>0</v>
      </c>
      <c r="L362" t="n">
        <v>0</v>
      </c>
      <c r="M362" t="n">
        <v>0</v>
      </c>
      <c r="N362" t="n">
        <v>0</v>
      </c>
      <c r="O362" t="n">
        <v>0</v>
      </c>
      <c r="P362" t="n">
        <v>0</v>
      </c>
      <c r="Q362" t="n">
        <v>0</v>
      </c>
      <c r="R362" s="2" t="inlineStr"/>
    </row>
    <row r="363" ht="15" customHeight="1">
      <c r="A363" t="inlineStr">
        <is>
          <t>A 33318-2024</t>
        </is>
      </c>
      <c r="B363" s="1" t="n">
        <v>45518.97211805556</v>
      </c>
      <c r="C363" s="1" t="n">
        <v>45917</v>
      </c>
      <c r="D363" t="inlineStr">
        <is>
          <t>VÄSTERBOTTENS LÄN</t>
        </is>
      </c>
      <c r="E363" t="inlineStr">
        <is>
          <t>VILHELMINA</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33321-2024</t>
        </is>
      </c>
      <c r="B364" s="1" t="n">
        <v>45518.97256944444</v>
      </c>
      <c r="C364" s="1" t="n">
        <v>45917</v>
      </c>
      <c r="D364" t="inlineStr">
        <is>
          <t>VÄSTERBOTTENS LÄN</t>
        </is>
      </c>
      <c r="E364" t="inlineStr">
        <is>
          <t>VILHELMINA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32455-2024</t>
        </is>
      </c>
      <c r="B365" s="1" t="n">
        <v>45512.95870370371</v>
      </c>
      <c r="C365" s="1" t="n">
        <v>45917</v>
      </c>
      <c r="D365" t="inlineStr">
        <is>
          <t>VÄSTERBOTTENS LÄN</t>
        </is>
      </c>
      <c r="E365" t="inlineStr">
        <is>
          <t>VILHELMINA</t>
        </is>
      </c>
      <c r="F365" t="inlineStr">
        <is>
          <t>SCA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15884-2025</t>
        </is>
      </c>
      <c r="B366" s="1" t="n">
        <v>45749</v>
      </c>
      <c r="C366" s="1" t="n">
        <v>45917</v>
      </c>
      <c r="D366" t="inlineStr">
        <is>
          <t>VÄSTERBOTTENS LÄN</t>
        </is>
      </c>
      <c r="E366" t="inlineStr">
        <is>
          <t>VILHELMINA</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29120-2025</t>
        </is>
      </c>
      <c r="B367" s="1" t="n">
        <v>45821</v>
      </c>
      <c r="C367" s="1" t="n">
        <v>45917</v>
      </c>
      <c r="D367" t="inlineStr">
        <is>
          <t>VÄSTERBOTTENS LÄN</t>
        </is>
      </c>
      <c r="E367" t="inlineStr">
        <is>
          <t>VILHELMINA</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62630-2022</t>
        </is>
      </c>
      <c r="B368" s="1" t="n">
        <v>44917</v>
      </c>
      <c r="C368" s="1" t="n">
        <v>45917</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29234-2025</t>
        </is>
      </c>
      <c r="B369" s="1" t="n">
        <v>45824.34478009259</v>
      </c>
      <c r="C369" s="1" t="n">
        <v>45917</v>
      </c>
      <c r="D369" t="inlineStr">
        <is>
          <t>VÄSTERBOTTENS LÄN</t>
        </is>
      </c>
      <c r="E369" t="inlineStr">
        <is>
          <t>VILHELMINA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32655-2021</t>
        </is>
      </c>
      <c r="B370" s="1" t="n">
        <v>44371</v>
      </c>
      <c r="C370" s="1" t="n">
        <v>45917</v>
      </c>
      <c r="D370" t="inlineStr">
        <is>
          <t>VÄSTERBOTTENS LÄN</t>
        </is>
      </c>
      <c r="E370" t="inlineStr">
        <is>
          <t>VILHELMINA</t>
        </is>
      </c>
      <c r="G370" t="n">
        <v>0.2</v>
      </c>
      <c r="H370" t="n">
        <v>0</v>
      </c>
      <c r="I370" t="n">
        <v>0</v>
      </c>
      <c r="J370" t="n">
        <v>0</v>
      </c>
      <c r="K370" t="n">
        <v>0</v>
      </c>
      <c r="L370" t="n">
        <v>0</v>
      </c>
      <c r="M370" t="n">
        <v>0</v>
      </c>
      <c r="N370" t="n">
        <v>0</v>
      </c>
      <c r="O370" t="n">
        <v>0</v>
      </c>
      <c r="P370" t="n">
        <v>0</v>
      </c>
      <c r="Q370" t="n">
        <v>0</v>
      </c>
      <c r="R370" s="2" t="inlineStr"/>
    </row>
    <row r="371" ht="15" customHeight="1">
      <c r="A371" t="inlineStr">
        <is>
          <t>A 29468-2025</t>
        </is>
      </c>
      <c r="B371" s="1" t="n">
        <v>45824.69888888889</v>
      </c>
      <c r="C371" s="1" t="n">
        <v>45917</v>
      </c>
      <c r="D371" t="inlineStr">
        <is>
          <t>VÄSTERBOTTENS LÄN</t>
        </is>
      </c>
      <c r="E371" t="inlineStr">
        <is>
          <t>VILHELMINA</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29466-2025</t>
        </is>
      </c>
      <c r="B372" s="1" t="n">
        <v>45824.69865740741</v>
      </c>
      <c r="C372" s="1" t="n">
        <v>45917</v>
      </c>
      <c r="D372" t="inlineStr">
        <is>
          <t>VÄSTERBOTTENS LÄN</t>
        </is>
      </c>
      <c r="E372" t="inlineStr">
        <is>
          <t>VILHELMINA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26137-2024</t>
        </is>
      </c>
      <c r="B373" s="1" t="n">
        <v>45468</v>
      </c>
      <c r="C373" s="1" t="n">
        <v>45917</v>
      </c>
      <c r="D373" t="inlineStr">
        <is>
          <t>VÄSTERBOTTENS LÄN</t>
        </is>
      </c>
      <c r="E373" t="inlineStr">
        <is>
          <t>VILHELMINA</t>
        </is>
      </c>
      <c r="G373" t="n">
        <v>3.5</v>
      </c>
      <c r="H373" t="n">
        <v>0</v>
      </c>
      <c r="I373" t="n">
        <v>0</v>
      </c>
      <c r="J373" t="n">
        <v>0</v>
      </c>
      <c r="K373" t="n">
        <v>0</v>
      </c>
      <c r="L373" t="n">
        <v>0</v>
      </c>
      <c r="M373" t="n">
        <v>0</v>
      </c>
      <c r="N373" t="n">
        <v>0</v>
      </c>
      <c r="O373" t="n">
        <v>0</v>
      </c>
      <c r="P373" t="n">
        <v>0</v>
      </c>
      <c r="Q373" t="n">
        <v>0</v>
      </c>
      <c r="R373" s="2" t="inlineStr"/>
    </row>
    <row r="374" ht="15" customHeight="1">
      <c r="A374" t="inlineStr">
        <is>
          <t>A 29940-2025</t>
        </is>
      </c>
      <c r="B374" s="1" t="n">
        <v>45826.45104166667</v>
      </c>
      <c r="C374" s="1" t="n">
        <v>45917</v>
      </c>
      <c r="D374" t="inlineStr">
        <is>
          <t>VÄSTERBOTTENS LÄN</t>
        </is>
      </c>
      <c r="E374" t="inlineStr">
        <is>
          <t>VILHELMINA</t>
        </is>
      </c>
      <c r="F374" t="inlineStr">
        <is>
          <t>Sveaskog</t>
        </is>
      </c>
      <c r="G374" t="n">
        <v>11.6</v>
      </c>
      <c r="H374" t="n">
        <v>0</v>
      </c>
      <c r="I374" t="n">
        <v>0</v>
      </c>
      <c r="J374" t="n">
        <v>0</v>
      </c>
      <c r="K374" t="n">
        <v>0</v>
      </c>
      <c r="L374" t="n">
        <v>0</v>
      </c>
      <c r="M374" t="n">
        <v>0</v>
      </c>
      <c r="N374" t="n">
        <v>0</v>
      </c>
      <c r="O374" t="n">
        <v>0</v>
      </c>
      <c r="P374" t="n">
        <v>0</v>
      </c>
      <c r="Q374" t="n">
        <v>0</v>
      </c>
      <c r="R374" s="2" t="inlineStr"/>
    </row>
    <row r="375" ht="15" customHeight="1">
      <c r="A375" t="inlineStr">
        <is>
          <t>A 16626-2024</t>
        </is>
      </c>
      <c r="B375" s="1" t="n">
        <v>45408</v>
      </c>
      <c r="C375" s="1" t="n">
        <v>45917</v>
      </c>
      <c r="D375" t="inlineStr">
        <is>
          <t>VÄSTERBOTTENS LÄN</t>
        </is>
      </c>
      <c r="E375" t="inlineStr">
        <is>
          <t>VILHELMINA</t>
        </is>
      </c>
      <c r="G375" t="n">
        <v>15.5</v>
      </c>
      <c r="H375" t="n">
        <v>0</v>
      </c>
      <c r="I375" t="n">
        <v>0</v>
      </c>
      <c r="J375" t="n">
        <v>0</v>
      </c>
      <c r="K375" t="n">
        <v>0</v>
      </c>
      <c r="L375" t="n">
        <v>0</v>
      </c>
      <c r="M375" t="n">
        <v>0</v>
      </c>
      <c r="N375" t="n">
        <v>0</v>
      </c>
      <c r="O375" t="n">
        <v>0</v>
      </c>
      <c r="P375" t="n">
        <v>0</v>
      </c>
      <c r="Q375" t="n">
        <v>0</v>
      </c>
      <c r="R375" s="2" t="inlineStr"/>
    </row>
    <row r="376" ht="15" customHeight="1">
      <c r="A376" t="inlineStr">
        <is>
          <t>A 2043-2023</t>
        </is>
      </c>
      <c r="B376" s="1" t="n">
        <v>44939</v>
      </c>
      <c r="C376" s="1" t="n">
        <v>45917</v>
      </c>
      <c r="D376" t="inlineStr">
        <is>
          <t>VÄSTERBOTTENS LÄN</t>
        </is>
      </c>
      <c r="E376" t="inlineStr">
        <is>
          <t>VILHELMINA</t>
        </is>
      </c>
      <c r="F376" t="inlineStr">
        <is>
          <t>Sveaskog</t>
        </is>
      </c>
      <c r="G376" t="n">
        <v>10.5</v>
      </c>
      <c r="H376" t="n">
        <v>0</v>
      </c>
      <c r="I376" t="n">
        <v>0</v>
      </c>
      <c r="J376" t="n">
        <v>0</v>
      </c>
      <c r="K376" t="n">
        <v>0</v>
      </c>
      <c r="L376" t="n">
        <v>0</v>
      </c>
      <c r="M376" t="n">
        <v>0</v>
      </c>
      <c r="N376" t="n">
        <v>0</v>
      </c>
      <c r="O376" t="n">
        <v>0</v>
      </c>
      <c r="P376" t="n">
        <v>0</v>
      </c>
      <c r="Q376" t="n">
        <v>0</v>
      </c>
      <c r="R376" s="2" t="inlineStr"/>
    </row>
    <row r="377" ht="15" customHeight="1">
      <c r="A377" t="inlineStr">
        <is>
          <t>A 29942-2025</t>
        </is>
      </c>
      <c r="B377" s="1" t="n">
        <v>45826.45702546297</v>
      </c>
      <c r="C377" s="1" t="n">
        <v>45917</v>
      </c>
      <c r="D377" t="inlineStr">
        <is>
          <t>VÄSTERBOTTENS LÄN</t>
        </is>
      </c>
      <c r="E377" t="inlineStr">
        <is>
          <t>VILHELMINA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19506-2025</t>
        </is>
      </c>
      <c r="B378" s="1" t="n">
        <v>45770</v>
      </c>
      <c r="C378" s="1" t="n">
        <v>45917</v>
      </c>
      <c r="D378" t="inlineStr">
        <is>
          <t>VÄSTERBOTTENS LÄN</t>
        </is>
      </c>
      <c r="E378" t="inlineStr">
        <is>
          <t>VILHELMINA</t>
        </is>
      </c>
      <c r="G378" t="n">
        <v>22.4</v>
      </c>
      <c r="H378" t="n">
        <v>0</v>
      </c>
      <c r="I378" t="n">
        <v>0</v>
      </c>
      <c r="J378" t="n">
        <v>0</v>
      </c>
      <c r="K378" t="n">
        <v>0</v>
      </c>
      <c r="L378" t="n">
        <v>0</v>
      </c>
      <c r="M378" t="n">
        <v>0</v>
      </c>
      <c r="N378" t="n">
        <v>0</v>
      </c>
      <c r="O378" t="n">
        <v>0</v>
      </c>
      <c r="P378" t="n">
        <v>0</v>
      </c>
      <c r="Q378" t="n">
        <v>0</v>
      </c>
      <c r="R378" s="2" t="inlineStr"/>
    </row>
    <row r="379" ht="15" customHeight="1">
      <c r="A379" t="inlineStr">
        <is>
          <t>A 55870-2022</t>
        </is>
      </c>
      <c r="B379" s="1" t="n">
        <v>44888</v>
      </c>
      <c r="C379" s="1" t="n">
        <v>45917</v>
      </c>
      <c r="D379" t="inlineStr">
        <is>
          <t>VÄSTERBOTTENS LÄN</t>
        </is>
      </c>
      <c r="E379" t="inlineStr">
        <is>
          <t>VILHELMINA</t>
        </is>
      </c>
      <c r="G379" t="n">
        <v>13.6</v>
      </c>
      <c r="H379" t="n">
        <v>0</v>
      </c>
      <c r="I379" t="n">
        <v>0</v>
      </c>
      <c r="J379" t="n">
        <v>0</v>
      </c>
      <c r="K379" t="n">
        <v>0</v>
      </c>
      <c r="L379" t="n">
        <v>0</v>
      </c>
      <c r="M379" t="n">
        <v>0</v>
      </c>
      <c r="N379" t="n">
        <v>0</v>
      </c>
      <c r="O379" t="n">
        <v>0</v>
      </c>
      <c r="P379" t="n">
        <v>0</v>
      </c>
      <c r="Q379" t="n">
        <v>0</v>
      </c>
      <c r="R379" s="2" t="inlineStr"/>
    </row>
    <row r="380" ht="15" customHeight="1">
      <c r="A380" t="inlineStr">
        <is>
          <t>A 44368-2024</t>
        </is>
      </c>
      <c r="B380" s="1" t="n">
        <v>45573</v>
      </c>
      <c r="C380" s="1" t="n">
        <v>45917</v>
      </c>
      <c r="D380" t="inlineStr">
        <is>
          <t>VÄSTERBOTTENS LÄN</t>
        </is>
      </c>
      <c r="E380" t="inlineStr">
        <is>
          <t>VILHELMINA</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26553-2023</t>
        </is>
      </c>
      <c r="B381" s="1" t="n">
        <v>45089</v>
      </c>
      <c r="C381" s="1" t="n">
        <v>45917</v>
      </c>
      <c r="D381" t="inlineStr">
        <is>
          <t>VÄSTERBOTTENS LÄN</t>
        </is>
      </c>
      <c r="E381" t="inlineStr">
        <is>
          <t>VILHELMINA</t>
        </is>
      </c>
      <c r="G381" t="n">
        <v>5.5</v>
      </c>
      <c r="H381" t="n">
        <v>0</v>
      </c>
      <c r="I381" t="n">
        <v>0</v>
      </c>
      <c r="J381" t="n">
        <v>0</v>
      </c>
      <c r="K381" t="n">
        <v>0</v>
      </c>
      <c r="L381" t="n">
        <v>0</v>
      </c>
      <c r="M381" t="n">
        <v>0</v>
      </c>
      <c r="N381" t="n">
        <v>0</v>
      </c>
      <c r="O381" t="n">
        <v>0</v>
      </c>
      <c r="P381" t="n">
        <v>0</v>
      </c>
      <c r="Q381" t="n">
        <v>0</v>
      </c>
      <c r="R381" s="2" t="inlineStr"/>
    </row>
    <row r="382" ht="15" customHeight="1">
      <c r="A382" t="inlineStr">
        <is>
          <t>A 32921-2024</t>
        </is>
      </c>
      <c r="B382" s="1" t="n">
        <v>45516.9525462963</v>
      </c>
      <c r="C382" s="1" t="n">
        <v>45917</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25701-2024</t>
        </is>
      </c>
      <c r="B383" s="1" t="n">
        <v>45463.94247685185</v>
      </c>
      <c r="C383" s="1" t="n">
        <v>45917</v>
      </c>
      <c r="D383" t="inlineStr">
        <is>
          <t>VÄSTERBOTTENS LÄN</t>
        </is>
      </c>
      <c r="E383" t="inlineStr">
        <is>
          <t>VILHELMINA</t>
        </is>
      </c>
      <c r="F383" t="inlineStr">
        <is>
          <t>SCA</t>
        </is>
      </c>
      <c r="G383" t="n">
        <v>8.6</v>
      </c>
      <c r="H383" t="n">
        <v>0</v>
      </c>
      <c r="I383" t="n">
        <v>0</v>
      </c>
      <c r="J383" t="n">
        <v>0</v>
      </c>
      <c r="K383" t="n">
        <v>0</v>
      </c>
      <c r="L383" t="n">
        <v>0</v>
      </c>
      <c r="M383" t="n">
        <v>0</v>
      </c>
      <c r="N383" t="n">
        <v>0</v>
      </c>
      <c r="O383" t="n">
        <v>0</v>
      </c>
      <c r="P383" t="n">
        <v>0</v>
      </c>
      <c r="Q383" t="n">
        <v>0</v>
      </c>
      <c r="R383" s="2" t="inlineStr"/>
    </row>
    <row r="384" ht="15" customHeight="1">
      <c r="A384" t="inlineStr">
        <is>
          <t>A 41484-2022</t>
        </is>
      </c>
      <c r="B384" s="1" t="n">
        <v>44826</v>
      </c>
      <c r="C384" s="1" t="n">
        <v>45917</v>
      </c>
      <c r="D384" t="inlineStr">
        <is>
          <t>VÄSTERBOTTENS LÄN</t>
        </is>
      </c>
      <c r="E384" t="inlineStr">
        <is>
          <t>VILHELMINA</t>
        </is>
      </c>
      <c r="F384" t="inlineStr">
        <is>
          <t>SCA</t>
        </is>
      </c>
      <c r="G384" t="n">
        <v>18.1</v>
      </c>
      <c r="H384" t="n">
        <v>0</v>
      </c>
      <c r="I384" t="n">
        <v>0</v>
      </c>
      <c r="J384" t="n">
        <v>0</v>
      </c>
      <c r="K384" t="n">
        <v>0</v>
      </c>
      <c r="L384" t="n">
        <v>0</v>
      </c>
      <c r="M384" t="n">
        <v>0</v>
      </c>
      <c r="N384" t="n">
        <v>0</v>
      </c>
      <c r="O384" t="n">
        <v>0</v>
      </c>
      <c r="P384" t="n">
        <v>0</v>
      </c>
      <c r="Q384" t="n">
        <v>0</v>
      </c>
      <c r="R384" s="2" t="inlineStr"/>
    </row>
    <row r="385" ht="15" customHeight="1">
      <c r="A385" t="inlineStr">
        <is>
          <t>A 30553-2025</t>
        </is>
      </c>
      <c r="B385" s="1" t="n">
        <v>45831.38579861111</v>
      </c>
      <c r="C385" s="1" t="n">
        <v>45917</v>
      </c>
      <c r="D385" t="inlineStr">
        <is>
          <t>VÄSTERBOTTENS LÄN</t>
        </is>
      </c>
      <c r="E385" t="inlineStr">
        <is>
          <t>VILHELMINA</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47253-2022</t>
        </is>
      </c>
      <c r="B386" s="1" t="n">
        <v>44852</v>
      </c>
      <c r="C386" s="1" t="n">
        <v>45917</v>
      </c>
      <c r="D386" t="inlineStr">
        <is>
          <t>VÄSTERBOTTENS LÄN</t>
        </is>
      </c>
      <c r="E386" t="inlineStr">
        <is>
          <t>VILHELMINA</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43987-2024</t>
        </is>
      </c>
      <c r="B387" s="1" t="n">
        <v>45572.51092592593</v>
      </c>
      <c r="C387" s="1" t="n">
        <v>45917</v>
      </c>
      <c r="D387" t="inlineStr">
        <is>
          <t>VÄSTERBOTTENS LÄN</t>
        </is>
      </c>
      <c r="E387" t="inlineStr">
        <is>
          <t>VILHELMINA</t>
        </is>
      </c>
      <c r="F387" t="inlineStr">
        <is>
          <t>SCA</t>
        </is>
      </c>
      <c r="G387" t="n">
        <v>5.3</v>
      </c>
      <c r="H387" t="n">
        <v>0</v>
      </c>
      <c r="I387" t="n">
        <v>0</v>
      </c>
      <c r="J387" t="n">
        <v>0</v>
      </c>
      <c r="K387" t="n">
        <v>0</v>
      </c>
      <c r="L387" t="n">
        <v>0</v>
      </c>
      <c r="M387" t="n">
        <v>0</v>
      </c>
      <c r="N387" t="n">
        <v>0</v>
      </c>
      <c r="O387" t="n">
        <v>0</v>
      </c>
      <c r="P387" t="n">
        <v>0</v>
      </c>
      <c r="Q387" t="n">
        <v>0</v>
      </c>
      <c r="R387" s="2" t="inlineStr"/>
    </row>
    <row r="388" ht="15" customHeight="1">
      <c r="A388" t="inlineStr">
        <is>
          <t>A 6653-2021</t>
        </is>
      </c>
      <c r="B388" s="1" t="n">
        <v>44235</v>
      </c>
      <c r="C388" s="1" t="n">
        <v>45917</v>
      </c>
      <c r="D388" t="inlineStr">
        <is>
          <t>VÄSTERBOTTENS LÄN</t>
        </is>
      </c>
      <c r="E388" t="inlineStr">
        <is>
          <t>VILHELMINA</t>
        </is>
      </c>
      <c r="G388" t="n">
        <v>18</v>
      </c>
      <c r="H388" t="n">
        <v>0</v>
      </c>
      <c r="I388" t="n">
        <v>0</v>
      </c>
      <c r="J388" t="n">
        <v>0</v>
      </c>
      <c r="K388" t="n">
        <v>0</v>
      </c>
      <c r="L388" t="n">
        <v>0</v>
      </c>
      <c r="M388" t="n">
        <v>0</v>
      </c>
      <c r="N388" t="n">
        <v>0</v>
      </c>
      <c r="O388" t="n">
        <v>0</v>
      </c>
      <c r="P388" t="n">
        <v>0</v>
      </c>
      <c r="Q388" t="n">
        <v>0</v>
      </c>
      <c r="R388" s="2" t="inlineStr"/>
    </row>
    <row r="389" ht="15" customHeight="1">
      <c r="A389" t="inlineStr">
        <is>
          <t>A 6669-2021</t>
        </is>
      </c>
      <c r="B389" s="1" t="n">
        <v>44235</v>
      </c>
      <c r="C389" s="1" t="n">
        <v>45917</v>
      </c>
      <c r="D389" t="inlineStr">
        <is>
          <t>VÄSTERBOTTENS LÄN</t>
        </is>
      </c>
      <c r="E389" t="inlineStr">
        <is>
          <t>VILHELMINA</t>
        </is>
      </c>
      <c r="G389" t="n">
        <v>19.8</v>
      </c>
      <c r="H389" t="n">
        <v>0</v>
      </c>
      <c r="I389" t="n">
        <v>0</v>
      </c>
      <c r="J389" t="n">
        <v>0</v>
      </c>
      <c r="K389" t="n">
        <v>0</v>
      </c>
      <c r="L389" t="n">
        <v>0</v>
      </c>
      <c r="M389" t="n">
        <v>0</v>
      </c>
      <c r="N389" t="n">
        <v>0</v>
      </c>
      <c r="O389" t="n">
        <v>0</v>
      </c>
      <c r="P389" t="n">
        <v>0</v>
      </c>
      <c r="Q389" t="n">
        <v>0</v>
      </c>
      <c r="R389" s="2" t="inlineStr"/>
    </row>
    <row r="390" ht="15" customHeight="1">
      <c r="A390" t="inlineStr">
        <is>
          <t>A 664-2022</t>
        </is>
      </c>
      <c r="B390" s="1" t="n">
        <v>44568</v>
      </c>
      <c r="C390" s="1" t="n">
        <v>45917</v>
      </c>
      <c r="D390" t="inlineStr">
        <is>
          <t>VÄSTERBOTTENS LÄN</t>
        </is>
      </c>
      <c r="E390" t="inlineStr">
        <is>
          <t>VILHELMINA</t>
        </is>
      </c>
      <c r="G390" t="n">
        <v>1.8</v>
      </c>
      <c r="H390" t="n">
        <v>0</v>
      </c>
      <c r="I390" t="n">
        <v>0</v>
      </c>
      <c r="J390" t="n">
        <v>0</v>
      </c>
      <c r="K390" t="n">
        <v>0</v>
      </c>
      <c r="L390" t="n">
        <v>0</v>
      </c>
      <c r="M390" t="n">
        <v>0</v>
      </c>
      <c r="N390" t="n">
        <v>0</v>
      </c>
      <c r="O390" t="n">
        <v>0</v>
      </c>
      <c r="P390" t="n">
        <v>0</v>
      </c>
      <c r="Q390" t="n">
        <v>0</v>
      </c>
      <c r="R390" s="2" t="inlineStr"/>
    </row>
    <row r="391" ht="15" customHeight="1">
      <c r="A391" t="inlineStr">
        <is>
          <t>A 34762-2024</t>
        </is>
      </c>
      <c r="B391" s="1" t="n">
        <v>45526.61637731481</v>
      </c>
      <c r="C391" s="1" t="n">
        <v>45917</v>
      </c>
      <c r="D391" t="inlineStr">
        <is>
          <t>VÄSTERBOTTENS LÄN</t>
        </is>
      </c>
      <c r="E391" t="inlineStr">
        <is>
          <t>VILHELMINA</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11538-2024</t>
        </is>
      </c>
      <c r="B392" s="1" t="n">
        <v>45372</v>
      </c>
      <c r="C392" s="1" t="n">
        <v>45917</v>
      </c>
      <c r="D392" t="inlineStr">
        <is>
          <t>VÄSTERBOTTENS LÄN</t>
        </is>
      </c>
      <c r="E392" t="inlineStr">
        <is>
          <t>VILHELMINA</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47011-2024</t>
        </is>
      </c>
      <c r="B393" s="1" t="n">
        <v>45586.38592592593</v>
      </c>
      <c r="C393" s="1" t="n">
        <v>45917</v>
      </c>
      <c r="D393" t="inlineStr">
        <is>
          <t>VÄSTERBOTTENS LÄN</t>
        </is>
      </c>
      <c r="E393" t="inlineStr">
        <is>
          <t>VILHELMINA</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30746-2025</t>
        </is>
      </c>
      <c r="B394" s="1" t="n">
        <v>45831.58256944444</v>
      </c>
      <c r="C394" s="1" t="n">
        <v>45917</v>
      </c>
      <c r="D394" t="inlineStr">
        <is>
          <t>VÄSTERBOTTENS LÄN</t>
        </is>
      </c>
      <c r="E394" t="inlineStr">
        <is>
          <t>VILHELMINA</t>
        </is>
      </c>
      <c r="G394" t="n">
        <v>5.7</v>
      </c>
      <c r="H394" t="n">
        <v>0</v>
      </c>
      <c r="I394" t="n">
        <v>0</v>
      </c>
      <c r="J394" t="n">
        <v>0</v>
      </c>
      <c r="K394" t="n">
        <v>0</v>
      </c>
      <c r="L394" t="n">
        <v>0</v>
      </c>
      <c r="M394" t="n">
        <v>0</v>
      </c>
      <c r="N394" t="n">
        <v>0</v>
      </c>
      <c r="O394" t="n">
        <v>0</v>
      </c>
      <c r="P394" t="n">
        <v>0</v>
      </c>
      <c r="Q394" t="n">
        <v>0</v>
      </c>
      <c r="R394" s="2" t="inlineStr"/>
    </row>
    <row r="395" ht="15" customHeight="1">
      <c r="A395" t="inlineStr">
        <is>
          <t>A 35409-2024</t>
        </is>
      </c>
      <c r="B395" s="1" t="n">
        <v>45531</v>
      </c>
      <c r="C395" s="1" t="n">
        <v>45917</v>
      </c>
      <c r="D395" t="inlineStr">
        <is>
          <t>VÄSTERBOTTENS LÄN</t>
        </is>
      </c>
      <c r="E395" t="inlineStr">
        <is>
          <t>VILHELMINA</t>
        </is>
      </c>
      <c r="F395" t="inlineStr">
        <is>
          <t>SCA</t>
        </is>
      </c>
      <c r="G395" t="n">
        <v>13.1</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45917</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38125-2024</t>
        </is>
      </c>
      <c r="B397" s="1" t="n">
        <v>45545.40717592592</v>
      </c>
      <c r="C397" s="1" t="n">
        <v>45917</v>
      </c>
      <c r="D397" t="inlineStr">
        <is>
          <t>VÄSTERBOTTENS LÄN</t>
        </is>
      </c>
      <c r="E397" t="inlineStr">
        <is>
          <t>VILHELMINA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38126-2024</t>
        </is>
      </c>
      <c r="B398" s="1" t="n">
        <v>45545</v>
      </c>
      <c r="C398" s="1" t="n">
        <v>45917</v>
      </c>
      <c r="D398" t="inlineStr">
        <is>
          <t>VÄSTERBOTTENS LÄN</t>
        </is>
      </c>
      <c r="E398" t="inlineStr">
        <is>
          <t>VILHELMINA</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38130-2024</t>
        </is>
      </c>
      <c r="B399" s="1" t="n">
        <v>45545</v>
      </c>
      <c r="C399" s="1" t="n">
        <v>45917</v>
      </c>
      <c r="D399" t="inlineStr">
        <is>
          <t>VÄSTERBOTTENS LÄN</t>
        </is>
      </c>
      <c r="E399" t="inlineStr">
        <is>
          <t>VILHELMINA</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35412-2024</t>
        </is>
      </c>
      <c r="B400" s="1" t="n">
        <v>45531.4075</v>
      </c>
      <c r="C400" s="1" t="n">
        <v>45917</v>
      </c>
      <c r="D400" t="inlineStr">
        <is>
          <t>VÄSTERBOTTENS LÄN</t>
        </is>
      </c>
      <c r="E400" t="inlineStr">
        <is>
          <t>VILHELMINA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14961-2022</t>
        </is>
      </c>
      <c r="B401" s="1" t="n">
        <v>44657</v>
      </c>
      <c r="C401" s="1" t="n">
        <v>45917</v>
      </c>
      <c r="D401" t="inlineStr">
        <is>
          <t>VÄSTERBOTTENS LÄN</t>
        </is>
      </c>
      <c r="E401" t="inlineStr">
        <is>
          <t>VILHELMINA</t>
        </is>
      </c>
      <c r="G401" t="n">
        <v>19.9</v>
      </c>
      <c r="H401" t="n">
        <v>0</v>
      </c>
      <c r="I401" t="n">
        <v>0</v>
      </c>
      <c r="J401" t="n">
        <v>0</v>
      </c>
      <c r="K401" t="n">
        <v>0</v>
      </c>
      <c r="L401" t="n">
        <v>0</v>
      </c>
      <c r="M401" t="n">
        <v>0</v>
      </c>
      <c r="N401" t="n">
        <v>0</v>
      </c>
      <c r="O401" t="n">
        <v>0</v>
      </c>
      <c r="P401" t="n">
        <v>0</v>
      </c>
      <c r="Q401" t="n">
        <v>0</v>
      </c>
      <c r="R401" s="2" t="inlineStr"/>
    </row>
    <row r="402" ht="15" customHeight="1">
      <c r="A402" t="inlineStr">
        <is>
          <t>A 39670-2024</t>
        </is>
      </c>
      <c r="B402" s="1" t="n">
        <v>45552.5315162037</v>
      </c>
      <c r="C402" s="1" t="n">
        <v>45917</v>
      </c>
      <c r="D402" t="inlineStr">
        <is>
          <t>VÄSTERBOTTENS LÄN</t>
        </is>
      </c>
      <c r="E402" t="inlineStr">
        <is>
          <t>VILHELMINA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44634-2024</t>
        </is>
      </c>
      <c r="B403" s="1" t="n">
        <v>45574</v>
      </c>
      <c r="C403" s="1" t="n">
        <v>45917</v>
      </c>
      <c r="D403" t="inlineStr">
        <is>
          <t>VÄSTERBOTTENS LÄN</t>
        </is>
      </c>
      <c r="E403" t="inlineStr">
        <is>
          <t>VILHELMINA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64254-2020</t>
        </is>
      </c>
      <c r="B404" s="1" t="n">
        <v>44168</v>
      </c>
      <c r="C404" s="1" t="n">
        <v>45917</v>
      </c>
      <c r="D404" t="inlineStr">
        <is>
          <t>VÄSTERBOTTENS LÄN</t>
        </is>
      </c>
      <c r="E404" t="inlineStr">
        <is>
          <t>VILHELMINA</t>
        </is>
      </c>
      <c r="G404" t="n">
        <v>17.6</v>
      </c>
      <c r="H404" t="n">
        <v>0</v>
      </c>
      <c r="I404" t="n">
        <v>0</v>
      </c>
      <c r="J404" t="n">
        <v>0</v>
      </c>
      <c r="K404" t="n">
        <v>0</v>
      </c>
      <c r="L404" t="n">
        <v>0</v>
      </c>
      <c r="M404" t="n">
        <v>0</v>
      </c>
      <c r="N404" t="n">
        <v>0</v>
      </c>
      <c r="O404" t="n">
        <v>0</v>
      </c>
      <c r="P404" t="n">
        <v>0</v>
      </c>
      <c r="Q404" t="n">
        <v>0</v>
      </c>
      <c r="R404" s="2" t="inlineStr"/>
    </row>
    <row r="405" ht="15" customHeight="1">
      <c r="A405" t="inlineStr">
        <is>
          <t>A 31724-2025</t>
        </is>
      </c>
      <c r="B405" s="1" t="n">
        <v>45834</v>
      </c>
      <c r="C405" s="1" t="n">
        <v>45917</v>
      </c>
      <c r="D405" t="inlineStr">
        <is>
          <t>VÄSTERBOTTENS LÄN</t>
        </is>
      </c>
      <c r="E405" t="inlineStr">
        <is>
          <t>VILHELMINA</t>
        </is>
      </c>
      <c r="G405" t="n">
        <v>19.7</v>
      </c>
      <c r="H405" t="n">
        <v>0</v>
      </c>
      <c r="I405" t="n">
        <v>0</v>
      </c>
      <c r="J405" t="n">
        <v>0</v>
      </c>
      <c r="K405" t="n">
        <v>0</v>
      </c>
      <c r="L405" t="n">
        <v>0</v>
      </c>
      <c r="M405" t="n">
        <v>0</v>
      </c>
      <c r="N405" t="n">
        <v>0</v>
      </c>
      <c r="O405" t="n">
        <v>0</v>
      </c>
      <c r="P405" t="n">
        <v>0</v>
      </c>
      <c r="Q405" t="n">
        <v>0</v>
      </c>
      <c r="R405" s="2" t="inlineStr"/>
    </row>
    <row r="406" ht="15" customHeight="1">
      <c r="A406" t="inlineStr">
        <is>
          <t>A 31730-2025</t>
        </is>
      </c>
      <c r="B406" s="1" t="n">
        <v>45834</v>
      </c>
      <c r="C406" s="1" t="n">
        <v>45917</v>
      </c>
      <c r="D406" t="inlineStr">
        <is>
          <t>VÄSTERBOTTENS LÄN</t>
        </is>
      </c>
      <c r="E406" t="inlineStr">
        <is>
          <t>VILHELMINA</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22457-2025</t>
        </is>
      </c>
      <c r="B407" s="1" t="n">
        <v>45786</v>
      </c>
      <c r="C407" s="1" t="n">
        <v>45917</v>
      </c>
      <c r="D407" t="inlineStr">
        <is>
          <t>VÄSTERBOTTENS LÄN</t>
        </is>
      </c>
      <c r="E407" t="inlineStr">
        <is>
          <t>VILHELMINA</t>
        </is>
      </c>
      <c r="G407" t="n">
        <v>10.8</v>
      </c>
      <c r="H407" t="n">
        <v>0</v>
      </c>
      <c r="I407" t="n">
        <v>0</v>
      </c>
      <c r="J407" t="n">
        <v>0</v>
      </c>
      <c r="K407" t="n">
        <v>0</v>
      </c>
      <c r="L407" t="n">
        <v>0</v>
      </c>
      <c r="M407" t="n">
        <v>0</v>
      </c>
      <c r="N407" t="n">
        <v>0</v>
      </c>
      <c r="O407" t="n">
        <v>0</v>
      </c>
      <c r="P407" t="n">
        <v>0</v>
      </c>
      <c r="Q407" t="n">
        <v>0</v>
      </c>
      <c r="R407" s="2" t="inlineStr"/>
    </row>
    <row r="408" ht="15" customHeight="1">
      <c r="A408" t="inlineStr">
        <is>
          <t>A 31307-2025</t>
        </is>
      </c>
      <c r="B408" s="1" t="n">
        <v>45833</v>
      </c>
      <c r="C408" s="1" t="n">
        <v>45917</v>
      </c>
      <c r="D408" t="inlineStr">
        <is>
          <t>VÄSTERBOTTENS LÄN</t>
        </is>
      </c>
      <c r="E408" t="inlineStr">
        <is>
          <t>VILHELMINA</t>
        </is>
      </c>
      <c r="G408" t="n">
        <v>9.9</v>
      </c>
      <c r="H408" t="n">
        <v>0</v>
      </c>
      <c r="I408" t="n">
        <v>0</v>
      </c>
      <c r="J408" t="n">
        <v>0</v>
      </c>
      <c r="K408" t="n">
        <v>0</v>
      </c>
      <c r="L408" t="n">
        <v>0</v>
      </c>
      <c r="M408" t="n">
        <v>0</v>
      </c>
      <c r="N408" t="n">
        <v>0</v>
      </c>
      <c r="O408" t="n">
        <v>0</v>
      </c>
      <c r="P408" t="n">
        <v>0</v>
      </c>
      <c r="Q408" t="n">
        <v>0</v>
      </c>
      <c r="R408" s="2" t="inlineStr"/>
    </row>
    <row r="409" ht="15" customHeight="1">
      <c r="A409" t="inlineStr">
        <is>
          <t>A 66952-2021</t>
        </is>
      </c>
      <c r="B409" s="1" t="n">
        <v>44522</v>
      </c>
      <c r="C409" s="1" t="n">
        <v>45917</v>
      </c>
      <c r="D409" t="inlineStr">
        <is>
          <t>VÄSTERBOTTENS LÄN</t>
        </is>
      </c>
      <c r="E409" t="inlineStr">
        <is>
          <t>VILHELMINA</t>
        </is>
      </c>
      <c r="F409" t="inlineStr">
        <is>
          <t>Allmännings- och besparingsskogar</t>
        </is>
      </c>
      <c r="G409" t="n">
        <v>70</v>
      </c>
      <c r="H409" t="n">
        <v>0</v>
      </c>
      <c r="I409" t="n">
        <v>0</v>
      </c>
      <c r="J409" t="n">
        <v>0</v>
      </c>
      <c r="K409" t="n">
        <v>0</v>
      </c>
      <c r="L409" t="n">
        <v>0</v>
      </c>
      <c r="M409" t="n">
        <v>0</v>
      </c>
      <c r="N409" t="n">
        <v>0</v>
      </c>
      <c r="O409" t="n">
        <v>0</v>
      </c>
      <c r="P409" t="n">
        <v>0</v>
      </c>
      <c r="Q409" t="n">
        <v>0</v>
      </c>
      <c r="R409" s="2" t="inlineStr"/>
    </row>
    <row r="410" ht="15" customHeight="1">
      <c r="A410" t="inlineStr">
        <is>
          <t>A 37514-2024</t>
        </is>
      </c>
      <c r="B410" s="1" t="n">
        <v>45541.38586805556</v>
      </c>
      <c r="C410" s="1" t="n">
        <v>45917</v>
      </c>
      <c r="D410" t="inlineStr">
        <is>
          <t>VÄSTERBOTTENS LÄN</t>
        </is>
      </c>
      <c r="E410" t="inlineStr">
        <is>
          <t>VILHELMINA</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44216.93865740741</v>
      </c>
      <c r="C411" s="1" t="n">
        <v>45917</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31485-2025</t>
        </is>
      </c>
      <c r="B412" s="1" t="n">
        <v>45833</v>
      </c>
      <c r="C412" s="1" t="n">
        <v>45917</v>
      </c>
      <c r="D412" t="inlineStr">
        <is>
          <t>VÄSTERBOTTENS LÄN</t>
        </is>
      </c>
      <c r="E412" t="inlineStr">
        <is>
          <t>VILHELMINA</t>
        </is>
      </c>
      <c r="G412" t="n">
        <v>2.8</v>
      </c>
      <c r="H412" t="n">
        <v>0</v>
      </c>
      <c r="I412" t="n">
        <v>0</v>
      </c>
      <c r="J412" t="n">
        <v>0</v>
      </c>
      <c r="K412" t="n">
        <v>0</v>
      </c>
      <c r="L412" t="n">
        <v>0</v>
      </c>
      <c r="M412" t="n">
        <v>0</v>
      </c>
      <c r="N412" t="n">
        <v>0</v>
      </c>
      <c r="O412" t="n">
        <v>0</v>
      </c>
      <c r="P412" t="n">
        <v>0</v>
      </c>
      <c r="Q412" t="n">
        <v>0</v>
      </c>
      <c r="R412" s="2" t="inlineStr"/>
    </row>
    <row r="413" ht="15" customHeight="1">
      <c r="A413" t="inlineStr">
        <is>
          <t>A 54729-2022</t>
        </is>
      </c>
      <c r="B413" s="1" t="n">
        <v>44881</v>
      </c>
      <c r="C413" s="1" t="n">
        <v>45917</v>
      </c>
      <c r="D413" t="inlineStr">
        <is>
          <t>VÄSTERBOTTENS LÄN</t>
        </is>
      </c>
      <c r="E413" t="inlineStr">
        <is>
          <t>VILHELMINA</t>
        </is>
      </c>
      <c r="G413" t="n">
        <v>19.2</v>
      </c>
      <c r="H413" t="n">
        <v>0</v>
      </c>
      <c r="I413" t="n">
        <v>0</v>
      </c>
      <c r="J413" t="n">
        <v>0</v>
      </c>
      <c r="K413" t="n">
        <v>0</v>
      </c>
      <c r="L413" t="n">
        <v>0</v>
      </c>
      <c r="M413" t="n">
        <v>0</v>
      </c>
      <c r="N413" t="n">
        <v>0</v>
      </c>
      <c r="O413" t="n">
        <v>0</v>
      </c>
      <c r="P413" t="n">
        <v>0</v>
      </c>
      <c r="Q413" t="n">
        <v>0</v>
      </c>
      <c r="R413" s="2" t="inlineStr"/>
    </row>
    <row r="414" ht="15" customHeight="1">
      <c r="A414" t="inlineStr">
        <is>
          <t>A 34807-2023</t>
        </is>
      </c>
      <c r="B414" s="1" t="n">
        <v>45140</v>
      </c>
      <c r="C414" s="1" t="n">
        <v>45917</v>
      </c>
      <c r="D414" t="inlineStr">
        <is>
          <t>VÄSTERBOTTENS LÄN</t>
        </is>
      </c>
      <c r="E414" t="inlineStr">
        <is>
          <t>VILHELMINA</t>
        </is>
      </c>
      <c r="G414" t="n">
        <v>8.1</v>
      </c>
      <c r="H414" t="n">
        <v>0</v>
      </c>
      <c r="I414" t="n">
        <v>0</v>
      </c>
      <c r="J414" t="n">
        <v>0</v>
      </c>
      <c r="K414" t="n">
        <v>0</v>
      </c>
      <c r="L414" t="n">
        <v>0</v>
      </c>
      <c r="M414" t="n">
        <v>0</v>
      </c>
      <c r="N414" t="n">
        <v>0</v>
      </c>
      <c r="O414" t="n">
        <v>0</v>
      </c>
      <c r="P414" t="n">
        <v>0</v>
      </c>
      <c r="Q414" t="n">
        <v>0</v>
      </c>
      <c r="R414" s="2" t="inlineStr"/>
    </row>
    <row r="415" ht="15" customHeight="1">
      <c r="A415" t="inlineStr">
        <is>
          <t>A 31733-2025</t>
        </is>
      </c>
      <c r="B415" s="1" t="n">
        <v>45834.47035879629</v>
      </c>
      <c r="C415" s="1" t="n">
        <v>45917</v>
      </c>
      <c r="D415" t="inlineStr">
        <is>
          <t>VÄSTERBOTTENS LÄN</t>
        </is>
      </c>
      <c r="E415" t="inlineStr">
        <is>
          <t>VILHELMINA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26000-2023</t>
        </is>
      </c>
      <c r="B416" s="1" t="n">
        <v>45090</v>
      </c>
      <c r="C416" s="1" t="n">
        <v>45917</v>
      </c>
      <c r="D416" t="inlineStr">
        <is>
          <t>VÄSTERBOTTENS LÄN</t>
        </is>
      </c>
      <c r="E416" t="inlineStr">
        <is>
          <t>VILHELMINA</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31308-2025</t>
        </is>
      </c>
      <c r="B417" s="1" t="n">
        <v>45833</v>
      </c>
      <c r="C417" s="1" t="n">
        <v>45917</v>
      </c>
      <c r="D417" t="inlineStr">
        <is>
          <t>VÄSTERBOTTENS LÄN</t>
        </is>
      </c>
      <c r="E417" t="inlineStr">
        <is>
          <t>VILHELMINA</t>
        </is>
      </c>
      <c r="G417" t="n">
        <v>3.2</v>
      </c>
      <c r="H417" t="n">
        <v>0</v>
      </c>
      <c r="I417" t="n">
        <v>0</v>
      </c>
      <c r="J417" t="n">
        <v>0</v>
      </c>
      <c r="K417" t="n">
        <v>0</v>
      </c>
      <c r="L417" t="n">
        <v>0</v>
      </c>
      <c r="M417" t="n">
        <v>0</v>
      </c>
      <c r="N417" t="n">
        <v>0</v>
      </c>
      <c r="O417" t="n">
        <v>0</v>
      </c>
      <c r="P417" t="n">
        <v>0</v>
      </c>
      <c r="Q417" t="n">
        <v>0</v>
      </c>
      <c r="R417" s="2" t="inlineStr"/>
    </row>
    <row r="418" ht="15" customHeight="1">
      <c r="A418" t="inlineStr">
        <is>
          <t>A 21370-2024</t>
        </is>
      </c>
      <c r="B418" s="1" t="n">
        <v>45440.95310185185</v>
      </c>
      <c r="C418" s="1" t="n">
        <v>45917</v>
      </c>
      <c r="D418" t="inlineStr">
        <is>
          <t>VÄSTERBOTTENS LÄN</t>
        </is>
      </c>
      <c r="E418" t="inlineStr">
        <is>
          <t>VILHELMINA</t>
        </is>
      </c>
      <c r="F418" t="inlineStr">
        <is>
          <t>SCA</t>
        </is>
      </c>
      <c r="G418" t="n">
        <v>5.2</v>
      </c>
      <c r="H418" t="n">
        <v>0</v>
      </c>
      <c r="I418" t="n">
        <v>0</v>
      </c>
      <c r="J418" t="n">
        <v>0</v>
      </c>
      <c r="K418" t="n">
        <v>0</v>
      </c>
      <c r="L418" t="n">
        <v>0</v>
      </c>
      <c r="M418" t="n">
        <v>0</v>
      </c>
      <c r="N418" t="n">
        <v>0</v>
      </c>
      <c r="O418" t="n">
        <v>0</v>
      </c>
      <c r="P418" t="n">
        <v>0</v>
      </c>
      <c r="Q418" t="n">
        <v>0</v>
      </c>
      <c r="R418" s="2" t="inlineStr"/>
    </row>
    <row r="419" ht="15" customHeight="1">
      <c r="A419" t="inlineStr">
        <is>
          <t>A 19423-2022</t>
        </is>
      </c>
      <c r="B419" s="1" t="n">
        <v>44693.32515046297</v>
      </c>
      <c r="C419" s="1" t="n">
        <v>45917</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64028-2023</t>
        </is>
      </c>
      <c r="B420" s="1" t="n">
        <v>45278.94263888889</v>
      </c>
      <c r="C420" s="1" t="n">
        <v>45917</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37369-2025</t>
        </is>
      </c>
      <c r="B421" s="1" t="n">
        <v>45877.34444444445</v>
      </c>
      <c r="C421" s="1" t="n">
        <v>45917</v>
      </c>
      <c r="D421" t="inlineStr">
        <is>
          <t>VÄSTERBOTTENS LÄN</t>
        </is>
      </c>
      <c r="E421" t="inlineStr">
        <is>
          <t>VILHELMINA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28656-2024</t>
        </is>
      </c>
      <c r="B422" s="1" t="n">
        <v>45478</v>
      </c>
      <c r="C422" s="1" t="n">
        <v>45917</v>
      </c>
      <c r="D422" t="inlineStr">
        <is>
          <t>VÄSTERBOTTENS LÄN</t>
        </is>
      </c>
      <c r="E422" t="inlineStr">
        <is>
          <t>VILHELMINA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45917</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47254-2022</t>
        </is>
      </c>
      <c r="B424" s="1" t="n">
        <v>44852.94685185186</v>
      </c>
      <c r="C424" s="1" t="n">
        <v>45917</v>
      </c>
      <c r="D424" t="inlineStr">
        <is>
          <t>VÄSTERBOTTENS LÄN</t>
        </is>
      </c>
      <c r="E424" t="inlineStr">
        <is>
          <t>VILHELMINA</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23360-2025</t>
        </is>
      </c>
      <c r="B425" s="1" t="n">
        <v>45791</v>
      </c>
      <c r="C425" s="1" t="n">
        <v>45917</v>
      </c>
      <c r="D425" t="inlineStr">
        <is>
          <t>VÄSTERBOTTENS LÄN</t>
        </is>
      </c>
      <c r="E425" t="inlineStr">
        <is>
          <t>VILHELMINA</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34719-2024</t>
        </is>
      </c>
      <c r="B426" s="1" t="n">
        <v>45526.56435185186</v>
      </c>
      <c r="C426" s="1" t="n">
        <v>45917</v>
      </c>
      <c r="D426" t="inlineStr">
        <is>
          <t>VÄSTERBOTTENS LÄN</t>
        </is>
      </c>
      <c r="E426" t="inlineStr">
        <is>
          <t>VILHELMINA</t>
        </is>
      </c>
      <c r="G426" t="n">
        <v>1.7</v>
      </c>
      <c r="H426" t="n">
        <v>0</v>
      </c>
      <c r="I426" t="n">
        <v>0</v>
      </c>
      <c r="J426" t="n">
        <v>0</v>
      </c>
      <c r="K426" t="n">
        <v>0</v>
      </c>
      <c r="L426" t="n">
        <v>0</v>
      </c>
      <c r="M426" t="n">
        <v>0</v>
      </c>
      <c r="N426" t="n">
        <v>0</v>
      </c>
      <c r="O426" t="n">
        <v>0</v>
      </c>
      <c r="P426" t="n">
        <v>0</v>
      </c>
      <c r="Q426" t="n">
        <v>0</v>
      </c>
      <c r="R426" s="2" t="inlineStr"/>
    </row>
    <row r="427" ht="15" customHeight="1">
      <c r="A427" t="inlineStr">
        <is>
          <t>A 34630-2024</t>
        </is>
      </c>
      <c r="B427" s="1" t="n">
        <v>45526.46234953704</v>
      </c>
      <c r="C427" s="1" t="n">
        <v>45917</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72057-2021</t>
        </is>
      </c>
      <c r="B428" s="1" t="n">
        <v>44540</v>
      </c>
      <c r="C428" s="1" t="n">
        <v>45917</v>
      </c>
      <c r="D428" t="inlineStr">
        <is>
          <t>VÄSTERBOTTENS LÄN</t>
        </is>
      </c>
      <c r="E428" t="inlineStr">
        <is>
          <t>VILHELMINA</t>
        </is>
      </c>
      <c r="G428" t="n">
        <v>7</v>
      </c>
      <c r="H428" t="n">
        <v>0</v>
      </c>
      <c r="I428" t="n">
        <v>0</v>
      </c>
      <c r="J428" t="n">
        <v>0</v>
      </c>
      <c r="K428" t="n">
        <v>0</v>
      </c>
      <c r="L428" t="n">
        <v>0</v>
      </c>
      <c r="M428" t="n">
        <v>0</v>
      </c>
      <c r="N428" t="n">
        <v>0</v>
      </c>
      <c r="O428" t="n">
        <v>0</v>
      </c>
      <c r="P428" t="n">
        <v>0</v>
      </c>
      <c r="Q428" t="n">
        <v>0</v>
      </c>
      <c r="R428" s="2" t="inlineStr"/>
    </row>
    <row r="429" ht="15" customHeight="1">
      <c r="A429" t="inlineStr">
        <is>
          <t>A 22109-2024</t>
        </is>
      </c>
      <c r="B429" s="1" t="n">
        <v>45443</v>
      </c>
      <c r="C429" s="1" t="n">
        <v>45917</v>
      </c>
      <c r="D429" t="inlineStr">
        <is>
          <t>VÄSTERBOTTENS LÄN</t>
        </is>
      </c>
      <c r="E429" t="inlineStr">
        <is>
          <t>VILHELMINA</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37269-2025</t>
        </is>
      </c>
      <c r="B430" s="1" t="n">
        <v>45876</v>
      </c>
      <c r="C430" s="1" t="n">
        <v>45917</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61777-2023</t>
        </is>
      </c>
      <c r="B431" s="1" t="n">
        <v>45265</v>
      </c>
      <c r="C431" s="1" t="n">
        <v>45917</v>
      </c>
      <c r="D431" t="inlineStr">
        <is>
          <t>VÄSTERBOTTENS LÄN</t>
        </is>
      </c>
      <c r="E431" t="inlineStr">
        <is>
          <t>VILHELMINA</t>
        </is>
      </c>
      <c r="F431" t="inlineStr">
        <is>
          <t>SCA</t>
        </is>
      </c>
      <c r="G431" t="n">
        <v>20.6</v>
      </c>
      <c r="H431" t="n">
        <v>0</v>
      </c>
      <c r="I431" t="n">
        <v>0</v>
      </c>
      <c r="J431" t="n">
        <v>0</v>
      </c>
      <c r="K431" t="n">
        <v>0</v>
      </c>
      <c r="L431" t="n">
        <v>0</v>
      </c>
      <c r="M431" t="n">
        <v>0</v>
      </c>
      <c r="N431" t="n">
        <v>0</v>
      </c>
      <c r="O431" t="n">
        <v>0</v>
      </c>
      <c r="P431" t="n">
        <v>0</v>
      </c>
      <c r="Q431" t="n">
        <v>0</v>
      </c>
      <c r="R431" s="2" t="inlineStr"/>
    </row>
    <row r="432" ht="15" customHeight="1">
      <c r="A432" t="inlineStr">
        <is>
          <t>A 7102-2024</t>
        </is>
      </c>
      <c r="B432" s="1" t="n">
        <v>45343</v>
      </c>
      <c r="C432" s="1" t="n">
        <v>45917</v>
      </c>
      <c r="D432" t="inlineStr">
        <is>
          <t>VÄSTERBOTTENS LÄN</t>
        </is>
      </c>
      <c r="E432" t="inlineStr">
        <is>
          <t>VILHELMINA</t>
        </is>
      </c>
      <c r="G432" t="n">
        <v>3.2</v>
      </c>
      <c r="H432" t="n">
        <v>0</v>
      </c>
      <c r="I432" t="n">
        <v>0</v>
      </c>
      <c r="J432" t="n">
        <v>0</v>
      </c>
      <c r="K432" t="n">
        <v>0</v>
      </c>
      <c r="L432" t="n">
        <v>0</v>
      </c>
      <c r="M432" t="n">
        <v>0</v>
      </c>
      <c r="N432" t="n">
        <v>0</v>
      </c>
      <c r="O432" t="n">
        <v>0</v>
      </c>
      <c r="P432" t="n">
        <v>0</v>
      </c>
      <c r="Q432" t="n">
        <v>0</v>
      </c>
      <c r="R432" s="2" t="inlineStr"/>
    </row>
    <row r="433" ht="15" customHeight="1">
      <c r="A433" t="inlineStr">
        <is>
          <t>A 29922-2024</t>
        </is>
      </c>
      <c r="B433" s="1" t="n">
        <v>45487.9563425926</v>
      </c>
      <c r="C433" s="1" t="n">
        <v>45917</v>
      </c>
      <c r="D433" t="inlineStr">
        <is>
          <t>VÄSTERBOTTENS LÄN</t>
        </is>
      </c>
      <c r="E433" t="inlineStr">
        <is>
          <t>VILHELMINA</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12365-2025</t>
        </is>
      </c>
      <c r="B434" s="1" t="n">
        <v>45730.37549768519</v>
      </c>
      <c r="C434" s="1" t="n">
        <v>45917</v>
      </c>
      <c r="D434" t="inlineStr">
        <is>
          <t>VÄSTERBOTTENS LÄN</t>
        </is>
      </c>
      <c r="E434" t="inlineStr">
        <is>
          <t>VILHELMINA</t>
        </is>
      </c>
      <c r="F434" t="inlineStr">
        <is>
          <t>Övriga statliga verk och myndigheter</t>
        </is>
      </c>
      <c r="G434" t="n">
        <v>11.5</v>
      </c>
      <c r="H434" t="n">
        <v>0</v>
      </c>
      <c r="I434" t="n">
        <v>0</v>
      </c>
      <c r="J434" t="n">
        <v>0</v>
      </c>
      <c r="K434" t="n">
        <v>0</v>
      </c>
      <c r="L434" t="n">
        <v>0</v>
      </c>
      <c r="M434" t="n">
        <v>0</v>
      </c>
      <c r="N434" t="n">
        <v>0</v>
      </c>
      <c r="O434" t="n">
        <v>0</v>
      </c>
      <c r="P434" t="n">
        <v>0</v>
      </c>
      <c r="Q434" t="n">
        <v>0</v>
      </c>
      <c r="R434" s="2" t="inlineStr"/>
    </row>
    <row r="435" ht="15" customHeight="1">
      <c r="A435" t="inlineStr">
        <is>
          <t>A 12370-2025</t>
        </is>
      </c>
      <c r="B435" s="1" t="n">
        <v>45730.37681712963</v>
      </c>
      <c r="C435" s="1" t="n">
        <v>45917</v>
      </c>
      <c r="D435" t="inlineStr">
        <is>
          <t>VÄSTERBOTTENS LÄN</t>
        </is>
      </c>
      <c r="E435" t="inlineStr">
        <is>
          <t>VILHELMINA</t>
        </is>
      </c>
      <c r="F435" t="inlineStr">
        <is>
          <t>Övriga statliga verk och myndigheter</t>
        </is>
      </c>
      <c r="G435" t="n">
        <v>8.9</v>
      </c>
      <c r="H435" t="n">
        <v>0</v>
      </c>
      <c r="I435" t="n">
        <v>0</v>
      </c>
      <c r="J435" t="n">
        <v>0</v>
      </c>
      <c r="K435" t="n">
        <v>0</v>
      </c>
      <c r="L435" t="n">
        <v>0</v>
      </c>
      <c r="M435" t="n">
        <v>0</v>
      </c>
      <c r="N435" t="n">
        <v>0</v>
      </c>
      <c r="O435" t="n">
        <v>0</v>
      </c>
      <c r="P435" t="n">
        <v>0</v>
      </c>
      <c r="Q435" t="n">
        <v>0</v>
      </c>
      <c r="R435" s="2" t="inlineStr"/>
    </row>
    <row r="436" ht="15" customHeight="1">
      <c r="A436" t="inlineStr">
        <is>
          <t>A 37368-2025</t>
        </is>
      </c>
      <c r="B436" s="1" t="n">
        <v>45877.34436342592</v>
      </c>
      <c r="C436" s="1" t="n">
        <v>45917</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37376-2025</t>
        </is>
      </c>
      <c r="B437" s="1" t="n">
        <v>45877.36513888889</v>
      </c>
      <c r="C437" s="1" t="n">
        <v>45917</v>
      </c>
      <c r="D437" t="inlineStr">
        <is>
          <t>VÄSTERBOTTENS LÄN</t>
        </is>
      </c>
      <c r="E437" t="inlineStr">
        <is>
          <t>VILHELMINA</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2488-2023</t>
        </is>
      </c>
      <c r="B438" s="1" t="n">
        <v>44943</v>
      </c>
      <c r="C438" s="1" t="n">
        <v>45917</v>
      </c>
      <c r="D438" t="inlineStr">
        <is>
          <t>VÄSTERBOTTENS LÄN</t>
        </is>
      </c>
      <c r="E438" t="inlineStr">
        <is>
          <t>VILHELMINA</t>
        </is>
      </c>
      <c r="G438" t="n">
        <v>69.3</v>
      </c>
      <c r="H438" t="n">
        <v>0</v>
      </c>
      <c r="I438" t="n">
        <v>0</v>
      </c>
      <c r="J438" t="n">
        <v>0</v>
      </c>
      <c r="K438" t="n">
        <v>0</v>
      </c>
      <c r="L438" t="n">
        <v>0</v>
      </c>
      <c r="M438" t="n">
        <v>0</v>
      </c>
      <c r="N438" t="n">
        <v>0</v>
      </c>
      <c r="O438" t="n">
        <v>0</v>
      </c>
      <c r="P438" t="n">
        <v>0</v>
      </c>
      <c r="Q438" t="n">
        <v>0</v>
      </c>
      <c r="R438" s="2" t="inlineStr"/>
    </row>
    <row r="439" ht="15" customHeight="1">
      <c r="A439" t="inlineStr">
        <is>
          <t>A 37302-2025</t>
        </is>
      </c>
      <c r="B439" s="1" t="n">
        <v>45876</v>
      </c>
      <c r="C439" s="1" t="n">
        <v>45917</v>
      </c>
      <c r="D439" t="inlineStr">
        <is>
          <t>VÄSTERBOTTENS LÄN</t>
        </is>
      </c>
      <c r="E439" t="inlineStr">
        <is>
          <t>VILHELMINA</t>
        </is>
      </c>
      <c r="F439" t="inlineStr">
        <is>
          <t>SCA</t>
        </is>
      </c>
      <c r="G439" t="n">
        <v>7.6</v>
      </c>
      <c r="H439" t="n">
        <v>0</v>
      </c>
      <c r="I439" t="n">
        <v>0</v>
      </c>
      <c r="J439" t="n">
        <v>0</v>
      </c>
      <c r="K439" t="n">
        <v>0</v>
      </c>
      <c r="L439" t="n">
        <v>0</v>
      </c>
      <c r="M439" t="n">
        <v>0</v>
      </c>
      <c r="N439" t="n">
        <v>0</v>
      </c>
      <c r="O439" t="n">
        <v>0</v>
      </c>
      <c r="P439" t="n">
        <v>0</v>
      </c>
      <c r="Q439" t="n">
        <v>0</v>
      </c>
      <c r="R439" s="2" t="inlineStr"/>
    </row>
    <row r="440" ht="15" customHeight="1">
      <c r="A440" t="inlineStr">
        <is>
          <t>A 26401-2022</t>
        </is>
      </c>
      <c r="B440" s="1" t="n">
        <v>44735</v>
      </c>
      <c r="C440" s="1" t="n">
        <v>45917</v>
      </c>
      <c r="D440" t="inlineStr">
        <is>
          <t>VÄSTERBOTTENS LÄN</t>
        </is>
      </c>
      <c r="E440" t="inlineStr">
        <is>
          <t>VILHELMINA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33142-2025</t>
        </is>
      </c>
      <c r="B441" s="1" t="n">
        <v>45840</v>
      </c>
      <c r="C441" s="1" t="n">
        <v>45917</v>
      </c>
      <c r="D441" t="inlineStr">
        <is>
          <t>VÄSTERBOTTENS LÄN</t>
        </is>
      </c>
      <c r="E441" t="inlineStr">
        <is>
          <t>VILHELMINA</t>
        </is>
      </c>
      <c r="G441" t="n">
        <v>15.2</v>
      </c>
      <c r="H441" t="n">
        <v>0</v>
      </c>
      <c r="I441" t="n">
        <v>0</v>
      </c>
      <c r="J441" t="n">
        <v>0</v>
      </c>
      <c r="K441" t="n">
        <v>0</v>
      </c>
      <c r="L441" t="n">
        <v>0</v>
      </c>
      <c r="M441" t="n">
        <v>0</v>
      </c>
      <c r="N441" t="n">
        <v>0</v>
      </c>
      <c r="O441" t="n">
        <v>0</v>
      </c>
      <c r="P441" t="n">
        <v>0</v>
      </c>
      <c r="Q441" t="n">
        <v>0</v>
      </c>
      <c r="R441" s="2" t="inlineStr"/>
    </row>
    <row r="442" ht="15" customHeight="1">
      <c r="A442" t="inlineStr">
        <is>
          <t>A 2022-2024</t>
        </is>
      </c>
      <c r="B442" s="1" t="n">
        <v>45308</v>
      </c>
      <c r="C442" s="1" t="n">
        <v>45917</v>
      </c>
      <c r="D442" t="inlineStr">
        <is>
          <t>VÄSTERBOTTENS LÄN</t>
        </is>
      </c>
      <c r="E442" t="inlineStr">
        <is>
          <t>VILHELMINA</t>
        </is>
      </c>
      <c r="G442" t="n">
        <v>8.5</v>
      </c>
      <c r="H442" t="n">
        <v>0</v>
      </c>
      <c r="I442" t="n">
        <v>0</v>
      </c>
      <c r="J442" t="n">
        <v>0</v>
      </c>
      <c r="K442" t="n">
        <v>0</v>
      </c>
      <c r="L442" t="n">
        <v>0</v>
      </c>
      <c r="M442" t="n">
        <v>0</v>
      </c>
      <c r="N442" t="n">
        <v>0</v>
      </c>
      <c r="O442" t="n">
        <v>0</v>
      </c>
      <c r="P442" t="n">
        <v>0</v>
      </c>
      <c r="Q442" t="n">
        <v>0</v>
      </c>
      <c r="R442" s="2" t="inlineStr"/>
    </row>
    <row r="443" ht="15" customHeight="1">
      <c r="A443" t="inlineStr">
        <is>
          <t>A 17732-2024</t>
        </is>
      </c>
      <c r="B443" s="1" t="n">
        <v>45415</v>
      </c>
      <c r="C443" s="1" t="n">
        <v>45917</v>
      </c>
      <c r="D443" t="inlineStr">
        <is>
          <t>VÄSTERBOTTENS LÄN</t>
        </is>
      </c>
      <c r="E443" t="inlineStr">
        <is>
          <t>VILHELMINA</t>
        </is>
      </c>
      <c r="G443" t="n">
        <v>0.6</v>
      </c>
      <c r="H443" t="n">
        <v>0</v>
      </c>
      <c r="I443" t="n">
        <v>0</v>
      </c>
      <c r="J443" t="n">
        <v>0</v>
      </c>
      <c r="K443" t="n">
        <v>0</v>
      </c>
      <c r="L443" t="n">
        <v>0</v>
      </c>
      <c r="M443" t="n">
        <v>0</v>
      </c>
      <c r="N443" t="n">
        <v>0</v>
      </c>
      <c r="O443" t="n">
        <v>0</v>
      </c>
      <c r="P443" t="n">
        <v>0</v>
      </c>
      <c r="Q443" t="n">
        <v>0</v>
      </c>
      <c r="R443" s="2" t="inlineStr"/>
    </row>
    <row r="444" ht="15" customHeight="1">
      <c r="A444" t="inlineStr">
        <is>
          <t>A 38187-2024</t>
        </is>
      </c>
      <c r="B444" s="1" t="n">
        <v>45545.49028935185</v>
      </c>
      <c r="C444" s="1" t="n">
        <v>45917</v>
      </c>
      <c r="D444" t="inlineStr">
        <is>
          <t>VÄSTERBOTTENS LÄN</t>
        </is>
      </c>
      <c r="E444" t="inlineStr">
        <is>
          <t>VILHELMINA</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32947-2025</t>
        </is>
      </c>
      <c r="B445" s="1" t="n">
        <v>45839</v>
      </c>
      <c r="C445" s="1" t="n">
        <v>45917</v>
      </c>
      <c r="D445" t="inlineStr">
        <is>
          <t>VÄSTERBOTTENS LÄN</t>
        </is>
      </c>
      <c r="E445" t="inlineStr">
        <is>
          <t>VILHELMINA</t>
        </is>
      </c>
      <c r="G445" t="n">
        <v>19.1</v>
      </c>
      <c r="H445" t="n">
        <v>0</v>
      </c>
      <c r="I445" t="n">
        <v>0</v>
      </c>
      <c r="J445" t="n">
        <v>0</v>
      </c>
      <c r="K445" t="n">
        <v>0</v>
      </c>
      <c r="L445" t="n">
        <v>0</v>
      </c>
      <c r="M445" t="n">
        <v>0</v>
      </c>
      <c r="N445" t="n">
        <v>0</v>
      </c>
      <c r="O445" t="n">
        <v>0</v>
      </c>
      <c r="P445" t="n">
        <v>0</v>
      </c>
      <c r="Q445" t="n">
        <v>0</v>
      </c>
      <c r="R445" s="2" t="inlineStr"/>
    </row>
    <row r="446" ht="15" customHeight="1">
      <c r="A446" t="inlineStr">
        <is>
          <t>A 34130-2024</t>
        </is>
      </c>
      <c r="B446" s="1" t="n">
        <v>45524.34668981482</v>
      </c>
      <c r="C446" s="1" t="n">
        <v>45917</v>
      </c>
      <c r="D446" t="inlineStr">
        <is>
          <t>VÄSTERBOTTENS LÄN</t>
        </is>
      </c>
      <c r="E446" t="inlineStr">
        <is>
          <t>VILHELMINA</t>
        </is>
      </c>
      <c r="F446" t="inlineStr">
        <is>
          <t>Sveaskog</t>
        </is>
      </c>
      <c r="G446" t="n">
        <v>3.7</v>
      </c>
      <c r="H446" t="n">
        <v>0</v>
      </c>
      <c r="I446" t="n">
        <v>0</v>
      </c>
      <c r="J446" t="n">
        <v>0</v>
      </c>
      <c r="K446" t="n">
        <v>0</v>
      </c>
      <c r="L446" t="n">
        <v>0</v>
      </c>
      <c r="M446" t="n">
        <v>0</v>
      </c>
      <c r="N446" t="n">
        <v>0</v>
      </c>
      <c r="O446" t="n">
        <v>0</v>
      </c>
      <c r="P446" t="n">
        <v>0</v>
      </c>
      <c r="Q446" t="n">
        <v>0</v>
      </c>
      <c r="R446" s="2" t="inlineStr"/>
    </row>
    <row r="447" ht="15" customHeight="1">
      <c r="A447" t="inlineStr">
        <is>
          <t>A 9534-2023</t>
        </is>
      </c>
      <c r="B447" s="1" t="n">
        <v>44981.72646990741</v>
      </c>
      <c r="C447" s="1" t="n">
        <v>45917</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56747-2023</t>
        </is>
      </c>
      <c r="B448" s="1" t="n">
        <v>45238</v>
      </c>
      <c r="C448" s="1" t="n">
        <v>45917</v>
      </c>
      <c r="D448" t="inlineStr">
        <is>
          <t>VÄSTERBOTTENS LÄN</t>
        </is>
      </c>
      <c r="E448" t="inlineStr">
        <is>
          <t>VILHELMINA</t>
        </is>
      </c>
      <c r="F448" t="inlineStr">
        <is>
          <t>Allmännings- och besparingsskogar</t>
        </is>
      </c>
      <c r="G448" t="n">
        <v>16.2</v>
      </c>
      <c r="H448" t="n">
        <v>0</v>
      </c>
      <c r="I448" t="n">
        <v>0</v>
      </c>
      <c r="J448" t="n">
        <v>0</v>
      </c>
      <c r="K448" t="n">
        <v>0</v>
      </c>
      <c r="L448" t="n">
        <v>0</v>
      </c>
      <c r="M448" t="n">
        <v>0</v>
      </c>
      <c r="N448" t="n">
        <v>0</v>
      </c>
      <c r="O448" t="n">
        <v>0</v>
      </c>
      <c r="P448" t="n">
        <v>0</v>
      </c>
      <c r="Q448" t="n">
        <v>0</v>
      </c>
      <c r="R448" s="2" t="inlineStr"/>
    </row>
    <row r="449" ht="15" customHeight="1">
      <c r="A449" t="inlineStr">
        <is>
          <t>A 56758-2023</t>
        </is>
      </c>
      <c r="B449" s="1" t="n">
        <v>45238</v>
      </c>
      <c r="C449" s="1" t="n">
        <v>45917</v>
      </c>
      <c r="D449" t="inlineStr">
        <is>
          <t>VÄSTERBOTTENS LÄN</t>
        </is>
      </c>
      <c r="E449" t="inlineStr">
        <is>
          <t>VILHELMINA</t>
        </is>
      </c>
      <c r="F449" t="inlineStr">
        <is>
          <t>Allmännings- och besparingsskogar</t>
        </is>
      </c>
      <c r="G449" t="n">
        <v>371.4</v>
      </c>
      <c r="H449" t="n">
        <v>0</v>
      </c>
      <c r="I449" t="n">
        <v>0</v>
      </c>
      <c r="J449" t="n">
        <v>0</v>
      </c>
      <c r="K449" t="n">
        <v>0</v>
      </c>
      <c r="L449" t="n">
        <v>0</v>
      </c>
      <c r="M449" t="n">
        <v>0</v>
      </c>
      <c r="N449" t="n">
        <v>0</v>
      </c>
      <c r="O449" t="n">
        <v>0</v>
      </c>
      <c r="P449" t="n">
        <v>0</v>
      </c>
      <c r="Q449" t="n">
        <v>0</v>
      </c>
      <c r="R449" s="2" t="inlineStr"/>
    </row>
    <row r="450" ht="15" customHeight="1">
      <c r="A450" t="inlineStr">
        <is>
          <t>A 706-2024</t>
        </is>
      </c>
      <c r="B450" s="1" t="n">
        <v>45300</v>
      </c>
      <c r="C450" s="1" t="n">
        <v>45917</v>
      </c>
      <c r="D450" t="inlineStr">
        <is>
          <t>VÄSTERBOTTENS LÄN</t>
        </is>
      </c>
      <c r="E450" t="inlineStr">
        <is>
          <t>VILHELMINA</t>
        </is>
      </c>
      <c r="G450" t="n">
        <v>2.8</v>
      </c>
      <c r="H450" t="n">
        <v>0</v>
      </c>
      <c r="I450" t="n">
        <v>0</v>
      </c>
      <c r="J450" t="n">
        <v>0</v>
      </c>
      <c r="K450" t="n">
        <v>0</v>
      </c>
      <c r="L450" t="n">
        <v>0</v>
      </c>
      <c r="M450" t="n">
        <v>0</v>
      </c>
      <c r="N450" t="n">
        <v>0</v>
      </c>
      <c r="O450" t="n">
        <v>0</v>
      </c>
      <c r="P450" t="n">
        <v>0</v>
      </c>
      <c r="Q450" t="n">
        <v>0</v>
      </c>
      <c r="R450" s="2" t="inlineStr"/>
    </row>
    <row r="451" ht="15" customHeight="1">
      <c r="A451" t="inlineStr">
        <is>
          <t>A 56754-2023</t>
        </is>
      </c>
      <c r="B451" s="1" t="n">
        <v>45238</v>
      </c>
      <c r="C451" s="1" t="n">
        <v>45917</v>
      </c>
      <c r="D451" t="inlineStr">
        <is>
          <t>VÄSTERBOTTENS LÄN</t>
        </is>
      </c>
      <c r="E451" t="inlineStr">
        <is>
          <t>VILHELMINA</t>
        </is>
      </c>
      <c r="F451" t="inlineStr">
        <is>
          <t>Allmännings- och besparingsskogar</t>
        </is>
      </c>
      <c r="G451" t="n">
        <v>18</v>
      </c>
      <c r="H451" t="n">
        <v>0</v>
      </c>
      <c r="I451" t="n">
        <v>0</v>
      </c>
      <c r="J451" t="n">
        <v>0</v>
      </c>
      <c r="K451" t="n">
        <v>0</v>
      </c>
      <c r="L451" t="n">
        <v>0</v>
      </c>
      <c r="M451" t="n">
        <v>0</v>
      </c>
      <c r="N451" t="n">
        <v>0</v>
      </c>
      <c r="O451" t="n">
        <v>0</v>
      </c>
      <c r="P451" t="n">
        <v>0</v>
      </c>
      <c r="Q451" t="n">
        <v>0</v>
      </c>
      <c r="R451" s="2" t="inlineStr"/>
    </row>
    <row r="452" ht="15" customHeight="1">
      <c r="A452" t="inlineStr">
        <is>
          <t>A 32683-2024</t>
        </is>
      </c>
      <c r="B452" s="1" t="n">
        <v>45515</v>
      </c>
      <c r="C452" s="1" t="n">
        <v>45917</v>
      </c>
      <c r="D452" t="inlineStr">
        <is>
          <t>VÄSTERBOTTENS LÄN</t>
        </is>
      </c>
      <c r="E452" t="inlineStr">
        <is>
          <t>VILHELMINA</t>
        </is>
      </c>
      <c r="G452" t="n">
        <v>6.1</v>
      </c>
      <c r="H452" t="n">
        <v>0</v>
      </c>
      <c r="I452" t="n">
        <v>0</v>
      </c>
      <c r="J452" t="n">
        <v>0</v>
      </c>
      <c r="K452" t="n">
        <v>0</v>
      </c>
      <c r="L452" t="n">
        <v>0</v>
      </c>
      <c r="M452" t="n">
        <v>0</v>
      </c>
      <c r="N452" t="n">
        <v>0</v>
      </c>
      <c r="O452" t="n">
        <v>0</v>
      </c>
      <c r="P452" t="n">
        <v>0</v>
      </c>
      <c r="Q452" t="n">
        <v>0</v>
      </c>
      <c r="R452" s="2" t="inlineStr"/>
    </row>
    <row r="453" ht="15" customHeight="1">
      <c r="A453" t="inlineStr">
        <is>
          <t>A 55720-2023</t>
        </is>
      </c>
      <c r="B453" s="1" t="n">
        <v>45232</v>
      </c>
      <c r="C453" s="1" t="n">
        <v>45917</v>
      </c>
      <c r="D453" t="inlineStr">
        <is>
          <t>VÄSTERBOTTENS LÄN</t>
        </is>
      </c>
      <c r="E453" t="inlineStr">
        <is>
          <t>VILHELMINA</t>
        </is>
      </c>
      <c r="G453" t="n">
        <v>0.8</v>
      </c>
      <c r="H453" t="n">
        <v>0</v>
      </c>
      <c r="I453" t="n">
        <v>0</v>
      </c>
      <c r="J453" t="n">
        <v>0</v>
      </c>
      <c r="K453" t="n">
        <v>0</v>
      </c>
      <c r="L453" t="n">
        <v>0</v>
      </c>
      <c r="M453" t="n">
        <v>0</v>
      </c>
      <c r="N453" t="n">
        <v>0</v>
      </c>
      <c r="O453" t="n">
        <v>0</v>
      </c>
      <c r="P453" t="n">
        <v>0</v>
      </c>
      <c r="Q453" t="n">
        <v>0</v>
      </c>
      <c r="R453" s="2" t="inlineStr"/>
    </row>
    <row r="454" ht="15" customHeight="1">
      <c r="A454" t="inlineStr">
        <is>
          <t>A 38363-2023</t>
        </is>
      </c>
      <c r="B454" s="1" t="n">
        <v>45161</v>
      </c>
      <c r="C454" s="1" t="n">
        <v>45917</v>
      </c>
      <c r="D454" t="inlineStr">
        <is>
          <t>VÄSTERBOTTENS LÄN</t>
        </is>
      </c>
      <c r="E454" t="inlineStr">
        <is>
          <t>VILHELMINA</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22108-2024</t>
        </is>
      </c>
      <c r="B455" s="1" t="n">
        <v>45443</v>
      </c>
      <c r="C455" s="1" t="n">
        <v>45917</v>
      </c>
      <c r="D455" t="inlineStr">
        <is>
          <t>VÄSTERBOTTENS LÄN</t>
        </is>
      </c>
      <c r="E455" t="inlineStr">
        <is>
          <t>VILHELMINA</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61920-2020</t>
        </is>
      </c>
      <c r="B456" s="1" t="n">
        <v>44155</v>
      </c>
      <c r="C456" s="1" t="n">
        <v>45917</v>
      </c>
      <c r="D456" t="inlineStr">
        <is>
          <t>VÄSTERBOTTENS LÄN</t>
        </is>
      </c>
      <c r="E456" t="inlineStr">
        <is>
          <t>VILHELMINA</t>
        </is>
      </c>
      <c r="G456" t="n">
        <v>7.7</v>
      </c>
      <c r="H456" t="n">
        <v>0</v>
      </c>
      <c r="I456" t="n">
        <v>0</v>
      </c>
      <c r="J456" t="n">
        <v>0</v>
      </c>
      <c r="K456" t="n">
        <v>0</v>
      </c>
      <c r="L456" t="n">
        <v>0</v>
      </c>
      <c r="M456" t="n">
        <v>0</v>
      </c>
      <c r="N456" t="n">
        <v>0</v>
      </c>
      <c r="O456" t="n">
        <v>0</v>
      </c>
      <c r="P456" t="n">
        <v>0</v>
      </c>
      <c r="Q456" t="n">
        <v>0</v>
      </c>
      <c r="R456" s="2" t="inlineStr"/>
    </row>
    <row r="457" ht="15" customHeight="1">
      <c r="A457" t="inlineStr">
        <is>
          <t>A 23176-2024</t>
        </is>
      </c>
      <c r="B457" s="1" t="n">
        <v>45450.94366898148</v>
      </c>
      <c r="C457" s="1" t="n">
        <v>45917</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49888-2024</t>
        </is>
      </c>
      <c r="B458" s="1" t="n">
        <v>45597.5109837963</v>
      </c>
      <c r="C458" s="1" t="n">
        <v>45917</v>
      </c>
      <c r="D458" t="inlineStr">
        <is>
          <t>VÄSTERBOTTENS LÄN</t>
        </is>
      </c>
      <c r="E458" t="inlineStr">
        <is>
          <t>VILHELMINA</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44516-2024</t>
        </is>
      </c>
      <c r="B459" s="1" t="n">
        <v>45574</v>
      </c>
      <c r="C459" s="1" t="n">
        <v>45917</v>
      </c>
      <c r="D459" t="inlineStr">
        <is>
          <t>VÄSTERBOTTENS LÄN</t>
        </is>
      </c>
      <c r="E459" t="inlineStr">
        <is>
          <t>VILHELMINA</t>
        </is>
      </c>
      <c r="G459" t="n">
        <v>2.9</v>
      </c>
      <c r="H459" t="n">
        <v>0</v>
      </c>
      <c r="I459" t="n">
        <v>0</v>
      </c>
      <c r="J459" t="n">
        <v>0</v>
      </c>
      <c r="K459" t="n">
        <v>0</v>
      </c>
      <c r="L459" t="n">
        <v>0</v>
      </c>
      <c r="M459" t="n">
        <v>0</v>
      </c>
      <c r="N459" t="n">
        <v>0</v>
      </c>
      <c r="O459" t="n">
        <v>0</v>
      </c>
      <c r="P459" t="n">
        <v>0</v>
      </c>
      <c r="Q459" t="n">
        <v>0</v>
      </c>
      <c r="R459" s="2" t="inlineStr"/>
    </row>
    <row r="460" ht="15" customHeight="1">
      <c r="A460" t="inlineStr">
        <is>
          <t>A 36320-2024</t>
        </is>
      </c>
      <c r="B460" s="1" t="n">
        <v>45534.63586805556</v>
      </c>
      <c r="C460" s="1" t="n">
        <v>45917</v>
      </c>
      <c r="D460" t="inlineStr">
        <is>
          <t>VÄSTERBOTTENS LÄN</t>
        </is>
      </c>
      <c r="E460" t="inlineStr">
        <is>
          <t>VILHELMINA</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9916-2021</t>
        </is>
      </c>
      <c r="B461" s="1" t="n">
        <v>44253</v>
      </c>
      <c r="C461" s="1" t="n">
        <v>45917</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13768-2024</t>
        </is>
      </c>
      <c r="B462" s="1" t="n">
        <v>45390.95230324074</v>
      </c>
      <c r="C462" s="1" t="n">
        <v>45917</v>
      </c>
      <c r="D462" t="inlineStr">
        <is>
          <t>VÄSTERBOTTENS LÄN</t>
        </is>
      </c>
      <c r="E462" t="inlineStr">
        <is>
          <t>VILHELMINA</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38409-2025</t>
        </is>
      </c>
      <c r="B463" s="1" t="n">
        <v>45883.59429398148</v>
      </c>
      <c r="C463" s="1" t="n">
        <v>45917</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38427-2025</t>
        </is>
      </c>
      <c r="B464" s="1" t="n">
        <v>45883.63611111111</v>
      </c>
      <c r="C464" s="1" t="n">
        <v>45917</v>
      </c>
      <c r="D464" t="inlineStr">
        <is>
          <t>VÄSTERBOTTENS LÄN</t>
        </is>
      </c>
      <c r="E464" t="inlineStr">
        <is>
          <t>VILHELMINA</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38540-2025</t>
        </is>
      </c>
      <c r="B465" s="1" t="n">
        <v>45884.42768518518</v>
      </c>
      <c r="C465" s="1" t="n">
        <v>45917</v>
      </c>
      <c r="D465" t="inlineStr">
        <is>
          <t>VÄSTERBOTTENS LÄN</t>
        </is>
      </c>
      <c r="E465" t="inlineStr">
        <is>
          <t>VILHELMINA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38620-2025</t>
        </is>
      </c>
      <c r="B466" s="1" t="n">
        <v>45884.55297453704</v>
      </c>
      <c r="C466" s="1" t="n">
        <v>45917</v>
      </c>
      <c r="D466" t="inlineStr">
        <is>
          <t>VÄSTERBOTTENS LÄN</t>
        </is>
      </c>
      <c r="E466" t="inlineStr">
        <is>
          <t>VILHELMINA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69502-2020</t>
        </is>
      </c>
      <c r="B467" s="1" t="n">
        <v>44193</v>
      </c>
      <c r="C467" s="1" t="n">
        <v>45917</v>
      </c>
      <c r="D467" t="inlineStr">
        <is>
          <t>VÄSTERBOTTENS LÄN</t>
        </is>
      </c>
      <c r="E467" t="inlineStr">
        <is>
          <t>VILHELMINA</t>
        </is>
      </c>
      <c r="G467" t="n">
        <v>19</v>
      </c>
      <c r="H467" t="n">
        <v>0</v>
      </c>
      <c r="I467" t="n">
        <v>0</v>
      </c>
      <c r="J467" t="n">
        <v>0</v>
      </c>
      <c r="K467" t="n">
        <v>0</v>
      </c>
      <c r="L467" t="n">
        <v>0</v>
      </c>
      <c r="M467" t="n">
        <v>0</v>
      </c>
      <c r="N467" t="n">
        <v>0</v>
      </c>
      <c r="O467" t="n">
        <v>0</v>
      </c>
      <c r="P467" t="n">
        <v>0</v>
      </c>
      <c r="Q467" t="n">
        <v>0</v>
      </c>
      <c r="R467" s="2" t="inlineStr"/>
    </row>
    <row r="468" ht="15" customHeight="1">
      <c r="A468" t="inlineStr">
        <is>
          <t>A 3435-2021</t>
        </is>
      </c>
      <c r="B468" s="1" t="n">
        <v>44216</v>
      </c>
      <c r="C468" s="1" t="n">
        <v>45917</v>
      </c>
      <c r="D468" t="inlineStr">
        <is>
          <t>VÄSTERBOTTENS LÄN</t>
        </is>
      </c>
      <c r="E468" t="inlineStr">
        <is>
          <t>VILHELMINA</t>
        </is>
      </c>
      <c r="G468" t="n">
        <v>20.5</v>
      </c>
      <c r="H468" t="n">
        <v>0</v>
      </c>
      <c r="I468" t="n">
        <v>0</v>
      </c>
      <c r="J468" t="n">
        <v>0</v>
      </c>
      <c r="K468" t="n">
        <v>0</v>
      </c>
      <c r="L468" t="n">
        <v>0</v>
      </c>
      <c r="M468" t="n">
        <v>0</v>
      </c>
      <c r="N468" t="n">
        <v>0</v>
      </c>
      <c r="O468" t="n">
        <v>0</v>
      </c>
      <c r="P468" t="n">
        <v>0</v>
      </c>
      <c r="Q468" t="n">
        <v>0</v>
      </c>
      <c r="R468" s="2" t="inlineStr"/>
    </row>
    <row r="469" ht="15" customHeight="1">
      <c r="A469" t="inlineStr">
        <is>
          <t>A 53987-2021</t>
        </is>
      </c>
      <c r="B469" s="1" t="n">
        <v>44470.31884259259</v>
      </c>
      <c r="C469" s="1" t="n">
        <v>45917</v>
      </c>
      <c r="D469" t="inlineStr">
        <is>
          <t>VÄSTERBOTTENS LÄN</t>
        </is>
      </c>
      <c r="E469" t="inlineStr">
        <is>
          <t>VILHELMINA</t>
        </is>
      </c>
      <c r="F469" t="inlineStr">
        <is>
          <t>Kommuner</t>
        </is>
      </c>
      <c r="G469" t="n">
        <v>10</v>
      </c>
      <c r="H469" t="n">
        <v>0</v>
      </c>
      <c r="I469" t="n">
        <v>0</v>
      </c>
      <c r="J469" t="n">
        <v>0</v>
      </c>
      <c r="K469" t="n">
        <v>0</v>
      </c>
      <c r="L469" t="n">
        <v>0</v>
      </c>
      <c r="M469" t="n">
        <v>0</v>
      </c>
      <c r="N469" t="n">
        <v>0</v>
      </c>
      <c r="O469" t="n">
        <v>0</v>
      </c>
      <c r="P469" t="n">
        <v>0</v>
      </c>
      <c r="Q469" t="n">
        <v>0</v>
      </c>
      <c r="R469" s="2" t="inlineStr"/>
    </row>
    <row r="470" ht="15" customHeight="1">
      <c r="A470" t="inlineStr">
        <is>
          <t>A 33319-2025</t>
        </is>
      </c>
      <c r="B470" s="1" t="n">
        <v>45841</v>
      </c>
      <c r="C470" s="1" t="n">
        <v>45917</v>
      </c>
      <c r="D470" t="inlineStr">
        <is>
          <t>VÄSTERBOTTENS LÄN</t>
        </is>
      </c>
      <c r="E470" t="inlineStr">
        <is>
          <t>VILHELMINA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33320-2025</t>
        </is>
      </c>
      <c r="B471" s="1" t="n">
        <v>45841.34461805555</v>
      </c>
      <c r="C471" s="1" t="n">
        <v>45917</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38543-2025</t>
        </is>
      </c>
      <c r="B472" s="1" t="n">
        <v>45884.42813657408</v>
      </c>
      <c r="C472" s="1" t="n">
        <v>45917</v>
      </c>
      <c r="D472" t="inlineStr">
        <is>
          <t>VÄSTERBOTTENS LÄN</t>
        </is>
      </c>
      <c r="E472" t="inlineStr">
        <is>
          <t>VILHELMINA</t>
        </is>
      </c>
      <c r="G472" t="n">
        <v>2.4</v>
      </c>
      <c r="H472" t="n">
        <v>0</v>
      </c>
      <c r="I472" t="n">
        <v>0</v>
      </c>
      <c r="J472" t="n">
        <v>0</v>
      </c>
      <c r="K472" t="n">
        <v>0</v>
      </c>
      <c r="L472" t="n">
        <v>0</v>
      </c>
      <c r="M472" t="n">
        <v>0</v>
      </c>
      <c r="N472" t="n">
        <v>0</v>
      </c>
      <c r="O472" t="n">
        <v>0</v>
      </c>
      <c r="P472" t="n">
        <v>0</v>
      </c>
      <c r="Q472" t="n">
        <v>0</v>
      </c>
      <c r="R472" s="2" t="inlineStr"/>
    </row>
    <row r="473" ht="15" customHeight="1">
      <c r="A473" t="inlineStr">
        <is>
          <t>A 38211-2025</t>
        </is>
      </c>
      <c r="B473" s="1" t="n">
        <v>45882.93524305556</v>
      </c>
      <c r="C473" s="1" t="n">
        <v>45917</v>
      </c>
      <c r="D473" t="inlineStr">
        <is>
          <t>VÄSTERBOTTENS LÄN</t>
        </is>
      </c>
      <c r="E473" t="inlineStr">
        <is>
          <t>VILHELMINA</t>
        </is>
      </c>
      <c r="G473" t="n">
        <v>13.8</v>
      </c>
      <c r="H473" t="n">
        <v>0</v>
      </c>
      <c r="I473" t="n">
        <v>0</v>
      </c>
      <c r="J473" t="n">
        <v>0</v>
      </c>
      <c r="K473" t="n">
        <v>0</v>
      </c>
      <c r="L473" t="n">
        <v>0</v>
      </c>
      <c r="M473" t="n">
        <v>0</v>
      </c>
      <c r="N473" t="n">
        <v>0</v>
      </c>
      <c r="O473" t="n">
        <v>0</v>
      </c>
      <c r="P473" t="n">
        <v>0</v>
      </c>
      <c r="Q473" t="n">
        <v>0</v>
      </c>
      <c r="R473" s="2" t="inlineStr"/>
    </row>
    <row r="474" ht="15" customHeight="1">
      <c r="A474" t="inlineStr">
        <is>
          <t>A 38212-2025</t>
        </is>
      </c>
      <c r="B474" s="1" t="n">
        <v>45882.95137731481</v>
      </c>
      <c r="C474" s="1" t="n">
        <v>45917</v>
      </c>
      <c r="D474" t="inlineStr">
        <is>
          <t>VÄSTERBOTTENS LÄN</t>
        </is>
      </c>
      <c r="E474" t="inlineStr">
        <is>
          <t>VILHELMINA</t>
        </is>
      </c>
      <c r="G474" t="n">
        <v>11.7</v>
      </c>
      <c r="H474" t="n">
        <v>0</v>
      </c>
      <c r="I474" t="n">
        <v>0</v>
      </c>
      <c r="J474" t="n">
        <v>0</v>
      </c>
      <c r="K474" t="n">
        <v>0</v>
      </c>
      <c r="L474" t="n">
        <v>0</v>
      </c>
      <c r="M474" t="n">
        <v>0</v>
      </c>
      <c r="N474" t="n">
        <v>0</v>
      </c>
      <c r="O474" t="n">
        <v>0</v>
      </c>
      <c r="P474" t="n">
        <v>0</v>
      </c>
      <c r="Q474" t="n">
        <v>0</v>
      </c>
      <c r="R474" s="2" t="inlineStr"/>
    </row>
    <row r="475" ht="15" customHeight="1">
      <c r="A475" t="inlineStr">
        <is>
          <t>A 32658-2021</t>
        </is>
      </c>
      <c r="B475" s="1" t="n">
        <v>44371</v>
      </c>
      <c r="C475" s="1" t="n">
        <v>45917</v>
      </c>
      <c r="D475" t="inlineStr">
        <is>
          <t>VÄSTERBOTTENS LÄN</t>
        </is>
      </c>
      <c r="E475" t="inlineStr">
        <is>
          <t>VILHELMINA</t>
        </is>
      </c>
      <c r="G475" t="n">
        <v>2.2</v>
      </c>
      <c r="H475" t="n">
        <v>0</v>
      </c>
      <c r="I475" t="n">
        <v>0</v>
      </c>
      <c r="J475" t="n">
        <v>0</v>
      </c>
      <c r="K475" t="n">
        <v>0</v>
      </c>
      <c r="L475" t="n">
        <v>0</v>
      </c>
      <c r="M475" t="n">
        <v>0</v>
      </c>
      <c r="N475" t="n">
        <v>0</v>
      </c>
      <c r="O475" t="n">
        <v>0</v>
      </c>
      <c r="P475" t="n">
        <v>0</v>
      </c>
      <c r="Q475" t="n">
        <v>0</v>
      </c>
      <c r="R475" s="2" t="inlineStr"/>
    </row>
    <row r="476" ht="15" customHeight="1">
      <c r="A476" t="inlineStr">
        <is>
          <t>A 46373-2020</t>
        </is>
      </c>
      <c r="B476" s="1" t="n">
        <v>44092</v>
      </c>
      <c r="C476" s="1" t="n">
        <v>45917</v>
      </c>
      <c r="D476" t="inlineStr">
        <is>
          <t>VÄSTERBOTTENS LÄN</t>
        </is>
      </c>
      <c r="E476" t="inlineStr">
        <is>
          <t>VILHELMINA</t>
        </is>
      </c>
      <c r="F476" t="inlineStr">
        <is>
          <t>SCA</t>
        </is>
      </c>
      <c r="G476" t="n">
        <v>6.8</v>
      </c>
      <c r="H476" t="n">
        <v>0</v>
      </c>
      <c r="I476" t="n">
        <v>0</v>
      </c>
      <c r="J476" t="n">
        <v>0</v>
      </c>
      <c r="K476" t="n">
        <v>0</v>
      </c>
      <c r="L476" t="n">
        <v>0</v>
      </c>
      <c r="M476" t="n">
        <v>0</v>
      </c>
      <c r="N476" t="n">
        <v>0</v>
      </c>
      <c r="O476" t="n">
        <v>0</v>
      </c>
      <c r="P476" t="n">
        <v>0</v>
      </c>
      <c r="Q476" t="n">
        <v>0</v>
      </c>
      <c r="R476" s="2" t="inlineStr"/>
    </row>
    <row r="477" ht="15" customHeight="1">
      <c r="A477" t="inlineStr">
        <is>
          <t>A 29347-2021</t>
        </is>
      </c>
      <c r="B477" s="1" t="n">
        <v>44361</v>
      </c>
      <c r="C477" s="1" t="n">
        <v>45917</v>
      </c>
      <c r="D477" t="inlineStr">
        <is>
          <t>VÄSTERBOTTENS LÄN</t>
        </is>
      </c>
      <c r="E477" t="inlineStr">
        <is>
          <t>VILHELMINA</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30574-2024</t>
        </is>
      </c>
      <c r="B478" s="1" t="n">
        <v>45492.9580324074</v>
      </c>
      <c r="C478" s="1" t="n">
        <v>45917</v>
      </c>
      <c r="D478" t="inlineStr">
        <is>
          <t>VÄSTERBOTTENS LÄN</t>
        </is>
      </c>
      <c r="E478" t="inlineStr">
        <is>
          <t>VILHELMINA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30681-2024</t>
        </is>
      </c>
      <c r="B479" s="1" t="n">
        <v>45495.9509837963</v>
      </c>
      <c r="C479" s="1" t="n">
        <v>45917</v>
      </c>
      <c r="D479" t="inlineStr">
        <is>
          <t>VÄSTERBOTTENS LÄN</t>
        </is>
      </c>
      <c r="E479" t="inlineStr">
        <is>
          <t>VILHELMINA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38387-2025</t>
        </is>
      </c>
      <c r="B480" s="1" t="n">
        <v>45883.57451388889</v>
      </c>
      <c r="C480" s="1" t="n">
        <v>45917</v>
      </c>
      <c r="D480" t="inlineStr">
        <is>
          <t>VÄSTERBOTTENS LÄN</t>
        </is>
      </c>
      <c r="E480" t="inlineStr">
        <is>
          <t>VILHELMINA</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38454-2025</t>
        </is>
      </c>
      <c r="B481" s="1" t="n">
        <v>45883.67839120371</v>
      </c>
      <c r="C481" s="1" t="n">
        <v>45917</v>
      </c>
      <c r="D481" t="inlineStr">
        <is>
          <t>VÄSTERBOTTENS LÄN</t>
        </is>
      </c>
      <c r="E481" t="inlineStr">
        <is>
          <t>VILHELMINA</t>
        </is>
      </c>
      <c r="G481" t="n">
        <v>4.8</v>
      </c>
      <c r="H481" t="n">
        <v>0</v>
      </c>
      <c r="I481" t="n">
        <v>0</v>
      </c>
      <c r="J481" t="n">
        <v>0</v>
      </c>
      <c r="K481" t="n">
        <v>0</v>
      </c>
      <c r="L481" t="n">
        <v>0</v>
      </c>
      <c r="M481" t="n">
        <v>0</v>
      </c>
      <c r="N481" t="n">
        <v>0</v>
      </c>
      <c r="O481" t="n">
        <v>0</v>
      </c>
      <c r="P481" t="n">
        <v>0</v>
      </c>
      <c r="Q481" t="n">
        <v>0</v>
      </c>
      <c r="R481" s="2" t="inlineStr"/>
    </row>
    <row r="482" ht="15" customHeight="1">
      <c r="A482" t="inlineStr">
        <is>
          <t>A 55327-2023</t>
        </is>
      </c>
      <c r="B482" s="1" t="n">
        <v>45237.97375</v>
      </c>
      <c r="C482" s="1" t="n">
        <v>45917</v>
      </c>
      <c r="D482" t="inlineStr">
        <is>
          <t>VÄSTERBOTTENS LÄN</t>
        </is>
      </c>
      <c r="E482" t="inlineStr">
        <is>
          <t>VILHELMINA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40462-2024</t>
        </is>
      </c>
      <c r="B483" s="1" t="n">
        <v>45555.51084490741</v>
      </c>
      <c r="C483" s="1" t="n">
        <v>45917</v>
      </c>
      <c r="D483" t="inlineStr">
        <is>
          <t>VÄSTERBOTTENS LÄN</t>
        </is>
      </c>
      <c r="E483" t="inlineStr">
        <is>
          <t>VILHELMINA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10833-2022</t>
        </is>
      </c>
      <c r="B484" s="1" t="n">
        <v>44627</v>
      </c>
      <c r="C484" s="1" t="n">
        <v>45917</v>
      </c>
      <c r="D484" t="inlineStr">
        <is>
          <t>VÄSTERBOTTENS LÄN</t>
        </is>
      </c>
      <c r="E484" t="inlineStr">
        <is>
          <t>VILHELMINA</t>
        </is>
      </c>
      <c r="G484" t="n">
        <v>5.4</v>
      </c>
      <c r="H484" t="n">
        <v>0</v>
      </c>
      <c r="I484" t="n">
        <v>0</v>
      </c>
      <c r="J484" t="n">
        <v>0</v>
      </c>
      <c r="K484" t="n">
        <v>0</v>
      </c>
      <c r="L484" t="n">
        <v>0</v>
      </c>
      <c r="M484" t="n">
        <v>0</v>
      </c>
      <c r="N484" t="n">
        <v>0</v>
      </c>
      <c r="O484" t="n">
        <v>0</v>
      </c>
      <c r="P484" t="n">
        <v>0</v>
      </c>
      <c r="Q484" t="n">
        <v>0</v>
      </c>
      <c r="R484" s="2" t="inlineStr"/>
    </row>
    <row r="485" ht="15" customHeight="1">
      <c r="A485" t="inlineStr">
        <is>
          <t>A 38355-2025</t>
        </is>
      </c>
      <c r="B485" s="1" t="n">
        <v>45883.53228009259</v>
      </c>
      <c r="C485" s="1" t="n">
        <v>45917</v>
      </c>
      <c r="D485" t="inlineStr">
        <is>
          <t>VÄSTERBOTTENS LÄN</t>
        </is>
      </c>
      <c r="E485" t="inlineStr">
        <is>
          <t>VILHELMINA</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46372-2021</t>
        </is>
      </c>
      <c r="B486" s="1" t="n">
        <v>44442.94226851852</v>
      </c>
      <c r="C486" s="1" t="n">
        <v>45917</v>
      </c>
      <c r="D486" t="inlineStr">
        <is>
          <t>VÄSTERBOTTENS LÄN</t>
        </is>
      </c>
      <c r="E486" t="inlineStr">
        <is>
          <t>VILHELMINA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38357-2025</t>
        </is>
      </c>
      <c r="B487" s="1" t="n">
        <v>45883.53263888889</v>
      </c>
      <c r="C487" s="1" t="n">
        <v>45917</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38356-2025</t>
        </is>
      </c>
      <c r="B488" s="1" t="n">
        <v>45883.53247685185</v>
      </c>
      <c r="C488" s="1" t="n">
        <v>45917</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38360-2025</t>
        </is>
      </c>
      <c r="B489" s="1" t="n">
        <v>45883.53290509259</v>
      </c>
      <c r="C489" s="1" t="n">
        <v>45917</v>
      </c>
      <c r="D489" t="inlineStr">
        <is>
          <t>VÄSTERBOTTENS LÄN</t>
        </is>
      </c>
      <c r="E489" t="inlineStr">
        <is>
          <t>VILHELMINA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38243-2025</t>
        </is>
      </c>
      <c r="B490" s="1" t="n">
        <v>45883.36553240741</v>
      </c>
      <c r="C490" s="1" t="n">
        <v>45917</v>
      </c>
      <c r="D490" t="inlineStr">
        <is>
          <t>VÄSTERBOTTENS LÄN</t>
        </is>
      </c>
      <c r="E490" t="inlineStr">
        <is>
          <t>VILHELMINA</t>
        </is>
      </c>
      <c r="G490" t="n">
        <v>4.7</v>
      </c>
      <c r="H490" t="n">
        <v>0</v>
      </c>
      <c r="I490" t="n">
        <v>0</v>
      </c>
      <c r="J490" t="n">
        <v>0</v>
      </c>
      <c r="K490" t="n">
        <v>0</v>
      </c>
      <c r="L490" t="n">
        <v>0</v>
      </c>
      <c r="M490" t="n">
        <v>0</v>
      </c>
      <c r="N490" t="n">
        <v>0</v>
      </c>
      <c r="O490" t="n">
        <v>0</v>
      </c>
      <c r="P490" t="n">
        <v>0</v>
      </c>
      <c r="Q490" t="n">
        <v>0</v>
      </c>
      <c r="R490" s="2" t="inlineStr"/>
    </row>
    <row r="491" ht="15" customHeight="1">
      <c r="A491" t="inlineStr">
        <is>
          <t>A 38429-2025</t>
        </is>
      </c>
      <c r="B491" s="1" t="n">
        <v>45883.63638888889</v>
      </c>
      <c r="C491" s="1" t="n">
        <v>45917</v>
      </c>
      <c r="D491" t="inlineStr">
        <is>
          <t>VÄSTERBOTTENS LÄN</t>
        </is>
      </c>
      <c r="E491" t="inlineStr">
        <is>
          <t>VILHELMINA</t>
        </is>
      </c>
      <c r="G491" t="n">
        <v>5.5</v>
      </c>
      <c r="H491" t="n">
        <v>0</v>
      </c>
      <c r="I491" t="n">
        <v>0</v>
      </c>
      <c r="J491" t="n">
        <v>0</v>
      </c>
      <c r="K491" t="n">
        <v>0</v>
      </c>
      <c r="L491" t="n">
        <v>0</v>
      </c>
      <c r="M491" t="n">
        <v>0</v>
      </c>
      <c r="N491" t="n">
        <v>0</v>
      </c>
      <c r="O491" t="n">
        <v>0</v>
      </c>
      <c r="P491" t="n">
        <v>0</v>
      </c>
      <c r="Q491" t="n">
        <v>0</v>
      </c>
      <c r="R491" s="2" t="inlineStr"/>
    </row>
    <row r="492" ht="15" customHeight="1">
      <c r="A492" t="inlineStr">
        <is>
          <t>A 38430-2025</t>
        </is>
      </c>
      <c r="B492" s="1" t="n">
        <v>45883.6364699074</v>
      </c>
      <c r="C492" s="1" t="n">
        <v>45917</v>
      </c>
      <c r="D492" t="inlineStr">
        <is>
          <t>VÄSTERBOTTENS LÄN</t>
        </is>
      </c>
      <c r="E492" t="inlineStr">
        <is>
          <t>VILHELMINA</t>
        </is>
      </c>
      <c r="G492" t="n">
        <v>36.7</v>
      </c>
      <c r="H492" t="n">
        <v>0</v>
      </c>
      <c r="I492" t="n">
        <v>0</v>
      </c>
      <c r="J492" t="n">
        <v>0</v>
      </c>
      <c r="K492" t="n">
        <v>0</v>
      </c>
      <c r="L492" t="n">
        <v>0</v>
      </c>
      <c r="M492" t="n">
        <v>0</v>
      </c>
      <c r="N492" t="n">
        <v>0</v>
      </c>
      <c r="O492" t="n">
        <v>0</v>
      </c>
      <c r="P492" t="n">
        <v>0</v>
      </c>
      <c r="Q492" t="n">
        <v>0</v>
      </c>
      <c r="R492" s="2" t="inlineStr"/>
    </row>
    <row r="493" ht="15" customHeight="1">
      <c r="A493" t="inlineStr">
        <is>
          <t>A 28722-2022</t>
        </is>
      </c>
      <c r="B493" s="1" t="n">
        <v>44748</v>
      </c>
      <c r="C493" s="1" t="n">
        <v>45917</v>
      </c>
      <c r="D493" t="inlineStr">
        <is>
          <t>VÄSTERBOTTENS LÄN</t>
        </is>
      </c>
      <c r="E493" t="inlineStr">
        <is>
          <t>VILHELMINA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48229-2024</t>
        </is>
      </c>
      <c r="B494" s="1" t="n">
        <v>45590.37554398148</v>
      </c>
      <c r="C494" s="1" t="n">
        <v>45917</v>
      </c>
      <c r="D494" t="inlineStr">
        <is>
          <t>VÄSTERBOTTENS LÄN</t>
        </is>
      </c>
      <c r="E494" t="inlineStr">
        <is>
          <t>VILHELMINA</t>
        </is>
      </c>
      <c r="G494" t="n">
        <v>11.6</v>
      </c>
      <c r="H494" t="n">
        <v>0</v>
      </c>
      <c r="I494" t="n">
        <v>0</v>
      </c>
      <c r="J494" t="n">
        <v>0</v>
      </c>
      <c r="K494" t="n">
        <v>0</v>
      </c>
      <c r="L494" t="n">
        <v>0</v>
      </c>
      <c r="M494" t="n">
        <v>0</v>
      </c>
      <c r="N494" t="n">
        <v>0</v>
      </c>
      <c r="O494" t="n">
        <v>0</v>
      </c>
      <c r="P494" t="n">
        <v>0</v>
      </c>
      <c r="Q494" t="n">
        <v>0</v>
      </c>
      <c r="R494" s="2" t="inlineStr"/>
    </row>
    <row r="495" ht="15" customHeight="1">
      <c r="A495" t="inlineStr">
        <is>
          <t>A 43251-2024</t>
        </is>
      </c>
      <c r="B495" s="1" t="n">
        <v>45568.34429398148</v>
      </c>
      <c r="C495" s="1" t="n">
        <v>45917</v>
      </c>
      <c r="D495" t="inlineStr">
        <is>
          <t>VÄSTERBOTTENS LÄN</t>
        </is>
      </c>
      <c r="E495" t="inlineStr">
        <is>
          <t>VILHELMINA</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38242-2025</t>
        </is>
      </c>
      <c r="B496" s="1" t="n">
        <v>45883.36547453704</v>
      </c>
      <c r="C496" s="1" t="n">
        <v>45917</v>
      </c>
      <c r="D496" t="inlineStr">
        <is>
          <t>VÄSTERBOTTENS LÄN</t>
        </is>
      </c>
      <c r="E496" t="inlineStr">
        <is>
          <t>VILHELMINA</t>
        </is>
      </c>
      <c r="G496" t="n">
        <v>1.4</v>
      </c>
      <c r="H496" t="n">
        <v>0</v>
      </c>
      <c r="I496" t="n">
        <v>0</v>
      </c>
      <c r="J496" t="n">
        <v>0</v>
      </c>
      <c r="K496" t="n">
        <v>0</v>
      </c>
      <c r="L496" t="n">
        <v>0</v>
      </c>
      <c r="M496" t="n">
        <v>0</v>
      </c>
      <c r="N496" t="n">
        <v>0</v>
      </c>
      <c r="O496" t="n">
        <v>0</v>
      </c>
      <c r="P496" t="n">
        <v>0</v>
      </c>
      <c r="Q496" t="n">
        <v>0</v>
      </c>
      <c r="R496" s="2" t="inlineStr"/>
    </row>
    <row r="497" ht="15" customHeight="1">
      <c r="A497" t="inlineStr">
        <is>
          <t>A 33641-2025</t>
        </is>
      </c>
      <c r="B497" s="1" t="n">
        <v>45841.65045138889</v>
      </c>
      <c r="C497" s="1" t="n">
        <v>45917</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38597-2025</t>
        </is>
      </c>
      <c r="B498" s="1" t="n">
        <v>45884.49061342593</v>
      </c>
      <c r="C498" s="1" t="n">
        <v>45917</v>
      </c>
      <c r="D498" t="inlineStr">
        <is>
          <t>VÄSTERBOTTENS LÄN</t>
        </is>
      </c>
      <c r="E498" t="inlineStr">
        <is>
          <t>VILHELMINA</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12373-2024</t>
        </is>
      </c>
      <c r="B499" s="1" t="n">
        <v>45378</v>
      </c>
      <c r="C499" s="1" t="n">
        <v>45917</v>
      </c>
      <c r="D499" t="inlineStr">
        <is>
          <t>VÄSTERBOTTENS LÄN</t>
        </is>
      </c>
      <c r="E499" t="inlineStr">
        <is>
          <t>VILHELMINA</t>
        </is>
      </c>
      <c r="G499" t="n">
        <v>0.7</v>
      </c>
      <c r="H499" t="n">
        <v>0</v>
      </c>
      <c r="I499" t="n">
        <v>0</v>
      </c>
      <c r="J499" t="n">
        <v>0</v>
      </c>
      <c r="K499" t="n">
        <v>0</v>
      </c>
      <c r="L499" t="n">
        <v>0</v>
      </c>
      <c r="M499" t="n">
        <v>0</v>
      </c>
      <c r="N499" t="n">
        <v>0</v>
      </c>
      <c r="O499" t="n">
        <v>0</v>
      </c>
      <c r="P499" t="n">
        <v>0</v>
      </c>
      <c r="Q499" t="n">
        <v>0</v>
      </c>
      <c r="R499" s="2" t="inlineStr"/>
    </row>
    <row r="500" ht="15" customHeight="1">
      <c r="A500" t="inlineStr">
        <is>
          <t>A 38580-2025</t>
        </is>
      </c>
      <c r="B500" s="1" t="n">
        <v>45884.46951388889</v>
      </c>
      <c r="C500" s="1" t="n">
        <v>45917</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25551-2024</t>
        </is>
      </c>
      <c r="B501" s="1" t="n">
        <v>45463</v>
      </c>
      <c r="C501" s="1" t="n">
        <v>45917</v>
      </c>
      <c r="D501" t="inlineStr">
        <is>
          <t>VÄSTERBOTTENS LÄN</t>
        </is>
      </c>
      <c r="E501" t="inlineStr">
        <is>
          <t>VILHELMINA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34413-2025</t>
        </is>
      </c>
      <c r="B502" s="1" t="n">
        <v>45845</v>
      </c>
      <c r="C502" s="1" t="n">
        <v>45917</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39138-2025</t>
        </is>
      </c>
      <c r="B503" s="1" t="n">
        <v>45888.59435185185</v>
      </c>
      <c r="C503" s="1" t="n">
        <v>45917</v>
      </c>
      <c r="D503" t="inlineStr">
        <is>
          <t>VÄSTERBOTTENS LÄN</t>
        </is>
      </c>
      <c r="E503" t="inlineStr">
        <is>
          <t>VILHELMINA</t>
        </is>
      </c>
      <c r="G503" t="n">
        <v>6.7</v>
      </c>
      <c r="H503" t="n">
        <v>0</v>
      </c>
      <c r="I503" t="n">
        <v>0</v>
      </c>
      <c r="J503" t="n">
        <v>0</v>
      </c>
      <c r="K503" t="n">
        <v>0</v>
      </c>
      <c r="L503" t="n">
        <v>0</v>
      </c>
      <c r="M503" t="n">
        <v>0</v>
      </c>
      <c r="N503" t="n">
        <v>0</v>
      </c>
      <c r="O503" t="n">
        <v>0</v>
      </c>
      <c r="P503" t="n">
        <v>0</v>
      </c>
      <c r="Q503" t="n">
        <v>0</v>
      </c>
      <c r="R503" s="2" t="inlineStr"/>
    </row>
    <row r="504" ht="15" customHeight="1">
      <c r="A504" t="inlineStr">
        <is>
          <t>A 21843-2024</t>
        </is>
      </c>
      <c r="B504" s="1" t="n">
        <v>45442.96064814815</v>
      </c>
      <c r="C504" s="1" t="n">
        <v>45917</v>
      </c>
      <c r="D504" t="inlineStr">
        <is>
          <t>VÄSTERBOTTENS LÄN</t>
        </is>
      </c>
      <c r="E504" t="inlineStr">
        <is>
          <t>VILHELMINA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34819-2024</t>
        </is>
      </c>
      <c r="B505" s="1" t="n">
        <v>45526.71134259259</v>
      </c>
      <c r="C505" s="1" t="n">
        <v>45917</v>
      </c>
      <c r="D505" t="inlineStr">
        <is>
          <t>VÄSTERBOTTENS LÄN</t>
        </is>
      </c>
      <c r="E505" t="inlineStr">
        <is>
          <t>VILHELMINA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29954-2023</t>
        </is>
      </c>
      <c r="B506" s="1" t="n">
        <v>45107</v>
      </c>
      <c r="C506" s="1" t="n">
        <v>45917</v>
      </c>
      <c r="D506" t="inlineStr">
        <is>
          <t>VÄSTERBOTTENS LÄN</t>
        </is>
      </c>
      <c r="E506" t="inlineStr">
        <is>
          <t>VILHELMINA</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12043-2023</t>
        </is>
      </c>
      <c r="B507" s="1" t="n">
        <v>44995</v>
      </c>
      <c r="C507" s="1" t="n">
        <v>45917</v>
      </c>
      <c r="D507" t="inlineStr">
        <is>
          <t>VÄSTERBOTTENS LÄN</t>
        </is>
      </c>
      <c r="E507" t="inlineStr">
        <is>
          <t>VILHELMINA</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26143-2025</t>
        </is>
      </c>
      <c r="B508" s="1" t="n">
        <v>45805</v>
      </c>
      <c r="C508" s="1" t="n">
        <v>45917</v>
      </c>
      <c r="D508" t="inlineStr">
        <is>
          <t>VÄSTERBOTTENS LÄN</t>
        </is>
      </c>
      <c r="E508" t="inlineStr">
        <is>
          <t>VILHELMINA</t>
        </is>
      </c>
      <c r="G508" t="n">
        <v>20</v>
      </c>
      <c r="H508" t="n">
        <v>0</v>
      </c>
      <c r="I508" t="n">
        <v>0</v>
      </c>
      <c r="J508" t="n">
        <v>0</v>
      </c>
      <c r="K508" t="n">
        <v>0</v>
      </c>
      <c r="L508" t="n">
        <v>0</v>
      </c>
      <c r="M508" t="n">
        <v>0</v>
      </c>
      <c r="N508" t="n">
        <v>0</v>
      </c>
      <c r="O508" t="n">
        <v>0</v>
      </c>
      <c r="P508" t="n">
        <v>0</v>
      </c>
      <c r="Q508" t="n">
        <v>0</v>
      </c>
      <c r="R508" s="2" t="inlineStr"/>
    </row>
    <row r="509" ht="15" customHeight="1">
      <c r="A509" t="inlineStr">
        <is>
          <t>A 37714-2024</t>
        </is>
      </c>
      <c r="B509" s="1" t="n">
        <v>45541.63569444444</v>
      </c>
      <c r="C509" s="1" t="n">
        <v>45917</v>
      </c>
      <c r="D509" t="inlineStr">
        <is>
          <t>VÄSTERBOTTENS LÄN</t>
        </is>
      </c>
      <c r="E509" t="inlineStr">
        <is>
          <t>VILHELMINA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37715-2024</t>
        </is>
      </c>
      <c r="B510" s="1" t="n">
        <v>45541.63581018519</v>
      </c>
      <c r="C510" s="1" t="n">
        <v>45917</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44285-2024</t>
        </is>
      </c>
      <c r="B511" s="1" t="n">
        <v>45573</v>
      </c>
      <c r="C511" s="1" t="n">
        <v>45917</v>
      </c>
      <c r="D511" t="inlineStr">
        <is>
          <t>VÄSTERBOTTENS LÄN</t>
        </is>
      </c>
      <c r="E511" t="inlineStr">
        <is>
          <t>VILHELMINA</t>
        </is>
      </c>
      <c r="G511" t="n">
        <v>30.9</v>
      </c>
      <c r="H511" t="n">
        <v>0</v>
      </c>
      <c r="I511" t="n">
        <v>0</v>
      </c>
      <c r="J511" t="n">
        <v>0</v>
      </c>
      <c r="K511" t="n">
        <v>0</v>
      </c>
      <c r="L511" t="n">
        <v>0</v>
      </c>
      <c r="M511" t="n">
        <v>0</v>
      </c>
      <c r="N511" t="n">
        <v>0</v>
      </c>
      <c r="O511" t="n">
        <v>0</v>
      </c>
      <c r="P511" t="n">
        <v>0</v>
      </c>
      <c r="Q511" t="n">
        <v>0</v>
      </c>
      <c r="R511" s="2" t="inlineStr"/>
    </row>
    <row r="512" ht="15" customHeight="1">
      <c r="A512" t="inlineStr">
        <is>
          <t>A 48117-2022</t>
        </is>
      </c>
      <c r="B512" s="1" t="n">
        <v>44857</v>
      </c>
      <c r="C512" s="1" t="n">
        <v>45917</v>
      </c>
      <c r="D512" t="inlineStr">
        <is>
          <t>VÄSTERBOTTENS LÄN</t>
        </is>
      </c>
      <c r="E512" t="inlineStr">
        <is>
          <t>VILHELMINA</t>
        </is>
      </c>
      <c r="G512" t="n">
        <v>5.6</v>
      </c>
      <c r="H512" t="n">
        <v>0</v>
      </c>
      <c r="I512" t="n">
        <v>0</v>
      </c>
      <c r="J512" t="n">
        <v>0</v>
      </c>
      <c r="K512" t="n">
        <v>0</v>
      </c>
      <c r="L512" t="n">
        <v>0</v>
      </c>
      <c r="M512" t="n">
        <v>0</v>
      </c>
      <c r="N512" t="n">
        <v>0</v>
      </c>
      <c r="O512" t="n">
        <v>0</v>
      </c>
      <c r="P512" t="n">
        <v>0</v>
      </c>
      <c r="Q512" t="n">
        <v>0</v>
      </c>
      <c r="R512" s="2" t="inlineStr"/>
    </row>
    <row r="513" ht="15" customHeight="1">
      <c r="A513" t="inlineStr">
        <is>
          <t>A 64421-2023</t>
        </is>
      </c>
      <c r="B513" s="1" t="n">
        <v>45280</v>
      </c>
      <c r="C513" s="1" t="n">
        <v>45917</v>
      </c>
      <c r="D513" t="inlineStr">
        <is>
          <t>VÄSTERBOTTENS LÄN</t>
        </is>
      </c>
      <c r="E513" t="inlineStr">
        <is>
          <t>VILHELMINA</t>
        </is>
      </c>
      <c r="G513" t="n">
        <v>4.9</v>
      </c>
      <c r="H513" t="n">
        <v>0</v>
      </c>
      <c r="I513" t="n">
        <v>0</v>
      </c>
      <c r="J513" t="n">
        <v>0</v>
      </c>
      <c r="K513" t="n">
        <v>0</v>
      </c>
      <c r="L513" t="n">
        <v>0</v>
      </c>
      <c r="M513" t="n">
        <v>0</v>
      </c>
      <c r="N513" t="n">
        <v>0</v>
      </c>
      <c r="O513" t="n">
        <v>0</v>
      </c>
      <c r="P513" t="n">
        <v>0</v>
      </c>
      <c r="Q513" t="n">
        <v>0</v>
      </c>
      <c r="R513" s="2" t="inlineStr"/>
    </row>
    <row r="514" ht="15" customHeight="1">
      <c r="A514" t="inlineStr">
        <is>
          <t>A 34253-2025</t>
        </is>
      </c>
      <c r="B514" s="1" t="n">
        <v>45845</v>
      </c>
      <c r="C514" s="1" t="n">
        <v>45917</v>
      </c>
      <c r="D514" t="inlineStr">
        <is>
          <t>VÄSTERBOTTENS LÄN</t>
        </is>
      </c>
      <c r="E514" t="inlineStr">
        <is>
          <t>VILHELMINA</t>
        </is>
      </c>
      <c r="G514" t="n">
        <v>14.3</v>
      </c>
      <c r="H514" t="n">
        <v>0</v>
      </c>
      <c r="I514" t="n">
        <v>0</v>
      </c>
      <c r="J514" t="n">
        <v>0</v>
      </c>
      <c r="K514" t="n">
        <v>0</v>
      </c>
      <c r="L514" t="n">
        <v>0</v>
      </c>
      <c r="M514" t="n">
        <v>0</v>
      </c>
      <c r="N514" t="n">
        <v>0</v>
      </c>
      <c r="O514" t="n">
        <v>0</v>
      </c>
      <c r="P514" t="n">
        <v>0</v>
      </c>
      <c r="Q514" t="n">
        <v>0</v>
      </c>
      <c r="R514" s="2" t="inlineStr"/>
    </row>
    <row r="515" ht="15" customHeight="1">
      <c r="A515" t="inlineStr">
        <is>
          <t>A 4869-2023</t>
        </is>
      </c>
      <c r="B515" s="1" t="n">
        <v>44957</v>
      </c>
      <c r="C515" s="1" t="n">
        <v>45917</v>
      </c>
      <c r="D515" t="inlineStr">
        <is>
          <t>VÄSTERBOTTENS LÄN</t>
        </is>
      </c>
      <c r="E515" t="inlineStr">
        <is>
          <t>VILHELMINA</t>
        </is>
      </c>
      <c r="G515" t="n">
        <v>5.7</v>
      </c>
      <c r="H515" t="n">
        <v>0</v>
      </c>
      <c r="I515" t="n">
        <v>0</v>
      </c>
      <c r="J515" t="n">
        <v>0</v>
      </c>
      <c r="K515" t="n">
        <v>0</v>
      </c>
      <c r="L515" t="n">
        <v>0</v>
      </c>
      <c r="M515" t="n">
        <v>0</v>
      </c>
      <c r="N515" t="n">
        <v>0</v>
      </c>
      <c r="O515" t="n">
        <v>0</v>
      </c>
      <c r="P515" t="n">
        <v>0</v>
      </c>
      <c r="Q515" t="n">
        <v>0</v>
      </c>
      <c r="R515" s="2" t="inlineStr"/>
    </row>
    <row r="516" ht="15" customHeight="1">
      <c r="A516" t="inlineStr">
        <is>
          <t>A 24828-2023</t>
        </is>
      </c>
      <c r="B516" s="1" t="n">
        <v>45084</v>
      </c>
      <c r="C516" s="1" t="n">
        <v>45917</v>
      </c>
      <c r="D516" t="inlineStr">
        <is>
          <t>VÄSTERBOTTENS LÄN</t>
        </is>
      </c>
      <c r="E516" t="inlineStr">
        <is>
          <t>VILHELMINA</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39320-2025</t>
        </is>
      </c>
      <c r="B517" s="1" t="n">
        <v>45889.46940972222</v>
      </c>
      <c r="C517" s="1" t="n">
        <v>45917</v>
      </c>
      <c r="D517" t="inlineStr">
        <is>
          <t>VÄSTERBOTTENS LÄN</t>
        </is>
      </c>
      <c r="E517" t="inlineStr">
        <is>
          <t>VILHELMINA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6664-2021</t>
        </is>
      </c>
      <c r="B518" s="1" t="n">
        <v>44235</v>
      </c>
      <c r="C518" s="1" t="n">
        <v>45917</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6699-2021</t>
        </is>
      </c>
      <c r="B519" s="1" t="n">
        <v>44235</v>
      </c>
      <c r="C519" s="1" t="n">
        <v>45917</v>
      </c>
      <c r="D519" t="inlineStr">
        <is>
          <t>VÄSTERBOTTENS LÄN</t>
        </is>
      </c>
      <c r="E519" t="inlineStr">
        <is>
          <t>VILHELMINA</t>
        </is>
      </c>
      <c r="G519" t="n">
        <v>6.9</v>
      </c>
      <c r="H519" t="n">
        <v>0</v>
      </c>
      <c r="I519" t="n">
        <v>0</v>
      </c>
      <c r="J519" t="n">
        <v>0</v>
      </c>
      <c r="K519" t="n">
        <v>0</v>
      </c>
      <c r="L519" t="n">
        <v>0</v>
      </c>
      <c r="M519" t="n">
        <v>0</v>
      </c>
      <c r="N519" t="n">
        <v>0</v>
      </c>
      <c r="O519" t="n">
        <v>0</v>
      </c>
      <c r="P519" t="n">
        <v>0</v>
      </c>
      <c r="Q519" t="n">
        <v>0</v>
      </c>
      <c r="R519" s="2" t="inlineStr"/>
    </row>
    <row r="520" ht="15" customHeight="1">
      <c r="A520" t="inlineStr">
        <is>
          <t>A 61779-2023</t>
        </is>
      </c>
      <c r="B520" s="1" t="n">
        <v>45265.95677083333</v>
      </c>
      <c r="C520" s="1" t="n">
        <v>45917</v>
      </c>
      <c r="D520" t="inlineStr">
        <is>
          <t>VÄSTERBOTTENS LÄN</t>
        </is>
      </c>
      <c r="E520" t="inlineStr">
        <is>
          <t>VILHELMINA</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39571-2025</t>
        </is>
      </c>
      <c r="B521" s="1" t="n">
        <v>45890.49021990741</v>
      </c>
      <c r="C521" s="1" t="n">
        <v>45917</v>
      </c>
      <c r="D521" t="inlineStr">
        <is>
          <t>VÄSTERBOTTENS LÄN</t>
        </is>
      </c>
      <c r="E521" t="inlineStr">
        <is>
          <t>VILHELMINA</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34799-2023</t>
        </is>
      </c>
      <c r="B522" s="1" t="n">
        <v>45140</v>
      </c>
      <c r="C522" s="1" t="n">
        <v>45917</v>
      </c>
      <c r="D522" t="inlineStr">
        <is>
          <t>VÄSTERBOTTENS LÄN</t>
        </is>
      </c>
      <c r="E522" t="inlineStr">
        <is>
          <t>VILHELMINA</t>
        </is>
      </c>
      <c r="G522" t="n">
        <v>17.4</v>
      </c>
      <c r="H522" t="n">
        <v>0</v>
      </c>
      <c r="I522" t="n">
        <v>0</v>
      </c>
      <c r="J522" t="n">
        <v>0</v>
      </c>
      <c r="K522" t="n">
        <v>0</v>
      </c>
      <c r="L522" t="n">
        <v>0</v>
      </c>
      <c r="M522" t="n">
        <v>0</v>
      </c>
      <c r="N522" t="n">
        <v>0</v>
      </c>
      <c r="O522" t="n">
        <v>0</v>
      </c>
      <c r="P522" t="n">
        <v>0</v>
      </c>
      <c r="Q522" t="n">
        <v>0</v>
      </c>
      <c r="R522" s="2" t="inlineStr"/>
    </row>
    <row r="523" ht="15" customHeight="1">
      <c r="A523" t="inlineStr">
        <is>
          <t>A 39533-2025</t>
        </is>
      </c>
      <c r="B523" s="1" t="n">
        <v>45890.44863425926</v>
      </c>
      <c r="C523" s="1" t="n">
        <v>45917</v>
      </c>
      <c r="D523" t="inlineStr">
        <is>
          <t>VÄSTERBOTTENS LÄN</t>
        </is>
      </c>
      <c r="E523" t="inlineStr">
        <is>
          <t>VILHELMINA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34569-2025</t>
        </is>
      </c>
      <c r="B524" s="1" t="n">
        <v>45847.58480324074</v>
      </c>
      <c r="C524" s="1" t="n">
        <v>45917</v>
      </c>
      <c r="D524" t="inlineStr">
        <is>
          <t>VÄSTERBOTTENS LÄN</t>
        </is>
      </c>
      <c r="E524" t="inlineStr">
        <is>
          <t>VILHELMINA</t>
        </is>
      </c>
      <c r="G524" t="n">
        <v>5.3</v>
      </c>
      <c r="H524" t="n">
        <v>0</v>
      </c>
      <c r="I524" t="n">
        <v>0</v>
      </c>
      <c r="J524" t="n">
        <v>0</v>
      </c>
      <c r="K524" t="n">
        <v>0</v>
      </c>
      <c r="L524" t="n">
        <v>0</v>
      </c>
      <c r="M524" t="n">
        <v>0</v>
      </c>
      <c r="N524" t="n">
        <v>0</v>
      </c>
      <c r="O524" t="n">
        <v>0</v>
      </c>
      <c r="P524" t="n">
        <v>0</v>
      </c>
      <c r="Q524" t="n">
        <v>0</v>
      </c>
      <c r="R524" s="2" t="inlineStr"/>
    </row>
    <row r="525" ht="15" customHeight="1">
      <c r="A525" t="inlineStr">
        <is>
          <t>A 30572-2024</t>
        </is>
      </c>
      <c r="B525" s="1" t="n">
        <v>45492.95777777778</v>
      </c>
      <c r="C525" s="1" t="n">
        <v>45917</v>
      </c>
      <c r="D525" t="inlineStr">
        <is>
          <t>VÄSTERBOTTENS LÄN</t>
        </is>
      </c>
      <c r="E525" t="inlineStr">
        <is>
          <t>VILHELMINA</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30582-2024</t>
        </is>
      </c>
      <c r="B526" s="1" t="n">
        <v>45492</v>
      </c>
      <c r="C526" s="1" t="n">
        <v>45917</v>
      </c>
      <c r="D526" t="inlineStr">
        <is>
          <t>VÄSTERBOTTENS LÄN</t>
        </is>
      </c>
      <c r="E526" t="inlineStr">
        <is>
          <t>VILHELMINA</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34542-2025</t>
        </is>
      </c>
      <c r="B527" s="1" t="n">
        <v>45847.53211805555</v>
      </c>
      <c r="C527" s="1" t="n">
        <v>45917</v>
      </c>
      <c r="D527" t="inlineStr">
        <is>
          <t>VÄSTERBOTTENS LÄN</t>
        </is>
      </c>
      <c r="E527" t="inlineStr">
        <is>
          <t>VILHELMINA</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55620-2024</t>
        </is>
      </c>
      <c r="B528" s="1" t="n">
        <v>45622</v>
      </c>
      <c r="C528" s="1" t="n">
        <v>45917</v>
      </c>
      <c r="D528" t="inlineStr">
        <is>
          <t>VÄSTERBOTTENS LÄN</t>
        </is>
      </c>
      <c r="E528" t="inlineStr">
        <is>
          <t>VILHELMINA</t>
        </is>
      </c>
      <c r="F528" t="inlineStr">
        <is>
          <t>SCA</t>
        </is>
      </c>
      <c r="G528" t="n">
        <v>21.4</v>
      </c>
      <c r="H528" t="n">
        <v>0</v>
      </c>
      <c r="I528" t="n">
        <v>0</v>
      </c>
      <c r="J528" t="n">
        <v>0</v>
      </c>
      <c r="K528" t="n">
        <v>0</v>
      </c>
      <c r="L528" t="n">
        <v>0</v>
      </c>
      <c r="M528" t="n">
        <v>0</v>
      </c>
      <c r="N528" t="n">
        <v>0</v>
      </c>
      <c r="O528" t="n">
        <v>0</v>
      </c>
      <c r="P528" t="n">
        <v>0</v>
      </c>
      <c r="Q528" t="n">
        <v>0</v>
      </c>
      <c r="R528" s="2" t="inlineStr"/>
    </row>
    <row r="529" ht="15" customHeight="1">
      <c r="A529" t="inlineStr">
        <is>
          <t>A 12364-2025</t>
        </is>
      </c>
      <c r="B529" s="1" t="n">
        <v>45730.37515046296</v>
      </c>
      <c r="C529" s="1" t="n">
        <v>45917</v>
      </c>
      <c r="D529" t="inlineStr">
        <is>
          <t>VÄSTERBOTTENS LÄN</t>
        </is>
      </c>
      <c r="E529" t="inlineStr">
        <is>
          <t>VILHELMINA</t>
        </is>
      </c>
      <c r="F529" t="inlineStr">
        <is>
          <t>Övriga statliga verk och myndigheter</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12377-2025</t>
        </is>
      </c>
      <c r="B530" s="1" t="n">
        <v>45730</v>
      </c>
      <c r="C530" s="1" t="n">
        <v>45917</v>
      </c>
      <c r="D530" t="inlineStr">
        <is>
          <t>VÄSTERBOTTENS LÄN</t>
        </is>
      </c>
      <c r="E530" t="inlineStr">
        <is>
          <t>VILHELMINA</t>
        </is>
      </c>
      <c r="F530" t="inlineStr">
        <is>
          <t>Övriga statliga verk och myndigheter</t>
        </is>
      </c>
      <c r="G530" t="n">
        <v>37.1</v>
      </c>
      <c r="H530" t="n">
        <v>0</v>
      </c>
      <c r="I530" t="n">
        <v>0</v>
      </c>
      <c r="J530" t="n">
        <v>0</v>
      </c>
      <c r="K530" t="n">
        <v>0</v>
      </c>
      <c r="L530" t="n">
        <v>0</v>
      </c>
      <c r="M530" t="n">
        <v>0</v>
      </c>
      <c r="N530" t="n">
        <v>0</v>
      </c>
      <c r="O530" t="n">
        <v>0</v>
      </c>
      <c r="P530" t="n">
        <v>0</v>
      </c>
      <c r="Q530" t="n">
        <v>0</v>
      </c>
      <c r="R530" s="2" t="inlineStr"/>
    </row>
    <row r="531" ht="15" customHeight="1">
      <c r="A531" t="inlineStr">
        <is>
          <t>A 37320-2021</t>
        </is>
      </c>
      <c r="B531" s="1" t="n">
        <v>44397</v>
      </c>
      <c r="C531" s="1" t="n">
        <v>45917</v>
      </c>
      <c r="D531" t="inlineStr">
        <is>
          <t>VÄSTERBOTTENS LÄN</t>
        </is>
      </c>
      <c r="E531" t="inlineStr">
        <is>
          <t>VILHELMINA</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59671-2023</t>
        </is>
      </c>
      <c r="B532" s="1" t="n">
        <v>45254.96524305556</v>
      </c>
      <c r="C532" s="1" t="n">
        <v>45917</v>
      </c>
      <c r="D532" t="inlineStr">
        <is>
          <t>VÄSTERBOTTENS LÄN</t>
        </is>
      </c>
      <c r="E532" t="inlineStr">
        <is>
          <t>VILHELMINA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34563-2025</t>
        </is>
      </c>
      <c r="B533" s="1" t="n">
        <v>45847.57950231482</v>
      </c>
      <c r="C533" s="1" t="n">
        <v>45917</v>
      </c>
      <c r="D533" t="inlineStr">
        <is>
          <t>VÄSTERBOTTENS LÄN</t>
        </is>
      </c>
      <c r="E533" t="inlineStr">
        <is>
          <t>VILHELMINA</t>
        </is>
      </c>
      <c r="G533" t="n">
        <v>20.6</v>
      </c>
      <c r="H533" t="n">
        <v>0</v>
      </c>
      <c r="I533" t="n">
        <v>0</v>
      </c>
      <c r="J533" t="n">
        <v>0</v>
      </c>
      <c r="K533" t="n">
        <v>0</v>
      </c>
      <c r="L533" t="n">
        <v>0</v>
      </c>
      <c r="M533" t="n">
        <v>0</v>
      </c>
      <c r="N533" t="n">
        <v>0</v>
      </c>
      <c r="O533" t="n">
        <v>0</v>
      </c>
      <c r="P533" t="n">
        <v>0</v>
      </c>
      <c r="Q533" t="n">
        <v>0</v>
      </c>
      <c r="R533" s="2" t="inlineStr"/>
    </row>
    <row r="534" ht="15" customHeight="1">
      <c r="A534" t="inlineStr">
        <is>
          <t>A 39558-2025</t>
        </is>
      </c>
      <c r="B534" s="1" t="n">
        <v>45890.46978009259</v>
      </c>
      <c r="C534" s="1" t="n">
        <v>45917</v>
      </c>
      <c r="D534" t="inlineStr">
        <is>
          <t>VÄSTERBOTTENS LÄN</t>
        </is>
      </c>
      <c r="E534" t="inlineStr">
        <is>
          <t>VILHELMINA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54430-2024</t>
        </is>
      </c>
      <c r="B535" s="1" t="n">
        <v>45617.49107638889</v>
      </c>
      <c r="C535" s="1" t="n">
        <v>45917</v>
      </c>
      <c r="D535" t="inlineStr">
        <is>
          <t>VÄSTERBOTTENS LÄN</t>
        </is>
      </c>
      <c r="E535" t="inlineStr">
        <is>
          <t>VILHELMINA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39378-2025</t>
        </is>
      </c>
      <c r="B536" s="1" t="n">
        <v>45889.59453703704</v>
      </c>
      <c r="C536" s="1" t="n">
        <v>45917</v>
      </c>
      <c r="D536" t="inlineStr">
        <is>
          <t>VÄSTERBOTTENS LÄN</t>
        </is>
      </c>
      <c r="E536" t="inlineStr">
        <is>
          <t>VILHELMINA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39534-2025</t>
        </is>
      </c>
      <c r="B537" s="1" t="n">
        <v>45890.44875</v>
      </c>
      <c r="C537" s="1" t="n">
        <v>45917</v>
      </c>
      <c r="D537" t="inlineStr">
        <is>
          <t>VÄSTERBOTTENS LÄN</t>
        </is>
      </c>
      <c r="E537" t="inlineStr">
        <is>
          <t>VILHELMINA</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12362-2025</t>
        </is>
      </c>
      <c r="B538" s="1" t="n">
        <v>45730</v>
      </c>
      <c r="C538" s="1" t="n">
        <v>45917</v>
      </c>
      <c r="D538" t="inlineStr">
        <is>
          <t>VÄSTERBOTTENS LÄN</t>
        </is>
      </c>
      <c r="E538" t="inlineStr">
        <is>
          <t>VILHELMINA</t>
        </is>
      </c>
      <c r="F538" t="inlineStr">
        <is>
          <t>Övriga statliga verk och myndigheter</t>
        </is>
      </c>
      <c r="G538" t="n">
        <v>6.1</v>
      </c>
      <c r="H538" t="n">
        <v>0</v>
      </c>
      <c r="I538" t="n">
        <v>0</v>
      </c>
      <c r="J538" t="n">
        <v>0</v>
      </c>
      <c r="K538" t="n">
        <v>0</v>
      </c>
      <c r="L538" t="n">
        <v>0</v>
      </c>
      <c r="M538" t="n">
        <v>0</v>
      </c>
      <c r="N538" t="n">
        <v>0</v>
      </c>
      <c r="O538" t="n">
        <v>0</v>
      </c>
      <c r="P538" t="n">
        <v>0</v>
      </c>
      <c r="Q538" t="n">
        <v>0</v>
      </c>
      <c r="R538" s="2" t="inlineStr"/>
    </row>
    <row r="539" ht="15" customHeight="1">
      <c r="A539" t="inlineStr">
        <is>
          <t>A 52740-2023</t>
        </is>
      </c>
      <c r="B539" s="1" t="n">
        <v>45225</v>
      </c>
      <c r="C539" s="1" t="n">
        <v>45917</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12763-2025</t>
        </is>
      </c>
      <c r="B540" s="1" t="n">
        <v>45733</v>
      </c>
      <c r="C540" s="1" t="n">
        <v>45917</v>
      </c>
      <c r="D540" t="inlineStr">
        <is>
          <t>VÄSTERBOTTENS LÄN</t>
        </is>
      </c>
      <c r="E540" t="inlineStr">
        <is>
          <t>VILHELMINA</t>
        </is>
      </c>
      <c r="F540" t="inlineStr">
        <is>
          <t>SCA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40220-2025</t>
        </is>
      </c>
      <c r="B541" s="1" t="n">
        <v>45894</v>
      </c>
      <c r="C541" s="1" t="n">
        <v>45917</v>
      </c>
      <c r="D541" t="inlineStr">
        <is>
          <t>VÄSTERBOTTENS LÄN</t>
        </is>
      </c>
      <c r="E541" t="inlineStr">
        <is>
          <t>VILHELMINA</t>
        </is>
      </c>
      <c r="G541" t="n">
        <v>4.6</v>
      </c>
      <c r="H541" t="n">
        <v>0</v>
      </c>
      <c r="I541" t="n">
        <v>0</v>
      </c>
      <c r="J541" t="n">
        <v>0</v>
      </c>
      <c r="K541" t="n">
        <v>0</v>
      </c>
      <c r="L541" t="n">
        <v>0</v>
      </c>
      <c r="M541" t="n">
        <v>0</v>
      </c>
      <c r="N541" t="n">
        <v>0</v>
      </c>
      <c r="O541" t="n">
        <v>0</v>
      </c>
      <c r="P541" t="n">
        <v>0</v>
      </c>
      <c r="Q541" t="n">
        <v>0</v>
      </c>
      <c r="R541" s="2" t="inlineStr"/>
    </row>
    <row r="542" ht="15" customHeight="1">
      <c r="A542" t="inlineStr">
        <is>
          <t>A 46547-2023</t>
        </is>
      </c>
      <c r="B542" s="1" t="n">
        <v>45197.94158564815</v>
      </c>
      <c r="C542" s="1" t="n">
        <v>45917</v>
      </c>
      <c r="D542" t="inlineStr">
        <is>
          <t>VÄSTERBOTTENS LÄN</t>
        </is>
      </c>
      <c r="E542" t="inlineStr">
        <is>
          <t>VILHELMINA</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62405-2022</t>
        </is>
      </c>
      <c r="B543" s="1" t="n">
        <v>44923</v>
      </c>
      <c r="C543" s="1" t="n">
        <v>45917</v>
      </c>
      <c r="D543" t="inlineStr">
        <is>
          <t>VÄSTERBOTTENS LÄN</t>
        </is>
      </c>
      <c r="E543" t="inlineStr">
        <is>
          <t>VILHELMINA</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40196-2025</t>
        </is>
      </c>
      <c r="B544" s="1" t="n">
        <v>45894.65951388889</v>
      </c>
      <c r="C544" s="1" t="n">
        <v>45917</v>
      </c>
      <c r="D544" t="inlineStr">
        <is>
          <t>VÄSTERBOTTENS LÄN</t>
        </is>
      </c>
      <c r="E544" t="inlineStr">
        <is>
          <t>VILHELMINA</t>
        </is>
      </c>
      <c r="G544" t="n">
        <v>23.3</v>
      </c>
      <c r="H544" t="n">
        <v>0</v>
      </c>
      <c r="I544" t="n">
        <v>0</v>
      </c>
      <c r="J544" t="n">
        <v>0</v>
      </c>
      <c r="K544" t="n">
        <v>0</v>
      </c>
      <c r="L544" t="n">
        <v>0</v>
      </c>
      <c r="M544" t="n">
        <v>0</v>
      </c>
      <c r="N544" t="n">
        <v>0</v>
      </c>
      <c r="O544" t="n">
        <v>0</v>
      </c>
      <c r="P544" t="n">
        <v>0</v>
      </c>
      <c r="Q544" t="n">
        <v>0</v>
      </c>
      <c r="R544" s="2" t="inlineStr"/>
    </row>
    <row r="545" ht="15" customHeight="1">
      <c r="A545" t="inlineStr">
        <is>
          <t>A 14959-2022</t>
        </is>
      </c>
      <c r="B545" s="1" t="n">
        <v>44657</v>
      </c>
      <c r="C545" s="1" t="n">
        <v>45917</v>
      </c>
      <c r="D545" t="inlineStr">
        <is>
          <t>VÄSTERBOTTENS LÄN</t>
        </is>
      </c>
      <c r="E545" t="inlineStr">
        <is>
          <t>VILHELMINA</t>
        </is>
      </c>
      <c r="G545" t="n">
        <v>71.8</v>
      </c>
      <c r="H545" t="n">
        <v>0</v>
      </c>
      <c r="I545" t="n">
        <v>0</v>
      </c>
      <c r="J545" t="n">
        <v>0</v>
      </c>
      <c r="K545" t="n">
        <v>0</v>
      </c>
      <c r="L545" t="n">
        <v>0</v>
      </c>
      <c r="M545" t="n">
        <v>0</v>
      </c>
      <c r="N545" t="n">
        <v>0</v>
      </c>
      <c r="O545" t="n">
        <v>0</v>
      </c>
      <c r="P545" t="n">
        <v>0</v>
      </c>
      <c r="Q545" t="n">
        <v>0</v>
      </c>
      <c r="R545" s="2" t="inlineStr"/>
    </row>
    <row r="546" ht="15" customHeight="1">
      <c r="A546" t="inlineStr">
        <is>
          <t>A 49886-2024</t>
        </is>
      </c>
      <c r="B546" s="1" t="n">
        <v>45597</v>
      </c>
      <c r="C546" s="1" t="n">
        <v>45917</v>
      </c>
      <c r="D546" t="inlineStr">
        <is>
          <t>VÄSTERBOTTENS LÄN</t>
        </is>
      </c>
      <c r="E546" t="inlineStr">
        <is>
          <t>VILHELMINA</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40144-2025</t>
        </is>
      </c>
      <c r="B547" s="1" t="n">
        <v>45894.57322916666</v>
      </c>
      <c r="C547" s="1" t="n">
        <v>45917</v>
      </c>
      <c r="D547" t="inlineStr">
        <is>
          <t>VÄSTERBOTTENS LÄN</t>
        </is>
      </c>
      <c r="E547" t="inlineStr">
        <is>
          <t>VILHELMINA</t>
        </is>
      </c>
      <c r="G547" t="n">
        <v>6.3</v>
      </c>
      <c r="H547" t="n">
        <v>0</v>
      </c>
      <c r="I547" t="n">
        <v>0</v>
      </c>
      <c r="J547" t="n">
        <v>0</v>
      </c>
      <c r="K547" t="n">
        <v>0</v>
      </c>
      <c r="L547" t="n">
        <v>0</v>
      </c>
      <c r="M547" t="n">
        <v>0</v>
      </c>
      <c r="N547" t="n">
        <v>0</v>
      </c>
      <c r="O547" t="n">
        <v>0</v>
      </c>
      <c r="P547" t="n">
        <v>0</v>
      </c>
      <c r="Q547" t="n">
        <v>0</v>
      </c>
      <c r="R547" s="2" t="inlineStr"/>
    </row>
    <row r="548" ht="15" customHeight="1">
      <c r="A548" t="inlineStr">
        <is>
          <t>A 51134-2024</t>
        </is>
      </c>
      <c r="B548" s="1" t="n">
        <v>45603</v>
      </c>
      <c r="C548" s="1" t="n">
        <v>45917</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2187-2021</t>
        </is>
      </c>
      <c r="B549" s="1" t="n">
        <v>44211</v>
      </c>
      <c r="C549" s="1" t="n">
        <v>45917</v>
      </c>
      <c r="D549" t="inlineStr">
        <is>
          <t>VÄSTERBOTTENS LÄN</t>
        </is>
      </c>
      <c r="E549" t="inlineStr">
        <is>
          <t>VILHELMINA</t>
        </is>
      </c>
      <c r="F549" t="inlineStr">
        <is>
          <t>Allmännings- och besparingsskogar</t>
        </is>
      </c>
      <c r="G549" t="n">
        <v>21.3</v>
      </c>
      <c r="H549" t="n">
        <v>0</v>
      </c>
      <c r="I549" t="n">
        <v>0</v>
      </c>
      <c r="J549" t="n">
        <v>0</v>
      </c>
      <c r="K549" t="n">
        <v>0</v>
      </c>
      <c r="L549" t="n">
        <v>0</v>
      </c>
      <c r="M549" t="n">
        <v>0</v>
      </c>
      <c r="N549" t="n">
        <v>0</v>
      </c>
      <c r="O549" t="n">
        <v>0</v>
      </c>
      <c r="P549" t="n">
        <v>0</v>
      </c>
      <c r="Q549" t="n">
        <v>0</v>
      </c>
      <c r="R549" s="2" t="inlineStr"/>
    </row>
    <row r="550" ht="15" customHeight="1">
      <c r="A550" t="inlineStr">
        <is>
          <t>A 12825-2023</t>
        </is>
      </c>
      <c r="B550" s="1" t="n">
        <v>45000</v>
      </c>
      <c r="C550" s="1" t="n">
        <v>45917</v>
      </c>
      <c r="D550" t="inlineStr">
        <is>
          <t>VÄSTERBOTTENS LÄN</t>
        </is>
      </c>
      <c r="E550" t="inlineStr">
        <is>
          <t>VILHELMINA</t>
        </is>
      </c>
      <c r="G550" t="n">
        <v>22.4</v>
      </c>
      <c r="H550" t="n">
        <v>0</v>
      </c>
      <c r="I550" t="n">
        <v>0</v>
      </c>
      <c r="J550" t="n">
        <v>0</v>
      </c>
      <c r="K550" t="n">
        <v>0</v>
      </c>
      <c r="L550" t="n">
        <v>0</v>
      </c>
      <c r="M550" t="n">
        <v>0</v>
      </c>
      <c r="N550" t="n">
        <v>0</v>
      </c>
      <c r="O550" t="n">
        <v>0</v>
      </c>
      <c r="P550" t="n">
        <v>0</v>
      </c>
      <c r="Q550" t="n">
        <v>0</v>
      </c>
      <c r="R550" s="2" t="inlineStr"/>
    </row>
    <row r="551" ht="15" customHeight="1">
      <c r="A551" t="inlineStr">
        <is>
          <t>A 50635-2021</t>
        </is>
      </c>
      <c r="B551" s="1" t="n">
        <v>44459.71978009259</v>
      </c>
      <c r="C551" s="1" t="n">
        <v>45917</v>
      </c>
      <c r="D551" t="inlineStr">
        <is>
          <t>VÄSTERBOTTENS LÄN</t>
        </is>
      </c>
      <c r="E551" t="inlineStr">
        <is>
          <t>VILHELMINA</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28870-2024</t>
        </is>
      </c>
      <c r="B552" s="1" t="n">
        <v>45478.94733796296</v>
      </c>
      <c r="C552" s="1" t="n">
        <v>45917</v>
      </c>
      <c r="D552" t="inlineStr">
        <is>
          <t>VÄSTERBOTTENS LÄN</t>
        </is>
      </c>
      <c r="E552" t="inlineStr">
        <is>
          <t>VILHELMINA</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19349-2024</t>
        </is>
      </c>
      <c r="B553" s="1" t="n">
        <v>45428.97231481481</v>
      </c>
      <c r="C553" s="1" t="n">
        <v>45917</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35285-2025</t>
        </is>
      </c>
      <c r="B554" s="1" t="n">
        <v>45854</v>
      </c>
      <c r="C554" s="1" t="n">
        <v>45917</v>
      </c>
      <c r="D554" t="inlineStr">
        <is>
          <t>VÄSTERBOTTENS LÄN</t>
        </is>
      </c>
      <c r="E554" t="inlineStr">
        <is>
          <t>VILHELMINA</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35287-2025</t>
        </is>
      </c>
      <c r="B555" s="1" t="n">
        <v>45854.3653587963</v>
      </c>
      <c r="C555" s="1" t="n">
        <v>45917</v>
      </c>
      <c r="D555" t="inlineStr">
        <is>
          <t>VÄSTERBOTTENS LÄN</t>
        </is>
      </c>
      <c r="E555" t="inlineStr">
        <is>
          <t>VILHELMINA</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35288-2025</t>
        </is>
      </c>
      <c r="B556" s="1" t="n">
        <v>45854.36543981481</v>
      </c>
      <c r="C556" s="1" t="n">
        <v>45917</v>
      </c>
      <c r="D556" t="inlineStr">
        <is>
          <t>VÄSTERBOTTENS LÄN</t>
        </is>
      </c>
      <c r="E556" t="inlineStr">
        <is>
          <t>VILHELMINA</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54727-2024</t>
        </is>
      </c>
      <c r="B557" s="1" t="n">
        <v>45618.43804398148</v>
      </c>
      <c r="C557" s="1" t="n">
        <v>45917</v>
      </c>
      <c r="D557" t="inlineStr">
        <is>
          <t>VÄSTERBOTTENS LÄN</t>
        </is>
      </c>
      <c r="E557" t="inlineStr">
        <is>
          <t>VILHELMINA</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54804-2024</t>
        </is>
      </c>
      <c r="B558" s="1" t="n">
        <v>45618</v>
      </c>
      <c r="C558" s="1" t="n">
        <v>45917</v>
      </c>
      <c r="D558" t="inlineStr">
        <is>
          <t>VÄSTERBOTTENS LÄN</t>
        </is>
      </c>
      <c r="E558" t="inlineStr">
        <is>
          <t>VILHELMINA</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35230-2025</t>
        </is>
      </c>
      <c r="B559" s="1" t="n">
        <v>45853.59447916667</v>
      </c>
      <c r="C559" s="1" t="n">
        <v>45917</v>
      </c>
      <c r="D559" t="inlineStr">
        <is>
          <t>VÄSTERBOTTENS LÄN</t>
        </is>
      </c>
      <c r="E559" t="inlineStr">
        <is>
          <t>VILHELMINA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35231-2025</t>
        </is>
      </c>
      <c r="B560" s="1" t="n">
        <v>45853.59453703704</v>
      </c>
      <c r="C560" s="1" t="n">
        <v>45917</v>
      </c>
      <c r="D560" t="inlineStr">
        <is>
          <t>VÄSTERBOTTENS LÄN</t>
        </is>
      </c>
      <c r="E560" t="inlineStr">
        <is>
          <t>VILHELMINA</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18692-2023</t>
        </is>
      </c>
      <c r="B561" s="1" t="n">
        <v>45042</v>
      </c>
      <c r="C561" s="1" t="n">
        <v>45917</v>
      </c>
      <c r="D561" t="inlineStr">
        <is>
          <t>VÄSTERBOTTENS LÄN</t>
        </is>
      </c>
      <c r="E561" t="inlineStr">
        <is>
          <t>VILHELMINA</t>
        </is>
      </c>
      <c r="F561" t="inlineStr">
        <is>
          <t>Allmännings- och besparingsskogar</t>
        </is>
      </c>
      <c r="G561" t="n">
        <v>0.6</v>
      </c>
      <c r="H561" t="n">
        <v>0</v>
      </c>
      <c r="I561" t="n">
        <v>0</v>
      </c>
      <c r="J561" t="n">
        <v>0</v>
      </c>
      <c r="K561" t="n">
        <v>0</v>
      </c>
      <c r="L561" t="n">
        <v>0</v>
      </c>
      <c r="M561" t="n">
        <v>0</v>
      </c>
      <c r="N561" t="n">
        <v>0</v>
      </c>
      <c r="O561" t="n">
        <v>0</v>
      </c>
      <c r="P561" t="n">
        <v>0</v>
      </c>
      <c r="Q561" t="n">
        <v>0</v>
      </c>
      <c r="R561" s="2" t="inlineStr"/>
    </row>
    <row r="562" ht="15" customHeight="1">
      <c r="A562" t="inlineStr">
        <is>
          <t>A 58363-2021</t>
        </is>
      </c>
      <c r="B562" s="1" t="n">
        <v>44488</v>
      </c>
      <c r="C562" s="1" t="n">
        <v>45917</v>
      </c>
      <c r="D562" t="inlineStr">
        <is>
          <t>VÄSTERBOTTENS LÄN</t>
        </is>
      </c>
      <c r="E562" t="inlineStr">
        <is>
          <t>VILHELMINA</t>
        </is>
      </c>
      <c r="G562" t="n">
        <v>7.3</v>
      </c>
      <c r="H562" t="n">
        <v>0</v>
      </c>
      <c r="I562" t="n">
        <v>0</v>
      </c>
      <c r="J562" t="n">
        <v>0</v>
      </c>
      <c r="K562" t="n">
        <v>0</v>
      </c>
      <c r="L562" t="n">
        <v>0</v>
      </c>
      <c r="M562" t="n">
        <v>0</v>
      </c>
      <c r="N562" t="n">
        <v>0</v>
      </c>
      <c r="O562" t="n">
        <v>0</v>
      </c>
      <c r="P562" t="n">
        <v>0</v>
      </c>
      <c r="Q562" t="n">
        <v>0</v>
      </c>
      <c r="R562" s="2" t="inlineStr"/>
    </row>
    <row r="563" ht="15" customHeight="1">
      <c r="A563" t="inlineStr">
        <is>
          <t>A 20653-2021</t>
        </is>
      </c>
      <c r="B563" s="1" t="n">
        <v>44316.41677083333</v>
      </c>
      <c r="C563" s="1" t="n">
        <v>45917</v>
      </c>
      <c r="D563" t="inlineStr">
        <is>
          <t>VÄSTERBOTTENS LÄN</t>
        </is>
      </c>
      <c r="E563" t="inlineStr">
        <is>
          <t>VILHELMINA</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44628.925625</v>
      </c>
      <c r="C564" s="1" t="n">
        <v>45917</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56763-2023</t>
        </is>
      </c>
      <c r="B565" s="1" t="n">
        <v>45238</v>
      </c>
      <c r="C565" s="1" t="n">
        <v>45917</v>
      </c>
      <c r="D565" t="inlineStr">
        <is>
          <t>VÄSTERBOTTENS LÄN</t>
        </is>
      </c>
      <c r="E565" t="inlineStr">
        <is>
          <t>VILHELMINA</t>
        </is>
      </c>
      <c r="F565" t="inlineStr">
        <is>
          <t>Allmännings- och besparingsskogar</t>
        </is>
      </c>
      <c r="G565" t="n">
        <v>77</v>
      </c>
      <c r="H565" t="n">
        <v>0</v>
      </c>
      <c r="I565" t="n">
        <v>0</v>
      </c>
      <c r="J565" t="n">
        <v>0</v>
      </c>
      <c r="K565" t="n">
        <v>0</v>
      </c>
      <c r="L565" t="n">
        <v>0</v>
      </c>
      <c r="M565" t="n">
        <v>0</v>
      </c>
      <c r="N565" t="n">
        <v>0</v>
      </c>
      <c r="O565" t="n">
        <v>0</v>
      </c>
      <c r="P565" t="n">
        <v>0</v>
      </c>
      <c r="Q565" t="n">
        <v>0</v>
      </c>
      <c r="R565" s="2" t="inlineStr"/>
    </row>
    <row r="566" ht="15" customHeight="1">
      <c r="A566" t="inlineStr">
        <is>
          <t>A 35757-2023</t>
        </is>
      </c>
      <c r="B566" s="1" t="n">
        <v>45147.95444444445</v>
      </c>
      <c r="C566" s="1" t="n">
        <v>45917</v>
      </c>
      <c r="D566" t="inlineStr">
        <is>
          <t>VÄSTERBOTTENS LÄN</t>
        </is>
      </c>
      <c r="E566" t="inlineStr">
        <is>
          <t>VILHELMINA</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72-2025</t>
        </is>
      </c>
      <c r="B567" s="1" t="n">
        <v>45659</v>
      </c>
      <c r="C567" s="1" t="n">
        <v>45917</v>
      </c>
      <c r="D567" t="inlineStr">
        <is>
          <t>VÄSTERBOTTENS LÄN</t>
        </is>
      </c>
      <c r="E567" t="inlineStr">
        <is>
          <t>VILHELMINA</t>
        </is>
      </c>
      <c r="G567" t="n">
        <v>0.9</v>
      </c>
      <c r="H567" t="n">
        <v>0</v>
      </c>
      <c r="I567" t="n">
        <v>0</v>
      </c>
      <c r="J567" t="n">
        <v>0</v>
      </c>
      <c r="K567" t="n">
        <v>0</v>
      </c>
      <c r="L567" t="n">
        <v>0</v>
      </c>
      <c r="M567" t="n">
        <v>0</v>
      </c>
      <c r="N567" t="n">
        <v>0</v>
      </c>
      <c r="O567" t="n">
        <v>0</v>
      </c>
      <c r="P567" t="n">
        <v>0</v>
      </c>
      <c r="Q567" t="n">
        <v>0</v>
      </c>
      <c r="R567" s="2" t="inlineStr"/>
    </row>
    <row r="568" ht="15" customHeight="1">
      <c r="A568" t="inlineStr">
        <is>
          <t>A 9181-2023</t>
        </is>
      </c>
      <c r="B568" s="1" t="n">
        <v>44972</v>
      </c>
      <c r="C568" s="1" t="n">
        <v>45917</v>
      </c>
      <c r="D568" t="inlineStr">
        <is>
          <t>VÄSTERBOTTENS LÄN</t>
        </is>
      </c>
      <c r="E568" t="inlineStr">
        <is>
          <t>VILHELMINA</t>
        </is>
      </c>
      <c r="F568" t="inlineStr">
        <is>
          <t>Allmännings- och besparingsskogar</t>
        </is>
      </c>
      <c r="G568" t="n">
        <v>220.1</v>
      </c>
      <c r="H568" t="n">
        <v>0</v>
      </c>
      <c r="I568" t="n">
        <v>0</v>
      </c>
      <c r="J568" t="n">
        <v>0</v>
      </c>
      <c r="K568" t="n">
        <v>0</v>
      </c>
      <c r="L568" t="n">
        <v>0</v>
      </c>
      <c r="M568" t="n">
        <v>0</v>
      </c>
      <c r="N568" t="n">
        <v>0</v>
      </c>
      <c r="O568" t="n">
        <v>0</v>
      </c>
      <c r="P568" t="n">
        <v>0</v>
      </c>
      <c r="Q568" t="n">
        <v>0</v>
      </c>
      <c r="R568" s="2" t="inlineStr"/>
    </row>
    <row r="569" ht="15" customHeight="1">
      <c r="A569" t="inlineStr">
        <is>
          <t>A 8750-2021</t>
        </is>
      </c>
      <c r="B569" s="1" t="n">
        <v>44246</v>
      </c>
      <c r="C569" s="1" t="n">
        <v>45917</v>
      </c>
      <c r="D569" t="inlineStr">
        <is>
          <t>VÄSTERBOTTENS LÄN</t>
        </is>
      </c>
      <c r="E569" t="inlineStr">
        <is>
          <t>VILHELMINA</t>
        </is>
      </c>
      <c r="G569" t="n">
        <v>5.2</v>
      </c>
      <c r="H569" t="n">
        <v>0</v>
      </c>
      <c r="I569" t="n">
        <v>0</v>
      </c>
      <c r="J569" t="n">
        <v>0</v>
      </c>
      <c r="K569" t="n">
        <v>0</v>
      </c>
      <c r="L569" t="n">
        <v>0</v>
      </c>
      <c r="M569" t="n">
        <v>0</v>
      </c>
      <c r="N569" t="n">
        <v>0</v>
      </c>
      <c r="O569" t="n">
        <v>0</v>
      </c>
      <c r="P569" t="n">
        <v>0</v>
      </c>
      <c r="Q569" t="n">
        <v>0</v>
      </c>
      <c r="R569" s="2" t="inlineStr"/>
    </row>
    <row r="570" ht="15" customHeight="1">
      <c r="A570" t="inlineStr">
        <is>
          <t>A 41171-2025</t>
        </is>
      </c>
      <c r="B570" s="1" t="n">
        <v>45898</v>
      </c>
      <c r="C570" s="1" t="n">
        <v>45917</v>
      </c>
      <c r="D570" t="inlineStr">
        <is>
          <t>VÄSTERBOTTENS LÄN</t>
        </is>
      </c>
      <c r="E570" t="inlineStr">
        <is>
          <t>VILHELMINA</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54457-2024</t>
        </is>
      </c>
      <c r="B571" s="1" t="n">
        <v>45617</v>
      </c>
      <c r="C571" s="1" t="n">
        <v>45917</v>
      </c>
      <c r="D571" t="inlineStr">
        <is>
          <t>VÄSTERBOTTENS LÄN</t>
        </is>
      </c>
      <c r="E571" t="inlineStr">
        <is>
          <t>VILHELMINA</t>
        </is>
      </c>
      <c r="F571" t="inlineStr">
        <is>
          <t>SCA</t>
        </is>
      </c>
      <c r="G571" t="n">
        <v>8</v>
      </c>
      <c r="H571" t="n">
        <v>0</v>
      </c>
      <c r="I571" t="n">
        <v>0</v>
      </c>
      <c r="J571" t="n">
        <v>0</v>
      </c>
      <c r="K571" t="n">
        <v>0</v>
      </c>
      <c r="L571" t="n">
        <v>0</v>
      </c>
      <c r="M571" t="n">
        <v>0</v>
      </c>
      <c r="N571" t="n">
        <v>0</v>
      </c>
      <c r="O571" t="n">
        <v>0</v>
      </c>
      <c r="P571" t="n">
        <v>0</v>
      </c>
      <c r="Q571" t="n">
        <v>0</v>
      </c>
      <c r="R571" s="2" t="inlineStr"/>
    </row>
    <row r="572" ht="15" customHeight="1">
      <c r="A572" t="inlineStr">
        <is>
          <t>A 47193-2020</t>
        </is>
      </c>
      <c r="B572" s="1" t="n">
        <v>44097</v>
      </c>
      <c r="C572" s="1" t="n">
        <v>45917</v>
      </c>
      <c r="D572" t="inlineStr">
        <is>
          <t>VÄSTERBOTTENS LÄN</t>
        </is>
      </c>
      <c r="E572" t="inlineStr">
        <is>
          <t>VILHELMINA</t>
        </is>
      </c>
      <c r="G572" t="n">
        <v>6.8</v>
      </c>
      <c r="H572" t="n">
        <v>0</v>
      </c>
      <c r="I572" t="n">
        <v>0</v>
      </c>
      <c r="J572" t="n">
        <v>0</v>
      </c>
      <c r="K572" t="n">
        <v>0</v>
      </c>
      <c r="L572" t="n">
        <v>0</v>
      </c>
      <c r="M572" t="n">
        <v>0</v>
      </c>
      <c r="N572" t="n">
        <v>0</v>
      </c>
      <c r="O572" t="n">
        <v>0</v>
      </c>
      <c r="P572" t="n">
        <v>0</v>
      </c>
      <c r="Q572" t="n">
        <v>0</v>
      </c>
      <c r="R572" s="2" t="inlineStr"/>
    </row>
    <row r="573" ht="15" customHeight="1">
      <c r="A573" t="inlineStr">
        <is>
          <t>A 31851-2024</t>
        </is>
      </c>
      <c r="B573" s="1" t="n">
        <v>45509</v>
      </c>
      <c r="C573" s="1" t="n">
        <v>45917</v>
      </c>
      <c r="D573" t="inlineStr">
        <is>
          <t>VÄSTERBOTTENS LÄN</t>
        </is>
      </c>
      <c r="E573" t="inlineStr">
        <is>
          <t>VILHELMINA</t>
        </is>
      </c>
      <c r="G573" t="n">
        <v>5.1</v>
      </c>
      <c r="H573" t="n">
        <v>0</v>
      </c>
      <c r="I573" t="n">
        <v>0</v>
      </c>
      <c r="J573" t="n">
        <v>0</v>
      </c>
      <c r="K573" t="n">
        <v>0</v>
      </c>
      <c r="L573" t="n">
        <v>0</v>
      </c>
      <c r="M573" t="n">
        <v>0</v>
      </c>
      <c r="N573" t="n">
        <v>0</v>
      </c>
      <c r="O573" t="n">
        <v>0</v>
      </c>
      <c r="P573" t="n">
        <v>0</v>
      </c>
      <c r="Q573" t="n">
        <v>0</v>
      </c>
      <c r="R573" s="2" t="inlineStr"/>
    </row>
    <row r="574" ht="15" customHeight="1">
      <c r="A574" t="inlineStr">
        <is>
          <t>A 31696-2024</t>
        </is>
      </c>
      <c r="B574" s="1" t="n">
        <v>45508</v>
      </c>
      <c r="C574" s="1" t="n">
        <v>45917</v>
      </c>
      <c r="D574" t="inlineStr">
        <is>
          <t>VÄSTERBOTTENS LÄN</t>
        </is>
      </c>
      <c r="E574" t="inlineStr">
        <is>
          <t>VILHELMINA</t>
        </is>
      </c>
      <c r="G574" t="n">
        <v>7.7</v>
      </c>
      <c r="H574" t="n">
        <v>0</v>
      </c>
      <c r="I574" t="n">
        <v>0</v>
      </c>
      <c r="J574" t="n">
        <v>0</v>
      </c>
      <c r="K574" t="n">
        <v>0</v>
      </c>
      <c r="L574" t="n">
        <v>0</v>
      </c>
      <c r="M574" t="n">
        <v>0</v>
      </c>
      <c r="N574" t="n">
        <v>0</v>
      </c>
      <c r="O574" t="n">
        <v>0</v>
      </c>
      <c r="P574" t="n">
        <v>0</v>
      </c>
      <c r="Q574" t="n">
        <v>0</v>
      </c>
      <c r="R574" s="2" t="inlineStr"/>
    </row>
    <row r="575" ht="15" customHeight="1">
      <c r="A575" t="inlineStr">
        <is>
          <t>A 58934-2024</t>
        </is>
      </c>
      <c r="B575" s="1" t="n">
        <v>45636</v>
      </c>
      <c r="C575" s="1" t="n">
        <v>45917</v>
      </c>
      <c r="D575" t="inlineStr">
        <is>
          <t>VÄSTERBOTTENS LÄN</t>
        </is>
      </c>
      <c r="E575" t="inlineStr">
        <is>
          <t>VILHELMINA</t>
        </is>
      </c>
      <c r="F575" t="inlineStr">
        <is>
          <t>Allmännings- och besparingsskogar</t>
        </is>
      </c>
      <c r="G575" t="n">
        <v>45.6</v>
      </c>
      <c r="H575" t="n">
        <v>0</v>
      </c>
      <c r="I575" t="n">
        <v>0</v>
      </c>
      <c r="J575" t="n">
        <v>0</v>
      </c>
      <c r="K575" t="n">
        <v>0</v>
      </c>
      <c r="L575" t="n">
        <v>0</v>
      </c>
      <c r="M575" t="n">
        <v>0</v>
      </c>
      <c r="N575" t="n">
        <v>0</v>
      </c>
      <c r="O575" t="n">
        <v>0</v>
      </c>
      <c r="P575" t="n">
        <v>0</v>
      </c>
      <c r="Q575" t="n">
        <v>0</v>
      </c>
      <c r="R575" s="2" t="inlineStr"/>
    </row>
    <row r="576" ht="15" customHeight="1">
      <c r="A576" t="inlineStr">
        <is>
          <t>A 58943-2024</t>
        </is>
      </c>
      <c r="B576" s="1" t="n">
        <v>45636.5433449074</v>
      </c>
      <c r="C576" s="1" t="n">
        <v>45917</v>
      </c>
      <c r="D576" t="inlineStr">
        <is>
          <t>VÄSTERBOTTENS LÄN</t>
        </is>
      </c>
      <c r="E576" t="inlineStr">
        <is>
          <t>VILHELMINA</t>
        </is>
      </c>
      <c r="F576" t="inlineStr">
        <is>
          <t>Kommuner</t>
        </is>
      </c>
      <c r="G576" t="n">
        <v>4.1</v>
      </c>
      <c r="H576" t="n">
        <v>0</v>
      </c>
      <c r="I576" t="n">
        <v>0</v>
      </c>
      <c r="J576" t="n">
        <v>0</v>
      </c>
      <c r="K576" t="n">
        <v>0</v>
      </c>
      <c r="L576" t="n">
        <v>0</v>
      </c>
      <c r="M576" t="n">
        <v>0</v>
      </c>
      <c r="N576" t="n">
        <v>0</v>
      </c>
      <c r="O576" t="n">
        <v>0</v>
      </c>
      <c r="P576" t="n">
        <v>0</v>
      </c>
      <c r="Q576" t="n">
        <v>0</v>
      </c>
      <c r="R576" s="2" t="inlineStr"/>
    </row>
    <row r="577" ht="15" customHeight="1">
      <c r="A577" t="inlineStr">
        <is>
          <t>A 6706-2021</t>
        </is>
      </c>
      <c r="B577" s="1" t="n">
        <v>44235</v>
      </c>
      <c r="C577" s="1" t="n">
        <v>45917</v>
      </c>
      <c r="D577" t="inlineStr">
        <is>
          <t>VÄSTERBOTTENS LÄN</t>
        </is>
      </c>
      <c r="E577" t="inlineStr">
        <is>
          <t>VILHELMINA</t>
        </is>
      </c>
      <c r="G577" t="n">
        <v>3.8</v>
      </c>
      <c r="H577" t="n">
        <v>0</v>
      </c>
      <c r="I577" t="n">
        <v>0</v>
      </c>
      <c r="J577" t="n">
        <v>0</v>
      </c>
      <c r="K577" t="n">
        <v>0</v>
      </c>
      <c r="L577" t="n">
        <v>0</v>
      </c>
      <c r="M577" t="n">
        <v>0</v>
      </c>
      <c r="N577" t="n">
        <v>0</v>
      </c>
      <c r="O577" t="n">
        <v>0</v>
      </c>
      <c r="P577" t="n">
        <v>0</v>
      </c>
      <c r="Q577" t="n">
        <v>0</v>
      </c>
      <c r="R577" s="2" t="inlineStr"/>
    </row>
    <row r="578" ht="15" customHeight="1">
      <c r="A578" t="inlineStr">
        <is>
          <t>A 53606-2024</t>
        </is>
      </c>
      <c r="B578" s="1" t="n">
        <v>45614</v>
      </c>
      <c r="C578" s="1" t="n">
        <v>45917</v>
      </c>
      <c r="D578" t="inlineStr">
        <is>
          <t>VÄSTERBOTTENS LÄN</t>
        </is>
      </c>
      <c r="E578" t="inlineStr">
        <is>
          <t>VILHELMINA</t>
        </is>
      </c>
      <c r="F578" t="inlineStr">
        <is>
          <t>SCA</t>
        </is>
      </c>
      <c r="G578" t="n">
        <v>10.1</v>
      </c>
      <c r="H578" t="n">
        <v>0</v>
      </c>
      <c r="I578" t="n">
        <v>0</v>
      </c>
      <c r="J578" t="n">
        <v>0</v>
      </c>
      <c r="K578" t="n">
        <v>0</v>
      </c>
      <c r="L578" t="n">
        <v>0</v>
      </c>
      <c r="M578" t="n">
        <v>0</v>
      </c>
      <c r="N578" t="n">
        <v>0</v>
      </c>
      <c r="O578" t="n">
        <v>0</v>
      </c>
      <c r="P578" t="n">
        <v>0</v>
      </c>
      <c r="Q578" t="n">
        <v>0</v>
      </c>
      <c r="R578" s="2" t="inlineStr"/>
    </row>
    <row r="579" ht="15" customHeight="1">
      <c r="A579" t="inlineStr">
        <is>
          <t>A 74-2025</t>
        </is>
      </c>
      <c r="B579" s="1" t="n">
        <v>45659</v>
      </c>
      <c r="C579" s="1" t="n">
        <v>45917</v>
      </c>
      <c r="D579" t="inlineStr">
        <is>
          <t>VÄSTERBOTTENS LÄN</t>
        </is>
      </c>
      <c r="E579" t="inlineStr">
        <is>
          <t>VILHELMINA</t>
        </is>
      </c>
      <c r="G579" t="n">
        <v>5.9</v>
      </c>
      <c r="H579" t="n">
        <v>0</v>
      </c>
      <c r="I579" t="n">
        <v>0</v>
      </c>
      <c r="J579" t="n">
        <v>0</v>
      </c>
      <c r="K579" t="n">
        <v>0</v>
      </c>
      <c r="L579" t="n">
        <v>0</v>
      </c>
      <c r="M579" t="n">
        <v>0</v>
      </c>
      <c r="N579" t="n">
        <v>0</v>
      </c>
      <c r="O579" t="n">
        <v>0</v>
      </c>
      <c r="P579" t="n">
        <v>0</v>
      </c>
      <c r="Q579" t="n">
        <v>0</v>
      </c>
      <c r="R579" s="2" t="inlineStr"/>
    </row>
    <row r="580" ht="15" customHeight="1">
      <c r="A580" t="inlineStr">
        <is>
          <t>A 78-2025</t>
        </is>
      </c>
      <c r="B580" s="1" t="n">
        <v>45659</v>
      </c>
      <c r="C580" s="1" t="n">
        <v>45917</v>
      </c>
      <c r="D580" t="inlineStr">
        <is>
          <t>VÄSTERBOTTENS LÄN</t>
        </is>
      </c>
      <c r="E580" t="inlineStr">
        <is>
          <t>VILHELMINA</t>
        </is>
      </c>
      <c r="G580" t="n">
        <v>7.3</v>
      </c>
      <c r="H580" t="n">
        <v>0</v>
      </c>
      <c r="I580" t="n">
        <v>0</v>
      </c>
      <c r="J580" t="n">
        <v>0</v>
      </c>
      <c r="K580" t="n">
        <v>0</v>
      </c>
      <c r="L580" t="n">
        <v>0</v>
      </c>
      <c r="M580" t="n">
        <v>0</v>
      </c>
      <c r="N580" t="n">
        <v>0</v>
      </c>
      <c r="O580" t="n">
        <v>0</v>
      </c>
      <c r="P580" t="n">
        <v>0</v>
      </c>
      <c r="Q580" t="n">
        <v>0</v>
      </c>
      <c r="R580" s="2" t="inlineStr"/>
    </row>
    <row r="581" ht="15" customHeight="1">
      <c r="A581" t="inlineStr">
        <is>
          <t>A 33786-2024</t>
        </is>
      </c>
      <c r="B581" s="1" t="n">
        <v>45520.58966435185</v>
      </c>
      <c r="C581" s="1" t="n">
        <v>45917</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48423-2023</t>
        </is>
      </c>
      <c r="B582" s="1" t="n">
        <v>45205</v>
      </c>
      <c r="C582" s="1" t="n">
        <v>45917</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23278-2021</t>
        </is>
      </c>
      <c r="B583" s="1" t="n">
        <v>44328</v>
      </c>
      <c r="C583" s="1" t="n">
        <v>45917</v>
      </c>
      <c r="D583" t="inlineStr">
        <is>
          <t>VÄSTERBOTTENS LÄN</t>
        </is>
      </c>
      <c r="E583" t="inlineStr">
        <is>
          <t>VILHELMINA</t>
        </is>
      </c>
      <c r="F583" t="inlineStr">
        <is>
          <t>Allmännings- och besparingsskogar</t>
        </is>
      </c>
      <c r="G583" t="n">
        <v>13.6</v>
      </c>
      <c r="H583" t="n">
        <v>0</v>
      </c>
      <c r="I583" t="n">
        <v>0</v>
      </c>
      <c r="J583" t="n">
        <v>0</v>
      </c>
      <c r="K583" t="n">
        <v>0</v>
      </c>
      <c r="L583" t="n">
        <v>0</v>
      </c>
      <c r="M583" t="n">
        <v>0</v>
      </c>
      <c r="N583" t="n">
        <v>0</v>
      </c>
      <c r="O583" t="n">
        <v>0</v>
      </c>
      <c r="P583" t="n">
        <v>0</v>
      </c>
      <c r="Q583" t="n">
        <v>0</v>
      </c>
      <c r="R583" s="2" t="inlineStr"/>
    </row>
    <row r="584" ht="15" customHeight="1">
      <c r="A584" t="inlineStr">
        <is>
          <t>A 28869-2024</t>
        </is>
      </c>
      <c r="B584" s="1" t="n">
        <v>45478.94722222222</v>
      </c>
      <c r="C584" s="1" t="n">
        <v>45917</v>
      </c>
      <c r="D584" t="inlineStr">
        <is>
          <t>VÄSTERBOTTENS LÄN</t>
        </is>
      </c>
      <c r="E584" t="inlineStr">
        <is>
          <t>VILHELMINA</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54387-2024</t>
        </is>
      </c>
      <c r="B585" s="1" t="n">
        <v>45617</v>
      </c>
      <c r="C585" s="1" t="n">
        <v>45917</v>
      </c>
      <c r="D585" t="inlineStr">
        <is>
          <t>VÄSTERBOTTENS LÄN</t>
        </is>
      </c>
      <c r="E585" t="inlineStr">
        <is>
          <t>VILHELMINA</t>
        </is>
      </c>
      <c r="F585" t="inlineStr">
        <is>
          <t>SCA</t>
        </is>
      </c>
      <c r="G585" t="n">
        <v>7.6</v>
      </c>
      <c r="H585" t="n">
        <v>0</v>
      </c>
      <c r="I585" t="n">
        <v>0</v>
      </c>
      <c r="J585" t="n">
        <v>0</v>
      </c>
      <c r="K585" t="n">
        <v>0</v>
      </c>
      <c r="L585" t="n">
        <v>0</v>
      </c>
      <c r="M585" t="n">
        <v>0</v>
      </c>
      <c r="N585" t="n">
        <v>0</v>
      </c>
      <c r="O585" t="n">
        <v>0</v>
      </c>
      <c r="P585" t="n">
        <v>0</v>
      </c>
      <c r="Q585" t="n">
        <v>0</v>
      </c>
      <c r="R585" s="2" t="inlineStr"/>
    </row>
    <row r="586" ht="15" customHeight="1">
      <c r="A586" t="inlineStr">
        <is>
          <t>A 25102-2021</t>
        </is>
      </c>
      <c r="B586" s="1" t="n">
        <v>44341</v>
      </c>
      <c r="C586" s="1" t="n">
        <v>45917</v>
      </c>
      <c r="D586" t="inlineStr">
        <is>
          <t>VÄSTERBOTTENS LÄN</t>
        </is>
      </c>
      <c r="E586" t="inlineStr">
        <is>
          <t>VILHELMINA</t>
        </is>
      </c>
      <c r="G586" t="n">
        <v>6.7</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45917</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35888-2025</t>
        </is>
      </c>
      <c r="B588" s="1" t="n">
        <v>45862.44034722223</v>
      </c>
      <c r="C588" s="1" t="n">
        <v>45917</v>
      </c>
      <c r="D588" t="inlineStr">
        <is>
          <t>VÄSTERBOTTENS LÄN</t>
        </is>
      </c>
      <c r="E588" t="inlineStr">
        <is>
          <t>VILHELMINA</t>
        </is>
      </c>
      <c r="G588" t="n">
        <v>2.4</v>
      </c>
      <c r="H588" t="n">
        <v>0</v>
      </c>
      <c r="I588" t="n">
        <v>0</v>
      </c>
      <c r="J588" t="n">
        <v>0</v>
      </c>
      <c r="K588" t="n">
        <v>0</v>
      </c>
      <c r="L588" t="n">
        <v>0</v>
      </c>
      <c r="M588" t="n">
        <v>0</v>
      </c>
      <c r="N588" t="n">
        <v>0</v>
      </c>
      <c r="O588" t="n">
        <v>0</v>
      </c>
      <c r="P588" t="n">
        <v>0</v>
      </c>
      <c r="Q588" t="n">
        <v>0</v>
      </c>
      <c r="R588" s="2" t="inlineStr"/>
    </row>
    <row r="589" ht="15" customHeight="1">
      <c r="A589" t="inlineStr">
        <is>
          <t>A 37505-2023</t>
        </is>
      </c>
      <c r="B589" s="1" t="n">
        <v>45158.31186342592</v>
      </c>
      <c r="C589" s="1" t="n">
        <v>45917</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27881-2022</t>
        </is>
      </c>
      <c r="B590" s="1" t="n">
        <v>44743</v>
      </c>
      <c r="C590" s="1" t="n">
        <v>45917</v>
      </c>
      <c r="D590" t="inlineStr">
        <is>
          <t>VÄSTERBOTTENS LÄN</t>
        </is>
      </c>
      <c r="E590" t="inlineStr">
        <is>
          <t>VILHELMINA</t>
        </is>
      </c>
      <c r="F590" t="inlineStr">
        <is>
          <t>Sveaskog</t>
        </is>
      </c>
      <c r="G590" t="n">
        <v>14.3</v>
      </c>
      <c r="H590" t="n">
        <v>0</v>
      </c>
      <c r="I590" t="n">
        <v>0</v>
      </c>
      <c r="J590" t="n">
        <v>0</v>
      </c>
      <c r="K590" t="n">
        <v>0</v>
      </c>
      <c r="L590" t="n">
        <v>0</v>
      </c>
      <c r="M590" t="n">
        <v>0</v>
      </c>
      <c r="N590" t="n">
        <v>0</v>
      </c>
      <c r="O590" t="n">
        <v>0</v>
      </c>
      <c r="P590" t="n">
        <v>0</v>
      </c>
      <c r="Q590" t="n">
        <v>0</v>
      </c>
      <c r="R590" s="2" t="inlineStr"/>
    </row>
    <row r="591" ht="15" customHeight="1">
      <c r="A591" t="inlineStr">
        <is>
          <t>A 49241-2024</t>
        </is>
      </c>
      <c r="B591" s="1" t="n">
        <v>45595</v>
      </c>
      <c r="C591" s="1" t="n">
        <v>45917</v>
      </c>
      <c r="D591" t="inlineStr">
        <is>
          <t>VÄSTERBOTTENS LÄN</t>
        </is>
      </c>
      <c r="E591" t="inlineStr">
        <is>
          <t>VILHELMINA</t>
        </is>
      </c>
      <c r="G591" t="n">
        <v>1.4</v>
      </c>
      <c r="H591" t="n">
        <v>0</v>
      </c>
      <c r="I591" t="n">
        <v>0</v>
      </c>
      <c r="J591" t="n">
        <v>0</v>
      </c>
      <c r="K591" t="n">
        <v>0</v>
      </c>
      <c r="L591" t="n">
        <v>0</v>
      </c>
      <c r="M591" t="n">
        <v>0</v>
      </c>
      <c r="N591" t="n">
        <v>0</v>
      </c>
      <c r="O591" t="n">
        <v>0</v>
      </c>
      <c r="P591" t="n">
        <v>0</v>
      </c>
      <c r="Q591" t="n">
        <v>0</v>
      </c>
      <c r="R591" s="2" t="inlineStr"/>
    </row>
    <row r="592" ht="15" customHeight="1">
      <c r="A592" t="inlineStr">
        <is>
          <t>A 2742-2023</t>
        </is>
      </c>
      <c r="B592" s="1" t="n">
        <v>44943</v>
      </c>
      <c r="C592" s="1" t="n">
        <v>45917</v>
      </c>
      <c r="D592" t="inlineStr">
        <is>
          <t>VÄSTERBOTTENS LÄN</t>
        </is>
      </c>
      <c r="E592" t="inlineStr">
        <is>
          <t>VILHELMINA</t>
        </is>
      </c>
      <c r="G592" t="n">
        <v>34.8</v>
      </c>
      <c r="H592" t="n">
        <v>0</v>
      </c>
      <c r="I592" t="n">
        <v>0</v>
      </c>
      <c r="J592" t="n">
        <v>0</v>
      </c>
      <c r="K592" t="n">
        <v>0</v>
      </c>
      <c r="L592" t="n">
        <v>0</v>
      </c>
      <c r="M592" t="n">
        <v>0</v>
      </c>
      <c r="N592" t="n">
        <v>0</v>
      </c>
      <c r="O592" t="n">
        <v>0</v>
      </c>
      <c r="P592" t="n">
        <v>0</v>
      </c>
      <c r="Q592" t="n">
        <v>0</v>
      </c>
      <c r="R592" s="2" t="inlineStr"/>
    </row>
    <row r="593" ht="15" customHeight="1">
      <c r="A593" t="inlineStr">
        <is>
          <t>A 26947-2024</t>
        </is>
      </c>
      <c r="B593" s="1" t="n">
        <v>45470.9693287037</v>
      </c>
      <c r="C593" s="1" t="n">
        <v>45917</v>
      </c>
      <c r="D593" t="inlineStr">
        <is>
          <t>VÄSTERBOTTENS LÄN</t>
        </is>
      </c>
      <c r="E593" t="inlineStr">
        <is>
          <t>VILHELMINA</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38384-2025</t>
        </is>
      </c>
      <c r="B594" s="1" t="n">
        <v>45883</v>
      </c>
      <c r="C594" s="1" t="n">
        <v>45917</v>
      </c>
      <c r="D594" t="inlineStr">
        <is>
          <t>VÄSTERBOTTENS LÄN</t>
        </is>
      </c>
      <c r="E594" t="inlineStr">
        <is>
          <t>VILHELMINA</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26557-2023</t>
        </is>
      </c>
      <c r="B595" s="1" t="n">
        <v>45089</v>
      </c>
      <c r="C595" s="1" t="n">
        <v>45917</v>
      </c>
      <c r="D595" t="inlineStr">
        <is>
          <t>VÄSTERBOTTENS LÄN</t>
        </is>
      </c>
      <c r="E595" t="inlineStr">
        <is>
          <t>VILHELMINA</t>
        </is>
      </c>
      <c r="G595" t="n">
        <v>0.5</v>
      </c>
      <c r="H595" t="n">
        <v>0</v>
      </c>
      <c r="I595" t="n">
        <v>0</v>
      </c>
      <c r="J595" t="n">
        <v>0</v>
      </c>
      <c r="K595" t="n">
        <v>0</v>
      </c>
      <c r="L595" t="n">
        <v>0</v>
      </c>
      <c r="M595" t="n">
        <v>0</v>
      </c>
      <c r="N595" t="n">
        <v>0</v>
      </c>
      <c r="O595" t="n">
        <v>0</v>
      </c>
      <c r="P595" t="n">
        <v>0</v>
      </c>
      <c r="Q595" t="n">
        <v>0</v>
      </c>
      <c r="R595" s="2" t="inlineStr"/>
    </row>
    <row r="596" ht="15" customHeight="1">
      <c r="A596" t="inlineStr">
        <is>
          <t>A 35886-2025</t>
        </is>
      </c>
      <c r="B596" s="1" t="n">
        <v>45862</v>
      </c>
      <c r="C596" s="1" t="n">
        <v>45917</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41704-2025</t>
        </is>
      </c>
      <c r="B597" s="1" t="n">
        <v>45902</v>
      </c>
      <c r="C597" s="1" t="n">
        <v>45917</v>
      </c>
      <c r="D597" t="inlineStr">
        <is>
          <t>VÄSTERBOTTENS LÄN</t>
        </is>
      </c>
      <c r="E597" t="inlineStr">
        <is>
          <t>VILHELMINA</t>
        </is>
      </c>
      <c r="G597" t="n">
        <v>3.3</v>
      </c>
      <c r="H597" t="n">
        <v>0</v>
      </c>
      <c r="I597" t="n">
        <v>0</v>
      </c>
      <c r="J597" t="n">
        <v>0</v>
      </c>
      <c r="K597" t="n">
        <v>0</v>
      </c>
      <c r="L597" t="n">
        <v>0</v>
      </c>
      <c r="M597" t="n">
        <v>0</v>
      </c>
      <c r="N597" t="n">
        <v>0</v>
      </c>
      <c r="O597" t="n">
        <v>0</v>
      </c>
      <c r="P597" t="n">
        <v>0</v>
      </c>
      <c r="Q597" t="n">
        <v>0</v>
      </c>
      <c r="R597" s="2" t="inlineStr"/>
    </row>
    <row r="598" ht="15" customHeight="1">
      <c r="A598" t="inlineStr">
        <is>
          <t>A 5575-2025</t>
        </is>
      </c>
      <c r="B598" s="1" t="n">
        <v>45693.53200231482</v>
      </c>
      <c r="C598" s="1" t="n">
        <v>45917</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36957-2023</t>
        </is>
      </c>
      <c r="B599" s="1" t="n">
        <v>45154.92628472222</v>
      </c>
      <c r="C599" s="1" t="n">
        <v>45917</v>
      </c>
      <c r="D599" t="inlineStr">
        <is>
          <t>VÄSTERBOTTENS LÄN</t>
        </is>
      </c>
      <c r="E599" t="inlineStr">
        <is>
          <t>VILHELMINA</t>
        </is>
      </c>
      <c r="G599" t="n">
        <v>0.5</v>
      </c>
      <c r="H599" t="n">
        <v>0</v>
      </c>
      <c r="I599" t="n">
        <v>0</v>
      </c>
      <c r="J599" t="n">
        <v>0</v>
      </c>
      <c r="K599" t="n">
        <v>0</v>
      </c>
      <c r="L599" t="n">
        <v>0</v>
      </c>
      <c r="M599" t="n">
        <v>0</v>
      </c>
      <c r="N599" t="n">
        <v>0</v>
      </c>
      <c r="O599" t="n">
        <v>0</v>
      </c>
      <c r="P599" t="n">
        <v>0</v>
      </c>
      <c r="Q599" t="n">
        <v>0</v>
      </c>
      <c r="R599" s="2" t="inlineStr"/>
    </row>
    <row r="600" ht="15" customHeight="1">
      <c r="A600" t="inlineStr">
        <is>
          <t>A 56396-2022</t>
        </is>
      </c>
      <c r="B600" s="1" t="n">
        <v>44890</v>
      </c>
      <c r="C600" s="1" t="n">
        <v>45917</v>
      </c>
      <c r="D600" t="inlineStr">
        <is>
          <t>VÄSTERBOTTENS LÄN</t>
        </is>
      </c>
      <c r="E600" t="inlineStr">
        <is>
          <t>VILHELMINA</t>
        </is>
      </c>
      <c r="G600" t="n">
        <v>1.6</v>
      </c>
      <c r="H600" t="n">
        <v>0</v>
      </c>
      <c r="I600" t="n">
        <v>0</v>
      </c>
      <c r="J600" t="n">
        <v>0</v>
      </c>
      <c r="K600" t="n">
        <v>0</v>
      </c>
      <c r="L600" t="n">
        <v>0</v>
      </c>
      <c r="M600" t="n">
        <v>0</v>
      </c>
      <c r="N600" t="n">
        <v>0</v>
      </c>
      <c r="O600" t="n">
        <v>0</v>
      </c>
      <c r="P600" t="n">
        <v>0</v>
      </c>
      <c r="Q600" t="n">
        <v>0</v>
      </c>
      <c r="R600" s="2" t="inlineStr"/>
    </row>
    <row r="601" ht="15" customHeight="1">
      <c r="A601" t="inlineStr">
        <is>
          <t>A 38297-2024</t>
        </is>
      </c>
      <c r="B601" s="1" t="n">
        <v>45545</v>
      </c>
      <c r="C601" s="1" t="n">
        <v>45917</v>
      </c>
      <c r="D601" t="inlineStr">
        <is>
          <t>VÄSTERBOTTENS LÄN</t>
        </is>
      </c>
      <c r="E601" t="inlineStr">
        <is>
          <t>VILHELMINA</t>
        </is>
      </c>
      <c r="G601" t="n">
        <v>139.8</v>
      </c>
      <c r="H601" t="n">
        <v>0</v>
      </c>
      <c r="I601" t="n">
        <v>0</v>
      </c>
      <c r="J601" t="n">
        <v>0</v>
      </c>
      <c r="K601" t="n">
        <v>0</v>
      </c>
      <c r="L601" t="n">
        <v>0</v>
      </c>
      <c r="M601" t="n">
        <v>0</v>
      </c>
      <c r="N601" t="n">
        <v>0</v>
      </c>
      <c r="O601" t="n">
        <v>0</v>
      </c>
      <c r="P601" t="n">
        <v>0</v>
      </c>
      <c r="Q601" t="n">
        <v>0</v>
      </c>
      <c r="R601" s="2" t="inlineStr"/>
    </row>
    <row r="602" ht="15" customHeight="1">
      <c r="A602" t="inlineStr">
        <is>
          <t>A 42360-2025</t>
        </is>
      </c>
      <c r="B602" s="1" t="n">
        <v>45904</v>
      </c>
      <c r="C602" s="1" t="n">
        <v>45917</v>
      </c>
      <c r="D602" t="inlineStr">
        <is>
          <t>VÄSTERBOTTENS LÄN</t>
        </is>
      </c>
      <c r="E602" t="inlineStr">
        <is>
          <t>VILHELMINA</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24457-2024</t>
        </is>
      </c>
      <c r="B603" s="1" t="n">
        <v>45457.96708333334</v>
      </c>
      <c r="C603" s="1" t="n">
        <v>45917</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42382-2025</t>
        </is>
      </c>
      <c r="B604" s="1" t="n">
        <v>45904</v>
      </c>
      <c r="C604" s="1" t="n">
        <v>45917</v>
      </c>
      <c r="D604" t="inlineStr">
        <is>
          <t>VÄSTERBOTTENS LÄN</t>
        </is>
      </c>
      <c r="E604" t="inlineStr">
        <is>
          <t>VILHELMINA</t>
        </is>
      </c>
      <c r="F604" t="inlineStr">
        <is>
          <t>Övriga Aktiebolag</t>
        </is>
      </c>
      <c r="G604" t="n">
        <v>6.2</v>
      </c>
      <c r="H604" t="n">
        <v>0</v>
      </c>
      <c r="I604" t="n">
        <v>0</v>
      </c>
      <c r="J604" t="n">
        <v>0</v>
      </c>
      <c r="K604" t="n">
        <v>0</v>
      </c>
      <c r="L604" t="n">
        <v>0</v>
      </c>
      <c r="M604" t="n">
        <v>0</v>
      </c>
      <c r="N604" t="n">
        <v>0</v>
      </c>
      <c r="O604" t="n">
        <v>0</v>
      </c>
      <c r="P604" t="n">
        <v>0</v>
      </c>
      <c r="Q604" t="n">
        <v>0</v>
      </c>
      <c r="R604" s="2" t="inlineStr"/>
    </row>
    <row r="605" ht="15" customHeight="1">
      <c r="A605" t="inlineStr">
        <is>
          <t>A 59022-2024</t>
        </is>
      </c>
      <c r="B605" s="1" t="n">
        <v>45636</v>
      </c>
      <c r="C605" s="1" t="n">
        <v>45917</v>
      </c>
      <c r="D605" t="inlineStr">
        <is>
          <t>VÄSTERBOTTENS LÄN</t>
        </is>
      </c>
      <c r="E605" t="inlineStr">
        <is>
          <t>VILHELMINA</t>
        </is>
      </c>
      <c r="F605" t="inlineStr">
        <is>
          <t>Allmännings- och besparingsskogar</t>
        </is>
      </c>
      <c r="G605" t="n">
        <v>35.1</v>
      </c>
      <c r="H605" t="n">
        <v>0</v>
      </c>
      <c r="I605" t="n">
        <v>0</v>
      </c>
      <c r="J605" t="n">
        <v>0</v>
      </c>
      <c r="K605" t="n">
        <v>0</v>
      </c>
      <c r="L605" t="n">
        <v>0</v>
      </c>
      <c r="M605" t="n">
        <v>0</v>
      </c>
      <c r="N605" t="n">
        <v>0</v>
      </c>
      <c r="O605" t="n">
        <v>0</v>
      </c>
      <c r="P605" t="n">
        <v>0</v>
      </c>
      <c r="Q605" t="n">
        <v>0</v>
      </c>
      <c r="R605" s="2" t="inlineStr"/>
    </row>
    <row r="606" ht="15" customHeight="1">
      <c r="A606" t="inlineStr">
        <is>
          <t>A 36214-2023</t>
        </is>
      </c>
      <c r="B606" s="1" t="n">
        <v>45149.95256944445</v>
      </c>
      <c r="C606" s="1" t="n">
        <v>45917</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12784-2023</t>
        </is>
      </c>
      <c r="B607" s="1" t="n">
        <v>45000</v>
      </c>
      <c r="C607" s="1" t="n">
        <v>45917</v>
      </c>
      <c r="D607" t="inlineStr">
        <is>
          <t>VÄSTERBOTTENS LÄN</t>
        </is>
      </c>
      <c r="E607" t="inlineStr">
        <is>
          <t>VILHELMINA</t>
        </is>
      </c>
      <c r="G607" t="n">
        <v>18.6</v>
      </c>
      <c r="H607" t="n">
        <v>0</v>
      </c>
      <c r="I607" t="n">
        <v>0</v>
      </c>
      <c r="J607" t="n">
        <v>0</v>
      </c>
      <c r="K607" t="n">
        <v>0</v>
      </c>
      <c r="L607" t="n">
        <v>0</v>
      </c>
      <c r="M607" t="n">
        <v>0</v>
      </c>
      <c r="N607" t="n">
        <v>0</v>
      </c>
      <c r="O607" t="n">
        <v>0</v>
      </c>
      <c r="P607" t="n">
        <v>0</v>
      </c>
      <c r="Q607" t="n">
        <v>0</v>
      </c>
      <c r="R607" s="2" t="inlineStr"/>
    </row>
    <row r="608" ht="15" customHeight="1">
      <c r="A608" t="inlineStr">
        <is>
          <t>A 18781-2021</t>
        </is>
      </c>
      <c r="B608" s="1" t="n">
        <v>44307</v>
      </c>
      <c r="C608" s="1" t="n">
        <v>45917</v>
      </c>
      <c r="D608" t="inlineStr">
        <is>
          <t>VÄSTERBOTTENS LÄN</t>
        </is>
      </c>
      <c r="E608" t="inlineStr">
        <is>
          <t>VILHELMINA</t>
        </is>
      </c>
      <c r="G608" t="n">
        <v>3.5</v>
      </c>
      <c r="H608" t="n">
        <v>0</v>
      </c>
      <c r="I608" t="n">
        <v>0</v>
      </c>
      <c r="J608" t="n">
        <v>0</v>
      </c>
      <c r="K608" t="n">
        <v>0</v>
      </c>
      <c r="L608" t="n">
        <v>0</v>
      </c>
      <c r="M608" t="n">
        <v>0</v>
      </c>
      <c r="N608" t="n">
        <v>0</v>
      </c>
      <c r="O608" t="n">
        <v>0</v>
      </c>
      <c r="P608" t="n">
        <v>0</v>
      </c>
      <c r="Q608" t="n">
        <v>0</v>
      </c>
      <c r="R608" s="2" t="inlineStr"/>
    </row>
    <row r="609" ht="15" customHeight="1">
      <c r="A609" t="inlineStr">
        <is>
          <t>A 40732-2024</t>
        </is>
      </c>
      <c r="B609" s="1" t="n">
        <v>45558</v>
      </c>
      <c r="C609" s="1" t="n">
        <v>45917</v>
      </c>
      <c r="D609" t="inlineStr">
        <is>
          <t>VÄSTERBOTTENS LÄN</t>
        </is>
      </c>
      <c r="E609" t="inlineStr">
        <is>
          <t>VILHELMINA</t>
        </is>
      </c>
      <c r="F609" t="inlineStr">
        <is>
          <t>Allmännings- och besparingsskogar</t>
        </is>
      </c>
      <c r="G609" t="n">
        <v>89.59999999999999</v>
      </c>
      <c r="H609" t="n">
        <v>0</v>
      </c>
      <c r="I609" t="n">
        <v>0</v>
      </c>
      <c r="J609" t="n">
        <v>0</v>
      </c>
      <c r="K609" t="n">
        <v>0</v>
      </c>
      <c r="L609" t="n">
        <v>0</v>
      </c>
      <c r="M609" t="n">
        <v>0</v>
      </c>
      <c r="N609" t="n">
        <v>0</v>
      </c>
      <c r="O609" t="n">
        <v>0</v>
      </c>
      <c r="P609" t="n">
        <v>0</v>
      </c>
      <c r="Q609" t="n">
        <v>0</v>
      </c>
      <c r="R609" s="2" t="inlineStr"/>
    </row>
    <row r="610" ht="15" customHeight="1">
      <c r="A610" t="inlineStr">
        <is>
          <t>A 59031-2024</t>
        </is>
      </c>
      <c r="B610" s="1" t="n">
        <v>45636</v>
      </c>
      <c r="C610" s="1" t="n">
        <v>45917</v>
      </c>
      <c r="D610" t="inlineStr">
        <is>
          <t>VÄSTERBOTTENS LÄN</t>
        </is>
      </c>
      <c r="E610" t="inlineStr">
        <is>
          <t>VILHELMINA</t>
        </is>
      </c>
      <c r="G610" t="n">
        <v>38.9</v>
      </c>
      <c r="H610" t="n">
        <v>0</v>
      </c>
      <c r="I610" t="n">
        <v>0</v>
      </c>
      <c r="J610" t="n">
        <v>0</v>
      </c>
      <c r="K610" t="n">
        <v>0</v>
      </c>
      <c r="L610" t="n">
        <v>0</v>
      </c>
      <c r="M610" t="n">
        <v>0</v>
      </c>
      <c r="N610" t="n">
        <v>0</v>
      </c>
      <c r="O610" t="n">
        <v>0</v>
      </c>
      <c r="P610" t="n">
        <v>0</v>
      </c>
      <c r="Q610" t="n">
        <v>0</v>
      </c>
      <c r="R610" s="2" t="inlineStr"/>
    </row>
    <row r="611" ht="15" customHeight="1">
      <c r="A611" t="inlineStr">
        <is>
          <t>A 5947-2023</t>
        </is>
      </c>
      <c r="B611" s="1" t="n">
        <v>44963.92259259259</v>
      </c>
      <c r="C611" s="1" t="n">
        <v>45917</v>
      </c>
      <c r="D611" t="inlineStr">
        <is>
          <t>VÄSTERBOTTENS LÄN</t>
        </is>
      </c>
      <c r="E611" t="inlineStr">
        <is>
          <t>VILHELMINA</t>
        </is>
      </c>
      <c r="G611" t="n">
        <v>4.3</v>
      </c>
      <c r="H611" t="n">
        <v>0</v>
      </c>
      <c r="I611" t="n">
        <v>0</v>
      </c>
      <c r="J611" t="n">
        <v>0</v>
      </c>
      <c r="K611" t="n">
        <v>0</v>
      </c>
      <c r="L611" t="n">
        <v>0</v>
      </c>
      <c r="M611" t="n">
        <v>0</v>
      </c>
      <c r="N611" t="n">
        <v>0</v>
      </c>
      <c r="O611" t="n">
        <v>0</v>
      </c>
      <c r="P611" t="n">
        <v>0</v>
      </c>
      <c r="Q611" t="n">
        <v>0</v>
      </c>
      <c r="R611" s="2" t="inlineStr"/>
    </row>
    <row r="612" ht="15" customHeight="1">
      <c r="A612" t="inlineStr">
        <is>
          <t>A 65179-2021</t>
        </is>
      </c>
      <c r="B612" s="1" t="n">
        <v>44515</v>
      </c>
      <c r="C612" s="1" t="n">
        <v>45917</v>
      </c>
      <c r="D612" t="inlineStr">
        <is>
          <t>VÄSTERBOTTENS LÄN</t>
        </is>
      </c>
      <c r="E612" t="inlineStr">
        <is>
          <t>VILHELMINA</t>
        </is>
      </c>
      <c r="G612" t="n">
        <v>8</v>
      </c>
      <c r="H612" t="n">
        <v>0</v>
      </c>
      <c r="I612" t="n">
        <v>0</v>
      </c>
      <c r="J612" t="n">
        <v>0</v>
      </c>
      <c r="K612" t="n">
        <v>0</v>
      </c>
      <c r="L612" t="n">
        <v>0</v>
      </c>
      <c r="M612" t="n">
        <v>0</v>
      </c>
      <c r="N612" t="n">
        <v>0</v>
      </c>
      <c r="O612" t="n">
        <v>0</v>
      </c>
      <c r="P612" t="n">
        <v>0</v>
      </c>
      <c r="Q612" t="n">
        <v>0</v>
      </c>
      <c r="R612" s="2" t="inlineStr"/>
    </row>
    <row r="613" ht="15" customHeight="1">
      <c r="A613" t="inlineStr">
        <is>
          <t>A 37346-2024</t>
        </is>
      </c>
      <c r="B613" s="1" t="n">
        <v>45540</v>
      </c>
      <c r="C613" s="1" t="n">
        <v>45917</v>
      </c>
      <c r="D613" t="inlineStr">
        <is>
          <t>VÄSTERBOTTENS LÄN</t>
        </is>
      </c>
      <c r="E613" t="inlineStr">
        <is>
          <t>VILHELMINA</t>
        </is>
      </c>
      <c r="G613" t="n">
        <v>100.3</v>
      </c>
      <c r="H613" t="n">
        <v>0</v>
      </c>
      <c r="I613" t="n">
        <v>0</v>
      </c>
      <c r="J613" t="n">
        <v>0</v>
      </c>
      <c r="K613" t="n">
        <v>0</v>
      </c>
      <c r="L613" t="n">
        <v>0</v>
      </c>
      <c r="M613" t="n">
        <v>0</v>
      </c>
      <c r="N613" t="n">
        <v>0</v>
      </c>
      <c r="O613" t="n">
        <v>0</v>
      </c>
      <c r="P613" t="n">
        <v>0</v>
      </c>
      <c r="Q613" t="n">
        <v>0</v>
      </c>
      <c r="R613" s="2" t="inlineStr"/>
    </row>
    <row r="614" ht="15" customHeight="1">
      <c r="A614" t="inlineStr">
        <is>
          <t>A 40726-2024</t>
        </is>
      </c>
      <c r="B614" s="1" t="n">
        <v>45558</v>
      </c>
      <c r="C614" s="1" t="n">
        <v>45917</v>
      </c>
      <c r="D614" t="inlineStr">
        <is>
          <t>VÄSTERBOTTENS LÄN</t>
        </is>
      </c>
      <c r="E614" t="inlineStr">
        <is>
          <t>VILHELMINA</t>
        </is>
      </c>
      <c r="F614" t="inlineStr">
        <is>
          <t>Allmännings- och besparingsskogar</t>
        </is>
      </c>
      <c r="G614" t="n">
        <v>73.59999999999999</v>
      </c>
      <c r="H614" t="n">
        <v>0</v>
      </c>
      <c r="I614" t="n">
        <v>0</v>
      </c>
      <c r="J614" t="n">
        <v>0</v>
      </c>
      <c r="K614" t="n">
        <v>0</v>
      </c>
      <c r="L614" t="n">
        <v>0</v>
      </c>
      <c r="M614" t="n">
        <v>0</v>
      </c>
      <c r="N614" t="n">
        <v>0</v>
      </c>
      <c r="O614" t="n">
        <v>0</v>
      </c>
      <c r="P614" t="n">
        <v>0</v>
      </c>
      <c r="Q614" t="n">
        <v>0</v>
      </c>
      <c r="R614" s="2" t="inlineStr"/>
    </row>
    <row r="615" ht="15" customHeight="1">
      <c r="A615" t="inlineStr">
        <is>
          <t>A 26499-2024</t>
        </is>
      </c>
      <c r="B615" s="1" t="n">
        <v>45469</v>
      </c>
      <c r="C615" s="1" t="n">
        <v>45917</v>
      </c>
      <c r="D615" t="inlineStr">
        <is>
          <t>VÄSTERBOTTENS LÄN</t>
        </is>
      </c>
      <c r="E615" t="inlineStr">
        <is>
          <t>VILHELMINA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8745-2023</t>
        </is>
      </c>
      <c r="B616" s="1" t="n">
        <v>44972</v>
      </c>
      <c r="C616" s="1" t="n">
        <v>45917</v>
      </c>
      <c r="D616" t="inlineStr">
        <is>
          <t>VÄSTERBOTTENS LÄN</t>
        </is>
      </c>
      <c r="E616" t="inlineStr">
        <is>
          <t>VILHELMINA</t>
        </is>
      </c>
      <c r="F616" t="inlineStr">
        <is>
          <t>Allmännings- och besparingsskogar</t>
        </is>
      </c>
      <c r="G616" t="n">
        <v>41</v>
      </c>
      <c r="H616" t="n">
        <v>0</v>
      </c>
      <c r="I616" t="n">
        <v>0</v>
      </c>
      <c r="J616" t="n">
        <v>0</v>
      </c>
      <c r="K616" t="n">
        <v>0</v>
      </c>
      <c r="L616" t="n">
        <v>0</v>
      </c>
      <c r="M616" t="n">
        <v>0</v>
      </c>
      <c r="N616" t="n">
        <v>0</v>
      </c>
      <c r="O616" t="n">
        <v>0</v>
      </c>
      <c r="P616" t="n">
        <v>0</v>
      </c>
      <c r="Q616" t="n">
        <v>0</v>
      </c>
      <c r="R616" s="2" t="inlineStr"/>
    </row>
    <row r="617" ht="15" customHeight="1">
      <c r="A617" t="inlineStr">
        <is>
          <t>A 12593-2022</t>
        </is>
      </c>
      <c r="B617" s="1" t="n">
        <v>44640</v>
      </c>
      <c r="C617" s="1" t="n">
        <v>45917</v>
      </c>
      <c r="D617" t="inlineStr">
        <is>
          <t>VÄSTERBOTTENS LÄN</t>
        </is>
      </c>
      <c r="E617" t="inlineStr">
        <is>
          <t>VILHELMINA</t>
        </is>
      </c>
      <c r="G617" t="n">
        <v>10.4</v>
      </c>
      <c r="H617" t="n">
        <v>0</v>
      </c>
      <c r="I617" t="n">
        <v>0</v>
      </c>
      <c r="J617" t="n">
        <v>0</v>
      </c>
      <c r="K617" t="n">
        <v>0</v>
      </c>
      <c r="L617" t="n">
        <v>0</v>
      </c>
      <c r="M617" t="n">
        <v>0</v>
      </c>
      <c r="N617" t="n">
        <v>0</v>
      </c>
      <c r="O617" t="n">
        <v>0</v>
      </c>
      <c r="P617" t="n">
        <v>0</v>
      </c>
      <c r="Q617" t="n">
        <v>0</v>
      </c>
      <c r="R617" s="2" t="inlineStr"/>
    </row>
    <row r="618" ht="15" customHeight="1">
      <c r="A618" t="inlineStr">
        <is>
          <t>A 16719-2025</t>
        </is>
      </c>
      <c r="B618" s="1" t="n">
        <v>45754.49008101852</v>
      </c>
      <c r="C618" s="1" t="n">
        <v>45917</v>
      </c>
      <c r="D618" t="inlineStr">
        <is>
          <t>VÄSTERBOTTENS LÄN</t>
        </is>
      </c>
      <c r="E618" t="inlineStr">
        <is>
          <t>VILHELMINA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37325-2022</t>
        </is>
      </c>
      <c r="B619" s="1" t="n">
        <v>44806</v>
      </c>
      <c r="C619" s="1" t="n">
        <v>45917</v>
      </c>
      <c r="D619" t="inlineStr">
        <is>
          <t>VÄSTERBOTTENS LÄN</t>
        </is>
      </c>
      <c r="E619" t="inlineStr">
        <is>
          <t>VILHELMINA</t>
        </is>
      </c>
      <c r="F619" t="inlineStr">
        <is>
          <t>Övriga statliga verk och myndigheter</t>
        </is>
      </c>
      <c r="G619" t="n">
        <v>11</v>
      </c>
      <c r="H619" t="n">
        <v>0</v>
      </c>
      <c r="I619" t="n">
        <v>0</v>
      </c>
      <c r="J619" t="n">
        <v>0</v>
      </c>
      <c r="K619" t="n">
        <v>0</v>
      </c>
      <c r="L619" t="n">
        <v>0</v>
      </c>
      <c r="M619" t="n">
        <v>0</v>
      </c>
      <c r="N619" t="n">
        <v>0</v>
      </c>
      <c r="O619" t="n">
        <v>0</v>
      </c>
      <c r="P619" t="n">
        <v>0</v>
      </c>
      <c r="Q619" t="n">
        <v>0</v>
      </c>
      <c r="R619" s="2" t="inlineStr"/>
    </row>
    <row r="620" ht="15" customHeight="1">
      <c r="A620" t="inlineStr">
        <is>
          <t>A 28695-2024</t>
        </is>
      </c>
      <c r="B620" s="1" t="n">
        <v>45478</v>
      </c>
      <c r="C620" s="1" t="n">
        <v>45917</v>
      </c>
      <c r="D620" t="inlineStr">
        <is>
          <t>VÄSTERBOTTENS LÄN</t>
        </is>
      </c>
      <c r="E620" t="inlineStr">
        <is>
          <t>VILHELMINA</t>
        </is>
      </c>
      <c r="F620" t="inlineStr">
        <is>
          <t>Allmännings- och besparingsskogar</t>
        </is>
      </c>
      <c r="G620" t="n">
        <v>3.1</v>
      </c>
      <c r="H620" t="n">
        <v>0</v>
      </c>
      <c r="I620" t="n">
        <v>0</v>
      </c>
      <c r="J620" t="n">
        <v>0</v>
      </c>
      <c r="K620" t="n">
        <v>0</v>
      </c>
      <c r="L620" t="n">
        <v>0</v>
      </c>
      <c r="M620" t="n">
        <v>0</v>
      </c>
      <c r="N620" t="n">
        <v>0</v>
      </c>
      <c r="O620" t="n">
        <v>0</v>
      </c>
      <c r="P620" t="n">
        <v>0</v>
      </c>
      <c r="Q620" t="n">
        <v>0</v>
      </c>
      <c r="R620" s="2" t="inlineStr"/>
    </row>
    <row r="621" ht="15" customHeight="1">
      <c r="A621" t="inlineStr">
        <is>
          <t>A 8733-2023</t>
        </is>
      </c>
      <c r="B621" s="1" t="n">
        <v>44972</v>
      </c>
      <c r="C621" s="1" t="n">
        <v>45917</v>
      </c>
      <c r="D621" t="inlineStr">
        <is>
          <t>VÄSTERBOTTENS LÄN</t>
        </is>
      </c>
      <c r="E621" t="inlineStr">
        <is>
          <t>VILHELMINA</t>
        </is>
      </c>
      <c r="F621" t="inlineStr">
        <is>
          <t>Allmännings- och besparingsskogar</t>
        </is>
      </c>
      <c r="G621" t="n">
        <v>20</v>
      </c>
      <c r="H621" t="n">
        <v>0</v>
      </c>
      <c r="I621" t="n">
        <v>0</v>
      </c>
      <c r="J621" t="n">
        <v>0</v>
      </c>
      <c r="K621" t="n">
        <v>0</v>
      </c>
      <c r="L621" t="n">
        <v>0</v>
      </c>
      <c r="M621" t="n">
        <v>0</v>
      </c>
      <c r="N621" t="n">
        <v>0</v>
      </c>
      <c r="O621" t="n">
        <v>0</v>
      </c>
      <c r="P621" t="n">
        <v>0</v>
      </c>
      <c r="Q621" t="n">
        <v>0</v>
      </c>
      <c r="R621" s="2" t="inlineStr"/>
    </row>
    <row r="622" ht="15" customHeight="1">
      <c r="A622" t="inlineStr">
        <is>
          <t>A 8759-2023</t>
        </is>
      </c>
      <c r="B622" s="1" t="n">
        <v>44972</v>
      </c>
      <c r="C622" s="1" t="n">
        <v>45917</v>
      </c>
      <c r="D622" t="inlineStr">
        <is>
          <t>VÄSTERBOTTENS LÄN</t>
        </is>
      </c>
      <c r="E622" t="inlineStr">
        <is>
          <t>VILHELMINA</t>
        </is>
      </c>
      <c r="F622" t="inlineStr">
        <is>
          <t>Allmännings- och besparingsskogar</t>
        </is>
      </c>
      <c r="G622" t="n">
        <v>23.4</v>
      </c>
      <c r="H622" t="n">
        <v>0</v>
      </c>
      <c r="I622" t="n">
        <v>0</v>
      </c>
      <c r="J622" t="n">
        <v>0</v>
      </c>
      <c r="K622" t="n">
        <v>0</v>
      </c>
      <c r="L622" t="n">
        <v>0</v>
      </c>
      <c r="M622" t="n">
        <v>0</v>
      </c>
      <c r="N622" t="n">
        <v>0</v>
      </c>
      <c r="O622" t="n">
        <v>0</v>
      </c>
      <c r="P622" t="n">
        <v>0</v>
      </c>
      <c r="Q622" t="n">
        <v>0</v>
      </c>
      <c r="R622" s="2" t="inlineStr"/>
    </row>
    <row r="623" ht="15" customHeight="1">
      <c r="A623" t="inlineStr">
        <is>
          <t>A 43817-2025</t>
        </is>
      </c>
      <c r="B623" s="1" t="n">
        <v>45912</v>
      </c>
      <c r="C623" s="1" t="n">
        <v>45917</v>
      </c>
      <c r="D623" t="inlineStr">
        <is>
          <t>VÄSTERBOTTENS LÄN</t>
        </is>
      </c>
      <c r="E623" t="inlineStr">
        <is>
          <t>VILHELMINA</t>
        </is>
      </c>
      <c r="G623" t="n">
        <v>23.1</v>
      </c>
      <c r="H623" t="n">
        <v>0</v>
      </c>
      <c r="I623" t="n">
        <v>0</v>
      </c>
      <c r="J623" t="n">
        <v>0</v>
      </c>
      <c r="K623" t="n">
        <v>0</v>
      </c>
      <c r="L623" t="n">
        <v>0</v>
      </c>
      <c r="M623" t="n">
        <v>0</v>
      </c>
      <c r="N623" t="n">
        <v>0</v>
      </c>
      <c r="O623" t="n">
        <v>0</v>
      </c>
      <c r="P623" t="n">
        <v>0</v>
      </c>
      <c r="Q623" t="n">
        <v>0</v>
      </c>
      <c r="R623" s="2" t="inlineStr"/>
    </row>
    <row r="624" ht="15" customHeight="1">
      <c r="A624" t="inlineStr">
        <is>
          <t>A 59693-2024</t>
        </is>
      </c>
      <c r="B624" s="1" t="n">
        <v>45639</v>
      </c>
      <c r="C624" s="1" t="n">
        <v>45917</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36972-2023</t>
        </is>
      </c>
      <c r="B625" s="1" t="n">
        <v>45154</v>
      </c>
      <c r="C625" s="1" t="n">
        <v>45917</v>
      </c>
      <c r="D625" t="inlineStr">
        <is>
          <t>VÄSTERBOTTENS LÄN</t>
        </is>
      </c>
      <c r="E625" t="inlineStr">
        <is>
          <t>VILHELMINA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15782-2025</t>
        </is>
      </c>
      <c r="B626" s="1" t="n">
        <v>45748</v>
      </c>
      <c r="C626" s="1" t="n">
        <v>45917</v>
      </c>
      <c r="D626" t="inlineStr">
        <is>
          <t>VÄSTERBOTTENS LÄN</t>
        </is>
      </c>
      <c r="E626" t="inlineStr">
        <is>
          <t>VILHELMINA</t>
        </is>
      </c>
      <c r="G626" t="n">
        <v>2.5</v>
      </c>
      <c r="H626" t="n">
        <v>0</v>
      </c>
      <c r="I626" t="n">
        <v>0</v>
      </c>
      <c r="J626" t="n">
        <v>0</v>
      </c>
      <c r="K626" t="n">
        <v>0</v>
      </c>
      <c r="L626" t="n">
        <v>0</v>
      </c>
      <c r="M626" t="n">
        <v>0</v>
      </c>
      <c r="N626" t="n">
        <v>0</v>
      </c>
      <c r="O626" t="n">
        <v>0</v>
      </c>
      <c r="P626" t="n">
        <v>0</v>
      </c>
      <c r="Q626" t="n">
        <v>0</v>
      </c>
      <c r="R626" s="2" t="inlineStr"/>
    </row>
    <row r="627" ht="15" customHeight="1">
      <c r="A627" t="inlineStr">
        <is>
          <t>A 15792-2025</t>
        </is>
      </c>
      <c r="B627" s="1" t="n">
        <v>45748.63356481482</v>
      </c>
      <c r="C627" s="1" t="n">
        <v>45917</v>
      </c>
      <c r="D627" t="inlineStr">
        <is>
          <t>VÄSTERBOTTENS LÄN</t>
        </is>
      </c>
      <c r="E627" t="inlineStr">
        <is>
          <t>VILHELMINA</t>
        </is>
      </c>
      <c r="G627" t="n">
        <v>5.5</v>
      </c>
      <c r="H627" t="n">
        <v>0</v>
      </c>
      <c r="I627" t="n">
        <v>0</v>
      </c>
      <c r="J627" t="n">
        <v>0</v>
      </c>
      <c r="K627" t="n">
        <v>0</v>
      </c>
      <c r="L627" t="n">
        <v>0</v>
      </c>
      <c r="M627" t="n">
        <v>0</v>
      </c>
      <c r="N627" t="n">
        <v>0</v>
      </c>
      <c r="O627" t="n">
        <v>0</v>
      </c>
      <c r="P627" t="n">
        <v>0</v>
      </c>
      <c r="Q627" t="n">
        <v>0</v>
      </c>
      <c r="R627" s="2" t="inlineStr"/>
    </row>
    <row r="628" ht="15" customHeight="1">
      <c r="A628" t="inlineStr">
        <is>
          <t>A 23543-2024</t>
        </is>
      </c>
      <c r="B628" s="1" t="n">
        <v>45453</v>
      </c>
      <c r="C628" s="1" t="n">
        <v>45917</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40781-2023</t>
        </is>
      </c>
      <c r="B629" s="1" t="n">
        <v>45170.95747685185</v>
      </c>
      <c r="C629" s="1" t="n">
        <v>45917</v>
      </c>
      <c r="D629" t="inlineStr">
        <is>
          <t>VÄSTERBOTTENS LÄN</t>
        </is>
      </c>
      <c r="E629" t="inlineStr">
        <is>
          <t>VILHELMINA</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56891-2023</t>
        </is>
      </c>
      <c r="B630" s="1" t="n">
        <v>45239</v>
      </c>
      <c r="C630" s="1" t="n">
        <v>45917</v>
      </c>
      <c r="D630" t="inlineStr">
        <is>
          <t>VÄSTERBOTTENS LÄN</t>
        </is>
      </c>
      <c r="E630" t="inlineStr">
        <is>
          <t>VILHELMINA</t>
        </is>
      </c>
      <c r="G630" t="n">
        <v>1.1</v>
      </c>
      <c r="H630" t="n">
        <v>0</v>
      </c>
      <c r="I630" t="n">
        <v>0</v>
      </c>
      <c r="J630" t="n">
        <v>0</v>
      </c>
      <c r="K630" t="n">
        <v>0</v>
      </c>
      <c r="L630" t="n">
        <v>0</v>
      </c>
      <c r="M630" t="n">
        <v>0</v>
      </c>
      <c r="N630" t="n">
        <v>0</v>
      </c>
      <c r="O630" t="n">
        <v>0</v>
      </c>
      <c r="P630" t="n">
        <v>0</v>
      </c>
      <c r="Q630" t="n">
        <v>0</v>
      </c>
      <c r="R630" s="2" t="inlineStr"/>
    </row>
    <row r="631" ht="15" customHeight="1">
      <c r="A631" t="inlineStr">
        <is>
          <t>A 36569-2025</t>
        </is>
      </c>
      <c r="B631" s="1" t="n">
        <v>45870</v>
      </c>
      <c r="C631" s="1" t="n">
        <v>45917</v>
      </c>
      <c r="D631" t="inlineStr">
        <is>
          <t>VÄSTERBOTTENS LÄN</t>
        </is>
      </c>
      <c r="E631" t="inlineStr">
        <is>
          <t>VILHELMINA</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19600-2025</t>
        </is>
      </c>
      <c r="B632" s="1" t="n">
        <v>45770</v>
      </c>
      <c r="C632" s="1" t="n">
        <v>45917</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33661-2023</t>
        </is>
      </c>
      <c r="B633" s="1" t="n">
        <v>45119</v>
      </c>
      <c r="C633" s="1" t="n">
        <v>45917</v>
      </c>
      <c r="D633" t="inlineStr">
        <is>
          <t>VÄSTERBOTTENS LÄN</t>
        </is>
      </c>
      <c r="E633" t="inlineStr">
        <is>
          <t>VILHELMINA</t>
        </is>
      </c>
      <c r="G633" t="n">
        <v>1.8</v>
      </c>
      <c r="H633" t="n">
        <v>0</v>
      </c>
      <c r="I633" t="n">
        <v>0</v>
      </c>
      <c r="J633" t="n">
        <v>0</v>
      </c>
      <c r="K633" t="n">
        <v>0</v>
      </c>
      <c r="L633" t="n">
        <v>0</v>
      </c>
      <c r="M633" t="n">
        <v>0</v>
      </c>
      <c r="N633" t="n">
        <v>0</v>
      </c>
      <c r="O633" t="n">
        <v>0</v>
      </c>
      <c r="P633" t="n">
        <v>0</v>
      </c>
      <c r="Q633" t="n">
        <v>0</v>
      </c>
      <c r="R633" s="2" t="inlineStr"/>
    </row>
    <row r="634" ht="15" customHeight="1">
      <c r="A634" t="inlineStr">
        <is>
          <t>A 62101-2024</t>
        </is>
      </c>
      <c r="B634" s="1" t="n">
        <v>45656.51119212963</v>
      </c>
      <c r="C634" s="1" t="n">
        <v>45917</v>
      </c>
      <c r="D634" t="inlineStr">
        <is>
          <t>VÄSTERBOTTENS LÄN</t>
        </is>
      </c>
      <c r="E634" t="inlineStr">
        <is>
          <t>VILHELMINA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44371-2023</t>
        </is>
      </c>
      <c r="B635" s="1" t="n">
        <v>45188</v>
      </c>
      <c r="C635" s="1" t="n">
        <v>45917</v>
      </c>
      <c r="D635" t="inlineStr">
        <is>
          <t>VÄSTERBOTTENS LÄN</t>
        </is>
      </c>
      <c r="E635" t="inlineStr">
        <is>
          <t>VILHELMINA</t>
        </is>
      </c>
      <c r="G635" t="n">
        <v>11</v>
      </c>
      <c r="H635" t="n">
        <v>0</v>
      </c>
      <c r="I635" t="n">
        <v>0</v>
      </c>
      <c r="J635" t="n">
        <v>0</v>
      </c>
      <c r="K635" t="n">
        <v>0</v>
      </c>
      <c r="L635" t="n">
        <v>0</v>
      </c>
      <c r="M635" t="n">
        <v>0</v>
      </c>
      <c r="N635" t="n">
        <v>0</v>
      </c>
      <c r="O635" t="n">
        <v>0</v>
      </c>
      <c r="P635" t="n">
        <v>0</v>
      </c>
      <c r="Q635" t="n">
        <v>0</v>
      </c>
      <c r="R635" s="2" t="inlineStr"/>
    </row>
    <row r="636" ht="15" customHeight="1">
      <c r="A636" t="inlineStr">
        <is>
          <t>A 33349-2023</t>
        </is>
      </c>
      <c r="B636" s="1" t="n">
        <v>45117</v>
      </c>
      <c r="C636" s="1" t="n">
        <v>45917</v>
      </c>
      <c r="D636" t="inlineStr">
        <is>
          <t>VÄSTERBOTTENS LÄN</t>
        </is>
      </c>
      <c r="E636" t="inlineStr">
        <is>
          <t>VILHELMINA</t>
        </is>
      </c>
      <c r="G636" t="n">
        <v>1.3</v>
      </c>
      <c r="H636" t="n">
        <v>0</v>
      </c>
      <c r="I636" t="n">
        <v>0</v>
      </c>
      <c r="J636" t="n">
        <v>0</v>
      </c>
      <c r="K636" t="n">
        <v>0</v>
      </c>
      <c r="L636" t="n">
        <v>0</v>
      </c>
      <c r="M636" t="n">
        <v>0</v>
      </c>
      <c r="N636" t="n">
        <v>0</v>
      </c>
      <c r="O636" t="n">
        <v>0</v>
      </c>
      <c r="P636" t="n">
        <v>0</v>
      </c>
      <c r="Q636" t="n">
        <v>0</v>
      </c>
      <c r="R636" s="2" t="inlineStr"/>
    </row>
    <row r="637" ht="15" customHeight="1">
      <c r="A637" t="inlineStr">
        <is>
          <t>A 15639-2024</t>
        </is>
      </c>
      <c r="B637" s="1" t="n">
        <v>45403</v>
      </c>
      <c r="C637" s="1" t="n">
        <v>45917</v>
      </c>
      <c r="D637" t="inlineStr">
        <is>
          <t>VÄSTERBOTTENS LÄN</t>
        </is>
      </c>
      <c r="E637" t="inlineStr">
        <is>
          <t>VILHELMINA</t>
        </is>
      </c>
      <c r="G637" t="n">
        <v>81.90000000000001</v>
      </c>
      <c r="H637" t="n">
        <v>0</v>
      </c>
      <c r="I637" t="n">
        <v>0</v>
      </c>
      <c r="J637" t="n">
        <v>0</v>
      </c>
      <c r="K637" t="n">
        <v>0</v>
      </c>
      <c r="L637" t="n">
        <v>0</v>
      </c>
      <c r="M637" t="n">
        <v>0</v>
      </c>
      <c r="N637" t="n">
        <v>0</v>
      </c>
      <c r="O637" t="n">
        <v>0</v>
      </c>
      <c r="P637" t="n">
        <v>0</v>
      </c>
      <c r="Q637" t="n">
        <v>0</v>
      </c>
      <c r="R637" s="2" t="inlineStr"/>
    </row>
    <row r="638" ht="15" customHeight="1">
      <c r="A638" t="inlineStr">
        <is>
          <t>A 237-2025</t>
        </is>
      </c>
      <c r="B638" s="1" t="n">
        <v>45660.40270833333</v>
      </c>
      <c r="C638" s="1" t="n">
        <v>45917</v>
      </c>
      <c r="D638" t="inlineStr">
        <is>
          <t>VÄSTERBOTTENS LÄN</t>
        </is>
      </c>
      <c r="E638" t="inlineStr">
        <is>
          <t>VILHELMINA</t>
        </is>
      </c>
      <c r="G638" t="n">
        <v>4.6</v>
      </c>
      <c r="H638" t="n">
        <v>0</v>
      </c>
      <c r="I638" t="n">
        <v>0</v>
      </c>
      <c r="J638" t="n">
        <v>0</v>
      </c>
      <c r="K638" t="n">
        <v>0</v>
      </c>
      <c r="L638" t="n">
        <v>0</v>
      </c>
      <c r="M638" t="n">
        <v>0</v>
      </c>
      <c r="N638" t="n">
        <v>0</v>
      </c>
      <c r="O638" t="n">
        <v>0</v>
      </c>
      <c r="P638" t="n">
        <v>0</v>
      </c>
      <c r="Q638" t="n">
        <v>0</v>
      </c>
      <c r="R638" s="2" t="inlineStr"/>
    </row>
    <row r="639" ht="15" customHeight="1">
      <c r="A639" t="inlineStr">
        <is>
          <t>A 242-2025</t>
        </is>
      </c>
      <c r="B639" s="1" t="n">
        <v>45660.41033564815</v>
      </c>
      <c r="C639" s="1" t="n">
        <v>45917</v>
      </c>
      <c r="D639" t="inlineStr">
        <is>
          <t>VÄSTERBOTTENS LÄN</t>
        </is>
      </c>
      <c r="E639" t="inlineStr">
        <is>
          <t>VILHELMINA</t>
        </is>
      </c>
      <c r="G639" t="n">
        <v>2.7</v>
      </c>
      <c r="H639" t="n">
        <v>0</v>
      </c>
      <c r="I639" t="n">
        <v>0</v>
      </c>
      <c r="J639" t="n">
        <v>0</v>
      </c>
      <c r="K639" t="n">
        <v>0</v>
      </c>
      <c r="L639" t="n">
        <v>0</v>
      </c>
      <c r="M639" t="n">
        <v>0</v>
      </c>
      <c r="N639" t="n">
        <v>0</v>
      </c>
      <c r="O639" t="n">
        <v>0</v>
      </c>
      <c r="P639" t="n">
        <v>0</v>
      </c>
      <c r="Q639" t="n">
        <v>0</v>
      </c>
      <c r="R639" s="2" t="inlineStr"/>
    </row>
    <row r="640" ht="15" customHeight="1">
      <c r="A640" t="inlineStr">
        <is>
          <t>A 296-2025</t>
        </is>
      </c>
      <c r="B640" s="1" t="n">
        <v>45660.53215277778</v>
      </c>
      <c r="C640" s="1" t="n">
        <v>45917</v>
      </c>
      <c r="D640" t="inlineStr">
        <is>
          <t>VÄSTERBOTTENS LÄN</t>
        </is>
      </c>
      <c r="E640" t="inlineStr">
        <is>
          <t>VILHELMINA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37912-2025</t>
        </is>
      </c>
      <c r="B641" s="1" t="n">
        <v>45880</v>
      </c>
      <c r="C641" s="1" t="n">
        <v>45917</v>
      </c>
      <c r="D641" t="inlineStr">
        <is>
          <t>VÄSTERBOTTENS LÄN</t>
        </is>
      </c>
      <c r="E641" t="inlineStr">
        <is>
          <t>VILHELMINA</t>
        </is>
      </c>
      <c r="F641" t="inlineStr">
        <is>
          <t>SCA</t>
        </is>
      </c>
      <c r="G641" t="n">
        <v>23.9</v>
      </c>
      <c r="H641" t="n">
        <v>0</v>
      </c>
      <c r="I641" t="n">
        <v>0</v>
      </c>
      <c r="J641" t="n">
        <v>0</v>
      </c>
      <c r="K641" t="n">
        <v>0</v>
      </c>
      <c r="L641" t="n">
        <v>0</v>
      </c>
      <c r="M641" t="n">
        <v>0</v>
      </c>
      <c r="N641" t="n">
        <v>0</v>
      </c>
      <c r="O641" t="n">
        <v>0</v>
      </c>
      <c r="P641" t="n">
        <v>0</v>
      </c>
      <c r="Q641" t="n">
        <v>0</v>
      </c>
      <c r="R641" s="2" t="inlineStr"/>
    </row>
    <row r="642" ht="15" customHeight="1">
      <c r="A642" t="inlineStr">
        <is>
          <t>A 468-2024</t>
        </is>
      </c>
      <c r="B642" s="1" t="n">
        <v>45297</v>
      </c>
      <c r="C642" s="1" t="n">
        <v>45917</v>
      </c>
      <c r="D642" t="inlineStr">
        <is>
          <t>VÄSTERBOTTENS LÄN</t>
        </is>
      </c>
      <c r="E642" t="inlineStr">
        <is>
          <t>VILHELMINA</t>
        </is>
      </c>
      <c r="G642" t="n">
        <v>6.7</v>
      </c>
      <c r="H642" t="n">
        <v>0</v>
      </c>
      <c r="I642" t="n">
        <v>0</v>
      </c>
      <c r="J642" t="n">
        <v>0</v>
      </c>
      <c r="K642" t="n">
        <v>0</v>
      </c>
      <c r="L642" t="n">
        <v>0</v>
      </c>
      <c r="M642" t="n">
        <v>0</v>
      </c>
      <c r="N642" t="n">
        <v>0</v>
      </c>
      <c r="O642" t="n">
        <v>0</v>
      </c>
      <c r="P642" t="n">
        <v>0</v>
      </c>
      <c r="Q642" t="n">
        <v>0</v>
      </c>
      <c r="R642" s="2" t="inlineStr"/>
    </row>
    <row r="643" ht="15" customHeight="1">
      <c r="A643" t="inlineStr">
        <is>
          <t>A 58450-2024</t>
        </is>
      </c>
      <c r="B643" s="1" t="n">
        <v>45635.34425925926</v>
      </c>
      <c r="C643" s="1" t="n">
        <v>45917</v>
      </c>
      <c r="D643" t="inlineStr">
        <is>
          <t>VÄSTERBOTTENS LÄN</t>
        </is>
      </c>
      <c r="E643" t="inlineStr">
        <is>
          <t>VILHELMINA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34763-2024</t>
        </is>
      </c>
      <c r="B644" s="1" t="n">
        <v>45526.61646990741</v>
      </c>
      <c r="C644" s="1" t="n">
        <v>45917</v>
      </c>
      <c r="D644" t="inlineStr">
        <is>
          <t>VÄSTERBOTTENS LÄN</t>
        </is>
      </c>
      <c r="E644" t="inlineStr">
        <is>
          <t>VILHELMINA</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34764-2024</t>
        </is>
      </c>
      <c r="B645" s="1" t="n">
        <v>45526.61664351852</v>
      </c>
      <c r="C645" s="1" t="n">
        <v>45917</v>
      </c>
      <c r="D645" t="inlineStr">
        <is>
          <t>VÄSTERBOTTENS LÄN</t>
        </is>
      </c>
      <c r="E645" t="inlineStr">
        <is>
          <t>VILHELMINA</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56830-2023</t>
        </is>
      </c>
      <c r="B646" s="1" t="n">
        <v>45238</v>
      </c>
      <c r="C646" s="1" t="n">
        <v>45917</v>
      </c>
      <c r="D646" t="inlineStr">
        <is>
          <t>VÄSTERBOTTENS LÄN</t>
        </is>
      </c>
      <c r="E646" t="inlineStr">
        <is>
          <t>VILHELMINA</t>
        </is>
      </c>
      <c r="F646" t="inlineStr">
        <is>
          <t>Allmännings- och besparingsskogar</t>
        </is>
      </c>
      <c r="G646" t="n">
        <v>66</v>
      </c>
      <c r="H646" t="n">
        <v>0</v>
      </c>
      <c r="I646" t="n">
        <v>0</v>
      </c>
      <c r="J646" t="n">
        <v>0</v>
      </c>
      <c r="K646" t="n">
        <v>0</v>
      </c>
      <c r="L646" t="n">
        <v>0</v>
      </c>
      <c r="M646" t="n">
        <v>0</v>
      </c>
      <c r="N646" t="n">
        <v>0</v>
      </c>
      <c r="O646" t="n">
        <v>0</v>
      </c>
      <c r="P646" t="n">
        <v>0</v>
      </c>
      <c r="Q646" t="n">
        <v>0</v>
      </c>
      <c r="R646" s="2" t="inlineStr"/>
    </row>
    <row r="647" ht="15" customHeight="1">
      <c r="A647" t="inlineStr">
        <is>
          <t>A 56847-2023</t>
        </is>
      </c>
      <c r="B647" s="1" t="n">
        <v>45238</v>
      </c>
      <c r="C647" s="1" t="n">
        <v>45917</v>
      </c>
      <c r="D647" t="inlineStr">
        <is>
          <t>VÄSTERBOTTENS LÄN</t>
        </is>
      </c>
      <c r="E647" t="inlineStr">
        <is>
          <t>VILHELMINA</t>
        </is>
      </c>
      <c r="F647" t="inlineStr">
        <is>
          <t>Allmännings- och besparingsskogar</t>
        </is>
      </c>
      <c r="G647" t="n">
        <v>41</v>
      </c>
      <c r="H647" t="n">
        <v>0</v>
      </c>
      <c r="I647" t="n">
        <v>0</v>
      </c>
      <c r="J647" t="n">
        <v>0</v>
      </c>
      <c r="K647" t="n">
        <v>0</v>
      </c>
      <c r="L647" t="n">
        <v>0</v>
      </c>
      <c r="M647" t="n">
        <v>0</v>
      </c>
      <c r="N647" t="n">
        <v>0</v>
      </c>
      <c r="O647" t="n">
        <v>0</v>
      </c>
      <c r="P647" t="n">
        <v>0</v>
      </c>
      <c r="Q647" t="n">
        <v>0</v>
      </c>
      <c r="R647" s="2" t="inlineStr"/>
    </row>
    <row r="648" ht="15" customHeight="1">
      <c r="A648" t="inlineStr">
        <is>
          <t>A 20534-2025</t>
        </is>
      </c>
      <c r="B648" s="1" t="n">
        <v>45775.61550925926</v>
      </c>
      <c r="C648" s="1" t="n">
        <v>45917</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10418-2023</t>
        </is>
      </c>
      <c r="B649" s="1" t="n">
        <v>44987</v>
      </c>
      <c r="C649" s="1" t="n">
        <v>45917</v>
      </c>
      <c r="D649" t="inlineStr">
        <is>
          <t>VÄSTERBOTTENS LÄN</t>
        </is>
      </c>
      <c r="E649" t="inlineStr">
        <is>
          <t>VILHELMINA</t>
        </is>
      </c>
      <c r="G649" t="n">
        <v>3.2</v>
      </c>
      <c r="H649" t="n">
        <v>0</v>
      </c>
      <c r="I649" t="n">
        <v>0</v>
      </c>
      <c r="J649" t="n">
        <v>0</v>
      </c>
      <c r="K649" t="n">
        <v>0</v>
      </c>
      <c r="L649" t="n">
        <v>0</v>
      </c>
      <c r="M649" t="n">
        <v>0</v>
      </c>
      <c r="N649" t="n">
        <v>0</v>
      </c>
      <c r="O649" t="n">
        <v>0</v>
      </c>
      <c r="P649" t="n">
        <v>0</v>
      </c>
      <c r="Q649" t="n">
        <v>0</v>
      </c>
      <c r="R649" s="2" t="inlineStr"/>
    </row>
    <row r="650" ht="15" customHeight="1">
      <c r="A650" t="inlineStr">
        <is>
          <t>A 56823-2023</t>
        </is>
      </c>
      <c r="B650" s="1" t="n">
        <v>45238</v>
      </c>
      <c r="C650" s="1" t="n">
        <v>45917</v>
      </c>
      <c r="D650" t="inlineStr">
        <is>
          <t>VÄSTERBOTTENS LÄN</t>
        </is>
      </c>
      <c r="E650" t="inlineStr">
        <is>
          <t>VILHELMINA</t>
        </is>
      </c>
      <c r="F650" t="inlineStr">
        <is>
          <t>Allmännings- och besparingsskogar</t>
        </is>
      </c>
      <c r="G650" t="n">
        <v>82</v>
      </c>
      <c r="H650" t="n">
        <v>0</v>
      </c>
      <c r="I650" t="n">
        <v>0</v>
      </c>
      <c r="J650" t="n">
        <v>0</v>
      </c>
      <c r="K650" t="n">
        <v>0</v>
      </c>
      <c r="L650" t="n">
        <v>0</v>
      </c>
      <c r="M650" t="n">
        <v>0</v>
      </c>
      <c r="N650" t="n">
        <v>0</v>
      </c>
      <c r="O650" t="n">
        <v>0</v>
      </c>
      <c r="P650" t="n">
        <v>0</v>
      </c>
      <c r="Q650" t="n">
        <v>0</v>
      </c>
      <c r="R650" s="2" t="inlineStr"/>
    </row>
    <row r="651" ht="15" customHeight="1">
      <c r="A651" t="inlineStr">
        <is>
          <t>A 34087-2023</t>
        </is>
      </c>
      <c r="B651" s="1" t="n">
        <v>45125</v>
      </c>
      <c r="C651" s="1" t="n">
        <v>45917</v>
      </c>
      <c r="D651" t="inlineStr">
        <is>
          <t>VÄSTERBOTTENS LÄN</t>
        </is>
      </c>
      <c r="E651" t="inlineStr">
        <is>
          <t>VILHELMINA</t>
        </is>
      </c>
      <c r="G651" t="n">
        <v>13.2</v>
      </c>
      <c r="H651" t="n">
        <v>0</v>
      </c>
      <c r="I651" t="n">
        <v>0</v>
      </c>
      <c r="J651" t="n">
        <v>0</v>
      </c>
      <c r="K651" t="n">
        <v>0</v>
      </c>
      <c r="L651" t="n">
        <v>0</v>
      </c>
      <c r="M651" t="n">
        <v>0</v>
      </c>
      <c r="N651" t="n">
        <v>0</v>
      </c>
      <c r="O651" t="n">
        <v>0</v>
      </c>
      <c r="P651" t="n">
        <v>0</v>
      </c>
      <c r="Q651" t="n">
        <v>0</v>
      </c>
      <c r="R651" s="2" t="inlineStr"/>
    </row>
    <row r="652" ht="15" customHeight="1">
      <c r="A652" t="inlineStr">
        <is>
          <t>A 19464-2025</t>
        </is>
      </c>
      <c r="B652" s="1" t="n">
        <v>45770</v>
      </c>
      <c r="C652" s="1" t="n">
        <v>45917</v>
      </c>
      <c r="D652" t="inlineStr">
        <is>
          <t>VÄSTERBOTTENS LÄN</t>
        </is>
      </c>
      <c r="E652" t="inlineStr">
        <is>
          <t>VILHELMINA</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36973-2025</t>
        </is>
      </c>
      <c r="B653" s="1" t="n">
        <v>45874.63747685185</v>
      </c>
      <c r="C653" s="1" t="n">
        <v>45917</v>
      </c>
      <c r="D653" t="inlineStr">
        <is>
          <t>VÄSTERBOTTENS LÄN</t>
        </is>
      </c>
      <c r="E653" t="inlineStr">
        <is>
          <t>VILHELMINA</t>
        </is>
      </c>
      <c r="F653" t="inlineStr">
        <is>
          <t>SCA</t>
        </is>
      </c>
      <c r="G653" t="n">
        <v>6.1</v>
      </c>
      <c r="H653" t="n">
        <v>0</v>
      </c>
      <c r="I653" t="n">
        <v>0</v>
      </c>
      <c r="J653" t="n">
        <v>0</v>
      </c>
      <c r="K653" t="n">
        <v>0</v>
      </c>
      <c r="L653" t="n">
        <v>0</v>
      </c>
      <c r="M653" t="n">
        <v>0</v>
      </c>
      <c r="N653" t="n">
        <v>0</v>
      </c>
      <c r="O653" t="n">
        <v>0</v>
      </c>
      <c r="P653" t="n">
        <v>0</v>
      </c>
      <c r="Q653" t="n">
        <v>0</v>
      </c>
      <c r="R653" s="2" t="inlineStr"/>
    </row>
    <row r="654" ht="15" customHeight="1">
      <c r="A654" t="inlineStr">
        <is>
          <t>A 49236-2024</t>
        </is>
      </c>
      <c r="B654" s="1" t="n">
        <v>45595</v>
      </c>
      <c r="C654" s="1" t="n">
        <v>45917</v>
      </c>
      <c r="D654" t="inlineStr">
        <is>
          <t>VÄSTERBOTTENS LÄN</t>
        </is>
      </c>
      <c r="E654" t="inlineStr">
        <is>
          <t>VILHELMINA</t>
        </is>
      </c>
      <c r="G654" t="n">
        <v>4.1</v>
      </c>
      <c r="H654" t="n">
        <v>0</v>
      </c>
      <c r="I654" t="n">
        <v>0</v>
      </c>
      <c r="J654" t="n">
        <v>0</v>
      </c>
      <c r="K654" t="n">
        <v>0</v>
      </c>
      <c r="L654" t="n">
        <v>0</v>
      </c>
      <c r="M654" t="n">
        <v>0</v>
      </c>
      <c r="N654" t="n">
        <v>0</v>
      </c>
      <c r="O654" t="n">
        <v>0</v>
      </c>
      <c r="P654" t="n">
        <v>0</v>
      </c>
      <c r="Q654" t="n">
        <v>0</v>
      </c>
      <c r="R654" s="2" t="inlineStr"/>
    </row>
    <row r="655" ht="15" customHeight="1">
      <c r="A655" t="inlineStr">
        <is>
          <t>A 475-2024</t>
        </is>
      </c>
      <c r="B655" s="1" t="n">
        <v>45297.83246527778</v>
      </c>
      <c r="C655" s="1" t="n">
        <v>45917</v>
      </c>
      <c r="D655" t="inlineStr">
        <is>
          <t>VÄSTERBOTTENS LÄN</t>
        </is>
      </c>
      <c r="E655" t="inlineStr">
        <is>
          <t>VILHELMINA</t>
        </is>
      </c>
      <c r="G655" t="n">
        <v>6.1</v>
      </c>
      <c r="H655" t="n">
        <v>0</v>
      </c>
      <c r="I655" t="n">
        <v>0</v>
      </c>
      <c r="J655" t="n">
        <v>0</v>
      </c>
      <c r="K655" t="n">
        <v>0</v>
      </c>
      <c r="L655" t="n">
        <v>0</v>
      </c>
      <c r="M655" t="n">
        <v>0</v>
      </c>
      <c r="N655" t="n">
        <v>0</v>
      </c>
      <c r="O655" t="n">
        <v>0</v>
      </c>
      <c r="P655" t="n">
        <v>0</v>
      </c>
      <c r="Q655" t="n">
        <v>0</v>
      </c>
      <c r="R655" s="2" t="inlineStr"/>
    </row>
    <row r="656" ht="15" customHeight="1">
      <c r="A656" t="inlineStr">
        <is>
          <t>A 61801-2024</t>
        </is>
      </c>
      <c r="B656" s="1" t="n">
        <v>45649.56392361111</v>
      </c>
      <c r="C656" s="1" t="n">
        <v>45917</v>
      </c>
      <c r="D656" t="inlineStr">
        <is>
          <t>VÄSTERBOTTENS LÄN</t>
        </is>
      </c>
      <c r="E656" t="inlineStr">
        <is>
          <t>VILHELMINA</t>
        </is>
      </c>
      <c r="G656" t="n">
        <v>2.5</v>
      </c>
      <c r="H656" t="n">
        <v>0</v>
      </c>
      <c r="I656" t="n">
        <v>0</v>
      </c>
      <c r="J656" t="n">
        <v>0</v>
      </c>
      <c r="K656" t="n">
        <v>0</v>
      </c>
      <c r="L656" t="n">
        <v>0</v>
      </c>
      <c r="M656" t="n">
        <v>0</v>
      </c>
      <c r="N656" t="n">
        <v>0</v>
      </c>
      <c r="O656" t="n">
        <v>0</v>
      </c>
      <c r="P656" t="n">
        <v>0</v>
      </c>
      <c r="Q656" t="n">
        <v>0</v>
      </c>
      <c r="R656" s="2" t="inlineStr"/>
    </row>
    <row r="657" ht="15" customHeight="1">
      <c r="A657" t="inlineStr">
        <is>
          <t>A 61780-2023</t>
        </is>
      </c>
      <c r="B657" s="1" t="n">
        <v>45265.95685185185</v>
      </c>
      <c r="C657" s="1" t="n">
        <v>45917</v>
      </c>
      <c r="D657" t="inlineStr">
        <is>
          <t>VÄSTERBOTTENS LÄN</t>
        </is>
      </c>
      <c r="E657" t="inlineStr">
        <is>
          <t>VILHELMINA</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60842-2023</t>
        </is>
      </c>
      <c r="B658" s="1" t="n">
        <v>45260.9258912037</v>
      </c>
      <c r="C658" s="1" t="n">
        <v>45917</v>
      </c>
      <c r="D658" t="inlineStr">
        <is>
          <t>VÄSTERBOTTENS LÄN</t>
        </is>
      </c>
      <c r="E658" t="inlineStr">
        <is>
          <t>VILHELMINA</t>
        </is>
      </c>
      <c r="G658" t="n">
        <v>2.9</v>
      </c>
      <c r="H658" t="n">
        <v>0</v>
      </c>
      <c r="I658" t="n">
        <v>0</v>
      </c>
      <c r="J658" t="n">
        <v>0</v>
      </c>
      <c r="K658" t="n">
        <v>0</v>
      </c>
      <c r="L658" t="n">
        <v>0</v>
      </c>
      <c r="M658" t="n">
        <v>0</v>
      </c>
      <c r="N658" t="n">
        <v>0</v>
      </c>
      <c r="O658" t="n">
        <v>0</v>
      </c>
      <c r="P658" t="n">
        <v>0</v>
      </c>
      <c r="Q658" t="n">
        <v>0</v>
      </c>
      <c r="R658" s="2" t="inlineStr"/>
    </row>
    <row r="659" ht="15" customHeight="1">
      <c r="A659" t="inlineStr">
        <is>
          <t>A 36669-2025</t>
        </is>
      </c>
      <c r="B659" s="1" t="n">
        <v>45873</v>
      </c>
      <c r="C659" s="1" t="n">
        <v>45917</v>
      </c>
      <c r="D659" t="inlineStr">
        <is>
          <t>VÄSTERBOTTENS LÄN</t>
        </is>
      </c>
      <c r="E659" t="inlineStr">
        <is>
          <t>VILHELMINA</t>
        </is>
      </c>
      <c r="G659" t="n">
        <v>12.5</v>
      </c>
      <c r="H659" t="n">
        <v>0</v>
      </c>
      <c r="I659" t="n">
        <v>0</v>
      </c>
      <c r="J659" t="n">
        <v>0</v>
      </c>
      <c r="K659" t="n">
        <v>0</v>
      </c>
      <c r="L659" t="n">
        <v>0</v>
      </c>
      <c r="M659" t="n">
        <v>0</v>
      </c>
      <c r="N659" t="n">
        <v>0</v>
      </c>
      <c r="O659" t="n">
        <v>0</v>
      </c>
      <c r="P659" t="n">
        <v>0</v>
      </c>
      <c r="Q659" t="n">
        <v>0</v>
      </c>
      <c r="R659" s="2" t="inlineStr"/>
    </row>
    <row r="660" ht="15" customHeight="1">
      <c r="A660" t="inlineStr">
        <is>
          <t>A 58179-2024</t>
        </is>
      </c>
      <c r="B660" s="1" t="n">
        <v>45632.4690162037</v>
      </c>
      <c r="C660" s="1" t="n">
        <v>45917</v>
      </c>
      <c r="D660" t="inlineStr">
        <is>
          <t>VÄSTERBOTTENS LÄN</t>
        </is>
      </c>
      <c r="E660" t="inlineStr">
        <is>
          <t>VILHELMINA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12374-2025</t>
        </is>
      </c>
      <c r="B661" s="1" t="n">
        <v>45730</v>
      </c>
      <c r="C661" s="1" t="n">
        <v>45917</v>
      </c>
      <c r="D661" t="inlineStr">
        <is>
          <t>VÄSTERBOTTENS LÄN</t>
        </is>
      </c>
      <c r="E661" t="inlineStr">
        <is>
          <t>VILHELMINA</t>
        </is>
      </c>
      <c r="F661" t="inlineStr">
        <is>
          <t>Övriga statliga verk och myndigheter</t>
        </is>
      </c>
      <c r="G661" t="n">
        <v>18.7</v>
      </c>
      <c r="H661" t="n">
        <v>0</v>
      </c>
      <c r="I661" t="n">
        <v>0</v>
      </c>
      <c r="J661" t="n">
        <v>0</v>
      </c>
      <c r="K661" t="n">
        <v>0</v>
      </c>
      <c r="L661" t="n">
        <v>0</v>
      </c>
      <c r="M661" t="n">
        <v>0</v>
      </c>
      <c r="N661" t="n">
        <v>0</v>
      </c>
      <c r="O661" t="n">
        <v>0</v>
      </c>
      <c r="P661" t="n">
        <v>0</v>
      </c>
      <c r="Q661" t="n">
        <v>0</v>
      </c>
      <c r="R661" s="2" t="inlineStr"/>
    </row>
    <row r="662" ht="15" customHeight="1">
      <c r="A662" t="inlineStr">
        <is>
          <t>A 12375-2025</t>
        </is>
      </c>
      <c r="B662" s="1" t="n">
        <v>45730</v>
      </c>
      <c r="C662" s="1" t="n">
        <v>45917</v>
      </c>
      <c r="D662" t="inlineStr">
        <is>
          <t>VÄSTERBOTTENS LÄN</t>
        </is>
      </c>
      <c r="E662" t="inlineStr">
        <is>
          <t>VILHELMINA</t>
        </is>
      </c>
      <c r="F662" t="inlineStr">
        <is>
          <t>Övriga statliga verk och myndigheter</t>
        </is>
      </c>
      <c r="G662" t="n">
        <v>22.3</v>
      </c>
      <c r="H662" t="n">
        <v>0</v>
      </c>
      <c r="I662" t="n">
        <v>0</v>
      </c>
      <c r="J662" t="n">
        <v>0</v>
      </c>
      <c r="K662" t="n">
        <v>0</v>
      </c>
      <c r="L662" t="n">
        <v>0</v>
      </c>
      <c r="M662" t="n">
        <v>0</v>
      </c>
      <c r="N662" t="n">
        <v>0</v>
      </c>
      <c r="O662" t="n">
        <v>0</v>
      </c>
      <c r="P662" t="n">
        <v>0</v>
      </c>
      <c r="Q662" t="n">
        <v>0</v>
      </c>
      <c r="R662" s="2" t="inlineStr"/>
    </row>
    <row r="663" ht="15" customHeight="1">
      <c r="A663" t="inlineStr">
        <is>
          <t>A 367-2024</t>
        </is>
      </c>
      <c r="B663" s="1" t="n">
        <v>45295</v>
      </c>
      <c r="C663" s="1" t="n">
        <v>45917</v>
      </c>
      <c r="D663" t="inlineStr">
        <is>
          <t>VÄSTERBOTTENS LÄN</t>
        </is>
      </c>
      <c r="E663" t="inlineStr">
        <is>
          <t>VILHELMINA</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12765-2025</t>
        </is>
      </c>
      <c r="B664" s="1" t="n">
        <v>45733</v>
      </c>
      <c r="C664" s="1" t="n">
        <v>45917</v>
      </c>
      <c r="D664" t="inlineStr">
        <is>
          <t>VÄSTERBOTTENS LÄN</t>
        </is>
      </c>
      <c r="E664" t="inlineStr">
        <is>
          <t>VILHELMINA</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55688-2023</t>
        </is>
      </c>
      <c r="B665" s="1" t="n">
        <v>45232</v>
      </c>
      <c r="C665" s="1" t="n">
        <v>45917</v>
      </c>
      <c r="D665" t="inlineStr">
        <is>
          <t>VÄSTERBOTTENS LÄN</t>
        </is>
      </c>
      <c r="E665" t="inlineStr">
        <is>
          <t>VILHELMINA</t>
        </is>
      </c>
      <c r="G665" t="n">
        <v>6.4</v>
      </c>
      <c r="H665" t="n">
        <v>0</v>
      </c>
      <c r="I665" t="n">
        <v>0</v>
      </c>
      <c r="J665" t="n">
        <v>0</v>
      </c>
      <c r="K665" t="n">
        <v>0</v>
      </c>
      <c r="L665" t="n">
        <v>0</v>
      </c>
      <c r="M665" t="n">
        <v>0</v>
      </c>
      <c r="N665" t="n">
        <v>0</v>
      </c>
      <c r="O665" t="n">
        <v>0</v>
      </c>
      <c r="P665" t="n">
        <v>0</v>
      </c>
      <c r="Q665" t="n">
        <v>0</v>
      </c>
      <c r="R665" s="2" t="inlineStr"/>
    </row>
    <row r="666" ht="15" customHeight="1">
      <c r="A666" t="inlineStr">
        <is>
          <t>A 33828-2024</t>
        </is>
      </c>
      <c r="B666" s="1" t="n">
        <v>45520.61695601852</v>
      </c>
      <c r="C666" s="1" t="n">
        <v>45917</v>
      </c>
      <c r="D666" t="inlineStr">
        <is>
          <t>VÄSTERBOTTENS LÄN</t>
        </is>
      </c>
      <c r="E666" t="inlineStr">
        <is>
          <t>VILHELMINA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36944-2025</t>
        </is>
      </c>
      <c r="B667" s="1" t="n">
        <v>45874.59450231482</v>
      </c>
      <c r="C667" s="1" t="n">
        <v>45917</v>
      </c>
      <c r="D667" t="inlineStr">
        <is>
          <t>VÄSTERBOTTENS LÄN</t>
        </is>
      </c>
      <c r="E667" t="inlineStr">
        <is>
          <t>VILHELMINA</t>
        </is>
      </c>
      <c r="F667" t="inlineStr">
        <is>
          <t>SCA</t>
        </is>
      </c>
      <c r="G667" t="n">
        <v>17.4</v>
      </c>
      <c r="H667" t="n">
        <v>0</v>
      </c>
      <c r="I667" t="n">
        <v>0</v>
      </c>
      <c r="J667" t="n">
        <v>0</v>
      </c>
      <c r="K667" t="n">
        <v>0</v>
      </c>
      <c r="L667" t="n">
        <v>0</v>
      </c>
      <c r="M667" t="n">
        <v>0</v>
      </c>
      <c r="N667" t="n">
        <v>0</v>
      </c>
      <c r="O667" t="n">
        <v>0</v>
      </c>
      <c r="P667" t="n">
        <v>0</v>
      </c>
      <c r="Q667" t="n">
        <v>0</v>
      </c>
      <c r="R667" s="2" t="inlineStr"/>
    </row>
    <row r="668" ht="15" customHeight="1">
      <c r="A668" t="inlineStr">
        <is>
          <t>A 37015-2025</t>
        </is>
      </c>
      <c r="B668" s="1" t="n">
        <v>45874.71912037037</v>
      </c>
      <c r="C668" s="1" t="n">
        <v>45917</v>
      </c>
      <c r="D668" t="inlineStr">
        <is>
          <t>VÄSTERBOTTENS LÄN</t>
        </is>
      </c>
      <c r="E668" t="inlineStr">
        <is>
          <t>VILHELMINA</t>
        </is>
      </c>
      <c r="F668" t="inlineStr">
        <is>
          <t>SCA</t>
        </is>
      </c>
      <c r="G668" t="n">
        <v>7.9</v>
      </c>
      <c r="H668" t="n">
        <v>0</v>
      </c>
      <c r="I668" t="n">
        <v>0</v>
      </c>
      <c r="J668" t="n">
        <v>0</v>
      </c>
      <c r="K668" t="n">
        <v>0</v>
      </c>
      <c r="L668" t="n">
        <v>0</v>
      </c>
      <c r="M668" t="n">
        <v>0</v>
      </c>
      <c r="N668" t="n">
        <v>0</v>
      </c>
      <c r="O668" t="n">
        <v>0</v>
      </c>
      <c r="P668" t="n">
        <v>0</v>
      </c>
      <c r="Q668" t="n">
        <v>0</v>
      </c>
      <c r="R668" s="2" t="inlineStr"/>
    </row>
    <row r="669" ht="15" customHeight="1">
      <c r="A669" t="inlineStr">
        <is>
          <t>A 13557-2024</t>
        </is>
      </c>
      <c r="B669" s="1" t="n">
        <v>45388</v>
      </c>
      <c r="C669" s="1" t="n">
        <v>45917</v>
      </c>
      <c r="D669" t="inlineStr">
        <is>
          <t>VÄSTERBOTTENS LÄN</t>
        </is>
      </c>
      <c r="E669" t="inlineStr">
        <is>
          <t>VILHELMINA</t>
        </is>
      </c>
      <c r="G669" t="n">
        <v>11.2</v>
      </c>
      <c r="H669" t="n">
        <v>0</v>
      </c>
      <c r="I669" t="n">
        <v>0</v>
      </c>
      <c r="J669" t="n">
        <v>0</v>
      </c>
      <c r="K669" t="n">
        <v>0</v>
      </c>
      <c r="L669" t="n">
        <v>0</v>
      </c>
      <c r="M669" t="n">
        <v>0</v>
      </c>
      <c r="N669" t="n">
        <v>0</v>
      </c>
      <c r="O669" t="n">
        <v>0</v>
      </c>
      <c r="P669" t="n">
        <v>0</v>
      </c>
      <c r="Q669" t="n">
        <v>0</v>
      </c>
      <c r="R669" s="2" t="inlineStr"/>
    </row>
    <row r="670" ht="15" customHeight="1">
      <c r="A670" t="inlineStr">
        <is>
          <t>A 10268-2025</t>
        </is>
      </c>
      <c r="B670" s="1" t="n">
        <v>45720</v>
      </c>
      <c r="C670" s="1" t="n">
        <v>45917</v>
      </c>
      <c r="D670" t="inlineStr">
        <is>
          <t>VÄSTERBOTTENS LÄN</t>
        </is>
      </c>
      <c r="E670" t="inlineStr">
        <is>
          <t>VILHELMINA</t>
        </is>
      </c>
      <c r="G670" t="n">
        <v>1.9</v>
      </c>
      <c r="H670" t="n">
        <v>0</v>
      </c>
      <c r="I670" t="n">
        <v>0</v>
      </c>
      <c r="J670" t="n">
        <v>0</v>
      </c>
      <c r="K670" t="n">
        <v>0</v>
      </c>
      <c r="L670" t="n">
        <v>0</v>
      </c>
      <c r="M670" t="n">
        <v>0</v>
      </c>
      <c r="N670" t="n">
        <v>0</v>
      </c>
      <c r="O670" t="n">
        <v>0</v>
      </c>
      <c r="P670" t="n">
        <v>0</v>
      </c>
      <c r="Q670" t="n">
        <v>0</v>
      </c>
      <c r="R670" s="2" t="inlineStr"/>
    </row>
    <row r="671" ht="15" customHeight="1">
      <c r="A671" t="inlineStr">
        <is>
          <t>A 54984-2023</t>
        </is>
      </c>
      <c r="B671" s="1" t="n">
        <v>45236</v>
      </c>
      <c r="C671" s="1" t="n">
        <v>45917</v>
      </c>
      <c r="D671" t="inlineStr">
        <is>
          <t>VÄSTERBOTTENS LÄN</t>
        </is>
      </c>
      <c r="E671" t="inlineStr">
        <is>
          <t>VILHELMINA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61270-2022</t>
        </is>
      </c>
      <c r="B672" s="1" t="n">
        <v>44909</v>
      </c>
      <c r="C672" s="1" t="n">
        <v>45917</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27917-2024</t>
        </is>
      </c>
      <c r="B673" s="1" t="n">
        <v>45475.94844907407</v>
      </c>
      <c r="C673" s="1" t="n">
        <v>45917</v>
      </c>
      <c r="D673" t="inlineStr">
        <is>
          <t>VÄSTERBOTTENS LÄN</t>
        </is>
      </c>
      <c r="E673" t="inlineStr">
        <is>
          <t>VILHELMINA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60227-2022</t>
        </is>
      </c>
      <c r="B674" s="1" t="n">
        <v>44903</v>
      </c>
      <c r="C674" s="1" t="n">
        <v>45917</v>
      </c>
      <c r="D674" t="inlineStr">
        <is>
          <t>VÄSTERBOTTENS LÄN</t>
        </is>
      </c>
      <c r="E674" t="inlineStr">
        <is>
          <t>VILHELMINA</t>
        </is>
      </c>
      <c r="G674" t="n">
        <v>11</v>
      </c>
      <c r="H674" t="n">
        <v>0</v>
      </c>
      <c r="I674" t="n">
        <v>0</v>
      </c>
      <c r="J674" t="n">
        <v>0</v>
      </c>
      <c r="K674" t="n">
        <v>0</v>
      </c>
      <c r="L674" t="n">
        <v>0</v>
      </c>
      <c r="M674" t="n">
        <v>0</v>
      </c>
      <c r="N674" t="n">
        <v>0</v>
      </c>
      <c r="O674" t="n">
        <v>0</v>
      </c>
      <c r="P674" t="n">
        <v>0</v>
      </c>
      <c r="Q674" t="n">
        <v>0</v>
      </c>
      <c r="R674" s="2" t="inlineStr"/>
    </row>
    <row r="675" ht="15" customHeight="1">
      <c r="A675" t="inlineStr">
        <is>
          <t>A 10956-2023</t>
        </is>
      </c>
      <c r="B675" s="1" t="n">
        <v>44985</v>
      </c>
      <c r="C675" s="1" t="n">
        <v>45917</v>
      </c>
      <c r="D675" t="inlineStr">
        <is>
          <t>VÄSTERBOTTENS LÄN</t>
        </is>
      </c>
      <c r="E675" t="inlineStr">
        <is>
          <t>VILHELMINA</t>
        </is>
      </c>
      <c r="G675" t="n">
        <v>3.3</v>
      </c>
      <c r="H675" t="n">
        <v>0</v>
      </c>
      <c r="I675" t="n">
        <v>0</v>
      </c>
      <c r="J675" t="n">
        <v>0</v>
      </c>
      <c r="K675" t="n">
        <v>0</v>
      </c>
      <c r="L675" t="n">
        <v>0</v>
      </c>
      <c r="M675" t="n">
        <v>0</v>
      </c>
      <c r="N675" t="n">
        <v>0</v>
      </c>
      <c r="O675" t="n">
        <v>0</v>
      </c>
      <c r="P675" t="n">
        <v>0</v>
      </c>
      <c r="Q675" t="n">
        <v>0</v>
      </c>
      <c r="R675" s="2" t="inlineStr"/>
    </row>
    <row r="676" ht="15" customHeight="1">
      <c r="A676" t="inlineStr">
        <is>
          <t>A 19223-2025</t>
        </is>
      </c>
      <c r="B676" s="1" t="n">
        <v>45769</v>
      </c>
      <c r="C676" s="1" t="n">
        <v>45917</v>
      </c>
      <c r="D676" t="inlineStr">
        <is>
          <t>VÄSTERBOTTENS LÄN</t>
        </is>
      </c>
      <c r="E676" t="inlineStr">
        <is>
          <t>VILHELMINA</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55978-2024</t>
        </is>
      </c>
      <c r="B677" s="1" t="n">
        <v>45623</v>
      </c>
      <c r="C677" s="1" t="n">
        <v>45917</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45972-2023</t>
        </is>
      </c>
      <c r="B678" s="1" t="n">
        <v>45195</v>
      </c>
      <c r="C678" s="1" t="n">
        <v>45917</v>
      </c>
      <c r="D678" t="inlineStr">
        <is>
          <t>VÄSTERBOTTENS LÄN</t>
        </is>
      </c>
      <c r="E678" t="inlineStr">
        <is>
          <t>VILHELMINA</t>
        </is>
      </c>
      <c r="F678" t="inlineStr">
        <is>
          <t>SCA</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22440-2025</t>
        </is>
      </c>
      <c r="B679" s="1" t="n">
        <v>45786</v>
      </c>
      <c r="C679" s="1" t="n">
        <v>45917</v>
      </c>
      <c r="D679" t="inlineStr">
        <is>
          <t>VÄSTERBOTTENS LÄN</t>
        </is>
      </c>
      <c r="E679" t="inlineStr">
        <is>
          <t>VILHELMINA</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11139-2022</t>
        </is>
      </c>
      <c r="B680" s="1" t="n">
        <v>44628</v>
      </c>
      <c r="C680" s="1" t="n">
        <v>45917</v>
      </c>
      <c r="D680" t="inlineStr">
        <is>
          <t>VÄSTERBOTTENS LÄN</t>
        </is>
      </c>
      <c r="E680" t="inlineStr">
        <is>
          <t>VILHELMINA</t>
        </is>
      </c>
      <c r="G680" t="n">
        <v>13.6</v>
      </c>
      <c r="H680" t="n">
        <v>0</v>
      </c>
      <c r="I680" t="n">
        <v>0</v>
      </c>
      <c r="J680" t="n">
        <v>0</v>
      </c>
      <c r="K680" t="n">
        <v>0</v>
      </c>
      <c r="L680" t="n">
        <v>0</v>
      </c>
      <c r="M680" t="n">
        <v>0</v>
      </c>
      <c r="N680" t="n">
        <v>0</v>
      </c>
      <c r="O680" t="n">
        <v>0</v>
      </c>
      <c r="P680" t="n">
        <v>0</v>
      </c>
      <c r="Q680" t="n">
        <v>0</v>
      </c>
      <c r="R680" s="2" t="inlineStr"/>
    </row>
    <row r="681" ht="15" customHeight="1">
      <c r="A681" t="inlineStr">
        <is>
          <t>A 21844-2024</t>
        </is>
      </c>
      <c r="B681" s="1" t="n">
        <v>45442</v>
      </c>
      <c r="C681" s="1" t="n">
        <v>45917</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12371-2025</t>
        </is>
      </c>
      <c r="B682" s="1" t="n">
        <v>45730</v>
      </c>
      <c r="C682" s="1" t="n">
        <v>45917</v>
      </c>
      <c r="D682" t="inlineStr">
        <is>
          <t>VÄSTERBOTTENS LÄN</t>
        </is>
      </c>
      <c r="E682" t="inlineStr">
        <is>
          <t>VILHELMINA</t>
        </is>
      </c>
      <c r="F682" t="inlineStr">
        <is>
          <t>Övriga statliga verk och myndigheter</t>
        </is>
      </c>
      <c r="G682" t="n">
        <v>37.1</v>
      </c>
      <c r="H682" t="n">
        <v>0</v>
      </c>
      <c r="I682" t="n">
        <v>0</v>
      </c>
      <c r="J682" t="n">
        <v>0</v>
      </c>
      <c r="K682" t="n">
        <v>0</v>
      </c>
      <c r="L682" t="n">
        <v>0</v>
      </c>
      <c r="M682" t="n">
        <v>0</v>
      </c>
      <c r="N682" t="n">
        <v>0</v>
      </c>
      <c r="O682" t="n">
        <v>0</v>
      </c>
      <c r="P682" t="n">
        <v>0</v>
      </c>
      <c r="Q682" t="n">
        <v>0</v>
      </c>
      <c r="R682" s="2" t="inlineStr"/>
    </row>
    <row r="683" ht="15" customHeight="1">
      <c r="A683" t="inlineStr">
        <is>
          <t>A 14993-2025</t>
        </is>
      </c>
      <c r="B683" s="1" t="n">
        <v>45743</v>
      </c>
      <c r="C683" s="1" t="n">
        <v>45917</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40468-2021</t>
        </is>
      </c>
      <c r="B684" s="1" t="n">
        <v>44419.94174768519</v>
      </c>
      <c r="C684" s="1" t="n">
        <v>45917</v>
      </c>
      <c r="D684" t="inlineStr">
        <is>
          <t>VÄSTERBOTTENS LÄN</t>
        </is>
      </c>
      <c r="E684" t="inlineStr">
        <is>
          <t>VILHELMINA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23270-2021</t>
        </is>
      </c>
      <c r="B685" s="1" t="n">
        <v>44328</v>
      </c>
      <c r="C685" s="1" t="n">
        <v>45917</v>
      </c>
      <c r="D685" t="inlineStr">
        <is>
          <t>VÄSTERBOTTENS LÄN</t>
        </is>
      </c>
      <c r="E685" t="inlineStr">
        <is>
          <t>VILHELMINA</t>
        </is>
      </c>
      <c r="F685" t="inlineStr">
        <is>
          <t>Allmännings- och besparingsskogar</t>
        </is>
      </c>
      <c r="G685" t="n">
        <v>14.7</v>
      </c>
      <c r="H685" t="n">
        <v>0</v>
      </c>
      <c r="I685" t="n">
        <v>0</v>
      </c>
      <c r="J685" t="n">
        <v>0</v>
      </c>
      <c r="K685" t="n">
        <v>0</v>
      </c>
      <c r="L685" t="n">
        <v>0</v>
      </c>
      <c r="M685" t="n">
        <v>0</v>
      </c>
      <c r="N685" t="n">
        <v>0</v>
      </c>
      <c r="O685" t="n">
        <v>0</v>
      </c>
      <c r="P685" t="n">
        <v>0</v>
      </c>
      <c r="Q685" t="n">
        <v>0</v>
      </c>
      <c r="R685" s="2" t="inlineStr"/>
    </row>
    <row r="686" ht="15" customHeight="1">
      <c r="A686" t="inlineStr">
        <is>
          <t>A 16720-2025</t>
        </is>
      </c>
      <c r="B686" s="1" t="n">
        <v>45754.49039351852</v>
      </c>
      <c r="C686" s="1" t="n">
        <v>45917</v>
      </c>
      <c r="D686" t="inlineStr">
        <is>
          <t>VÄSTERBOTTENS LÄN</t>
        </is>
      </c>
      <c r="E686" t="inlineStr">
        <is>
          <t>VILHELMINA</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54931-2023</t>
        </is>
      </c>
      <c r="B687" s="1" t="n">
        <v>45229</v>
      </c>
      <c r="C687" s="1" t="n">
        <v>45917</v>
      </c>
      <c r="D687" t="inlineStr">
        <is>
          <t>VÄSTERBOTTENS LÄN</t>
        </is>
      </c>
      <c r="E687" t="inlineStr">
        <is>
          <t>VILHELMINA</t>
        </is>
      </c>
      <c r="G687" t="n">
        <v>14.5</v>
      </c>
      <c r="H687" t="n">
        <v>0</v>
      </c>
      <c r="I687" t="n">
        <v>0</v>
      </c>
      <c r="J687" t="n">
        <v>0</v>
      </c>
      <c r="K687" t="n">
        <v>0</v>
      </c>
      <c r="L687" t="n">
        <v>0</v>
      </c>
      <c r="M687" t="n">
        <v>0</v>
      </c>
      <c r="N687" t="n">
        <v>0</v>
      </c>
      <c r="O687" t="n">
        <v>0</v>
      </c>
      <c r="P687" t="n">
        <v>0</v>
      </c>
      <c r="Q687" t="n">
        <v>0</v>
      </c>
      <c r="R687" s="2" t="inlineStr"/>
    </row>
    <row r="688" ht="15" customHeight="1">
      <c r="A688" t="inlineStr">
        <is>
          <t>A 402-2023</t>
        </is>
      </c>
      <c r="B688" s="1" t="n">
        <v>44923</v>
      </c>
      <c r="C688" s="1" t="n">
        <v>45917</v>
      </c>
      <c r="D688" t="inlineStr">
        <is>
          <t>VÄSTERBOTTENS LÄN</t>
        </is>
      </c>
      <c r="E688" t="inlineStr">
        <is>
          <t>VILHELMINA</t>
        </is>
      </c>
      <c r="G688" t="n">
        <v>14.7</v>
      </c>
      <c r="H688" t="n">
        <v>0</v>
      </c>
      <c r="I688" t="n">
        <v>0</v>
      </c>
      <c r="J688" t="n">
        <v>0</v>
      </c>
      <c r="K688" t="n">
        <v>0</v>
      </c>
      <c r="L688" t="n">
        <v>0</v>
      </c>
      <c r="M688" t="n">
        <v>0</v>
      </c>
      <c r="N688" t="n">
        <v>0</v>
      </c>
      <c r="O688" t="n">
        <v>0</v>
      </c>
      <c r="P688" t="n">
        <v>0</v>
      </c>
      <c r="Q688" t="n">
        <v>0</v>
      </c>
      <c r="R688" s="2" t="inlineStr"/>
    </row>
    <row r="689" ht="15" customHeight="1">
      <c r="A689" t="inlineStr">
        <is>
          <t>A 42976-2024</t>
        </is>
      </c>
      <c r="B689" s="1" t="n">
        <v>45567.37387731481</v>
      </c>
      <c r="C689" s="1" t="n">
        <v>45917</v>
      </c>
      <c r="D689" t="inlineStr">
        <is>
          <t>VÄSTERBOTTENS LÄN</t>
        </is>
      </c>
      <c r="E689" t="inlineStr">
        <is>
          <t>VILHELMINA</t>
        </is>
      </c>
      <c r="F689" t="inlineStr">
        <is>
          <t>SCA</t>
        </is>
      </c>
      <c r="G689" t="n">
        <v>20.6</v>
      </c>
      <c r="H689" t="n">
        <v>0</v>
      </c>
      <c r="I689" t="n">
        <v>0</v>
      </c>
      <c r="J689" t="n">
        <v>0</v>
      </c>
      <c r="K689" t="n">
        <v>0</v>
      </c>
      <c r="L689" t="n">
        <v>0</v>
      </c>
      <c r="M689" t="n">
        <v>0</v>
      </c>
      <c r="N689" t="n">
        <v>0</v>
      </c>
      <c r="O689" t="n">
        <v>0</v>
      </c>
      <c r="P689" t="n">
        <v>0</v>
      </c>
      <c r="Q689" t="n">
        <v>0</v>
      </c>
      <c r="R689" s="2" t="inlineStr"/>
    </row>
    <row r="690" ht="15" customHeight="1">
      <c r="A690" t="inlineStr">
        <is>
          <t>A 6638-2025</t>
        </is>
      </c>
      <c r="B690" s="1" t="n">
        <v>45700</v>
      </c>
      <c r="C690" s="1" t="n">
        <v>45917</v>
      </c>
      <c r="D690" t="inlineStr">
        <is>
          <t>VÄSTERBOTTENS LÄN</t>
        </is>
      </c>
      <c r="E690" t="inlineStr">
        <is>
          <t>VILHELMINA</t>
        </is>
      </c>
      <c r="G690" t="n">
        <v>21.5</v>
      </c>
      <c r="H690" t="n">
        <v>0</v>
      </c>
      <c r="I690" t="n">
        <v>0</v>
      </c>
      <c r="J690" t="n">
        <v>0</v>
      </c>
      <c r="K690" t="n">
        <v>0</v>
      </c>
      <c r="L690" t="n">
        <v>0</v>
      </c>
      <c r="M690" t="n">
        <v>0</v>
      </c>
      <c r="N690" t="n">
        <v>0</v>
      </c>
      <c r="O690" t="n">
        <v>0</v>
      </c>
      <c r="P690" t="n">
        <v>0</v>
      </c>
      <c r="Q690" t="n">
        <v>0</v>
      </c>
      <c r="R690" s="2" t="inlineStr"/>
    </row>
    <row r="691" ht="15" customHeight="1">
      <c r="A691" t="inlineStr">
        <is>
          <t>A 210-2022</t>
        </is>
      </c>
      <c r="B691" s="1" t="n">
        <v>44564.80189814815</v>
      </c>
      <c r="C691" s="1" t="n">
        <v>45917</v>
      </c>
      <c r="D691" t="inlineStr">
        <is>
          <t>VÄSTERBOTTENS LÄN</t>
        </is>
      </c>
      <c r="E691" t="inlineStr">
        <is>
          <t>VILHELMINA</t>
        </is>
      </c>
      <c r="G691" t="n">
        <v>2</v>
      </c>
      <c r="H691" t="n">
        <v>0</v>
      </c>
      <c r="I691" t="n">
        <v>0</v>
      </c>
      <c r="J691" t="n">
        <v>0</v>
      </c>
      <c r="K691" t="n">
        <v>0</v>
      </c>
      <c r="L691" t="n">
        <v>0</v>
      </c>
      <c r="M691" t="n">
        <v>0</v>
      </c>
      <c r="N691" t="n">
        <v>0</v>
      </c>
      <c r="O691" t="n">
        <v>0</v>
      </c>
      <c r="P691" t="n">
        <v>0</v>
      </c>
      <c r="Q691" t="n">
        <v>0</v>
      </c>
      <c r="R691" s="2" t="inlineStr"/>
    </row>
    <row r="692" ht="15" customHeight="1">
      <c r="A692" t="inlineStr">
        <is>
          <t>A 7982-2025</t>
        </is>
      </c>
      <c r="B692" s="1" t="n">
        <v>45707.46905092592</v>
      </c>
      <c r="C692" s="1" t="n">
        <v>45917</v>
      </c>
      <c r="D692" t="inlineStr">
        <is>
          <t>VÄSTERBOTTENS LÄN</t>
        </is>
      </c>
      <c r="E692" t="inlineStr">
        <is>
          <t>VILHELMINA</t>
        </is>
      </c>
      <c r="G692" t="n">
        <v>6</v>
      </c>
      <c r="H692" t="n">
        <v>0</v>
      </c>
      <c r="I692" t="n">
        <v>0</v>
      </c>
      <c r="J692" t="n">
        <v>0</v>
      </c>
      <c r="K692" t="n">
        <v>0</v>
      </c>
      <c r="L692" t="n">
        <v>0</v>
      </c>
      <c r="M692" t="n">
        <v>0</v>
      </c>
      <c r="N692" t="n">
        <v>0</v>
      </c>
      <c r="O692" t="n">
        <v>0</v>
      </c>
      <c r="P692" t="n">
        <v>0</v>
      </c>
      <c r="Q692" t="n">
        <v>0</v>
      </c>
      <c r="R692" s="2" t="inlineStr"/>
    </row>
    <row r="693" ht="15" customHeight="1">
      <c r="A693" t="inlineStr">
        <is>
          <t>A 36408-2023</t>
        </is>
      </c>
      <c r="B693" s="1" t="n">
        <v>45152</v>
      </c>
      <c r="C693" s="1" t="n">
        <v>45917</v>
      </c>
      <c r="D693" t="inlineStr">
        <is>
          <t>VÄSTERBOTTENS LÄN</t>
        </is>
      </c>
      <c r="E693" t="inlineStr">
        <is>
          <t>VILHELMINA</t>
        </is>
      </c>
      <c r="G693" t="n">
        <v>4.4</v>
      </c>
      <c r="H693" t="n">
        <v>0</v>
      </c>
      <c r="I693" t="n">
        <v>0</v>
      </c>
      <c r="J693" t="n">
        <v>0</v>
      </c>
      <c r="K693" t="n">
        <v>0</v>
      </c>
      <c r="L693" t="n">
        <v>0</v>
      </c>
      <c r="M693" t="n">
        <v>0</v>
      </c>
      <c r="N693" t="n">
        <v>0</v>
      </c>
      <c r="O693" t="n">
        <v>0</v>
      </c>
      <c r="P693" t="n">
        <v>0</v>
      </c>
      <c r="Q693" t="n">
        <v>0</v>
      </c>
      <c r="R693" s="2" t="inlineStr"/>
    </row>
    <row r="694" ht="15" customHeight="1">
      <c r="A694" t="inlineStr">
        <is>
          <t>A 9197-2023</t>
        </is>
      </c>
      <c r="B694" s="1" t="n">
        <v>44977</v>
      </c>
      <c r="C694" s="1" t="n">
        <v>45917</v>
      </c>
      <c r="D694" t="inlineStr">
        <is>
          <t>VÄSTERBOTTENS LÄN</t>
        </is>
      </c>
      <c r="E694" t="inlineStr">
        <is>
          <t>VILHELMINA</t>
        </is>
      </c>
      <c r="G694" t="n">
        <v>8.9</v>
      </c>
      <c r="H694" t="n">
        <v>0</v>
      </c>
      <c r="I694" t="n">
        <v>0</v>
      </c>
      <c r="J694" t="n">
        <v>0</v>
      </c>
      <c r="K694" t="n">
        <v>0</v>
      </c>
      <c r="L694" t="n">
        <v>0</v>
      </c>
      <c r="M694" t="n">
        <v>0</v>
      </c>
      <c r="N694" t="n">
        <v>0</v>
      </c>
      <c r="O694" t="n">
        <v>0</v>
      </c>
      <c r="P694" t="n">
        <v>0</v>
      </c>
      <c r="Q694" t="n">
        <v>0</v>
      </c>
      <c r="R694" s="2" t="inlineStr"/>
    </row>
    <row r="695" ht="15" customHeight="1">
      <c r="A695" t="inlineStr">
        <is>
          <t>A 57108-2023</t>
        </is>
      </c>
      <c r="B695" s="1" t="n">
        <v>45239</v>
      </c>
      <c r="C695" s="1" t="n">
        <v>45917</v>
      </c>
      <c r="D695" t="inlineStr">
        <is>
          <t>VÄSTERBOTTENS LÄN</t>
        </is>
      </c>
      <c r="E695" t="inlineStr">
        <is>
          <t>VILHELMINA</t>
        </is>
      </c>
      <c r="G695" t="n">
        <v>0.6</v>
      </c>
      <c r="H695" t="n">
        <v>0</v>
      </c>
      <c r="I695" t="n">
        <v>0</v>
      </c>
      <c r="J695" t="n">
        <v>0</v>
      </c>
      <c r="K695" t="n">
        <v>0</v>
      </c>
      <c r="L695" t="n">
        <v>0</v>
      </c>
      <c r="M695" t="n">
        <v>0</v>
      </c>
      <c r="N695" t="n">
        <v>0</v>
      </c>
      <c r="O695" t="n">
        <v>0</v>
      </c>
      <c r="P695" t="n">
        <v>0</v>
      </c>
      <c r="Q695" t="n">
        <v>0</v>
      </c>
      <c r="R695" s="2" t="inlineStr"/>
    </row>
    <row r="696" ht="15" customHeight="1">
      <c r="A696" t="inlineStr">
        <is>
          <t>A 15176-2022</t>
        </is>
      </c>
      <c r="B696" s="1" t="n">
        <v>44658</v>
      </c>
      <c r="C696" s="1" t="n">
        <v>45917</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38555-2024</t>
        </is>
      </c>
      <c r="B697" s="1" t="n">
        <v>45546</v>
      </c>
      <c r="C697" s="1" t="n">
        <v>45917</v>
      </c>
      <c r="D697" t="inlineStr">
        <is>
          <t>VÄSTERBOTTENS LÄN</t>
        </is>
      </c>
      <c r="E697" t="inlineStr">
        <is>
          <t>VILHELMINA</t>
        </is>
      </c>
      <c r="G697" t="n">
        <v>7.8</v>
      </c>
      <c r="H697" t="n">
        <v>0</v>
      </c>
      <c r="I697" t="n">
        <v>0</v>
      </c>
      <c r="J697" t="n">
        <v>0</v>
      </c>
      <c r="K697" t="n">
        <v>0</v>
      </c>
      <c r="L697" t="n">
        <v>0</v>
      </c>
      <c r="M697" t="n">
        <v>0</v>
      </c>
      <c r="N697" t="n">
        <v>0</v>
      </c>
      <c r="O697" t="n">
        <v>0</v>
      </c>
      <c r="P697" t="n">
        <v>0</v>
      </c>
      <c r="Q697" t="n">
        <v>0</v>
      </c>
      <c r="R697" s="2" t="inlineStr"/>
    </row>
    <row r="698" ht="15" customHeight="1">
      <c r="A698" t="inlineStr">
        <is>
          <t>A 35755-2023</t>
        </is>
      </c>
      <c r="B698" s="1" t="n">
        <v>45147.9540625</v>
      </c>
      <c r="C698" s="1" t="n">
        <v>45917</v>
      </c>
      <c r="D698" t="inlineStr">
        <is>
          <t>VÄSTERBOTTENS LÄN</t>
        </is>
      </c>
      <c r="E698" t="inlineStr">
        <is>
          <t>VILHELMINA</t>
        </is>
      </c>
      <c r="F698" t="inlineStr">
        <is>
          <t>SCA</t>
        </is>
      </c>
      <c r="G698" t="n">
        <v>5.9</v>
      </c>
      <c r="H698" t="n">
        <v>0</v>
      </c>
      <c r="I698" t="n">
        <v>0</v>
      </c>
      <c r="J698" t="n">
        <v>0</v>
      </c>
      <c r="K698" t="n">
        <v>0</v>
      </c>
      <c r="L698" t="n">
        <v>0</v>
      </c>
      <c r="M698" t="n">
        <v>0</v>
      </c>
      <c r="N698" t="n">
        <v>0</v>
      </c>
      <c r="O698" t="n">
        <v>0</v>
      </c>
      <c r="P698" t="n">
        <v>0</v>
      </c>
      <c r="Q698" t="n">
        <v>0</v>
      </c>
      <c r="R698" s="2" t="inlineStr"/>
    </row>
    <row r="699" ht="15" customHeight="1">
      <c r="A699" t="inlineStr">
        <is>
          <t>A 36219-2023</t>
        </is>
      </c>
      <c r="B699" s="1" t="n">
        <v>45149.95310185185</v>
      </c>
      <c r="C699" s="1" t="n">
        <v>45917</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35758-2023</t>
        </is>
      </c>
      <c r="B700" s="1" t="n">
        <v>45147.95452546296</v>
      </c>
      <c r="C700" s="1" t="n">
        <v>45917</v>
      </c>
      <c r="D700" t="inlineStr">
        <is>
          <t>VÄSTERBOTTENS LÄN</t>
        </is>
      </c>
      <c r="E700" t="inlineStr">
        <is>
          <t>VILHELMINA</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61778-2023</t>
        </is>
      </c>
      <c r="B701" s="1" t="n">
        <v>45265.95667824074</v>
      </c>
      <c r="C701" s="1" t="n">
        <v>45917</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29104-2024</t>
        </is>
      </c>
      <c r="B702" s="1" t="n">
        <v>45481.95178240741</v>
      </c>
      <c r="C702" s="1" t="n">
        <v>45917</v>
      </c>
      <c r="D702" t="inlineStr">
        <is>
          <t>VÄSTERBOTTENS LÄN</t>
        </is>
      </c>
      <c r="E702" t="inlineStr">
        <is>
          <t>VILHELMINA</t>
        </is>
      </c>
      <c r="F702" t="inlineStr">
        <is>
          <t>SCA</t>
        </is>
      </c>
      <c r="G702" t="n">
        <v>5.1</v>
      </c>
      <c r="H702" t="n">
        <v>0</v>
      </c>
      <c r="I702" t="n">
        <v>0</v>
      </c>
      <c r="J702" t="n">
        <v>0</v>
      </c>
      <c r="K702" t="n">
        <v>0</v>
      </c>
      <c r="L702" t="n">
        <v>0</v>
      </c>
      <c r="M702" t="n">
        <v>0</v>
      </c>
      <c r="N702" t="n">
        <v>0</v>
      </c>
      <c r="O702" t="n">
        <v>0</v>
      </c>
      <c r="P702" t="n">
        <v>0</v>
      </c>
      <c r="Q702" t="n">
        <v>0</v>
      </c>
      <c r="R702" s="2" t="inlineStr"/>
    </row>
    <row r="703" ht="15" customHeight="1">
      <c r="A703" t="inlineStr">
        <is>
          <t>A 53034-2023</t>
        </is>
      </c>
      <c r="B703" s="1" t="n">
        <v>45226.96258101852</v>
      </c>
      <c r="C703" s="1" t="n">
        <v>45917</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46164-2023</t>
        </is>
      </c>
      <c r="B704" s="1" t="n">
        <v>45190</v>
      </c>
      <c r="C704" s="1" t="n">
        <v>45917</v>
      </c>
      <c r="D704" t="inlineStr">
        <is>
          <t>VÄSTERBOTTENS LÄN</t>
        </is>
      </c>
      <c r="E704" t="inlineStr">
        <is>
          <t>VILHELMINA</t>
        </is>
      </c>
      <c r="G704" t="n">
        <v>6.3</v>
      </c>
      <c r="H704" t="n">
        <v>0</v>
      </c>
      <c r="I704" t="n">
        <v>0</v>
      </c>
      <c r="J704" t="n">
        <v>0</v>
      </c>
      <c r="K704" t="n">
        <v>0</v>
      </c>
      <c r="L704" t="n">
        <v>0</v>
      </c>
      <c r="M704" t="n">
        <v>0</v>
      </c>
      <c r="N704" t="n">
        <v>0</v>
      </c>
      <c r="O704" t="n">
        <v>0</v>
      </c>
      <c r="P704" t="n">
        <v>0</v>
      </c>
      <c r="Q704" t="n">
        <v>0</v>
      </c>
      <c r="R704" s="2" t="inlineStr"/>
    </row>
    <row r="705" ht="15" customHeight="1">
      <c r="A705" t="inlineStr">
        <is>
          <t>A 12368-2025</t>
        </is>
      </c>
      <c r="B705" s="1" t="n">
        <v>45730.37633101852</v>
      </c>
      <c r="C705" s="1" t="n">
        <v>45917</v>
      </c>
      <c r="D705" t="inlineStr">
        <is>
          <t>VÄSTERBOTTENS LÄN</t>
        </is>
      </c>
      <c r="E705" t="inlineStr">
        <is>
          <t>VILHELMINA</t>
        </is>
      </c>
      <c r="F705" t="inlineStr">
        <is>
          <t>Övriga statliga verk och myndigheter</t>
        </is>
      </c>
      <c r="G705" t="n">
        <v>14.8</v>
      </c>
      <c r="H705" t="n">
        <v>0</v>
      </c>
      <c r="I705" t="n">
        <v>0</v>
      </c>
      <c r="J705" t="n">
        <v>0</v>
      </c>
      <c r="K705" t="n">
        <v>0</v>
      </c>
      <c r="L705" t="n">
        <v>0</v>
      </c>
      <c r="M705" t="n">
        <v>0</v>
      </c>
      <c r="N705" t="n">
        <v>0</v>
      </c>
      <c r="O705" t="n">
        <v>0</v>
      </c>
      <c r="P705" t="n">
        <v>0</v>
      </c>
      <c r="Q705" t="n">
        <v>0</v>
      </c>
      <c r="R705" s="2" t="inlineStr"/>
    </row>
    <row r="706" ht="15" customHeight="1">
      <c r="A706" t="inlineStr">
        <is>
          <t>A 12373-2025</t>
        </is>
      </c>
      <c r="B706" s="1" t="n">
        <v>45730</v>
      </c>
      <c r="C706" s="1" t="n">
        <v>45917</v>
      </c>
      <c r="D706" t="inlineStr">
        <is>
          <t>VÄSTERBOTTENS LÄN</t>
        </is>
      </c>
      <c r="E706" t="inlineStr">
        <is>
          <t>VILHELMINA</t>
        </is>
      </c>
      <c r="F706" t="inlineStr">
        <is>
          <t>Övriga statliga verk och myndigheter</t>
        </is>
      </c>
      <c r="G706" t="n">
        <v>25.5</v>
      </c>
      <c r="H706" t="n">
        <v>0</v>
      </c>
      <c r="I706" t="n">
        <v>0</v>
      </c>
      <c r="J706" t="n">
        <v>0</v>
      </c>
      <c r="K706" t="n">
        <v>0</v>
      </c>
      <c r="L706" t="n">
        <v>0</v>
      </c>
      <c r="M706" t="n">
        <v>0</v>
      </c>
      <c r="N706" t="n">
        <v>0</v>
      </c>
      <c r="O706" t="n">
        <v>0</v>
      </c>
      <c r="P706" t="n">
        <v>0</v>
      </c>
      <c r="Q706" t="n">
        <v>0</v>
      </c>
      <c r="R706" s="2" t="inlineStr"/>
    </row>
    <row r="707" ht="15" customHeight="1">
      <c r="A707" t="inlineStr">
        <is>
          <t>A 60782-2023</t>
        </is>
      </c>
      <c r="B707" s="1" t="n">
        <v>45259</v>
      </c>
      <c r="C707" s="1" t="n">
        <v>45917</v>
      </c>
      <c r="D707" t="inlineStr">
        <is>
          <t>VÄSTERBOTTENS LÄN</t>
        </is>
      </c>
      <c r="E707" t="inlineStr">
        <is>
          <t>VILHELMINA</t>
        </is>
      </c>
      <c r="G707" t="n">
        <v>12.7</v>
      </c>
      <c r="H707" t="n">
        <v>0</v>
      </c>
      <c r="I707" t="n">
        <v>0</v>
      </c>
      <c r="J707" t="n">
        <v>0</v>
      </c>
      <c r="K707" t="n">
        <v>0</v>
      </c>
      <c r="L707" t="n">
        <v>0</v>
      </c>
      <c r="M707" t="n">
        <v>0</v>
      </c>
      <c r="N707" t="n">
        <v>0</v>
      </c>
      <c r="O707" t="n">
        <v>0</v>
      </c>
      <c r="P707" t="n">
        <v>0</v>
      </c>
      <c r="Q707" t="n">
        <v>0</v>
      </c>
      <c r="R707" s="2" t="inlineStr"/>
    </row>
    <row r="708" ht="15" customHeight="1">
      <c r="A708" t="inlineStr">
        <is>
          <t>A 9815-2024</t>
        </is>
      </c>
      <c r="B708" s="1" t="n">
        <v>45362.96927083333</v>
      </c>
      <c r="C708" s="1" t="n">
        <v>45917</v>
      </c>
      <c r="D708" t="inlineStr">
        <is>
          <t>VÄSTERBOTTENS LÄN</t>
        </is>
      </c>
      <c r="E708" t="inlineStr">
        <is>
          <t>VILHELMINA</t>
        </is>
      </c>
      <c r="G708" t="n">
        <v>1.3</v>
      </c>
      <c r="H708" t="n">
        <v>0</v>
      </c>
      <c r="I708" t="n">
        <v>0</v>
      </c>
      <c r="J708" t="n">
        <v>0</v>
      </c>
      <c r="K708" t="n">
        <v>0</v>
      </c>
      <c r="L708" t="n">
        <v>0</v>
      </c>
      <c r="M708" t="n">
        <v>0</v>
      </c>
      <c r="N708" t="n">
        <v>0</v>
      </c>
      <c r="O708" t="n">
        <v>0</v>
      </c>
      <c r="P708" t="n">
        <v>0</v>
      </c>
      <c r="Q708" t="n">
        <v>0</v>
      </c>
      <c r="R708" s="2" t="inlineStr"/>
    </row>
    <row r="709" ht="15" customHeight="1">
      <c r="A709" t="inlineStr">
        <is>
          <t>A 60151-2024</t>
        </is>
      </c>
      <c r="B709" s="1" t="n">
        <v>45642.61490740741</v>
      </c>
      <c r="C709" s="1" t="n">
        <v>45917</v>
      </c>
      <c r="D709" t="inlineStr">
        <is>
          <t>VÄSTERBOTTENS LÄN</t>
        </is>
      </c>
      <c r="E709" t="inlineStr">
        <is>
          <t>VILHELMINA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8908-2023</t>
        </is>
      </c>
      <c r="B710" s="1" t="n">
        <v>44972</v>
      </c>
      <c r="C710" s="1" t="n">
        <v>45917</v>
      </c>
      <c r="D710" t="inlineStr">
        <is>
          <t>VÄSTERBOTTENS LÄN</t>
        </is>
      </c>
      <c r="E710" t="inlineStr">
        <is>
          <t>VILHELMINA</t>
        </is>
      </c>
      <c r="F710" t="inlineStr">
        <is>
          <t>Allmännings- och besparingsskogar</t>
        </is>
      </c>
      <c r="G710" t="n">
        <v>22.3</v>
      </c>
      <c r="H710" t="n">
        <v>0</v>
      </c>
      <c r="I710" t="n">
        <v>0</v>
      </c>
      <c r="J710" t="n">
        <v>0</v>
      </c>
      <c r="K710" t="n">
        <v>0</v>
      </c>
      <c r="L710" t="n">
        <v>0</v>
      </c>
      <c r="M710" t="n">
        <v>0</v>
      </c>
      <c r="N710" t="n">
        <v>0</v>
      </c>
      <c r="O710" t="n">
        <v>0</v>
      </c>
      <c r="P710" t="n">
        <v>0</v>
      </c>
      <c r="Q710" t="n">
        <v>0</v>
      </c>
      <c r="R710" s="2" t="inlineStr"/>
    </row>
    <row r="711" ht="15" customHeight="1">
      <c r="A711" t="inlineStr">
        <is>
          <t>A 50505-2023</t>
        </is>
      </c>
      <c r="B711" s="1" t="n">
        <v>45216.95800925926</v>
      </c>
      <c r="C711" s="1" t="n">
        <v>45917</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6369-2024</t>
        </is>
      </c>
      <c r="B712" s="1" t="n">
        <v>45338</v>
      </c>
      <c r="C712" s="1" t="n">
        <v>45917</v>
      </c>
      <c r="D712" t="inlineStr">
        <is>
          <t>VÄSTERBOTTENS LÄN</t>
        </is>
      </c>
      <c r="E712" t="inlineStr">
        <is>
          <t>VILHELMINA</t>
        </is>
      </c>
      <c r="G712" t="n">
        <v>3.6</v>
      </c>
      <c r="H712" t="n">
        <v>0</v>
      </c>
      <c r="I712" t="n">
        <v>0</v>
      </c>
      <c r="J712" t="n">
        <v>0</v>
      </c>
      <c r="K712" t="n">
        <v>0</v>
      </c>
      <c r="L712" t="n">
        <v>0</v>
      </c>
      <c r="M712" t="n">
        <v>0</v>
      </c>
      <c r="N712" t="n">
        <v>0</v>
      </c>
      <c r="O712" t="n">
        <v>0</v>
      </c>
      <c r="P712" t="n">
        <v>0</v>
      </c>
      <c r="Q712" t="n">
        <v>0</v>
      </c>
      <c r="R712" s="2" t="inlineStr"/>
    </row>
    <row r="713" ht="15" customHeight="1">
      <c r="A713" t="inlineStr">
        <is>
          <t>A 1470-2021</t>
        </is>
      </c>
      <c r="B713" s="1" t="n">
        <v>44208</v>
      </c>
      <c r="C713" s="1" t="n">
        <v>45917</v>
      </c>
      <c r="D713" t="inlineStr">
        <is>
          <t>VÄSTERBOTTENS LÄN</t>
        </is>
      </c>
      <c r="E713" t="inlineStr">
        <is>
          <t>VILHELMINA</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6665-2021</t>
        </is>
      </c>
      <c r="B714" s="1" t="n">
        <v>44235</v>
      </c>
      <c r="C714" s="1" t="n">
        <v>45917</v>
      </c>
      <c r="D714" t="inlineStr">
        <is>
          <t>VÄSTERBOTTENS LÄN</t>
        </is>
      </c>
      <c r="E714" t="inlineStr">
        <is>
          <t>VILHELMINA</t>
        </is>
      </c>
      <c r="G714" t="n">
        <v>20</v>
      </c>
      <c r="H714" t="n">
        <v>0</v>
      </c>
      <c r="I714" t="n">
        <v>0</v>
      </c>
      <c r="J714" t="n">
        <v>0</v>
      </c>
      <c r="K714" t="n">
        <v>0</v>
      </c>
      <c r="L714" t="n">
        <v>0</v>
      </c>
      <c r="M714" t="n">
        <v>0</v>
      </c>
      <c r="N714" t="n">
        <v>0</v>
      </c>
      <c r="O714" t="n">
        <v>0</v>
      </c>
      <c r="P714" t="n">
        <v>0</v>
      </c>
      <c r="Q714" t="n">
        <v>0</v>
      </c>
      <c r="R714" s="2" t="inlineStr"/>
    </row>
    <row r="715" ht="15" customHeight="1">
      <c r="A715" t="inlineStr">
        <is>
          <t>A 48424-2023</t>
        </is>
      </c>
      <c r="B715" s="1" t="n">
        <v>45205</v>
      </c>
      <c r="C715" s="1" t="n">
        <v>45917</v>
      </c>
      <c r="D715" t="inlineStr">
        <is>
          <t>VÄSTERBOTTENS LÄN</t>
        </is>
      </c>
      <c r="E715" t="inlineStr">
        <is>
          <t>VILHELMINA</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44714-2021</t>
        </is>
      </c>
      <c r="B716" s="1" t="n">
        <v>44435</v>
      </c>
      <c r="C716" s="1" t="n">
        <v>45917</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19397-2023</t>
        </is>
      </c>
      <c r="B717" s="1" t="n">
        <v>45048</v>
      </c>
      <c r="C717" s="1" t="n">
        <v>45917</v>
      </c>
      <c r="D717" t="inlineStr">
        <is>
          <t>VÄSTERBOTTENS LÄN</t>
        </is>
      </c>
      <c r="E717" t="inlineStr">
        <is>
          <t>VILHELMINA</t>
        </is>
      </c>
      <c r="G717" t="n">
        <v>12.8</v>
      </c>
      <c r="H717" t="n">
        <v>0</v>
      </c>
      <c r="I717" t="n">
        <v>0</v>
      </c>
      <c r="J717" t="n">
        <v>0</v>
      </c>
      <c r="K717" t="n">
        <v>0</v>
      </c>
      <c r="L717" t="n">
        <v>0</v>
      </c>
      <c r="M717" t="n">
        <v>0</v>
      </c>
      <c r="N717" t="n">
        <v>0</v>
      </c>
      <c r="O717" t="n">
        <v>0</v>
      </c>
      <c r="P717" t="n">
        <v>0</v>
      </c>
      <c r="Q717" t="n">
        <v>0</v>
      </c>
      <c r="R717" s="2" t="inlineStr"/>
    </row>
    <row r="718" ht="15" customHeight="1">
      <c r="A718" t="inlineStr">
        <is>
          <t>A 19221-2025</t>
        </is>
      </c>
      <c r="B718" s="1" t="n">
        <v>45769</v>
      </c>
      <c r="C718" s="1" t="n">
        <v>45917</v>
      </c>
      <c r="D718" t="inlineStr">
        <is>
          <t>VÄSTERBOTTENS LÄN</t>
        </is>
      </c>
      <c r="E718" t="inlineStr">
        <is>
          <t>VILHELMINA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8556-2025</t>
        </is>
      </c>
      <c r="B719" s="1" t="n">
        <v>45709</v>
      </c>
      <c r="C719" s="1" t="n">
        <v>45917</v>
      </c>
      <c r="D719" t="inlineStr">
        <is>
          <t>VÄSTERBOTTENS LÄN</t>
        </is>
      </c>
      <c r="E719" t="inlineStr">
        <is>
          <t>VILHELMINA</t>
        </is>
      </c>
      <c r="G719" t="n">
        <v>1</v>
      </c>
      <c r="H719" t="n">
        <v>0</v>
      </c>
      <c r="I719" t="n">
        <v>0</v>
      </c>
      <c r="J719" t="n">
        <v>0</v>
      </c>
      <c r="K719" t="n">
        <v>0</v>
      </c>
      <c r="L719" t="n">
        <v>0</v>
      </c>
      <c r="M719" t="n">
        <v>0</v>
      </c>
      <c r="N719" t="n">
        <v>0</v>
      </c>
      <c r="O719" t="n">
        <v>0</v>
      </c>
      <c r="P719" t="n">
        <v>0</v>
      </c>
      <c r="Q719" t="n">
        <v>0</v>
      </c>
      <c r="R719" s="2" t="inlineStr"/>
    </row>
    <row r="720" ht="15" customHeight="1">
      <c r="A720" t="inlineStr">
        <is>
          <t>A 57324-2022</t>
        </is>
      </c>
      <c r="B720" s="1" t="n">
        <v>44889</v>
      </c>
      <c r="C720" s="1" t="n">
        <v>45917</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33412-2023</t>
        </is>
      </c>
      <c r="B721" s="1" t="n">
        <v>45117</v>
      </c>
      <c r="C721" s="1" t="n">
        <v>45917</v>
      </c>
      <c r="D721" t="inlineStr">
        <is>
          <t>VÄSTERBOTTENS LÄN</t>
        </is>
      </c>
      <c r="E721" t="inlineStr">
        <is>
          <t>VILHELMINA</t>
        </is>
      </c>
      <c r="F721" t="inlineStr">
        <is>
          <t>Övriga Aktiebolag</t>
        </is>
      </c>
      <c r="G721" t="n">
        <v>0.3</v>
      </c>
      <c r="H721" t="n">
        <v>0</v>
      </c>
      <c r="I721" t="n">
        <v>0</v>
      </c>
      <c r="J721" t="n">
        <v>0</v>
      </c>
      <c r="K721" t="n">
        <v>0</v>
      </c>
      <c r="L721" t="n">
        <v>0</v>
      </c>
      <c r="M721" t="n">
        <v>0</v>
      </c>
      <c r="N721" t="n">
        <v>0</v>
      </c>
      <c r="O721" t="n">
        <v>0</v>
      </c>
      <c r="P721" t="n">
        <v>0</v>
      </c>
      <c r="Q721" t="n">
        <v>0</v>
      </c>
      <c r="R721" s="2" t="inlineStr"/>
    </row>
    <row r="722" ht="15" customHeight="1">
      <c r="A722" t="inlineStr">
        <is>
          <t>A 14254-2025</t>
        </is>
      </c>
      <c r="B722" s="1" t="n">
        <v>45740.61644675926</v>
      </c>
      <c r="C722" s="1" t="n">
        <v>45917</v>
      </c>
      <c r="D722" t="inlineStr">
        <is>
          <t>VÄSTERBOTTENS LÄN</t>
        </is>
      </c>
      <c r="E722" t="inlineStr">
        <is>
          <t>VILHELMINA</t>
        </is>
      </c>
      <c r="G722" t="n">
        <v>2</v>
      </c>
      <c r="H722" t="n">
        <v>0</v>
      </c>
      <c r="I722" t="n">
        <v>0</v>
      </c>
      <c r="J722" t="n">
        <v>0</v>
      </c>
      <c r="K722" t="n">
        <v>0</v>
      </c>
      <c r="L722" t="n">
        <v>0</v>
      </c>
      <c r="M722" t="n">
        <v>0</v>
      </c>
      <c r="N722" t="n">
        <v>0</v>
      </c>
      <c r="O722" t="n">
        <v>0</v>
      </c>
      <c r="P722" t="n">
        <v>0</v>
      </c>
      <c r="Q722" t="n">
        <v>0</v>
      </c>
      <c r="R722" s="2" t="inlineStr"/>
    </row>
    <row r="723" ht="15" customHeight="1">
      <c r="A723" t="inlineStr">
        <is>
          <t>A 57246-2023</t>
        </is>
      </c>
      <c r="B723" s="1" t="n">
        <v>45239</v>
      </c>
      <c r="C723" s="1" t="n">
        <v>45917</v>
      </c>
      <c r="D723" t="inlineStr">
        <is>
          <t>VÄSTERBOTTENS LÄN</t>
        </is>
      </c>
      <c r="E723" t="inlineStr">
        <is>
          <t>VILHELMINA</t>
        </is>
      </c>
      <c r="G723" t="n">
        <v>15.3</v>
      </c>
      <c r="H723" t="n">
        <v>0</v>
      </c>
      <c r="I723" t="n">
        <v>0</v>
      </c>
      <c r="J723" t="n">
        <v>0</v>
      </c>
      <c r="K723" t="n">
        <v>0</v>
      </c>
      <c r="L723" t="n">
        <v>0</v>
      </c>
      <c r="M723" t="n">
        <v>0</v>
      </c>
      <c r="N723" t="n">
        <v>0</v>
      </c>
      <c r="O723" t="n">
        <v>0</v>
      </c>
      <c r="P723" t="n">
        <v>0</v>
      </c>
      <c r="Q723" t="n">
        <v>0</v>
      </c>
      <c r="R723" s="2" t="inlineStr"/>
    </row>
    <row r="724" ht="15" customHeight="1">
      <c r="A724" t="inlineStr">
        <is>
          <t>A 56246-2023</t>
        </is>
      </c>
      <c r="B724" s="1" t="n">
        <v>45240</v>
      </c>
      <c r="C724" s="1" t="n">
        <v>45917</v>
      </c>
      <c r="D724" t="inlineStr">
        <is>
          <t>VÄSTERBOTTENS LÄN</t>
        </is>
      </c>
      <c r="E724" t="inlineStr">
        <is>
          <t>VILHELMINA</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12866-2023</t>
        </is>
      </c>
      <c r="B725" s="1" t="n">
        <v>45000</v>
      </c>
      <c r="C725" s="1" t="n">
        <v>45917</v>
      </c>
      <c r="D725" t="inlineStr">
        <is>
          <t>VÄSTERBOTTENS LÄN</t>
        </is>
      </c>
      <c r="E725" t="inlineStr">
        <is>
          <t>VILHELMINA</t>
        </is>
      </c>
      <c r="G725" t="n">
        <v>2.6</v>
      </c>
      <c r="H725" t="n">
        <v>0</v>
      </c>
      <c r="I725" t="n">
        <v>0</v>
      </c>
      <c r="J725" t="n">
        <v>0</v>
      </c>
      <c r="K725" t="n">
        <v>0</v>
      </c>
      <c r="L725" t="n">
        <v>0</v>
      </c>
      <c r="M725" t="n">
        <v>0</v>
      </c>
      <c r="N725" t="n">
        <v>0</v>
      </c>
      <c r="O725" t="n">
        <v>0</v>
      </c>
      <c r="P725" t="n">
        <v>0</v>
      </c>
      <c r="Q725" t="n">
        <v>0</v>
      </c>
      <c r="R725" s="2" t="inlineStr"/>
    </row>
    <row r="726" ht="15" customHeight="1">
      <c r="A726" t="inlineStr">
        <is>
          <t>A 72494-2021</t>
        </is>
      </c>
      <c r="B726" s="1" t="n">
        <v>44545.92059027778</v>
      </c>
      <c r="C726" s="1" t="n">
        <v>45917</v>
      </c>
      <c r="D726" t="inlineStr">
        <is>
          <t>VÄSTERBOTTENS LÄN</t>
        </is>
      </c>
      <c r="E726" t="inlineStr">
        <is>
          <t>VILHELMINA</t>
        </is>
      </c>
      <c r="G726" t="n">
        <v>4.2</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45917</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17307-2025</t>
        </is>
      </c>
      <c r="B728" s="1" t="n">
        <v>45756</v>
      </c>
      <c r="C728" s="1" t="n">
        <v>45917</v>
      </c>
      <c r="D728" t="inlineStr">
        <is>
          <t>VÄSTERBOTTENS LÄN</t>
        </is>
      </c>
      <c r="E728" t="inlineStr">
        <is>
          <t>VILHELMINA</t>
        </is>
      </c>
      <c r="G728" t="n">
        <v>11.2</v>
      </c>
      <c r="H728" t="n">
        <v>0</v>
      </c>
      <c r="I728" t="n">
        <v>0</v>
      </c>
      <c r="J728" t="n">
        <v>0</v>
      </c>
      <c r="K728" t="n">
        <v>0</v>
      </c>
      <c r="L728" t="n">
        <v>0</v>
      </c>
      <c r="M728" t="n">
        <v>0</v>
      </c>
      <c r="N728" t="n">
        <v>0</v>
      </c>
      <c r="O728" t="n">
        <v>0</v>
      </c>
      <c r="P728" t="n">
        <v>0</v>
      </c>
      <c r="Q728" t="n">
        <v>0</v>
      </c>
      <c r="R728" s="2" t="inlineStr"/>
    </row>
    <row r="729" ht="15" customHeight="1">
      <c r="A729" t="inlineStr">
        <is>
          <t>A 248-2025</t>
        </is>
      </c>
      <c r="B729" s="1" t="n">
        <v>45660.419375</v>
      </c>
      <c r="C729" s="1" t="n">
        <v>45917</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35006-2023</t>
        </is>
      </c>
      <c r="B730" s="1" t="n">
        <v>45142.95103009259</v>
      </c>
      <c r="C730" s="1" t="n">
        <v>45917</v>
      </c>
      <c r="D730" t="inlineStr">
        <is>
          <t>VÄSTERBOTTENS LÄN</t>
        </is>
      </c>
      <c r="E730" t="inlineStr">
        <is>
          <t>VILHELMINA</t>
        </is>
      </c>
      <c r="F730" t="inlineStr">
        <is>
          <t>SCA</t>
        </is>
      </c>
      <c r="G730" t="n">
        <v>11.6</v>
      </c>
      <c r="H730" t="n">
        <v>0</v>
      </c>
      <c r="I730" t="n">
        <v>0</v>
      </c>
      <c r="J730" t="n">
        <v>0</v>
      </c>
      <c r="K730" t="n">
        <v>0</v>
      </c>
      <c r="L730" t="n">
        <v>0</v>
      </c>
      <c r="M730" t="n">
        <v>0</v>
      </c>
      <c r="N730" t="n">
        <v>0</v>
      </c>
      <c r="O730" t="n">
        <v>0</v>
      </c>
      <c r="P730" t="n">
        <v>0</v>
      </c>
      <c r="Q730" t="n">
        <v>0</v>
      </c>
      <c r="R730" s="2" t="inlineStr"/>
    </row>
    <row r="731" ht="15" customHeight="1">
      <c r="A731" t="inlineStr">
        <is>
          <t>A 252-2025</t>
        </is>
      </c>
      <c r="B731" s="1" t="n">
        <v>45660.42734953704</v>
      </c>
      <c r="C731" s="1" t="n">
        <v>45917</v>
      </c>
      <c r="D731" t="inlineStr">
        <is>
          <t>VÄSTERBOTTENS LÄN</t>
        </is>
      </c>
      <c r="E731" t="inlineStr">
        <is>
          <t>VILHELMINA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46316-2022</t>
        </is>
      </c>
      <c r="B732" s="1" t="n">
        <v>44847</v>
      </c>
      <c r="C732" s="1" t="n">
        <v>45917</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58456-2023</t>
        </is>
      </c>
      <c r="B733" s="1" t="n">
        <v>45250.96092592592</v>
      </c>
      <c r="C733" s="1" t="n">
        <v>45917</v>
      </c>
      <c r="D733" t="inlineStr">
        <is>
          <t>VÄSTERBOTTENS LÄN</t>
        </is>
      </c>
      <c r="E733" t="inlineStr">
        <is>
          <t>VILHELMINA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2008-2025</t>
        </is>
      </c>
      <c r="B734" s="1" t="n">
        <v>45672.45302083333</v>
      </c>
      <c r="C734" s="1" t="n">
        <v>45917</v>
      </c>
      <c r="D734" t="inlineStr">
        <is>
          <t>VÄSTERBOTTENS LÄN</t>
        </is>
      </c>
      <c r="E734" t="inlineStr">
        <is>
          <t>VILHELMINA</t>
        </is>
      </c>
      <c r="G734" t="n">
        <v>0.7</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44911.51318287037</v>
      </c>
      <c r="C735" s="1" t="n">
        <v>45917</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18398-2025</t>
        </is>
      </c>
      <c r="B736" s="1" t="n">
        <v>45762.59491898148</v>
      </c>
      <c r="C736" s="1" t="n">
        <v>45917</v>
      </c>
      <c r="D736" t="inlineStr">
        <is>
          <t>VÄSTERBOTTENS LÄN</t>
        </is>
      </c>
      <c r="E736" t="inlineStr">
        <is>
          <t>VILHELMINA</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45917</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12229-2022</t>
        </is>
      </c>
      <c r="B738" s="1" t="n">
        <v>44637</v>
      </c>
      <c r="C738" s="1" t="n">
        <v>45917</v>
      </c>
      <c r="D738" t="inlineStr">
        <is>
          <t>VÄSTERBOTTENS LÄN</t>
        </is>
      </c>
      <c r="E738" t="inlineStr">
        <is>
          <t>VILHELMINA</t>
        </is>
      </c>
      <c r="G738" t="n">
        <v>5</v>
      </c>
      <c r="H738" t="n">
        <v>0</v>
      </c>
      <c r="I738" t="n">
        <v>0</v>
      </c>
      <c r="J738" t="n">
        <v>0</v>
      </c>
      <c r="K738" t="n">
        <v>0</v>
      </c>
      <c r="L738" t="n">
        <v>0</v>
      </c>
      <c r="M738" t="n">
        <v>0</v>
      </c>
      <c r="N738" t="n">
        <v>0</v>
      </c>
      <c r="O738" t="n">
        <v>0</v>
      </c>
      <c r="P738" t="n">
        <v>0</v>
      </c>
      <c r="Q738" t="n">
        <v>0</v>
      </c>
      <c r="R738" s="2" t="inlineStr"/>
    </row>
    <row r="739" ht="15" customHeight="1">
      <c r="A739" t="inlineStr">
        <is>
          <t>A 45007-2024</t>
        </is>
      </c>
      <c r="B739" s="1" t="n">
        <v>45575.49100694444</v>
      </c>
      <c r="C739" s="1" t="n">
        <v>45917</v>
      </c>
      <c r="D739" t="inlineStr">
        <is>
          <t>VÄSTERBOTTENS LÄN</t>
        </is>
      </c>
      <c r="E739" t="inlineStr">
        <is>
          <t>VILHELMINA</t>
        </is>
      </c>
      <c r="F739" t="inlineStr">
        <is>
          <t>SCA</t>
        </is>
      </c>
      <c r="G739" t="n">
        <v>14.8</v>
      </c>
      <c r="H739" t="n">
        <v>0</v>
      </c>
      <c r="I739" t="n">
        <v>0</v>
      </c>
      <c r="J739" t="n">
        <v>0</v>
      </c>
      <c r="K739" t="n">
        <v>0</v>
      </c>
      <c r="L739" t="n">
        <v>0</v>
      </c>
      <c r="M739" t="n">
        <v>0</v>
      </c>
      <c r="N739" t="n">
        <v>0</v>
      </c>
      <c r="O739" t="n">
        <v>0</v>
      </c>
      <c r="P739" t="n">
        <v>0</v>
      </c>
      <c r="Q739" t="n">
        <v>0</v>
      </c>
      <c r="R739" s="2" t="inlineStr"/>
    </row>
    <row r="740" ht="15" customHeight="1">
      <c r="A740" t="inlineStr">
        <is>
          <t>A 16721-2025</t>
        </is>
      </c>
      <c r="B740" s="1" t="n">
        <v>45754.49045138889</v>
      </c>
      <c r="C740" s="1" t="n">
        <v>45917</v>
      </c>
      <c r="D740" t="inlineStr">
        <is>
          <t>VÄSTERBOTTENS LÄN</t>
        </is>
      </c>
      <c r="E740" t="inlineStr">
        <is>
          <t>VILHELMINA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60376-2024</t>
        </is>
      </c>
      <c r="B741" s="1" t="n">
        <v>45643</v>
      </c>
      <c r="C741" s="1" t="n">
        <v>45917</v>
      </c>
      <c r="D741" t="inlineStr">
        <is>
          <t>VÄSTERBOTTENS LÄN</t>
        </is>
      </c>
      <c r="E741" t="inlineStr">
        <is>
          <t>VILHELMINA</t>
        </is>
      </c>
      <c r="F741" t="inlineStr">
        <is>
          <t>SCA</t>
        </is>
      </c>
      <c r="G741" t="n">
        <v>11.5</v>
      </c>
      <c r="H741" t="n">
        <v>0</v>
      </c>
      <c r="I741" t="n">
        <v>0</v>
      </c>
      <c r="J741" t="n">
        <v>0</v>
      </c>
      <c r="K741" t="n">
        <v>0</v>
      </c>
      <c r="L741" t="n">
        <v>0</v>
      </c>
      <c r="M741" t="n">
        <v>0</v>
      </c>
      <c r="N741" t="n">
        <v>0</v>
      </c>
      <c r="O741" t="n">
        <v>0</v>
      </c>
      <c r="P741" t="n">
        <v>0</v>
      </c>
      <c r="Q741" t="n">
        <v>0</v>
      </c>
      <c r="R741" s="2" t="inlineStr"/>
    </row>
    <row r="742" ht="15" customHeight="1">
      <c r="A742" t="inlineStr">
        <is>
          <t>A 19465-2025</t>
        </is>
      </c>
      <c r="B742" s="1" t="n">
        <v>45770</v>
      </c>
      <c r="C742" s="1" t="n">
        <v>45917</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2382-2023</t>
        </is>
      </c>
      <c r="B743" s="1" t="n">
        <v>44942</v>
      </c>
      <c r="C743" s="1" t="n">
        <v>45917</v>
      </c>
      <c r="D743" t="inlineStr">
        <is>
          <t>VÄSTERBOTTENS LÄN</t>
        </is>
      </c>
      <c r="E743" t="inlineStr">
        <is>
          <t>VILHELMINA</t>
        </is>
      </c>
      <c r="G743" t="n">
        <v>29.7</v>
      </c>
      <c r="H743" t="n">
        <v>0</v>
      </c>
      <c r="I743" t="n">
        <v>0</v>
      </c>
      <c r="J743" t="n">
        <v>0</v>
      </c>
      <c r="K743" t="n">
        <v>0</v>
      </c>
      <c r="L743" t="n">
        <v>0</v>
      </c>
      <c r="M743" t="n">
        <v>0</v>
      </c>
      <c r="N743" t="n">
        <v>0</v>
      </c>
      <c r="O743" t="n">
        <v>0</v>
      </c>
      <c r="P743" t="n">
        <v>0</v>
      </c>
      <c r="Q743" t="n">
        <v>0</v>
      </c>
      <c r="R743" s="2" t="inlineStr"/>
    </row>
    <row r="744" ht="15" customHeight="1">
      <c r="A744" t="inlineStr">
        <is>
          <t>A 70849-2021</t>
        </is>
      </c>
      <c r="B744" s="1" t="n">
        <v>44532</v>
      </c>
      <c r="C744" s="1" t="n">
        <v>45917</v>
      </c>
      <c r="D744" t="inlineStr">
        <is>
          <t>VÄSTERBOTTENS LÄN</t>
        </is>
      </c>
      <c r="E744" t="inlineStr">
        <is>
          <t>VILHELMINA</t>
        </is>
      </c>
      <c r="G744" t="n">
        <v>21.4</v>
      </c>
      <c r="H744" t="n">
        <v>0</v>
      </c>
      <c r="I744" t="n">
        <v>0</v>
      </c>
      <c r="J744" t="n">
        <v>0</v>
      </c>
      <c r="K744" t="n">
        <v>0</v>
      </c>
      <c r="L744" t="n">
        <v>0</v>
      </c>
      <c r="M744" t="n">
        <v>0</v>
      </c>
      <c r="N744" t="n">
        <v>0</v>
      </c>
      <c r="O744" t="n">
        <v>0</v>
      </c>
      <c r="P744" t="n">
        <v>0</v>
      </c>
      <c r="Q744" t="n">
        <v>0</v>
      </c>
      <c r="R744" s="2" t="inlineStr"/>
    </row>
    <row r="745" ht="15" customHeight="1">
      <c r="A745" t="inlineStr">
        <is>
          <t>A 52749-2023</t>
        </is>
      </c>
      <c r="B745" s="1" t="n">
        <v>45225.9678587963</v>
      </c>
      <c r="C745" s="1" t="n">
        <v>45917</v>
      </c>
      <c r="D745" t="inlineStr">
        <is>
          <t>VÄSTERBOTTENS LÄN</t>
        </is>
      </c>
      <c r="E745" t="inlineStr">
        <is>
          <t>VILHELMINA</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38674-2023</t>
        </is>
      </c>
      <c r="B746" s="1" t="n">
        <v>45162.94335648148</v>
      </c>
      <c r="C746" s="1" t="n">
        <v>45917</v>
      </c>
      <c r="D746" t="inlineStr">
        <is>
          <t>VÄSTERBOTTENS LÄN</t>
        </is>
      </c>
      <c r="E746" t="inlineStr">
        <is>
          <t>VILHELMINA</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63218-2021</t>
        </is>
      </c>
      <c r="B747" s="1" t="n">
        <v>44505</v>
      </c>
      <c r="C747" s="1" t="n">
        <v>45917</v>
      </c>
      <c r="D747" t="inlineStr">
        <is>
          <t>VÄSTERBOTTENS LÄN</t>
        </is>
      </c>
      <c r="E747" t="inlineStr">
        <is>
          <t>VILHELMINA</t>
        </is>
      </c>
      <c r="G747" t="n">
        <v>6.8</v>
      </c>
      <c r="H747" t="n">
        <v>0</v>
      </c>
      <c r="I747" t="n">
        <v>0</v>
      </c>
      <c r="J747" t="n">
        <v>0</v>
      </c>
      <c r="K747" t="n">
        <v>0</v>
      </c>
      <c r="L747" t="n">
        <v>0</v>
      </c>
      <c r="M747" t="n">
        <v>0</v>
      </c>
      <c r="N747" t="n">
        <v>0</v>
      </c>
      <c r="O747" t="n">
        <v>0</v>
      </c>
      <c r="P747" t="n">
        <v>0</v>
      </c>
      <c r="Q747" t="n">
        <v>0</v>
      </c>
      <c r="R747" s="2" t="inlineStr"/>
    </row>
    <row r="748" ht="15" customHeight="1">
      <c r="A748" t="inlineStr">
        <is>
          <t>A 11544-2023</t>
        </is>
      </c>
      <c r="B748" s="1" t="n">
        <v>44993.94818287037</v>
      </c>
      <c r="C748" s="1" t="n">
        <v>45917</v>
      </c>
      <c r="D748" t="inlineStr">
        <is>
          <t>VÄSTERBOTTENS LÄN</t>
        </is>
      </c>
      <c r="E748" t="inlineStr">
        <is>
          <t>VILHELMINA</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58377-2021</t>
        </is>
      </c>
      <c r="B749" s="1" t="n">
        <v>44488</v>
      </c>
      <c r="C749" s="1" t="n">
        <v>45917</v>
      </c>
      <c r="D749" t="inlineStr">
        <is>
          <t>VÄSTERBOTTENS LÄN</t>
        </is>
      </c>
      <c r="E749" t="inlineStr">
        <is>
          <t>VILHELMINA</t>
        </is>
      </c>
      <c r="G749" t="n">
        <v>1.5</v>
      </c>
      <c r="H749" t="n">
        <v>0</v>
      </c>
      <c r="I749" t="n">
        <v>0</v>
      </c>
      <c r="J749" t="n">
        <v>0</v>
      </c>
      <c r="K749" t="n">
        <v>0</v>
      </c>
      <c r="L749" t="n">
        <v>0</v>
      </c>
      <c r="M749" t="n">
        <v>0</v>
      </c>
      <c r="N749" t="n">
        <v>0</v>
      </c>
      <c r="O749" t="n">
        <v>0</v>
      </c>
      <c r="P749" t="n">
        <v>0</v>
      </c>
      <c r="Q749" t="n">
        <v>0</v>
      </c>
      <c r="R749" s="2" t="inlineStr"/>
    </row>
    <row r="750" ht="15" customHeight="1">
      <c r="A750" t="inlineStr">
        <is>
          <t>A 30583-2024</t>
        </is>
      </c>
      <c r="B750" s="1" t="n">
        <v>45492.96108796296</v>
      </c>
      <c r="C750" s="1" t="n">
        <v>45917</v>
      </c>
      <c r="D750" t="inlineStr">
        <is>
          <t>VÄSTERBOTTENS LÄN</t>
        </is>
      </c>
      <c r="E750" t="inlineStr">
        <is>
          <t>VILHELMINA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15326-2024</t>
        </is>
      </c>
      <c r="B751" s="1" t="n">
        <v>45400</v>
      </c>
      <c r="C751" s="1" t="n">
        <v>45917</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43791-2024</t>
        </is>
      </c>
      <c r="B752" s="1" t="n">
        <v>45571</v>
      </c>
      <c r="C752" s="1" t="n">
        <v>45917</v>
      </c>
      <c r="D752" t="inlineStr">
        <is>
          <t>VÄSTERBOTTENS LÄN</t>
        </is>
      </c>
      <c r="E752" t="inlineStr">
        <is>
          <t>VILHELMINA</t>
        </is>
      </c>
      <c r="G752" t="n">
        <v>30.3</v>
      </c>
      <c r="H752" t="n">
        <v>0</v>
      </c>
      <c r="I752" t="n">
        <v>0</v>
      </c>
      <c r="J752" t="n">
        <v>0</v>
      </c>
      <c r="K752" t="n">
        <v>0</v>
      </c>
      <c r="L752" t="n">
        <v>0</v>
      </c>
      <c r="M752" t="n">
        <v>0</v>
      </c>
      <c r="N752" t="n">
        <v>0</v>
      </c>
      <c r="O752" t="n">
        <v>0</v>
      </c>
      <c r="P752" t="n">
        <v>0</v>
      </c>
      <c r="Q752" t="n">
        <v>0</v>
      </c>
      <c r="R752" s="2" t="inlineStr"/>
    </row>
    <row r="753" ht="15" customHeight="1">
      <c r="A753" t="inlineStr">
        <is>
          <t>A 21035-2025</t>
        </is>
      </c>
      <c r="B753" s="1" t="n">
        <v>45777.53157407408</v>
      </c>
      <c r="C753" s="1" t="n">
        <v>45917</v>
      </c>
      <c r="D753" t="inlineStr">
        <is>
          <t>VÄSTERBOTTENS LÄN</t>
        </is>
      </c>
      <c r="E753" t="inlineStr">
        <is>
          <t>VILHELMINA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43792-2024</t>
        </is>
      </c>
      <c r="B754" s="1" t="n">
        <v>45571</v>
      </c>
      <c r="C754" s="1" t="n">
        <v>45917</v>
      </c>
      <c r="D754" t="inlineStr">
        <is>
          <t>VÄSTERBOTTENS LÄN</t>
        </is>
      </c>
      <c r="E754" t="inlineStr">
        <is>
          <t>VILHELMINA</t>
        </is>
      </c>
      <c r="G754" t="n">
        <v>25.3</v>
      </c>
      <c r="H754" t="n">
        <v>0</v>
      </c>
      <c r="I754" t="n">
        <v>0</v>
      </c>
      <c r="J754" t="n">
        <v>0</v>
      </c>
      <c r="K754" t="n">
        <v>0</v>
      </c>
      <c r="L754" t="n">
        <v>0</v>
      </c>
      <c r="M754" t="n">
        <v>0</v>
      </c>
      <c r="N754" t="n">
        <v>0</v>
      </c>
      <c r="O754" t="n">
        <v>0</v>
      </c>
      <c r="P754" t="n">
        <v>0</v>
      </c>
      <c r="Q754" t="n">
        <v>0</v>
      </c>
      <c r="R754" s="2" t="inlineStr"/>
    </row>
    <row r="755" ht="15" customHeight="1">
      <c r="A755" t="inlineStr">
        <is>
          <t>A 21069-2025</t>
        </is>
      </c>
      <c r="B755" s="1" t="n">
        <v>45777.59427083333</v>
      </c>
      <c r="C755" s="1" t="n">
        <v>45917</v>
      </c>
      <c r="D755" t="inlineStr">
        <is>
          <t>VÄSTERBOTTENS LÄN</t>
        </is>
      </c>
      <c r="E755" t="inlineStr">
        <is>
          <t>VILHELMINA</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5435-2024</t>
        </is>
      </c>
      <c r="B756" s="1" t="n">
        <v>45331</v>
      </c>
      <c r="C756" s="1" t="n">
        <v>45917</v>
      </c>
      <c r="D756" t="inlineStr">
        <is>
          <t>VÄSTERBOTTENS LÄN</t>
        </is>
      </c>
      <c r="E756" t="inlineStr">
        <is>
          <t>VILHELMINA</t>
        </is>
      </c>
      <c r="G756" t="n">
        <v>6</v>
      </c>
      <c r="H756" t="n">
        <v>0</v>
      </c>
      <c r="I756" t="n">
        <v>0</v>
      </c>
      <c r="J756" t="n">
        <v>0</v>
      </c>
      <c r="K756" t="n">
        <v>0</v>
      </c>
      <c r="L756" t="n">
        <v>0</v>
      </c>
      <c r="M756" t="n">
        <v>0</v>
      </c>
      <c r="N756" t="n">
        <v>0</v>
      </c>
      <c r="O756" t="n">
        <v>0</v>
      </c>
      <c r="P756" t="n">
        <v>0</v>
      </c>
      <c r="Q756" t="n">
        <v>0</v>
      </c>
      <c r="R756" s="2" t="inlineStr"/>
    </row>
    <row r="757" ht="15" customHeight="1">
      <c r="A757" t="inlineStr">
        <is>
          <t>A 21410-2025</t>
        </is>
      </c>
      <c r="B757" s="1" t="n">
        <v>45782</v>
      </c>
      <c r="C757" s="1" t="n">
        <v>45917</v>
      </c>
      <c r="D757" t="inlineStr">
        <is>
          <t>VÄSTERBOTTENS LÄN</t>
        </is>
      </c>
      <c r="E757" t="inlineStr">
        <is>
          <t>VILHELMINA</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36376-2023</t>
        </is>
      </c>
      <c r="B758" s="1" t="n">
        <v>45152</v>
      </c>
      <c r="C758" s="1" t="n">
        <v>45917</v>
      </c>
      <c r="D758" t="inlineStr">
        <is>
          <t>VÄSTERBOTTENS LÄN</t>
        </is>
      </c>
      <c r="E758" t="inlineStr">
        <is>
          <t>VILHELMINA</t>
        </is>
      </c>
      <c r="G758" t="n">
        <v>12.7</v>
      </c>
      <c r="H758" t="n">
        <v>0</v>
      </c>
      <c r="I758" t="n">
        <v>0</v>
      </c>
      <c r="J758" t="n">
        <v>0</v>
      </c>
      <c r="K758" t="n">
        <v>0</v>
      </c>
      <c r="L758" t="n">
        <v>0</v>
      </c>
      <c r="M758" t="n">
        <v>0</v>
      </c>
      <c r="N758" t="n">
        <v>0</v>
      </c>
      <c r="O758" t="n">
        <v>0</v>
      </c>
      <c r="P758" t="n">
        <v>0</v>
      </c>
      <c r="Q758" t="n">
        <v>0</v>
      </c>
      <c r="R758" s="2" t="inlineStr"/>
    </row>
    <row r="759" ht="15" customHeight="1">
      <c r="A759" t="inlineStr">
        <is>
          <t>A 30575-2024</t>
        </is>
      </c>
      <c r="B759" s="1" t="n">
        <v>45492.95818287037</v>
      </c>
      <c r="C759" s="1" t="n">
        <v>45917</v>
      </c>
      <c r="D759" t="inlineStr">
        <is>
          <t>VÄSTERBOTTENS LÄN</t>
        </is>
      </c>
      <c r="E759" t="inlineStr">
        <is>
          <t>VILHELMINA</t>
        </is>
      </c>
      <c r="F759" t="inlineStr">
        <is>
          <t>SCA</t>
        </is>
      </c>
      <c r="G759" t="n">
        <v>6.5</v>
      </c>
      <c r="H759" t="n">
        <v>0</v>
      </c>
      <c r="I759" t="n">
        <v>0</v>
      </c>
      <c r="J759" t="n">
        <v>0</v>
      </c>
      <c r="K759" t="n">
        <v>0</v>
      </c>
      <c r="L759" t="n">
        <v>0</v>
      </c>
      <c r="M759" t="n">
        <v>0</v>
      </c>
      <c r="N759" t="n">
        <v>0</v>
      </c>
      <c r="O759" t="n">
        <v>0</v>
      </c>
      <c r="P759" t="n">
        <v>0</v>
      </c>
      <c r="Q759" t="n">
        <v>0</v>
      </c>
      <c r="R759" s="2" t="inlineStr"/>
    </row>
    <row r="760" ht="15" customHeight="1">
      <c r="A760" t="inlineStr">
        <is>
          <t>A 30578-2024</t>
        </is>
      </c>
      <c r="B760" s="1" t="n">
        <v>45492.95939814814</v>
      </c>
      <c r="C760" s="1" t="n">
        <v>45917</v>
      </c>
      <c r="D760" t="inlineStr">
        <is>
          <t>VÄSTERBOTTENS LÄN</t>
        </is>
      </c>
      <c r="E760" t="inlineStr">
        <is>
          <t>VILHELMINA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30580-2024</t>
        </is>
      </c>
      <c r="B761" s="1" t="n">
        <v>45492.95981481481</v>
      </c>
      <c r="C761" s="1" t="n">
        <v>45917</v>
      </c>
      <c r="D761" t="inlineStr">
        <is>
          <t>VÄSTERBOTTENS LÄN</t>
        </is>
      </c>
      <c r="E761" t="inlineStr">
        <is>
          <t>VILHELMINA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72153-2021</t>
        </is>
      </c>
      <c r="B762" s="1" t="n">
        <v>44543</v>
      </c>
      <c r="C762" s="1" t="n">
        <v>45917</v>
      </c>
      <c r="D762" t="inlineStr">
        <is>
          <t>VÄSTERBOTTENS LÄN</t>
        </is>
      </c>
      <c r="E762" t="inlineStr">
        <is>
          <t>VILHELMINA</t>
        </is>
      </c>
      <c r="G762" t="n">
        <v>6.7</v>
      </c>
      <c r="H762" t="n">
        <v>0</v>
      </c>
      <c r="I762" t="n">
        <v>0</v>
      </c>
      <c r="J762" t="n">
        <v>0</v>
      </c>
      <c r="K762" t="n">
        <v>0</v>
      </c>
      <c r="L762" t="n">
        <v>0</v>
      </c>
      <c r="M762" t="n">
        <v>0</v>
      </c>
      <c r="N762" t="n">
        <v>0</v>
      </c>
      <c r="O762" t="n">
        <v>0</v>
      </c>
      <c r="P762" t="n">
        <v>0</v>
      </c>
      <c r="Q762" t="n">
        <v>0</v>
      </c>
      <c r="R762" s="2" t="inlineStr"/>
    </row>
    <row r="763" ht="15" customHeight="1">
      <c r="A763" t="inlineStr">
        <is>
          <t>A 3745-2023</t>
        </is>
      </c>
      <c r="B763" s="1" t="n">
        <v>44949</v>
      </c>
      <c r="C763" s="1" t="n">
        <v>45917</v>
      </c>
      <c r="D763" t="inlineStr">
        <is>
          <t>VÄSTERBOTTENS LÄN</t>
        </is>
      </c>
      <c r="E763" t="inlineStr">
        <is>
          <t>VILHELMINA</t>
        </is>
      </c>
      <c r="G763" t="n">
        <v>36.6</v>
      </c>
      <c r="H763" t="n">
        <v>0</v>
      </c>
      <c r="I763" t="n">
        <v>0</v>
      </c>
      <c r="J763" t="n">
        <v>0</v>
      </c>
      <c r="K763" t="n">
        <v>0</v>
      </c>
      <c r="L763" t="n">
        <v>0</v>
      </c>
      <c r="M763" t="n">
        <v>0</v>
      </c>
      <c r="N763" t="n">
        <v>0</v>
      </c>
      <c r="O763" t="n">
        <v>0</v>
      </c>
      <c r="P763" t="n">
        <v>0</v>
      </c>
      <c r="Q763" t="n">
        <v>0</v>
      </c>
      <c r="R763" s="2" t="inlineStr"/>
    </row>
    <row r="764" ht="15" customHeight="1">
      <c r="A764" t="inlineStr">
        <is>
          <t>A 35983-2023</t>
        </is>
      </c>
      <c r="B764" s="1" t="n">
        <v>45148.96185185185</v>
      </c>
      <c r="C764" s="1" t="n">
        <v>45917</v>
      </c>
      <c r="D764" t="inlineStr">
        <is>
          <t>VÄSTERBOTTENS LÄN</t>
        </is>
      </c>
      <c r="E764" t="inlineStr">
        <is>
          <t>VILHELMINA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21205-2025</t>
        </is>
      </c>
      <c r="B765" s="1" t="n">
        <v>45779</v>
      </c>
      <c r="C765" s="1" t="n">
        <v>45917</v>
      </c>
      <c r="D765" t="inlineStr">
        <is>
          <t>VÄSTERBOTTENS LÄN</t>
        </is>
      </c>
      <c r="E765" t="inlineStr">
        <is>
          <t>VILHELMINA</t>
        </is>
      </c>
      <c r="F765" t="inlineStr">
        <is>
          <t>Allmännings- och besparingsskogar</t>
        </is>
      </c>
      <c r="G765" t="n">
        <v>6.2</v>
      </c>
      <c r="H765" t="n">
        <v>0</v>
      </c>
      <c r="I765" t="n">
        <v>0</v>
      </c>
      <c r="J765" t="n">
        <v>0</v>
      </c>
      <c r="K765" t="n">
        <v>0</v>
      </c>
      <c r="L765" t="n">
        <v>0</v>
      </c>
      <c r="M765" t="n">
        <v>0</v>
      </c>
      <c r="N765" t="n">
        <v>0</v>
      </c>
      <c r="O765" t="n">
        <v>0</v>
      </c>
      <c r="P765" t="n">
        <v>0</v>
      </c>
      <c r="Q765" t="n">
        <v>0</v>
      </c>
      <c r="R765" s="2" t="inlineStr"/>
    </row>
    <row r="766" ht="15" customHeight="1">
      <c r="A766" t="inlineStr">
        <is>
          <t>A 23536-2024</t>
        </is>
      </c>
      <c r="B766" s="1" t="n">
        <v>45453.95199074074</v>
      </c>
      <c r="C766" s="1" t="n">
        <v>45917</v>
      </c>
      <c r="D766" t="inlineStr">
        <is>
          <t>VÄSTERBOTTENS LÄN</t>
        </is>
      </c>
      <c r="E766" t="inlineStr">
        <is>
          <t>VILHELMINA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21448-2025</t>
        </is>
      </c>
      <c r="B767" s="1" t="n">
        <v>45782.55241898148</v>
      </c>
      <c r="C767" s="1" t="n">
        <v>45917</v>
      </c>
      <c r="D767" t="inlineStr">
        <is>
          <t>VÄSTERBOTTENS LÄN</t>
        </is>
      </c>
      <c r="E767" t="inlineStr">
        <is>
          <t>VILHELMINA</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21204-2025</t>
        </is>
      </c>
      <c r="B768" s="1" t="n">
        <v>45779</v>
      </c>
      <c r="C768" s="1" t="n">
        <v>45917</v>
      </c>
      <c r="D768" t="inlineStr">
        <is>
          <t>VÄSTERBOTTENS LÄN</t>
        </is>
      </c>
      <c r="E768" t="inlineStr">
        <is>
          <t>VILHELMINA</t>
        </is>
      </c>
      <c r="F768" t="inlineStr">
        <is>
          <t>Allmännings- och besparingsskogar</t>
        </is>
      </c>
      <c r="G768" t="n">
        <v>0.9</v>
      </c>
      <c r="H768" t="n">
        <v>0</v>
      </c>
      <c r="I768" t="n">
        <v>0</v>
      </c>
      <c r="J768" t="n">
        <v>0</v>
      </c>
      <c r="K768" t="n">
        <v>0</v>
      </c>
      <c r="L768" t="n">
        <v>0</v>
      </c>
      <c r="M768" t="n">
        <v>0</v>
      </c>
      <c r="N768" t="n">
        <v>0</v>
      </c>
      <c r="O768" t="n">
        <v>0</v>
      </c>
      <c r="P768" t="n">
        <v>0</v>
      </c>
      <c r="Q768" t="n">
        <v>0</v>
      </c>
      <c r="R768" s="2" t="inlineStr"/>
    </row>
    <row r="769" ht="15" customHeight="1">
      <c r="A769" t="inlineStr">
        <is>
          <t>A 66917-2021</t>
        </is>
      </c>
      <c r="B769" s="1" t="n">
        <v>44522</v>
      </c>
      <c r="C769" s="1" t="n">
        <v>45917</v>
      </c>
      <c r="D769" t="inlineStr">
        <is>
          <t>VÄSTERBOTTENS LÄN</t>
        </is>
      </c>
      <c r="E769" t="inlineStr">
        <is>
          <t>VILHELMINA</t>
        </is>
      </c>
      <c r="F769" t="inlineStr">
        <is>
          <t>Allmännings- och besparingsskogar</t>
        </is>
      </c>
      <c r="G769" t="n">
        <v>11.7</v>
      </c>
      <c r="H769" t="n">
        <v>0</v>
      </c>
      <c r="I769" t="n">
        <v>0</v>
      </c>
      <c r="J769" t="n">
        <v>0</v>
      </c>
      <c r="K769" t="n">
        <v>0</v>
      </c>
      <c r="L769" t="n">
        <v>0</v>
      </c>
      <c r="M769" t="n">
        <v>0</v>
      </c>
      <c r="N769" t="n">
        <v>0</v>
      </c>
      <c r="O769" t="n">
        <v>0</v>
      </c>
      <c r="P769" t="n">
        <v>0</v>
      </c>
      <c r="Q769" t="n">
        <v>0</v>
      </c>
      <c r="R769" s="2" t="inlineStr"/>
    </row>
    <row r="770" ht="15" customHeight="1">
      <c r="A770" t="inlineStr">
        <is>
          <t>A 21924-2025</t>
        </is>
      </c>
      <c r="B770" s="1" t="n">
        <v>45784</v>
      </c>
      <c r="C770" s="1" t="n">
        <v>45917</v>
      </c>
      <c r="D770" t="inlineStr">
        <is>
          <t>VÄSTERBOTTENS LÄN</t>
        </is>
      </c>
      <c r="E770" t="inlineStr">
        <is>
          <t>VILHELMINA</t>
        </is>
      </c>
      <c r="G770" t="n">
        <v>10.2</v>
      </c>
      <c r="H770" t="n">
        <v>0</v>
      </c>
      <c r="I770" t="n">
        <v>0</v>
      </c>
      <c r="J770" t="n">
        <v>0</v>
      </c>
      <c r="K770" t="n">
        <v>0</v>
      </c>
      <c r="L770" t="n">
        <v>0</v>
      </c>
      <c r="M770" t="n">
        <v>0</v>
      </c>
      <c r="N770" t="n">
        <v>0</v>
      </c>
      <c r="O770" t="n">
        <v>0</v>
      </c>
      <c r="P770" t="n">
        <v>0</v>
      </c>
      <c r="Q770" t="n">
        <v>0</v>
      </c>
      <c r="R770" s="2" t="inlineStr"/>
    </row>
    <row r="771" ht="15" customHeight="1">
      <c r="A771" t="inlineStr">
        <is>
          <t>A 8652-2023</t>
        </is>
      </c>
      <c r="B771" s="1" t="n">
        <v>44977.98401620371</v>
      </c>
      <c r="C771" s="1" t="n">
        <v>45917</v>
      </c>
      <c r="D771" t="inlineStr">
        <is>
          <t>VÄSTERBOTTENS LÄN</t>
        </is>
      </c>
      <c r="E771" t="inlineStr">
        <is>
          <t>VILHELMINA</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8653-2023</t>
        </is>
      </c>
      <c r="B772" s="1" t="n">
        <v>44977</v>
      </c>
      <c r="C772" s="1" t="n">
        <v>45917</v>
      </c>
      <c r="D772" t="inlineStr">
        <is>
          <t>VÄSTERBOTTENS LÄN</t>
        </is>
      </c>
      <c r="E772" t="inlineStr">
        <is>
          <t>VILHELMINA</t>
        </is>
      </c>
      <c r="F772" t="inlineStr">
        <is>
          <t>SCA</t>
        </is>
      </c>
      <c r="G772" t="n">
        <v>7.9</v>
      </c>
      <c r="H772" t="n">
        <v>0</v>
      </c>
      <c r="I772" t="n">
        <v>0</v>
      </c>
      <c r="J772" t="n">
        <v>0</v>
      </c>
      <c r="K772" t="n">
        <v>0</v>
      </c>
      <c r="L772" t="n">
        <v>0</v>
      </c>
      <c r="M772" t="n">
        <v>0</v>
      </c>
      <c r="N772" t="n">
        <v>0</v>
      </c>
      <c r="O772" t="n">
        <v>0</v>
      </c>
      <c r="P772" t="n">
        <v>0</v>
      </c>
      <c r="Q772" t="n">
        <v>0</v>
      </c>
      <c r="R772" s="2" t="inlineStr"/>
    </row>
    <row r="773" ht="15" customHeight="1">
      <c r="A773" t="inlineStr">
        <is>
          <t>A 5955-2023</t>
        </is>
      </c>
      <c r="B773" s="1" t="n">
        <v>44963.93989583333</v>
      </c>
      <c r="C773" s="1" t="n">
        <v>45917</v>
      </c>
      <c r="D773" t="inlineStr">
        <is>
          <t>VÄSTERBOTTENS LÄN</t>
        </is>
      </c>
      <c r="E773" t="inlineStr">
        <is>
          <t>VILHELMINA</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34135-2024</t>
        </is>
      </c>
      <c r="B774" s="1" t="n">
        <v>45524.35605324074</v>
      </c>
      <c r="C774" s="1" t="n">
        <v>45917</v>
      </c>
      <c r="D774" t="inlineStr">
        <is>
          <t>VÄSTERBOTTENS LÄN</t>
        </is>
      </c>
      <c r="E774" t="inlineStr">
        <is>
          <t>VILHELMINA</t>
        </is>
      </c>
      <c r="F774" t="inlineStr">
        <is>
          <t>Sveaskog</t>
        </is>
      </c>
      <c r="G774" t="n">
        <v>5.7</v>
      </c>
      <c r="H774" t="n">
        <v>0</v>
      </c>
      <c r="I774" t="n">
        <v>0</v>
      </c>
      <c r="J774" t="n">
        <v>0</v>
      </c>
      <c r="K774" t="n">
        <v>0</v>
      </c>
      <c r="L774" t="n">
        <v>0</v>
      </c>
      <c r="M774" t="n">
        <v>0</v>
      </c>
      <c r="N774" t="n">
        <v>0</v>
      </c>
      <c r="O774" t="n">
        <v>0</v>
      </c>
      <c r="P774" t="n">
        <v>0</v>
      </c>
      <c r="Q774" t="n">
        <v>0</v>
      </c>
      <c r="R774" s="2" t="inlineStr"/>
    </row>
    <row r="775" ht="15" customHeight="1">
      <c r="A775" t="inlineStr">
        <is>
          <t>A 42478-2024</t>
        </is>
      </c>
      <c r="B775" s="1" t="n">
        <v>45565.4912962963</v>
      </c>
      <c r="C775" s="1" t="n">
        <v>45917</v>
      </c>
      <c r="D775" t="inlineStr">
        <is>
          <t>VÄSTERBOTTENS LÄN</t>
        </is>
      </c>
      <c r="E775" t="inlineStr">
        <is>
          <t>VILHELMINA</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50482-2023</t>
        </is>
      </c>
      <c r="B776" s="1" t="n">
        <v>45216</v>
      </c>
      <c r="C776" s="1" t="n">
        <v>45917</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21999-2025</t>
        </is>
      </c>
      <c r="B777" s="1" t="n">
        <v>45784</v>
      </c>
      <c r="C777" s="1" t="n">
        <v>45917</v>
      </c>
      <c r="D777" t="inlineStr">
        <is>
          <t>VÄSTERBOTTENS LÄN</t>
        </is>
      </c>
      <c r="E777" t="inlineStr">
        <is>
          <t>VILHELMINA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21950-2025</t>
        </is>
      </c>
      <c r="B778" s="1" t="n">
        <v>45784.59418981482</v>
      </c>
      <c r="C778" s="1" t="n">
        <v>45917</v>
      </c>
      <c r="D778" t="inlineStr">
        <is>
          <t>VÄSTERBOTTENS LÄN</t>
        </is>
      </c>
      <c r="E778" t="inlineStr">
        <is>
          <t>VILHELMINA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21623-2025</t>
        </is>
      </c>
      <c r="B779" s="1" t="n">
        <v>45783</v>
      </c>
      <c r="C779" s="1" t="n">
        <v>45917</v>
      </c>
      <c r="D779" t="inlineStr">
        <is>
          <t>VÄSTERBOTTENS LÄN</t>
        </is>
      </c>
      <c r="E779" t="inlineStr">
        <is>
          <t>VILHELMINA</t>
        </is>
      </c>
      <c r="F779" t="inlineStr">
        <is>
          <t>SCA</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21670-2025</t>
        </is>
      </c>
      <c r="B780" s="1" t="n">
        <v>45783.46917824074</v>
      </c>
      <c r="C780" s="1" t="n">
        <v>45917</v>
      </c>
      <c r="D780" t="inlineStr">
        <is>
          <t>VÄSTERBOTTENS LÄN</t>
        </is>
      </c>
      <c r="E780" t="inlineStr">
        <is>
          <t>VILHELMINA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21972-2025</t>
        </is>
      </c>
      <c r="B781" s="1" t="n">
        <v>45784.63592592593</v>
      </c>
      <c r="C781" s="1" t="n">
        <v>45917</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58749-2023</t>
        </is>
      </c>
      <c r="B782" s="1" t="n">
        <v>45251.92947916667</v>
      </c>
      <c r="C782" s="1" t="n">
        <v>45917</v>
      </c>
      <c r="D782" t="inlineStr">
        <is>
          <t>VÄSTERBOTTENS LÄN</t>
        </is>
      </c>
      <c r="E782" t="inlineStr">
        <is>
          <t>VILHELMINA</t>
        </is>
      </c>
      <c r="G782" t="n">
        <v>2.8</v>
      </c>
      <c r="H782" t="n">
        <v>0</v>
      </c>
      <c r="I782" t="n">
        <v>0</v>
      </c>
      <c r="J782" t="n">
        <v>0</v>
      </c>
      <c r="K782" t="n">
        <v>0</v>
      </c>
      <c r="L782" t="n">
        <v>0</v>
      </c>
      <c r="M782" t="n">
        <v>0</v>
      </c>
      <c r="N782" t="n">
        <v>0</v>
      </c>
      <c r="O782" t="n">
        <v>0</v>
      </c>
      <c r="P782" t="n">
        <v>0</v>
      </c>
      <c r="Q782" t="n">
        <v>0</v>
      </c>
      <c r="R782" s="2" t="inlineStr"/>
    </row>
    <row r="783" ht="15" customHeight="1">
      <c r="A783" t="inlineStr">
        <is>
          <t>A 34809-2023</t>
        </is>
      </c>
      <c r="B783" s="1" t="n">
        <v>45140</v>
      </c>
      <c r="C783" s="1" t="n">
        <v>45917</v>
      </c>
      <c r="D783" t="inlineStr">
        <is>
          <t>VÄSTERBOTTENS LÄN</t>
        </is>
      </c>
      <c r="E783" t="inlineStr">
        <is>
          <t>VILHELMINA</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22048-2025</t>
        </is>
      </c>
      <c r="B784" s="1" t="n">
        <v>45785.3443287037</v>
      </c>
      <c r="C784" s="1" t="n">
        <v>45917</v>
      </c>
      <c r="D784" t="inlineStr">
        <is>
          <t>VÄSTERBOTTENS LÄN</t>
        </is>
      </c>
      <c r="E784" t="inlineStr">
        <is>
          <t>VILHELMINA</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38361-2023</t>
        </is>
      </c>
      <c r="B785" s="1" t="n">
        <v>45161.94315972222</v>
      </c>
      <c r="C785" s="1" t="n">
        <v>45917</v>
      </c>
      <c r="D785" t="inlineStr">
        <is>
          <t>VÄSTERBOTTENS LÄN</t>
        </is>
      </c>
      <c r="E785" t="inlineStr">
        <is>
          <t>VILHELMINA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58824-2024</t>
        </is>
      </c>
      <c r="B786" s="1" t="n">
        <v>45636.36488425926</v>
      </c>
      <c r="C786" s="1" t="n">
        <v>45917</v>
      </c>
      <c r="D786" t="inlineStr">
        <is>
          <t>VÄSTERBOTTENS LÄN</t>
        </is>
      </c>
      <c r="E786" t="inlineStr">
        <is>
          <t>VILHELMINA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60377-2024</t>
        </is>
      </c>
      <c r="B787" s="1" t="n">
        <v>45643</v>
      </c>
      <c r="C787" s="1" t="n">
        <v>45917</v>
      </c>
      <c r="D787" t="inlineStr">
        <is>
          <t>VÄSTERBOTTENS LÄN</t>
        </is>
      </c>
      <c r="E787" t="inlineStr">
        <is>
          <t>VILHELMINA</t>
        </is>
      </c>
      <c r="F787" t="inlineStr">
        <is>
          <t>SCA</t>
        </is>
      </c>
      <c r="G787" t="n">
        <v>16.2</v>
      </c>
      <c r="H787" t="n">
        <v>0</v>
      </c>
      <c r="I787" t="n">
        <v>0</v>
      </c>
      <c r="J787" t="n">
        <v>0</v>
      </c>
      <c r="K787" t="n">
        <v>0</v>
      </c>
      <c r="L787" t="n">
        <v>0</v>
      </c>
      <c r="M787" t="n">
        <v>0</v>
      </c>
      <c r="N787" t="n">
        <v>0</v>
      </c>
      <c r="O787" t="n">
        <v>0</v>
      </c>
      <c r="P787" t="n">
        <v>0</v>
      </c>
      <c r="Q787" t="n">
        <v>0</v>
      </c>
      <c r="R787" s="2" t="inlineStr"/>
    </row>
    <row r="788" ht="15" customHeight="1">
      <c r="A788" t="inlineStr">
        <is>
          <t>A 61953-2024</t>
        </is>
      </c>
      <c r="B788" s="1" t="n">
        <v>45653.5150462963</v>
      </c>
      <c r="C788" s="1" t="n">
        <v>45917</v>
      </c>
      <c r="D788" t="inlineStr">
        <is>
          <t>VÄSTERBOTTENS LÄN</t>
        </is>
      </c>
      <c r="E788" t="inlineStr">
        <is>
          <t>VILHELMINA</t>
        </is>
      </c>
      <c r="F788" t="inlineStr">
        <is>
          <t>Kommuner</t>
        </is>
      </c>
      <c r="G788" t="n">
        <v>10.2</v>
      </c>
      <c r="H788" t="n">
        <v>0</v>
      </c>
      <c r="I788" t="n">
        <v>0</v>
      </c>
      <c r="J788" t="n">
        <v>0</v>
      </c>
      <c r="K788" t="n">
        <v>0</v>
      </c>
      <c r="L788" t="n">
        <v>0</v>
      </c>
      <c r="M788" t="n">
        <v>0</v>
      </c>
      <c r="N788" t="n">
        <v>0</v>
      </c>
      <c r="O788" t="n">
        <v>0</v>
      </c>
      <c r="P788" t="n">
        <v>0</v>
      </c>
      <c r="Q788" t="n">
        <v>0</v>
      </c>
      <c r="R788" s="2" t="inlineStr"/>
    </row>
    <row r="789" ht="15" customHeight="1">
      <c r="A789" t="inlineStr">
        <is>
          <t>A 62100-2024</t>
        </is>
      </c>
      <c r="B789" s="1" t="n">
        <v>45656</v>
      </c>
      <c r="C789" s="1" t="n">
        <v>45917</v>
      </c>
      <c r="D789" t="inlineStr">
        <is>
          <t>VÄSTERBOTTENS LÄN</t>
        </is>
      </c>
      <c r="E789" t="inlineStr">
        <is>
          <t>VILHELMINA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15062-2024</t>
        </is>
      </c>
      <c r="B790" s="1" t="n">
        <v>45399</v>
      </c>
      <c r="C790" s="1" t="n">
        <v>45917</v>
      </c>
      <c r="D790" t="inlineStr">
        <is>
          <t>VÄSTERBOTTENS LÄN</t>
        </is>
      </c>
      <c r="E790" t="inlineStr">
        <is>
          <t>VILHELMINA</t>
        </is>
      </c>
      <c r="G790" t="n">
        <v>1.7</v>
      </c>
      <c r="H790" t="n">
        <v>0</v>
      </c>
      <c r="I790" t="n">
        <v>0</v>
      </c>
      <c r="J790" t="n">
        <v>0</v>
      </c>
      <c r="K790" t="n">
        <v>0</v>
      </c>
      <c r="L790" t="n">
        <v>0</v>
      </c>
      <c r="M790" t="n">
        <v>0</v>
      </c>
      <c r="N790" t="n">
        <v>0</v>
      </c>
      <c r="O790" t="n">
        <v>0</v>
      </c>
      <c r="P790" t="n">
        <v>0</v>
      </c>
      <c r="Q790" t="n">
        <v>0</v>
      </c>
      <c r="R790" s="2" t="inlineStr"/>
    </row>
    <row r="791" ht="15" customHeight="1">
      <c r="A791" t="inlineStr">
        <is>
          <t>A 15066-2024</t>
        </is>
      </c>
      <c r="B791" s="1" t="n">
        <v>45399</v>
      </c>
      <c r="C791" s="1" t="n">
        <v>45917</v>
      </c>
      <c r="D791" t="inlineStr">
        <is>
          <t>VÄSTERBOTTENS LÄN</t>
        </is>
      </c>
      <c r="E791" t="inlineStr">
        <is>
          <t>VILHELMINA</t>
        </is>
      </c>
      <c r="G791" t="n">
        <v>4.6</v>
      </c>
      <c r="H791" t="n">
        <v>0</v>
      </c>
      <c r="I791" t="n">
        <v>0</v>
      </c>
      <c r="J791" t="n">
        <v>0</v>
      </c>
      <c r="K791" t="n">
        <v>0</v>
      </c>
      <c r="L791" t="n">
        <v>0</v>
      </c>
      <c r="M791" t="n">
        <v>0</v>
      </c>
      <c r="N791" t="n">
        <v>0</v>
      </c>
      <c r="O791" t="n">
        <v>0</v>
      </c>
      <c r="P791" t="n">
        <v>0</v>
      </c>
      <c r="Q791" t="n">
        <v>0</v>
      </c>
      <c r="R791" s="2" t="inlineStr"/>
    </row>
    <row r="792" ht="15" customHeight="1">
      <c r="A792" t="inlineStr">
        <is>
          <t>A 8229-2022</t>
        </is>
      </c>
      <c r="B792" s="1" t="n">
        <v>44609</v>
      </c>
      <c r="C792" s="1" t="n">
        <v>45917</v>
      </c>
      <c r="D792" t="inlineStr">
        <is>
          <t>VÄSTERBOTTENS LÄN</t>
        </is>
      </c>
      <c r="E792" t="inlineStr">
        <is>
          <t>VILHELMINA</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22617-2025</t>
        </is>
      </c>
      <c r="B793" s="1" t="n">
        <v>45789</v>
      </c>
      <c r="C793" s="1" t="n">
        <v>45917</v>
      </c>
      <c r="D793" t="inlineStr">
        <is>
          <t>VÄSTERBOTTENS LÄN</t>
        </is>
      </c>
      <c r="E793" t="inlineStr">
        <is>
          <t>VILHELMINA</t>
        </is>
      </c>
      <c r="F793" t="inlineStr">
        <is>
          <t>SCA</t>
        </is>
      </c>
      <c r="G793" t="n">
        <v>7.3</v>
      </c>
      <c r="H793" t="n">
        <v>0</v>
      </c>
      <c r="I793" t="n">
        <v>0</v>
      </c>
      <c r="J793" t="n">
        <v>0</v>
      </c>
      <c r="K793" t="n">
        <v>0</v>
      </c>
      <c r="L793" t="n">
        <v>0</v>
      </c>
      <c r="M793" t="n">
        <v>0</v>
      </c>
      <c r="N793" t="n">
        <v>0</v>
      </c>
      <c r="O793" t="n">
        <v>0</v>
      </c>
      <c r="P793" t="n">
        <v>0</v>
      </c>
      <c r="Q793" t="n">
        <v>0</v>
      </c>
      <c r="R793" s="2" t="inlineStr"/>
    </row>
    <row r="794" ht="15" customHeight="1">
      <c r="A794" t="inlineStr">
        <is>
          <t>A 31496-2023</t>
        </is>
      </c>
      <c r="B794" s="1" t="n">
        <v>45114.94138888889</v>
      </c>
      <c r="C794" s="1" t="n">
        <v>45917</v>
      </c>
      <c r="D794" t="inlineStr">
        <is>
          <t>VÄSTERBOTTENS LÄN</t>
        </is>
      </c>
      <c r="E794" t="inlineStr">
        <is>
          <t>VILHELMINA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15786-2025</t>
        </is>
      </c>
      <c r="B795" s="1" t="n">
        <v>45748.62240740741</v>
      </c>
      <c r="C795" s="1" t="n">
        <v>45917</v>
      </c>
      <c r="D795" t="inlineStr">
        <is>
          <t>VÄSTERBOTTENS LÄN</t>
        </is>
      </c>
      <c r="E795" t="inlineStr">
        <is>
          <t>VILHELMINA</t>
        </is>
      </c>
      <c r="G795" t="n">
        <v>1.1</v>
      </c>
      <c r="H795" t="n">
        <v>0</v>
      </c>
      <c r="I795" t="n">
        <v>0</v>
      </c>
      <c r="J795" t="n">
        <v>0</v>
      </c>
      <c r="K795" t="n">
        <v>0</v>
      </c>
      <c r="L795" t="n">
        <v>0</v>
      </c>
      <c r="M795" t="n">
        <v>0</v>
      </c>
      <c r="N795" t="n">
        <v>0</v>
      </c>
      <c r="O795" t="n">
        <v>0</v>
      </c>
      <c r="P795" t="n">
        <v>0</v>
      </c>
      <c r="Q795" t="n">
        <v>0</v>
      </c>
      <c r="R795" s="2" t="inlineStr"/>
    </row>
    <row r="796" ht="15" customHeight="1">
      <c r="A796" t="inlineStr">
        <is>
          <t>A 47440-2024</t>
        </is>
      </c>
      <c r="B796" s="1" t="n">
        <v>45587</v>
      </c>
      <c r="C796" s="1" t="n">
        <v>45917</v>
      </c>
      <c r="D796" t="inlineStr">
        <is>
          <t>VÄSTERBOTTENS LÄN</t>
        </is>
      </c>
      <c r="E796" t="inlineStr">
        <is>
          <t>VILHELMINA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48088-2024</t>
        </is>
      </c>
      <c r="B797" s="1" t="n">
        <v>45589</v>
      </c>
      <c r="C797" s="1" t="n">
        <v>45917</v>
      </c>
      <c r="D797" t="inlineStr">
        <is>
          <t>VÄSTERBOTTENS LÄN</t>
        </is>
      </c>
      <c r="E797" t="inlineStr">
        <is>
          <t>VILHELMINA</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45593-2024</t>
        </is>
      </c>
      <c r="B798" s="1" t="n">
        <v>45579</v>
      </c>
      <c r="C798" s="1" t="n">
        <v>45917</v>
      </c>
      <c r="D798" t="inlineStr">
        <is>
          <t>VÄSTERBOTTENS LÄN</t>
        </is>
      </c>
      <c r="E798" t="inlineStr">
        <is>
          <t>VILHELMINA</t>
        </is>
      </c>
      <c r="G798" t="n">
        <v>0.9</v>
      </c>
      <c r="H798" t="n">
        <v>0</v>
      </c>
      <c r="I798" t="n">
        <v>0</v>
      </c>
      <c r="J798" t="n">
        <v>0</v>
      </c>
      <c r="K798" t="n">
        <v>0</v>
      </c>
      <c r="L798" t="n">
        <v>0</v>
      </c>
      <c r="M798" t="n">
        <v>0</v>
      </c>
      <c r="N798" t="n">
        <v>0</v>
      </c>
      <c r="O798" t="n">
        <v>0</v>
      </c>
      <c r="P798" t="n">
        <v>0</v>
      </c>
      <c r="Q798" t="n">
        <v>0</v>
      </c>
      <c r="R798" s="2" t="inlineStr"/>
    </row>
    <row r="799" ht="15" customHeight="1">
      <c r="A799" t="inlineStr">
        <is>
          <t>A 39035-2024</t>
        </is>
      </c>
      <c r="B799" s="1" t="n">
        <v>45548.46918981482</v>
      </c>
      <c r="C799" s="1" t="n">
        <v>45917</v>
      </c>
      <c r="D799" t="inlineStr">
        <is>
          <t>VÄSTERBOTTENS LÄN</t>
        </is>
      </c>
      <c r="E799" t="inlineStr">
        <is>
          <t>VILHELMINA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47548-2024</t>
        </is>
      </c>
      <c r="B800" s="1" t="n">
        <v>45587</v>
      </c>
      <c r="C800" s="1" t="n">
        <v>45917</v>
      </c>
      <c r="D800" t="inlineStr">
        <is>
          <t>VÄSTERBOTTENS LÄN</t>
        </is>
      </c>
      <c r="E800" t="inlineStr">
        <is>
          <t>VILHELMINA</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23459-2025</t>
        </is>
      </c>
      <c r="B801" s="1" t="n">
        <v>45792</v>
      </c>
      <c r="C801" s="1" t="n">
        <v>45917</v>
      </c>
      <c r="D801" t="inlineStr">
        <is>
          <t>VÄSTERBOTTENS LÄN</t>
        </is>
      </c>
      <c r="E801" t="inlineStr">
        <is>
          <t>VILHELMINA</t>
        </is>
      </c>
      <c r="F801" t="inlineStr">
        <is>
          <t>SCA</t>
        </is>
      </c>
      <c r="G801" t="n">
        <v>7.4</v>
      </c>
      <c r="H801" t="n">
        <v>0</v>
      </c>
      <c r="I801" t="n">
        <v>0</v>
      </c>
      <c r="J801" t="n">
        <v>0</v>
      </c>
      <c r="K801" t="n">
        <v>0</v>
      </c>
      <c r="L801" t="n">
        <v>0</v>
      </c>
      <c r="M801" t="n">
        <v>0</v>
      </c>
      <c r="N801" t="n">
        <v>0</v>
      </c>
      <c r="O801" t="n">
        <v>0</v>
      </c>
      <c r="P801" t="n">
        <v>0</v>
      </c>
      <c r="Q801" t="n">
        <v>0</v>
      </c>
      <c r="R801" s="2" t="inlineStr"/>
    </row>
    <row r="802" ht="15" customHeight="1">
      <c r="A802" t="inlineStr">
        <is>
          <t>A 23461-2025</t>
        </is>
      </c>
      <c r="B802" s="1" t="n">
        <v>45792</v>
      </c>
      <c r="C802" s="1" t="n">
        <v>45917</v>
      </c>
      <c r="D802" t="inlineStr">
        <is>
          <t>VÄSTERBOTTENS LÄN</t>
        </is>
      </c>
      <c r="E802" t="inlineStr">
        <is>
          <t>VILHELMINA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23281-2025</t>
        </is>
      </c>
      <c r="B803" s="1" t="n">
        <v>45791.57324074074</v>
      </c>
      <c r="C803" s="1" t="n">
        <v>45917</v>
      </c>
      <c r="D803" t="inlineStr">
        <is>
          <t>VÄSTERBOTTENS LÄN</t>
        </is>
      </c>
      <c r="E803" t="inlineStr">
        <is>
          <t>VILHELMINA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47242-2024</t>
        </is>
      </c>
      <c r="B804" s="1" t="n">
        <v>45586</v>
      </c>
      <c r="C804" s="1" t="n">
        <v>45917</v>
      </c>
      <c r="D804" t="inlineStr">
        <is>
          <t>VÄSTERBOTTENS LÄN</t>
        </is>
      </c>
      <c r="E804" t="inlineStr">
        <is>
          <t>VILHELMINA</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49221-2024</t>
        </is>
      </c>
      <c r="B805" s="1" t="n">
        <v>45595.41166666667</v>
      </c>
      <c r="C805" s="1" t="n">
        <v>45917</v>
      </c>
      <c r="D805" t="inlineStr">
        <is>
          <t>VÄSTERBOTTENS LÄN</t>
        </is>
      </c>
      <c r="E805" t="inlineStr">
        <is>
          <t>VILHELMINA</t>
        </is>
      </c>
      <c r="G805" t="n">
        <v>11.4</v>
      </c>
      <c r="H805" t="n">
        <v>0</v>
      </c>
      <c r="I805" t="n">
        <v>0</v>
      </c>
      <c r="J805" t="n">
        <v>0</v>
      </c>
      <c r="K805" t="n">
        <v>0</v>
      </c>
      <c r="L805" t="n">
        <v>0</v>
      </c>
      <c r="M805" t="n">
        <v>0</v>
      </c>
      <c r="N805" t="n">
        <v>0</v>
      </c>
      <c r="O805" t="n">
        <v>0</v>
      </c>
      <c r="P805" t="n">
        <v>0</v>
      </c>
      <c r="Q805" t="n">
        <v>0</v>
      </c>
      <c r="R805" s="2" t="inlineStr"/>
    </row>
    <row r="806" ht="15" customHeight="1">
      <c r="A806" t="inlineStr">
        <is>
          <t>A 49246-2024</t>
        </is>
      </c>
      <c r="B806" s="1" t="n">
        <v>45595.4618287037</v>
      </c>
      <c r="C806" s="1" t="n">
        <v>45917</v>
      </c>
      <c r="D806" t="inlineStr">
        <is>
          <t>VÄSTERBOTTENS LÄN</t>
        </is>
      </c>
      <c r="E806" t="inlineStr">
        <is>
          <t>VILHELMINA</t>
        </is>
      </c>
      <c r="G806" t="n">
        <v>0.9</v>
      </c>
      <c r="H806" t="n">
        <v>0</v>
      </c>
      <c r="I806" t="n">
        <v>0</v>
      </c>
      <c r="J806" t="n">
        <v>0</v>
      </c>
      <c r="K806" t="n">
        <v>0</v>
      </c>
      <c r="L806" t="n">
        <v>0</v>
      </c>
      <c r="M806" t="n">
        <v>0</v>
      </c>
      <c r="N806" t="n">
        <v>0</v>
      </c>
      <c r="O806" t="n">
        <v>0</v>
      </c>
      <c r="P806" t="n">
        <v>0</v>
      </c>
      <c r="Q806" t="n">
        <v>0</v>
      </c>
      <c r="R806" s="2" t="inlineStr"/>
    </row>
    <row r="807" ht="15" customHeight="1">
      <c r="A807" t="inlineStr">
        <is>
          <t>A 23415-2025</t>
        </is>
      </c>
      <c r="B807" s="1" t="n">
        <v>45792.34643518519</v>
      </c>
      <c r="C807" s="1" t="n">
        <v>45917</v>
      </c>
      <c r="D807" t="inlineStr">
        <is>
          <t>VÄSTERBOTTENS LÄN</t>
        </is>
      </c>
      <c r="E807" t="inlineStr">
        <is>
          <t>VILHELMINA</t>
        </is>
      </c>
      <c r="F807" t="inlineStr">
        <is>
          <t>SCA</t>
        </is>
      </c>
      <c r="G807" t="n">
        <v>36.9</v>
      </c>
      <c r="H807" t="n">
        <v>0</v>
      </c>
      <c r="I807" t="n">
        <v>0</v>
      </c>
      <c r="J807" t="n">
        <v>0</v>
      </c>
      <c r="K807" t="n">
        <v>0</v>
      </c>
      <c r="L807" t="n">
        <v>0</v>
      </c>
      <c r="M807" t="n">
        <v>0</v>
      </c>
      <c r="N807" t="n">
        <v>0</v>
      </c>
      <c r="O807" t="n">
        <v>0</v>
      </c>
      <c r="P807" t="n">
        <v>0</v>
      </c>
      <c r="Q807" t="n">
        <v>0</v>
      </c>
      <c r="R807" s="2" t="inlineStr"/>
    </row>
    <row r="808" ht="15" customHeight="1">
      <c r="A808" t="inlineStr">
        <is>
          <t>A 48062-2024</t>
        </is>
      </c>
      <c r="B808" s="1" t="n">
        <v>45589</v>
      </c>
      <c r="C808" s="1" t="n">
        <v>45917</v>
      </c>
      <c r="D808" t="inlineStr">
        <is>
          <t>VÄSTERBOTTENS LÄN</t>
        </is>
      </c>
      <c r="E808" t="inlineStr">
        <is>
          <t>VILHELMINA</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23406-2025</t>
        </is>
      </c>
      <c r="B809" s="1" t="n">
        <v>45792.34540509259</v>
      </c>
      <c r="C809" s="1" t="n">
        <v>45917</v>
      </c>
      <c r="D809" t="inlineStr">
        <is>
          <t>VÄSTERBOTTENS LÄN</t>
        </is>
      </c>
      <c r="E809" t="inlineStr">
        <is>
          <t>VILHELMINA</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17467-2025</t>
        </is>
      </c>
      <c r="B810" s="1" t="n">
        <v>45757</v>
      </c>
      <c r="C810" s="1" t="n">
        <v>45917</v>
      </c>
      <c r="D810" t="inlineStr">
        <is>
          <t>VÄSTERBOTTENS LÄN</t>
        </is>
      </c>
      <c r="E810" t="inlineStr">
        <is>
          <t>VILHELMINA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146-2025</t>
        </is>
      </c>
      <c r="B811" s="1" t="n">
        <v>45659</v>
      </c>
      <c r="C811" s="1" t="n">
        <v>45917</v>
      </c>
      <c r="D811" t="inlineStr">
        <is>
          <t>VÄSTERBOTTENS LÄN</t>
        </is>
      </c>
      <c r="E811" t="inlineStr">
        <is>
          <t>VILHELMINA</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40505-2024</t>
        </is>
      </c>
      <c r="B812" s="1" t="n">
        <v>45555.57373842593</v>
      </c>
      <c r="C812" s="1" t="n">
        <v>45917</v>
      </c>
      <c r="D812" t="inlineStr">
        <is>
          <t>VÄSTERBOTTENS LÄN</t>
        </is>
      </c>
      <c r="E812" t="inlineStr">
        <is>
          <t>VILHELMINA</t>
        </is>
      </c>
      <c r="G812" t="n">
        <v>0.3</v>
      </c>
      <c r="H812" t="n">
        <v>0</v>
      </c>
      <c r="I812" t="n">
        <v>0</v>
      </c>
      <c r="J812" t="n">
        <v>0</v>
      </c>
      <c r="K812" t="n">
        <v>0</v>
      </c>
      <c r="L812" t="n">
        <v>0</v>
      </c>
      <c r="M812" t="n">
        <v>0</v>
      </c>
      <c r="N812" t="n">
        <v>0</v>
      </c>
      <c r="O812" t="n">
        <v>0</v>
      </c>
      <c r="P812" t="n">
        <v>0</v>
      </c>
      <c r="Q812" t="n">
        <v>0</v>
      </c>
      <c r="R812" s="2" t="inlineStr"/>
    </row>
    <row r="813" ht="15" customHeight="1">
      <c r="A813" t="inlineStr">
        <is>
          <t>A 19873-2024</t>
        </is>
      </c>
      <c r="B813" s="1" t="n">
        <v>45433</v>
      </c>
      <c r="C813" s="1" t="n">
        <v>45917</v>
      </c>
      <c r="D813" t="inlineStr">
        <is>
          <t>VÄSTERBOTTENS LÄN</t>
        </is>
      </c>
      <c r="E813" t="inlineStr">
        <is>
          <t>VILHELMINA</t>
        </is>
      </c>
      <c r="G813" t="n">
        <v>8.6</v>
      </c>
      <c r="H813" t="n">
        <v>0</v>
      </c>
      <c r="I813" t="n">
        <v>0</v>
      </c>
      <c r="J813" t="n">
        <v>0</v>
      </c>
      <c r="K813" t="n">
        <v>0</v>
      </c>
      <c r="L813" t="n">
        <v>0</v>
      </c>
      <c r="M813" t="n">
        <v>0</v>
      </c>
      <c r="N813" t="n">
        <v>0</v>
      </c>
      <c r="O813" t="n">
        <v>0</v>
      </c>
      <c r="P813" t="n">
        <v>0</v>
      </c>
      <c r="Q813" t="n">
        <v>0</v>
      </c>
      <c r="R813" s="2" t="inlineStr"/>
    </row>
    <row r="814" ht="15" customHeight="1">
      <c r="A814" t="inlineStr">
        <is>
          <t>A 58505-2024</t>
        </is>
      </c>
      <c r="B814" s="1" t="n">
        <v>45635</v>
      </c>
      <c r="C814" s="1" t="n">
        <v>45917</v>
      </c>
      <c r="D814" t="inlineStr">
        <is>
          <t>VÄSTERBOTTENS LÄN</t>
        </is>
      </c>
      <c r="E814" t="inlineStr">
        <is>
          <t>VILHELMINA</t>
        </is>
      </c>
      <c r="G814" t="n">
        <v>2.9</v>
      </c>
      <c r="H814" t="n">
        <v>0</v>
      </c>
      <c r="I814" t="n">
        <v>0</v>
      </c>
      <c r="J814" t="n">
        <v>0</v>
      </c>
      <c r="K814" t="n">
        <v>0</v>
      </c>
      <c r="L814" t="n">
        <v>0</v>
      </c>
      <c r="M814" t="n">
        <v>0</v>
      </c>
      <c r="N814" t="n">
        <v>0</v>
      </c>
      <c r="O814" t="n">
        <v>0</v>
      </c>
      <c r="P814" t="n">
        <v>0</v>
      </c>
      <c r="Q814" t="n">
        <v>0</v>
      </c>
      <c r="R814" s="2" t="inlineStr"/>
    </row>
    <row r="815" ht="15" customHeight="1">
      <c r="A815" t="inlineStr">
        <is>
          <t>A 39677-2024</t>
        </is>
      </c>
      <c r="B815" s="1" t="n">
        <v>45552</v>
      </c>
      <c r="C815" s="1" t="n">
        <v>45917</v>
      </c>
      <c r="D815" t="inlineStr">
        <is>
          <t>VÄSTERBOTTENS LÄN</t>
        </is>
      </c>
      <c r="E815" t="inlineStr">
        <is>
          <t>VILHELMINA</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25308-2025</t>
        </is>
      </c>
      <c r="B816" s="1" t="n">
        <v>45800</v>
      </c>
      <c r="C816" s="1" t="n">
        <v>45917</v>
      </c>
      <c r="D816" t="inlineStr">
        <is>
          <t>VÄSTERBOTTENS LÄN</t>
        </is>
      </c>
      <c r="E816" t="inlineStr">
        <is>
          <t>VILHELMINA</t>
        </is>
      </c>
      <c r="F816" t="inlineStr">
        <is>
          <t>SCA</t>
        </is>
      </c>
      <c r="G816" t="n">
        <v>5.9</v>
      </c>
      <c r="H816" t="n">
        <v>0</v>
      </c>
      <c r="I816" t="n">
        <v>0</v>
      </c>
      <c r="J816" t="n">
        <v>0</v>
      </c>
      <c r="K816" t="n">
        <v>0</v>
      </c>
      <c r="L816" t="n">
        <v>0</v>
      </c>
      <c r="M816" t="n">
        <v>0</v>
      </c>
      <c r="N816" t="n">
        <v>0</v>
      </c>
      <c r="O816" t="n">
        <v>0</v>
      </c>
      <c r="P816" t="n">
        <v>0</v>
      </c>
      <c r="Q816" t="n">
        <v>0</v>
      </c>
      <c r="R816" s="2" t="inlineStr"/>
    </row>
    <row r="817" ht="15" customHeight="1">
      <c r="A817" t="inlineStr">
        <is>
          <t>A 23412-2025</t>
        </is>
      </c>
      <c r="B817" s="1" t="n">
        <v>45792.34596064815</v>
      </c>
      <c r="C817" s="1" t="n">
        <v>45917</v>
      </c>
      <c r="D817" t="inlineStr">
        <is>
          <t>VÄSTERBOTTENS LÄN</t>
        </is>
      </c>
      <c r="E817" t="inlineStr">
        <is>
          <t>VILHELMINA</t>
        </is>
      </c>
      <c r="F817" t="inlineStr">
        <is>
          <t>SCA</t>
        </is>
      </c>
      <c r="G817" t="n">
        <v>10.1</v>
      </c>
      <c r="H817" t="n">
        <v>0</v>
      </c>
      <c r="I817" t="n">
        <v>0</v>
      </c>
      <c r="J817" t="n">
        <v>0</v>
      </c>
      <c r="K817" t="n">
        <v>0</v>
      </c>
      <c r="L817" t="n">
        <v>0</v>
      </c>
      <c r="M817" t="n">
        <v>0</v>
      </c>
      <c r="N817" t="n">
        <v>0</v>
      </c>
      <c r="O817" t="n">
        <v>0</v>
      </c>
      <c r="P817" t="n">
        <v>0</v>
      </c>
      <c r="Q817" t="n">
        <v>0</v>
      </c>
      <c r="R817" s="2" t="inlineStr"/>
    </row>
    <row r="818" ht="15" customHeight="1">
      <c r="A818" t="inlineStr">
        <is>
          <t>A 65133-2021</t>
        </is>
      </c>
      <c r="B818" s="1" t="n">
        <v>44515</v>
      </c>
      <c r="C818" s="1" t="n">
        <v>45917</v>
      </c>
      <c r="D818" t="inlineStr">
        <is>
          <t>VÄSTERBOTTENS LÄN</t>
        </is>
      </c>
      <c r="E818" t="inlineStr">
        <is>
          <t>VILHELMINA</t>
        </is>
      </c>
      <c r="G818" t="n">
        <v>16.4</v>
      </c>
      <c r="H818" t="n">
        <v>0</v>
      </c>
      <c r="I818" t="n">
        <v>0</v>
      </c>
      <c r="J818" t="n">
        <v>0</v>
      </c>
      <c r="K818" t="n">
        <v>0</v>
      </c>
      <c r="L818" t="n">
        <v>0</v>
      </c>
      <c r="M818" t="n">
        <v>0</v>
      </c>
      <c r="N818" t="n">
        <v>0</v>
      </c>
      <c r="O818" t="n">
        <v>0</v>
      </c>
      <c r="P818" t="n">
        <v>0</v>
      </c>
      <c r="Q818" t="n">
        <v>0</v>
      </c>
      <c r="R818" s="2" t="inlineStr"/>
    </row>
    <row r="819" ht="15" customHeight="1">
      <c r="A819" t="inlineStr">
        <is>
          <t>A 10548-2022</t>
        </is>
      </c>
      <c r="B819" s="1" t="n">
        <v>44623</v>
      </c>
      <c r="C819" s="1" t="n">
        <v>45917</v>
      </c>
      <c r="D819" t="inlineStr">
        <is>
          <t>VÄSTERBOTTENS LÄN</t>
        </is>
      </c>
      <c r="E819" t="inlineStr">
        <is>
          <t>VILHELMINA</t>
        </is>
      </c>
      <c r="F819" t="inlineStr">
        <is>
          <t>SCA</t>
        </is>
      </c>
      <c r="G819" t="n">
        <v>11.5</v>
      </c>
      <c r="H819" t="n">
        <v>0</v>
      </c>
      <c r="I819" t="n">
        <v>0</v>
      </c>
      <c r="J819" t="n">
        <v>0</v>
      </c>
      <c r="K819" t="n">
        <v>0</v>
      </c>
      <c r="L819" t="n">
        <v>0</v>
      </c>
      <c r="M819" t="n">
        <v>0</v>
      </c>
      <c r="N819" t="n">
        <v>0</v>
      </c>
      <c r="O819" t="n">
        <v>0</v>
      </c>
      <c r="P819" t="n">
        <v>0</v>
      </c>
      <c r="Q819" t="n">
        <v>0</v>
      </c>
      <c r="R819" s="2" t="inlineStr"/>
    </row>
    <row r="820" ht="15" customHeight="1">
      <c r="A820" t="inlineStr">
        <is>
          <t>A 13030-2025</t>
        </is>
      </c>
      <c r="B820" s="1" t="n">
        <v>45734</v>
      </c>
      <c r="C820" s="1" t="n">
        <v>45917</v>
      </c>
      <c r="D820" t="inlineStr">
        <is>
          <t>VÄSTERBOTTENS LÄN</t>
        </is>
      </c>
      <c r="E820" t="inlineStr">
        <is>
          <t>VILHELMINA</t>
        </is>
      </c>
      <c r="G820" t="n">
        <v>13.9</v>
      </c>
      <c r="H820" t="n">
        <v>0</v>
      </c>
      <c r="I820" t="n">
        <v>0</v>
      </c>
      <c r="J820" t="n">
        <v>0</v>
      </c>
      <c r="K820" t="n">
        <v>0</v>
      </c>
      <c r="L820" t="n">
        <v>0</v>
      </c>
      <c r="M820" t="n">
        <v>0</v>
      </c>
      <c r="N820" t="n">
        <v>0</v>
      </c>
      <c r="O820" t="n">
        <v>0</v>
      </c>
      <c r="P820" t="n">
        <v>0</v>
      </c>
      <c r="Q820" t="n">
        <v>0</v>
      </c>
      <c r="R820" s="2" t="inlineStr"/>
    </row>
    <row r="821" ht="15" customHeight="1">
      <c r="A821" t="inlineStr">
        <is>
          <t>A 38364-2023</t>
        </is>
      </c>
      <c r="B821" s="1" t="n">
        <v>45161</v>
      </c>
      <c r="C821" s="1" t="n">
        <v>45917</v>
      </c>
      <c r="D821" t="inlineStr">
        <is>
          <t>VÄSTERBOTTENS LÄN</t>
        </is>
      </c>
      <c r="E821" t="inlineStr">
        <is>
          <t>VILHELMINA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23826-2025</t>
        </is>
      </c>
      <c r="B822" s="1" t="n">
        <v>45793.59461805555</v>
      </c>
      <c r="C822" s="1" t="n">
        <v>45917</v>
      </c>
      <c r="D822" t="inlineStr">
        <is>
          <t>VÄSTERBOTTENS LÄN</t>
        </is>
      </c>
      <c r="E822" t="inlineStr">
        <is>
          <t>VILHELMINA</t>
        </is>
      </c>
      <c r="F822" t="inlineStr">
        <is>
          <t>SCA</t>
        </is>
      </c>
      <c r="G822" t="n">
        <v>5.9</v>
      </c>
      <c r="H822" t="n">
        <v>0</v>
      </c>
      <c r="I822" t="n">
        <v>0</v>
      </c>
      <c r="J822" t="n">
        <v>0</v>
      </c>
      <c r="K822" t="n">
        <v>0</v>
      </c>
      <c r="L822" t="n">
        <v>0</v>
      </c>
      <c r="M822" t="n">
        <v>0</v>
      </c>
      <c r="N822" t="n">
        <v>0</v>
      </c>
      <c r="O822" t="n">
        <v>0</v>
      </c>
      <c r="P822" t="n">
        <v>0</v>
      </c>
      <c r="Q822" t="n">
        <v>0</v>
      </c>
      <c r="R822" s="2" t="inlineStr"/>
    </row>
    <row r="823" ht="15" customHeight="1">
      <c r="A823" t="inlineStr">
        <is>
          <t>A 35760-2023</t>
        </is>
      </c>
      <c r="B823" s="1" t="n">
        <v>45147</v>
      </c>
      <c r="C823" s="1" t="n">
        <v>45917</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32925-2024</t>
        </is>
      </c>
      <c r="B824" s="1" t="n">
        <v>45516.95302083333</v>
      </c>
      <c r="C824" s="1" t="n">
        <v>45917</v>
      </c>
      <c r="D824" t="inlineStr">
        <is>
          <t>VÄSTERBOTTENS LÄN</t>
        </is>
      </c>
      <c r="E824" t="inlineStr">
        <is>
          <t>VILHELMINA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32926-2024</t>
        </is>
      </c>
      <c r="B825" s="1" t="n">
        <v>45516.95311342592</v>
      </c>
      <c r="C825" s="1" t="n">
        <v>45917</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44505-2024</t>
        </is>
      </c>
      <c r="B826" s="1" t="n">
        <v>45574.40974537037</v>
      </c>
      <c r="C826" s="1" t="n">
        <v>45917</v>
      </c>
      <c r="D826" t="inlineStr">
        <is>
          <t>VÄSTERBOTTENS LÄN</t>
        </is>
      </c>
      <c r="E826" t="inlineStr">
        <is>
          <t>VILHELMINA</t>
        </is>
      </c>
      <c r="G826" t="n">
        <v>15.5</v>
      </c>
      <c r="H826" t="n">
        <v>0</v>
      </c>
      <c r="I826" t="n">
        <v>0</v>
      </c>
      <c r="J826" t="n">
        <v>0</v>
      </c>
      <c r="K826" t="n">
        <v>0</v>
      </c>
      <c r="L826" t="n">
        <v>0</v>
      </c>
      <c r="M826" t="n">
        <v>0</v>
      </c>
      <c r="N826" t="n">
        <v>0</v>
      </c>
      <c r="O826" t="n">
        <v>0</v>
      </c>
      <c r="P826" t="n">
        <v>0</v>
      </c>
      <c r="Q826" t="n">
        <v>0</v>
      </c>
      <c r="R826" s="2" t="inlineStr"/>
    </row>
    <row r="827" ht="15" customHeight="1">
      <c r="A827" t="inlineStr">
        <is>
          <t>A 55714-2023</t>
        </is>
      </c>
      <c r="B827" s="1" t="n">
        <v>45232</v>
      </c>
      <c r="C827" s="1" t="n">
        <v>45917</v>
      </c>
      <c r="D827" t="inlineStr">
        <is>
          <t>VÄSTERBOTTENS LÄN</t>
        </is>
      </c>
      <c r="E827" t="inlineStr">
        <is>
          <t>VILHELMINA</t>
        </is>
      </c>
      <c r="G827" t="n">
        <v>1.8</v>
      </c>
      <c r="H827" t="n">
        <v>0</v>
      </c>
      <c r="I827" t="n">
        <v>0</v>
      </c>
      <c r="J827" t="n">
        <v>0</v>
      </c>
      <c r="K827" t="n">
        <v>0</v>
      </c>
      <c r="L827" t="n">
        <v>0</v>
      </c>
      <c r="M827" t="n">
        <v>0</v>
      </c>
      <c r="N827" t="n">
        <v>0</v>
      </c>
      <c r="O827" t="n">
        <v>0</v>
      </c>
      <c r="P827" t="n">
        <v>0</v>
      </c>
      <c r="Q827" t="n">
        <v>0</v>
      </c>
      <c r="R827" s="2" t="inlineStr"/>
    </row>
    <row r="828" ht="15" customHeight="1">
      <c r="A828" t="inlineStr">
        <is>
          <t>A 23764-2025</t>
        </is>
      </c>
      <c r="B828" s="1" t="n">
        <v>45793</v>
      </c>
      <c r="C828" s="1" t="n">
        <v>45917</v>
      </c>
      <c r="D828" t="inlineStr">
        <is>
          <t>VÄSTERBOTTENS LÄN</t>
        </is>
      </c>
      <c r="E828" t="inlineStr">
        <is>
          <t>VILHELMINA</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33319-2024</t>
        </is>
      </c>
      <c r="B829" s="1" t="n">
        <v>45518</v>
      </c>
      <c r="C829" s="1" t="n">
        <v>45917</v>
      </c>
      <c r="D829" t="inlineStr">
        <is>
          <t>VÄSTERBOTTENS LÄN</t>
        </is>
      </c>
      <c r="E829" t="inlineStr">
        <is>
          <t>VILHELMINA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45673-2023</t>
        </is>
      </c>
      <c r="B830" s="1" t="n">
        <v>45194</v>
      </c>
      <c r="C830" s="1" t="n">
        <v>45917</v>
      </c>
      <c r="D830" t="inlineStr">
        <is>
          <t>VÄSTERBOTTENS LÄN</t>
        </is>
      </c>
      <c r="E830" t="inlineStr">
        <is>
          <t>VILHELMINA</t>
        </is>
      </c>
      <c r="G830" t="n">
        <v>13.4</v>
      </c>
      <c r="H830" t="n">
        <v>0</v>
      </c>
      <c r="I830" t="n">
        <v>0</v>
      </c>
      <c r="J830" t="n">
        <v>0</v>
      </c>
      <c r="K830" t="n">
        <v>0</v>
      </c>
      <c r="L830" t="n">
        <v>0</v>
      </c>
      <c r="M830" t="n">
        <v>0</v>
      </c>
      <c r="N830" t="n">
        <v>0</v>
      </c>
      <c r="O830" t="n">
        <v>0</v>
      </c>
      <c r="P830" t="n">
        <v>0</v>
      </c>
      <c r="Q830" t="n">
        <v>0</v>
      </c>
      <c r="R830" s="2" t="inlineStr"/>
    </row>
    <row r="831" ht="15" customHeight="1">
      <c r="A831" t="inlineStr">
        <is>
          <t>A 8578-2025</t>
        </is>
      </c>
      <c r="B831" s="1" t="n">
        <v>45709</v>
      </c>
      <c r="C831" s="1" t="n">
        <v>45917</v>
      </c>
      <c r="D831" t="inlineStr">
        <is>
          <t>VÄSTERBOTTENS LÄN</t>
        </is>
      </c>
      <c r="E831" t="inlineStr">
        <is>
          <t>VILHELMINA</t>
        </is>
      </c>
      <c r="G831" t="n">
        <v>3.5</v>
      </c>
      <c r="H831" t="n">
        <v>0</v>
      </c>
      <c r="I831" t="n">
        <v>0</v>
      </c>
      <c r="J831" t="n">
        <v>0</v>
      </c>
      <c r="K831" t="n">
        <v>0</v>
      </c>
      <c r="L831" t="n">
        <v>0</v>
      </c>
      <c r="M831" t="n">
        <v>0</v>
      </c>
      <c r="N831" t="n">
        <v>0</v>
      </c>
      <c r="O831" t="n">
        <v>0</v>
      </c>
      <c r="P831" t="n">
        <v>0</v>
      </c>
      <c r="Q831" t="n">
        <v>0</v>
      </c>
      <c r="R831" s="2" t="inlineStr"/>
    </row>
    <row r="832" ht="15" customHeight="1">
      <c r="A832" t="inlineStr">
        <is>
          <t>A 23686-2025</t>
        </is>
      </c>
      <c r="B832" s="1" t="n">
        <v>45793</v>
      </c>
      <c r="C832" s="1" t="n">
        <v>45917</v>
      </c>
      <c r="D832" t="inlineStr">
        <is>
          <t>VÄSTERBOTTENS LÄN</t>
        </is>
      </c>
      <c r="E832" t="inlineStr">
        <is>
          <t>VILHELMINA</t>
        </is>
      </c>
      <c r="F832" t="inlineStr">
        <is>
          <t>SCA</t>
        </is>
      </c>
      <c r="G832" t="n">
        <v>5.3</v>
      </c>
      <c r="H832" t="n">
        <v>0</v>
      </c>
      <c r="I832" t="n">
        <v>0</v>
      </c>
      <c r="J832" t="n">
        <v>0</v>
      </c>
      <c r="K832" t="n">
        <v>0</v>
      </c>
      <c r="L832" t="n">
        <v>0</v>
      </c>
      <c r="M832" t="n">
        <v>0</v>
      </c>
      <c r="N832" t="n">
        <v>0</v>
      </c>
      <c r="O832" t="n">
        <v>0</v>
      </c>
      <c r="P832" t="n">
        <v>0</v>
      </c>
      <c r="Q832" t="n">
        <v>0</v>
      </c>
      <c r="R832" s="2" t="inlineStr"/>
    </row>
    <row r="833" ht="15" customHeight="1">
      <c r="A833" t="inlineStr">
        <is>
          <t>A 60090-2020</t>
        </is>
      </c>
      <c r="B833" s="1" t="n">
        <v>44151</v>
      </c>
      <c r="C833" s="1" t="n">
        <v>45917</v>
      </c>
      <c r="D833" t="inlineStr">
        <is>
          <t>VÄSTERBOTTENS LÄN</t>
        </is>
      </c>
      <c r="E833" t="inlineStr">
        <is>
          <t>VILHELMINA</t>
        </is>
      </c>
      <c r="G833" t="n">
        <v>9</v>
      </c>
      <c r="H833" t="n">
        <v>0</v>
      </c>
      <c r="I833" t="n">
        <v>0</v>
      </c>
      <c r="J833" t="n">
        <v>0</v>
      </c>
      <c r="K833" t="n">
        <v>0</v>
      </c>
      <c r="L833" t="n">
        <v>0</v>
      </c>
      <c r="M833" t="n">
        <v>0</v>
      </c>
      <c r="N833" t="n">
        <v>0</v>
      </c>
      <c r="O833" t="n">
        <v>0</v>
      </c>
      <c r="P833" t="n">
        <v>0</v>
      </c>
      <c r="Q833" t="n">
        <v>0</v>
      </c>
      <c r="R833" s="2" t="inlineStr"/>
    </row>
    <row r="834" ht="15" customHeight="1">
      <c r="A834" t="inlineStr">
        <is>
          <t>A 46392-2024</t>
        </is>
      </c>
      <c r="B834" s="1" t="n">
        <v>45582</v>
      </c>
      <c r="C834" s="1" t="n">
        <v>45917</v>
      </c>
      <c r="D834" t="inlineStr">
        <is>
          <t>VÄSTERBOTTENS LÄN</t>
        </is>
      </c>
      <c r="E834" t="inlineStr">
        <is>
          <t>VILHELMINA</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36215-2023</t>
        </is>
      </c>
      <c r="B835" s="1" t="n">
        <v>45149.95266203704</v>
      </c>
      <c r="C835" s="1" t="n">
        <v>45917</v>
      </c>
      <c r="D835" t="inlineStr">
        <is>
          <t>VÄSTERBOTTENS LÄN</t>
        </is>
      </c>
      <c r="E835" t="inlineStr">
        <is>
          <t>VILHELMINA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12118-2024</t>
        </is>
      </c>
      <c r="B836" s="1" t="n">
        <v>45376</v>
      </c>
      <c r="C836" s="1" t="n">
        <v>45917</v>
      </c>
      <c r="D836" t="inlineStr">
        <is>
          <t>VÄSTERBOTTENS LÄN</t>
        </is>
      </c>
      <c r="E836" t="inlineStr">
        <is>
          <t>VILHELMINA</t>
        </is>
      </c>
      <c r="G836" t="n">
        <v>3.6</v>
      </c>
      <c r="H836" t="n">
        <v>0</v>
      </c>
      <c r="I836" t="n">
        <v>0</v>
      </c>
      <c r="J836" t="n">
        <v>0</v>
      </c>
      <c r="K836" t="n">
        <v>0</v>
      </c>
      <c r="L836" t="n">
        <v>0</v>
      </c>
      <c r="M836" t="n">
        <v>0</v>
      </c>
      <c r="N836" t="n">
        <v>0</v>
      </c>
      <c r="O836" t="n">
        <v>0</v>
      </c>
      <c r="P836" t="n">
        <v>0</v>
      </c>
      <c r="Q836" t="n">
        <v>0</v>
      </c>
      <c r="R836" s="2" t="inlineStr"/>
    </row>
    <row r="837" ht="15" customHeight="1">
      <c r="A837" t="inlineStr">
        <is>
          <t>A 37937-2023</t>
        </is>
      </c>
      <c r="B837" s="1" t="n">
        <v>45159</v>
      </c>
      <c r="C837" s="1" t="n">
        <v>45917</v>
      </c>
      <c r="D837" t="inlineStr">
        <is>
          <t>VÄSTERBOTTENS LÄN</t>
        </is>
      </c>
      <c r="E837" t="inlineStr">
        <is>
          <t>VILHELMINA</t>
        </is>
      </c>
      <c r="G837" t="n">
        <v>2.2</v>
      </c>
      <c r="H837" t="n">
        <v>0</v>
      </c>
      <c r="I837" t="n">
        <v>0</v>
      </c>
      <c r="J837" t="n">
        <v>0</v>
      </c>
      <c r="K837" t="n">
        <v>0</v>
      </c>
      <c r="L837" t="n">
        <v>0</v>
      </c>
      <c r="M837" t="n">
        <v>0</v>
      </c>
      <c r="N837" t="n">
        <v>0</v>
      </c>
      <c r="O837" t="n">
        <v>0</v>
      </c>
      <c r="P837" t="n">
        <v>0</v>
      </c>
      <c r="Q837" t="n">
        <v>0</v>
      </c>
      <c r="R837" s="2" t="inlineStr"/>
    </row>
    <row r="838" ht="15" customHeight="1">
      <c r="A838" t="inlineStr">
        <is>
          <t>A 24224-2025</t>
        </is>
      </c>
      <c r="B838" s="1" t="n">
        <v>45797</v>
      </c>
      <c r="C838" s="1" t="n">
        <v>45917</v>
      </c>
      <c r="D838" t="inlineStr">
        <is>
          <t>VÄSTERBOTTENS LÄN</t>
        </is>
      </c>
      <c r="E838" t="inlineStr">
        <is>
          <t>VILHELMINA</t>
        </is>
      </c>
      <c r="G838" t="n">
        <v>27.2</v>
      </c>
      <c r="H838" t="n">
        <v>0</v>
      </c>
      <c r="I838" t="n">
        <v>0</v>
      </c>
      <c r="J838" t="n">
        <v>0</v>
      </c>
      <c r="K838" t="n">
        <v>0</v>
      </c>
      <c r="L838" t="n">
        <v>0</v>
      </c>
      <c r="M838" t="n">
        <v>0</v>
      </c>
      <c r="N838" t="n">
        <v>0</v>
      </c>
      <c r="O838" t="n">
        <v>0</v>
      </c>
      <c r="P838" t="n">
        <v>0</v>
      </c>
      <c r="Q838" t="n">
        <v>0</v>
      </c>
      <c r="R838" s="2" t="inlineStr"/>
    </row>
    <row r="839" ht="15" customHeight="1">
      <c r="A839" t="inlineStr">
        <is>
          <t>A 24988-2025</t>
        </is>
      </c>
      <c r="B839" s="1" t="n">
        <v>45799</v>
      </c>
      <c r="C839" s="1" t="n">
        <v>45917</v>
      </c>
      <c r="D839" t="inlineStr">
        <is>
          <t>VÄSTERBOTTENS LÄN</t>
        </is>
      </c>
      <c r="E839" t="inlineStr">
        <is>
          <t>VILHELMINA</t>
        </is>
      </c>
      <c r="G839" t="n">
        <v>8.9</v>
      </c>
      <c r="H839" t="n">
        <v>0</v>
      </c>
      <c r="I839" t="n">
        <v>0</v>
      </c>
      <c r="J839" t="n">
        <v>0</v>
      </c>
      <c r="K839" t="n">
        <v>0</v>
      </c>
      <c r="L839" t="n">
        <v>0</v>
      </c>
      <c r="M839" t="n">
        <v>0</v>
      </c>
      <c r="N839" t="n">
        <v>0</v>
      </c>
      <c r="O839" t="n">
        <v>0</v>
      </c>
      <c r="P839" t="n">
        <v>0</v>
      </c>
      <c r="Q839" t="n">
        <v>0</v>
      </c>
      <c r="R839" s="2" t="inlineStr"/>
    </row>
    <row r="840" ht="15" customHeight="1">
      <c r="A840" t="inlineStr">
        <is>
          <t>A 25180-2025</t>
        </is>
      </c>
      <c r="B840" s="1" t="n">
        <v>45800.44892361111</v>
      </c>
      <c r="C840" s="1" t="n">
        <v>45917</v>
      </c>
      <c r="D840" t="inlineStr">
        <is>
          <t>VÄSTERBOTTENS LÄN</t>
        </is>
      </c>
      <c r="E840" t="inlineStr">
        <is>
          <t>VILHELMINA</t>
        </is>
      </c>
      <c r="F840" t="inlineStr">
        <is>
          <t>SCA</t>
        </is>
      </c>
      <c r="G840" t="n">
        <v>10.8</v>
      </c>
      <c r="H840" t="n">
        <v>0</v>
      </c>
      <c r="I840" t="n">
        <v>0</v>
      </c>
      <c r="J840" t="n">
        <v>0</v>
      </c>
      <c r="K840" t="n">
        <v>0</v>
      </c>
      <c r="L840" t="n">
        <v>0</v>
      </c>
      <c r="M840" t="n">
        <v>0</v>
      </c>
      <c r="N840" t="n">
        <v>0</v>
      </c>
      <c r="O840" t="n">
        <v>0</v>
      </c>
      <c r="P840" t="n">
        <v>0</v>
      </c>
      <c r="Q840" t="n">
        <v>0</v>
      </c>
      <c r="R840" s="2" t="inlineStr"/>
    </row>
    <row r="841" ht="15" customHeight="1">
      <c r="A841" t="inlineStr">
        <is>
          <t>A 29722-2024</t>
        </is>
      </c>
      <c r="B841" s="1" t="n">
        <v>45485</v>
      </c>
      <c r="C841" s="1" t="n">
        <v>45917</v>
      </c>
      <c r="D841" t="inlineStr">
        <is>
          <t>VÄSTERBOTTENS LÄN</t>
        </is>
      </c>
      <c r="E841" t="inlineStr">
        <is>
          <t>VILHELMINA</t>
        </is>
      </c>
      <c r="G841" t="n">
        <v>2.5</v>
      </c>
      <c r="H841" t="n">
        <v>0</v>
      </c>
      <c r="I841" t="n">
        <v>0</v>
      </c>
      <c r="J841" t="n">
        <v>0</v>
      </c>
      <c r="K841" t="n">
        <v>0</v>
      </c>
      <c r="L841" t="n">
        <v>0</v>
      </c>
      <c r="M841" t="n">
        <v>0</v>
      </c>
      <c r="N841" t="n">
        <v>0</v>
      </c>
      <c r="O841" t="n">
        <v>0</v>
      </c>
      <c r="P841" t="n">
        <v>0</v>
      </c>
      <c r="Q841" t="n">
        <v>0</v>
      </c>
      <c r="R841" s="2" t="inlineStr"/>
    </row>
    <row r="842" ht="15" customHeight="1">
      <c r="A842" t="inlineStr">
        <is>
          <t>A 17587-2024</t>
        </is>
      </c>
      <c r="B842" s="1" t="n">
        <v>45415.94033564815</v>
      </c>
      <c r="C842" s="1" t="n">
        <v>45917</v>
      </c>
      <c r="D842" t="inlineStr">
        <is>
          <t>VÄSTERBOTTENS LÄN</t>
        </is>
      </c>
      <c r="E842" t="inlineStr">
        <is>
          <t>VILHELMINA</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24870-2025</t>
        </is>
      </c>
      <c r="B843" s="1" t="n">
        <v>45799.49025462963</v>
      </c>
      <c r="C843" s="1" t="n">
        <v>45917</v>
      </c>
      <c r="D843" t="inlineStr">
        <is>
          <t>VÄSTERBOTTENS LÄN</t>
        </is>
      </c>
      <c r="E843" t="inlineStr">
        <is>
          <t>VILHELMINA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25239-2025</t>
        </is>
      </c>
      <c r="B844" s="1" t="n">
        <v>45800</v>
      </c>
      <c r="C844" s="1" t="n">
        <v>45917</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25309-2025</t>
        </is>
      </c>
      <c r="B845" s="1" t="n">
        <v>45800.57380787037</v>
      </c>
      <c r="C845" s="1" t="n">
        <v>45917</v>
      </c>
      <c r="D845" t="inlineStr">
        <is>
          <t>VÄSTERBOTTENS LÄN</t>
        </is>
      </c>
      <c r="E845" t="inlineStr">
        <is>
          <t>VILHELMINA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45917</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46318-2022</t>
        </is>
      </c>
      <c r="B847" s="1" t="n">
        <v>44847</v>
      </c>
      <c r="C847" s="1" t="n">
        <v>45917</v>
      </c>
      <c r="D847" t="inlineStr">
        <is>
          <t>VÄSTERBOTTENS LÄN</t>
        </is>
      </c>
      <c r="E847" t="inlineStr">
        <is>
          <t>VILHELMINA</t>
        </is>
      </c>
      <c r="G847" t="n">
        <v>11.7</v>
      </c>
      <c r="H847" t="n">
        <v>0</v>
      </c>
      <c r="I847" t="n">
        <v>0</v>
      </c>
      <c r="J847" t="n">
        <v>0</v>
      </c>
      <c r="K847" t="n">
        <v>0</v>
      </c>
      <c r="L847" t="n">
        <v>0</v>
      </c>
      <c r="M847" t="n">
        <v>0</v>
      </c>
      <c r="N847" t="n">
        <v>0</v>
      </c>
      <c r="O847" t="n">
        <v>0</v>
      </c>
      <c r="P847" t="n">
        <v>0</v>
      </c>
      <c r="Q847" t="n">
        <v>0</v>
      </c>
      <c r="R847" s="2" t="inlineStr"/>
    </row>
    <row r="848" ht="15" customHeight="1">
      <c r="A848" t="inlineStr">
        <is>
          <t>A 24871-2025</t>
        </is>
      </c>
      <c r="B848" s="1" t="n">
        <v>45799.49028935185</v>
      </c>
      <c r="C848" s="1" t="n">
        <v>45917</v>
      </c>
      <c r="D848" t="inlineStr">
        <is>
          <t>VÄSTERBOTTENS LÄN</t>
        </is>
      </c>
      <c r="E848" t="inlineStr">
        <is>
          <t>VILHELMINA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57470-2024</t>
        </is>
      </c>
      <c r="B849" s="1" t="n">
        <v>45630</v>
      </c>
      <c r="C849" s="1" t="n">
        <v>45917</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37322-2022</t>
        </is>
      </c>
      <c r="B850" s="1" t="n">
        <v>44806</v>
      </c>
      <c r="C850" s="1" t="n">
        <v>45917</v>
      </c>
      <c r="D850" t="inlineStr">
        <is>
          <t>VÄSTERBOTTENS LÄN</t>
        </is>
      </c>
      <c r="E850" t="inlineStr">
        <is>
          <t>VILHELMINA</t>
        </is>
      </c>
      <c r="F850" t="inlineStr">
        <is>
          <t>Övriga statliga verk och myndigheter</t>
        </is>
      </c>
      <c r="G850" t="n">
        <v>15.4</v>
      </c>
      <c r="H850" t="n">
        <v>0</v>
      </c>
      <c r="I850" t="n">
        <v>0</v>
      </c>
      <c r="J850" t="n">
        <v>0</v>
      </c>
      <c r="K850" t="n">
        <v>0</v>
      </c>
      <c r="L850" t="n">
        <v>0</v>
      </c>
      <c r="M850" t="n">
        <v>0</v>
      </c>
      <c r="N850" t="n">
        <v>0</v>
      </c>
      <c r="O850" t="n">
        <v>0</v>
      </c>
      <c r="P850" t="n">
        <v>0</v>
      </c>
      <c r="Q850" t="n">
        <v>0</v>
      </c>
      <c r="R850" s="2" t="inlineStr"/>
    </row>
    <row r="851" ht="15" customHeight="1">
      <c r="A851" t="inlineStr">
        <is>
          <t>A 25062-2025</t>
        </is>
      </c>
      <c r="B851" s="1" t="n">
        <v>45799.69844907407</v>
      </c>
      <c r="C851" s="1" t="n">
        <v>45917</v>
      </c>
      <c r="D851" t="inlineStr">
        <is>
          <t>VÄSTERBOTTENS LÄN</t>
        </is>
      </c>
      <c r="E851" t="inlineStr">
        <is>
          <t>VILHELMINA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25176-2025</t>
        </is>
      </c>
      <c r="B852" s="1" t="n">
        <v>45800.44840277778</v>
      </c>
      <c r="C852" s="1" t="n">
        <v>45917</v>
      </c>
      <c r="D852" t="inlineStr">
        <is>
          <t>VÄSTERBOTTENS LÄN</t>
        </is>
      </c>
      <c r="E852" t="inlineStr">
        <is>
          <t>VILHELMINA</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31095-2024</t>
        </is>
      </c>
      <c r="B853" s="1" t="n">
        <v>45502</v>
      </c>
      <c r="C853" s="1" t="n">
        <v>45917</v>
      </c>
      <c r="D853" t="inlineStr">
        <is>
          <t>VÄSTERBOTTENS LÄN</t>
        </is>
      </c>
      <c r="E853" t="inlineStr">
        <is>
          <t>VILHELMINA</t>
        </is>
      </c>
      <c r="G853" t="n">
        <v>4.7</v>
      </c>
      <c r="H853" t="n">
        <v>0</v>
      </c>
      <c r="I853" t="n">
        <v>0</v>
      </c>
      <c r="J853" t="n">
        <v>0</v>
      </c>
      <c r="K853" t="n">
        <v>0</v>
      </c>
      <c r="L853" t="n">
        <v>0</v>
      </c>
      <c r="M853" t="n">
        <v>0</v>
      </c>
      <c r="N853" t="n">
        <v>0</v>
      </c>
      <c r="O853" t="n">
        <v>0</v>
      </c>
      <c r="P853" t="n">
        <v>0</v>
      </c>
      <c r="Q853" t="n">
        <v>0</v>
      </c>
      <c r="R853" s="2" t="inlineStr"/>
    </row>
    <row r="854" ht="15" customHeight="1">
      <c r="A854" t="inlineStr">
        <is>
          <t>A 25524-2025</t>
        </is>
      </c>
      <c r="B854" s="1" t="n">
        <v>45803.38644675926</v>
      </c>
      <c r="C854" s="1" t="n">
        <v>45917</v>
      </c>
      <c r="D854" t="inlineStr">
        <is>
          <t>VÄSTERBOTTENS LÄN</t>
        </is>
      </c>
      <c r="E854" t="inlineStr">
        <is>
          <t>VILHELMINA</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7777-2024</t>
        </is>
      </c>
      <c r="B855" s="1" t="n">
        <v>45349</v>
      </c>
      <c r="C855" s="1" t="n">
        <v>45917</v>
      </c>
      <c r="D855" t="inlineStr">
        <is>
          <t>VÄSTERBOTTENS LÄN</t>
        </is>
      </c>
      <c r="E855" t="inlineStr">
        <is>
          <t>VILHELMINA</t>
        </is>
      </c>
      <c r="G855" t="n">
        <v>7</v>
      </c>
      <c r="H855" t="n">
        <v>0</v>
      </c>
      <c r="I855" t="n">
        <v>0</v>
      </c>
      <c r="J855" t="n">
        <v>0</v>
      </c>
      <c r="K855" t="n">
        <v>0</v>
      </c>
      <c r="L855" t="n">
        <v>0</v>
      </c>
      <c r="M855" t="n">
        <v>0</v>
      </c>
      <c r="N855" t="n">
        <v>0</v>
      </c>
      <c r="O855" t="n">
        <v>0</v>
      </c>
      <c r="P855" t="n">
        <v>0</v>
      </c>
      <c r="Q855" t="n">
        <v>0</v>
      </c>
      <c r="R855" s="2" t="inlineStr"/>
    </row>
    <row r="856" ht="15" customHeight="1">
      <c r="A856" t="inlineStr">
        <is>
          <t>A 25770-2025</t>
        </is>
      </c>
      <c r="B856" s="1" t="n">
        <v>45804.3449537037</v>
      </c>
      <c r="C856" s="1" t="n">
        <v>45917</v>
      </c>
      <c r="D856" t="inlineStr">
        <is>
          <t>VÄSTERBOTTENS LÄN</t>
        </is>
      </c>
      <c r="E856" t="inlineStr">
        <is>
          <t>VILHELMINA</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48470-2023</t>
        </is>
      </c>
      <c r="B857" s="1" t="n">
        <v>45206.95747685185</v>
      </c>
      <c r="C857" s="1" t="n">
        <v>45917</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13829-2025</t>
        </is>
      </c>
      <c r="B858" s="1" t="n">
        <v>45737</v>
      </c>
      <c r="C858" s="1" t="n">
        <v>45917</v>
      </c>
      <c r="D858" t="inlineStr">
        <is>
          <t>VÄSTERBOTTENS LÄN</t>
        </is>
      </c>
      <c r="E858" t="inlineStr">
        <is>
          <t>VILHELMINA</t>
        </is>
      </c>
      <c r="F858" t="inlineStr">
        <is>
          <t>Övriga statliga verk och myndigheter</t>
        </is>
      </c>
      <c r="G858" t="n">
        <v>39.7</v>
      </c>
      <c r="H858" t="n">
        <v>0</v>
      </c>
      <c r="I858" t="n">
        <v>0</v>
      </c>
      <c r="J858" t="n">
        <v>0</v>
      </c>
      <c r="K858" t="n">
        <v>0</v>
      </c>
      <c r="L858" t="n">
        <v>0</v>
      </c>
      <c r="M858" t="n">
        <v>0</v>
      </c>
      <c r="N858" t="n">
        <v>0</v>
      </c>
      <c r="O858" t="n">
        <v>0</v>
      </c>
      <c r="P858" t="n">
        <v>0</v>
      </c>
      <c r="Q858" t="n">
        <v>0</v>
      </c>
      <c r="R858" s="2" t="inlineStr"/>
    </row>
    <row r="859" ht="15" customHeight="1">
      <c r="A859" t="inlineStr">
        <is>
          <t>A 5403-2025</t>
        </is>
      </c>
      <c r="B859" s="1" t="n">
        <v>45692.64475694444</v>
      </c>
      <c r="C859" s="1" t="n">
        <v>45917</v>
      </c>
      <c r="D859" t="inlineStr">
        <is>
          <t>VÄSTERBOTTENS LÄN</t>
        </is>
      </c>
      <c r="E859" t="inlineStr">
        <is>
          <t>VILHELMINA</t>
        </is>
      </c>
      <c r="F859" t="inlineStr">
        <is>
          <t>Kommuner</t>
        </is>
      </c>
      <c r="G859" t="n">
        <v>14.9</v>
      </c>
      <c r="H859" t="n">
        <v>0</v>
      </c>
      <c r="I859" t="n">
        <v>0</v>
      </c>
      <c r="J859" t="n">
        <v>0</v>
      </c>
      <c r="K859" t="n">
        <v>0</v>
      </c>
      <c r="L859" t="n">
        <v>0</v>
      </c>
      <c r="M859" t="n">
        <v>0</v>
      </c>
      <c r="N859" t="n">
        <v>0</v>
      </c>
      <c r="O859" t="n">
        <v>0</v>
      </c>
      <c r="P859" t="n">
        <v>0</v>
      </c>
      <c r="Q859" t="n">
        <v>0</v>
      </c>
      <c r="R859" s="2" t="inlineStr"/>
    </row>
    <row r="860" ht="15" customHeight="1">
      <c r="A860" t="inlineStr">
        <is>
          <t>A 54459-2024</t>
        </is>
      </c>
      <c r="B860" s="1" t="n">
        <v>45617</v>
      </c>
      <c r="C860" s="1" t="n">
        <v>45917</v>
      </c>
      <c r="D860" t="inlineStr">
        <is>
          <t>VÄSTERBOTTENS LÄN</t>
        </is>
      </c>
      <c r="E860" t="inlineStr">
        <is>
          <t>VILHELMINA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46177-2023</t>
        </is>
      </c>
      <c r="B861" s="1" t="n">
        <v>45190</v>
      </c>
      <c r="C861" s="1" t="n">
        <v>45917</v>
      </c>
      <c r="D861" t="inlineStr">
        <is>
          <t>VÄSTERBOTTENS LÄN</t>
        </is>
      </c>
      <c r="E861" t="inlineStr">
        <is>
          <t>VILHELMINA</t>
        </is>
      </c>
      <c r="F861" t="inlineStr">
        <is>
          <t>Övriga Aktiebolag</t>
        </is>
      </c>
      <c r="G861" t="n">
        <v>7.7</v>
      </c>
      <c r="H861" t="n">
        <v>0</v>
      </c>
      <c r="I861" t="n">
        <v>0</v>
      </c>
      <c r="J861" t="n">
        <v>0</v>
      </c>
      <c r="K861" t="n">
        <v>0</v>
      </c>
      <c r="L861" t="n">
        <v>0</v>
      </c>
      <c r="M861" t="n">
        <v>0</v>
      </c>
      <c r="N861" t="n">
        <v>0</v>
      </c>
      <c r="O861" t="n">
        <v>0</v>
      </c>
      <c r="P861" t="n">
        <v>0</v>
      </c>
      <c r="Q861" t="n">
        <v>0</v>
      </c>
      <c r="R861" s="2" t="inlineStr"/>
    </row>
    <row r="862" ht="15" customHeight="1">
      <c r="A862" t="inlineStr">
        <is>
          <t>A 20846-2025</t>
        </is>
      </c>
      <c r="B862" s="1" t="n">
        <v>45777</v>
      </c>
      <c r="C862" s="1" t="n">
        <v>45917</v>
      </c>
      <c r="D862" t="inlineStr">
        <is>
          <t>VÄSTERBOTTENS LÄN</t>
        </is>
      </c>
      <c r="E862" t="inlineStr">
        <is>
          <t>VILHELMINA</t>
        </is>
      </c>
      <c r="G862" t="n">
        <v>19.1</v>
      </c>
      <c r="H862" t="n">
        <v>0</v>
      </c>
      <c r="I862" t="n">
        <v>0</v>
      </c>
      <c r="J862" t="n">
        <v>0</v>
      </c>
      <c r="K862" t="n">
        <v>0</v>
      </c>
      <c r="L862" t="n">
        <v>0</v>
      </c>
      <c r="M862" t="n">
        <v>0</v>
      </c>
      <c r="N862" t="n">
        <v>0</v>
      </c>
      <c r="O862" t="n">
        <v>0</v>
      </c>
      <c r="P862" t="n">
        <v>0</v>
      </c>
      <c r="Q862" t="n">
        <v>0</v>
      </c>
      <c r="R862" s="2" t="inlineStr"/>
    </row>
    <row r="863" ht="15" customHeight="1">
      <c r="A863" t="inlineStr">
        <is>
          <t>A 51826-2023</t>
        </is>
      </c>
      <c r="B863" s="1" t="n">
        <v>45222.9678125</v>
      </c>
      <c r="C863" s="1" t="n">
        <v>45917</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18394-2025</t>
        </is>
      </c>
      <c r="B864" s="1" t="n">
        <v>45762</v>
      </c>
      <c r="C864" s="1" t="n">
        <v>45917</v>
      </c>
      <c r="D864" t="inlineStr">
        <is>
          <t>VÄSTERBOTTENS LÄN</t>
        </is>
      </c>
      <c r="E864" t="inlineStr">
        <is>
          <t>VILHELMINA</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20524-2024</t>
        </is>
      </c>
      <c r="B865" s="1" t="n">
        <v>45435.94567129629</v>
      </c>
      <c r="C865" s="1" t="n">
        <v>45917</v>
      </c>
      <c r="D865" t="inlineStr">
        <is>
          <t>VÄSTERBOTTENS LÄN</t>
        </is>
      </c>
      <c r="E865" t="inlineStr">
        <is>
          <t>VILHELMINA</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50494-2023</t>
        </is>
      </c>
      <c r="B866" s="1" t="n">
        <v>45216.95604166666</v>
      </c>
      <c r="C866" s="1" t="n">
        <v>45917</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8566-2025</t>
        </is>
      </c>
      <c r="B867" s="1" t="n">
        <v>45709</v>
      </c>
      <c r="C867" s="1" t="n">
        <v>45917</v>
      </c>
      <c r="D867" t="inlineStr">
        <is>
          <t>VÄSTERBOTTENS LÄN</t>
        </is>
      </c>
      <c r="E867" t="inlineStr">
        <is>
          <t>VILHELMINA</t>
        </is>
      </c>
      <c r="G867" t="n">
        <v>10.5</v>
      </c>
      <c r="H867" t="n">
        <v>0</v>
      </c>
      <c r="I867" t="n">
        <v>0</v>
      </c>
      <c r="J867" t="n">
        <v>0</v>
      </c>
      <c r="K867" t="n">
        <v>0</v>
      </c>
      <c r="L867" t="n">
        <v>0</v>
      </c>
      <c r="M867" t="n">
        <v>0</v>
      </c>
      <c r="N867" t="n">
        <v>0</v>
      </c>
      <c r="O867" t="n">
        <v>0</v>
      </c>
      <c r="P867" t="n">
        <v>0</v>
      </c>
      <c r="Q867" t="n">
        <v>0</v>
      </c>
      <c r="R867" s="2" t="inlineStr"/>
    </row>
    <row r="868" ht="15" customHeight="1">
      <c r="A868" t="inlineStr">
        <is>
          <t>A 8585-2025</t>
        </is>
      </c>
      <c r="B868" s="1" t="n">
        <v>45709</v>
      </c>
      <c r="C868" s="1" t="n">
        <v>45917</v>
      </c>
      <c r="D868" t="inlineStr">
        <is>
          <t>VÄSTERBOTTENS LÄN</t>
        </is>
      </c>
      <c r="E868" t="inlineStr">
        <is>
          <t>VILHELMINA</t>
        </is>
      </c>
      <c r="G868" t="n">
        <v>3.4</v>
      </c>
      <c r="H868" t="n">
        <v>0</v>
      </c>
      <c r="I868" t="n">
        <v>0</v>
      </c>
      <c r="J868" t="n">
        <v>0</v>
      </c>
      <c r="K868" t="n">
        <v>0</v>
      </c>
      <c r="L868" t="n">
        <v>0</v>
      </c>
      <c r="M868" t="n">
        <v>0</v>
      </c>
      <c r="N868" t="n">
        <v>0</v>
      </c>
      <c r="O868" t="n">
        <v>0</v>
      </c>
      <c r="P868" t="n">
        <v>0</v>
      </c>
      <c r="Q868" t="n">
        <v>0</v>
      </c>
      <c r="R868" s="2" t="inlineStr"/>
    </row>
    <row r="869" ht="15" customHeight="1">
      <c r="A869" t="inlineStr">
        <is>
          <t>A 19585-2024</t>
        </is>
      </c>
      <c r="B869" s="1" t="n">
        <v>45429</v>
      </c>
      <c r="C869" s="1" t="n">
        <v>45917</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34805-2023</t>
        </is>
      </c>
      <c r="B870" s="1" t="n">
        <v>45140</v>
      </c>
      <c r="C870" s="1" t="n">
        <v>45917</v>
      </c>
      <c r="D870" t="inlineStr">
        <is>
          <t>VÄSTERBOTTENS LÄN</t>
        </is>
      </c>
      <c r="E870" t="inlineStr">
        <is>
          <t>VILHELMINA</t>
        </is>
      </c>
      <c r="G870" t="n">
        <v>4.3</v>
      </c>
      <c r="H870" t="n">
        <v>0</v>
      </c>
      <c r="I870" t="n">
        <v>0</v>
      </c>
      <c r="J870" t="n">
        <v>0</v>
      </c>
      <c r="K870" t="n">
        <v>0</v>
      </c>
      <c r="L870" t="n">
        <v>0</v>
      </c>
      <c r="M870" t="n">
        <v>0</v>
      </c>
      <c r="N870" t="n">
        <v>0</v>
      </c>
      <c r="O870" t="n">
        <v>0</v>
      </c>
      <c r="P870" t="n">
        <v>0</v>
      </c>
      <c r="Q870" t="n">
        <v>0</v>
      </c>
      <c r="R870" s="2" t="inlineStr"/>
    </row>
    <row r="871" ht="15" customHeight="1">
      <c r="A871" t="inlineStr">
        <is>
          <t>A 69621-2020</t>
        </is>
      </c>
      <c r="B871" s="1" t="n">
        <v>44195</v>
      </c>
      <c r="C871" s="1" t="n">
        <v>45917</v>
      </c>
      <c r="D871" t="inlineStr">
        <is>
          <t>VÄSTERBOTTENS LÄN</t>
        </is>
      </c>
      <c r="E871" t="inlineStr">
        <is>
          <t>VILHELMINA</t>
        </is>
      </c>
      <c r="G871" t="n">
        <v>2.9</v>
      </c>
      <c r="H871" t="n">
        <v>0</v>
      </c>
      <c r="I871" t="n">
        <v>0</v>
      </c>
      <c r="J871" t="n">
        <v>0</v>
      </c>
      <c r="K871" t="n">
        <v>0</v>
      </c>
      <c r="L871" t="n">
        <v>0</v>
      </c>
      <c r="M871" t="n">
        <v>0</v>
      </c>
      <c r="N871" t="n">
        <v>0</v>
      </c>
      <c r="O871" t="n">
        <v>0</v>
      </c>
      <c r="P871" t="n">
        <v>0</v>
      </c>
      <c r="Q871" t="n">
        <v>0</v>
      </c>
      <c r="R871" s="2" t="inlineStr"/>
    </row>
    <row r="872" ht="15" customHeight="1">
      <c r="A872" t="inlineStr">
        <is>
          <t>A 31449-2024</t>
        </is>
      </c>
      <c r="B872" s="1" t="n">
        <v>45505.9299537037</v>
      </c>
      <c r="C872" s="1" t="n">
        <v>45917</v>
      </c>
      <c r="D872" t="inlineStr">
        <is>
          <t>VÄSTERBOTTENS LÄN</t>
        </is>
      </c>
      <c r="E872" t="inlineStr">
        <is>
          <t>VILHELMINA</t>
        </is>
      </c>
      <c r="G872" t="n">
        <v>3.5</v>
      </c>
      <c r="H872" t="n">
        <v>0</v>
      </c>
      <c r="I872" t="n">
        <v>0</v>
      </c>
      <c r="J872" t="n">
        <v>0</v>
      </c>
      <c r="K872" t="n">
        <v>0</v>
      </c>
      <c r="L872" t="n">
        <v>0</v>
      </c>
      <c r="M872" t="n">
        <v>0</v>
      </c>
      <c r="N872" t="n">
        <v>0</v>
      </c>
      <c r="O872" t="n">
        <v>0</v>
      </c>
      <c r="P872" t="n">
        <v>0</v>
      </c>
      <c r="Q872" t="n">
        <v>0</v>
      </c>
      <c r="R872" s="2" t="inlineStr"/>
    </row>
    <row r="873" ht="15" customHeight="1">
      <c r="A873" t="inlineStr">
        <is>
          <t>A 51825-2023</t>
        </is>
      </c>
      <c r="B873" s="1" t="n">
        <v>45222</v>
      </c>
      <c r="C873" s="1" t="n">
        <v>45917</v>
      </c>
      <c r="D873" t="inlineStr">
        <is>
          <t>VÄSTERBOTTENS LÄN</t>
        </is>
      </c>
      <c r="E873" t="inlineStr">
        <is>
          <t>VILHELMINA</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9162-2022</t>
        </is>
      </c>
      <c r="B874" s="1" t="n">
        <v>44615</v>
      </c>
      <c r="C874" s="1" t="n">
        <v>45917</v>
      </c>
      <c r="D874" t="inlineStr">
        <is>
          <t>VÄSTERBOTTENS LÄN</t>
        </is>
      </c>
      <c r="E874" t="inlineStr">
        <is>
          <t>VILHELMINA</t>
        </is>
      </c>
      <c r="G874" t="n">
        <v>7.2</v>
      </c>
      <c r="H874" t="n">
        <v>0</v>
      </c>
      <c r="I874" t="n">
        <v>0</v>
      </c>
      <c r="J874" t="n">
        <v>0</v>
      </c>
      <c r="K874" t="n">
        <v>0</v>
      </c>
      <c r="L874" t="n">
        <v>0</v>
      </c>
      <c r="M874" t="n">
        <v>0</v>
      </c>
      <c r="N874" t="n">
        <v>0</v>
      </c>
      <c r="O874" t="n">
        <v>0</v>
      </c>
      <c r="P874" t="n">
        <v>0</v>
      </c>
      <c r="Q874" t="n">
        <v>0</v>
      </c>
      <c r="R874" s="2" t="inlineStr"/>
    </row>
    <row r="875" ht="15" customHeight="1">
      <c r="A875" t="inlineStr">
        <is>
          <t>A 20591-2025</t>
        </is>
      </c>
      <c r="B875" s="1" t="n">
        <v>45775</v>
      </c>
      <c r="C875" s="1" t="n">
        <v>45917</v>
      </c>
      <c r="D875" t="inlineStr">
        <is>
          <t>VÄSTERBOTTENS LÄN</t>
        </is>
      </c>
      <c r="E875" t="inlineStr">
        <is>
          <t>VILHELMINA</t>
        </is>
      </c>
      <c r="F875" t="inlineStr">
        <is>
          <t>SCA</t>
        </is>
      </c>
      <c r="G875" t="n">
        <v>27.4</v>
      </c>
      <c r="H875" t="n">
        <v>0</v>
      </c>
      <c r="I875" t="n">
        <v>0</v>
      </c>
      <c r="J875" t="n">
        <v>0</v>
      </c>
      <c r="K875" t="n">
        <v>0</v>
      </c>
      <c r="L875" t="n">
        <v>0</v>
      </c>
      <c r="M875" t="n">
        <v>0</v>
      </c>
      <c r="N875" t="n">
        <v>0</v>
      </c>
      <c r="O875" t="n">
        <v>0</v>
      </c>
      <c r="P875" t="n">
        <v>0</v>
      </c>
      <c r="Q875" t="n">
        <v>0</v>
      </c>
      <c r="R875" s="2" t="inlineStr"/>
    </row>
    <row r="876" ht="15" customHeight="1">
      <c r="A876" t="inlineStr">
        <is>
          <t>A 33636-2021</t>
        </is>
      </c>
      <c r="B876" s="1" t="n">
        <v>44378</v>
      </c>
      <c r="C876" s="1" t="n">
        <v>45917</v>
      </c>
      <c r="D876" t="inlineStr">
        <is>
          <t>VÄSTERBOTTENS LÄN</t>
        </is>
      </c>
      <c r="E876" t="inlineStr">
        <is>
          <t>VILHELMINA</t>
        </is>
      </c>
      <c r="G876" t="n">
        <v>1.6</v>
      </c>
      <c r="H876" t="n">
        <v>0</v>
      </c>
      <c r="I876" t="n">
        <v>0</v>
      </c>
      <c r="J876" t="n">
        <v>0</v>
      </c>
      <c r="K876" t="n">
        <v>0</v>
      </c>
      <c r="L876" t="n">
        <v>0</v>
      </c>
      <c r="M876" t="n">
        <v>0</v>
      </c>
      <c r="N876" t="n">
        <v>0</v>
      </c>
      <c r="O876" t="n">
        <v>0</v>
      </c>
      <c r="P876" t="n">
        <v>0</v>
      </c>
      <c r="Q876" t="n">
        <v>0</v>
      </c>
      <c r="R876" s="2" t="inlineStr"/>
    </row>
    <row r="877" ht="15" customHeight="1">
      <c r="A877" t="inlineStr">
        <is>
          <t>A 35984-2023</t>
        </is>
      </c>
      <c r="B877" s="1" t="n">
        <v>45148.96195601852</v>
      </c>
      <c r="C877" s="1" t="n">
        <v>45917</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35753-2023</t>
        </is>
      </c>
      <c r="B878" s="1" t="n">
        <v>45147.95390046296</v>
      </c>
      <c r="C878" s="1" t="n">
        <v>45917</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52746-2023</t>
        </is>
      </c>
      <c r="B879" s="1" t="n">
        <v>45225.96753472222</v>
      </c>
      <c r="C879" s="1" t="n">
        <v>45917</v>
      </c>
      <c r="D879" t="inlineStr">
        <is>
          <t>VÄSTERBOTTENS LÄN</t>
        </is>
      </c>
      <c r="E879" t="inlineStr">
        <is>
          <t>VILHELMINA</t>
        </is>
      </c>
      <c r="F879" t="inlineStr">
        <is>
          <t>SCA</t>
        </is>
      </c>
      <c r="G879" t="n">
        <v>10.4</v>
      </c>
      <c r="H879" t="n">
        <v>0</v>
      </c>
      <c r="I879" t="n">
        <v>0</v>
      </c>
      <c r="J879" t="n">
        <v>0</v>
      </c>
      <c r="K879" t="n">
        <v>0</v>
      </c>
      <c r="L879" t="n">
        <v>0</v>
      </c>
      <c r="M879" t="n">
        <v>0</v>
      </c>
      <c r="N879" t="n">
        <v>0</v>
      </c>
      <c r="O879" t="n">
        <v>0</v>
      </c>
      <c r="P879" t="n">
        <v>0</v>
      </c>
      <c r="Q879" t="n">
        <v>0</v>
      </c>
      <c r="R879" s="2" t="inlineStr"/>
    </row>
    <row r="880" ht="15" customHeight="1">
      <c r="A880" t="inlineStr">
        <is>
          <t>A 55326-2023</t>
        </is>
      </c>
      <c r="B880" s="1" t="n">
        <v>45237.97364583334</v>
      </c>
      <c r="C880" s="1" t="n">
        <v>45917</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c r="A881" t="inlineStr">
        <is>
          <t>A 27918-2022</t>
        </is>
      </c>
      <c r="B881" s="1" t="n">
        <v>44743.94145833333</v>
      </c>
      <c r="C881" s="1" t="n">
        <v>45917</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2025-09-17T08:59:49Z</dcterms:created>
  <dcterms:modified xmlns:dcterms="http://purl.org/dc/terms/" xmlns:xsi="http://www.w3.org/2001/XMLSchema-instance" xsi:type="dcterms:W3CDTF">2025-09-17T08:59:50Z</dcterms:modified>
</cp:coreProperties>
</file>