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45995</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45995</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45995</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45995</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45995</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45995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45995</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45995</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45995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45995</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45995</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45995</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45995</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45995</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45995</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9057-2023</t>
        </is>
      </c>
      <c r="B24" s="1" t="n">
        <v>44972</v>
      </c>
      <c r="C24" s="1" t="n">
        <v>45995</v>
      </c>
      <c r="D24" t="inlineStr">
        <is>
          <t>VÄSTERBOTTENS LÄN</t>
        </is>
      </c>
      <c r="E24" t="inlineStr">
        <is>
          <t>VILHELMINA</t>
        </is>
      </c>
      <c r="F24" t="inlineStr">
        <is>
          <t>Allmännings- och besparingsskogar</t>
        </is>
      </c>
      <c r="G24" t="n">
        <v>403.8</v>
      </c>
      <c r="H24" t="n">
        <v>3</v>
      </c>
      <c r="I24" t="n">
        <v>6</v>
      </c>
      <c r="J24" t="n">
        <v>9</v>
      </c>
      <c r="K24" t="n">
        <v>3</v>
      </c>
      <c r="L24" t="n">
        <v>0</v>
      </c>
      <c r="M24" t="n">
        <v>0</v>
      </c>
      <c r="N24" t="n">
        <v>0</v>
      </c>
      <c r="O24" t="n">
        <v>12</v>
      </c>
      <c r="P24" t="n">
        <v>3</v>
      </c>
      <c r="Q24" t="n">
        <v>18</v>
      </c>
      <c r="R24" s="2" t="inlineStr">
        <is>
          <t>Ostticka
Rynkskinn
Tajgaskinn
Fjällvråk
Granticka
Gränsticka
Harticka
Rosenticka
Skrovellav
Tretåig hackspett
Ullticka
Vedflikmossa
Bårdlav
Skinnlav
Spindelblomster
Stuplav
Vedticka
Ögonpyrola</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42064-2024</t>
        </is>
      </c>
      <c r="B25" s="1" t="n">
        <v>45561</v>
      </c>
      <c r="C25" s="1" t="n">
        <v>45995</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48248-2023</t>
        </is>
      </c>
      <c r="B26" s="1" t="n">
        <v>45201</v>
      </c>
      <c r="C26" s="1" t="n">
        <v>45995</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45995</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45995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66998-2021</t>
        </is>
      </c>
      <c r="B29" s="1" t="n">
        <v>44522</v>
      </c>
      <c r="C29" s="1" t="n">
        <v>45995</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45995</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45995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45995</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45995</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45995</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45995</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45995</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45995</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45995</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45995</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44016-2025</t>
        </is>
      </c>
      <c r="B40" s="1" t="n">
        <v>45915</v>
      </c>
      <c r="C40" s="1" t="n">
        <v>45995</v>
      </c>
      <c r="D40" t="inlineStr">
        <is>
          <t>VÄSTERBOTTENS LÄN</t>
        </is>
      </c>
      <c r="E40" t="inlineStr">
        <is>
          <t>VILHELMINA</t>
        </is>
      </c>
      <c r="G40" t="n">
        <v>8.6</v>
      </c>
      <c r="H40" t="n">
        <v>2</v>
      </c>
      <c r="I40" t="n">
        <v>4</v>
      </c>
      <c r="J40" t="n">
        <v>8</v>
      </c>
      <c r="K40" t="n">
        <v>0</v>
      </c>
      <c r="L40" t="n">
        <v>0</v>
      </c>
      <c r="M40" t="n">
        <v>0</v>
      </c>
      <c r="N40" t="n">
        <v>0</v>
      </c>
      <c r="O40" t="n">
        <v>8</v>
      </c>
      <c r="P40" t="n">
        <v>0</v>
      </c>
      <c r="Q40" t="n">
        <v>13</v>
      </c>
      <c r="R40" s="2" t="inlineStr">
        <is>
          <t>Gammelgransskål
Garnlav
Granticka
Lunglav
Rosenticka
Skrovellav
Talltita
Ullticka
Gulnål
Mörk husmossa
Svavelriska
Trådticka
Revlummer</t>
        </is>
      </c>
      <c r="S40">
        <f>HYPERLINK("https://klasma.github.io/Logging_2462/artfynd/A 44016-2025 artfynd.xlsx", "A 44016-2025")</f>
        <v/>
      </c>
      <c r="T40">
        <f>HYPERLINK("https://klasma.github.io/Logging_2462/kartor/A 44016-2025 karta.png", "A 44016-2025")</f>
        <v/>
      </c>
      <c r="V40">
        <f>HYPERLINK("https://klasma.github.io/Logging_2462/klagomål/A 44016-2025 FSC-klagomål.docx", "A 44016-2025")</f>
        <v/>
      </c>
      <c r="W40">
        <f>HYPERLINK("https://klasma.github.io/Logging_2462/klagomålsmail/A 44016-2025 FSC-klagomål mail.docx", "A 44016-2025")</f>
        <v/>
      </c>
      <c r="X40">
        <f>HYPERLINK("https://klasma.github.io/Logging_2462/tillsyn/A 44016-2025 tillsynsbegäran.docx", "A 44016-2025")</f>
        <v/>
      </c>
      <c r="Y40">
        <f>HYPERLINK("https://klasma.github.io/Logging_2462/tillsynsmail/A 44016-2025 tillsynsbegäran mail.docx", "A 44016-2025")</f>
        <v/>
      </c>
      <c r="Z40">
        <f>HYPERLINK("https://klasma.github.io/Logging_2462/fåglar/A 44016-2025 prioriterade fågelarter.docx", "A 44016-2025")</f>
        <v/>
      </c>
    </row>
    <row r="41" ht="15" customHeight="1">
      <c r="A41" t="inlineStr">
        <is>
          <t>A 19934-2023</t>
        </is>
      </c>
      <c r="B41" s="1" t="n">
        <v>45051</v>
      </c>
      <c r="C41" s="1" t="n">
        <v>45995</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45995</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38930-2025</t>
        </is>
      </c>
      <c r="B43" s="1" t="n">
        <v>45887</v>
      </c>
      <c r="C43" s="1" t="n">
        <v>45995</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59039-2024</t>
        </is>
      </c>
      <c r="B44" s="1" t="n">
        <v>45636</v>
      </c>
      <c r="C44" s="1" t="n">
        <v>45995</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45995</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29392-2021</t>
        </is>
      </c>
      <c r="B46" s="1" t="n">
        <v>44361</v>
      </c>
      <c r="C46" s="1" t="n">
        <v>45995</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6658-2021</t>
        </is>
      </c>
      <c r="B47" s="1" t="n">
        <v>44235</v>
      </c>
      <c r="C47" s="1" t="n">
        <v>45995</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7762-2024</t>
        </is>
      </c>
      <c r="B48" s="1" t="n">
        <v>45349</v>
      </c>
      <c r="C48" s="1" t="n">
        <v>45995</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45995</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14963-2022</t>
        </is>
      </c>
      <c r="B50" s="1" t="n">
        <v>44657</v>
      </c>
      <c r="C50" s="1" t="n">
        <v>45995</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6969-2023</t>
        </is>
      </c>
      <c r="B51" s="1" t="n">
        <v>44964</v>
      </c>
      <c r="C51" s="1" t="n">
        <v>45995</v>
      </c>
      <c r="D51" t="inlineStr">
        <is>
          <t>VÄSTERBOTTENS LÄN</t>
        </is>
      </c>
      <c r="E51" t="inlineStr">
        <is>
          <t>VILHELMINA</t>
        </is>
      </c>
      <c r="F51" t="inlineStr">
        <is>
          <t>Allmännings- och besparingsskogar</t>
        </is>
      </c>
      <c r="G51" t="n">
        <v>22</v>
      </c>
      <c r="H51" t="n">
        <v>0</v>
      </c>
      <c r="I51" t="n">
        <v>3</v>
      </c>
      <c r="J51" t="n">
        <v>7</v>
      </c>
      <c r="K51" t="n">
        <v>0</v>
      </c>
      <c r="L51" t="n">
        <v>0</v>
      </c>
      <c r="M51" t="n">
        <v>0</v>
      </c>
      <c r="N51" t="n">
        <v>0</v>
      </c>
      <c r="O51" t="n">
        <v>7</v>
      </c>
      <c r="P51" t="n">
        <v>0</v>
      </c>
      <c r="Q51" t="n">
        <v>10</v>
      </c>
      <c r="R51" s="2" t="inlineStr">
        <is>
          <t>Brunpudrad nållav
Garnlav
Granticka
Rosenticka
Rödbrun blekspik
Skrovellav
Ullticka
Gulnål
Mörk husmossa
Stuplav</t>
        </is>
      </c>
      <c r="S51">
        <f>HYPERLINK("https://klasma.github.io/Logging_2462/artfynd/A 6969-2023 artfynd.xlsx", "A 6969-2023")</f>
        <v/>
      </c>
      <c r="T51">
        <f>HYPERLINK("https://klasma.github.io/Logging_2462/kartor/A 6969-2023 karta.png", "A 6969-2023")</f>
        <v/>
      </c>
      <c r="V51">
        <f>HYPERLINK("https://klasma.github.io/Logging_2462/klagomål/A 6969-2023 FSC-klagomål.docx", "A 6969-2023")</f>
        <v/>
      </c>
      <c r="W51">
        <f>HYPERLINK("https://klasma.github.io/Logging_2462/klagomålsmail/A 6969-2023 FSC-klagomål mail.docx", "A 6969-2023")</f>
        <v/>
      </c>
      <c r="X51">
        <f>HYPERLINK("https://klasma.github.io/Logging_2462/tillsyn/A 6969-2023 tillsynsbegäran.docx", "A 6969-2023")</f>
        <v/>
      </c>
      <c r="Y51">
        <f>HYPERLINK("https://klasma.github.io/Logging_2462/tillsynsmail/A 6969-2023 tillsynsbegäran mail.docx", "A 6969-2023")</f>
        <v/>
      </c>
    </row>
    <row r="52" ht="15" customHeight="1">
      <c r="A52" t="inlineStr">
        <is>
          <t>A 15047-2024</t>
        </is>
      </c>
      <c r="B52" s="1" t="n">
        <v>45399</v>
      </c>
      <c r="C52" s="1" t="n">
        <v>45995</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45995</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45995</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56840-2023</t>
        </is>
      </c>
      <c r="B55" s="1" t="n">
        <v>45238</v>
      </c>
      <c r="C55" s="1" t="n">
        <v>45995</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45995</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45995</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45995</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45995</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45995</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45995</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56632-2024</t>
        </is>
      </c>
      <c r="B62" s="1" t="n">
        <v>45625</v>
      </c>
      <c r="C62" s="1" t="n">
        <v>45995</v>
      </c>
      <c r="D62" t="inlineStr">
        <is>
          <t>VÄSTERBOTTENS LÄN</t>
        </is>
      </c>
      <c r="E62" t="inlineStr">
        <is>
          <t>VILHELMINA</t>
        </is>
      </c>
      <c r="F62" t="inlineStr">
        <is>
          <t>Allmännings- och besparingsskogar</t>
        </is>
      </c>
      <c r="G62" t="n">
        <v>36.4</v>
      </c>
      <c r="H62" t="n">
        <v>1</v>
      </c>
      <c r="I62" t="n">
        <v>3</v>
      </c>
      <c r="J62" t="n">
        <v>5</v>
      </c>
      <c r="K62" t="n">
        <v>0</v>
      </c>
      <c r="L62" t="n">
        <v>0</v>
      </c>
      <c r="M62" t="n">
        <v>0</v>
      </c>
      <c r="N62" t="n">
        <v>0</v>
      </c>
      <c r="O62" t="n">
        <v>5</v>
      </c>
      <c r="P62" t="n">
        <v>0</v>
      </c>
      <c r="Q62" t="n">
        <v>8</v>
      </c>
      <c r="R62" s="2" t="inlineStr">
        <is>
          <t>Garnlav
Granticka
Harticka
Tretåig hackspett
Vitgrynig nållav
Gulnål
Mörk husmossa
Stuplav</t>
        </is>
      </c>
      <c r="S62">
        <f>HYPERLINK("https://klasma.github.io/Logging_2462/artfynd/A 56632-2024 artfynd.xlsx", "A 56632-2024")</f>
        <v/>
      </c>
      <c r="T62">
        <f>HYPERLINK("https://klasma.github.io/Logging_2462/kartor/A 56632-2024 karta.png", "A 56632-2024")</f>
        <v/>
      </c>
      <c r="V62">
        <f>HYPERLINK("https://klasma.github.io/Logging_2462/klagomål/A 56632-2024 FSC-klagomål.docx", "A 56632-2024")</f>
        <v/>
      </c>
      <c r="W62">
        <f>HYPERLINK("https://klasma.github.io/Logging_2462/klagomålsmail/A 56632-2024 FSC-klagomål mail.docx", "A 56632-2024")</f>
        <v/>
      </c>
      <c r="X62">
        <f>HYPERLINK("https://klasma.github.io/Logging_2462/tillsyn/A 56632-2024 tillsynsbegäran.docx", "A 56632-2024")</f>
        <v/>
      </c>
      <c r="Y62">
        <f>HYPERLINK("https://klasma.github.io/Logging_2462/tillsynsmail/A 56632-2024 tillsynsbegäran mail.docx", "A 56632-2024")</f>
        <v/>
      </c>
      <c r="Z62">
        <f>HYPERLINK("https://klasma.github.io/Logging_2462/fåglar/A 56632-2024 prioriterade fågelarter.docx", "A 56632-2024")</f>
        <v/>
      </c>
    </row>
    <row r="63" ht="15" customHeight="1">
      <c r="A63" t="inlineStr">
        <is>
          <t>A 36220-2023</t>
        </is>
      </c>
      <c r="B63" s="1" t="n">
        <v>45149</v>
      </c>
      <c r="C63" s="1" t="n">
        <v>45995</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45995</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30345-2024</t>
        </is>
      </c>
      <c r="B65" s="1" t="n">
        <v>45490</v>
      </c>
      <c r="C65" s="1" t="n">
        <v>45995</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30810-2024</t>
        </is>
      </c>
      <c r="B66" s="1" t="n">
        <v>45497</v>
      </c>
      <c r="C66" s="1" t="n">
        <v>45995</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45995</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45995</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45995</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45995</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45995</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18873-2025</t>
        </is>
      </c>
      <c r="B72" s="1" t="n">
        <v>45764</v>
      </c>
      <c r="C72" s="1" t="n">
        <v>45995</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45995</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45995</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45995</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39678-2024</t>
        </is>
      </c>
      <c r="B76" s="1" t="n">
        <v>45552</v>
      </c>
      <c r="C76" s="1" t="n">
        <v>45995</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57099-2024</t>
        </is>
      </c>
      <c r="B77" s="1" t="n">
        <v>45629</v>
      </c>
      <c r="C77" s="1" t="n">
        <v>45995</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38128-2024</t>
        </is>
      </c>
      <c r="B78" s="1" t="n">
        <v>45545</v>
      </c>
      <c r="C78" s="1" t="n">
        <v>45995</v>
      </c>
      <c r="D78" t="inlineStr">
        <is>
          <t>VÄSTERBOTTENS LÄN</t>
        </is>
      </c>
      <c r="E78" t="inlineStr">
        <is>
          <t>VILHELMINA</t>
        </is>
      </c>
      <c r="F78" t="inlineStr">
        <is>
          <t>SCA</t>
        </is>
      </c>
      <c r="G78" t="n">
        <v>9.5</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HYPERLINK("https://klasma.github.io/Logging_2462/artfynd/A 38128-2024 artfynd.xlsx", "A 38128-2024")</f>
        <v/>
      </c>
      <c r="T78">
        <f>HYPERLINK("https://klasma.github.io/Logging_2462/kartor/A 38128-2024 karta.png", "A 38128-2024")</f>
        <v/>
      </c>
      <c r="V78">
        <f>HYPERLINK("https://klasma.github.io/Logging_2462/klagomål/A 38128-2024 FSC-klagomål.docx", "A 38128-2024")</f>
        <v/>
      </c>
      <c r="W78">
        <f>HYPERLINK("https://klasma.github.io/Logging_2462/klagomålsmail/A 38128-2024 FSC-klagomål mail.docx", "A 38128-2024")</f>
        <v/>
      </c>
      <c r="X78">
        <f>HYPERLINK("https://klasma.github.io/Logging_2462/tillsyn/A 38128-2024 tillsynsbegäran.docx", "A 38128-2024")</f>
        <v/>
      </c>
      <c r="Y78">
        <f>HYPERLINK("https://klasma.github.io/Logging_2462/tillsynsmail/A 38128-2024 tillsynsbegäran mail.docx", "A 38128-2024")</f>
        <v/>
      </c>
      <c r="Z78">
        <f>HYPERLINK("https://klasma.github.io/Logging_2462/fåglar/A 38128-2024 prioriterade fågelarter.docx", "A 38128-2024")</f>
        <v/>
      </c>
    </row>
    <row r="79" ht="15" customHeight="1">
      <c r="A79" t="inlineStr">
        <is>
          <t>A 38540-2024</t>
        </is>
      </c>
      <c r="B79" s="1" t="n">
        <v>45546</v>
      </c>
      <c r="C79" s="1" t="n">
        <v>45995</v>
      </c>
      <c r="D79" t="inlineStr">
        <is>
          <t>VÄSTERBOTTENS LÄN</t>
        </is>
      </c>
      <c r="E79" t="inlineStr">
        <is>
          <t>VILHELMINA</t>
        </is>
      </c>
      <c r="G79" t="n">
        <v>2.7</v>
      </c>
      <c r="H79" t="n">
        <v>1</v>
      </c>
      <c r="I79" t="n">
        <v>1</v>
      </c>
      <c r="J79" t="n">
        <v>4</v>
      </c>
      <c r="K79" t="n">
        <v>1</v>
      </c>
      <c r="L79" t="n">
        <v>0</v>
      </c>
      <c r="M79" t="n">
        <v>0</v>
      </c>
      <c r="N79" t="n">
        <v>0</v>
      </c>
      <c r="O79" t="n">
        <v>5</v>
      </c>
      <c r="P79" t="n">
        <v>1</v>
      </c>
      <c r="Q79" t="n">
        <v>6</v>
      </c>
      <c r="R79" s="2" t="inlineStr">
        <is>
          <t>Rynkskinn
Doftskinn
Gammelgransskål
Granticka
Tretåig hackspett
Skogshakmossa</t>
        </is>
      </c>
      <c r="S79">
        <f>HYPERLINK("https://klasma.github.io/Logging_2462/artfynd/A 38540-2024 artfynd.xlsx", "A 38540-2024")</f>
        <v/>
      </c>
      <c r="T79">
        <f>HYPERLINK("https://klasma.github.io/Logging_2462/kartor/A 38540-2024 karta.png", "A 38540-2024")</f>
        <v/>
      </c>
      <c r="V79">
        <f>HYPERLINK("https://klasma.github.io/Logging_2462/klagomål/A 38540-2024 FSC-klagomål.docx", "A 38540-2024")</f>
        <v/>
      </c>
      <c r="W79">
        <f>HYPERLINK("https://klasma.github.io/Logging_2462/klagomålsmail/A 38540-2024 FSC-klagomål mail.docx", "A 38540-2024")</f>
        <v/>
      </c>
      <c r="X79">
        <f>HYPERLINK("https://klasma.github.io/Logging_2462/tillsyn/A 38540-2024 tillsynsbegäran.docx", "A 38540-2024")</f>
        <v/>
      </c>
      <c r="Y79">
        <f>HYPERLINK("https://klasma.github.io/Logging_2462/tillsynsmail/A 38540-2024 tillsynsbegäran mail.docx", "A 38540-2024")</f>
        <v/>
      </c>
      <c r="Z79">
        <f>HYPERLINK("https://klasma.github.io/Logging_2462/fåglar/A 38540-2024 prioriterade fågelarter.docx", "A 38540-2024")</f>
        <v/>
      </c>
    </row>
    <row r="80" ht="15" customHeight="1">
      <c r="A80" t="inlineStr">
        <is>
          <t>A 44874-2024</t>
        </is>
      </c>
      <c r="B80" s="1" t="n">
        <v>45575</v>
      </c>
      <c r="C80" s="1" t="n">
        <v>45995</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25040-2025</t>
        </is>
      </c>
      <c r="B81" s="1" t="n">
        <v>45799.65734953704</v>
      </c>
      <c r="C81" s="1" t="n">
        <v>45995</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45995</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49135-2023</t>
        </is>
      </c>
      <c r="B83" s="1" t="n">
        <v>45205</v>
      </c>
      <c r="C83" s="1" t="n">
        <v>45995</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896-2025</t>
        </is>
      </c>
      <c r="B84" s="1" t="n">
        <v>45665</v>
      </c>
      <c r="C84" s="1" t="n">
        <v>45995</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45995</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40736-2024</t>
        </is>
      </c>
      <c r="B86" s="1" t="n">
        <v>45558</v>
      </c>
      <c r="C86" s="1" t="n">
        <v>45995</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44382-2023</t>
        </is>
      </c>
      <c r="B87" s="1" t="n">
        <v>45188.94413194444</v>
      </c>
      <c r="C87" s="1" t="n">
        <v>45995</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25036-2024</t>
        </is>
      </c>
      <c r="B88" s="1" t="n">
        <v>45461</v>
      </c>
      <c r="C88" s="1" t="n">
        <v>45995</v>
      </c>
      <c r="D88" t="inlineStr">
        <is>
          <t>VÄSTERBOTTENS LÄN</t>
        </is>
      </c>
      <c r="E88" t="inlineStr">
        <is>
          <t>VILHELMINA</t>
        </is>
      </c>
      <c r="F88" t="inlineStr">
        <is>
          <t>SCA</t>
        </is>
      </c>
      <c r="G88" t="n">
        <v>7</v>
      </c>
      <c r="H88" t="n">
        <v>3</v>
      </c>
      <c r="I88" t="n">
        <v>1</v>
      </c>
      <c r="J88" t="n">
        <v>1</v>
      </c>
      <c r="K88" t="n">
        <v>0</v>
      </c>
      <c r="L88" t="n">
        <v>0</v>
      </c>
      <c r="M88" t="n">
        <v>0</v>
      </c>
      <c r="N88" t="n">
        <v>0</v>
      </c>
      <c r="O88" t="n">
        <v>1</v>
      </c>
      <c r="P88" t="n">
        <v>0</v>
      </c>
      <c r="Q88" t="n">
        <v>4</v>
      </c>
      <c r="R88" s="2" t="inlineStr">
        <is>
          <t>Garnlav
Plattlummer
Tjäder
Revlummer</t>
        </is>
      </c>
      <c r="S88">
        <f>HYPERLINK("https://klasma.github.io/Logging_2462/artfynd/A 25036-2024 artfynd.xlsx", "A 25036-2024")</f>
        <v/>
      </c>
      <c r="T88">
        <f>HYPERLINK("https://klasma.github.io/Logging_2462/kartor/A 25036-2024 karta.png", "A 25036-2024")</f>
        <v/>
      </c>
      <c r="V88">
        <f>HYPERLINK("https://klasma.github.io/Logging_2462/klagomål/A 25036-2024 FSC-klagomål.docx", "A 25036-2024")</f>
        <v/>
      </c>
      <c r="W88">
        <f>HYPERLINK("https://klasma.github.io/Logging_2462/klagomålsmail/A 25036-2024 FSC-klagomål mail.docx", "A 25036-2024")</f>
        <v/>
      </c>
      <c r="X88">
        <f>HYPERLINK("https://klasma.github.io/Logging_2462/tillsyn/A 25036-2024 tillsynsbegäran.docx", "A 25036-2024")</f>
        <v/>
      </c>
      <c r="Y88">
        <f>HYPERLINK("https://klasma.github.io/Logging_2462/tillsynsmail/A 25036-2024 tillsynsbegäran mail.docx", "A 25036-2024")</f>
        <v/>
      </c>
      <c r="Z88">
        <f>HYPERLINK("https://klasma.github.io/Logging_2462/fåglar/A 25036-2024 prioriterade fågelarter.docx", "A 25036-2024")</f>
        <v/>
      </c>
    </row>
    <row r="89" ht="15" customHeight="1">
      <c r="A89" t="inlineStr">
        <is>
          <t>A 28867-2024</t>
        </is>
      </c>
      <c r="B89" s="1" t="n">
        <v>45478</v>
      </c>
      <c r="C89" s="1" t="n">
        <v>45995</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38124-2024</t>
        </is>
      </c>
      <c r="B90" s="1" t="n">
        <v>45545</v>
      </c>
      <c r="C90" s="1" t="n">
        <v>45995</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45995</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45995</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45995</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45995</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54780-2024</t>
        </is>
      </c>
      <c r="B95" s="1" t="n">
        <v>45618</v>
      </c>
      <c r="C95" s="1" t="n">
        <v>45995</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9157-2023</t>
        </is>
      </c>
      <c r="B96" s="1" t="n">
        <v>44972</v>
      </c>
      <c r="C96" s="1" t="n">
        <v>45995</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53897-2025</t>
        </is>
      </c>
      <c r="B97" s="1" t="n">
        <v>45961.42766203704</v>
      </c>
      <c r="C97" s="1" t="n">
        <v>45995</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45995</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47036-2025</t>
        </is>
      </c>
      <c r="B99" s="1" t="n">
        <v>45929.594375</v>
      </c>
      <c r="C99" s="1" t="n">
        <v>45995</v>
      </c>
      <c r="D99" t="inlineStr">
        <is>
          <t>VÄSTERBOTTENS LÄN</t>
        </is>
      </c>
      <c r="E99" t="inlineStr">
        <is>
          <t>VILHELMINA</t>
        </is>
      </c>
      <c r="F99" t="inlineStr">
        <is>
          <t>SCA</t>
        </is>
      </c>
      <c r="G99" t="n">
        <v>5.5</v>
      </c>
      <c r="H99" t="n">
        <v>0</v>
      </c>
      <c r="I99" t="n">
        <v>0</v>
      </c>
      <c r="J99" t="n">
        <v>2</v>
      </c>
      <c r="K99" t="n">
        <v>1</v>
      </c>
      <c r="L99" t="n">
        <v>0</v>
      </c>
      <c r="M99" t="n">
        <v>0</v>
      </c>
      <c r="N99" t="n">
        <v>0</v>
      </c>
      <c r="O99" t="n">
        <v>3</v>
      </c>
      <c r="P99" t="n">
        <v>1</v>
      </c>
      <c r="Q99" t="n">
        <v>3</v>
      </c>
      <c r="R99" s="2" t="inlineStr">
        <is>
          <t>Lateritticka
Ullticka
Vedskivlav</t>
        </is>
      </c>
      <c r="S99">
        <f>HYPERLINK("https://klasma.github.io/Logging_2462/artfynd/A 47036-2025 artfynd.xlsx", "A 47036-2025")</f>
        <v/>
      </c>
      <c r="T99">
        <f>HYPERLINK("https://klasma.github.io/Logging_2462/kartor/A 47036-2025 karta.png", "A 47036-2025")</f>
        <v/>
      </c>
      <c r="V99">
        <f>HYPERLINK("https://klasma.github.io/Logging_2462/klagomål/A 47036-2025 FSC-klagomål.docx", "A 47036-2025")</f>
        <v/>
      </c>
      <c r="W99">
        <f>HYPERLINK("https://klasma.github.io/Logging_2462/klagomålsmail/A 47036-2025 FSC-klagomål mail.docx", "A 47036-2025")</f>
        <v/>
      </c>
      <c r="X99">
        <f>HYPERLINK("https://klasma.github.io/Logging_2462/tillsyn/A 47036-2025 tillsynsbegäran.docx", "A 47036-2025")</f>
        <v/>
      </c>
      <c r="Y99">
        <f>HYPERLINK("https://klasma.github.io/Logging_2462/tillsynsmail/A 47036-2025 tillsynsbegäran mail.docx", "A 47036-2025")</f>
        <v/>
      </c>
    </row>
    <row r="100" ht="15" customHeight="1">
      <c r="A100" t="inlineStr">
        <is>
          <t>A 16463-2025</t>
        </is>
      </c>
      <c r="B100" s="1" t="n">
        <v>45751</v>
      </c>
      <c r="C100" s="1" t="n">
        <v>45995</v>
      </c>
      <c r="D100" t="inlineStr">
        <is>
          <t>VÄSTERBOTTENS LÄN</t>
        </is>
      </c>
      <c r="E100" t="inlineStr">
        <is>
          <t>VILHELMINA</t>
        </is>
      </c>
      <c r="G100" t="n">
        <v>8.1</v>
      </c>
      <c r="H100" t="n">
        <v>1</v>
      </c>
      <c r="I100" t="n">
        <v>0</v>
      </c>
      <c r="J100" t="n">
        <v>3</v>
      </c>
      <c r="K100" t="n">
        <v>0</v>
      </c>
      <c r="L100" t="n">
        <v>0</v>
      </c>
      <c r="M100" t="n">
        <v>0</v>
      </c>
      <c r="N100" t="n">
        <v>0</v>
      </c>
      <c r="O100" t="n">
        <v>3</v>
      </c>
      <c r="P100" t="n">
        <v>0</v>
      </c>
      <c r="Q100" t="n">
        <v>3</v>
      </c>
      <c r="R100" s="2" t="inlineStr">
        <is>
          <t>Granticka
Gränsticka
Tretåig hackspett</t>
        </is>
      </c>
      <c r="S100">
        <f>HYPERLINK("https://klasma.github.io/Logging_2462/artfynd/A 16463-2025 artfynd.xlsx", "A 16463-2025")</f>
        <v/>
      </c>
      <c r="T100">
        <f>HYPERLINK("https://klasma.github.io/Logging_2462/kartor/A 16463-2025 karta.png", "A 16463-2025")</f>
        <v/>
      </c>
      <c r="V100">
        <f>HYPERLINK("https://klasma.github.io/Logging_2462/klagomål/A 16463-2025 FSC-klagomål.docx", "A 16463-2025")</f>
        <v/>
      </c>
      <c r="W100">
        <f>HYPERLINK("https://klasma.github.io/Logging_2462/klagomålsmail/A 16463-2025 FSC-klagomål mail.docx", "A 16463-2025")</f>
        <v/>
      </c>
      <c r="X100">
        <f>HYPERLINK("https://klasma.github.io/Logging_2462/tillsyn/A 16463-2025 tillsynsbegäran.docx", "A 16463-2025")</f>
        <v/>
      </c>
      <c r="Y100">
        <f>HYPERLINK("https://klasma.github.io/Logging_2462/tillsynsmail/A 16463-2025 tillsynsbegäran mail.docx", "A 16463-2025")</f>
        <v/>
      </c>
      <c r="Z100">
        <f>HYPERLINK("https://klasma.github.io/Logging_2462/fåglar/A 16463-2025 prioriterade fågelarter.docx", "A 16463-2025")</f>
        <v/>
      </c>
    </row>
    <row r="101" ht="15" customHeight="1">
      <c r="A101" t="inlineStr">
        <is>
          <t>A 41646-2024</t>
        </is>
      </c>
      <c r="B101" s="1" t="n">
        <v>45560</v>
      </c>
      <c r="C101" s="1" t="n">
        <v>45995</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60737-2024</t>
        </is>
      </c>
      <c r="B102" s="1" t="n">
        <v>45644</v>
      </c>
      <c r="C102" s="1" t="n">
        <v>45995</v>
      </c>
      <c r="D102" t="inlineStr">
        <is>
          <t>VÄSTERBOTTENS LÄN</t>
        </is>
      </c>
      <c r="E102" t="inlineStr">
        <is>
          <t>VILHELMINA</t>
        </is>
      </c>
      <c r="G102" t="n">
        <v>198.1</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38123-2024</t>
        </is>
      </c>
      <c r="B103" s="1" t="n">
        <v>45545</v>
      </c>
      <c r="C103" s="1" t="n">
        <v>45995</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45995</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45995</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11980-2021</t>
        </is>
      </c>
      <c r="B106" s="1" t="n">
        <v>44266</v>
      </c>
      <c r="C106" s="1" t="n">
        <v>45995</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45995</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65586-2021</t>
        </is>
      </c>
      <c r="B108" s="1" t="n">
        <v>44518</v>
      </c>
      <c r="C108" s="1" t="n">
        <v>45995</v>
      </c>
      <c r="D108" t="inlineStr">
        <is>
          <t>VÄSTERBOTTENS LÄN</t>
        </is>
      </c>
      <c r="E108" t="inlineStr">
        <is>
          <t>VILHELMINA</t>
        </is>
      </c>
      <c r="G108" t="n">
        <v>38</v>
      </c>
      <c r="H108" t="n">
        <v>2</v>
      </c>
      <c r="I108" t="n">
        <v>0</v>
      </c>
      <c r="J108" t="n">
        <v>1</v>
      </c>
      <c r="K108" t="n">
        <v>1</v>
      </c>
      <c r="L108" t="n">
        <v>0</v>
      </c>
      <c r="M108" t="n">
        <v>0</v>
      </c>
      <c r="N108" t="n">
        <v>0</v>
      </c>
      <c r="O108" t="n">
        <v>2</v>
      </c>
      <c r="P108" t="n">
        <v>1</v>
      </c>
      <c r="Q108" t="n">
        <v>2</v>
      </c>
      <c r="R108" s="2" t="inlineStr">
        <is>
          <t>Lappuggla
Tretåig hackspett</t>
        </is>
      </c>
      <c r="S108">
        <f>HYPERLINK("https://klasma.github.io/Logging_2462/artfynd/A 65586-2021 artfynd.xlsx", "A 65586-2021")</f>
        <v/>
      </c>
      <c r="T108">
        <f>HYPERLINK("https://klasma.github.io/Logging_2462/kartor/A 65586-2021 karta.png", "A 65586-2021")</f>
        <v/>
      </c>
      <c r="V108">
        <f>HYPERLINK("https://klasma.github.io/Logging_2462/klagomål/A 65586-2021 FSC-klagomål.docx", "A 65586-2021")</f>
        <v/>
      </c>
      <c r="W108">
        <f>HYPERLINK("https://klasma.github.io/Logging_2462/klagomålsmail/A 65586-2021 FSC-klagomål mail.docx", "A 65586-2021")</f>
        <v/>
      </c>
      <c r="X108">
        <f>HYPERLINK("https://klasma.github.io/Logging_2462/tillsyn/A 65586-2021 tillsynsbegäran.docx", "A 65586-2021")</f>
        <v/>
      </c>
      <c r="Y108">
        <f>HYPERLINK("https://klasma.github.io/Logging_2462/tillsynsmail/A 65586-2021 tillsynsbegäran mail.docx", "A 65586-2021")</f>
        <v/>
      </c>
      <c r="Z108">
        <f>HYPERLINK("https://klasma.github.io/Logging_2462/fåglar/A 65586-2021 prioriterade fågelarter.docx", "A 65586-2021")</f>
        <v/>
      </c>
    </row>
    <row r="109" ht="15" customHeight="1">
      <c r="A109" t="inlineStr">
        <is>
          <t>A 64030-2023</t>
        </is>
      </c>
      <c r="B109" s="1" t="n">
        <v>45278</v>
      </c>
      <c r="C109" s="1" t="n">
        <v>45995</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60379-2024</t>
        </is>
      </c>
      <c r="B110" s="1" t="n">
        <v>45643</v>
      </c>
      <c r="C110" s="1" t="n">
        <v>45995</v>
      </c>
      <c r="D110" t="inlineStr">
        <is>
          <t>VÄSTERBOTTENS LÄN</t>
        </is>
      </c>
      <c r="E110" t="inlineStr">
        <is>
          <t>VILHELMINA</t>
        </is>
      </c>
      <c r="F110" t="inlineStr">
        <is>
          <t>SCA</t>
        </is>
      </c>
      <c r="G110" t="n">
        <v>12.4</v>
      </c>
      <c r="H110" t="n">
        <v>0</v>
      </c>
      <c r="I110" t="n">
        <v>0</v>
      </c>
      <c r="J110" t="n">
        <v>2</v>
      </c>
      <c r="K110" t="n">
        <v>0</v>
      </c>
      <c r="L110" t="n">
        <v>0</v>
      </c>
      <c r="M110" t="n">
        <v>0</v>
      </c>
      <c r="N110" t="n">
        <v>0</v>
      </c>
      <c r="O110" t="n">
        <v>2</v>
      </c>
      <c r="P110" t="n">
        <v>0</v>
      </c>
      <c r="Q110" t="n">
        <v>2</v>
      </c>
      <c r="R110" s="2" t="inlineStr">
        <is>
          <t>Skrovellav
Ullticka</t>
        </is>
      </c>
      <c r="S110">
        <f>HYPERLINK("https://klasma.github.io/Logging_2462/artfynd/A 60379-2024 artfynd.xlsx", "A 60379-2024")</f>
        <v/>
      </c>
      <c r="T110">
        <f>HYPERLINK("https://klasma.github.io/Logging_2462/kartor/A 60379-2024 karta.png", "A 60379-2024")</f>
        <v/>
      </c>
      <c r="V110">
        <f>HYPERLINK("https://klasma.github.io/Logging_2462/klagomål/A 60379-2024 FSC-klagomål.docx", "A 60379-2024")</f>
        <v/>
      </c>
      <c r="W110">
        <f>HYPERLINK("https://klasma.github.io/Logging_2462/klagomålsmail/A 60379-2024 FSC-klagomål mail.docx", "A 60379-2024")</f>
        <v/>
      </c>
      <c r="X110">
        <f>HYPERLINK("https://klasma.github.io/Logging_2462/tillsyn/A 60379-2024 tillsynsbegäran.docx", "A 60379-2024")</f>
        <v/>
      </c>
      <c r="Y110">
        <f>HYPERLINK("https://klasma.github.io/Logging_2462/tillsynsmail/A 60379-2024 tillsynsbegäran mail.docx", "A 60379-2024")</f>
        <v/>
      </c>
    </row>
    <row r="111" ht="15" customHeight="1">
      <c r="A111" t="inlineStr">
        <is>
          <t>A 69023-2021</t>
        </is>
      </c>
      <c r="B111" s="1" t="n">
        <v>44529</v>
      </c>
      <c r="C111" s="1" t="n">
        <v>45995</v>
      </c>
      <c r="D111" t="inlineStr">
        <is>
          <t>VÄSTERBOTTENS LÄN</t>
        </is>
      </c>
      <c r="E111" t="inlineStr">
        <is>
          <t>VILHELMINA</t>
        </is>
      </c>
      <c r="G111" t="n">
        <v>88</v>
      </c>
      <c r="H111" t="n">
        <v>0</v>
      </c>
      <c r="I111" t="n">
        <v>0</v>
      </c>
      <c r="J111" t="n">
        <v>2</v>
      </c>
      <c r="K111" t="n">
        <v>0</v>
      </c>
      <c r="L111" t="n">
        <v>0</v>
      </c>
      <c r="M111" t="n">
        <v>0</v>
      </c>
      <c r="N111" t="n">
        <v>0</v>
      </c>
      <c r="O111" t="n">
        <v>2</v>
      </c>
      <c r="P111" t="n">
        <v>0</v>
      </c>
      <c r="Q111" t="n">
        <v>2</v>
      </c>
      <c r="R111" s="2" t="inlineStr">
        <is>
          <t>Garnlav
Lunglav</t>
        </is>
      </c>
      <c r="S111">
        <f>HYPERLINK("https://klasma.github.io/Logging_2462/artfynd/A 69023-2021 artfynd.xlsx", "A 69023-2021")</f>
        <v/>
      </c>
      <c r="T111">
        <f>HYPERLINK("https://klasma.github.io/Logging_2462/kartor/A 69023-2021 karta.png", "A 69023-2021")</f>
        <v/>
      </c>
      <c r="V111">
        <f>HYPERLINK("https://klasma.github.io/Logging_2462/klagomål/A 69023-2021 FSC-klagomål.docx", "A 69023-2021")</f>
        <v/>
      </c>
      <c r="W111">
        <f>HYPERLINK("https://klasma.github.io/Logging_2462/klagomålsmail/A 69023-2021 FSC-klagomål mail.docx", "A 69023-2021")</f>
        <v/>
      </c>
      <c r="X111">
        <f>HYPERLINK("https://klasma.github.io/Logging_2462/tillsyn/A 69023-2021 tillsynsbegäran.docx", "A 69023-2021")</f>
        <v/>
      </c>
      <c r="Y111">
        <f>HYPERLINK("https://klasma.github.io/Logging_2462/tillsynsmail/A 69023-2021 tillsynsbegäran mail.docx", "A 69023-2021")</f>
        <v/>
      </c>
    </row>
    <row r="112" ht="15" customHeight="1">
      <c r="A112" t="inlineStr">
        <is>
          <t>A 54779-2024</t>
        </is>
      </c>
      <c r="B112" s="1" t="n">
        <v>45618</v>
      </c>
      <c r="C112" s="1" t="n">
        <v>45995</v>
      </c>
      <c r="D112" t="inlineStr">
        <is>
          <t>VÄSTERBOTTENS LÄN</t>
        </is>
      </c>
      <c r="E112" t="inlineStr">
        <is>
          <t>VILHELMINA</t>
        </is>
      </c>
      <c r="F112" t="inlineStr">
        <is>
          <t>SCA</t>
        </is>
      </c>
      <c r="G112" t="n">
        <v>10.3</v>
      </c>
      <c r="H112" t="n">
        <v>0</v>
      </c>
      <c r="I112" t="n">
        <v>0</v>
      </c>
      <c r="J112" t="n">
        <v>2</v>
      </c>
      <c r="K112" t="n">
        <v>0</v>
      </c>
      <c r="L112" t="n">
        <v>0</v>
      </c>
      <c r="M112" t="n">
        <v>0</v>
      </c>
      <c r="N112" t="n">
        <v>0</v>
      </c>
      <c r="O112" t="n">
        <v>2</v>
      </c>
      <c r="P112" t="n">
        <v>0</v>
      </c>
      <c r="Q112" t="n">
        <v>2</v>
      </c>
      <c r="R112" s="2" t="inlineStr">
        <is>
          <t>Gammelgransskål
Harticka</t>
        </is>
      </c>
      <c r="S112">
        <f>HYPERLINK("https://klasma.github.io/Logging_2462/artfynd/A 54779-2024 artfynd.xlsx", "A 54779-2024")</f>
        <v/>
      </c>
      <c r="T112">
        <f>HYPERLINK("https://klasma.github.io/Logging_2462/kartor/A 54779-2024 karta.png", "A 54779-2024")</f>
        <v/>
      </c>
      <c r="V112">
        <f>HYPERLINK("https://klasma.github.io/Logging_2462/klagomål/A 54779-2024 FSC-klagomål.docx", "A 54779-2024")</f>
        <v/>
      </c>
      <c r="W112">
        <f>HYPERLINK("https://klasma.github.io/Logging_2462/klagomålsmail/A 54779-2024 FSC-klagomål mail.docx", "A 54779-2024")</f>
        <v/>
      </c>
      <c r="X112">
        <f>HYPERLINK("https://klasma.github.io/Logging_2462/tillsyn/A 54779-2024 tillsynsbegäran.docx", "A 54779-2024")</f>
        <v/>
      </c>
      <c r="Y112">
        <f>HYPERLINK("https://klasma.github.io/Logging_2462/tillsynsmail/A 54779-2024 tillsynsbegäran mail.docx", "A 54779-2024")</f>
        <v/>
      </c>
    </row>
    <row r="113" ht="15" customHeight="1">
      <c r="A113" t="inlineStr">
        <is>
          <t>A 46391-2024</t>
        </is>
      </c>
      <c r="B113" s="1" t="n">
        <v>45582</v>
      </c>
      <c r="C113" s="1" t="n">
        <v>45995</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28012-2023</t>
        </is>
      </c>
      <c r="B114" s="1" t="n">
        <v>45098</v>
      </c>
      <c r="C114" s="1" t="n">
        <v>45995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45995</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25037-2024</t>
        </is>
      </c>
      <c r="B116" s="1" t="n">
        <v>45461</v>
      </c>
      <c r="C116" s="1" t="n">
        <v>45995</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48652-2025</t>
        </is>
      </c>
      <c r="B117" s="1" t="n">
        <v>45936</v>
      </c>
      <c r="C117" s="1" t="n">
        <v>45995</v>
      </c>
      <c r="D117" t="inlineStr">
        <is>
          <t>VÄSTERBOTTENS LÄN</t>
        </is>
      </c>
      <c r="E117" t="inlineStr">
        <is>
          <t>VILHELMINA</t>
        </is>
      </c>
      <c r="F117" t="inlineStr">
        <is>
          <t>SCA</t>
        </is>
      </c>
      <c r="G117" t="n">
        <v>6.8</v>
      </c>
      <c r="H117" t="n">
        <v>0</v>
      </c>
      <c r="I117" t="n">
        <v>0</v>
      </c>
      <c r="J117" t="n">
        <v>2</v>
      </c>
      <c r="K117" t="n">
        <v>0</v>
      </c>
      <c r="L117" t="n">
        <v>0</v>
      </c>
      <c r="M117" t="n">
        <v>0</v>
      </c>
      <c r="N117" t="n">
        <v>0</v>
      </c>
      <c r="O117" t="n">
        <v>2</v>
      </c>
      <c r="P117" t="n">
        <v>0</v>
      </c>
      <c r="Q117" t="n">
        <v>2</v>
      </c>
      <c r="R117" s="2" t="inlineStr">
        <is>
          <t>Gammelgransskål
Knottrig blåslav</t>
        </is>
      </c>
      <c r="S117">
        <f>HYPERLINK("https://klasma.github.io/Logging_2462/artfynd/A 48652-2025 artfynd.xlsx", "A 48652-2025")</f>
        <v/>
      </c>
      <c r="T117">
        <f>HYPERLINK("https://klasma.github.io/Logging_2462/kartor/A 48652-2025 karta.png", "A 48652-2025")</f>
        <v/>
      </c>
      <c r="V117">
        <f>HYPERLINK("https://klasma.github.io/Logging_2462/klagomål/A 48652-2025 FSC-klagomål.docx", "A 48652-2025")</f>
        <v/>
      </c>
      <c r="W117">
        <f>HYPERLINK("https://klasma.github.io/Logging_2462/klagomålsmail/A 48652-2025 FSC-klagomål mail.docx", "A 48652-2025")</f>
        <v/>
      </c>
      <c r="X117">
        <f>HYPERLINK("https://klasma.github.io/Logging_2462/tillsyn/A 48652-2025 tillsynsbegäran.docx", "A 48652-2025")</f>
        <v/>
      </c>
      <c r="Y117">
        <f>HYPERLINK("https://klasma.github.io/Logging_2462/tillsynsmail/A 48652-2025 tillsynsbegäran mail.docx", "A 48652-2025")</f>
        <v/>
      </c>
    </row>
    <row r="118" ht="15" customHeight="1">
      <c r="A118" t="inlineStr">
        <is>
          <t>A 20983-2025</t>
        </is>
      </c>
      <c r="B118" s="1" t="n">
        <v>45777.46910879629</v>
      </c>
      <c r="C118" s="1" t="n">
        <v>45995</v>
      </c>
      <c r="D118" t="inlineStr">
        <is>
          <t>VÄSTERBOTTENS LÄN</t>
        </is>
      </c>
      <c r="E118" t="inlineStr">
        <is>
          <t>VILHELMINA</t>
        </is>
      </c>
      <c r="F118" t="inlineStr">
        <is>
          <t>SCA</t>
        </is>
      </c>
      <c r="G118" t="n">
        <v>1.2</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20983-2025 artfynd.xlsx", "A 20983-2025")</f>
        <v/>
      </c>
      <c r="T118">
        <f>HYPERLINK("https://klasma.github.io/Logging_2462/kartor/A 20983-2025 karta.png", "A 20983-2025")</f>
        <v/>
      </c>
      <c r="V118">
        <f>HYPERLINK("https://klasma.github.io/Logging_2462/klagomål/A 20983-2025 FSC-klagomål.docx", "A 20983-2025")</f>
        <v/>
      </c>
      <c r="W118">
        <f>HYPERLINK("https://klasma.github.io/Logging_2462/klagomålsmail/A 20983-2025 FSC-klagomål mail.docx", "A 20983-2025")</f>
        <v/>
      </c>
      <c r="X118">
        <f>HYPERLINK("https://klasma.github.io/Logging_2462/tillsyn/A 20983-2025 tillsynsbegäran.docx", "A 20983-2025")</f>
        <v/>
      </c>
      <c r="Y118">
        <f>HYPERLINK("https://klasma.github.io/Logging_2462/tillsynsmail/A 20983-2025 tillsynsbegäran mail.docx", "A 20983-2025")</f>
        <v/>
      </c>
      <c r="Z118">
        <f>HYPERLINK("https://klasma.github.io/Logging_2462/fåglar/A 20983-2025 prioriterade fågelarter.docx", "A 20983-2025")</f>
        <v/>
      </c>
    </row>
    <row r="119" ht="15" customHeight="1">
      <c r="A119" t="inlineStr">
        <is>
          <t>A 30717-2023</t>
        </is>
      </c>
      <c r="B119" s="1" t="n">
        <v>45112</v>
      </c>
      <c r="C119" s="1" t="n">
        <v>45995</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69626-2020</t>
        </is>
      </c>
      <c r="B120" s="1" t="n">
        <v>44195</v>
      </c>
      <c r="C120" s="1" t="n">
        <v>45995</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41645-2024</t>
        </is>
      </c>
      <c r="B121" s="1" t="n">
        <v>45560</v>
      </c>
      <c r="C121" s="1" t="n">
        <v>45995</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37785-2021</t>
        </is>
      </c>
      <c r="B122" s="1" t="n">
        <v>44401</v>
      </c>
      <c r="C122" s="1" t="n">
        <v>45995</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29140-2025</t>
        </is>
      </c>
      <c r="B123" s="1" t="n">
        <v>45821</v>
      </c>
      <c r="C123" s="1" t="n">
        <v>45995</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45995</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6704-2021</t>
        </is>
      </c>
      <c r="B125" s="1" t="n">
        <v>44235</v>
      </c>
      <c r="C125" s="1" t="n">
        <v>45995</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42274-2025</t>
        </is>
      </c>
      <c r="B126" s="1" t="n">
        <v>45903</v>
      </c>
      <c r="C126" s="1" t="n">
        <v>45995</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45995</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66259-2021</t>
        </is>
      </c>
      <c r="B128" s="1" t="n">
        <v>44518</v>
      </c>
      <c r="C128" s="1" t="n">
        <v>45995</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45995</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45995</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44286-2024</t>
        </is>
      </c>
      <c r="B131" s="1" t="n">
        <v>45573</v>
      </c>
      <c r="C131" s="1" t="n">
        <v>45995</v>
      </c>
      <c r="D131" t="inlineStr">
        <is>
          <t>VÄSTERBOTTENS LÄN</t>
        </is>
      </c>
      <c r="E131" t="inlineStr">
        <is>
          <t>VILHELMINA</t>
        </is>
      </c>
      <c r="G131" t="n">
        <v>29.2</v>
      </c>
      <c r="H131" t="n">
        <v>1</v>
      </c>
      <c r="I131" t="n">
        <v>0</v>
      </c>
      <c r="J131" t="n">
        <v>1</v>
      </c>
      <c r="K131" t="n">
        <v>0</v>
      </c>
      <c r="L131" t="n">
        <v>0</v>
      </c>
      <c r="M131" t="n">
        <v>0</v>
      </c>
      <c r="N131" t="n">
        <v>0</v>
      </c>
      <c r="O131" t="n">
        <v>1</v>
      </c>
      <c r="P131" t="n">
        <v>0</v>
      </c>
      <c r="Q131" t="n">
        <v>1</v>
      </c>
      <c r="R131" s="2" t="inlineStr">
        <is>
          <t>Videsparv</t>
        </is>
      </c>
      <c r="S131">
        <f>HYPERLINK("https://klasma.github.io/Logging_2462/artfynd/A 44286-2024 artfynd.xlsx", "A 44286-2024")</f>
        <v/>
      </c>
      <c r="T131">
        <f>HYPERLINK("https://klasma.github.io/Logging_2462/kartor/A 44286-2024 karta.png", "A 44286-2024")</f>
        <v/>
      </c>
      <c r="V131">
        <f>HYPERLINK("https://klasma.github.io/Logging_2462/klagomål/A 44286-2024 FSC-klagomål.docx", "A 44286-2024")</f>
        <v/>
      </c>
      <c r="W131">
        <f>HYPERLINK("https://klasma.github.io/Logging_2462/klagomålsmail/A 44286-2024 FSC-klagomål mail.docx", "A 44286-2024")</f>
        <v/>
      </c>
      <c r="X131">
        <f>HYPERLINK("https://klasma.github.io/Logging_2462/tillsyn/A 44286-2024 tillsynsbegäran.docx", "A 44286-2024")</f>
        <v/>
      </c>
      <c r="Y131">
        <f>HYPERLINK("https://klasma.github.io/Logging_2462/tillsynsmail/A 44286-2024 tillsynsbegäran mail.docx", "A 44286-2024")</f>
        <v/>
      </c>
      <c r="Z131">
        <f>HYPERLINK("https://klasma.github.io/Logging_2462/fåglar/A 44286-2024 prioriterade fågelarter.docx", "A 44286-2024")</f>
        <v/>
      </c>
    </row>
    <row r="132" ht="15" customHeight="1">
      <c r="A132" t="inlineStr">
        <is>
          <t>A 33913-2024</t>
        </is>
      </c>
      <c r="B132" s="1" t="n">
        <v>45523.38783564815</v>
      </c>
      <c r="C132" s="1" t="n">
        <v>45995</v>
      </c>
      <c r="D132" t="inlineStr">
        <is>
          <t>VÄSTERBOTTENS LÄN</t>
        </is>
      </c>
      <c r="E132" t="inlineStr">
        <is>
          <t>VILHELMINA</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HYPERLINK("https://klasma.github.io/Logging_2462/artfynd/A 33913-2024 artfynd.xlsx", "A 33913-2024")</f>
        <v/>
      </c>
      <c r="T132">
        <f>HYPERLINK("https://klasma.github.io/Logging_2462/kartor/A 33913-2024 karta.png", "A 33913-2024")</f>
        <v/>
      </c>
      <c r="V132">
        <f>HYPERLINK("https://klasma.github.io/Logging_2462/klagomål/A 33913-2024 FSC-klagomål.docx", "A 33913-2024")</f>
        <v/>
      </c>
      <c r="W132">
        <f>HYPERLINK("https://klasma.github.io/Logging_2462/klagomålsmail/A 33913-2024 FSC-klagomål mail.docx", "A 33913-2024")</f>
        <v/>
      </c>
      <c r="X132">
        <f>HYPERLINK("https://klasma.github.io/Logging_2462/tillsyn/A 33913-2024 tillsynsbegäran.docx", "A 33913-2024")</f>
        <v/>
      </c>
      <c r="Y132">
        <f>HYPERLINK("https://klasma.github.io/Logging_2462/tillsynsmail/A 33913-2024 tillsynsbegäran mail.docx", "A 33913-2024")</f>
        <v/>
      </c>
    </row>
    <row r="133" ht="15" customHeight="1">
      <c r="A133" t="inlineStr">
        <is>
          <t>A 38929-2025</t>
        </is>
      </c>
      <c r="B133" s="1" t="n">
        <v>45887</v>
      </c>
      <c r="C133" s="1" t="n">
        <v>45995</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66924-2021</t>
        </is>
      </c>
      <c r="B134" s="1" t="n">
        <v>44522</v>
      </c>
      <c r="C134" s="1" t="n">
        <v>45995</v>
      </c>
      <c r="D134" t="inlineStr">
        <is>
          <t>VÄSTERBOTTENS LÄN</t>
        </is>
      </c>
      <c r="E134" t="inlineStr">
        <is>
          <t>VILHELMINA</t>
        </is>
      </c>
      <c r="F134" t="inlineStr">
        <is>
          <t>Allmännings- och besparingsskogar</t>
        </is>
      </c>
      <c r="G134" t="n">
        <v>335.4</v>
      </c>
      <c r="H134" t="n">
        <v>1</v>
      </c>
      <c r="I134" t="n">
        <v>0</v>
      </c>
      <c r="J134" t="n">
        <v>1</v>
      </c>
      <c r="K134" t="n">
        <v>0</v>
      </c>
      <c r="L134" t="n">
        <v>0</v>
      </c>
      <c r="M134" t="n">
        <v>0</v>
      </c>
      <c r="N134" t="n">
        <v>0</v>
      </c>
      <c r="O134" t="n">
        <v>1</v>
      </c>
      <c r="P134" t="n">
        <v>0</v>
      </c>
      <c r="Q134" t="n">
        <v>1</v>
      </c>
      <c r="R134" s="2" t="inlineStr">
        <is>
          <t>Utter</t>
        </is>
      </c>
      <c r="S134">
        <f>HYPERLINK("https://klasma.github.io/Logging_2462/artfynd/A 66924-2021 artfynd.xlsx", "A 66924-2021")</f>
        <v/>
      </c>
      <c r="T134">
        <f>HYPERLINK("https://klasma.github.io/Logging_2462/kartor/A 66924-2021 karta.png", "A 66924-2021")</f>
        <v/>
      </c>
      <c r="V134">
        <f>HYPERLINK("https://klasma.github.io/Logging_2462/klagomål/A 66924-2021 FSC-klagomål.docx", "A 66924-2021")</f>
        <v/>
      </c>
      <c r="W134">
        <f>HYPERLINK("https://klasma.github.io/Logging_2462/klagomålsmail/A 66924-2021 FSC-klagomål mail.docx", "A 66924-2021")</f>
        <v/>
      </c>
      <c r="X134">
        <f>HYPERLINK("https://klasma.github.io/Logging_2462/tillsyn/A 66924-2021 tillsynsbegäran.docx", "A 66924-2021")</f>
        <v/>
      </c>
      <c r="Y134">
        <f>HYPERLINK("https://klasma.github.io/Logging_2462/tillsynsmail/A 66924-2021 tillsynsbegäran mail.docx", "A 66924-2021")</f>
        <v/>
      </c>
    </row>
    <row r="135" ht="15" customHeight="1">
      <c r="A135" t="inlineStr">
        <is>
          <t>A 56247-2023</t>
        </is>
      </c>
      <c r="B135" s="1" t="n">
        <v>45240</v>
      </c>
      <c r="C135" s="1" t="n">
        <v>45995</v>
      </c>
      <c r="D135" t="inlineStr">
        <is>
          <t>VÄSTERBOTTENS LÄN</t>
        </is>
      </c>
      <c r="E135" t="inlineStr">
        <is>
          <t>VILHELMINA</t>
        </is>
      </c>
      <c r="F135" t="inlineStr">
        <is>
          <t>SCA</t>
        </is>
      </c>
      <c r="G135" t="n">
        <v>1.3</v>
      </c>
      <c r="H135" t="n">
        <v>0</v>
      </c>
      <c r="I135" t="n">
        <v>0</v>
      </c>
      <c r="J135" t="n">
        <v>1</v>
      </c>
      <c r="K135" t="n">
        <v>0</v>
      </c>
      <c r="L135" t="n">
        <v>0</v>
      </c>
      <c r="M135" t="n">
        <v>0</v>
      </c>
      <c r="N135" t="n">
        <v>0</v>
      </c>
      <c r="O135" t="n">
        <v>1</v>
      </c>
      <c r="P135" t="n">
        <v>0</v>
      </c>
      <c r="Q135" t="n">
        <v>1</v>
      </c>
      <c r="R135" s="2" t="inlineStr">
        <is>
          <t>Harticka</t>
        </is>
      </c>
      <c r="S135">
        <f>HYPERLINK("https://klasma.github.io/Logging_2462/artfynd/A 56247-2023 artfynd.xlsx", "A 56247-2023")</f>
        <v/>
      </c>
      <c r="T135">
        <f>HYPERLINK("https://klasma.github.io/Logging_2462/kartor/A 56247-2023 karta.png", "A 56247-2023")</f>
        <v/>
      </c>
      <c r="V135">
        <f>HYPERLINK("https://klasma.github.io/Logging_2462/klagomål/A 56247-2023 FSC-klagomål.docx", "A 56247-2023")</f>
        <v/>
      </c>
      <c r="W135">
        <f>HYPERLINK("https://klasma.github.io/Logging_2462/klagomålsmail/A 56247-2023 FSC-klagomål mail.docx", "A 56247-2023")</f>
        <v/>
      </c>
      <c r="X135">
        <f>HYPERLINK("https://klasma.github.io/Logging_2462/tillsyn/A 56247-2023 tillsynsbegäran.docx", "A 56247-2023")</f>
        <v/>
      </c>
      <c r="Y135">
        <f>HYPERLINK("https://klasma.github.io/Logging_2462/tillsynsmail/A 56247-2023 tillsynsbegäran mail.docx", "A 56247-2023")</f>
        <v/>
      </c>
    </row>
    <row r="136" ht="15" customHeight="1">
      <c r="A136" t="inlineStr">
        <is>
          <t>A 17253-2025</t>
        </is>
      </c>
      <c r="B136" s="1" t="n">
        <v>45756</v>
      </c>
      <c r="C136" s="1" t="n">
        <v>45995</v>
      </c>
      <c r="D136" t="inlineStr">
        <is>
          <t>VÄSTERBOTTENS LÄN</t>
        </is>
      </c>
      <c r="E136" t="inlineStr">
        <is>
          <t>VILHELMINA</t>
        </is>
      </c>
      <c r="F136" t="inlineStr">
        <is>
          <t>SCA</t>
        </is>
      </c>
      <c r="G136" t="n">
        <v>6.5</v>
      </c>
      <c r="H136" t="n">
        <v>0</v>
      </c>
      <c r="I136" t="n">
        <v>0</v>
      </c>
      <c r="J136" t="n">
        <v>1</v>
      </c>
      <c r="K136" t="n">
        <v>0</v>
      </c>
      <c r="L136" t="n">
        <v>0</v>
      </c>
      <c r="M136" t="n">
        <v>0</v>
      </c>
      <c r="N136" t="n">
        <v>0</v>
      </c>
      <c r="O136" t="n">
        <v>1</v>
      </c>
      <c r="P136" t="n">
        <v>0</v>
      </c>
      <c r="Q136" t="n">
        <v>1</v>
      </c>
      <c r="R136" s="2" t="inlineStr">
        <is>
          <t>Granticka</t>
        </is>
      </c>
      <c r="S136">
        <f>HYPERLINK("https://klasma.github.io/Logging_2462/artfynd/A 17253-2025 artfynd.xlsx", "A 17253-2025")</f>
        <v/>
      </c>
      <c r="T136">
        <f>HYPERLINK("https://klasma.github.io/Logging_2462/kartor/A 17253-2025 karta.png", "A 17253-2025")</f>
        <v/>
      </c>
      <c r="V136">
        <f>HYPERLINK("https://klasma.github.io/Logging_2462/klagomål/A 17253-2025 FSC-klagomål.docx", "A 17253-2025")</f>
        <v/>
      </c>
      <c r="W136">
        <f>HYPERLINK("https://klasma.github.io/Logging_2462/klagomålsmail/A 17253-2025 FSC-klagomål mail.docx", "A 17253-2025")</f>
        <v/>
      </c>
      <c r="X136">
        <f>HYPERLINK("https://klasma.github.io/Logging_2462/tillsyn/A 17253-2025 tillsynsbegäran.docx", "A 17253-2025")</f>
        <v/>
      </c>
      <c r="Y136">
        <f>HYPERLINK("https://klasma.github.io/Logging_2462/tillsynsmail/A 17253-2025 tillsynsbegäran mail.docx", "A 17253-2025")</f>
        <v/>
      </c>
    </row>
    <row r="137" ht="15" customHeight="1">
      <c r="A137" t="inlineStr">
        <is>
          <t>A 29434-2025</t>
        </is>
      </c>
      <c r="B137" s="1" t="n">
        <v>45824</v>
      </c>
      <c r="C137" s="1" t="n">
        <v>45995</v>
      </c>
      <c r="D137" t="inlineStr">
        <is>
          <t>VÄSTERBOTTENS LÄN</t>
        </is>
      </c>
      <c r="E137" t="inlineStr">
        <is>
          <t>VILHELMINA</t>
        </is>
      </c>
      <c r="F137" t="inlineStr">
        <is>
          <t>SCA</t>
        </is>
      </c>
      <c r="G137" t="n">
        <v>5.9</v>
      </c>
      <c r="H137" t="n">
        <v>0</v>
      </c>
      <c r="I137" t="n">
        <v>1</v>
      </c>
      <c r="J137" t="n">
        <v>0</v>
      </c>
      <c r="K137" t="n">
        <v>0</v>
      </c>
      <c r="L137" t="n">
        <v>0</v>
      </c>
      <c r="M137" t="n">
        <v>0</v>
      </c>
      <c r="N137" t="n">
        <v>0</v>
      </c>
      <c r="O137" t="n">
        <v>0</v>
      </c>
      <c r="P137" t="n">
        <v>0</v>
      </c>
      <c r="Q137" t="n">
        <v>1</v>
      </c>
      <c r="R137" s="2" t="inlineStr">
        <is>
          <t>Tibast</t>
        </is>
      </c>
      <c r="S137">
        <f>HYPERLINK("https://klasma.github.io/Logging_2462/artfynd/A 29434-2025 artfynd.xlsx", "A 29434-2025")</f>
        <v/>
      </c>
      <c r="T137">
        <f>HYPERLINK("https://klasma.github.io/Logging_2462/kartor/A 29434-2025 karta.png", "A 29434-2025")</f>
        <v/>
      </c>
      <c r="V137">
        <f>HYPERLINK("https://klasma.github.io/Logging_2462/klagomål/A 29434-2025 FSC-klagomål.docx", "A 29434-2025")</f>
        <v/>
      </c>
      <c r="W137">
        <f>HYPERLINK("https://klasma.github.io/Logging_2462/klagomålsmail/A 29434-2025 FSC-klagomål mail.docx", "A 29434-2025")</f>
        <v/>
      </c>
      <c r="X137">
        <f>HYPERLINK("https://klasma.github.io/Logging_2462/tillsyn/A 29434-2025 tillsynsbegäran.docx", "A 29434-2025")</f>
        <v/>
      </c>
      <c r="Y137">
        <f>HYPERLINK("https://klasma.github.io/Logging_2462/tillsynsmail/A 29434-2025 tillsynsbegäran mail.docx", "A 29434-2025")</f>
        <v/>
      </c>
    </row>
    <row r="138" ht="15" customHeight="1">
      <c r="A138" t="inlineStr">
        <is>
          <t>A 11832-2023</t>
        </is>
      </c>
      <c r="B138" s="1" t="n">
        <v>44994</v>
      </c>
      <c r="C138" s="1" t="n">
        <v>45995</v>
      </c>
      <c r="D138" t="inlineStr">
        <is>
          <t>VÄSTERBOTTENS LÄN</t>
        </is>
      </c>
      <c r="E138" t="inlineStr">
        <is>
          <t>VILHELMINA</t>
        </is>
      </c>
      <c r="F138" t="inlineStr">
        <is>
          <t>SCA</t>
        </is>
      </c>
      <c r="G138" t="n">
        <v>6.7</v>
      </c>
      <c r="H138" t="n">
        <v>0</v>
      </c>
      <c r="I138" t="n">
        <v>0</v>
      </c>
      <c r="J138" t="n">
        <v>1</v>
      </c>
      <c r="K138" t="n">
        <v>0</v>
      </c>
      <c r="L138" t="n">
        <v>0</v>
      </c>
      <c r="M138" t="n">
        <v>0</v>
      </c>
      <c r="N138" t="n">
        <v>0</v>
      </c>
      <c r="O138" t="n">
        <v>1</v>
      </c>
      <c r="P138" t="n">
        <v>0</v>
      </c>
      <c r="Q138" t="n">
        <v>1</v>
      </c>
      <c r="R138" s="2" t="inlineStr">
        <is>
          <t>Granticka</t>
        </is>
      </c>
      <c r="S138">
        <f>HYPERLINK("https://klasma.github.io/Logging_2462/artfynd/A 11832-2023 artfynd.xlsx", "A 11832-2023")</f>
        <v/>
      </c>
      <c r="T138">
        <f>HYPERLINK("https://klasma.github.io/Logging_2462/kartor/A 11832-2023 karta.png", "A 11832-2023")</f>
        <v/>
      </c>
      <c r="V138">
        <f>HYPERLINK("https://klasma.github.io/Logging_2462/klagomål/A 11832-2023 FSC-klagomål.docx", "A 11832-2023")</f>
        <v/>
      </c>
      <c r="W138">
        <f>HYPERLINK("https://klasma.github.io/Logging_2462/klagomålsmail/A 11832-2023 FSC-klagomål mail.docx", "A 11832-2023")</f>
        <v/>
      </c>
      <c r="X138">
        <f>HYPERLINK("https://klasma.github.io/Logging_2462/tillsyn/A 11832-2023 tillsynsbegäran.docx", "A 11832-2023")</f>
        <v/>
      </c>
      <c r="Y138">
        <f>HYPERLINK("https://klasma.github.io/Logging_2462/tillsynsmail/A 11832-2023 tillsynsbegäran mail.docx", "A 11832-2023")</f>
        <v/>
      </c>
    </row>
    <row r="139" ht="15" customHeight="1">
      <c r="A139" t="inlineStr">
        <is>
          <t>A 48741-2025</t>
        </is>
      </c>
      <c r="B139" s="1" t="n">
        <v>45936</v>
      </c>
      <c r="C139" s="1" t="n">
        <v>45995</v>
      </c>
      <c r="D139" t="inlineStr">
        <is>
          <t>VÄSTERBOTTENS LÄN</t>
        </is>
      </c>
      <c r="E139" t="inlineStr">
        <is>
          <t>VILHELMINA</t>
        </is>
      </c>
      <c r="F139" t="inlineStr">
        <is>
          <t>SCA</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HYPERLINK("https://klasma.github.io/Logging_2462/artfynd/A 48741-2025 artfynd.xlsx", "A 48741-2025")</f>
        <v/>
      </c>
      <c r="T139">
        <f>HYPERLINK("https://klasma.github.io/Logging_2462/kartor/A 48741-2025 karta.png", "A 48741-2025")</f>
        <v/>
      </c>
      <c r="V139">
        <f>HYPERLINK("https://klasma.github.io/Logging_2462/klagomål/A 48741-2025 FSC-klagomål.docx", "A 48741-2025")</f>
        <v/>
      </c>
      <c r="W139">
        <f>HYPERLINK("https://klasma.github.io/Logging_2462/klagomålsmail/A 48741-2025 FSC-klagomål mail.docx", "A 48741-2025")</f>
        <v/>
      </c>
      <c r="X139">
        <f>HYPERLINK("https://klasma.github.io/Logging_2462/tillsyn/A 48741-2025 tillsynsbegäran.docx", "A 48741-2025")</f>
        <v/>
      </c>
      <c r="Y139">
        <f>HYPERLINK("https://klasma.github.io/Logging_2462/tillsynsmail/A 48741-2025 tillsynsbegäran mail.docx", "A 48741-2025")</f>
        <v/>
      </c>
    </row>
    <row r="140" ht="15" customHeight="1">
      <c r="A140" t="inlineStr">
        <is>
          <t>A 34730-2024</t>
        </is>
      </c>
      <c r="B140" s="1" t="n">
        <v>45526</v>
      </c>
      <c r="C140" s="1" t="n">
        <v>45995</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42489-2024</t>
        </is>
      </c>
      <c r="B141" s="1" t="n">
        <v>45565</v>
      </c>
      <c r="C141" s="1" t="n">
        <v>45995</v>
      </c>
      <c r="D141" t="inlineStr">
        <is>
          <t>VÄSTERBOTTENS LÄN</t>
        </is>
      </c>
      <c r="E141" t="inlineStr">
        <is>
          <t>VILHELMINA</t>
        </is>
      </c>
      <c r="F141" t="inlineStr">
        <is>
          <t>SCA</t>
        </is>
      </c>
      <c r="G141" t="n">
        <v>1.9</v>
      </c>
      <c r="H141" t="n">
        <v>0</v>
      </c>
      <c r="I141" t="n">
        <v>0</v>
      </c>
      <c r="J141" t="n">
        <v>1</v>
      </c>
      <c r="K141" t="n">
        <v>0</v>
      </c>
      <c r="L141" t="n">
        <v>0</v>
      </c>
      <c r="M141" t="n">
        <v>0</v>
      </c>
      <c r="N141" t="n">
        <v>0</v>
      </c>
      <c r="O141" t="n">
        <v>1</v>
      </c>
      <c r="P141" t="n">
        <v>0</v>
      </c>
      <c r="Q141" t="n">
        <v>1</v>
      </c>
      <c r="R141" s="2" t="inlineStr">
        <is>
          <t>Granticka</t>
        </is>
      </c>
      <c r="S141">
        <f>HYPERLINK("https://klasma.github.io/Logging_2462/artfynd/A 42489-2024 artfynd.xlsx", "A 42489-2024")</f>
        <v/>
      </c>
      <c r="T141">
        <f>HYPERLINK("https://klasma.github.io/Logging_2462/kartor/A 42489-2024 karta.png", "A 42489-2024")</f>
        <v/>
      </c>
      <c r="V141">
        <f>HYPERLINK("https://klasma.github.io/Logging_2462/klagomål/A 42489-2024 FSC-klagomål.docx", "A 42489-2024")</f>
        <v/>
      </c>
      <c r="W141">
        <f>HYPERLINK("https://klasma.github.io/Logging_2462/klagomålsmail/A 42489-2024 FSC-klagomål mail.docx", "A 42489-2024")</f>
        <v/>
      </c>
      <c r="X141">
        <f>HYPERLINK("https://klasma.github.io/Logging_2462/tillsyn/A 42489-2024 tillsynsbegäran.docx", "A 42489-2024")</f>
        <v/>
      </c>
      <c r="Y141">
        <f>HYPERLINK("https://klasma.github.io/Logging_2462/tillsynsmail/A 42489-2024 tillsynsbegäran mail.docx", "A 42489-2024")</f>
        <v/>
      </c>
    </row>
    <row r="142" ht="15" customHeight="1">
      <c r="A142" t="inlineStr">
        <is>
          <t>A 25368-2024</t>
        </is>
      </c>
      <c r="B142" s="1" t="n">
        <v>45462</v>
      </c>
      <c r="C142" s="1" t="n">
        <v>45995</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38282-2024</t>
        </is>
      </c>
      <c r="B143" s="1" t="n">
        <v>45545</v>
      </c>
      <c r="C143" s="1" t="n">
        <v>45995</v>
      </c>
      <c r="D143" t="inlineStr">
        <is>
          <t>VÄSTERBOTTENS LÄN</t>
        </is>
      </c>
      <c r="E143" t="inlineStr">
        <is>
          <t>VILHELMINA</t>
        </is>
      </c>
      <c r="F143" t="inlineStr">
        <is>
          <t>SCA</t>
        </is>
      </c>
      <c r="G143" t="n">
        <v>3.4</v>
      </c>
      <c r="H143" t="n">
        <v>0</v>
      </c>
      <c r="I143" t="n">
        <v>0</v>
      </c>
      <c r="J143" t="n">
        <v>1</v>
      </c>
      <c r="K143" t="n">
        <v>0</v>
      </c>
      <c r="L143" t="n">
        <v>0</v>
      </c>
      <c r="M143" t="n">
        <v>0</v>
      </c>
      <c r="N143" t="n">
        <v>0</v>
      </c>
      <c r="O143" t="n">
        <v>1</v>
      </c>
      <c r="P143" t="n">
        <v>0</v>
      </c>
      <c r="Q143" t="n">
        <v>1</v>
      </c>
      <c r="R143" s="2" t="inlineStr">
        <is>
          <t>Gränsticka</t>
        </is>
      </c>
      <c r="S143">
        <f>HYPERLINK("https://klasma.github.io/Logging_2462/artfynd/A 38282-2024 artfynd.xlsx", "A 38282-2024")</f>
        <v/>
      </c>
      <c r="T143">
        <f>HYPERLINK("https://klasma.github.io/Logging_2462/kartor/A 38282-2024 karta.png", "A 38282-2024")</f>
        <v/>
      </c>
      <c r="V143">
        <f>HYPERLINK("https://klasma.github.io/Logging_2462/klagomål/A 38282-2024 FSC-klagomål.docx", "A 38282-2024")</f>
        <v/>
      </c>
      <c r="W143">
        <f>HYPERLINK("https://klasma.github.io/Logging_2462/klagomålsmail/A 38282-2024 FSC-klagomål mail.docx", "A 38282-2024")</f>
        <v/>
      </c>
      <c r="X143">
        <f>HYPERLINK("https://klasma.github.io/Logging_2462/tillsyn/A 38282-2024 tillsynsbegäran.docx", "A 38282-2024")</f>
        <v/>
      </c>
      <c r="Y143">
        <f>HYPERLINK("https://klasma.github.io/Logging_2462/tillsynsmail/A 38282-2024 tillsynsbegäran mail.docx", "A 38282-2024")</f>
        <v/>
      </c>
    </row>
    <row r="144" ht="15" customHeight="1">
      <c r="A144" t="inlineStr">
        <is>
          <t>A 47248-2024</t>
        </is>
      </c>
      <c r="B144" s="1" t="n">
        <v>45586</v>
      </c>
      <c r="C144" s="1" t="n">
        <v>45995</v>
      </c>
      <c r="D144" t="inlineStr">
        <is>
          <t>VÄSTERBOTTENS LÄN</t>
        </is>
      </c>
      <c r="E144" t="inlineStr">
        <is>
          <t>VILHELMINA</t>
        </is>
      </c>
      <c r="F144" t="inlineStr">
        <is>
          <t>SCA</t>
        </is>
      </c>
      <c r="G144" t="n">
        <v>4</v>
      </c>
      <c r="H144" t="n">
        <v>0</v>
      </c>
      <c r="I144" t="n">
        <v>0</v>
      </c>
      <c r="J144" t="n">
        <v>1</v>
      </c>
      <c r="K144" t="n">
        <v>0</v>
      </c>
      <c r="L144" t="n">
        <v>0</v>
      </c>
      <c r="M144" t="n">
        <v>0</v>
      </c>
      <c r="N144" t="n">
        <v>0</v>
      </c>
      <c r="O144" t="n">
        <v>1</v>
      </c>
      <c r="P144" t="n">
        <v>0</v>
      </c>
      <c r="Q144" t="n">
        <v>1</v>
      </c>
      <c r="R144" s="2" t="inlineStr">
        <is>
          <t>Granticka</t>
        </is>
      </c>
      <c r="S144">
        <f>HYPERLINK("https://klasma.github.io/Logging_2462/artfynd/A 47248-2024 artfynd.xlsx", "A 47248-2024")</f>
        <v/>
      </c>
      <c r="T144">
        <f>HYPERLINK("https://klasma.github.io/Logging_2462/kartor/A 47248-2024 karta.png", "A 47248-2024")</f>
        <v/>
      </c>
      <c r="V144">
        <f>HYPERLINK("https://klasma.github.io/Logging_2462/klagomål/A 47248-2024 FSC-klagomål.docx", "A 47248-2024")</f>
        <v/>
      </c>
      <c r="W144">
        <f>HYPERLINK("https://klasma.github.io/Logging_2462/klagomålsmail/A 47248-2024 FSC-klagomål mail.docx", "A 47248-2024")</f>
        <v/>
      </c>
      <c r="X144">
        <f>HYPERLINK("https://klasma.github.io/Logging_2462/tillsyn/A 47248-2024 tillsynsbegäran.docx", "A 47248-2024")</f>
        <v/>
      </c>
      <c r="Y144">
        <f>HYPERLINK("https://klasma.github.io/Logging_2462/tillsynsmail/A 47248-2024 tillsynsbegäran mail.docx", "A 47248-2024")</f>
        <v/>
      </c>
    </row>
    <row r="145" ht="15" customHeight="1">
      <c r="A145" t="inlineStr">
        <is>
          <t>A 34769-2024</t>
        </is>
      </c>
      <c r="B145" s="1" t="n">
        <v>45526.62043981482</v>
      </c>
      <c r="C145" s="1" t="n">
        <v>45995</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45995</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25374-2024</t>
        </is>
      </c>
      <c r="B147" s="1" t="n">
        <v>45462.96118055555</v>
      </c>
      <c r="C147" s="1" t="n">
        <v>45995</v>
      </c>
      <c r="D147" t="inlineStr">
        <is>
          <t>VÄSTERBOTTENS LÄN</t>
        </is>
      </c>
      <c r="E147" t="inlineStr">
        <is>
          <t>VILHELMINA</t>
        </is>
      </c>
      <c r="F147" t="inlineStr">
        <is>
          <t>SCA</t>
        </is>
      </c>
      <c r="G147" t="n">
        <v>7.7</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25374-2024 artfynd.xlsx", "A 25374-2024")</f>
        <v/>
      </c>
      <c r="T147">
        <f>HYPERLINK("https://klasma.github.io/Logging_2462/kartor/A 25374-2024 karta.png", "A 25374-2024")</f>
        <v/>
      </c>
      <c r="V147">
        <f>HYPERLINK("https://klasma.github.io/Logging_2462/klagomål/A 25374-2024 FSC-klagomål.docx", "A 25374-2024")</f>
        <v/>
      </c>
      <c r="W147">
        <f>HYPERLINK("https://klasma.github.io/Logging_2462/klagomålsmail/A 25374-2024 FSC-klagomål mail.docx", "A 25374-2024")</f>
        <v/>
      </c>
      <c r="X147">
        <f>HYPERLINK("https://klasma.github.io/Logging_2462/tillsyn/A 25374-2024 tillsynsbegäran.docx", "A 25374-2024")</f>
        <v/>
      </c>
      <c r="Y147">
        <f>HYPERLINK("https://klasma.github.io/Logging_2462/tillsynsmail/A 25374-2024 tillsynsbegäran mail.docx", "A 25374-2024")</f>
        <v/>
      </c>
      <c r="Z147">
        <f>HYPERLINK("https://klasma.github.io/Logging_2462/fåglar/A 25374-2024 prioriterade fågelarter.docx", "A 25374-2024")</f>
        <v/>
      </c>
    </row>
    <row r="148" ht="15" customHeight="1">
      <c r="A148" t="inlineStr">
        <is>
          <t>A 29317-2023</t>
        </is>
      </c>
      <c r="B148" s="1" t="n">
        <v>45105</v>
      </c>
      <c r="C148" s="1" t="n">
        <v>45995</v>
      </c>
      <c r="D148" t="inlineStr">
        <is>
          <t>VÄSTERBOTTENS LÄN</t>
        </is>
      </c>
      <c r="E148" t="inlineStr">
        <is>
          <t>VILHELMINA</t>
        </is>
      </c>
      <c r="F148" t="inlineStr">
        <is>
          <t>SCA</t>
        </is>
      </c>
      <c r="G148" t="n">
        <v>18.8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29317-2023 artfynd.xlsx", "A 29317-2023")</f>
        <v/>
      </c>
      <c r="T148">
        <f>HYPERLINK("https://klasma.github.io/Logging_2462/kartor/A 29317-2023 karta.png", "A 29317-2023")</f>
        <v/>
      </c>
      <c r="V148">
        <f>HYPERLINK("https://klasma.github.io/Logging_2462/klagomål/A 29317-2023 FSC-klagomål.docx", "A 29317-2023")</f>
        <v/>
      </c>
      <c r="W148">
        <f>HYPERLINK("https://klasma.github.io/Logging_2462/klagomålsmail/A 29317-2023 FSC-klagomål mail.docx", "A 29317-2023")</f>
        <v/>
      </c>
      <c r="X148">
        <f>HYPERLINK("https://klasma.github.io/Logging_2462/tillsyn/A 29317-2023 tillsynsbegäran.docx", "A 29317-2023")</f>
        <v/>
      </c>
      <c r="Y148">
        <f>HYPERLINK("https://klasma.github.io/Logging_2462/tillsynsmail/A 29317-2023 tillsynsbegäran mail.docx", "A 29317-2023")</f>
        <v/>
      </c>
      <c r="Z148">
        <f>HYPERLINK("https://klasma.github.io/Logging_2462/fåglar/A 29317-2023 prioriterade fågelarter.docx", "A 29317-2023")</f>
        <v/>
      </c>
    </row>
    <row r="149" ht="15" customHeight="1">
      <c r="A149" t="inlineStr">
        <is>
          <t>A 59664-2023</t>
        </is>
      </c>
      <c r="B149" s="1" t="n">
        <v>45254</v>
      </c>
      <c r="C149" s="1" t="n">
        <v>45995</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59001-2024</t>
        </is>
      </c>
      <c r="B150" s="1" t="n">
        <v>45636</v>
      </c>
      <c r="C150" s="1" t="n">
        <v>45995</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74395-2021</t>
        </is>
      </c>
      <c r="B151" s="1" t="n">
        <v>44560</v>
      </c>
      <c r="C151" s="1" t="n">
        <v>45995</v>
      </c>
      <c r="D151" t="inlineStr">
        <is>
          <t>VÄSTERBOTTENS LÄN</t>
        </is>
      </c>
      <c r="E151" t="inlineStr">
        <is>
          <t>VILHELMINA</t>
        </is>
      </c>
      <c r="G151" t="n">
        <v>37.6</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74395-2021 artfynd.xlsx", "A 74395-2021")</f>
        <v/>
      </c>
      <c r="T151">
        <f>HYPERLINK("https://klasma.github.io/Logging_2462/kartor/A 74395-2021 karta.png", "A 74395-2021")</f>
        <v/>
      </c>
      <c r="V151">
        <f>HYPERLINK("https://klasma.github.io/Logging_2462/klagomål/A 74395-2021 FSC-klagomål.docx", "A 74395-2021")</f>
        <v/>
      </c>
      <c r="W151">
        <f>HYPERLINK("https://klasma.github.io/Logging_2462/klagomålsmail/A 74395-2021 FSC-klagomål mail.docx", "A 74395-2021")</f>
        <v/>
      </c>
      <c r="X151">
        <f>HYPERLINK("https://klasma.github.io/Logging_2462/tillsyn/A 74395-2021 tillsynsbegäran.docx", "A 74395-2021")</f>
        <v/>
      </c>
      <c r="Y151">
        <f>HYPERLINK("https://klasma.github.io/Logging_2462/tillsynsmail/A 74395-2021 tillsynsbegäran mail.docx", "A 74395-2021")</f>
        <v/>
      </c>
      <c r="Z151">
        <f>HYPERLINK("https://klasma.github.io/Logging_2462/fåglar/A 74395-2021 prioriterade fågelarter.docx", "A 74395-2021")</f>
        <v/>
      </c>
    </row>
    <row r="152" ht="15" customHeight="1">
      <c r="A152" t="inlineStr">
        <is>
          <t>A 25977-2025</t>
        </is>
      </c>
      <c r="B152" s="1" t="n">
        <v>45804</v>
      </c>
      <c r="C152" s="1" t="n">
        <v>45995</v>
      </c>
      <c r="D152" t="inlineStr">
        <is>
          <t>VÄSTERBOTTENS LÄN</t>
        </is>
      </c>
      <c r="E152" t="inlineStr">
        <is>
          <t>VILHELMINA</t>
        </is>
      </c>
      <c r="F152" t="inlineStr">
        <is>
          <t>SCA</t>
        </is>
      </c>
      <c r="G152" t="n">
        <v>6.2</v>
      </c>
      <c r="H152" t="n">
        <v>0</v>
      </c>
      <c r="I152" t="n">
        <v>0</v>
      </c>
      <c r="J152" t="n">
        <v>1</v>
      </c>
      <c r="K152" t="n">
        <v>0</v>
      </c>
      <c r="L152" t="n">
        <v>0</v>
      </c>
      <c r="M152" t="n">
        <v>0</v>
      </c>
      <c r="N152" t="n">
        <v>0</v>
      </c>
      <c r="O152" t="n">
        <v>1</v>
      </c>
      <c r="P152" t="n">
        <v>0</v>
      </c>
      <c r="Q152" t="n">
        <v>1</v>
      </c>
      <c r="R152" s="2" t="inlineStr">
        <is>
          <t>Rosenticka</t>
        </is>
      </c>
      <c r="S152">
        <f>HYPERLINK("https://klasma.github.io/Logging_2462/artfynd/A 25977-2025 artfynd.xlsx", "A 25977-2025")</f>
        <v/>
      </c>
      <c r="T152">
        <f>HYPERLINK("https://klasma.github.io/Logging_2462/kartor/A 25977-2025 karta.png", "A 25977-2025")</f>
        <v/>
      </c>
      <c r="V152">
        <f>HYPERLINK("https://klasma.github.io/Logging_2462/klagomål/A 25977-2025 FSC-klagomål.docx", "A 25977-2025")</f>
        <v/>
      </c>
      <c r="W152">
        <f>HYPERLINK("https://klasma.github.io/Logging_2462/klagomålsmail/A 25977-2025 FSC-klagomål mail.docx", "A 25977-2025")</f>
        <v/>
      </c>
      <c r="X152">
        <f>HYPERLINK("https://klasma.github.io/Logging_2462/tillsyn/A 25977-2025 tillsynsbegäran.docx", "A 25977-2025")</f>
        <v/>
      </c>
      <c r="Y152">
        <f>HYPERLINK("https://klasma.github.io/Logging_2462/tillsynsmail/A 25977-2025 tillsynsbegäran mail.docx", "A 25977-2025")</f>
        <v/>
      </c>
    </row>
    <row r="153" ht="15" customHeight="1">
      <c r="A153" t="inlineStr">
        <is>
          <t>A 13523-2025</t>
        </is>
      </c>
      <c r="B153" s="1" t="n">
        <v>45736</v>
      </c>
      <c r="C153" s="1" t="n">
        <v>45995</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13523-2025 artfynd.xlsx", "A 13523-2025")</f>
        <v/>
      </c>
      <c r="T153">
        <f>HYPERLINK("https://klasma.github.io/Logging_2462/kartor/A 13523-2025 karta.png", "A 13523-2025")</f>
        <v/>
      </c>
      <c r="V153">
        <f>HYPERLINK("https://klasma.github.io/Logging_2462/klagomål/A 13523-2025 FSC-klagomål.docx", "A 13523-2025")</f>
        <v/>
      </c>
      <c r="W153">
        <f>HYPERLINK("https://klasma.github.io/Logging_2462/klagomålsmail/A 13523-2025 FSC-klagomål mail.docx", "A 13523-2025")</f>
        <v/>
      </c>
      <c r="X153">
        <f>HYPERLINK("https://klasma.github.io/Logging_2462/tillsyn/A 13523-2025 tillsynsbegäran.docx", "A 13523-2025")</f>
        <v/>
      </c>
      <c r="Y153">
        <f>HYPERLINK("https://klasma.github.io/Logging_2462/tillsynsmail/A 13523-2025 tillsynsbegäran mail.docx", "A 13523-2025")</f>
        <v/>
      </c>
    </row>
    <row r="154" ht="15" customHeight="1">
      <c r="A154" t="inlineStr">
        <is>
          <t>A 32677-2021</t>
        </is>
      </c>
      <c r="B154" s="1" t="n">
        <v>44371</v>
      </c>
      <c r="C154" s="1" t="n">
        <v>45995</v>
      </c>
      <c r="D154" t="inlineStr">
        <is>
          <t>VÄSTERBOTTENS LÄN</t>
        </is>
      </c>
      <c r="E154" t="inlineStr">
        <is>
          <t>VILHELMINA</t>
        </is>
      </c>
      <c r="G154" t="n">
        <v>9.699999999999999</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32677-2021 artfynd.xlsx", "A 32677-2021")</f>
        <v/>
      </c>
      <c r="T154">
        <f>HYPERLINK("https://klasma.github.io/Logging_2462/kartor/A 32677-2021 karta.png", "A 32677-2021")</f>
        <v/>
      </c>
      <c r="V154">
        <f>HYPERLINK("https://klasma.github.io/Logging_2462/klagomål/A 32677-2021 FSC-klagomål.docx", "A 32677-2021")</f>
        <v/>
      </c>
      <c r="W154">
        <f>HYPERLINK("https://klasma.github.io/Logging_2462/klagomålsmail/A 32677-2021 FSC-klagomål mail.docx", "A 32677-2021")</f>
        <v/>
      </c>
      <c r="X154">
        <f>HYPERLINK("https://klasma.github.io/Logging_2462/tillsyn/A 32677-2021 tillsynsbegäran.docx", "A 32677-2021")</f>
        <v/>
      </c>
      <c r="Y154">
        <f>HYPERLINK("https://klasma.github.io/Logging_2462/tillsynsmail/A 32677-2021 tillsynsbegäran mail.docx", "A 32677-2021")</f>
        <v/>
      </c>
      <c r="Z154">
        <f>HYPERLINK("https://klasma.github.io/Logging_2462/fåglar/A 32677-2021 prioriterade fågelarter.docx", "A 32677-2021")</f>
        <v/>
      </c>
    </row>
    <row r="155" ht="15" customHeight="1">
      <c r="A155" t="inlineStr">
        <is>
          <t>A 29121-2025</t>
        </is>
      </c>
      <c r="B155" s="1" t="n">
        <v>45821</v>
      </c>
      <c r="C155" s="1" t="n">
        <v>45995</v>
      </c>
      <c r="D155" t="inlineStr">
        <is>
          <t>VÄSTERBOTTENS LÄN</t>
        </is>
      </c>
      <c r="E155" t="inlineStr">
        <is>
          <t>VILHELMINA</t>
        </is>
      </c>
      <c r="F155" t="inlineStr">
        <is>
          <t>SCA</t>
        </is>
      </c>
      <c r="G155" t="n">
        <v>4.4</v>
      </c>
      <c r="H155" t="n">
        <v>0</v>
      </c>
      <c r="I155" t="n">
        <v>0</v>
      </c>
      <c r="J155" t="n">
        <v>1</v>
      </c>
      <c r="K155" t="n">
        <v>0</v>
      </c>
      <c r="L155" t="n">
        <v>0</v>
      </c>
      <c r="M155" t="n">
        <v>0</v>
      </c>
      <c r="N155" t="n">
        <v>0</v>
      </c>
      <c r="O155" t="n">
        <v>1</v>
      </c>
      <c r="P155" t="n">
        <v>0</v>
      </c>
      <c r="Q155" t="n">
        <v>1</v>
      </c>
      <c r="R155" s="2" t="inlineStr">
        <is>
          <t>Ullticka</t>
        </is>
      </c>
      <c r="S155">
        <f>HYPERLINK("https://klasma.github.io/Logging_2462/artfynd/A 29121-2025 artfynd.xlsx", "A 29121-2025")</f>
        <v/>
      </c>
      <c r="T155">
        <f>HYPERLINK("https://klasma.github.io/Logging_2462/kartor/A 29121-2025 karta.png", "A 29121-2025")</f>
        <v/>
      </c>
      <c r="V155">
        <f>HYPERLINK("https://klasma.github.io/Logging_2462/klagomål/A 29121-2025 FSC-klagomål.docx", "A 29121-2025")</f>
        <v/>
      </c>
      <c r="W155">
        <f>HYPERLINK("https://klasma.github.io/Logging_2462/klagomålsmail/A 29121-2025 FSC-klagomål mail.docx", "A 29121-2025")</f>
        <v/>
      </c>
      <c r="X155">
        <f>HYPERLINK("https://klasma.github.io/Logging_2462/tillsyn/A 29121-2025 tillsynsbegäran.docx", "A 29121-2025")</f>
        <v/>
      </c>
      <c r="Y155">
        <f>HYPERLINK("https://klasma.github.io/Logging_2462/tillsynsmail/A 29121-2025 tillsynsbegäran mail.docx", "A 29121-2025")</f>
        <v/>
      </c>
    </row>
    <row r="156" ht="15" customHeight="1">
      <c r="A156" t="inlineStr">
        <is>
          <t>A 38131-2024</t>
        </is>
      </c>
      <c r="B156" s="1" t="n">
        <v>45545</v>
      </c>
      <c r="C156" s="1" t="n">
        <v>45995</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60369-2021</t>
        </is>
      </c>
      <c r="B157" s="1" t="n">
        <v>44494</v>
      </c>
      <c r="C157" s="1" t="n">
        <v>45995</v>
      </c>
      <c r="D157" t="inlineStr">
        <is>
          <t>VÄSTERBOTTENS LÄN</t>
        </is>
      </c>
      <c r="E157" t="inlineStr">
        <is>
          <t>VILHELMINA</t>
        </is>
      </c>
      <c r="G157" t="n">
        <v>0.6</v>
      </c>
      <c r="H157" t="n">
        <v>0</v>
      </c>
      <c r="I157" t="n">
        <v>1</v>
      </c>
      <c r="J157" t="n">
        <v>0</v>
      </c>
      <c r="K157" t="n">
        <v>0</v>
      </c>
      <c r="L157" t="n">
        <v>0</v>
      </c>
      <c r="M157" t="n">
        <v>0</v>
      </c>
      <c r="N157" t="n">
        <v>0</v>
      </c>
      <c r="O157" t="n">
        <v>0</v>
      </c>
      <c r="P157" t="n">
        <v>0</v>
      </c>
      <c r="Q157" t="n">
        <v>1</v>
      </c>
      <c r="R157" s="2" t="inlineStr">
        <is>
          <t>Stuplav</t>
        </is>
      </c>
      <c r="S157">
        <f>HYPERLINK("https://klasma.github.io/Logging_2462/artfynd/A 60369-2021 artfynd.xlsx", "A 60369-2021")</f>
        <v/>
      </c>
      <c r="T157">
        <f>HYPERLINK("https://klasma.github.io/Logging_2462/kartor/A 60369-2021 karta.png", "A 60369-2021")</f>
        <v/>
      </c>
      <c r="V157">
        <f>HYPERLINK("https://klasma.github.io/Logging_2462/klagomål/A 60369-2021 FSC-klagomål.docx", "A 60369-2021")</f>
        <v/>
      </c>
      <c r="W157">
        <f>HYPERLINK("https://klasma.github.io/Logging_2462/klagomålsmail/A 60369-2021 FSC-klagomål mail.docx", "A 60369-2021")</f>
        <v/>
      </c>
      <c r="X157">
        <f>HYPERLINK("https://klasma.github.io/Logging_2462/tillsyn/A 60369-2021 tillsynsbegäran.docx", "A 60369-2021")</f>
        <v/>
      </c>
      <c r="Y157">
        <f>HYPERLINK("https://klasma.github.io/Logging_2462/tillsynsmail/A 60369-2021 tillsynsbegäran mail.docx", "A 60369-2021")</f>
        <v/>
      </c>
    </row>
    <row r="158" ht="15" customHeight="1">
      <c r="A158" t="inlineStr">
        <is>
          <t>A 38416-2022</t>
        </is>
      </c>
      <c r="B158" s="1" t="n">
        <v>44812</v>
      </c>
      <c r="C158" s="1" t="n">
        <v>45995</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45995</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45995</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45995</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45995</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45995</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45995</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45995</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45995</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45995</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45995</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45995</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45995</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45995</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45995</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45995</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45995</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45995</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45995</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45995</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45995</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45995</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45995</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45995</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45995</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45995</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45995</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45995</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45995</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45995</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45995</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45995</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45995</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45995</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45995</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45995</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56179-2022</t>
        </is>
      </c>
      <c r="B194" s="1" t="n">
        <v>44889.94913194444</v>
      </c>
      <c r="C194" s="1" t="n">
        <v>45995</v>
      </c>
      <c r="D194" t="inlineStr">
        <is>
          <t>VÄSTERBOTTENS LÄN</t>
        </is>
      </c>
      <c r="E194" t="inlineStr">
        <is>
          <t>VILHELMINA</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45995</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45995</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45995</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45995</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45995</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45995</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45995</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45995</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45995</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9501-2022</t>
        </is>
      </c>
      <c r="B204" s="1" t="n">
        <v>44616.93883101852</v>
      </c>
      <c r="C204" s="1" t="n">
        <v>45995</v>
      </c>
      <c r="D204" t="inlineStr">
        <is>
          <t>VÄSTERBOTTENS LÄN</t>
        </is>
      </c>
      <c r="E204" t="inlineStr">
        <is>
          <t>VILHELMINA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45995</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57086-2021</t>
        </is>
      </c>
      <c r="B206" s="1" t="n">
        <v>44482</v>
      </c>
      <c r="C206" s="1" t="n">
        <v>45995</v>
      </c>
      <c r="D206" t="inlineStr">
        <is>
          <t>VÄSTERBOTTENS LÄN</t>
        </is>
      </c>
      <c r="E206" t="inlineStr">
        <is>
          <t>VILHELMINA</t>
        </is>
      </c>
      <c r="G206" t="n">
        <v>1.5</v>
      </c>
      <c r="H206" t="n">
        <v>0</v>
      </c>
      <c r="I206" t="n">
        <v>0</v>
      </c>
      <c r="J206" t="n">
        <v>0</v>
      </c>
      <c r="K206" t="n">
        <v>0</v>
      </c>
      <c r="L206" t="n">
        <v>0</v>
      </c>
      <c r="M206" t="n">
        <v>0</v>
      </c>
      <c r="N206" t="n">
        <v>0</v>
      </c>
      <c r="O206" t="n">
        <v>0</v>
      </c>
      <c r="P206" t="n">
        <v>0</v>
      </c>
      <c r="Q206" t="n">
        <v>0</v>
      </c>
      <c r="R206" s="2" t="inlineStr"/>
    </row>
    <row r="207" ht="15" customHeight="1">
      <c r="A207" t="inlineStr">
        <is>
          <t>A 29773-2022</t>
        </is>
      </c>
      <c r="B207" s="1" t="n">
        <v>44755.62866898148</v>
      </c>
      <c r="C207" s="1" t="n">
        <v>45995</v>
      </c>
      <c r="D207" t="inlineStr">
        <is>
          <t>VÄSTERBOTTENS LÄN</t>
        </is>
      </c>
      <c r="E207" t="inlineStr">
        <is>
          <t>VILHELMINA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70854-2021</t>
        </is>
      </c>
      <c r="B208" s="1" t="n">
        <v>44532</v>
      </c>
      <c r="C208" s="1" t="n">
        <v>45995</v>
      </c>
      <c r="D208" t="inlineStr">
        <is>
          <t>VÄSTERBOTTENS LÄN</t>
        </is>
      </c>
      <c r="E208" t="inlineStr">
        <is>
          <t>VILHELMINA</t>
        </is>
      </c>
      <c r="G208" t="n">
        <v>2.6</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45995</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45995</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47287-2022</t>
        </is>
      </c>
      <c r="B211" s="1" t="n">
        <v>44852.95145833334</v>
      </c>
      <c r="C211" s="1" t="n">
        <v>45995</v>
      </c>
      <c r="D211" t="inlineStr">
        <is>
          <t>VÄSTERBOTTENS LÄN</t>
        </is>
      </c>
      <c r="E211" t="inlineStr">
        <is>
          <t>VILHELMINA</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47288-2022</t>
        </is>
      </c>
      <c r="B212" s="1" t="n">
        <v>44852</v>
      </c>
      <c r="C212" s="1" t="n">
        <v>45995</v>
      </c>
      <c r="D212" t="inlineStr">
        <is>
          <t>VÄSTERBOTTENS LÄN</t>
        </is>
      </c>
      <c r="E212" t="inlineStr">
        <is>
          <t>VILHELMINA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50635-2021</t>
        </is>
      </c>
      <c r="B213" s="1" t="n">
        <v>44459.71978009259</v>
      </c>
      <c r="C213" s="1" t="n">
        <v>45995</v>
      </c>
      <c r="D213" t="inlineStr">
        <is>
          <t>VÄSTERBOTTENS LÄN</t>
        </is>
      </c>
      <c r="E213" t="inlineStr">
        <is>
          <t>VILHELMINA</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28870-2024</t>
        </is>
      </c>
      <c r="B214" s="1" t="n">
        <v>45478.94733796296</v>
      </c>
      <c r="C214" s="1" t="n">
        <v>45995</v>
      </c>
      <c r="D214" t="inlineStr">
        <is>
          <t>VÄSTERBOTTENS LÄN</t>
        </is>
      </c>
      <c r="E214" t="inlineStr">
        <is>
          <t>VILHELMINA</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31656-2021</t>
        </is>
      </c>
      <c r="B215" s="1" t="n">
        <v>44377</v>
      </c>
      <c r="C215" s="1" t="n">
        <v>45995</v>
      </c>
      <c r="D215" t="inlineStr">
        <is>
          <t>VÄSTERBOTTENS LÄN</t>
        </is>
      </c>
      <c r="E215" t="inlineStr">
        <is>
          <t>VILHELMINA</t>
        </is>
      </c>
      <c r="G215" t="n">
        <v>0.9</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45995</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45995</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45995</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54727-2024</t>
        </is>
      </c>
      <c r="B219" s="1" t="n">
        <v>45618.43804398148</v>
      </c>
      <c r="C219" s="1" t="n">
        <v>45995</v>
      </c>
      <c r="D219" t="inlineStr">
        <is>
          <t>VÄSTERBOTTENS LÄN</t>
        </is>
      </c>
      <c r="E219" t="inlineStr">
        <is>
          <t>VILHELMINA</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54804-2024</t>
        </is>
      </c>
      <c r="B220" s="1" t="n">
        <v>45618</v>
      </c>
      <c r="C220" s="1" t="n">
        <v>45995</v>
      </c>
      <c r="D220" t="inlineStr">
        <is>
          <t>VÄSTERBOTTENS LÄN</t>
        </is>
      </c>
      <c r="E220" t="inlineStr">
        <is>
          <t>VILHELMINA</t>
        </is>
      </c>
      <c r="F220" t="inlineStr">
        <is>
          <t>SCA</t>
        </is>
      </c>
      <c r="G220" t="n">
        <v>6.2</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45995</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45995</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9732-2022</t>
        </is>
      </c>
      <c r="B223" s="1" t="n">
        <v>44617.9343287037</v>
      </c>
      <c r="C223" s="1" t="n">
        <v>45995</v>
      </c>
      <c r="D223" t="inlineStr">
        <is>
          <t>VÄSTERBOTTENS LÄN</t>
        </is>
      </c>
      <c r="E223" t="inlineStr">
        <is>
          <t>VILHELMINA</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45995</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45995</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51935-2021</t>
        </is>
      </c>
      <c r="B226" s="1" t="n">
        <v>44462</v>
      </c>
      <c r="C226" s="1" t="n">
        <v>45995</v>
      </c>
      <c r="D226" t="inlineStr">
        <is>
          <t>VÄSTERBOTTENS LÄN</t>
        </is>
      </c>
      <c r="E226" t="inlineStr">
        <is>
          <t>VILHELMINA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72488-2021</t>
        </is>
      </c>
      <c r="B227" s="1" t="n">
        <v>44545.9203587963</v>
      </c>
      <c r="C227" s="1" t="n">
        <v>45995</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72493-2021</t>
        </is>
      </c>
      <c r="B228" s="1" t="n">
        <v>44545</v>
      </c>
      <c r="C228" s="1" t="n">
        <v>45995</v>
      </c>
      <c r="D228" t="inlineStr">
        <is>
          <t>VÄSTERBOTTENS LÄN</t>
        </is>
      </c>
      <c r="E228" t="inlineStr">
        <is>
          <t>VILHELMINA</t>
        </is>
      </c>
      <c r="G228" t="n">
        <v>4.2</v>
      </c>
      <c r="H228" t="n">
        <v>0</v>
      </c>
      <c r="I228" t="n">
        <v>0</v>
      </c>
      <c r="J228" t="n">
        <v>0</v>
      </c>
      <c r="K228" t="n">
        <v>0</v>
      </c>
      <c r="L228" t="n">
        <v>0</v>
      </c>
      <c r="M228" t="n">
        <v>0</v>
      </c>
      <c r="N228" t="n">
        <v>0</v>
      </c>
      <c r="O228" t="n">
        <v>0</v>
      </c>
      <c r="P228" t="n">
        <v>0</v>
      </c>
      <c r="Q228" t="n">
        <v>0</v>
      </c>
      <c r="R228" s="2" t="inlineStr"/>
    </row>
    <row r="229" ht="15" customHeight="1">
      <c r="A229" t="inlineStr">
        <is>
          <t>A 39186-2021</t>
        </is>
      </c>
      <c r="B229" s="1" t="n">
        <v>44412</v>
      </c>
      <c r="C229" s="1" t="n">
        <v>45995</v>
      </c>
      <c r="D229" t="inlineStr">
        <is>
          <t>VÄSTERBOTTENS LÄN</t>
        </is>
      </c>
      <c r="E229" t="inlineStr">
        <is>
          <t>VILHELMINA</t>
        </is>
      </c>
      <c r="G229" t="n">
        <v>0.3</v>
      </c>
      <c r="H229" t="n">
        <v>0</v>
      </c>
      <c r="I229" t="n">
        <v>0</v>
      </c>
      <c r="J229" t="n">
        <v>0</v>
      </c>
      <c r="K229" t="n">
        <v>0</v>
      </c>
      <c r="L229" t="n">
        <v>0</v>
      </c>
      <c r="M229" t="n">
        <v>0</v>
      </c>
      <c r="N229" t="n">
        <v>0</v>
      </c>
      <c r="O229" t="n">
        <v>0</v>
      </c>
      <c r="P229" t="n">
        <v>0</v>
      </c>
      <c r="Q229" t="n">
        <v>0</v>
      </c>
      <c r="R229" s="2" t="inlineStr"/>
    </row>
    <row r="230" ht="15" customHeight="1">
      <c r="A230" t="inlineStr">
        <is>
          <t>A 20653-2021</t>
        </is>
      </c>
      <c r="B230" s="1" t="n">
        <v>44316.41677083333</v>
      </c>
      <c r="C230" s="1" t="n">
        <v>45995</v>
      </c>
      <c r="D230" t="inlineStr">
        <is>
          <t>VÄSTERBOTTENS LÄN</t>
        </is>
      </c>
      <c r="E230" t="inlineStr">
        <is>
          <t>VILHELMINA</t>
        </is>
      </c>
      <c r="F230" t="inlineStr">
        <is>
          <t>Kommuner</t>
        </is>
      </c>
      <c r="G230" t="n">
        <v>2.5</v>
      </c>
      <c r="H230" t="n">
        <v>0</v>
      </c>
      <c r="I230" t="n">
        <v>0</v>
      </c>
      <c r="J230" t="n">
        <v>0</v>
      </c>
      <c r="K230" t="n">
        <v>0</v>
      </c>
      <c r="L230" t="n">
        <v>0</v>
      </c>
      <c r="M230" t="n">
        <v>0</v>
      </c>
      <c r="N230" t="n">
        <v>0</v>
      </c>
      <c r="O230" t="n">
        <v>0</v>
      </c>
      <c r="P230" t="n">
        <v>0</v>
      </c>
      <c r="Q230" t="n">
        <v>0</v>
      </c>
      <c r="R230" s="2" t="inlineStr"/>
    </row>
    <row r="231" ht="15" customHeight="1">
      <c r="A231" t="inlineStr">
        <is>
          <t>A 21814-2022</t>
        </is>
      </c>
      <c r="B231" s="1" t="n">
        <v>44708</v>
      </c>
      <c r="C231" s="1" t="n">
        <v>45995</v>
      </c>
      <c r="D231" t="inlineStr">
        <is>
          <t>VÄSTERBOTTENS LÄN</t>
        </is>
      </c>
      <c r="E231" t="inlineStr">
        <is>
          <t>VILHELMINA</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45995</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45995</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31722-2021</t>
        </is>
      </c>
      <c r="B234" s="1" t="n">
        <v>44369.91984953704</v>
      </c>
      <c r="C234" s="1" t="n">
        <v>45995</v>
      </c>
      <c r="D234" t="inlineStr">
        <is>
          <t>VÄSTERBOTTENS LÄN</t>
        </is>
      </c>
      <c r="E234" t="inlineStr">
        <is>
          <t>VILHELMINA</t>
        </is>
      </c>
      <c r="G234" t="n">
        <v>2.8</v>
      </c>
      <c r="H234" t="n">
        <v>0</v>
      </c>
      <c r="I234" t="n">
        <v>0</v>
      </c>
      <c r="J234" t="n">
        <v>0</v>
      </c>
      <c r="K234" t="n">
        <v>0</v>
      </c>
      <c r="L234" t="n">
        <v>0</v>
      </c>
      <c r="M234" t="n">
        <v>0</v>
      </c>
      <c r="N234" t="n">
        <v>0</v>
      </c>
      <c r="O234" t="n">
        <v>0</v>
      </c>
      <c r="P234" t="n">
        <v>0</v>
      </c>
      <c r="Q234" t="n">
        <v>0</v>
      </c>
      <c r="R234" s="2" t="inlineStr"/>
    </row>
    <row r="235" ht="15" customHeight="1">
      <c r="A235" t="inlineStr">
        <is>
          <t>A 11114-2022</t>
        </is>
      </c>
      <c r="B235" s="1" t="n">
        <v>44628.925625</v>
      </c>
      <c r="C235" s="1" t="n">
        <v>45995</v>
      </c>
      <c r="D235" t="inlineStr">
        <is>
          <t>VÄSTERBOTTENS LÄN</t>
        </is>
      </c>
      <c r="E235" t="inlineStr">
        <is>
          <t>VILHELMINA</t>
        </is>
      </c>
      <c r="G235" t="n">
        <v>8.6</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45995</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56763-2023</t>
        </is>
      </c>
      <c r="B237" s="1" t="n">
        <v>45238</v>
      </c>
      <c r="C237" s="1" t="n">
        <v>45995</v>
      </c>
      <c r="D237" t="inlineStr">
        <is>
          <t>VÄSTERBOTTENS LÄN</t>
        </is>
      </c>
      <c r="E237" t="inlineStr">
        <is>
          <t>VILHELMINA</t>
        </is>
      </c>
      <c r="F237" t="inlineStr">
        <is>
          <t>Allmännings- och besparingsskogar</t>
        </is>
      </c>
      <c r="G237" t="n">
        <v>77</v>
      </c>
      <c r="H237" t="n">
        <v>0</v>
      </c>
      <c r="I237" t="n">
        <v>0</v>
      </c>
      <c r="J237" t="n">
        <v>0</v>
      </c>
      <c r="K237" t="n">
        <v>0</v>
      </c>
      <c r="L237" t="n">
        <v>0</v>
      </c>
      <c r="M237" t="n">
        <v>0</v>
      </c>
      <c r="N237" t="n">
        <v>0</v>
      </c>
      <c r="O237" t="n">
        <v>0</v>
      </c>
      <c r="P237" t="n">
        <v>0</v>
      </c>
      <c r="Q237" t="n">
        <v>0</v>
      </c>
      <c r="R237" s="2" t="inlineStr"/>
    </row>
    <row r="238" ht="15" customHeight="1">
      <c r="A238" t="inlineStr">
        <is>
          <t>A 69850-2021</t>
        </is>
      </c>
      <c r="B238" s="1" t="n">
        <v>44532</v>
      </c>
      <c r="C238" s="1" t="n">
        <v>45995</v>
      </c>
      <c r="D238" t="inlineStr">
        <is>
          <t>VÄSTERBOTTENS LÄN</t>
        </is>
      </c>
      <c r="E238" t="inlineStr">
        <is>
          <t>VILHELMINA</t>
        </is>
      </c>
      <c r="G238" t="n">
        <v>6.8</v>
      </c>
      <c r="H238" t="n">
        <v>0</v>
      </c>
      <c r="I238" t="n">
        <v>0</v>
      </c>
      <c r="J238" t="n">
        <v>0</v>
      </c>
      <c r="K238" t="n">
        <v>0</v>
      </c>
      <c r="L238" t="n">
        <v>0</v>
      </c>
      <c r="M238" t="n">
        <v>0</v>
      </c>
      <c r="N238" t="n">
        <v>0</v>
      </c>
      <c r="O238" t="n">
        <v>0</v>
      </c>
      <c r="P238" t="n">
        <v>0</v>
      </c>
      <c r="Q238" t="n">
        <v>0</v>
      </c>
      <c r="R238" s="2" t="inlineStr"/>
    </row>
    <row r="239" ht="15" customHeight="1">
      <c r="A239" t="inlineStr">
        <is>
          <t>A 35757-2023</t>
        </is>
      </c>
      <c r="B239" s="1" t="n">
        <v>45147.95444444445</v>
      </c>
      <c r="C239" s="1" t="n">
        <v>45995</v>
      </c>
      <c r="D239" t="inlineStr">
        <is>
          <t>VÄSTERBOTTENS LÄN</t>
        </is>
      </c>
      <c r="E239" t="inlineStr">
        <is>
          <t>VILHELMINA</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72487-2021</t>
        </is>
      </c>
      <c r="B240" s="1" t="n">
        <v>44545.92033564814</v>
      </c>
      <c r="C240" s="1" t="n">
        <v>45995</v>
      </c>
      <c r="D240" t="inlineStr">
        <is>
          <t>VÄSTERBOTTENS LÄN</t>
        </is>
      </c>
      <c r="E240" t="inlineStr">
        <is>
          <t>VILHELMINA</t>
        </is>
      </c>
      <c r="G240" t="n">
        <v>1.2</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45995</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72-2025</t>
        </is>
      </c>
      <c r="B242" s="1" t="n">
        <v>45659</v>
      </c>
      <c r="C242" s="1" t="n">
        <v>45995</v>
      </c>
      <c r="D242" t="inlineStr">
        <is>
          <t>VÄSTERBOTTENS LÄN</t>
        </is>
      </c>
      <c r="E242" t="inlineStr">
        <is>
          <t>VILHELMINA</t>
        </is>
      </c>
      <c r="G242" t="n">
        <v>0.9</v>
      </c>
      <c r="H242" t="n">
        <v>0</v>
      </c>
      <c r="I242" t="n">
        <v>0</v>
      </c>
      <c r="J242" t="n">
        <v>0</v>
      </c>
      <c r="K242" t="n">
        <v>0</v>
      </c>
      <c r="L242" t="n">
        <v>0</v>
      </c>
      <c r="M242" t="n">
        <v>0</v>
      </c>
      <c r="N242" t="n">
        <v>0</v>
      </c>
      <c r="O242" t="n">
        <v>0</v>
      </c>
      <c r="P242" t="n">
        <v>0</v>
      </c>
      <c r="Q242" t="n">
        <v>0</v>
      </c>
      <c r="R242" s="2" t="inlineStr"/>
    </row>
    <row r="243" ht="15" customHeight="1">
      <c r="A243" t="inlineStr">
        <is>
          <t>A 9181-2023</t>
        </is>
      </c>
      <c r="B243" s="1" t="n">
        <v>44972</v>
      </c>
      <c r="C243" s="1" t="n">
        <v>45995</v>
      </c>
      <c r="D243" t="inlineStr">
        <is>
          <t>VÄSTERBOTTENS LÄN</t>
        </is>
      </c>
      <c r="E243" t="inlineStr">
        <is>
          <t>VILHELMINA</t>
        </is>
      </c>
      <c r="F243" t="inlineStr">
        <is>
          <t>Allmännings- och besparingsskogar</t>
        </is>
      </c>
      <c r="G243" t="n">
        <v>220.1</v>
      </c>
      <c r="H243" t="n">
        <v>0</v>
      </c>
      <c r="I243" t="n">
        <v>0</v>
      </c>
      <c r="J243" t="n">
        <v>0</v>
      </c>
      <c r="K243" t="n">
        <v>0</v>
      </c>
      <c r="L243" t="n">
        <v>0</v>
      </c>
      <c r="M243" t="n">
        <v>0</v>
      </c>
      <c r="N243" t="n">
        <v>0</v>
      </c>
      <c r="O243" t="n">
        <v>0</v>
      </c>
      <c r="P243" t="n">
        <v>0</v>
      </c>
      <c r="Q243" t="n">
        <v>0</v>
      </c>
      <c r="R243" s="2" t="inlineStr"/>
    </row>
    <row r="244" ht="15" customHeight="1">
      <c r="A244" t="inlineStr">
        <is>
          <t>A 59693-2024</t>
        </is>
      </c>
      <c r="B244" s="1" t="n">
        <v>45639</v>
      </c>
      <c r="C244" s="1" t="n">
        <v>45995</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36972-2023</t>
        </is>
      </c>
      <c r="B245" s="1" t="n">
        <v>45154</v>
      </c>
      <c r="C245" s="1" t="n">
        <v>45995</v>
      </c>
      <c r="D245" t="inlineStr">
        <is>
          <t>VÄSTERBOTTENS LÄN</t>
        </is>
      </c>
      <c r="E245" t="inlineStr">
        <is>
          <t>VILHELMINA</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56891-2023</t>
        </is>
      </c>
      <c r="B246" s="1" t="n">
        <v>45239</v>
      </c>
      <c r="C246" s="1" t="n">
        <v>45995</v>
      </c>
      <c r="D246" t="inlineStr">
        <is>
          <t>VÄSTERBOTTENS LÄN</t>
        </is>
      </c>
      <c r="E246" t="inlineStr">
        <is>
          <t>VILHELMINA</t>
        </is>
      </c>
      <c r="G246" t="n">
        <v>1.1</v>
      </c>
      <c r="H246" t="n">
        <v>0</v>
      </c>
      <c r="I246" t="n">
        <v>0</v>
      </c>
      <c r="J246" t="n">
        <v>0</v>
      </c>
      <c r="K246" t="n">
        <v>0</v>
      </c>
      <c r="L246" t="n">
        <v>0</v>
      </c>
      <c r="M246" t="n">
        <v>0</v>
      </c>
      <c r="N246" t="n">
        <v>0</v>
      </c>
      <c r="O246" t="n">
        <v>0</v>
      </c>
      <c r="P246" t="n">
        <v>0</v>
      </c>
      <c r="Q246" t="n">
        <v>0</v>
      </c>
      <c r="R246" s="2" t="inlineStr"/>
    </row>
    <row r="247" ht="15" customHeight="1">
      <c r="A247" t="inlineStr">
        <is>
          <t>A 27920-2022</t>
        </is>
      </c>
      <c r="B247" s="1" t="n">
        <v>44743</v>
      </c>
      <c r="C247" s="1" t="n">
        <v>45995</v>
      </c>
      <c r="D247" t="inlineStr">
        <is>
          <t>VÄSTERBOTTENS LÄN</t>
        </is>
      </c>
      <c r="E247" t="inlineStr">
        <is>
          <t>VILHELMINA</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33661-2023</t>
        </is>
      </c>
      <c r="B248" s="1" t="n">
        <v>45119</v>
      </c>
      <c r="C248" s="1" t="n">
        <v>45995</v>
      </c>
      <c r="D248" t="inlineStr">
        <is>
          <t>VÄSTERBOTTENS LÄN</t>
        </is>
      </c>
      <c r="E248" t="inlineStr">
        <is>
          <t>VILHELMINA</t>
        </is>
      </c>
      <c r="G248" t="n">
        <v>1.8</v>
      </c>
      <c r="H248" t="n">
        <v>0</v>
      </c>
      <c r="I248" t="n">
        <v>0</v>
      </c>
      <c r="J248" t="n">
        <v>0</v>
      </c>
      <c r="K248" t="n">
        <v>0</v>
      </c>
      <c r="L248" t="n">
        <v>0</v>
      </c>
      <c r="M248" t="n">
        <v>0</v>
      </c>
      <c r="N248" t="n">
        <v>0</v>
      </c>
      <c r="O248" t="n">
        <v>0</v>
      </c>
      <c r="P248" t="n">
        <v>0</v>
      </c>
      <c r="Q248" t="n">
        <v>0</v>
      </c>
      <c r="R248" s="2" t="inlineStr"/>
    </row>
    <row r="249" ht="15" customHeight="1">
      <c r="A249" t="inlineStr">
        <is>
          <t>A 54457-2024</t>
        </is>
      </c>
      <c r="B249" s="1" t="n">
        <v>45617</v>
      </c>
      <c r="C249" s="1" t="n">
        <v>45995</v>
      </c>
      <c r="D249" t="inlineStr">
        <is>
          <t>VÄSTERBOTTENS LÄN</t>
        </is>
      </c>
      <c r="E249" t="inlineStr">
        <is>
          <t>VILHELMINA</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27194-2024</t>
        </is>
      </c>
      <c r="B250" s="1" t="n">
        <v>45471</v>
      </c>
      <c r="C250" s="1" t="n">
        <v>45995</v>
      </c>
      <c r="D250" t="inlineStr">
        <is>
          <t>VÄSTERBOTTENS LÄN</t>
        </is>
      </c>
      <c r="E250" t="inlineStr">
        <is>
          <t>VILHELMINA</t>
        </is>
      </c>
      <c r="G250" t="n">
        <v>8.5</v>
      </c>
      <c r="H250" t="n">
        <v>0</v>
      </c>
      <c r="I250" t="n">
        <v>0</v>
      </c>
      <c r="J250" t="n">
        <v>0</v>
      </c>
      <c r="K250" t="n">
        <v>0</v>
      </c>
      <c r="L250" t="n">
        <v>0</v>
      </c>
      <c r="M250" t="n">
        <v>0</v>
      </c>
      <c r="N250" t="n">
        <v>0</v>
      </c>
      <c r="O250" t="n">
        <v>0</v>
      </c>
      <c r="P250" t="n">
        <v>0</v>
      </c>
      <c r="Q250" t="n">
        <v>0</v>
      </c>
      <c r="R250" s="2" t="inlineStr"/>
    </row>
    <row r="251" ht="15" customHeight="1">
      <c r="A251" t="inlineStr">
        <is>
          <t>A 36931-2022</t>
        </is>
      </c>
      <c r="B251" s="1" t="n">
        <v>44805</v>
      </c>
      <c r="C251" s="1" t="n">
        <v>45995</v>
      </c>
      <c r="D251" t="inlineStr">
        <is>
          <t>VÄSTERBOTTENS LÄN</t>
        </is>
      </c>
      <c r="E251" t="inlineStr">
        <is>
          <t>VILHELMINA</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44371-2023</t>
        </is>
      </c>
      <c r="B252" s="1" t="n">
        <v>45188</v>
      </c>
      <c r="C252" s="1" t="n">
        <v>45995</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31851-2024</t>
        </is>
      </c>
      <c r="B253" s="1" t="n">
        <v>45509</v>
      </c>
      <c r="C253" s="1" t="n">
        <v>45995</v>
      </c>
      <c r="D253" t="inlineStr">
        <is>
          <t>VÄSTERBOTTENS LÄN</t>
        </is>
      </c>
      <c r="E253" t="inlineStr">
        <is>
          <t>VILHELMINA</t>
        </is>
      </c>
      <c r="G253" t="n">
        <v>5.1</v>
      </c>
      <c r="H253" t="n">
        <v>0</v>
      </c>
      <c r="I253" t="n">
        <v>0</v>
      </c>
      <c r="J253" t="n">
        <v>0</v>
      </c>
      <c r="K253" t="n">
        <v>0</v>
      </c>
      <c r="L253" t="n">
        <v>0</v>
      </c>
      <c r="M253" t="n">
        <v>0</v>
      </c>
      <c r="N253" t="n">
        <v>0</v>
      </c>
      <c r="O253" t="n">
        <v>0</v>
      </c>
      <c r="P253" t="n">
        <v>0</v>
      </c>
      <c r="Q253" t="n">
        <v>0</v>
      </c>
      <c r="R253" s="2" t="inlineStr"/>
    </row>
    <row r="254" ht="15" customHeight="1">
      <c r="A254" t="inlineStr">
        <is>
          <t>A 53658-2022</t>
        </is>
      </c>
      <c r="B254" s="1" t="n">
        <v>44879</v>
      </c>
      <c r="C254" s="1" t="n">
        <v>45995</v>
      </c>
      <c r="D254" t="inlineStr">
        <is>
          <t>VÄSTERBOTTENS LÄN</t>
        </is>
      </c>
      <c r="E254" t="inlineStr">
        <is>
          <t>VILHELMINA</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13200-2025</t>
        </is>
      </c>
      <c r="B255" s="1" t="n">
        <v>45735</v>
      </c>
      <c r="C255" s="1" t="n">
        <v>45995</v>
      </c>
      <c r="D255" t="inlineStr">
        <is>
          <t>VÄSTERBOTTENS LÄN</t>
        </is>
      </c>
      <c r="E255" t="inlineStr">
        <is>
          <t>VILHELMINA</t>
        </is>
      </c>
      <c r="F255" t="inlineStr">
        <is>
          <t>SCA</t>
        </is>
      </c>
      <c r="G255" t="n">
        <v>5.5</v>
      </c>
      <c r="H255" t="n">
        <v>0</v>
      </c>
      <c r="I255" t="n">
        <v>0</v>
      </c>
      <c r="J255" t="n">
        <v>0</v>
      </c>
      <c r="K255" t="n">
        <v>0</v>
      </c>
      <c r="L255" t="n">
        <v>0</v>
      </c>
      <c r="M255" t="n">
        <v>0</v>
      </c>
      <c r="N255" t="n">
        <v>0</v>
      </c>
      <c r="O255" t="n">
        <v>0</v>
      </c>
      <c r="P255" t="n">
        <v>0</v>
      </c>
      <c r="Q255" t="n">
        <v>0</v>
      </c>
      <c r="R255" s="2" t="inlineStr"/>
    </row>
    <row r="256" ht="15" customHeight="1">
      <c r="A256" t="inlineStr">
        <is>
          <t>A 41330-2022</t>
        </is>
      </c>
      <c r="B256" s="1" t="n">
        <v>44826</v>
      </c>
      <c r="C256" s="1" t="n">
        <v>45995</v>
      </c>
      <c r="D256" t="inlineStr">
        <is>
          <t>VÄSTERBOTTENS LÄN</t>
        </is>
      </c>
      <c r="E256" t="inlineStr">
        <is>
          <t>VILHELMINA</t>
        </is>
      </c>
      <c r="G256" t="n">
        <v>3.4</v>
      </c>
      <c r="H256" t="n">
        <v>0</v>
      </c>
      <c r="I256" t="n">
        <v>0</v>
      </c>
      <c r="J256" t="n">
        <v>0</v>
      </c>
      <c r="K256" t="n">
        <v>0</v>
      </c>
      <c r="L256" t="n">
        <v>0</v>
      </c>
      <c r="M256" t="n">
        <v>0</v>
      </c>
      <c r="N256" t="n">
        <v>0</v>
      </c>
      <c r="O256" t="n">
        <v>0</v>
      </c>
      <c r="P256" t="n">
        <v>0</v>
      </c>
      <c r="Q256" t="n">
        <v>0</v>
      </c>
      <c r="R256" s="2" t="inlineStr"/>
    </row>
    <row r="257" ht="15" customHeight="1">
      <c r="A257" t="inlineStr">
        <is>
          <t>A 58943-2024</t>
        </is>
      </c>
      <c r="B257" s="1" t="n">
        <v>45636.5433449074</v>
      </c>
      <c r="C257" s="1" t="n">
        <v>45995</v>
      </c>
      <c r="D257" t="inlineStr">
        <is>
          <t>VÄSTERBOTTENS LÄN</t>
        </is>
      </c>
      <c r="E257" t="inlineStr">
        <is>
          <t>VILHELMINA</t>
        </is>
      </c>
      <c r="F257" t="inlineStr">
        <is>
          <t>Kommuner</t>
        </is>
      </c>
      <c r="G257" t="n">
        <v>4.1</v>
      </c>
      <c r="H257" t="n">
        <v>0</v>
      </c>
      <c r="I257" t="n">
        <v>0</v>
      </c>
      <c r="J257" t="n">
        <v>0</v>
      </c>
      <c r="K257" t="n">
        <v>0</v>
      </c>
      <c r="L257" t="n">
        <v>0</v>
      </c>
      <c r="M257" t="n">
        <v>0</v>
      </c>
      <c r="N257" t="n">
        <v>0</v>
      </c>
      <c r="O257" t="n">
        <v>0</v>
      </c>
      <c r="P257" t="n">
        <v>0</v>
      </c>
      <c r="Q257" t="n">
        <v>0</v>
      </c>
      <c r="R257" s="2" t="inlineStr"/>
    </row>
    <row r="258" ht="15" customHeight="1">
      <c r="A258" t="inlineStr">
        <is>
          <t>A 74-2025</t>
        </is>
      </c>
      <c r="B258" s="1" t="n">
        <v>45659</v>
      </c>
      <c r="C258" s="1" t="n">
        <v>45995</v>
      </c>
      <c r="D258" t="inlineStr">
        <is>
          <t>VÄSTERBOTTENS LÄN</t>
        </is>
      </c>
      <c r="E258" t="inlineStr">
        <is>
          <t>VILHELMINA</t>
        </is>
      </c>
      <c r="G258" t="n">
        <v>5.9</v>
      </c>
      <c r="H258" t="n">
        <v>0</v>
      </c>
      <c r="I258" t="n">
        <v>0</v>
      </c>
      <c r="J258" t="n">
        <v>0</v>
      </c>
      <c r="K258" t="n">
        <v>0</v>
      </c>
      <c r="L258" t="n">
        <v>0</v>
      </c>
      <c r="M258" t="n">
        <v>0</v>
      </c>
      <c r="N258" t="n">
        <v>0</v>
      </c>
      <c r="O258" t="n">
        <v>0</v>
      </c>
      <c r="P258" t="n">
        <v>0</v>
      </c>
      <c r="Q258" t="n">
        <v>0</v>
      </c>
      <c r="R258" s="2" t="inlineStr"/>
    </row>
    <row r="259" ht="15" customHeight="1">
      <c r="A259" t="inlineStr">
        <is>
          <t>A 78-2025</t>
        </is>
      </c>
      <c r="B259" s="1" t="n">
        <v>45659</v>
      </c>
      <c r="C259" s="1" t="n">
        <v>45995</v>
      </c>
      <c r="D259" t="inlineStr">
        <is>
          <t>VÄSTERBOTTENS LÄN</t>
        </is>
      </c>
      <c r="E259" t="inlineStr">
        <is>
          <t>VILHELMINA</t>
        </is>
      </c>
      <c r="G259" t="n">
        <v>7.3</v>
      </c>
      <c r="H259" t="n">
        <v>0</v>
      </c>
      <c r="I259" t="n">
        <v>0</v>
      </c>
      <c r="J259" t="n">
        <v>0</v>
      </c>
      <c r="K259" t="n">
        <v>0</v>
      </c>
      <c r="L259" t="n">
        <v>0</v>
      </c>
      <c r="M259" t="n">
        <v>0</v>
      </c>
      <c r="N259" t="n">
        <v>0</v>
      </c>
      <c r="O259" t="n">
        <v>0</v>
      </c>
      <c r="P259" t="n">
        <v>0</v>
      </c>
      <c r="Q259" t="n">
        <v>0</v>
      </c>
      <c r="R259" s="2" t="inlineStr"/>
    </row>
    <row r="260" ht="15" customHeight="1">
      <c r="A260" t="inlineStr">
        <is>
          <t>A 35686-2022</t>
        </is>
      </c>
      <c r="B260" s="1" t="n">
        <v>44799</v>
      </c>
      <c r="C260" s="1" t="n">
        <v>45995</v>
      </c>
      <c r="D260" t="inlineStr">
        <is>
          <t>VÄSTERBOTTENS LÄN</t>
        </is>
      </c>
      <c r="E260" t="inlineStr">
        <is>
          <t>VILHELMINA</t>
        </is>
      </c>
      <c r="F260" t="inlineStr">
        <is>
          <t>Övriga statliga verk och myndigheter</t>
        </is>
      </c>
      <c r="G260" t="n">
        <v>2.6</v>
      </c>
      <c r="H260" t="n">
        <v>0</v>
      </c>
      <c r="I260" t="n">
        <v>0</v>
      </c>
      <c r="J260" t="n">
        <v>0</v>
      </c>
      <c r="K260" t="n">
        <v>0</v>
      </c>
      <c r="L260" t="n">
        <v>0</v>
      </c>
      <c r="M260" t="n">
        <v>0</v>
      </c>
      <c r="N260" t="n">
        <v>0</v>
      </c>
      <c r="O260" t="n">
        <v>0</v>
      </c>
      <c r="P260" t="n">
        <v>0</v>
      </c>
      <c r="Q260" t="n">
        <v>0</v>
      </c>
      <c r="R260" s="2" t="inlineStr"/>
    </row>
    <row r="261" ht="15" customHeight="1">
      <c r="A261" t="inlineStr">
        <is>
          <t>A 23278-2021</t>
        </is>
      </c>
      <c r="B261" s="1" t="n">
        <v>44328</v>
      </c>
      <c r="C261" s="1" t="n">
        <v>45995</v>
      </c>
      <c r="D261" t="inlineStr">
        <is>
          <t>VÄSTERBOTTENS LÄN</t>
        </is>
      </c>
      <c r="E261" t="inlineStr">
        <is>
          <t>VILHELMINA</t>
        </is>
      </c>
      <c r="F261" t="inlineStr">
        <is>
          <t>Allmännings- och besparingsskogar</t>
        </is>
      </c>
      <c r="G261" t="n">
        <v>13.6</v>
      </c>
      <c r="H261" t="n">
        <v>0</v>
      </c>
      <c r="I261" t="n">
        <v>0</v>
      </c>
      <c r="J261" t="n">
        <v>0</v>
      </c>
      <c r="K261" t="n">
        <v>0</v>
      </c>
      <c r="L261" t="n">
        <v>0</v>
      </c>
      <c r="M261" t="n">
        <v>0</v>
      </c>
      <c r="N261" t="n">
        <v>0</v>
      </c>
      <c r="O261" t="n">
        <v>0</v>
      </c>
      <c r="P261" t="n">
        <v>0</v>
      </c>
      <c r="Q261" t="n">
        <v>0</v>
      </c>
      <c r="R261" s="2" t="inlineStr"/>
    </row>
    <row r="262" ht="15" customHeight="1">
      <c r="A262" t="inlineStr">
        <is>
          <t>A 9497-2025</t>
        </is>
      </c>
      <c r="B262" s="1" t="n">
        <v>45715.51086805556</v>
      </c>
      <c r="C262" s="1" t="n">
        <v>45995</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33349-2023</t>
        </is>
      </c>
      <c r="B263" s="1" t="n">
        <v>45117</v>
      </c>
      <c r="C263" s="1" t="n">
        <v>45995</v>
      </c>
      <c r="D263" t="inlineStr">
        <is>
          <t>VÄSTERBOTTENS LÄN</t>
        </is>
      </c>
      <c r="E263" t="inlineStr">
        <is>
          <t>VILHELMINA</t>
        </is>
      </c>
      <c r="G263" t="n">
        <v>1.3</v>
      </c>
      <c r="H263" t="n">
        <v>0</v>
      </c>
      <c r="I263" t="n">
        <v>0</v>
      </c>
      <c r="J263" t="n">
        <v>0</v>
      </c>
      <c r="K263" t="n">
        <v>0</v>
      </c>
      <c r="L263" t="n">
        <v>0</v>
      </c>
      <c r="M263" t="n">
        <v>0</v>
      </c>
      <c r="N263" t="n">
        <v>0</v>
      </c>
      <c r="O263" t="n">
        <v>0</v>
      </c>
      <c r="P263" t="n">
        <v>0</v>
      </c>
      <c r="Q263" t="n">
        <v>0</v>
      </c>
      <c r="R263" s="2" t="inlineStr"/>
    </row>
    <row r="264" ht="15" customHeight="1">
      <c r="A264" t="inlineStr">
        <is>
          <t>A 54387-2024</t>
        </is>
      </c>
      <c r="B264" s="1" t="n">
        <v>45617</v>
      </c>
      <c r="C264" s="1" t="n">
        <v>45995</v>
      </c>
      <c r="D264" t="inlineStr">
        <is>
          <t>VÄSTERBOTTENS LÄN</t>
        </is>
      </c>
      <c r="E264" t="inlineStr">
        <is>
          <t>VILHELMINA</t>
        </is>
      </c>
      <c r="F264" t="inlineStr">
        <is>
          <t>SCA</t>
        </is>
      </c>
      <c r="G264" t="n">
        <v>7.6</v>
      </c>
      <c r="H264" t="n">
        <v>0</v>
      </c>
      <c r="I264" t="n">
        <v>0</v>
      </c>
      <c r="J264" t="n">
        <v>0</v>
      </c>
      <c r="K264" t="n">
        <v>0</v>
      </c>
      <c r="L264" t="n">
        <v>0</v>
      </c>
      <c r="M264" t="n">
        <v>0</v>
      </c>
      <c r="N264" t="n">
        <v>0</v>
      </c>
      <c r="O264" t="n">
        <v>0</v>
      </c>
      <c r="P264" t="n">
        <v>0</v>
      </c>
      <c r="Q264" t="n">
        <v>0</v>
      </c>
      <c r="R264" s="2" t="inlineStr"/>
    </row>
    <row r="265" ht="15" customHeight="1">
      <c r="A265" t="inlineStr">
        <is>
          <t>A 8718-2025</t>
        </is>
      </c>
      <c r="B265" s="1" t="n">
        <v>45712</v>
      </c>
      <c r="C265" s="1" t="n">
        <v>45995</v>
      </c>
      <c r="D265" t="inlineStr">
        <is>
          <t>VÄSTERBOTTENS LÄN</t>
        </is>
      </c>
      <c r="E265" t="inlineStr">
        <is>
          <t>VILHELMINA</t>
        </is>
      </c>
      <c r="G265" t="n">
        <v>21.3</v>
      </c>
      <c r="H265" t="n">
        <v>0</v>
      </c>
      <c r="I265" t="n">
        <v>0</v>
      </c>
      <c r="J265" t="n">
        <v>0</v>
      </c>
      <c r="K265" t="n">
        <v>0</v>
      </c>
      <c r="L265" t="n">
        <v>0</v>
      </c>
      <c r="M265" t="n">
        <v>0</v>
      </c>
      <c r="N265" t="n">
        <v>0</v>
      </c>
      <c r="O265" t="n">
        <v>0</v>
      </c>
      <c r="P265" t="n">
        <v>0</v>
      </c>
      <c r="Q265" t="n">
        <v>0</v>
      </c>
      <c r="R265" s="2" t="inlineStr"/>
    </row>
    <row r="266" ht="15" customHeight="1">
      <c r="A266" t="inlineStr">
        <is>
          <t>A 19909-2025</t>
        </is>
      </c>
      <c r="B266" s="1" t="n">
        <v>45771.60482638889</v>
      </c>
      <c r="C266" s="1" t="n">
        <v>45995</v>
      </c>
      <c r="D266" t="inlineStr">
        <is>
          <t>VÄSTERBOTTENS LÄN</t>
        </is>
      </c>
      <c r="E266" t="inlineStr">
        <is>
          <t>VILHELMINA</t>
        </is>
      </c>
      <c r="G266" t="n">
        <v>12.4</v>
      </c>
      <c r="H266" t="n">
        <v>0</v>
      </c>
      <c r="I266" t="n">
        <v>0</v>
      </c>
      <c r="J266" t="n">
        <v>0</v>
      </c>
      <c r="K266" t="n">
        <v>0</v>
      </c>
      <c r="L266" t="n">
        <v>0</v>
      </c>
      <c r="M266" t="n">
        <v>0</v>
      </c>
      <c r="N266" t="n">
        <v>0</v>
      </c>
      <c r="O266" t="n">
        <v>0</v>
      </c>
      <c r="P266" t="n">
        <v>0</v>
      </c>
      <c r="Q266" t="n">
        <v>0</v>
      </c>
      <c r="R266" s="2" t="inlineStr"/>
    </row>
    <row r="267" ht="15" customHeight="1">
      <c r="A267" t="inlineStr">
        <is>
          <t>A 2193-2021</t>
        </is>
      </c>
      <c r="B267" s="1" t="n">
        <v>44211</v>
      </c>
      <c r="C267" s="1" t="n">
        <v>45995</v>
      </c>
      <c r="D267" t="inlineStr">
        <is>
          <t>VÄSTERBOTTENS LÄN</t>
        </is>
      </c>
      <c r="E267" t="inlineStr">
        <is>
          <t>VILHELMINA</t>
        </is>
      </c>
      <c r="F267" t="inlineStr">
        <is>
          <t>Allmännings- och besparingsskogar</t>
        </is>
      </c>
      <c r="G267" t="n">
        <v>157.8</v>
      </c>
      <c r="H267" t="n">
        <v>0</v>
      </c>
      <c r="I267" t="n">
        <v>0</v>
      </c>
      <c r="J267" t="n">
        <v>0</v>
      </c>
      <c r="K267" t="n">
        <v>0</v>
      </c>
      <c r="L267" t="n">
        <v>0</v>
      </c>
      <c r="M267" t="n">
        <v>0</v>
      </c>
      <c r="N267" t="n">
        <v>0</v>
      </c>
      <c r="O267" t="n">
        <v>0</v>
      </c>
      <c r="P267" t="n">
        <v>0</v>
      </c>
      <c r="Q267" t="n">
        <v>0</v>
      </c>
      <c r="R267" s="2" t="inlineStr"/>
    </row>
    <row r="268" ht="15" customHeight="1">
      <c r="A268" t="inlineStr">
        <is>
          <t>A 45965-2023</t>
        </is>
      </c>
      <c r="B268" s="1" t="n">
        <v>45195.94755787037</v>
      </c>
      <c r="C268" s="1" t="n">
        <v>45995</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8003-2021</t>
        </is>
      </c>
      <c r="B269" s="1" t="n">
        <v>44243</v>
      </c>
      <c r="C269" s="1" t="n">
        <v>45995</v>
      </c>
      <c r="D269" t="inlineStr">
        <is>
          <t>VÄSTERBOTTENS LÄN</t>
        </is>
      </c>
      <c r="E269" t="inlineStr">
        <is>
          <t>VILHELMINA</t>
        </is>
      </c>
      <c r="G269" t="n">
        <v>5.1</v>
      </c>
      <c r="H269" t="n">
        <v>0</v>
      </c>
      <c r="I269" t="n">
        <v>0</v>
      </c>
      <c r="J269" t="n">
        <v>0</v>
      </c>
      <c r="K269" t="n">
        <v>0</v>
      </c>
      <c r="L269" t="n">
        <v>0</v>
      </c>
      <c r="M269" t="n">
        <v>0</v>
      </c>
      <c r="N269" t="n">
        <v>0</v>
      </c>
      <c r="O269" t="n">
        <v>0</v>
      </c>
      <c r="P269" t="n">
        <v>0</v>
      </c>
      <c r="Q269" t="n">
        <v>0</v>
      </c>
      <c r="R269" s="2" t="inlineStr"/>
    </row>
    <row r="270" ht="15" customHeight="1">
      <c r="A270" t="inlineStr">
        <is>
          <t>A 38597-2025</t>
        </is>
      </c>
      <c r="B270" s="1" t="n">
        <v>45884.49061342593</v>
      </c>
      <c r="C270" s="1" t="n">
        <v>45995</v>
      </c>
      <c r="D270" t="inlineStr">
        <is>
          <t>VÄSTERBOTTENS LÄN</t>
        </is>
      </c>
      <c r="E270" t="inlineStr">
        <is>
          <t>VILHELMINA</t>
        </is>
      </c>
      <c r="F270" t="inlineStr">
        <is>
          <t>SCA</t>
        </is>
      </c>
      <c r="G270" t="n">
        <v>7.5</v>
      </c>
      <c r="H270" t="n">
        <v>0</v>
      </c>
      <c r="I270" t="n">
        <v>0</v>
      </c>
      <c r="J270" t="n">
        <v>0</v>
      </c>
      <c r="K270" t="n">
        <v>0</v>
      </c>
      <c r="L270" t="n">
        <v>0</v>
      </c>
      <c r="M270" t="n">
        <v>0</v>
      </c>
      <c r="N270" t="n">
        <v>0</v>
      </c>
      <c r="O270" t="n">
        <v>0</v>
      </c>
      <c r="P270" t="n">
        <v>0</v>
      </c>
      <c r="Q270" t="n">
        <v>0</v>
      </c>
      <c r="R270" s="2" t="inlineStr"/>
    </row>
    <row r="271" ht="15" customHeight="1">
      <c r="A271" t="inlineStr">
        <is>
          <t>A 38357-2025</t>
        </is>
      </c>
      <c r="B271" s="1" t="n">
        <v>45883.53263888889</v>
      </c>
      <c r="C271" s="1" t="n">
        <v>45995</v>
      </c>
      <c r="D271" t="inlineStr">
        <is>
          <t>VÄSTERBOTTENS LÄN</t>
        </is>
      </c>
      <c r="E271" t="inlineStr">
        <is>
          <t>VILHELMINA</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31896-2024</t>
        </is>
      </c>
      <c r="B272" s="1" t="n">
        <v>45509</v>
      </c>
      <c r="C272" s="1" t="n">
        <v>45995</v>
      </c>
      <c r="D272" t="inlineStr">
        <is>
          <t>VÄSTERBOTTENS LÄN</t>
        </is>
      </c>
      <c r="E272" t="inlineStr">
        <is>
          <t>VILHELMINA</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38409-2025</t>
        </is>
      </c>
      <c r="B273" s="1" t="n">
        <v>45883.59429398148</v>
      </c>
      <c r="C273" s="1" t="n">
        <v>45995</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39914-2023</t>
        </is>
      </c>
      <c r="B274" s="1" t="n">
        <v>45166</v>
      </c>
      <c r="C274" s="1" t="n">
        <v>45995</v>
      </c>
      <c r="D274" t="inlineStr">
        <is>
          <t>VÄSTERBOTTENS LÄN</t>
        </is>
      </c>
      <c r="E274" t="inlineStr">
        <is>
          <t>VILHELMINA</t>
        </is>
      </c>
      <c r="G274" t="n">
        <v>27.5</v>
      </c>
      <c r="H274" t="n">
        <v>0</v>
      </c>
      <c r="I274" t="n">
        <v>0</v>
      </c>
      <c r="J274" t="n">
        <v>0</v>
      </c>
      <c r="K274" t="n">
        <v>0</v>
      </c>
      <c r="L274" t="n">
        <v>0</v>
      </c>
      <c r="M274" t="n">
        <v>0</v>
      </c>
      <c r="N274" t="n">
        <v>0</v>
      </c>
      <c r="O274" t="n">
        <v>0</v>
      </c>
      <c r="P274" t="n">
        <v>0</v>
      </c>
      <c r="Q274" t="n">
        <v>0</v>
      </c>
      <c r="R274" s="2" t="inlineStr"/>
    </row>
    <row r="275" ht="15" customHeight="1">
      <c r="A275" t="inlineStr">
        <is>
          <t>A 37505-2023</t>
        </is>
      </c>
      <c r="B275" s="1" t="n">
        <v>45158.31186342592</v>
      </c>
      <c r="C275" s="1" t="n">
        <v>45995</v>
      </c>
      <c r="D275" t="inlineStr">
        <is>
          <t>VÄSTERBOTTENS LÄN</t>
        </is>
      </c>
      <c r="E275" t="inlineStr">
        <is>
          <t>VILHELMINA</t>
        </is>
      </c>
      <c r="G275" t="n">
        <v>10.5</v>
      </c>
      <c r="H275" t="n">
        <v>0</v>
      </c>
      <c r="I275" t="n">
        <v>0</v>
      </c>
      <c r="J275" t="n">
        <v>0</v>
      </c>
      <c r="K275" t="n">
        <v>0</v>
      </c>
      <c r="L275" t="n">
        <v>0</v>
      </c>
      <c r="M275" t="n">
        <v>0</v>
      </c>
      <c r="N275" t="n">
        <v>0</v>
      </c>
      <c r="O275" t="n">
        <v>0</v>
      </c>
      <c r="P275" t="n">
        <v>0</v>
      </c>
      <c r="Q275" t="n">
        <v>0</v>
      </c>
      <c r="R275" s="2" t="inlineStr"/>
    </row>
    <row r="276" ht="15" customHeight="1">
      <c r="A276" t="inlineStr">
        <is>
          <t>A 27881-2022</t>
        </is>
      </c>
      <c r="B276" s="1" t="n">
        <v>44743</v>
      </c>
      <c r="C276" s="1" t="n">
        <v>45995</v>
      </c>
      <c r="D276" t="inlineStr">
        <is>
          <t>VÄSTERBOTTENS LÄN</t>
        </is>
      </c>
      <c r="E276" t="inlineStr">
        <is>
          <t>VILHELMINA</t>
        </is>
      </c>
      <c r="F276" t="inlineStr">
        <is>
          <t>Sveaskog</t>
        </is>
      </c>
      <c r="G276" t="n">
        <v>14.3</v>
      </c>
      <c r="H276" t="n">
        <v>0</v>
      </c>
      <c r="I276" t="n">
        <v>0</v>
      </c>
      <c r="J276" t="n">
        <v>0</v>
      </c>
      <c r="K276" t="n">
        <v>0</v>
      </c>
      <c r="L276" t="n">
        <v>0</v>
      </c>
      <c r="M276" t="n">
        <v>0</v>
      </c>
      <c r="N276" t="n">
        <v>0</v>
      </c>
      <c r="O276" t="n">
        <v>0</v>
      </c>
      <c r="P276" t="n">
        <v>0</v>
      </c>
      <c r="Q276" t="n">
        <v>0</v>
      </c>
      <c r="R276" s="2" t="inlineStr"/>
    </row>
    <row r="277" ht="15" customHeight="1">
      <c r="A277" t="inlineStr">
        <is>
          <t>A 38355-2025</t>
        </is>
      </c>
      <c r="B277" s="1" t="n">
        <v>45883.53228009259</v>
      </c>
      <c r="C277" s="1" t="n">
        <v>45995</v>
      </c>
      <c r="D277" t="inlineStr">
        <is>
          <t>VÄSTERBOTTENS LÄN</t>
        </is>
      </c>
      <c r="E277" t="inlineStr">
        <is>
          <t>VILHELMINA</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38356-2025</t>
        </is>
      </c>
      <c r="B278" s="1" t="n">
        <v>45883.53247685185</v>
      </c>
      <c r="C278" s="1" t="n">
        <v>45995</v>
      </c>
      <c r="D278" t="inlineStr">
        <is>
          <t>VÄSTERBOTTENS LÄN</t>
        </is>
      </c>
      <c r="E278" t="inlineStr">
        <is>
          <t>VILHELMINA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49241-2024</t>
        </is>
      </c>
      <c r="B279" s="1" t="n">
        <v>45595</v>
      </c>
      <c r="C279" s="1" t="n">
        <v>45995</v>
      </c>
      <c r="D279" t="inlineStr">
        <is>
          <t>VÄSTERBOTTENS LÄN</t>
        </is>
      </c>
      <c r="E279" t="inlineStr">
        <is>
          <t>VILHELMINA</t>
        </is>
      </c>
      <c r="G279" t="n">
        <v>1.4</v>
      </c>
      <c r="H279" t="n">
        <v>0</v>
      </c>
      <c r="I279" t="n">
        <v>0</v>
      </c>
      <c r="J279" t="n">
        <v>0</v>
      </c>
      <c r="K279" t="n">
        <v>0</v>
      </c>
      <c r="L279" t="n">
        <v>0</v>
      </c>
      <c r="M279" t="n">
        <v>0</v>
      </c>
      <c r="N279" t="n">
        <v>0</v>
      </c>
      <c r="O279" t="n">
        <v>0</v>
      </c>
      <c r="P279" t="n">
        <v>0</v>
      </c>
      <c r="Q279" t="n">
        <v>0</v>
      </c>
      <c r="R279" s="2" t="inlineStr"/>
    </row>
    <row r="280" ht="15" customHeight="1">
      <c r="A280" t="inlineStr">
        <is>
          <t>A 58450-2024</t>
        </is>
      </c>
      <c r="B280" s="1" t="n">
        <v>45635.34425925926</v>
      </c>
      <c r="C280" s="1" t="n">
        <v>45995</v>
      </c>
      <c r="D280" t="inlineStr">
        <is>
          <t>VÄSTERBOTTENS LÄN</t>
        </is>
      </c>
      <c r="E280" t="inlineStr">
        <is>
          <t>VILHELMINA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38212-2025</t>
        </is>
      </c>
      <c r="B281" s="1" t="n">
        <v>45882.95137731481</v>
      </c>
      <c r="C281" s="1" t="n">
        <v>45995</v>
      </c>
      <c r="D281" t="inlineStr">
        <is>
          <t>VÄSTERBOTTENS LÄN</t>
        </is>
      </c>
      <c r="E281" t="inlineStr">
        <is>
          <t>VILHELMINA</t>
        </is>
      </c>
      <c r="G281" t="n">
        <v>11.7</v>
      </c>
      <c r="H281" t="n">
        <v>0</v>
      </c>
      <c r="I281" t="n">
        <v>0</v>
      </c>
      <c r="J281" t="n">
        <v>0</v>
      </c>
      <c r="K281" t="n">
        <v>0</v>
      </c>
      <c r="L281" t="n">
        <v>0</v>
      </c>
      <c r="M281" t="n">
        <v>0</v>
      </c>
      <c r="N281" t="n">
        <v>0</v>
      </c>
      <c r="O281" t="n">
        <v>0</v>
      </c>
      <c r="P281" t="n">
        <v>0</v>
      </c>
      <c r="Q281" t="n">
        <v>0</v>
      </c>
      <c r="R281" s="2" t="inlineStr"/>
    </row>
    <row r="282" ht="15" customHeight="1">
      <c r="A282" t="inlineStr">
        <is>
          <t>A 38243-2025</t>
        </is>
      </c>
      <c r="B282" s="1" t="n">
        <v>45883.36553240741</v>
      </c>
      <c r="C282" s="1" t="n">
        <v>45995</v>
      </c>
      <c r="D282" t="inlineStr">
        <is>
          <t>VÄSTERBOTTENS LÄN</t>
        </is>
      </c>
      <c r="E282" t="inlineStr">
        <is>
          <t>VILHELMINA</t>
        </is>
      </c>
      <c r="G282" t="n">
        <v>4.7</v>
      </c>
      <c r="H282" t="n">
        <v>0</v>
      </c>
      <c r="I282" t="n">
        <v>0</v>
      </c>
      <c r="J282" t="n">
        <v>0</v>
      </c>
      <c r="K282" t="n">
        <v>0</v>
      </c>
      <c r="L282" t="n">
        <v>0</v>
      </c>
      <c r="M282" t="n">
        <v>0</v>
      </c>
      <c r="N282" t="n">
        <v>0</v>
      </c>
      <c r="O282" t="n">
        <v>0</v>
      </c>
      <c r="P282" t="n">
        <v>0</v>
      </c>
      <c r="Q282" t="n">
        <v>0</v>
      </c>
      <c r="R282" s="2" t="inlineStr"/>
    </row>
    <row r="283" ht="15" customHeight="1">
      <c r="A283" t="inlineStr">
        <is>
          <t>A 38211-2025</t>
        </is>
      </c>
      <c r="B283" s="1" t="n">
        <v>45882.93524305556</v>
      </c>
      <c r="C283" s="1" t="n">
        <v>45995</v>
      </c>
      <c r="D283" t="inlineStr">
        <is>
          <t>VÄSTERBOTTENS LÄN</t>
        </is>
      </c>
      <c r="E283" t="inlineStr">
        <is>
          <t>VILHELMINA</t>
        </is>
      </c>
      <c r="G283" t="n">
        <v>13.8</v>
      </c>
      <c r="H283" t="n">
        <v>0</v>
      </c>
      <c r="I283" t="n">
        <v>0</v>
      </c>
      <c r="J283" t="n">
        <v>0</v>
      </c>
      <c r="K283" t="n">
        <v>0</v>
      </c>
      <c r="L283" t="n">
        <v>0</v>
      </c>
      <c r="M283" t="n">
        <v>0</v>
      </c>
      <c r="N283" t="n">
        <v>0</v>
      </c>
      <c r="O283" t="n">
        <v>0</v>
      </c>
      <c r="P283" t="n">
        <v>0</v>
      </c>
      <c r="Q283" t="n">
        <v>0</v>
      </c>
      <c r="R283" s="2" t="inlineStr"/>
    </row>
    <row r="284" ht="15" customHeight="1">
      <c r="A284" t="inlineStr">
        <is>
          <t>A 20324-2025</t>
        </is>
      </c>
      <c r="B284" s="1" t="n">
        <v>45775</v>
      </c>
      <c r="C284" s="1" t="n">
        <v>45995</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54727-2022</t>
        </is>
      </c>
      <c r="B285" s="1" t="n">
        <v>44881</v>
      </c>
      <c r="C285" s="1" t="n">
        <v>45995</v>
      </c>
      <c r="D285" t="inlineStr">
        <is>
          <t>VÄSTERBOTTENS LÄN</t>
        </is>
      </c>
      <c r="E285" t="inlineStr">
        <is>
          <t>VILHELMINA</t>
        </is>
      </c>
      <c r="G285" t="n">
        <v>4.3</v>
      </c>
      <c r="H285" t="n">
        <v>0</v>
      </c>
      <c r="I285" t="n">
        <v>0</v>
      </c>
      <c r="J285" t="n">
        <v>0</v>
      </c>
      <c r="K285" t="n">
        <v>0</v>
      </c>
      <c r="L285" t="n">
        <v>0</v>
      </c>
      <c r="M285" t="n">
        <v>0</v>
      </c>
      <c r="N285" t="n">
        <v>0</v>
      </c>
      <c r="O285" t="n">
        <v>0</v>
      </c>
      <c r="P285" t="n">
        <v>0</v>
      </c>
      <c r="Q285" t="n">
        <v>0</v>
      </c>
      <c r="R285" s="2" t="inlineStr"/>
    </row>
    <row r="286" ht="15" customHeight="1">
      <c r="A286" t="inlineStr">
        <is>
          <t>A 12190-2024</t>
        </is>
      </c>
      <c r="B286" s="1" t="n">
        <v>45377.94954861111</v>
      </c>
      <c r="C286" s="1" t="n">
        <v>45995</v>
      </c>
      <c r="D286" t="inlineStr">
        <is>
          <t>VÄSTERBOTTENS LÄN</t>
        </is>
      </c>
      <c r="E286" t="inlineStr">
        <is>
          <t>VILHELMINA</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38242-2025</t>
        </is>
      </c>
      <c r="B287" s="1" t="n">
        <v>45883.36547453704</v>
      </c>
      <c r="C287" s="1" t="n">
        <v>45995</v>
      </c>
      <c r="D287" t="inlineStr">
        <is>
          <t>VÄSTERBOTTENS LÄN</t>
        </is>
      </c>
      <c r="E287" t="inlineStr">
        <is>
          <t>VILHELMINA</t>
        </is>
      </c>
      <c r="G287" t="n">
        <v>1.4</v>
      </c>
      <c r="H287" t="n">
        <v>0</v>
      </c>
      <c r="I287" t="n">
        <v>0</v>
      </c>
      <c r="J287" t="n">
        <v>0</v>
      </c>
      <c r="K287" t="n">
        <v>0</v>
      </c>
      <c r="L287" t="n">
        <v>0</v>
      </c>
      <c r="M287" t="n">
        <v>0</v>
      </c>
      <c r="N287" t="n">
        <v>0</v>
      </c>
      <c r="O287" t="n">
        <v>0</v>
      </c>
      <c r="P287" t="n">
        <v>0</v>
      </c>
      <c r="Q287" t="n">
        <v>0</v>
      </c>
      <c r="R287" s="2" t="inlineStr"/>
    </row>
    <row r="288" ht="15" customHeight="1">
      <c r="A288" t="inlineStr">
        <is>
          <t>A 5575-2025</t>
        </is>
      </c>
      <c r="B288" s="1" t="n">
        <v>45693.53200231482</v>
      </c>
      <c r="C288" s="1" t="n">
        <v>45995</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15617-2024</t>
        </is>
      </c>
      <c r="B289" s="1" t="n">
        <v>45401.94358796296</v>
      </c>
      <c r="C289" s="1" t="n">
        <v>45995</v>
      </c>
      <c r="D289" t="inlineStr">
        <is>
          <t>VÄSTERBOTTENS LÄN</t>
        </is>
      </c>
      <c r="E289" t="inlineStr">
        <is>
          <t>VILHELMINA</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38360-2025</t>
        </is>
      </c>
      <c r="B290" s="1" t="n">
        <v>45883.53290509259</v>
      </c>
      <c r="C290" s="1" t="n">
        <v>45995</v>
      </c>
      <c r="D290" t="inlineStr">
        <is>
          <t>VÄSTERBOTTENS LÄN</t>
        </is>
      </c>
      <c r="E290" t="inlineStr">
        <is>
          <t>VILHELMINA</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38384-2025</t>
        </is>
      </c>
      <c r="B291" s="1" t="n">
        <v>45883</v>
      </c>
      <c r="C291" s="1" t="n">
        <v>45995</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38387-2025</t>
        </is>
      </c>
      <c r="B292" s="1" t="n">
        <v>45883.57451388889</v>
      </c>
      <c r="C292" s="1" t="n">
        <v>45995</v>
      </c>
      <c r="D292" t="inlineStr">
        <is>
          <t>VÄSTERBOTTENS LÄN</t>
        </is>
      </c>
      <c r="E292" t="inlineStr">
        <is>
          <t>VILHELMINA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38454-2025</t>
        </is>
      </c>
      <c r="B293" s="1" t="n">
        <v>45883.67839120371</v>
      </c>
      <c r="C293" s="1" t="n">
        <v>45995</v>
      </c>
      <c r="D293" t="inlineStr">
        <is>
          <t>VÄSTERBOTTENS LÄN</t>
        </is>
      </c>
      <c r="E293" t="inlineStr">
        <is>
          <t>VILHELMINA</t>
        </is>
      </c>
      <c r="G293" t="n">
        <v>4.8</v>
      </c>
      <c r="H293" t="n">
        <v>0</v>
      </c>
      <c r="I293" t="n">
        <v>0</v>
      </c>
      <c r="J293" t="n">
        <v>0</v>
      </c>
      <c r="K293" t="n">
        <v>0</v>
      </c>
      <c r="L293" t="n">
        <v>0</v>
      </c>
      <c r="M293" t="n">
        <v>0</v>
      </c>
      <c r="N293" t="n">
        <v>0</v>
      </c>
      <c r="O293" t="n">
        <v>0</v>
      </c>
      <c r="P293" t="n">
        <v>0</v>
      </c>
      <c r="Q293" t="n">
        <v>0</v>
      </c>
      <c r="R293" s="2" t="inlineStr"/>
    </row>
    <row r="294" ht="15" customHeight="1">
      <c r="A294" t="inlineStr">
        <is>
          <t>A 17432-2025</t>
        </is>
      </c>
      <c r="B294" s="1" t="n">
        <v>45757</v>
      </c>
      <c r="C294" s="1" t="n">
        <v>45995</v>
      </c>
      <c r="D294" t="inlineStr">
        <is>
          <t>VÄSTERBOTTENS LÄN</t>
        </is>
      </c>
      <c r="E294" t="inlineStr">
        <is>
          <t>VILHELMINA</t>
        </is>
      </c>
      <c r="G294" t="n">
        <v>4.6</v>
      </c>
      <c r="H294" t="n">
        <v>0</v>
      </c>
      <c r="I294" t="n">
        <v>0</v>
      </c>
      <c r="J294" t="n">
        <v>0</v>
      </c>
      <c r="K294" t="n">
        <v>0</v>
      </c>
      <c r="L294" t="n">
        <v>0</v>
      </c>
      <c r="M294" t="n">
        <v>0</v>
      </c>
      <c r="N294" t="n">
        <v>0</v>
      </c>
      <c r="O294" t="n">
        <v>0</v>
      </c>
      <c r="P294" t="n">
        <v>0</v>
      </c>
      <c r="Q294" t="n">
        <v>0</v>
      </c>
      <c r="R294" s="2" t="inlineStr"/>
    </row>
    <row r="295" ht="15" customHeight="1">
      <c r="A295" t="inlineStr">
        <is>
          <t>A 24457-2024</t>
        </is>
      </c>
      <c r="B295" s="1" t="n">
        <v>45457.96708333334</v>
      </c>
      <c r="C295" s="1" t="n">
        <v>45995</v>
      </c>
      <c r="D295" t="inlineStr">
        <is>
          <t>VÄSTERBOTTENS LÄN</t>
        </is>
      </c>
      <c r="E295" t="inlineStr">
        <is>
          <t>VILHELMINA</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34763-2024</t>
        </is>
      </c>
      <c r="B296" s="1" t="n">
        <v>45526.61646990741</v>
      </c>
      <c r="C296" s="1" t="n">
        <v>45995</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34764-2024</t>
        </is>
      </c>
      <c r="B297" s="1" t="n">
        <v>45526.61664351852</v>
      </c>
      <c r="C297" s="1" t="n">
        <v>45995</v>
      </c>
      <c r="D297" t="inlineStr">
        <is>
          <t>VÄSTERBOTTENS LÄN</t>
        </is>
      </c>
      <c r="E297" t="inlineStr">
        <is>
          <t>VILHELMINA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36214-2023</t>
        </is>
      </c>
      <c r="B298" s="1" t="n">
        <v>45149.95256944445</v>
      </c>
      <c r="C298" s="1" t="n">
        <v>45995</v>
      </c>
      <c r="D298" t="inlineStr">
        <is>
          <t>VÄSTERBOTTENS LÄN</t>
        </is>
      </c>
      <c r="E298" t="inlineStr">
        <is>
          <t>VILHELMINA</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38430-2025</t>
        </is>
      </c>
      <c r="B299" s="1" t="n">
        <v>45883.6364699074</v>
      </c>
      <c r="C299" s="1" t="n">
        <v>45995</v>
      </c>
      <c r="D299" t="inlineStr">
        <is>
          <t>VÄSTERBOTTENS LÄN</t>
        </is>
      </c>
      <c r="E299" t="inlineStr">
        <is>
          <t>VILHELMINA</t>
        </is>
      </c>
      <c r="G299" t="n">
        <v>36.7</v>
      </c>
      <c r="H299" t="n">
        <v>0</v>
      </c>
      <c r="I299" t="n">
        <v>0</v>
      </c>
      <c r="J299" t="n">
        <v>0</v>
      </c>
      <c r="K299" t="n">
        <v>0</v>
      </c>
      <c r="L299" t="n">
        <v>0</v>
      </c>
      <c r="M299" t="n">
        <v>0</v>
      </c>
      <c r="N299" t="n">
        <v>0</v>
      </c>
      <c r="O299" t="n">
        <v>0</v>
      </c>
      <c r="P299" t="n">
        <v>0</v>
      </c>
      <c r="Q299" t="n">
        <v>0</v>
      </c>
      <c r="R299" s="2" t="inlineStr"/>
    </row>
    <row r="300" ht="15" customHeight="1">
      <c r="A300" t="inlineStr">
        <is>
          <t>A 54985-2023</t>
        </is>
      </c>
      <c r="B300" s="1" t="n">
        <v>45236</v>
      </c>
      <c r="C300" s="1" t="n">
        <v>45995</v>
      </c>
      <c r="D300" t="inlineStr">
        <is>
          <t>VÄSTERBOTTENS LÄN</t>
        </is>
      </c>
      <c r="E300" t="inlineStr">
        <is>
          <t>VILHELMINA</t>
        </is>
      </c>
      <c r="F300" t="inlineStr">
        <is>
          <t>SCA</t>
        </is>
      </c>
      <c r="G300" t="n">
        <v>7.5</v>
      </c>
      <c r="H300" t="n">
        <v>0</v>
      </c>
      <c r="I300" t="n">
        <v>0</v>
      </c>
      <c r="J300" t="n">
        <v>0</v>
      </c>
      <c r="K300" t="n">
        <v>0</v>
      </c>
      <c r="L300" t="n">
        <v>0</v>
      </c>
      <c r="M300" t="n">
        <v>0</v>
      </c>
      <c r="N300" t="n">
        <v>0</v>
      </c>
      <c r="O300" t="n">
        <v>0</v>
      </c>
      <c r="P300" t="n">
        <v>0</v>
      </c>
      <c r="Q300" t="n">
        <v>0</v>
      </c>
      <c r="R300" s="2" t="inlineStr"/>
    </row>
    <row r="301" ht="15" customHeight="1">
      <c r="A301" t="inlineStr">
        <is>
          <t>A 18781-2021</t>
        </is>
      </c>
      <c r="B301" s="1" t="n">
        <v>44307</v>
      </c>
      <c r="C301" s="1" t="n">
        <v>45995</v>
      </c>
      <c r="D301" t="inlineStr">
        <is>
          <t>VÄSTERBOTTENS LÄN</t>
        </is>
      </c>
      <c r="E301" t="inlineStr">
        <is>
          <t>VILHELMINA</t>
        </is>
      </c>
      <c r="G301" t="n">
        <v>3.5</v>
      </c>
      <c r="H301" t="n">
        <v>0</v>
      </c>
      <c r="I301" t="n">
        <v>0</v>
      </c>
      <c r="J301" t="n">
        <v>0</v>
      </c>
      <c r="K301" t="n">
        <v>0</v>
      </c>
      <c r="L301" t="n">
        <v>0</v>
      </c>
      <c r="M301" t="n">
        <v>0</v>
      </c>
      <c r="N301" t="n">
        <v>0</v>
      </c>
      <c r="O301" t="n">
        <v>0</v>
      </c>
      <c r="P301" t="n">
        <v>0</v>
      </c>
      <c r="Q301" t="n">
        <v>0</v>
      </c>
      <c r="R301" s="2" t="inlineStr"/>
    </row>
    <row r="302" ht="15" customHeight="1">
      <c r="A302" t="inlineStr">
        <is>
          <t>A 46119-2022</t>
        </is>
      </c>
      <c r="B302" s="1" t="n">
        <v>44847</v>
      </c>
      <c r="C302" s="1" t="n">
        <v>45995</v>
      </c>
      <c r="D302" t="inlineStr">
        <is>
          <t>VÄSTERBOTTENS LÄN</t>
        </is>
      </c>
      <c r="E302" t="inlineStr">
        <is>
          <t>VILHELMINA</t>
        </is>
      </c>
      <c r="G302" t="n">
        <v>12.1</v>
      </c>
      <c r="H302" t="n">
        <v>0</v>
      </c>
      <c r="I302" t="n">
        <v>0</v>
      </c>
      <c r="J302" t="n">
        <v>0</v>
      </c>
      <c r="K302" t="n">
        <v>0</v>
      </c>
      <c r="L302" t="n">
        <v>0</v>
      </c>
      <c r="M302" t="n">
        <v>0</v>
      </c>
      <c r="N302" t="n">
        <v>0</v>
      </c>
      <c r="O302" t="n">
        <v>0</v>
      </c>
      <c r="P302" t="n">
        <v>0</v>
      </c>
      <c r="Q302" t="n">
        <v>0</v>
      </c>
      <c r="R302" s="2" t="inlineStr"/>
    </row>
    <row r="303" ht="15" customHeight="1">
      <c r="A303" t="inlineStr">
        <is>
          <t>A 46121-2022</t>
        </is>
      </c>
      <c r="B303" s="1" t="n">
        <v>44847</v>
      </c>
      <c r="C303" s="1" t="n">
        <v>45995</v>
      </c>
      <c r="D303" t="inlineStr">
        <is>
          <t>VÄSTERBOTTENS LÄN</t>
        </is>
      </c>
      <c r="E303" t="inlineStr">
        <is>
          <t>VILHELMINA</t>
        </is>
      </c>
      <c r="G303" t="n">
        <v>2.6</v>
      </c>
      <c r="H303" t="n">
        <v>0</v>
      </c>
      <c r="I303" t="n">
        <v>0</v>
      </c>
      <c r="J303" t="n">
        <v>0</v>
      </c>
      <c r="K303" t="n">
        <v>0</v>
      </c>
      <c r="L303" t="n">
        <v>0</v>
      </c>
      <c r="M303" t="n">
        <v>0</v>
      </c>
      <c r="N303" t="n">
        <v>0</v>
      </c>
      <c r="O303" t="n">
        <v>0</v>
      </c>
      <c r="P303" t="n">
        <v>0</v>
      </c>
      <c r="Q303" t="n">
        <v>0</v>
      </c>
      <c r="R303" s="2" t="inlineStr"/>
    </row>
    <row r="304" ht="15" customHeight="1">
      <c r="A304" t="inlineStr">
        <is>
          <t>A 20769-2024</t>
        </is>
      </c>
      <c r="B304" s="1" t="n">
        <v>45436.94604166667</v>
      </c>
      <c r="C304" s="1" t="n">
        <v>45995</v>
      </c>
      <c r="D304" t="inlineStr">
        <is>
          <t>VÄSTERBOTTENS LÄN</t>
        </is>
      </c>
      <c r="E304" t="inlineStr">
        <is>
          <t>VILHELMINA</t>
        </is>
      </c>
      <c r="F304" t="inlineStr">
        <is>
          <t>SCA</t>
        </is>
      </c>
      <c r="G304" t="n">
        <v>7</v>
      </c>
      <c r="H304" t="n">
        <v>0</v>
      </c>
      <c r="I304" t="n">
        <v>0</v>
      </c>
      <c r="J304" t="n">
        <v>0</v>
      </c>
      <c r="K304" t="n">
        <v>0</v>
      </c>
      <c r="L304" t="n">
        <v>0</v>
      </c>
      <c r="M304" t="n">
        <v>0</v>
      </c>
      <c r="N304" t="n">
        <v>0</v>
      </c>
      <c r="O304" t="n">
        <v>0</v>
      </c>
      <c r="P304" t="n">
        <v>0</v>
      </c>
      <c r="Q304" t="n">
        <v>0</v>
      </c>
      <c r="R304" s="2" t="inlineStr"/>
    </row>
    <row r="305" ht="15" customHeight="1">
      <c r="A305" t="inlineStr">
        <is>
          <t>A 49599-2022</t>
        </is>
      </c>
      <c r="B305" s="1" t="n">
        <v>44859</v>
      </c>
      <c r="C305" s="1" t="n">
        <v>45995</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23261-2021</t>
        </is>
      </c>
      <c r="B306" s="1" t="n">
        <v>44330</v>
      </c>
      <c r="C306" s="1" t="n">
        <v>45995</v>
      </c>
      <c r="D306" t="inlineStr">
        <is>
          <t>VÄSTERBOTTENS LÄN</t>
        </is>
      </c>
      <c r="E306" t="inlineStr">
        <is>
          <t>VILHELMINA</t>
        </is>
      </c>
      <c r="G306" t="n">
        <v>4.5</v>
      </c>
      <c r="H306" t="n">
        <v>0</v>
      </c>
      <c r="I306" t="n">
        <v>0</v>
      </c>
      <c r="J306" t="n">
        <v>0</v>
      </c>
      <c r="K306" t="n">
        <v>0</v>
      </c>
      <c r="L306" t="n">
        <v>0</v>
      </c>
      <c r="M306" t="n">
        <v>0</v>
      </c>
      <c r="N306" t="n">
        <v>0</v>
      </c>
      <c r="O306" t="n">
        <v>0</v>
      </c>
      <c r="P306" t="n">
        <v>0</v>
      </c>
      <c r="Q306" t="n">
        <v>0</v>
      </c>
      <c r="R306" s="2" t="inlineStr"/>
    </row>
    <row r="307" ht="15" customHeight="1">
      <c r="A307" t="inlineStr">
        <is>
          <t>A 38580-2025</t>
        </is>
      </c>
      <c r="B307" s="1" t="n">
        <v>45884.46951388889</v>
      </c>
      <c r="C307" s="1" t="n">
        <v>45995</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15050-2024</t>
        </is>
      </c>
      <c r="B308" s="1" t="n">
        <v>45399</v>
      </c>
      <c r="C308" s="1" t="n">
        <v>45995</v>
      </c>
      <c r="D308" t="inlineStr">
        <is>
          <t>VÄSTERBOTTENS LÄN</t>
        </is>
      </c>
      <c r="E308" t="inlineStr">
        <is>
          <t>VILHELMINA</t>
        </is>
      </c>
      <c r="F308" t="inlineStr">
        <is>
          <t>SCA</t>
        </is>
      </c>
      <c r="G308" t="n">
        <v>0.5</v>
      </c>
      <c r="H308" t="n">
        <v>0</v>
      </c>
      <c r="I308" t="n">
        <v>0</v>
      </c>
      <c r="J308" t="n">
        <v>0</v>
      </c>
      <c r="K308" t="n">
        <v>0</v>
      </c>
      <c r="L308" t="n">
        <v>0</v>
      </c>
      <c r="M308" t="n">
        <v>0</v>
      </c>
      <c r="N308" t="n">
        <v>0</v>
      </c>
      <c r="O308" t="n">
        <v>0</v>
      </c>
      <c r="P308" t="n">
        <v>0</v>
      </c>
      <c r="Q308" t="n">
        <v>0</v>
      </c>
      <c r="R308" s="2" t="inlineStr"/>
    </row>
    <row r="309" ht="15" customHeight="1">
      <c r="A309" t="inlineStr">
        <is>
          <t>A 15059-2024</t>
        </is>
      </c>
      <c r="B309" s="1" t="n">
        <v>45399</v>
      </c>
      <c r="C309" s="1" t="n">
        <v>45995</v>
      </c>
      <c r="D309" t="inlineStr">
        <is>
          <t>VÄSTERBOTTENS LÄN</t>
        </is>
      </c>
      <c r="E309" t="inlineStr">
        <is>
          <t>VILHELMINA</t>
        </is>
      </c>
      <c r="G309" t="n">
        <v>0.8</v>
      </c>
      <c r="H309" t="n">
        <v>0</v>
      </c>
      <c r="I309" t="n">
        <v>0</v>
      </c>
      <c r="J309" t="n">
        <v>0</v>
      </c>
      <c r="K309" t="n">
        <v>0</v>
      </c>
      <c r="L309" t="n">
        <v>0</v>
      </c>
      <c r="M309" t="n">
        <v>0</v>
      </c>
      <c r="N309" t="n">
        <v>0</v>
      </c>
      <c r="O309" t="n">
        <v>0</v>
      </c>
      <c r="P309" t="n">
        <v>0</v>
      </c>
      <c r="Q309" t="n">
        <v>0</v>
      </c>
      <c r="R309" s="2" t="inlineStr"/>
    </row>
    <row r="310" ht="15" customHeight="1">
      <c r="A310" t="inlineStr">
        <is>
          <t>A 18790-2021</t>
        </is>
      </c>
      <c r="B310" s="1" t="n">
        <v>44307</v>
      </c>
      <c r="C310" s="1" t="n">
        <v>45995</v>
      </c>
      <c r="D310" t="inlineStr">
        <is>
          <t>VÄSTERBOTTENS LÄN</t>
        </is>
      </c>
      <c r="E310" t="inlineStr">
        <is>
          <t>VILHELMINA</t>
        </is>
      </c>
      <c r="G310" t="n">
        <v>1.1</v>
      </c>
      <c r="H310" t="n">
        <v>0</v>
      </c>
      <c r="I310" t="n">
        <v>0</v>
      </c>
      <c r="J310" t="n">
        <v>0</v>
      </c>
      <c r="K310" t="n">
        <v>0</v>
      </c>
      <c r="L310" t="n">
        <v>0</v>
      </c>
      <c r="M310" t="n">
        <v>0</v>
      </c>
      <c r="N310" t="n">
        <v>0</v>
      </c>
      <c r="O310" t="n">
        <v>0</v>
      </c>
      <c r="P310" t="n">
        <v>0</v>
      </c>
      <c r="Q310" t="n">
        <v>0</v>
      </c>
      <c r="R310" s="2" t="inlineStr"/>
    </row>
    <row r="311" ht="15" customHeight="1">
      <c r="A311" t="inlineStr">
        <is>
          <t>A 36082-2022</t>
        </is>
      </c>
      <c r="B311" s="1" t="n">
        <v>44802</v>
      </c>
      <c r="C311" s="1" t="n">
        <v>45995</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38427-2025</t>
        </is>
      </c>
      <c r="B312" s="1" t="n">
        <v>45883.63611111111</v>
      </c>
      <c r="C312" s="1" t="n">
        <v>45995</v>
      </c>
      <c r="D312" t="inlineStr">
        <is>
          <t>VÄSTERBOTTENS LÄN</t>
        </is>
      </c>
      <c r="E312" t="inlineStr">
        <is>
          <t>VILHELMINA</t>
        </is>
      </c>
      <c r="F312" t="inlineStr">
        <is>
          <t>SCA</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38429-2025</t>
        </is>
      </c>
      <c r="B313" s="1" t="n">
        <v>45883.63638888889</v>
      </c>
      <c r="C313" s="1" t="n">
        <v>45995</v>
      </c>
      <c r="D313" t="inlineStr">
        <is>
          <t>VÄSTERBOTTENS LÄN</t>
        </is>
      </c>
      <c r="E313" t="inlineStr">
        <is>
          <t>VILHELMINA</t>
        </is>
      </c>
      <c r="G313" t="n">
        <v>5.5</v>
      </c>
      <c r="H313" t="n">
        <v>0</v>
      </c>
      <c r="I313" t="n">
        <v>0</v>
      </c>
      <c r="J313" t="n">
        <v>0</v>
      </c>
      <c r="K313" t="n">
        <v>0</v>
      </c>
      <c r="L313" t="n">
        <v>0</v>
      </c>
      <c r="M313" t="n">
        <v>0</v>
      </c>
      <c r="N313" t="n">
        <v>0</v>
      </c>
      <c r="O313" t="n">
        <v>0</v>
      </c>
      <c r="P313" t="n">
        <v>0</v>
      </c>
      <c r="Q313" t="n">
        <v>0</v>
      </c>
      <c r="R313" s="2" t="inlineStr"/>
    </row>
    <row r="314" ht="15" customHeight="1">
      <c r="A314" t="inlineStr">
        <is>
          <t>A 46071-2022</t>
        </is>
      </c>
      <c r="B314" s="1" t="n">
        <v>44847</v>
      </c>
      <c r="C314" s="1" t="n">
        <v>45995</v>
      </c>
      <c r="D314" t="inlineStr">
        <is>
          <t>VÄSTERBOTTENS LÄN</t>
        </is>
      </c>
      <c r="E314" t="inlineStr">
        <is>
          <t>VILHELMINA</t>
        </is>
      </c>
      <c r="G314" t="n">
        <v>10.6</v>
      </c>
      <c r="H314" t="n">
        <v>0</v>
      </c>
      <c r="I314" t="n">
        <v>0</v>
      </c>
      <c r="J314" t="n">
        <v>0</v>
      </c>
      <c r="K314" t="n">
        <v>0</v>
      </c>
      <c r="L314" t="n">
        <v>0</v>
      </c>
      <c r="M314" t="n">
        <v>0</v>
      </c>
      <c r="N314" t="n">
        <v>0</v>
      </c>
      <c r="O314" t="n">
        <v>0</v>
      </c>
      <c r="P314" t="n">
        <v>0</v>
      </c>
      <c r="Q314" t="n">
        <v>0</v>
      </c>
      <c r="R314" s="2" t="inlineStr"/>
    </row>
    <row r="315" ht="15" customHeight="1">
      <c r="A315" t="inlineStr">
        <is>
          <t>A 38540-2025</t>
        </is>
      </c>
      <c r="B315" s="1" t="n">
        <v>45884.42768518518</v>
      </c>
      <c r="C315" s="1" t="n">
        <v>45995</v>
      </c>
      <c r="D315" t="inlineStr">
        <is>
          <t>VÄSTERBOTTENS LÄN</t>
        </is>
      </c>
      <c r="E315" t="inlineStr">
        <is>
          <t>VILHELMINA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38543-2025</t>
        </is>
      </c>
      <c r="B316" s="1" t="n">
        <v>45884.42813657408</v>
      </c>
      <c r="C316" s="1" t="n">
        <v>45995</v>
      </c>
      <c r="D316" t="inlineStr">
        <is>
          <t>VÄSTERBOTTENS LÄN</t>
        </is>
      </c>
      <c r="E316" t="inlineStr">
        <is>
          <t>VILHELMINA</t>
        </is>
      </c>
      <c r="G316" t="n">
        <v>2.4</v>
      </c>
      <c r="H316" t="n">
        <v>0</v>
      </c>
      <c r="I316" t="n">
        <v>0</v>
      </c>
      <c r="J316" t="n">
        <v>0</v>
      </c>
      <c r="K316" t="n">
        <v>0</v>
      </c>
      <c r="L316" t="n">
        <v>0</v>
      </c>
      <c r="M316" t="n">
        <v>0</v>
      </c>
      <c r="N316" t="n">
        <v>0</v>
      </c>
      <c r="O316" t="n">
        <v>0</v>
      </c>
      <c r="P316" t="n">
        <v>0</v>
      </c>
      <c r="Q316" t="n">
        <v>0</v>
      </c>
      <c r="R316" s="2" t="inlineStr"/>
    </row>
    <row r="317" ht="15" customHeight="1">
      <c r="A317" t="inlineStr">
        <is>
          <t>A 58505-2024</t>
        </is>
      </c>
      <c r="B317" s="1" t="n">
        <v>45635</v>
      </c>
      <c r="C317" s="1" t="n">
        <v>45995</v>
      </c>
      <c r="D317" t="inlineStr">
        <is>
          <t>VÄSTERBOTTENS LÄN</t>
        </is>
      </c>
      <c r="E317" t="inlineStr">
        <is>
          <t>VILHELMINA</t>
        </is>
      </c>
      <c r="G317" t="n">
        <v>2.9</v>
      </c>
      <c r="H317" t="n">
        <v>0</v>
      </c>
      <c r="I317" t="n">
        <v>0</v>
      </c>
      <c r="J317" t="n">
        <v>0</v>
      </c>
      <c r="K317" t="n">
        <v>0</v>
      </c>
      <c r="L317" t="n">
        <v>0</v>
      </c>
      <c r="M317" t="n">
        <v>0</v>
      </c>
      <c r="N317" t="n">
        <v>0</v>
      </c>
      <c r="O317" t="n">
        <v>0</v>
      </c>
      <c r="P317" t="n">
        <v>0</v>
      </c>
      <c r="Q317" t="n">
        <v>0</v>
      </c>
      <c r="R317" s="2" t="inlineStr"/>
    </row>
    <row r="318" ht="15" customHeight="1">
      <c r="A318" t="inlineStr">
        <is>
          <t>A 17996-2024</t>
        </is>
      </c>
      <c r="B318" s="1" t="n">
        <v>45419</v>
      </c>
      <c r="C318" s="1" t="n">
        <v>45995</v>
      </c>
      <c r="D318" t="inlineStr">
        <is>
          <t>VÄSTERBOTTENS LÄN</t>
        </is>
      </c>
      <c r="E318" t="inlineStr">
        <is>
          <t>VILHELMINA</t>
        </is>
      </c>
      <c r="G318" t="n">
        <v>5.3</v>
      </c>
      <c r="H318" t="n">
        <v>0</v>
      </c>
      <c r="I318" t="n">
        <v>0</v>
      </c>
      <c r="J318" t="n">
        <v>0</v>
      </c>
      <c r="K318" t="n">
        <v>0</v>
      </c>
      <c r="L318" t="n">
        <v>0</v>
      </c>
      <c r="M318" t="n">
        <v>0</v>
      </c>
      <c r="N318" t="n">
        <v>0</v>
      </c>
      <c r="O318" t="n">
        <v>0</v>
      </c>
      <c r="P318" t="n">
        <v>0</v>
      </c>
      <c r="Q318" t="n">
        <v>0</v>
      </c>
      <c r="R318" s="2" t="inlineStr"/>
    </row>
    <row r="319" ht="15" customHeight="1">
      <c r="A319" t="inlineStr">
        <is>
          <t>A 10418-2023</t>
        </is>
      </c>
      <c r="B319" s="1" t="n">
        <v>44987</v>
      </c>
      <c r="C319" s="1" t="n">
        <v>45995</v>
      </c>
      <c r="D319" t="inlineStr">
        <is>
          <t>VÄSTERBOTTENS LÄN</t>
        </is>
      </c>
      <c r="E319" t="inlineStr">
        <is>
          <t>VILHELMINA</t>
        </is>
      </c>
      <c r="G319" t="n">
        <v>3.2</v>
      </c>
      <c r="H319" t="n">
        <v>0</v>
      </c>
      <c r="I319" t="n">
        <v>0</v>
      </c>
      <c r="J319" t="n">
        <v>0</v>
      </c>
      <c r="K319" t="n">
        <v>0</v>
      </c>
      <c r="L319" t="n">
        <v>0</v>
      </c>
      <c r="M319" t="n">
        <v>0</v>
      </c>
      <c r="N319" t="n">
        <v>0</v>
      </c>
      <c r="O319" t="n">
        <v>0</v>
      </c>
      <c r="P319" t="n">
        <v>0</v>
      </c>
      <c r="Q319" t="n">
        <v>0</v>
      </c>
      <c r="R319" s="2" t="inlineStr"/>
    </row>
    <row r="320" ht="15" customHeight="1">
      <c r="A320" t="inlineStr">
        <is>
          <t>A 23180-2024</t>
        </is>
      </c>
      <c r="B320" s="1" t="n">
        <v>45450.9444212963</v>
      </c>
      <c r="C320" s="1" t="n">
        <v>45995</v>
      </c>
      <c r="D320" t="inlineStr">
        <is>
          <t>VÄSTERBOTTENS LÄN</t>
        </is>
      </c>
      <c r="E320" t="inlineStr">
        <is>
          <t>VILHELMINA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12593-2022</t>
        </is>
      </c>
      <c r="B321" s="1" t="n">
        <v>44640</v>
      </c>
      <c r="C321" s="1" t="n">
        <v>45995</v>
      </c>
      <c r="D321" t="inlineStr">
        <is>
          <t>VÄSTERBOTTENS LÄN</t>
        </is>
      </c>
      <c r="E321" t="inlineStr">
        <is>
          <t>VILHELMINA</t>
        </is>
      </c>
      <c r="G321" t="n">
        <v>10.4</v>
      </c>
      <c r="H321" t="n">
        <v>0</v>
      </c>
      <c r="I321" t="n">
        <v>0</v>
      </c>
      <c r="J321" t="n">
        <v>0</v>
      </c>
      <c r="K321" t="n">
        <v>0</v>
      </c>
      <c r="L321" t="n">
        <v>0</v>
      </c>
      <c r="M321" t="n">
        <v>0</v>
      </c>
      <c r="N321" t="n">
        <v>0</v>
      </c>
      <c r="O321" t="n">
        <v>0</v>
      </c>
      <c r="P321" t="n">
        <v>0</v>
      </c>
      <c r="Q321" t="n">
        <v>0</v>
      </c>
      <c r="R321" s="2" t="inlineStr"/>
    </row>
    <row r="322" ht="15" customHeight="1">
      <c r="A322" t="inlineStr">
        <is>
          <t>A 39138-2025</t>
        </is>
      </c>
      <c r="B322" s="1" t="n">
        <v>45888.59435185185</v>
      </c>
      <c r="C322" s="1" t="n">
        <v>45995</v>
      </c>
      <c r="D322" t="inlineStr">
        <is>
          <t>VÄSTERBOTTENS LÄN</t>
        </is>
      </c>
      <c r="E322" t="inlineStr">
        <is>
          <t>VILHELMINA</t>
        </is>
      </c>
      <c r="G322" t="n">
        <v>6.7</v>
      </c>
      <c r="H322" t="n">
        <v>0</v>
      </c>
      <c r="I322" t="n">
        <v>0</v>
      </c>
      <c r="J322" t="n">
        <v>0</v>
      </c>
      <c r="K322" t="n">
        <v>0</v>
      </c>
      <c r="L322" t="n">
        <v>0</v>
      </c>
      <c r="M322" t="n">
        <v>0</v>
      </c>
      <c r="N322" t="n">
        <v>0</v>
      </c>
      <c r="O322" t="n">
        <v>0</v>
      </c>
      <c r="P322" t="n">
        <v>0</v>
      </c>
      <c r="Q322" t="n">
        <v>0</v>
      </c>
      <c r="R322" s="2" t="inlineStr"/>
    </row>
    <row r="323" ht="15" customHeight="1">
      <c r="A323" t="inlineStr">
        <is>
          <t>A 48068-2022</t>
        </is>
      </c>
      <c r="B323" s="1" t="n">
        <v>44855</v>
      </c>
      <c r="C323" s="1" t="n">
        <v>45995</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28695-2024</t>
        </is>
      </c>
      <c r="B324" s="1" t="n">
        <v>45478</v>
      </c>
      <c r="C324" s="1" t="n">
        <v>45995</v>
      </c>
      <c r="D324" t="inlineStr">
        <is>
          <t>VÄSTERBOTTENS LÄN</t>
        </is>
      </c>
      <c r="E324" t="inlineStr">
        <is>
          <t>VILHELMINA</t>
        </is>
      </c>
      <c r="F324" t="inlineStr">
        <is>
          <t>Allmännings- och besparingsskogar</t>
        </is>
      </c>
      <c r="G324" t="n">
        <v>3.1</v>
      </c>
      <c r="H324" t="n">
        <v>0</v>
      </c>
      <c r="I324" t="n">
        <v>0</v>
      </c>
      <c r="J324" t="n">
        <v>0</v>
      </c>
      <c r="K324" t="n">
        <v>0</v>
      </c>
      <c r="L324" t="n">
        <v>0</v>
      </c>
      <c r="M324" t="n">
        <v>0</v>
      </c>
      <c r="N324" t="n">
        <v>0</v>
      </c>
      <c r="O324" t="n">
        <v>0</v>
      </c>
      <c r="P324" t="n">
        <v>0</v>
      </c>
      <c r="Q324" t="n">
        <v>0</v>
      </c>
      <c r="R324" s="2" t="inlineStr"/>
    </row>
    <row r="325" ht="15" customHeight="1">
      <c r="A325" t="inlineStr">
        <is>
          <t>A 36288-2021</t>
        </is>
      </c>
      <c r="B325" s="1" t="n">
        <v>44389</v>
      </c>
      <c r="C325" s="1" t="n">
        <v>45995</v>
      </c>
      <c r="D325" t="inlineStr">
        <is>
          <t>VÄSTERBOTTENS LÄN</t>
        </is>
      </c>
      <c r="E325" t="inlineStr">
        <is>
          <t>VILHELMINA</t>
        </is>
      </c>
      <c r="G325" t="n">
        <v>20.5</v>
      </c>
      <c r="H325" t="n">
        <v>0</v>
      </c>
      <c r="I325" t="n">
        <v>0</v>
      </c>
      <c r="J325" t="n">
        <v>0</v>
      </c>
      <c r="K325" t="n">
        <v>0</v>
      </c>
      <c r="L325" t="n">
        <v>0</v>
      </c>
      <c r="M325" t="n">
        <v>0</v>
      </c>
      <c r="N325" t="n">
        <v>0</v>
      </c>
      <c r="O325" t="n">
        <v>0</v>
      </c>
      <c r="P325" t="n">
        <v>0</v>
      </c>
      <c r="Q325" t="n">
        <v>0</v>
      </c>
      <c r="R325" s="2" t="inlineStr"/>
    </row>
    <row r="326" ht="15" customHeight="1">
      <c r="A326" t="inlineStr">
        <is>
          <t>A 55722-2023</t>
        </is>
      </c>
      <c r="B326" s="1" t="n">
        <v>45232</v>
      </c>
      <c r="C326" s="1" t="n">
        <v>45995</v>
      </c>
      <c r="D326" t="inlineStr">
        <is>
          <t>VÄSTERBOTTENS LÄN</t>
        </is>
      </c>
      <c r="E326" t="inlineStr">
        <is>
          <t>VILHELMINA</t>
        </is>
      </c>
      <c r="G326" t="n">
        <v>5.8</v>
      </c>
      <c r="H326" t="n">
        <v>0</v>
      </c>
      <c r="I326" t="n">
        <v>0</v>
      </c>
      <c r="J326" t="n">
        <v>0</v>
      </c>
      <c r="K326" t="n">
        <v>0</v>
      </c>
      <c r="L326" t="n">
        <v>0</v>
      </c>
      <c r="M326" t="n">
        <v>0</v>
      </c>
      <c r="N326" t="n">
        <v>0</v>
      </c>
      <c r="O326" t="n">
        <v>0</v>
      </c>
      <c r="P326" t="n">
        <v>0</v>
      </c>
      <c r="Q326" t="n">
        <v>0</v>
      </c>
      <c r="R326" s="2" t="inlineStr"/>
    </row>
    <row r="327" ht="15" customHeight="1">
      <c r="A327" t="inlineStr">
        <is>
          <t>A 12189-2024</t>
        </is>
      </c>
      <c r="B327" s="1" t="n">
        <v>45377.94945601852</v>
      </c>
      <c r="C327" s="1" t="n">
        <v>45995</v>
      </c>
      <c r="D327" t="inlineStr">
        <is>
          <t>VÄSTERBOTTENS LÄN</t>
        </is>
      </c>
      <c r="E327" t="inlineStr">
        <is>
          <t>VILHELMINA</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22107-2024</t>
        </is>
      </c>
      <c r="B328" s="1" t="n">
        <v>45443</v>
      </c>
      <c r="C328" s="1" t="n">
        <v>45995</v>
      </c>
      <c r="D328" t="inlineStr">
        <is>
          <t>VÄSTERBOTTENS LÄN</t>
        </is>
      </c>
      <c r="E328" t="inlineStr">
        <is>
          <t>VILHELMINA</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15782-2025</t>
        </is>
      </c>
      <c r="B329" s="1" t="n">
        <v>45748</v>
      </c>
      <c r="C329" s="1" t="n">
        <v>45995</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34087-2023</t>
        </is>
      </c>
      <c r="B330" s="1" t="n">
        <v>45125</v>
      </c>
      <c r="C330" s="1" t="n">
        <v>45995</v>
      </c>
      <c r="D330" t="inlineStr">
        <is>
          <t>VÄSTERBOTTENS LÄN</t>
        </is>
      </c>
      <c r="E330" t="inlineStr">
        <is>
          <t>VILHELMINA</t>
        </is>
      </c>
      <c r="G330" t="n">
        <v>13.2</v>
      </c>
      <c r="H330" t="n">
        <v>0</v>
      </c>
      <c r="I330" t="n">
        <v>0</v>
      </c>
      <c r="J330" t="n">
        <v>0</v>
      </c>
      <c r="K330" t="n">
        <v>0</v>
      </c>
      <c r="L330" t="n">
        <v>0</v>
      </c>
      <c r="M330" t="n">
        <v>0</v>
      </c>
      <c r="N330" t="n">
        <v>0</v>
      </c>
      <c r="O330" t="n">
        <v>0</v>
      </c>
      <c r="P330" t="n">
        <v>0</v>
      </c>
      <c r="Q330" t="n">
        <v>0</v>
      </c>
      <c r="R330" s="2" t="inlineStr"/>
    </row>
    <row r="331" ht="15" customHeight="1">
      <c r="A331" t="inlineStr">
        <is>
          <t>A 23543-2024</t>
        </is>
      </c>
      <c r="B331" s="1" t="n">
        <v>45453</v>
      </c>
      <c r="C331" s="1" t="n">
        <v>45995</v>
      </c>
      <c r="D331" t="inlineStr">
        <is>
          <t>VÄSTERBOTTENS LÄN</t>
        </is>
      </c>
      <c r="E331" t="inlineStr">
        <is>
          <t>VILHELMINA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40781-2023</t>
        </is>
      </c>
      <c r="B332" s="1" t="n">
        <v>45170.95747685185</v>
      </c>
      <c r="C332" s="1" t="n">
        <v>45995</v>
      </c>
      <c r="D332" t="inlineStr">
        <is>
          <t>VÄSTERBOTTENS LÄN</t>
        </is>
      </c>
      <c r="E332" t="inlineStr">
        <is>
          <t>VILHELMINA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19464-2025</t>
        </is>
      </c>
      <c r="B333" s="1" t="n">
        <v>45770</v>
      </c>
      <c r="C333" s="1" t="n">
        <v>45995</v>
      </c>
      <c r="D333" t="inlineStr">
        <is>
          <t>VÄSTERBOTTENS LÄN</t>
        </is>
      </c>
      <c r="E333" t="inlineStr">
        <is>
          <t>VILHELMINA</t>
        </is>
      </c>
      <c r="F333" t="inlineStr">
        <is>
          <t>SCA</t>
        </is>
      </c>
      <c r="G333" t="n">
        <v>7.3</v>
      </c>
      <c r="H333" t="n">
        <v>0</v>
      </c>
      <c r="I333" t="n">
        <v>0</v>
      </c>
      <c r="J333" t="n">
        <v>0</v>
      </c>
      <c r="K333" t="n">
        <v>0</v>
      </c>
      <c r="L333" t="n">
        <v>0</v>
      </c>
      <c r="M333" t="n">
        <v>0</v>
      </c>
      <c r="N333" t="n">
        <v>0</v>
      </c>
      <c r="O333" t="n">
        <v>0</v>
      </c>
      <c r="P333" t="n">
        <v>0</v>
      </c>
      <c r="Q333" t="n">
        <v>0</v>
      </c>
      <c r="R333" s="2" t="inlineStr"/>
    </row>
    <row r="334" ht="15" customHeight="1">
      <c r="A334" t="inlineStr">
        <is>
          <t>A 23544-2024</t>
        </is>
      </c>
      <c r="B334" s="1" t="n">
        <v>45453.95314814815</v>
      </c>
      <c r="C334" s="1" t="n">
        <v>45995</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23545-2024</t>
        </is>
      </c>
      <c r="B335" s="1" t="n">
        <v>45453.95326388889</v>
      </c>
      <c r="C335" s="1" t="n">
        <v>45995</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19600-2025</t>
        </is>
      </c>
      <c r="B336" s="1" t="n">
        <v>45770</v>
      </c>
      <c r="C336" s="1" t="n">
        <v>45995</v>
      </c>
      <c r="D336" t="inlineStr">
        <is>
          <t>VÄSTERBOTTENS LÄN</t>
        </is>
      </c>
      <c r="E336" t="inlineStr">
        <is>
          <t>VILHELMINA</t>
        </is>
      </c>
      <c r="G336" t="n">
        <v>3.7</v>
      </c>
      <c r="H336" t="n">
        <v>0</v>
      </c>
      <c r="I336" t="n">
        <v>0</v>
      </c>
      <c r="J336" t="n">
        <v>0</v>
      </c>
      <c r="K336" t="n">
        <v>0</v>
      </c>
      <c r="L336" t="n">
        <v>0</v>
      </c>
      <c r="M336" t="n">
        <v>0</v>
      </c>
      <c r="N336" t="n">
        <v>0</v>
      </c>
      <c r="O336" t="n">
        <v>0</v>
      </c>
      <c r="P336" t="n">
        <v>0</v>
      </c>
      <c r="Q336" t="n">
        <v>0</v>
      </c>
      <c r="R336" s="2" t="inlineStr"/>
    </row>
    <row r="337" ht="15" customHeight="1">
      <c r="A337" t="inlineStr">
        <is>
          <t>A 39320-2025</t>
        </is>
      </c>
      <c r="B337" s="1" t="n">
        <v>45889.46940972222</v>
      </c>
      <c r="C337" s="1" t="n">
        <v>45995</v>
      </c>
      <c r="D337" t="inlineStr">
        <is>
          <t>VÄSTERBOTTENS LÄN</t>
        </is>
      </c>
      <c r="E337" t="inlineStr">
        <is>
          <t>VILHELMINA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62101-2024</t>
        </is>
      </c>
      <c r="B338" s="1" t="n">
        <v>45656.51119212963</v>
      </c>
      <c r="C338" s="1" t="n">
        <v>45995</v>
      </c>
      <c r="D338" t="inlineStr">
        <is>
          <t>VÄSTERBOTTENS LÄN</t>
        </is>
      </c>
      <c r="E338" t="inlineStr">
        <is>
          <t>VILHELMINA</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39533-2025</t>
        </is>
      </c>
      <c r="B339" s="1" t="n">
        <v>45890.44863425926</v>
      </c>
      <c r="C339" s="1" t="n">
        <v>45995</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39571-2025</t>
        </is>
      </c>
      <c r="B340" s="1" t="n">
        <v>45890.49021990741</v>
      </c>
      <c r="C340" s="1" t="n">
        <v>45995</v>
      </c>
      <c r="D340" t="inlineStr">
        <is>
          <t>VÄSTERBOTTENS LÄN</t>
        </is>
      </c>
      <c r="E340" t="inlineStr">
        <is>
          <t>VILHELMINA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39378-2025</t>
        </is>
      </c>
      <c r="B341" s="1" t="n">
        <v>45889.59453703704</v>
      </c>
      <c r="C341" s="1" t="n">
        <v>45995</v>
      </c>
      <c r="D341" t="inlineStr">
        <is>
          <t>VÄSTERBOTTENS LÄN</t>
        </is>
      </c>
      <c r="E341" t="inlineStr">
        <is>
          <t>VILHELMINA</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237-2025</t>
        </is>
      </c>
      <c r="B342" s="1" t="n">
        <v>45660.40270833333</v>
      </c>
      <c r="C342" s="1" t="n">
        <v>45995</v>
      </c>
      <c r="D342" t="inlineStr">
        <is>
          <t>VÄSTERBOTTENS LÄN</t>
        </is>
      </c>
      <c r="E342" t="inlineStr">
        <is>
          <t>VILHELMINA</t>
        </is>
      </c>
      <c r="G342" t="n">
        <v>4.6</v>
      </c>
      <c r="H342" t="n">
        <v>0</v>
      </c>
      <c r="I342" t="n">
        <v>0</v>
      </c>
      <c r="J342" t="n">
        <v>0</v>
      </c>
      <c r="K342" t="n">
        <v>0</v>
      </c>
      <c r="L342" t="n">
        <v>0</v>
      </c>
      <c r="M342" t="n">
        <v>0</v>
      </c>
      <c r="N342" t="n">
        <v>0</v>
      </c>
      <c r="O342" t="n">
        <v>0</v>
      </c>
      <c r="P342" t="n">
        <v>0</v>
      </c>
      <c r="Q342" t="n">
        <v>0</v>
      </c>
      <c r="R342" s="2" t="inlineStr"/>
    </row>
    <row r="343" ht="15" customHeight="1">
      <c r="A343" t="inlineStr">
        <is>
          <t>A 242-2025</t>
        </is>
      </c>
      <c r="B343" s="1" t="n">
        <v>45660.41033564815</v>
      </c>
      <c r="C343" s="1" t="n">
        <v>45995</v>
      </c>
      <c r="D343" t="inlineStr">
        <is>
          <t>VÄSTERBOTTENS LÄN</t>
        </is>
      </c>
      <c r="E343" t="inlineStr">
        <is>
          <t>VILHELMINA</t>
        </is>
      </c>
      <c r="G343" t="n">
        <v>2.7</v>
      </c>
      <c r="H343" t="n">
        <v>0</v>
      </c>
      <c r="I343" t="n">
        <v>0</v>
      </c>
      <c r="J343" t="n">
        <v>0</v>
      </c>
      <c r="K343" t="n">
        <v>0</v>
      </c>
      <c r="L343" t="n">
        <v>0</v>
      </c>
      <c r="M343" t="n">
        <v>0</v>
      </c>
      <c r="N343" t="n">
        <v>0</v>
      </c>
      <c r="O343" t="n">
        <v>0</v>
      </c>
      <c r="P343" t="n">
        <v>0</v>
      </c>
      <c r="Q343" t="n">
        <v>0</v>
      </c>
      <c r="R343" s="2" t="inlineStr"/>
    </row>
    <row r="344" ht="15" customHeight="1">
      <c r="A344" t="inlineStr">
        <is>
          <t>A 296-2025</t>
        </is>
      </c>
      <c r="B344" s="1" t="n">
        <v>45660.53215277778</v>
      </c>
      <c r="C344" s="1" t="n">
        <v>45995</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49236-2024</t>
        </is>
      </c>
      <c r="B345" s="1" t="n">
        <v>45595</v>
      </c>
      <c r="C345" s="1" t="n">
        <v>45995</v>
      </c>
      <c r="D345" t="inlineStr">
        <is>
          <t>VÄSTERBOTTENS LÄN</t>
        </is>
      </c>
      <c r="E345" t="inlineStr">
        <is>
          <t>VILHELMINA</t>
        </is>
      </c>
      <c r="G345" t="n">
        <v>4.1</v>
      </c>
      <c r="H345" t="n">
        <v>0</v>
      </c>
      <c r="I345" t="n">
        <v>0</v>
      </c>
      <c r="J345" t="n">
        <v>0</v>
      </c>
      <c r="K345" t="n">
        <v>0</v>
      </c>
      <c r="L345" t="n">
        <v>0</v>
      </c>
      <c r="M345" t="n">
        <v>0</v>
      </c>
      <c r="N345" t="n">
        <v>0</v>
      </c>
      <c r="O345" t="n">
        <v>0</v>
      </c>
      <c r="P345" t="n">
        <v>0</v>
      </c>
      <c r="Q345" t="n">
        <v>0</v>
      </c>
      <c r="R345" s="2" t="inlineStr"/>
    </row>
    <row r="346" ht="15" customHeight="1">
      <c r="A346" t="inlineStr">
        <is>
          <t>A 39534-2025</t>
        </is>
      </c>
      <c r="B346" s="1" t="n">
        <v>45890.44875</v>
      </c>
      <c r="C346" s="1" t="n">
        <v>45995</v>
      </c>
      <c r="D346" t="inlineStr">
        <is>
          <t>VÄSTERBOTTENS LÄN</t>
        </is>
      </c>
      <c r="E346" t="inlineStr">
        <is>
          <t>VILHELMINA</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468-2024</t>
        </is>
      </c>
      <c r="B347" s="1" t="n">
        <v>45297</v>
      </c>
      <c r="C347" s="1" t="n">
        <v>45995</v>
      </c>
      <c r="D347" t="inlineStr">
        <is>
          <t>VÄSTERBOTTENS LÄN</t>
        </is>
      </c>
      <c r="E347" t="inlineStr">
        <is>
          <t>VILHELMINA</t>
        </is>
      </c>
      <c r="G347" t="n">
        <v>6.7</v>
      </c>
      <c r="H347" t="n">
        <v>0</v>
      </c>
      <c r="I347" t="n">
        <v>0</v>
      </c>
      <c r="J347" t="n">
        <v>0</v>
      </c>
      <c r="K347" t="n">
        <v>0</v>
      </c>
      <c r="L347" t="n">
        <v>0</v>
      </c>
      <c r="M347" t="n">
        <v>0</v>
      </c>
      <c r="N347" t="n">
        <v>0</v>
      </c>
      <c r="O347" t="n">
        <v>0</v>
      </c>
      <c r="P347" t="n">
        <v>0</v>
      </c>
      <c r="Q347" t="n">
        <v>0</v>
      </c>
      <c r="R347" s="2" t="inlineStr"/>
    </row>
    <row r="348" ht="15" customHeight="1">
      <c r="A348" t="inlineStr">
        <is>
          <t>A 32655-2021</t>
        </is>
      </c>
      <c r="B348" s="1" t="n">
        <v>44371</v>
      </c>
      <c r="C348" s="1" t="n">
        <v>45995</v>
      </c>
      <c r="D348" t="inlineStr">
        <is>
          <t>VÄSTERBOTTENS LÄN</t>
        </is>
      </c>
      <c r="E348" t="inlineStr">
        <is>
          <t>VILHELMINA</t>
        </is>
      </c>
      <c r="G348" t="n">
        <v>0.2</v>
      </c>
      <c r="H348" t="n">
        <v>0</v>
      </c>
      <c r="I348" t="n">
        <v>0</v>
      </c>
      <c r="J348" t="n">
        <v>0</v>
      </c>
      <c r="K348" t="n">
        <v>0</v>
      </c>
      <c r="L348" t="n">
        <v>0</v>
      </c>
      <c r="M348" t="n">
        <v>0</v>
      </c>
      <c r="N348" t="n">
        <v>0</v>
      </c>
      <c r="O348" t="n">
        <v>0</v>
      </c>
      <c r="P348" t="n">
        <v>0</v>
      </c>
      <c r="Q348" t="n">
        <v>0</v>
      </c>
      <c r="R348" s="2" t="inlineStr"/>
    </row>
    <row r="349" ht="15" customHeight="1">
      <c r="A349" t="inlineStr">
        <is>
          <t>A 39558-2025</t>
        </is>
      </c>
      <c r="B349" s="1" t="n">
        <v>45890.46978009259</v>
      </c>
      <c r="C349" s="1" t="n">
        <v>45995</v>
      </c>
      <c r="D349" t="inlineStr">
        <is>
          <t>VÄSTERBOTTENS LÄN</t>
        </is>
      </c>
      <c r="E349" t="inlineStr">
        <is>
          <t>VILHELMINA</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44368-2024</t>
        </is>
      </c>
      <c r="B350" s="1" t="n">
        <v>45573</v>
      </c>
      <c r="C350" s="1" t="n">
        <v>45995</v>
      </c>
      <c r="D350" t="inlineStr">
        <is>
          <t>VÄSTERBOTTENS LÄN</t>
        </is>
      </c>
      <c r="E350" t="inlineStr">
        <is>
          <t>VILHELMINA</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32921-2024</t>
        </is>
      </c>
      <c r="B351" s="1" t="n">
        <v>45516.9525462963</v>
      </c>
      <c r="C351" s="1" t="n">
        <v>45995</v>
      </c>
      <c r="D351" t="inlineStr">
        <is>
          <t>VÄSTERBOTTENS LÄN</t>
        </is>
      </c>
      <c r="E351" t="inlineStr">
        <is>
          <t>VILHELMINA</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40196-2025</t>
        </is>
      </c>
      <c r="B352" s="1" t="n">
        <v>45894.65951388889</v>
      </c>
      <c r="C352" s="1" t="n">
        <v>45995</v>
      </c>
      <c r="D352" t="inlineStr">
        <is>
          <t>VÄSTERBOTTENS LÄN</t>
        </is>
      </c>
      <c r="E352" t="inlineStr">
        <is>
          <t>VILHELMINA</t>
        </is>
      </c>
      <c r="G352" t="n">
        <v>23.3</v>
      </c>
      <c r="H352" t="n">
        <v>0</v>
      </c>
      <c r="I352" t="n">
        <v>0</v>
      </c>
      <c r="J352" t="n">
        <v>0</v>
      </c>
      <c r="K352" t="n">
        <v>0</v>
      </c>
      <c r="L352" t="n">
        <v>0</v>
      </c>
      <c r="M352" t="n">
        <v>0</v>
      </c>
      <c r="N352" t="n">
        <v>0</v>
      </c>
      <c r="O352" t="n">
        <v>0</v>
      </c>
      <c r="P352" t="n">
        <v>0</v>
      </c>
      <c r="Q352" t="n">
        <v>0</v>
      </c>
      <c r="R352" s="2" t="inlineStr"/>
    </row>
    <row r="353" ht="15" customHeight="1">
      <c r="A353" t="inlineStr">
        <is>
          <t>A 25701-2024</t>
        </is>
      </c>
      <c r="B353" s="1" t="n">
        <v>45463.94247685185</v>
      </c>
      <c r="C353" s="1" t="n">
        <v>45995</v>
      </c>
      <c r="D353" t="inlineStr">
        <is>
          <t>VÄSTERBOTTENS LÄN</t>
        </is>
      </c>
      <c r="E353" t="inlineStr">
        <is>
          <t>VILHELMINA</t>
        </is>
      </c>
      <c r="F353" t="inlineStr">
        <is>
          <t>SCA</t>
        </is>
      </c>
      <c r="G353" t="n">
        <v>8.6</v>
      </c>
      <c r="H353" t="n">
        <v>0</v>
      </c>
      <c r="I353" t="n">
        <v>0</v>
      </c>
      <c r="J353" t="n">
        <v>0</v>
      </c>
      <c r="K353" t="n">
        <v>0</v>
      </c>
      <c r="L353" t="n">
        <v>0</v>
      </c>
      <c r="M353" t="n">
        <v>0</v>
      </c>
      <c r="N353" t="n">
        <v>0</v>
      </c>
      <c r="O353" t="n">
        <v>0</v>
      </c>
      <c r="P353" t="n">
        <v>0</v>
      </c>
      <c r="Q353" t="n">
        <v>0</v>
      </c>
      <c r="R353" s="2" t="inlineStr"/>
    </row>
    <row r="354" ht="15" customHeight="1">
      <c r="A354" t="inlineStr">
        <is>
          <t>A 40220-2025</t>
        </is>
      </c>
      <c r="B354" s="1" t="n">
        <v>45894</v>
      </c>
      <c r="C354" s="1" t="n">
        <v>45995</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56830-2023</t>
        </is>
      </c>
      <c r="B355" s="1" t="n">
        <v>45238</v>
      </c>
      <c r="C355" s="1" t="n">
        <v>45995</v>
      </c>
      <c r="D355" t="inlineStr">
        <is>
          <t>VÄSTERBOTTENS LÄN</t>
        </is>
      </c>
      <c r="E355" t="inlineStr">
        <is>
          <t>VILHELMINA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56847-2023</t>
        </is>
      </c>
      <c r="B356" s="1" t="n">
        <v>45238</v>
      </c>
      <c r="C356" s="1" t="n">
        <v>45995</v>
      </c>
      <c r="D356" t="inlineStr">
        <is>
          <t>VÄSTERBOTTENS LÄN</t>
        </is>
      </c>
      <c r="E356" t="inlineStr">
        <is>
          <t>VILHELMINA</t>
        </is>
      </c>
      <c r="F356" t="inlineStr">
        <is>
          <t>Allmännings- och besparingsskogar</t>
        </is>
      </c>
      <c r="G356" t="n">
        <v>41</v>
      </c>
      <c r="H356" t="n">
        <v>0</v>
      </c>
      <c r="I356" t="n">
        <v>0</v>
      </c>
      <c r="J356" t="n">
        <v>0</v>
      </c>
      <c r="K356" t="n">
        <v>0</v>
      </c>
      <c r="L356" t="n">
        <v>0</v>
      </c>
      <c r="M356" t="n">
        <v>0</v>
      </c>
      <c r="N356" t="n">
        <v>0</v>
      </c>
      <c r="O356" t="n">
        <v>0</v>
      </c>
      <c r="P356" t="n">
        <v>0</v>
      </c>
      <c r="Q356" t="n">
        <v>0</v>
      </c>
      <c r="R356" s="2" t="inlineStr"/>
    </row>
    <row r="357" ht="15" customHeight="1">
      <c r="A357" t="inlineStr">
        <is>
          <t>A 475-2024</t>
        </is>
      </c>
      <c r="B357" s="1" t="n">
        <v>45297.83246527778</v>
      </c>
      <c r="C357" s="1" t="n">
        <v>45995</v>
      </c>
      <c r="D357" t="inlineStr">
        <is>
          <t>VÄSTERBOTTENS LÄN</t>
        </is>
      </c>
      <c r="E357" t="inlineStr">
        <is>
          <t>VILHELMINA</t>
        </is>
      </c>
      <c r="G357" t="n">
        <v>6.1</v>
      </c>
      <c r="H357" t="n">
        <v>0</v>
      </c>
      <c r="I357" t="n">
        <v>0</v>
      </c>
      <c r="J357" t="n">
        <v>0</v>
      </c>
      <c r="K357" t="n">
        <v>0</v>
      </c>
      <c r="L357" t="n">
        <v>0</v>
      </c>
      <c r="M357" t="n">
        <v>0</v>
      </c>
      <c r="N357" t="n">
        <v>0</v>
      </c>
      <c r="O357" t="n">
        <v>0</v>
      </c>
      <c r="P357" t="n">
        <v>0</v>
      </c>
      <c r="Q357" t="n">
        <v>0</v>
      </c>
      <c r="R357" s="2" t="inlineStr"/>
    </row>
    <row r="358" ht="15" customHeight="1">
      <c r="A358" t="inlineStr">
        <is>
          <t>A 20534-2025</t>
        </is>
      </c>
      <c r="B358" s="1" t="n">
        <v>45775.61550925926</v>
      </c>
      <c r="C358" s="1" t="n">
        <v>45995</v>
      </c>
      <c r="D358" t="inlineStr">
        <is>
          <t>VÄSTERBOTTENS LÄN</t>
        </is>
      </c>
      <c r="E358" t="inlineStr">
        <is>
          <t>VILHELMINA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6653-2021</t>
        </is>
      </c>
      <c r="B359" s="1" t="n">
        <v>44235</v>
      </c>
      <c r="C359" s="1" t="n">
        <v>45995</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6669-2021</t>
        </is>
      </c>
      <c r="B360" s="1" t="n">
        <v>44235</v>
      </c>
      <c r="C360" s="1" t="n">
        <v>45995</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61801-2024</t>
        </is>
      </c>
      <c r="B361" s="1" t="n">
        <v>45649.56392361111</v>
      </c>
      <c r="C361" s="1" t="n">
        <v>45995</v>
      </c>
      <c r="D361" t="inlineStr">
        <is>
          <t>VÄSTERBOTTENS LÄN</t>
        </is>
      </c>
      <c r="E361" t="inlineStr">
        <is>
          <t>VILHELMINA</t>
        </is>
      </c>
      <c r="G361" t="n">
        <v>2.5</v>
      </c>
      <c r="H361" t="n">
        <v>0</v>
      </c>
      <c r="I361" t="n">
        <v>0</v>
      </c>
      <c r="J361" t="n">
        <v>0</v>
      </c>
      <c r="K361" t="n">
        <v>0</v>
      </c>
      <c r="L361" t="n">
        <v>0</v>
      </c>
      <c r="M361" t="n">
        <v>0</v>
      </c>
      <c r="N361" t="n">
        <v>0</v>
      </c>
      <c r="O361" t="n">
        <v>0</v>
      </c>
      <c r="P361" t="n">
        <v>0</v>
      </c>
      <c r="Q361" t="n">
        <v>0</v>
      </c>
      <c r="R361" s="2" t="inlineStr"/>
    </row>
    <row r="362" ht="15" customHeight="1">
      <c r="A362" t="inlineStr">
        <is>
          <t>A 56823-2023</t>
        </is>
      </c>
      <c r="B362" s="1" t="n">
        <v>45238</v>
      </c>
      <c r="C362" s="1" t="n">
        <v>45995</v>
      </c>
      <c r="D362" t="inlineStr">
        <is>
          <t>VÄSTERBOTTENS LÄN</t>
        </is>
      </c>
      <c r="E362" t="inlineStr">
        <is>
          <t>VILHELMINA</t>
        </is>
      </c>
      <c r="F362" t="inlineStr">
        <is>
          <t>Allmännings- och besparingsskogar</t>
        </is>
      </c>
      <c r="G362" t="n">
        <v>82</v>
      </c>
      <c r="H362" t="n">
        <v>0</v>
      </c>
      <c r="I362" t="n">
        <v>0</v>
      </c>
      <c r="J362" t="n">
        <v>0</v>
      </c>
      <c r="K362" t="n">
        <v>0</v>
      </c>
      <c r="L362" t="n">
        <v>0</v>
      </c>
      <c r="M362" t="n">
        <v>0</v>
      </c>
      <c r="N362" t="n">
        <v>0</v>
      </c>
      <c r="O362" t="n">
        <v>0</v>
      </c>
      <c r="P362" t="n">
        <v>0</v>
      </c>
      <c r="Q362" t="n">
        <v>0</v>
      </c>
      <c r="R362" s="2" t="inlineStr"/>
    </row>
    <row r="363" ht="15" customHeight="1">
      <c r="A363" t="inlineStr">
        <is>
          <t>A 34762-2024</t>
        </is>
      </c>
      <c r="B363" s="1" t="n">
        <v>45526.61637731481</v>
      </c>
      <c r="C363" s="1" t="n">
        <v>45995</v>
      </c>
      <c r="D363" t="inlineStr">
        <is>
          <t>VÄSTERBOTTENS LÄN</t>
        </is>
      </c>
      <c r="E363" t="inlineStr">
        <is>
          <t>VILHELMINA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61780-2023</t>
        </is>
      </c>
      <c r="B364" s="1" t="n">
        <v>45265.95685185185</v>
      </c>
      <c r="C364" s="1" t="n">
        <v>45995</v>
      </c>
      <c r="D364" t="inlineStr">
        <is>
          <t>VÄSTERBOTTENS LÄN</t>
        </is>
      </c>
      <c r="E364" t="inlineStr">
        <is>
          <t>VILHELMINA</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40144-2025</t>
        </is>
      </c>
      <c r="B365" s="1" t="n">
        <v>45894.57322916666</v>
      </c>
      <c r="C365" s="1" t="n">
        <v>45995</v>
      </c>
      <c r="D365" t="inlineStr">
        <is>
          <t>VÄSTERBOTTENS LÄN</t>
        </is>
      </c>
      <c r="E365" t="inlineStr">
        <is>
          <t>VILHELMINA</t>
        </is>
      </c>
      <c r="G365" t="n">
        <v>6.3</v>
      </c>
      <c r="H365" t="n">
        <v>0</v>
      </c>
      <c r="I365" t="n">
        <v>0</v>
      </c>
      <c r="J365" t="n">
        <v>0</v>
      </c>
      <c r="K365" t="n">
        <v>0</v>
      </c>
      <c r="L365" t="n">
        <v>0</v>
      </c>
      <c r="M365" t="n">
        <v>0</v>
      </c>
      <c r="N365" t="n">
        <v>0</v>
      </c>
      <c r="O365" t="n">
        <v>0</v>
      </c>
      <c r="P365" t="n">
        <v>0</v>
      </c>
      <c r="Q365" t="n">
        <v>0</v>
      </c>
      <c r="R365" s="2" t="inlineStr"/>
    </row>
    <row r="366" ht="15" customHeight="1">
      <c r="A366" t="inlineStr">
        <is>
          <t>A 8916-2023</t>
        </is>
      </c>
      <c r="B366" s="1" t="n">
        <v>44972</v>
      </c>
      <c r="C366" s="1" t="n">
        <v>45995</v>
      </c>
      <c r="D366" t="inlineStr">
        <is>
          <t>VÄSTERBOTTENS LÄN</t>
        </is>
      </c>
      <c r="E366" t="inlineStr">
        <is>
          <t>VILHELMINA</t>
        </is>
      </c>
      <c r="F366" t="inlineStr">
        <is>
          <t>Allmännings- och besparingsskogar</t>
        </is>
      </c>
      <c r="G366" t="n">
        <v>22.1</v>
      </c>
      <c r="H366" t="n">
        <v>0</v>
      </c>
      <c r="I366" t="n">
        <v>0</v>
      </c>
      <c r="J366" t="n">
        <v>0</v>
      </c>
      <c r="K366" t="n">
        <v>0</v>
      </c>
      <c r="L366" t="n">
        <v>0</v>
      </c>
      <c r="M366" t="n">
        <v>0</v>
      </c>
      <c r="N366" t="n">
        <v>0</v>
      </c>
      <c r="O366" t="n">
        <v>0</v>
      </c>
      <c r="P366" t="n">
        <v>0</v>
      </c>
      <c r="Q366" t="n">
        <v>0</v>
      </c>
      <c r="R366" s="2" t="inlineStr"/>
    </row>
    <row r="367" ht="15" customHeight="1">
      <c r="A367" t="inlineStr">
        <is>
          <t>A 367-2024</t>
        </is>
      </c>
      <c r="B367" s="1" t="n">
        <v>45295</v>
      </c>
      <c r="C367" s="1" t="n">
        <v>45995</v>
      </c>
      <c r="D367" t="inlineStr">
        <is>
          <t>VÄSTERBOTTENS LÄN</t>
        </is>
      </c>
      <c r="E367" t="inlineStr">
        <is>
          <t>VILHELMINA</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12765-2025</t>
        </is>
      </c>
      <c r="B368" s="1" t="n">
        <v>45733</v>
      </c>
      <c r="C368" s="1" t="n">
        <v>45995</v>
      </c>
      <c r="D368" t="inlineStr">
        <is>
          <t>VÄSTERBOTTENS LÄN</t>
        </is>
      </c>
      <c r="E368" t="inlineStr">
        <is>
          <t>VILHELMINA</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54729-2022</t>
        </is>
      </c>
      <c r="B369" s="1" t="n">
        <v>44881</v>
      </c>
      <c r="C369" s="1" t="n">
        <v>45995</v>
      </c>
      <c r="D369" t="inlineStr">
        <is>
          <t>VÄSTERBOTTENS LÄN</t>
        </is>
      </c>
      <c r="E369" t="inlineStr">
        <is>
          <t>VILHELMINA</t>
        </is>
      </c>
      <c r="G369" t="n">
        <v>19.2</v>
      </c>
      <c r="H369" t="n">
        <v>0</v>
      </c>
      <c r="I369" t="n">
        <v>0</v>
      </c>
      <c r="J369" t="n">
        <v>0</v>
      </c>
      <c r="K369" t="n">
        <v>0</v>
      </c>
      <c r="L369" t="n">
        <v>0</v>
      </c>
      <c r="M369" t="n">
        <v>0</v>
      </c>
      <c r="N369" t="n">
        <v>0</v>
      </c>
      <c r="O369" t="n">
        <v>0</v>
      </c>
      <c r="P369" t="n">
        <v>0</v>
      </c>
      <c r="Q369" t="n">
        <v>0</v>
      </c>
      <c r="R369" s="2" t="inlineStr"/>
    </row>
    <row r="370" ht="15" customHeight="1">
      <c r="A370" t="inlineStr">
        <is>
          <t>A 34807-2023</t>
        </is>
      </c>
      <c r="B370" s="1" t="n">
        <v>45140</v>
      </c>
      <c r="C370" s="1" t="n">
        <v>45995</v>
      </c>
      <c r="D370" t="inlineStr">
        <is>
          <t>VÄSTERBOTTENS LÄN</t>
        </is>
      </c>
      <c r="E370" t="inlineStr">
        <is>
          <t>VILHELMINA</t>
        </is>
      </c>
      <c r="G370" t="n">
        <v>8.1</v>
      </c>
      <c r="H370" t="n">
        <v>0</v>
      </c>
      <c r="I370" t="n">
        <v>0</v>
      </c>
      <c r="J370" t="n">
        <v>0</v>
      </c>
      <c r="K370" t="n">
        <v>0</v>
      </c>
      <c r="L370" t="n">
        <v>0</v>
      </c>
      <c r="M370" t="n">
        <v>0</v>
      </c>
      <c r="N370" t="n">
        <v>0</v>
      </c>
      <c r="O370" t="n">
        <v>0</v>
      </c>
      <c r="P370" t="n">
        <v>0</v>
      </c>
      <c r="Q370" t="n">
        <v>0</v>
      </c>
      <c r="R370" s="2" t="inlineStr"/>
    </row>
    <row r="371" ht="15" customHeight="1">
      <c r="A371" t="inlineStr">
        <is>
          <t>A 60842-2023</t>
        </is>
      </c>
      <c r="B371" s="1" t="n">
        <v>45260.9258912037</v>
      </c>
      <c r="C371" s="1" t="n">
        <v>45995</v>
      </c>
      <c r="D371" t="inlineStr">
        <is>
          <t>VÄSTERBOTTENS LÄN</t>
        </is>
      </c>
      <c r="E371" t="inlineStr">
        <is>
          <t>VILHELMINA</t>
        </is>
      </c>
      <c r="G371" t="n">
        <v>2.9</v>
      </c>
      <c r="H371" t="n">
        <v>0</v>
      </c>
      <c r="I371" t="n">
        <v>0</v>
      </c>
      <c r="J371" t="n">
        <v>0</v>
      </c>
      <c r="K371" t="n">
        <v>0</v>
      </c>
      <c r="L371" t="n">
        <v>0</v>
      </c>
      <c r="M371" t="n">
        <v>0</v>
      </c>
      <c r="N371" t="n">
        <v>0</v>
      </c>
      <c r="O371" t="n">
        <v>0</v>
      </c>
      <c r="P371" t="n">
        <v>0</v>
      </c>
      <c r="Q371" t="n">
        <v>0</v>
      </c>
      <c r="R371" s="2" t="inlineStr"/>
    </row>
    <row r="372" ht="15" customHeight="1">
      <c r="A372" t="inlineStr">
        <is>
          <t>A 33828-2024</t>
        </is>
      </c>
      <c r="B372" s="1" t="n">
        <v>45520.61695601852</v>
      </c>
      <c r="C372" s="1" t="n">
        <v>45995</v>
      </c>
      <c r="D372" t="inlineStr">
        <is>
          <t>VÄSTERBOTTENS LÄN</t>
        </is>
      </c>
      <c r="E372" t="inlineStr">
        <is>
          <t>VILHELMINA</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64028-2023</t>
        </is>
      </c>
      <c r="B373" s="1" t="n">
        <v>45278.94263888889</v>
      </c>
      <c r="C373" s="1" t="n">
        <v>45995</v>
      </c>
      <c r="D373" t="inlineStr">
        <is>
          <t>VÄSTERBOTTENS LÄN</t>
        </is>
      </c>
      <c r="E373" t="inlineStr">
        <is>
          <t>VILHELMINA</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28656-2024</t>
        </is>
      </c>
      <c r="B374" s="1" t="n">
        <v>45478</v>
      </c>
      <c r="C374" s="1" t="n">
        <v>45995</v>
      </c>
      <c r="D374" t="inlineStr">
        <is>
          <t>VÄSTERBOTTENS LÄN</t>
        </is>
      </c>
      <c r="E374" t="inlineStr">
        <is>
          <t>VILHELMINA</t>
        </is>
      </c>
      <c r="F374" t="inlineStr">
        <is>
          <t>Allmännings- och besparingsskogar</t>
        </is>
      </c>
      <c r="G374" t="n">
        <v>1.6</v>
      </c>
      <c r="H374" t="n">
        <v>0</v>
      </c>
      <c r="I374" t="n">
        <v>0</v>
      </c>
      <c r="J374" t="n">
        <v>0</v>
      </c>
      <c r="K374" t="n">
        <v>0</v>
      </c>
      <c r="L374" t="n">
        <v>0</v>
      </c>
      <c r="M374" t="n">
        <v>0</v>
      </c>
      <c r="N374" t="n">
        <v>0</v>
      </c>
      <c r="O374" t="n">
        <v>0</v>
      </c>
      <c r="P374" t="n">
        <v>0</v>
      </c>
      <c r="Q374" t="n">
        <v>0</v>
      </c>
      <c r="R374" s="2" t="inlineStr"/>
    </row>
    <row r="375" ht="15" customHeight="1">
      <c r="A375" t="inlineStr">
        <is>
          <t>A 13557-2024</t>
        </is>
      </c>
      <c r="B375" s="1" t="n">
        <v>45388</v>
      </c>
      <c r="C375" s="1" t="n">
        <v>45995</v>
      </c>
      <c r="D375" t="inlineStr">
        <is>
          <t>VÄSTERBOTTENS LÄN</t>
        </is>
      </c>
      <c r="E375" t="inlineStr">
        <is>
          <t>VILHELMINA</t>
        </is>
      </c>
      <c r="G375" t="n">
        <v>11.2</v>
      </c>
      <c r="H375" t="n">
        <v>0</v>
      </c>
      <c r="I375" t="n">
        <v>0</v>
      </c>
      <c r="J375" t="n">
        <v>0</v>
      </c>
      <c r="K375" t="n">
        <v>0</v>
      </c>
      <c r="L375" t="n">
        <v>0</v>
      </c>
      <c r="M375" t="n">
        <v>0</v>
      </c>
      <c r="N375" t="n">
        <v>0</v>
      </c>
      <c r="O375" t="n">
        <v>0</v>
      </c>
      <c r="P375" t="n">
        <v>0</v>
      </c>
      <c r="Q375" t="n">
        <v>0</v>
      </c>
      <c r="R375" s="2" t="inlineStr"/>
    </row>
    <row r="376" ht="15" customHeight="1">
      <c r="A376" t="inlineStr">
        <is>
          <t>A 47254-2022</t>
        </is>
      </c>
      <c r="B376" s="1" t="n">
        <v>44852.94685185186</v>
      </c>
      <c r="C376" s="1" t="n">
        <v>45995</v>
      </c>
      <c r="D376" t="inlineStr">
        <is>
          <t>VÄSTERBOTTENS LÄN</t>
        </is>
      </c>
      <c r="E376" t="inlineStr">
        <is>
          <t>VILHELMINA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54984-2023</t>
        </is>
      </c>
      <c r="B377" s="1" t="n">
        <v>45236</v>
      </c>
      <c r="C377" s="1" t="n">
        <v>45995</v>
      </c>
      <c r="D377" t="inlineStr">
        <is>
          <t>VÄSTERBOTTENS LÄN</t>
        </is>
      </c>
      <c r="E377" t="inlineStr">
        <is>
          <t>VILHELMINA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27917-2024</t>
        </is>
      </c>
      <c r="B378" s="1" t="n">
        <v>45475.94844907407</v>
      </c>
      <c r="C378" s="1" t="n">
        <v>45995</v>
      </c>
      <c r="D378" t="inlineStr">
        <is>
          <t>VÄSTERBOTTENS LÄN</t>
        </is>
      </c>
      <c r="E378" t="inlineStr">
        <is>
          <t>VILHELMINA</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22109-2024</t>
        </is>
      </c>
      <c r="B379" s="1" t="n">
        <v>45443</v>
      </c>
      <c r="C379" s="1" t="n">
        <v>45995</v>
      </c>
      <c r="D379" t="inlineStr">
        <is>
          <t>VÄSTERBOTTENS LÄN</t>
        </is>
      </c>
      <c r="E379" t="inlineStr">
        <is>
          <t>VILHELMINA</t>
        </is>
      </c>
      <c r="F379" t="inlineStr">
        <is>
          <t>SCA</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12374-2025</t>
        </is>
      </c>
      <c r="B380" s="1" t="n">
        <v>45730</v>
      </c>
      <c r="C380" s="1" t="n">
        <v>45995</v>
      </c>
      <c r="D380" t="inlineStr">
        <is>
          <t>VÄSTERBOTTENS LÄN</t>
        </is>
      </c>
      <c r="E380" t="inlineStr">
        <is>
          <t>VILHELMINA</t>
        </is>
      </c>
      <c r="F380" t="inlineStr">
        <is>
          <t>Övriga statliga verk och myndigheter</t>
        </is>
      </c>
      <c r="G380" t="n">
        <v>18.7</v>
      </c>
      <c r="H380" t="n">
        <v>0</v>
      </c>
      <c r="I380" t="n">
        <v>0</v>
      </c>
      <c r="J380" t="n">
        <v>0</v>
      </c>
      <c r="K380" t="n">
        <v>0</v>
      </c>
      <c r="L380" t="n">
        <v>0</v>
      </c>
      <c r="M380" t="n">
        <v>0</v>
      </c>
      <c r="N380" t="n">
        <v>0</v>
      </c>
      <c r="O380" t="n">
        <v>0</v>
      </c>
      <c r="P380" t="n">
        <v>0</v>
      </c>
      <c r="Q380" t="n">
        <v>0</v>
      </c>
      <c r="R380" s="2" t="inlineStr"/>
    </row>
    <row r="381" ht="15" customHeight="1">
      <c r="A381" t="inlineStr">
        <is>
          <t>A 12375-2025</t>
        </is>
      </c>
      <c r="B381" s="1" t="n">
        <v>45730</v>
      </c>
      <c r="C381" s="1" t="n">
        <v>45995</v>
      </c>
      <c r="D381" t="inlineStr">
        <is>
          <t>VÄSTERBOTTENS LÄN</t>
        </is>
      </c>
      <c r="E381" t="inlineStr">
        <is>
          <t>VILHELMINA</t>
        </is>
      </c>
      <c r="F381" t="inlineStr">
        <is>
          <t>Övriga statliga verk och myndigheter</t>
        </is>
      </c>
      <c r="G381" t="n">
        <v>22.3</v>
      </c>
      <c r="H381" t="n">
        <v>0</v>
      </c>
      <c r="I381" t="n">
        <v>0</v>
      </c>
      <c r="J381" t="n">
        <v>0</v>
      </c>
      <c r="K381" t="n">
        <v>0</v>
      </c>
      <c r="L381" t="n">
        <v>0</v>
      </c>
      <c r="M381" t="n">
        <v>0</v>
      </c>
      <c r="N381" t="n">
        <v>0</v>
      </c>
      <c r="O381" t="n">
        <v>0</v>
      </c>
      <c r="P381" t="n">
        <v>0</v>
      </c>
      <c r="Q381" t="n">
        <v>0</v>
      </c>
      <c r="R381" s="2" t="inlineStr"/>
    </row>
    <row r="382" ht="15" customHeight="1">
      <c r="A382" t="inlineStr">
        <is>
          <t>A 41171-2025</t>
        </is>
      </c>
      <c r="B382" s="1" t="n">
        <v>45898</v>
      </c>
      <c r="C382" s="1" t="n">
        <v>45995</v>
      </c>
      <c r="D382" t="inlineStr">
        <is>
          <t>VÄSTERBOTTENS LÄN</t>
        </is>
      </c>
      <c r="E382" t="inlineStr">
        <is>
          <t>VILHELMINA</t>
        </is>
      </c>
      <c r="F382" t="inlineStr">
        <is>
          <t>Övriga Aktiebolag</t>
        </is>
      </c>
      <c r="G382" t="n">
        <v>5.6</v>
      </c>
      <c r="H382" t="n">
        <v>0</v>
      </c>
      <c r="I382" t="n">
        <v>0</v>
      </c>
      <c r="J382" t="n">
        <v>0</v>
      </c>
      <c r="K382" t="n">
        <v>0</v>
      </c>
      <c r="L382" t="n">
        <v>0</v>
      </c>
      <c r="M382" t="n">
        <v>0</v>
      </c>
      <c r="N382" t="n">
        <v>0</v>
      </c>
      <c r="O382" t="n">
        <v>0</v>
      </c>
      <c r="P382" t="n">
        <v>0</v>
      </c>
      <c r="Q382" t="n">
        <v>0</v>
      </c>
      <c r="R382" s="2" t="inlineStr"/>
    </row>
    <row r="383" ht="15" customHeight="1">
      <c r="A383" t="inlineStr">
        <is>
          <t>A 38187-2024</t>
        </is>
      </c>
      <c r="B383" s="1" t="n">
        <v>45545.49028935185</v>
      </c>
      <c r="C383" s="1" t="n">
        <v>45995</v>
      </c>
      <c r="D383" t="inlineStr">
        <is>
          <t>VÄSTERBOTTENS LÄN</t>
        </is>
      </c>
      <c r="E383" t="inlineStr">
        <is>
          <t>VILHELMINA</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706-2024</t>
        </is>
      </c>
      <c r="B384" s="1" t="n">
        <v>45300</v>
      </c>
      <c r="C384" s="1" t="n">
        <v>45995</v>
      </c>
      <c r="D384" t="inlineStr">
        <is>
          <t>VÄSTERBOTTENS LÄN</t>
        </is>
      </c>
      <c r="E384" t="inlineStr">
        <is>
          <t>VILHELMINA</t>
        </is>
      </c>
      <c r="G384" t="n">
        <v>2.8</v>
      </c>
      <c r="H384" t="n">
        <v>0</v>
      </c>
      <c r="I384" t="n">
        <v>0</v>
      </c>
      <c r="J384" t="n">
        <v>0</v>
      </c>
      <c r="K384" t="n">
        <v>0</v>
      </c>
      <c r="L384" t="n">
        <v>0</v>
      </c>
      <c r="M384" t="n">
        <v>0</v>
      </c>
      <c r="N384" t="n">
        <v>0</v>
      </c>
      <c r="O384" t="n">
        <v>0</v>
      </c>
      <c r="P384" t="n">
        <v>0</v>
      </c>
      <c r="Q384" t="n">
        <v>0</v>
      </c>
      <c r="R384" s="2" t="inlineStr"/>
    </row>
    <row r="385" ht="15" customHeight="1">
      <c r="A385" t="inlineStr">
        <is>
          <t>A 55688-2023</t>
        </is>
      </c>
      <c r="B385" s="1" t="n">
        <v>45232</v>
      </c>
      <c r="C385" s="1" t="n">
        <v>45995</v>
      </c>
      <c r="D385" t="inlineStr">
        <is>
          <t>VÄSTERBOTTENS LÄN</t>
        </is>
      </c>
      <c r="E385" t="inlineStr">
        <is>
          <t>VILHELMINA</t>
        </is>
      </c>
      <c r="G385" t="n">
        <v>6.4</v>
      </c>
      <c r="H385" t="n">
        <v>0</v>
      </c>
      <c r="I385" t="n">
        <v>0</v>
      </c>
      <c r="J385" t="n">
        <v>0</v>
      </c>
      <c r="K385" t="n">
        <v>0</v>
      </c>
      <c r="L385" t="n">
        <v>0</v>
      </c>
      <c r="M385" t="n">
        <v>0</v>
      </c>
      <c r="N385" t="n">
        <v>0</v>
      </c>
      <c r="O385" t="n">
        <v>0</v>
      </c>
      <c r="P385" t="n">
        <v>0</v>
      </c>
      <c r="Q385" t="n">
        <v>0</v>
      </c>
      <c r="R385" s="2" t="inlineStr"/>
    </row>
    <row r="386" ht="15" customHeight="1">
      <c r="A386" t="inlineStr">
        <is>
          <t>A 47589-2025</t>
        </is>
      </c>
      <c r="B386" s="1" t="n">
        <v>45931</v>
      </c>
      <c r="C386" s="1" t="n">
        <v>45995</v>
      </c>
      <c r="D386" t="inlineStr">
        <is>
          <t>VÄSTERBOTTENS LÄN</t>
        </is>
      </c>
      <c r="E386" t="inlineStr">
        <is>
          <t>VILHELMINA</t>
        </is>
      </c>
      <c r="G386" t="n">
        <v>24.8</v>
      </c>
      <c r="H386" t="n">
        <v>0</v>
      </c>
      <c r="I386" t="n">
        <v>0</v>
      </c>
      <c r="J386" t="n">
        <v>0</v>
      </c>
      <c r="K386" t="n">
        <v>0</v>
      </c>
      <c r="L386" t="n">
        <v>0</v>
      </c>
      <c r="M386" t="n">
        <v>0</v>
      </c>
      <c r="N386" t="n">
        <v>0</v>
      </c>
      <c r="O386" t="n">
        <v>0</v>
      </c>
      <c r="P386" t="n">
        <v>0</v>
      </c>
      <c r="Q386" t="n">
        <v>0</v>
      </c>
      <c r="R386" s="2" t="inlineStr"/>
    </row>
    <row r="387" ht="15" customHeight="1">
      <c r="A387" t="inlineStr">
        <is>
          <t>A 56754-2023</t>
        </is>
      </c>
      <c r="B387" s="1" t="n">
        <v>45238</v>
      </c>
      <c r="C387" s="1" t="n">
        <v>45995</v>
      </c>
      <c r="D387" t="inlineStr">
        <is>
          <t>VÄSTERBOTTENS LÄN</t>
        </is>
      </c>
      <c r="E387" t="inlineStr">
        <is>
          <t>VILHELMINA</t>
        </is>
      </c>
      <c r="F387" t="inlineStr">
        <is>
          <t>Allmännings- och besparingsskogar</t>
        </is>
      </c>
      <c r="G387" t="n">
        <v>18</v>
      </c>
      <c r="H387" t="n">
        <v>0</v>
      </c>
      <c r="I387" t="n">
        <v>0</v>
      </c>
      <c r="J387" t="n">
        <v>0</v>
      </c>
      <c r="K387" t="n">
        <v>0</v>
      </c>
      <c r="L387" t="n">
        <v>0</v>
      </c>
      <c r="M387" t="n">
        <v>0</v>
      </c>
      <c r="N387" t="n">
        <v>0</v>
      </c>
      <c r="O387" t="n">
        <v>0</v>
      </c>
      <c r="P387" t="n">
        <v>0</v>
      </c>
      <c r="Q387" t="n">
        <v>0</v>
      </c>
      <c r="R387" s="2" t="inlineStr"/>
    </row>
    <row r="388" ht="15" customHeight="1">
      <c r="A388" t="inlineStr">
        <is>
          <t>A 56396-2022</t>
        </is>
      </c>
      <c r="B388" s="1" t="n">
        <v>44890</v>
      </c>
      <c r="C388" s="1" t="n">
        <v>45995</v>
      </c>
      <c r="D388" t="inlineStr">
        <is>
          <t>VÄSTERBOTTENS LÄN</t>
        </is>
      </c>
      <c r="E388" t="inlineStr">
        <is>
          <t>VILHELMINA</t>
        </is>
      </c>
      <c r="G388" t="n">
        <v>1.6</v>
      </c>
      <c r="H388" t="n">
        <v>0</v>
      </c>
      <c r="I388" t="n">
        <v>0</v>
      </c>
      <c r="J388" t="n">
        <v>0</v>
      </c>
      <c r="K388" t="n">
        <v>0</v>
      </c>
      <c r="L388" t="n">
        <v>0</v>
      </c>
      <c r="M388" t="n">
        <v>0</v>
      </c>
      <c r="N388" t="n">
        <v>0</v>
      </c>
      <c r="O388" t="n">
        <v>0</v>
      </c>
      <c r="P388" t="n">
        <v>0</v>
      </c>
      <c r="Q388" t="n">
        <v>0</v>
      </c>
      <c r="R388" s="2" t="inlineStr"/>
    </row>
    <row r="389" ht="15" customHeight="1">
      <c r="A389" t="inlineStr">
        <is>
          <t>A 55720-2023</t>
        </is>
      </c>
      <c r="B389" s="1" t="n">
        <v>45232</v>
      </c>
      <c r="C389" s="1" t="n">
        <v>45995</v>
      </c>
      <c r="D389" t="inlineStr">
        <is>
          <t>VÄSTERBOTTENS LÄN</t>
        </is>
      </c>
      <c r="E389" t="inlineStr">
        <is>
          <t>VILHELMINA</t>
        </is>
      </c>
      <c r="G389" t="n">
        <v>0.8</v>
      </c>
      <c r="H389" t="n">
        <v>0</v>
      </c>
      <c r="I389" t="n">
        <v>0</v>
      </c>
      <c r="J389" t="n">
        <v>0</v>
      </c>
      <c r="K389" t="n">
        <v>0</v>
      </c>
      <c r="L389" t="n">
        <v>0</v>
      </c>
      <c r="M389" t="n">
        <v>0</v>
      </c>
      <c r="N389" t="n">
        <v>0</v>
      </c>
      <c r="O389" t="n">
        <v>0</v>
      </c>
      <c r="P389" t="n">
        <v>0</v>
      </c>
      <c r="Q389" t="n">
        <v>0</v>
      </c>
      <c r="R389" s="2" t="inlineStr"/>
    </row>
    <row r="390" ht="15" customHeight="1">
      <c r="A390" t="inlineStr">
        <is>
          <t>A 38363-2023</t>
        </is>
      </c>
      <c r="B390" s="1" t="n">
        <v>45161</v>
      </c>
      <c r="C390" s="1" t="n">
        <v>45995</v>
      </c>
      <c r="D390" t="inlineStr">
        <is>
          <t>VÄSTERBOTTENS LÄN</t>
        </is>
      </c>
      <c r="E390" t="inlineStr">
        <is>
          <t>VILHELMINA</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10268-2025</t>
        </is>
      </c>
      <c r="B391" s="1" t="n">
        <v>45720</v>
      </c>
      <c r="C391" s="1" t="n">
        <v>45995</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55978-2024</t>
        </is>
      </c>
      <c r="B392" s="1" t="n">
        <v>45623</v>
      </c>
      <c r="C392" s="1" t="n">
        <v>45995</v>
      </c>
      <c r="D392" t="inlineStr">
        <is>
          <t>VÄSTERBOTTENS LÄN</t>
        </is>
      </c>
      <c r="E392" t="inlineStr">
        <is>
          <t>VILHELMINA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41704-2025</t>
        </is>
      </c>
      <c r="B393" s="1" t="n">
        <v>45902</v>
      </c>
      <c r="C393" s="1" t="n">
        <v>45995</v>
      </c>
      <c r="D393" t="inlineStr">
        <is>
          <t>VÄSTERBOTTENS LÄN</t>
        </is>
      </c>
      <c r="E393" t="inlineStr">
        <is>
          <t>VILHELMINA</t>
        </is>
      </c>
      <c r="G393" t="n">
        <v>3.3</v>
      </c>
      <c r="H393" t="n">
        <v>0</v>
      </c>
      <c r="I393" t="n">
        <v>0</v>
      </c>
      <c r="J393" t="n">
        <v>0</v>
      </c>
      <c r="K393" t="n">
        <v>0</v>
      </c>
      <c r="L393" t="n">
        <v>0</v>
      </c>
      <c r="M393" t="n">
        <v>0</v>
      </c>
      <c r="N393" t="n">
        <v>0</v>
      </c>
      <c r="O393" t="n">
        <v>0</v>
      </c>
      <c r="P393" t="n">
        <v>0</v>
      </c>
      <c r="Q393" t="n">
        <v>0</v>
      </c>
      <c r="R393" s="2" t="inlineStr"/>
    </row>
    <row r="394" ht="15" customHeight="1">
      <c r="A394" t="inlineStr">
        <is>
          <t>A 45972-2023</t>
        </is>
      </c>
      <c r="B394" s="1" t="n">
        <v>45195</v>
      </c>
      <c r="C394" s="1" t="n">
        <v>45995</v>
      </c>
      <c r="D394" t="inlineStr">
        <is>
          <t>VÄSTERBOTTENS LÄN</t>
        </is>
      </c>
      <c r="E394" t="inlineStr">
        <is>
          <t>VILHELMINA</t>
        </is>
      </c>
      <c r="F394" t="inlineStr">
        <is>
          <t>SCA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61270-2022</t>
        </is>
      </c>
      <c r="B395" s="1" t="n">
        <v>44909</v>
      </c>
      <c r="C395" s="1" t="n">
        <v>45995</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60227-2022</t>
        </is>
      </c>
      <c r="B396" s="1" t="n">
        <v>44903</v>
      </c>
      <c r="C396" s="1" t="n">
        <v>45995</v>
      </c>
      <c r="D396" t="inlineStr">
        <is>
          <t>VÄSTERBOTTENS LÄN</t>
        </is>
      </c>
      <c r="E396" t="inlineStr">
        <is>
          <t>VILHELMINA</t>
        </is>
      </c>
      <c r="G396" t="n">
        <v>11</v>
      </c>
      <c r="H396" t="n">
        <v>0</v>
      </c>
      <c r="I396" t="n">
        <v>0</v>
      </c>
      <c r="J396" t="n">
        <v>0</v>
      </c>
      <c r="K396" t="n">
        <v>0</v>
      </c>
      <c r="L396" t="n">
        <v>0</v>
      </c>
      <c r="M396" t="n">
        <v>0</v>
      </c>
      <c r="N396" t="n">
        <v>0</v>
      </c>
      <c r="O396" t="n">
        <v>0</v>
      </c>
      <c r="P396" t="n">
        <v>0</v>
      </c>
      <c r="Q396" t="n">
        <v>0</v>
      </c>
      <c r="R396" s="2" t="inlineStr"/>
    </row>
    <row r="397" ht="15" customHeight="1">
      <c r="A397" t="inlineStr">
        <is>
          <t>A 10956-2023</t>
        </is>
      </c>
      <c r="B397" s="1" t="n">
        <v>44985</v>
      </c>
      <c r="C397" s="1" t="n">
        <v>45995</v>
      </c>
      <c r="D397" t="inlineStr">
        <is>
          <t>VÄSTERBOTTENS LÄN</t>
        </is>
      </c>
      <c r="E397" t="inlineStr">
        <is>
          <t>VILHELMINA</t>
        </is>
      </c>
      <c r="G397" t="n">
        <v>3.3</v>
      </c>
      <c r="H397" t="n">
        <v>0</v>
      </c>
      <c r="I397" t="n">
        <v>0</v>
      </c>
      <c r="J397" t="n">
        <v>0</v>
      </c>
      <c r="K397" t="n">
        <v>0</v>
      </c>
      <c r="L397" t="n">
        <v>0</v>
      </c>
      <c r="M397" t="n">
        <v>0</v>
      </c>
      <c r="N397" t="n">
        <v>0</v>
      </c>
      <c r="O397" t="n">
        <v>0</v>
      </c>
      <c r="P397" t="n">
        <v>0</v>
      </c>
      <c r="Q397" t="n">
        <v>0</v>
      </c>
      <c r="R397" s="2" t="inlineStr"/>
    </row>
    <row r="398" ht="15" customHeight="1">
      <c r="A398" t="inlineStr">
        <is>
          <t>A 19223-2025</t>
        </is>
      </c>
      <c r="B398" s="1" t="n">
        <v>45769</v>
      </c>
      <c r="C398" s="1" t="n">
        <v>45995</v>
      </c>
      <c r="D398" t="inlineStr">
        <is>
          <t>VÄSTERBOTTENS LÄN</t>
        </is>
      </c>
      <c r="E398" t="inlineStr">
        <is>
          <t>VILHELMINA</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8726-2023</t>
        </is>
      </c>
      <c r="B399" s="1" t="n">
        <v>44972</v>
      </c>
      <c r="C399" s="1" t="n">
        <v>45995</v>
      </c>
      <c r="D399" t="inlineStr">
        <is>
          <t>VÄSTERBOTTENS LÄN</t>
        </is>
      </c>
      <c r="E399" t="inlineStr">
        <is>
          <t>VILHELMINA</t>
        </is>
      </c>
      <c r="F399" t="inlineStr">
        <is>
          <t>Allmännings- och besparingsskogar</t>
        </is>
      </c>
      <c r="G399" t="n">
        <v>50</v>
      </c>
      <c r="H399" t="n">
        <v>0</v>
      </c>
      <c r="I399" t="n">
        <v>0</v>
      </c>
      <c r="J399" t="n">
        <v>0</v>
      </c>
      <c r="K399" t="n">
        <v>0</v>
      </c>
      <c r="L399" t="n">
        <v>0</v>
      </c>
      <c r="M399" t="n">
        <v>0</v>
      </c>
      <c r="N399" t="n">
        <v>0</v>
      </c>
      <c r="O399" t="n">
        <v>0</v>
      </c>
      <c r="P399" t="n">
        <v>0</v>
      </c>
      <c r="Q399" t="n">
        <v>0</v>
      </c>
      <c r="R399" s="2" t="inlineStr"/>
    </row>
    <row r="400" ht="15" customHeight="1">
      <c r="A400" t="inlineStr">
        <is>
          <t>A 42360-2025</t>
        </is>
      </c>
      <c r="B400" s="1" t="n">
        <v>45904</v>
      </c>
      <c r="C400" s="1" t="n">
        <v>45995</v>
      </c>
      <c r="D400" t="inlineStr">
        <is>
          <t>VÄSTERBOTTENS LÄN</t>
        </is>
      </c>
      <c r="E400" t="inlineStr">
        <is>
          <t>VILHELMINA</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29463-2024</t>
        </is>
      </c>
      <c r="B401" s="1" t="n">
        <v>45483.96994212963</v>
      </c>
      <c r="C401" s="1" t="n">
        <v>45995</v>
      </c>
      <c r="D401" t="inlineStr">
        <is>
          <t>VÄSTERBOTTENS LÄN</t>
        </is>
      </c>
      <c r="E401" t="inlineStr">
        <is>
          <t>VILHELMINA</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36348-2024</t>
        </is>
      </c>
      <c r="B402" s="1" t="n">
        <v>45534.64422453703</v>
      </c>
      <c r="C402" s="1" t="n">
        <v>45995</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36355-2024</t>
        </is>
      </c>
      <c r="B403" s="1" t="n">
        <v>45534.64508101852</v>
      </c>
      <c r="C403" s="1" t="n">
        <v>45995</v>
      </c>
      <c r="D403" t="inlineStr">
        <is>
          <t>VÄSTERBOTTENS LÄN</t>
        </is>
      </c>
      <c r="E403" t="inlineStr">
        <is>
          <t>VILHELMINA</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42382-2025</t>
        </is>
      </c>
      <c r="B404" s="1" t="n">
        <v>45904</v>
      </c>
      <c r="C404" s="1" t="n">
        <v>45995</v>
      </c>
      <c r="D404" t="inlineStr">
        <is>
          <t>VÄSTERBOTTENS LÄN</t>
        </is>
      </c>
      <c r="E404" t="inlineStr">
        <is>
          <t>VILHELMINA</t>
        </is>
      </c>
      <c r="F404" t="inlineStr">
        <is>
          <t>Övriga Aktiebolag</t>
        </is>
      </c>
      <c r="G404" t="n">
        <v>6.2</v>
      </c>
      <c r="H404" t="n">
        <v>0</v>
      </c>
      <c r="I404" t="n">
        <v>0</v>
      </c>
      <c r="J404" t="n">
        <v>0</v>
      </c>
      <c r="K404" t="n">
        <v>0</v>
      </c>
      <c r="L404" t="n">
        <v>0</v>
      </c>
      <c r="M404" t="n">
        <v>0</v>
      </c>
      <c r="N404" t="n">
        <v>0</v>
      </c>
      <c r="O404" t="n">
        <v>0</v>
      </c>
      <c r="P404" t="n">
        <v>0</v>
      </c>
      <c r="Q404" t="n">
        <v>0</v>
      </c>
      <c r="R404" s="2" t="inlineStr"/>
    </row>
    <row r="405" ht="15" customHeight="1">
      <c r="A405" t="inlineStr">
        <is>
          <t>A 32253-2024</t>
        </is>
      </c>
      <c r="B405" s="1" t="n">
        <v>45511.95214120371</v>
      </c>
      <c r="C405" s="1" t="n">
        <v>45995</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11139-2022</t>
        </is>
      </c>
      <c r="B406" s="1" t="n">
        <v>44628</v>
      </c>
      <c r="C406" s="1" t="n">
        <v>45995</v>
      </c>
      <c r="D406" t="inlineStr">
        <is>
          <t>VÄSTERBOTTENS LÄN</t>
        </is>
      </c>
      <c r="E406" t="inlineStr">
        <is>
          <t>VILHELMINA</t>
        </is>
      </c>
      <c r="G406" t="n">
        <v>13.6</v>
      </c>
      <c r="H406" t="n">
        <v>0</v>
      </c>
      <c r="I406" t="n">
        <v>0</v>
      </c>
      <c r="J406" t="n">
        <v>0</v>
      </c>
      <c r="K406" t="n">
        <v>0</v>
      </c>
      <c r="L406" t="n">
        <v>0</v>
      </c>
      <c r="M406" t="n">
        <v>0</v>
      </c>
      <c r="N406" t="n">
        <v>0</v>
      </c>
      <c r="O406" t="n">
        <v>0</v>
      </c>
      <c r="P406" t="n">
        <v>0</v>
      </c>
      <c r="Q406" t="n">
        <v>0</v>
      </c>
      <c r="R406" s="2" t="inlineStr"/>
    </row>
    <row r="407" ht="15" customHeight="1">
      <c r="A407" t="inlineStr">
        <is>
          <t>A 21844-2024</t>
        </is>
      </c>
      <c r="B407" s="1" t="n">
        <v>45442</v>
      </c>
      <c r="C407" s="1" t="n">
        <v>45995</v>
      </c>
      <c r="D407" t="inlineStr">
        <is>
          <t>VÄSTERBOTTENS LÄN</t>
        </is>
      </c>
      <c r="E407" t="inlineStr">
        <is>
          <t>VILHELMINA</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57795-2023</t>
        </is>
      </c>
      <c r="B408" s="1" t="n">
        <v>45246.96861111111</v>
      </c>
      <c r="C408" s="1" t="n">
        <v>45995</v>
      </c>
      <c r="D408" t="inlineStr">
        <is>
          <t>VÄSTERBOTTENS LÄN</t>
        </is>
      </c>
      <c r="E408" t="inlineStr">
        <is>
          <t>VILHELMINA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12371-2025</t>
        </is>
      </c>
      <c r="B409" s="1" t="n">
        <v>45730</v>
      </c>
      <c r="C409" s="1" t="n">
        <v>45995</v>
      </c>
      <c r="D409" t="inlineStr">
        <is>
          <t>VÄSTERBOTTENS LÄN</t>
        </is>
      </c>
      <c r="E409" t="inlineStr">
        <is>
          <t>VILHELMINA</t>
        </is>
      </c>
      <c r="F409" t="inlineStr">
        <is>
          <t>Övriga statliga verk och myndigheter</t>
        </is>
      </c>
      <c r="G409" t="n">
        <v>37.1</v>
      </c>
      <c r="H409" t="n">
        <v>0</v>
      </c>
      <c r="I409" t="n">
        <v>0</v>
      </c>
      <c r="J409" t="n">
        <v>0</v>
      </c>
      <c r="K409" t="n">
        <v>0</v>
      </c>
      <c r="L409" t="n">
        <v>0</v>
      </c>
      <c r="M409" t="n">
        <v>0</v>
      </c>
      <c r="N409" t="n">
        <v>0</v>
      </c>
      <c r="O409" t="n">
        <v>0</v>
      </c>
      <c r="P409" t="n">
        <v>0</v>
      </c>
      <c r="Q409" t="n">
        <v>0</v>
      </c>
      <c r="R409" s="2" t="inlineStr"/>
    </row>
    <row r="410" ht="15" customHeight="1">
      <c r="A410" t="inlineStr">
        <is>
          <t>A 14993-2025</t>
        </is>
      </c>
      <c r="B410" s="1" t="n">
        <v>45743</v>
      </c>
      <c r="C410" s="1" t="n">
        <v>45995</v>
      </c>
      <c r="D410" t="inlineStr">
        <is>
          <t>VÄSTERBOTTENS LÄN</t>
        </is>
      </c>
      <c r="E410" t="inlineStr">
        <is>
          <t>VILHELMINA</t>
        </is>
      </c>
      <c r="G410" t="n">
        <v>2.1</v>
      </c>
      <c r="H410" t="n">
        <v>0</v>
      </c>
      <c r="I410" t="n">
        <v>0</v>
      </c>
      <c r="J410" t="n">
        <v>0</v>
      </c>
      <c r="K410" t="n">
        <v>0</v>
      </c>
      <c r="L410" t="n">
        <v>0</v>
      </c>
      <c r="M410" t="n">
        <v>0</v>
      </c>
      <c r="N410" t="n">
        <v>0</v>
      </c>
      <c r="O410" t="n">
        <v>0</v>
      </c>
      <c r="P410" t="n">
        <v>0</v>
      </c>
      <c r="Q410" t="n">
        <v>0</v>
      </c>
      <c r="R410" s="2" t="inlineStr"/>
    </row>
    <row r="411" ht="15" customHeight="1">
      <c r="A411" t="inlineStr">
        <is>
          <t>A 40468-2021</t>
        </is>
      </c>
      <c r="B411" s="1" t="n">
        <v>44419.94174768519</v>
      </c>
      <c r="C411" s="1" t="n">
        <v>45995</v>
      </c>
      <c r="D411" t="inlineStr">
        <is>
          <t>VÄSTERBOTTENS LÄN</t>
        </is>
      </c>
      <c r="E411" t="inlineStr">
        <is>
          <t>VILHELMINA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61778-2023</t>
        </is>
      </c>
      <c r="B412" s="1" t="n">
        <v>45265.95667824074</v>
      </c>
      <c r="C412" s="1" t="n">
        <v>45995</v>
      </c>
      <c r="D412" t="inlineStr">
        <is>
          <t>VÄSTERBOTTENS LÄN</t>
        </is>
      </c>
      <c r="E412" t="inlineStr">
        <is>
          <t>VILHELMINA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23270-2021</t>
        </is>
      </c>
      <c r="B413" s="1" t="n">
        <v>44328</v>
      </c>
      <c r="C413" s="1" t="n">
        <v>45995</v>
      </c>
      <c r="D413" t="inlineStr">
        <is>
          <t>VÄSTERBOTTENS LÄN</t>
        </is>
      </c>
      <c r="E413" t="inlineStr">
        <is>
          <t>VILHELMINA</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24988-2025</t>
        </is>
      </c>
      <c r="B414" s="1" t="n">
        <v>45799</v>
      </c>
      <c r="C414" s="1" t="n">
        <v>45995</v>
      </c>
      <c r="D414" t="inlineStr">
        <is>
          <t>VÄSTERBOTTENS LÄN</t>
        </is>
      </c>
      <c r="E414" t="inlineStr">
        <is>
          <t>VILHELMINA</t>
        </is>
      </c>
      <c r="G414" t="n">
        <v>8.9</v>
      </c>
      <c r="H414" t="n">
        <v>0</v>
      </c>
      <c r="I414" t="n">
        <v>0</v>
      </c>
      <c r="J414" t="n">
        <v>0</v>
      </c>
      <c r="K414" t="n">
        <v>0</v>
      </c>
      <c r="L414" t="n">
        <v>0</v>
      </c>
      <c r="M414" t="n">
        <v>0</v>
      </c>
      <c r="N414" t="n">
        <v>0</v>
      </c>
      <c r="O414" t="n">
        <v>0</v>
      </c>
      <c r="P414" t="n">
        <v>0</v>
      </c>
      <c r="Q414" t="n">
        <v>0</v>
      </c>
      <c r="R414" s="2" t="inlineStr"/>
    </row>
    <row r="415" ht="15" customHeight="1">
      <c r="A415" t="inlineStr">
        <is>
          <t>A 28380-2023</t>
        </is>
      </c>
      <c r="B415" s="1" t="n">
        <v>45099</v>
      </c>
      <c r="C415" s="1" t="n">
        <v>45995</v>
      </c>
      <c r="D415" t="inlineStr">
        <is>
          <t>VÄSTERBOTTENS LÄN</t>
        </is>
      </c>
      <c r="E415" t="inlineStr">
        <is>
          <t>VILHELMINA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16720-2025</t>
        </is>
      </c>
      <c r="B416" s="1" t="n">
        <v>45754.49039351852</v>
      </c>
      <c r="C416" s="1" t="n">
        <v>45995</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65151-2021</t>
        </is>
      </c>
      <c r="B417" s="1" t="n">
        <v>44515</v>
      </c>
      <c r="C417" s="1" t="n">
        <v>45995</v>
      </c>
      <c r="D417" t="inlineStr">
        <is>
          <t>VÄSTERBOTTENS LÄN</t>
        </is>
      </c>
      <c r="E417" t="inlineStr">
        <is>
          <t>VILHELMINA</t>
        </is>
      </c>
      <c r="G417" t="n">
        <v>11.8</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45995</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8555-2023</t>
        </is>
      </c>
      <c r="B419" s="1" t="n">
        <v>44972</v>
      </c>
      <c r="C419" s="1" t="n">
        <v>45995</v>
      </c>
      <c r="D419" t="inlineStr">
        <is>
          <t>VÄSTERBOTTENS LÄN</t>
        </is>
      </c>
      <c r="E419" t="inlineStr">
        <is>
          <t>VILHELMINA</t>
        </is>
      </c>
      <c r="F419" t="inlineStr">
        <is>
          <t>Allmännings- och besparingsskogar</t>
        </is>
      </c>
      <c r="G419" t="n">
        <v>39</v>
      </c>
      <c r="H419" t="n">
        <v>0</v>
      </c>
      <c r="I419" t="n">
        <v>0</v>
      </c>
      <c r="J419" t="n">
        <v>0</v>
      </c>
      <c r="K419" t="n">
        <v>0</v>
      </c>
      <c r="L419" t="n">
        <v>0</v>
      </c>
      <c r="M419" t="n">
        <v>0</v>
      </c>
      <c r="N419" t="n">
        <v>0</v>
      </c>
      <c r="O419" t="n">
        <v>0</v>
      </c>
      <c r="P419" t="n">
        <v>0</v>
      </c>
      <c r="Q419" t="n">
        <v>0</v>
      </c>
      <c r="R419" s="2" t="inlineStr"/>
    </row>
    <row r="420" ht="15" customHeight="1">
      <c r="A420" t="inlineStr">
        <is>
          <t>A 22617-2025</t>
        </is>
      </c>
      <c r="B420" s="1" t="n">
        <v>45789</v>
      </c>
      <c r="C420" s="1" t="n">
        <v>45995</v>
      </c>
      <c r="D420" t="inlineStr">
        <is>
          <t>VÄSTERBOTTENS LÄN</t>
        </is>
      </c>
      <c r="E420" t="inlineStr">
        <is>
          <t>VILHELMINA</t>
        </is>
      </c>
      <c r="F420" t="inlineStr">
        <is>
          <t>SCA</t>
        </is>
      </c>
      <c r="G420" t="n">
        <v>7.3</v>
      </c>
      <c r="H420" t="n">
        <v>0</v>
      </c>
      <c r="I420" t="n">
        <v>0</v>
      </c>
      <c r="J420" t="n">
        <v>0</v>
      </c>
      <c r="K420" t="n">
        <v>0</v>
      </c>
      <c r="L420" t="n">
        <v>0</v>
      </c>
      <c r="M420" t="n">
        <v>0</v>
      </c>
      <c r="N420" t="n">
        <v>0</v>
      </c>
      <c r="O420" t="n">
        <v>0</v>
      </c>
      <c r="P420" t="n">
        <v>0</v>
      </c>
      <c r="Q420" t="n">
        <v>0</v>
      </c>
      <c r="R420" s="2" t="inlineStr"/>
    </row>
    <row r="421" ht="15" customHeight="1">
      <c r="A421" t="inlineStr">
        <is>
          <t>A 60682-2022</t>
        </is>
      </c>
      <c r="B421" s="1" t="n">
        <v>44911.94</v>
      </c>
      <c r="C421" s="1" t="n">
        <v>45995</v>
      </c>
      <c r="D421" t="inlineStr">
        <is>
          <t>VÄSTERBOTTENS LÄN</t>
        </is>
      </c>
      <c r="E421" t="inlineStr">
        <is>
          <t>VILHELMINA</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54931-2023</t>
        </is>
      </c>
      <c r="B422" s="1" t="n">
        <v>45229</v>
      </c>
      <c r="C422" s="1" t="n">
        <v>45995</v>
      </c>
      <c r="D422" t="inlineStr">
        <is>
          <t>VÄSTERBOTTENS LÄN</t>
        </is>
      </c>
      <c r="E422" t="inlineStr">
        <is>
          <t>VILHELMINA</t>
        </is>
      </c>
      <c r="G422" t="n">
        <v>14.5</v>
      </c>
      <c r="H422" t="n">
        <v>0</v>
      </c>
      <c r="I422" t="n">
        <v>0</v>
      </c>
      <c r="J422" t="n">
        <v>0</v>
      </c>
      <c r="K422" t="n">
        <v>0</v>
      </c>
      <c r="L422" t="n">
        <v>0</v>
      </c>
      <c r="M422" t="n">
        <v>0</v>
      </c>
      <c r="N422" t="n">
        <v>0</v>
      </c>
      <c r="O422" t="n">
        <v>0</v>
      </c>
      <c r="P422" t="n">
        <v>0</v>
      </c>
      <c r="Q422" t="n">
        <v>0</v>
      </c>
      <c r="R422" s="2" t="inlineStr"/>
    </row>
    <row r="423" ht="15" customHeight="1">
      <c r="A423" t="inlineStr">
        <is>
          <t>A 42976-2024</t>
        </is>
      </c>
      <c r="B423" s="1" t="n">
        <v>45567.37387731481</v>
      </c>
      <c r="C423" s="1" t="n">
        <v>45995</v>
      </c>
      <c r="D423" t="inlineStr">
        <is>
          <t>VÄSTERBOTTENS LÄN</t>
        </is>
      </c>
      <c r="E423" t="inlineStr">
        <is>
          <t>VILHELMINA</t>
        </is>
      </c>
      <c r="F423" t="inlineStr">
        <is>
          <t>SCA</t>
        </is>
      </c>
      <c r="G423" t="n">
        <v>20.6</v>
      </c>
      <c r="H423" t="n">
        <v>0</v>
      </c>
      <c r="I423" t="n">
        <v>0</v>
      </c>
      <c r="J423" t="n">
        <v>0</v>
      </c>
      <c r="K423" t="n">
        <v>0</v>
      </c>
      <c r="L423" t="n">
        <v>0</v>
      </c>
      <c r="M423" t="n">
        <v>0</v>
      </c>
      <c r="N423" t="n">
        <v>0</v>
      </c>
      <c r="O423" t="n">
        <v>0</v>
      </c>
      <c r="P423" t="n">
        <v>0</v>
      </c>
      <c r="Q423" t="n">
        <v>0</v>
      </c>
      <c r="R423" s="2" t="inlineStr"/>
    </row>
    <row r="424" ht="15" customHeight="1">
      <c r="A424" t="inlineStr">
        <is>
          <t>A 37716-2024</t>
        </is>
      </c>
      <c r="B424" s="1" t="n">
        <v>45541.63592592593</v>
      </c>
      <c r="C424" s="1" t="n">
        <v>45995</v>
      </c>
      <c r="D424" t="inlineStr">
        <is>
          <t>VÄSTERBOTTENS LÄN</t>
        </is>
      </c>
      <c r="E424" t="inlineStr">
        <is>
          <t>VILHELMINA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37717-2024</t>
        </is>
      </c>
      <c r="B425" s="1" t="n">
        <v>45541</v>
      </c>
      <c r="C425" s="1" t="n">
        <v>45995</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7982-2025</t>
        </is>
      </c>
      <c r="B426" s="1" t="n">
        <v>45707.46905092592</v>
      </c>
      <c r="C426" s="1" t="n">
        <v>45995</v>
      </c>
      <c r="D426" t="inlineStr">
        <is>
          <t>VÄSTERBOTTENS LÄN</t>
        </is>
      </c>
      <c r="E426" t="inlineStr">
        <is>
          <t>VILHELMINA</t>
        </is>
      </c>
      <c r="G426" t="n">
        <v>6</v>
      </c>
      <c r="H426" t="n">
        <v>0</v>
      </c>
      <c r="I426" t="n">
        <v>0</v>
      </c>
      <c r="J426" t="n">
        <v>0</v>
      </c>
      <c r="K426" t="n">
        <v>0</v>
      </c>
      <c r="L426" t="n">
        <v>0</v>
      </c>
      <c r="M426" t="n">
        <v>0</v>
      </c>
      <c r="N426" t="n">
        <v>0</v>
      </c>
      <c r="O426" t="n">
        <v>0</v>
      </c>
      <c r="P426" t="n">
        <v>0</v>
      </c>
      <c r="Q426" t="n">
        <v>0</v>
      </c>
      <c r="R426" s="2" t="inlineStr"/>
    </row>
    <row r="427" ht="15" customHeight="1">
      <c r="A427" t="inlineStr">
        <is>
          <t>A 402-2023</t>
        </is>
      </c>
      <c r="B427" s="1" t="n">
        <v>44923</v>
      </c>
      <c r="C427" s="1" t="n">
        <v>45995</v>
      </c>
      <c r="D427" t="inlineStr">
        <is>
          <t>VÄSTERBOTTENS LÄN</t>
        </is>
      </c>
      <c r="E427" t="inlineStr">
        <is>
          <t>VILHELMINA</t>
        </is>
      </c>
      <c r="G427" t="n">
        <v>14.7</v>
      </c>
      <c r="H427" t="n">
        <v>0</v>
      </c>
      <c r="I427" t="n">
        <v>0</v>
      </c>
      <c r="J427" t="n">
        <v>0</v>
      </c>
      <c r="K427" t="n">
        <v>0</v>
      </c>
      <c r="L427" t="n">
        <v>0</v>
      </c>
      <c r="M427" t="n">
        <v>0</v>
      </c>
      <c r="N427" t="n">
        <v>0</v>
      </c>
      <c r="O427" t="n">
        <v>0</v>
      </c>
      <c r="P427" t="n">
        <v>0</v>
      </c>
      <c r="Q427" t="n">
        <v>0</v>
      </c>
      <c r="R427" s="2" t="inlineStr"/>
    </row>
    <row r="428" ht="15" customHeight="1">
      <c r="A428" t="inlineStr">
        <is>
          <t>A 15792-2025</t>
        </is>
      </c>
      <c r="B428" s="1" t="n">
        <v>45748.63356481482</v>
      </c>
      <c r="C428" s="1" t="n">
        <v>45995</v>
      </c>
      <c r="D428" t="inlineStr">
        <is>
          <t>VÄSTERBOTTENS LÄN</t>
        </is>
      </c>
      <c r="E428" t="inlineStr">
        <is>
          <t>VILHELMINA</t>
        </is>
      </c>
      <c r="G428" t="n">
        <v>5.5</v>
      </c>
      <c r="H428" t="n">
        <v>0</v>
      </c>
      <c r="I428" t="n">
        <v>0</v>
      </c>
      <c r="J428" t="n">
        <v>0</v>
      </c>
      <c r="K428" t="n">
        <v>0</v>
      </c>
      <c r="L428" t="n">
        <v>0</v>
      </c>
      <c r="M428" t="n">
        <v>0</v>
      </c>
      <c r="N428" t="n">
        <v>0</v>
      </c>
      <c r="O428" t="n">
        <v>0</v>
      </c>
      <c r="P428" t="n">
        <v>0</v>
      </c>
      <c r="Q428" t="n">
        <v>0</v>
      </c>
      <c r="R428" s="2" t="inlineStr"/>
    </row>
    <row r="429" ht="15" customHeight="1">
      <c r="A429" t="inlineStr">
        <is>
          <t>A 6638-2025</t>
        </is>
      </c>
      <c r="B429" s="1" t="n">
        <v>45700</v>
      </c>
      <c r="C429" s="1" t="n">
        <v>45995</v>
      </c>
      <c r="D429" t="inlineStr">
        <is>
          <t>VÄSTERBOTTENS LÄN</t>
        </is>
      </c>
      <c r="E429" t="inlineStr">
        <is>
          <t>VILHELMINA</t>
        </is>
      </c>
      <c r="G429" t="n">
        <v>21.5</v>
      </c>
      <c r="H429" t="n">
        <v>0</v>
      </c>
      <c r="I429" t="n">
        <v>0</v>
      </c>
      <c r="J429" t="n">
        <v>0</v>
      </c>
      <c r="K429" t="n">
        <v>0</v>
      </c>
      <c r="L429" t="n">
        <v>0</v>
      </c>
      <c r="M429" t="n">
        <v>0</v>
      </c>
      <c r="N429" t="n">
        <v>0</v>
      </c>
      <c r="O429" t="n">
        <v>0</v>
      </c>
      <c r="P429" t="n">
        <v>0</v>
      </c>
      <c r="Q429" t="n">
        <v>0</v>
      </c>
      <c r="R429" s="2" t="inlineStr"/>
    </row>
    <row r="430" ht="15" customHeight="1">
      <c r="A430" t="inlineStr">
        <is>
          <t>A 47011-2024</t>
        </is>
      </c>
      <c r="B430" s="1" t="n">
        <v>45586.38592592593</v>
      </c>
      <c r="C430" s="1" t="n">
        <v>45995</v>
      </c>
      <c r="D430" t="inlineStr">
        <is>
          <t>VÄSTERBOTTENS LÄN</t>
        </is>
      </c>
      <c r="E430" t="inlineStr">
        <is>
          <t>VILHELMINA</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55697-2024</t>
        </is>
      </c>
      <c r="B431" s="1" t="n">
        <v>45622</v>
      </c>
      <c r="C431" s="1" t="n">
        <v>45995</v>
      </c>
      <c r="D431" t="inlineStr">
        <is>
          <t>VÄSTERBOTTENS LÄN</t>
        </is>
      </c>
      <c r="E431" t="inlineStr">
        <is>
          <t>VILHELMINA</t>
        </is>
      </c>
      <c r="G431" t="n">
        <v>3.2</v>
      </c>
      <c r="H431" t="n">
        <v>0</v>
      </c>
      <c r="I431" t="n">
        <v>0</v>
      </c>
      <c r="J431" t="n">
        <v>0</v>
      </c>
      <c r="K431" t="n">
        <v>0</v>
      </c>
      <c r="L431" t="n">
        <v>0</v>
      </c>
      <c r="M431" t="n">
        <v>0</v>
      </c>
      <c r="N431" t="n">
        <v>0</v>
      </c>
      <c r="O431" t="n">
        <v>0</v>
      </c>
      <c r="P431" t="n">
        <v>0</v>
      </c>
      <c r="Q431" t="n">
        <v>0</v>
      </c>
      <c r="R431" s="2" t="inlineStr"/>
    </row>
    <row r="432" ht="15" customHeight="1">
      <c r="A432" t="inlineStr">
        <is>
          <t>A 60549-2022</t>
        </is>
      </c>
      <c r="B432" s="1" t="n">
        <v>44911.51318287037</v>
      </c>
      <c r="C432" s="1" t="n">
        <v>45995</v>
      </c>
      <c r="D432" t="inlineStr">
        <is>
          <t>VÄSTERBOTTENS LÄN</t>
        </is>
      </c>
      <c r="E432" t="inlineStr">
        <is>
          <t>VILHELMINA</t>
        </is>
      </c>
      <c r="G432" t="n">
        <v>3.8</v>
      </c>
      <c r="H432" t="n">
        <v>0</v>
      </c>
      <c r="I432" t="n">
        <v>0</v>
      </c>
      <c r="J432" t="n">
        <v>0</v>
      </c>
      <c r="K432" t="n">
        <v>0</v>
      </c>
      <c r="L432" t="n">
        <v>0</v>
      </c>
      <c r="M432" t="n">
        <v>0</v>
      </c>
      <c r="N432" t="n">
        <v>0</v>
      </c>
      <c r="O432" t="n">
        <v>0</v>
      </c>
      <c r="P432" t="n">
        <v>0</v>
      </c>
      <c r="Q432" t="n">
        <v>0</v>
      </c>
      <c r="R432" s="2" t="inlineStr"/>
    </row>
    <row r="433" ht="15" customHeight="1">
      <c r="A433" t="inlineStr">
        <is>
          <t>A 45258-2024</t>
        </is>
      </c>
      <c r="B433" s="1" t="n">
        <v>45576.34444444445</v>
      </c>
      <c r="C433" s="1" t="n">
        <v>45995</v>
      </c>
      <c r="D433" t="inlineStr">
        <is>
          <t>VÄSTERBOTTENS LÄN</t>
        </is>
      </c>
      <c r="E433" t="inlineStr">
        <is>
          <t>VILHELMINA</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10941-2023</t>
        </is>
      </c>
      <c r="B434" s="1" t="n">
        <v>44985</v>
      </c>
      <c r="C434" s="1" t="n">
        <v>45995</v>
      </c>
      <c r="D434" t="inlineStr">
        <is>
          <t>VÄSTERBOTTENS LÄN</t>
        </is>
      </c>
      <c r="E434" t="inlineStr">
        <is>
          <t>VILHELMINA</t>
        </is>
      </c>
      <c r="G434" t="n">
        <v>16.7</v>
      </c>
      <c r="H434" t="n">
        <v>0</v>
      </c>
      <c r="I434" t="n">
        <v>0</v>
      </c>
      <c r="J434" t="n">
        <v>0</v>
      </c>
      <c r="K434" t="n">
        <v>0</v>
      </c>
      <c r="L434" t="n">
        <v>0</v>
      </c>
      <c r="M434" t="n">
        <v>0</v>
      </c>
      <c r="N434" t="n">
        <v>0</v>
      </c>
      <c r="O434" t="n">
        <v>0</v>
      </c>
      <c r="P434" t="n">
        <v>0</v>
      </c>
      <c r="Q434" t="n">
        <v>0</v>
      </c>
      <c r="R434" s="2" t="inlineStr"/>
    </row>
    <row r="435" ht="15" customHeight="1">
      <c r="A435" t="inlineStr">
        <is>
          <t>A 38222-2024</t>
        </is>
      </c>
      <c r="B435" s="1" t="n">
        <v>45545.53619212963</v>
      </c>
      <c r="C435" s="1" t="n">
        <v>45995</v>
      </c>
      <c r="D435" t="inlineStr">
        <is>
          <t>VÄSTERBOTTENS LÄN</t>
        </is>
      </c>
      <c r="E435" t="inlineStr">
        <is>
          <t>VILHELMINA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3237-2024</t>
        </is>
      </c>
      <c r="B436" s="1" t="n">
        <v>45316.9474537037</v>
      </c>
      <c r="C436" s="1" t="n">
        <v>45995</v>
      </c>
      <c r="D436" t="inlineStr">
        <is>
          <t>VÄSTERBOTTENS LÄN</t>
        </is>
      </c>
      <c r="E436" t="inlineStr">
        <is>
          <t>VILHELMINA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210-2022</t>
        </is>
      </c>
      <c r="B437" s="1" t="n">
        <v>44564.80189814815</v>
      </c>
      <c r="C437" s="1" t="n">
        <v>45995</v>
      </c>
      <c r="D437" t="inlineStr">
        <is>
          <t>VÄSTERBOTTENS LÄN</t>
        </is>
      </c>
      <c r="E437" t="inlineStr">
        <is>
          <t>VILHELMINA</t>
        </is>
      </c>
      <c r="G437" t="n">
        <v>2</v>
      </c>
      <c r="H437" t="n">
        <v>0</v>
      </c>
      <c r="I437" t="n">
        <v>0</v>
      </c>
      <c r="J437" t="n">
        <v>0</v>
      </c>
      <c r="K437" t="n">
        <v>0</v>
      </c>
      <c r="L437" t="n">
        <v>0</v>
      </c>
      <c r="M437" t="n">
        <v>0</v>
      </c>
      <c r="N437" t="n">
        <v>0</v>
      </c>
      <c r="O437" t="n">
        <v>0</v>
      </c>
      <c r="P437" t="n">
        <v>0</v>
      </c>
      <c r="Q437" t="n">
        <v>0</v>
      </c>
      <c r="R437" s="2" t="inlineStr"/>
    </row>
    <row r="438" ht="15" customHeight="1">
      <c r="A438" t="inlineStr">
        <is>
          <t>A 36909-2024</t>
        </is>
      </c>
      <c r="B438" s="1" t="n">
        <v>45538.63577546296</v>
      </c>
      <c r="C438" s="1" t="n">
        <v>45995</v>
      </c>
      <c r="D438" t="inlineStr">
        <is>
          <t>VÄSTERBOTTENS LÄN</t>
        </is>
      </c>
      <c r="E438" t="inlineStr">
        <is>
          <t>VILHELMINA</t>
        </is>
      </c>
      <c r="F438" t="inlineStr">
        <is>
          <t>SCA</t>
        </is>
      </c>
      <c r="G438" t="n">
        <v>16.8</v>
      </c>
      <c r="H438" t="n">
        <v>0</v>
      </c>
      <c r="I438" t="n">
        <v>0</v>
      </c>
      <c r="J438" t="n">
        <v>0</v>
      </c>
      <c r="K438" t="n">
        <v>0</v>
      </c>
      <c r="L438" t="n">
        <v>0</v>
      </c>
      <c r="M438" t="n">
        <v>0</v>
      </c>
      <c r="N438" t="n">
        <v>0</v>
      </c>
      <c r="O438" t="n">
        <v>0</v>
      </c>
      <c r="P438" t="n">
        <v>0</v>
      </c>
      <c r="Q438" t="n">
        <v>0</v>
      </c>
      <c r="R438" s="2" t="inlineStr"/>
    </row>
    <row r="439" ht="15" customHeight="1">
      <c r="A439" t="inlineStr">
        <is>
          <t>A 2054-2023</t>
        </is>
      </c>
      <c r="B439" s="1" t="n">
        <v>44939</v>
      </c>
      <c r="C439" s="1" t="n">
        <v>45995</v>
      </c>
      <c r="D439" t="inlineStr">
        <is>
          <t>VÄSTERBOTTENS LÄN</t>
        </is>
      </c>
      <c r="E439" t="inlineStr">
        <is>
          <t>VILHELMINA</t>
        </is>
      </c>
      <c r="F439" t="inlineStr">
        <is>
          <t>Sveaskog</t>
        </is>
      </c>
      <c r="G439" t="n">
        <v>19.2</v>
      </c>
      <c r="H439" t="n">
        <v>0</v>
      </c>
      <c r="I439" t="n">
        <v>0</v>
      </c>
      <c r="J439" t="n">
        <v>0</v>
      </c>
      <c r="K439" t="n">
        <v>0</v>
      </c>
      <c r="L439" t="n">
        <v>0</v>
      </c>
      <c r="M439" t="n">
        <v>0</v>
      </c>
      <c r="N439" t="n">
        <v>0</v>
      </c>
      <c r="O439" t="n">
        <v>0</v>
      </c>
      <c r="P439" t="n">
        <v>0</v>
      </c>
      <c r="Q439" t="n">
        <v>0</v>
      </c>
      <c r="R439" s="2" t="inlineStr"/>
    </row>
    <row r="440" ht="15" customHeight="1">
      <c r="A440" t="inlineStr">
        <is>
          <t>A 41644-2024</t>
        </is>
      </c>
      <c r="B440" s="1" t="n">
        <v>45560</v>
      </c>
      <c r="C440" s="1" t="n">
        <v>45995</v>
      </c>
      <c r="D440" t="inlineStr">
        <is>
          <t>VÄSTERBOTTENS LÄN</t>
        </is>
      </c>
      <c r="E440" t="inlineStr">
        <is>
          <t>VILHELMINA</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36408-2023</t>
        </is>
      </c>
      <c r="B441" s="1" t="n">
        <v>45152</v>
      </c>
      <c r="C441" s="1" t="n">
        <v>45995</v>
      </c>
      <c r="D441" t="inlineStr">
        <is>
          <t>VÄSTERBOTTENS LÄN</t>
        </is>
      </c>
      <c r="E441" t="inlineStr">
        <is>
          <t>VILHELMINA</t>
        </is>
      </c>
      <c r="G441" t="n">
        <v>4.4</v>
      </c>
      <c r="H441" t="n">
        <v>0</v>
      </c>
      <c r="I441" t="n">
        <v>0</v>
      </c>
      <c r="J441" t="n">
        <v>0</v>
      </c>
      <c r="K441" t="n">
        <v>0</v>
      </c>
      <c r="L441" t="n">
        <v>0</v>
      </c>
      <c r="M441" t="n">
        <v>0</v>
      </c>
      <c r="N441" t="n">
        <v>0</v>
      </c>
      <c r="O441" t="n">
        <v>0</v>
      </c>
      <c r="P441" t="n">
        <v>0</v>
      </c>
      <c r="Q441" t="n">
        <v>0</v>
      </c>
      <c r="R441" s="2" t="inlineStr"/>
    </row>
    <row r="442" ht="15" customHeight="1">
      <c r="A442" t="inlineStr">
        <is>
          <t>A 30746-2025</t>
        </is>
      </c>
      <c r="B442" s="1" t="n">
        <v>45831.58256944444</v>
      </c>
      <c r="C442" s="1" t="n">
        <v>45995</v>
      </c>
      <c r="D442" t="inlineStr">
        <is>
          <t>VÄSTERBOTTENS LÄN</t>
        </is>
      </c>
      <c r="E442" t="inlineStr">
        <is>
          <t>VILHELMINA</t>
        </is>
      </c>
      <c r="G442" t="n">
        <v>5.7</v>
      </c>
      <c r="H442" t="n">
        <v>0</v>
      </c>
      <c r="I442" t="n">
        <v>0</v>
      </c>
      <c r="J442" t="n">
        <v>0</v>
      </c>
      <c r="K442" t="n">
        <v>0</v>
      </c>
      <c r="L442" t="n">
        <v>0</v>
      </c>
      <c r="M442" t="n">
        <v>0</v>
      </c>
      <c r="N442" t="n">
        <v>0</v>
      </c>
      <c r="O442" t="n">
        <v>0</v>
      </c>
      <c r="P442" t="n">
        <v>0</v>
      </c>
      <c r="Q442" t="n">
        <v>0</v>
      </c>
      <c r="R442" s="2" t="inlineStr"/>
    </row>
    <row r="443" ht="15" customHeight="1">
      <c r="A443" t="inlineStr">
        <is>
          <t>A 57108-2023</t>
        </is>
      </c>
      <c r="B443" s="1" t="n">
        <v>45239</v>
      </c>
      <c r="C443" s="1" t="n">
        <v>45995</v>
      </c>
      <c r="D443" t="inlineStr">
        <is>
          <t>VÄSTERBOTTENS LÄN</t>
        </is>
      </c>
      <c r="E443" t="inlineStr">
        <is>
          <t>VILHELMINA</t>
        </is>
      </c>
      <c r="G443" t="n">
        <v>0.6</v>
      </c>
      <c r="H443" t="n">
        <v>0</v>
      </c>
      <c r="I443" t="n">
        <v>0</v>
      </c>
      <c r="J443" t="n">
        <v>0</v>
      </c>
      <c r="K443" t="n">
        <v>0</v>
      </c>
      <c r="L443" t="n">
        <v>0</v>
      </c>
      <c r="M443" t="n">
        <v>0</v>
      </c>
      <c r="N443" t="n">
        <v>0</v>
      </c>
      <c r="O443" t="n">
        <v>0</v>
      </c>
      <c r="P443" t="n">
        <v>0</v>
      </c>
      <c r="Q443" t="n">
        <v>0</v>
      </c>
      <c r="R443" s="2" t="inlineStr"/>
    </row>
    <row r="444" ht="15" customHeight="1">
      <c r="A444" t="inlineStr">
        <is>
          <t>A 48422-2023</t>
        </is>
      </c>
      <c r="B444" s="1" t="n">
        <v>45205</v>
      </c>
      <c r="C444" s="1" t="n">
        <v>45995</v>
      </c>
      <c r="D444" t="inlineStr">
        <is>
          <t>VÄSTERBOTTENS LÄN</t>
        </is>
      </c>
      <c r="E444" t="inlineStr">
        <is>
          <t>VILHELMINA</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38555-2024</t>
        </is>
      </c>
      <c r="B445" s="1" t="n">
        <v>45546</v>
      </c>
      <c r="C445" s="1" t="n">
        <v>45995</v>
      </c>
      <c r="D445" t="inlineStr">
        <is>
          <t>VÄSTERBOTTENS LÄN</t>
        </is>
      </c>
      <c r="E445" t="inlineStr">
        <is>
          <t>VILHELMINA</t>
        </is>
      </c>
      <c r="G445" t="n">
        <v>7.8</v>
      </c>
      <c r="H445" t="n">
        <v>0</v>
      </c>
      <c r="I445" t="n">
        <v>0</v>
      </c>
      <c r="J445" t="n">
        <v>0</v>
      </c>
      <c r="K445" t="n">
        <v>0</v>
      </c>
      <c r="L445" t="n">
        <v>0</v>
      </c>
      <c r="M445" t="n">
        <v>0</v>
      </c>
      <c r="N445" t="n">
        <v>0</v>
      </c>
      <c r="O445" t="n">
        <v>0</v>
      </c>
      <c r="P445" t="n">
        <v>0</v>
      </c>
      <c r="Q445" t="n">
        <v>0</v>
      </c>
      <c r="R445" s="2" t="inlineStr"/>
    </row>
    <row r="446" ht="15" customHeight="1">
      <c r="A446" t="inlineStr">
        <is>
          <t>A 48483-2023</t>
        </is>
      </c>
      <c r="B446" s="1" t="n">
        <v>45206.95854166667</v>
      </c>
      <c r="C446" s="1" t="n">
        <v>45995</v>
      </c>
      <c r="D446" t="inlineStr">
        <is>
          <t>VÄSTERBOTTENS LÄN</t>
        </is>
      </c>
      <c r="E446" t="inlineStr">
        <is>
          <t>VILHELMINA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48505-2023</t>
        </is>
      </c>
      <c r="B447" s="1" t="n">
        <v>45207.93900462963</v>
      </c>
      <c r="C447" s="1" t="n">
        <v>45995</v>
      </c>
      <c r="D447" t="inlineStr">
        <is>
          <t>VÄSTERBOTTENS LÄN</t>
        </is>
      </c>
      <c r="E447" t="inlineStr">
        <is>
          <t>VILHELMINA</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50489-2023</t>
        </is>
      </c>
      <c r="B448" s="1" t="n">
        <v>45216.95556712963</v>
      </c>
      <c r="C448" s="1" t="n">
        <v>45995</v>
      </c>
      <c r="D448" t="inlineStr">
        <is>
          <t>VÄSTERBOTTENS LÄN</t>
        </is>
      </c>
      <c r="E448" t="inlineStr">
        <is>
          <t>VILHELMINA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50506-2023</t>
        </is>
      </c>
      <c r="B449" s="1" t="n">
        <v>45216.9580787037</v>
      </c>
      <c r="C449" s="1" t="n">
        <v>45995</v>
      </c>
      <c r="D449" t="inlineStr">
        <is>
          <t>VÄSTERBOTTENS LÄN</t>
        </is>
      </c>
      <c r="E449" t="inlineStr">
        <is>
          <t>VILHELMINA</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37912-2025</t>
        </is>
      </c>
      <c r="B450" s="1" t="n">
        <v>45880</v>
      </c>
      <c r="C450" s="1" t="n">
        <v>45995</v>
      </c>
      <c r="D450" t="inlineStr">
        <is>
          <t>VÄSTERBOTTENS LÄN</t>
        </is>
      </c>
      <c r="E450" t="inlineStr">
        <is>
          <t>VILHELMINA</t>
        </is>
      </c>
      <c r="F450" t="inlineStr">
        <is>
          <t>SCA</t>
        </is>
      </c>
      <c r="G450" t="n">
        <v>23.9</v>
      </c>
      <c r="H450" t="n">
        <v>0</v>
      </c>
      <c r="I450" t="n">
        <v>0</v>
      </c>
      <c r="J450" t="n">
        <v>0</v>
      </c>
      <c r="K450" t="n">
        <v>0</v>
      </c>
      <c r="L450" t="n">
        <v>0</v>
      </c>
      <c r="M450" t="n">
        <v>0</v>
      </c>
      <c r="N450" t="n">
        <v>0</v>
      </c>
      <c r="O450" t="n">
        <v>0</v>
      </c>
      <c r="P450" t="n">
        <v>0</v>
      </c>
      <c r="Q450" t="n">
        <v>0</v>
      </c>
      <c r="R450" s="2" t="inlineStr"/>
    </row>
    <row r="451" ht="15" customHeight="1">
      <c r="A451" t="inlineStr">
        <is>
          <t>A 38569-2024</t>
        </is>
      </c>
      <c r="B451" s="1" t="n">
        <v>45546.63689814815</v>
      </c>
      <c r="C451" s="1" t="n">
        <v>45995</v>
      </c>
      <c r="D451" t="inlineStr">
        <is>
          <t>VÄSTERBOTTENS LÄN</t>
        </is>
      </c>
      <c r="E451" t="inlineStr">
        <is>
          <t>VILHELMINA</t>
        </is>
      </c>
      <c r="G451" t="n">
        <v>31.5</v>
      </c>
      <c r="H451" t="n">
        <v>0</v>
      </c>
      <c r="I451" t="n">
        <v>0</v>
      </c>
      <c r="J451" t="n">
        <v>0</v>
      </c>
      <c r="K451" t="n">
        <v>0</v>
      </c>
      <c r="L451" t="n">
        <v>0</v>
      </c>
      <c r="M451" t="n">
        <v>0</v>
      </c>
      <c r="N451" t="n">
        <v>0</v>
      </c>
      <c r="O451" t="n">
        <v>0</v>
      </c>
      <c r="P451" t="n">
        <v>0</v>
      </c>
      <c r="Q451" t="n">
        <v>0</v>
      </c>
      <c r="R451" s="2" t="inlineStr"/>
    </row>
    <row r="452" ht="15" customHeight="1">
      <c r="A452" t="inlineStr">
        <is>
          <t>A 9197-2023</t>
        </is>
      </c>
      <c r="B452" s="1" t="n">
        <v>44977</v>
      </c>
      <c r="C452" s="1" t="n">
        <v>45995</v>
      </c>
      <c r="D452" t="inlineStr">
        <is>
          <t>VÄSTERBOTTENS LÄN</t>
        </is>
      </c>
      <c r="E452" t="inlineStr">
        <is>
          <t>VILHELMINA</t>
        </is>
      </c>
      <c r="G452" t="n">
        <v>8.9</v>
      </c>
      <c r="H452" t="n">
        <v>0</v>
      </c>
      <c r="I452" t="n">
        <v>0</v>
      </c>
      <c r="J452" t="n">
        <v>0</v>
      </c>
      <c r="K452" t="n">
        <v>0</v>
      </c>
      <c r="L452" t="n">
        <v>0</v>
      </c>
      <c r="M452" t="n">
        <v>0</v>
      </c>
      <c r="N452" t="n">
        <v>0</v>
      </c>
      <c r="O452" t="n">
        <v>0</v>
      </c>
      <c r="P452" t="n">
        <v>0</v>
      </c>
      <c r="Q452" t="n">
        <v>0</v>
      </c>
      <c r="R452" s="2" t="inlineStr"/>
    </row>
    <row r="453" ht="15" customHeight="1">
      <c r="A453" t="inlineStr">
        <is>
          <t>A 29104-2024</t>
        </is>
      </c>
      <c r="B453" s="1" t="n">
        <v>45481.95178240741</v>
      </c>
      <c r="C453" s="1" t="n">
        <v>45995</v>
      </c>
      <c r="D453" t="inlineStr">
        <is>
          <t>VÄSTERBOTTENS LÄN</t>
        </is>
      </c>
      <c r="E453" t="inlineStr">
        <is>
          <t>VILHELMINA</t>
        </is>
      </c>
      <c r="F453" t="inlineStr">
        <is>
          <t>SCA</t>
        </is>
      </c>
      <c r="G453" t="n">
        <v>5.1</v>
      </c>
      <c r="H453" t="n">
        <v>0</v>
      </c>
      <c r="I453" t="n">
        <v>0</v>
      </c>
      <c r="J453" t="n">
        <v>0</v>
      </c>
      <c r="K453" t="n">
        <v>0</v>
      </c>
      <c r="L453" t="n">
        <v>0</v>
      </c>
      <c r="M453" t="n">
        <v>0</v>
      </c>
      <c r="N453" t="n">
        <v>0</v>
      </c>
      <c r="O453" t="n">
        <v>0</v>
      </c>
      <c r="P453" t="n">
        <v>0</v>
      </c>
      <c r="Q453" t="n">
        <v>0</v>
      </c>
      <c r="R453" s="2" t="inlineStr"/>
    </row>
    <row r="454" ht="15" customHeight="1">
      <c r="A454" t="inlineStr">
        <is>
          <t>A 15639-2024</t>
        </is>
      </c>
      <c r="B454" s="1" t="n">
        <v>45403</v>
      </c>
      <c r="C454" s="1" t="n">
        <v>45995</v>
      </c>
      <c r="D454" t="inlineStr">
        <is>
          <t>VÄSTERBOTTENS LÄN</t>
        </is>
      </c>
      <c r="E454" t="inlineStr">
        <is>
          <t>VILHELMINA</t>
        </is>
      </c>
      <c r="G454" t="n">
        <v>81.90000000000001</v>
      </c>
      <c r="H454" t="n">
        <v>0</v>
      </c>
      <c r="I454" t="n">
        <v>0</v>
      </c>
      <c r="J454" t="n">
        <v>0</v>
      </c>
      <c r="K454" t="n">
        <v>0</v>
      </c>
      <c r="L454" t="n">
        <v>0</v>
      </c>
      <c r="M454" t="n">
        <v>0</v>
      </c>
      <c r="N454" t="n">
        <v>0</v>
      </c>
      <c r="O454" t="n">
        <v>0</v>
      </c>
      <c r="P454" t="n">
        <v>0</v>
      </c>
      <c r="Q454" t="n">
        <v>0</v>
      </c>
      <c r="R454" s="2" t="inlineStr"/>
    </row>
    <row r="455" ht="15" customHeight="1">
      <c r="A455" t="inlineStr">
        <is>
          <t>A 53034-2023</t>
        </is>
      </c>
      <c r="B455" s="1" t="n">
        <v>45226.96258101852</v>
      </c>
      <c r="C455" s="1" t="n">
        <v>45995</v>
      </c>
      <c r="D455" t="inlineStr">
        <is>
          <t>VÄSTERBOTTENS LÄN</t>
        </is>
      </c>
      <c r="E455" t="inlineStr">
        <is>
          <t>VILHELMINA</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46164-2023</t>
        </is>
      </c>
      <c r="B456" s="1" t="n">
        <v>45190</v>
      </c>
      <c r="C456" s="1" t="n">
        <v>45995</v>
      </c>
      <c r="D456" t="inlineStr">
        <is>
          <t>VÄSTERBOTTENS LÄN</t>
        </is>
      </c>
      <c r="E456" t="inlineStr">
        <is>
          <t>VILHELMINA</t>
        </is>
      </c>
      <c r="G456" t="n">
        <v>6.3</v>
      </c>
      <c r="H456" t="n">
        <v>0</v>
      </c>
      <c r="I456" t="n">
        <v>0</v>
      </c>
      <c r="J456" t="n">
        <v>0</v>
      </c>
      <c r="K456" t="n">
        <v>0</v>
      </c>
      <c r="L456" t="n">
        <v>0</v>
      </c>
      <c r="M456" t="n">
        <v>0</v>
      </c>
      <c r="N456" t="n">
        <v>0</v>
      </c>
      <c r="O456" t="n">
        <v>0</v>
      </c>
      <c r="P456" t="n">
        <v>0</v>
      </c>
      <c r="Q456" t="n">
        <v>0</v>
      </c>
      <c r="R456" s="2" t="inlineStr"/>
    </row>
    <row r="457" ht="15" customHeight="1">
      <c r="A457" t="inlineStr">
        <is>
          <t>A 59030-2022</t>
        </is>
      </c>
      <c r="B457" s="1" t="n">
        <v>44903</v>
      </c>
      <c r="C457" s="1" t="n">
        <v>45995</v>
      </c>
      <c r="D457" t="inlineStr">
        <is>
          <t>VÄSTERBOTTENS LÄN</t>
        </is>
      </c>
      <c r="E457" t="inlineStr">
        <is>
          <t>VILHELMINA</t>
        </is>
      </c>
      <c r="G457" t="n">
        <v>17.8</v>
      </c>
      <c r="H457" t="n">
        <v>0</v>
      </c>
      <c r="I457" t="n">
        <v>0</v>
      </c>
      <c r="J457" t="n">
        <v>0</v>
      </c>
      <c r="K457" t="n">
        <v>0</v>
      </c>
      <c r="L457" t="n">
        <v>0</v>
      </c>
      <c r="M457" t="n">
        <v>0</v>
      </c>
      <c r="N457" t="n">
        <v>0</v>
      </c>
      <c r="O457" t="n">
        <v>0</v>
      </c>
      <c r="P457" t="n">
        <v>0</v>
      </c>
      <c r="Q457" t="n">
        <v>0</v>
      </c>
      <c r="R457" s="2" t="inlineStr"/>
    </row>
    <row r="458" ht="15" customHeight="1">
      <c r="A458" t="inlineStr">
        <is>
          <t>A 52565-2025</t>
        </is>
      </c>
      <c r="B458" s="1" t="n">
        <v>45954.59429398148</v>
      </c>
      <c r="C458" s="1" t="n">
        <v>45995</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15176-2022</t>
        </is>
      </c>
      <c r="B459" s="1" t="n">
        <v>44658</v>
      </c>
      <c r="C459" s="1" t="n">
        <v>45995</v>
      </c>
      <c r="D459" t="inlineStr">
        <is>
          <t>VÄSTERBOTTENS LÄN</t>
        </is>
      </c>
      <c r="E459" t="inlineStr">
        <is>
          <t>VILHELMINA</t>
        </is>
      </c>
      <c r="G459" t="n">
        <v>1.6</v>
      </c>
      <c r="H459" t="n">
        <v>0</v>
      </c>
      <c r="I459" t="n">
        <v>0</v>
      </c>
      <c r="J459" t="n">
        <v>0</v>
      </c>
      <c r="K459" t="n">
        <v>0</v>
      </c>
      <c r="L459" t="n">
        <v>0</v>
      </c>
      <c r="M459" t="n">
        <v>0</v>
      </c>
      <c r="N459" t="n">
        <v>0</v>
      </c>
      <c r="O459" t="n">
        <v>0</v>
      </c>
      <c r="P459" t="n">
        <v>0</v>
      </c>
      <c r="Q459" t="n">
        <v>0</v>
      </c>
      <c r="R459" s="2" t="inlineStr"/>
    </row>
    <row r="460" ht="15" customHeight="1">
      <c r="A460" t="inlineStr">
        <is>
          <t>A 33318-2024</t>
        </is>
      </c>
      <c r="B460" s="1" t="n">
        <v>45518.97211805556</v>
      </c>
      <c r="C460" s="1" t="n">
        <v>45995</v>
      </c>
      <c r="D460" t="inlineStr">
        <is>
          <t>VÄSTERBOTTENS LÄN</t>
        </is>
      </c>
      <c r="E460" t="inlineStr">
        <is>
          <t>VILHELMINA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33321-2024</t>
        </is>
      </c>
      <c r="B461" s="1" t="n">
        <v>45518.97256944444</v>
      </c>
      <c r="C461" s="1" t="n">
        <v>45995</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15884-2025</t>
        </is>
      </c>
      <c r="B462" s="1" t="n">
        <v>45749</v>
      </c>
      <c r="C462" s="1" t="n">
        <v>45995</v>
      </c>
      <c r="D462" t="inlineStr">
        <is>
          <t>VÄSTERBOTTENS LÄN</t>
        </is>
      </c>
      <c r="E462" t="inlineStr">
        <is>
          <t>VILHELMINA</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62630-2022</t>
        </is>
      </c>
      <c r="B463" s="1" t="n">
        <v>44917</v>
      </c>
      <c r="C463" s="1" t="n">
        <v>45995</v>
      </c>
      <c r="D463" t="inlineStr">
        <is>
          <t>VÄSTERBOTTENS LÄN</t>
        </is>
      </c>
      <c r="E463" t="inlineStr">
        <is>
          <t>VILHELMINA</t>
        </is>
      </c>
      <c r="G463" t="n">
        <v>0.9</v>
      </c>
      <c r="H463" t="n">
        <v>0</v>
      </c>
      <c r="I463" t="n">
        <v>0</v>
      </c>
      <c r="J463" t="n">
        <v>0</v>
      </c>
      <c r="K463" t="n">
        <v>0</v>
      </c>
      <c r="L463" t="n">
        <v>0</v>
      </c>
      <c r="M463" t="n">
        <v>0</v>
      </c>
      <c r="N463" t="n">
        <v>0</v>
      </c>
      <c r="O463" t="n">
        <v>0</v>
      </c>
      <c r="P463" t="n">
        <v>0</v>
      </c>
      <c r="Q463" t="n">
        <v>0</v>
      </c>
      <c r="R463" s="2" t="inlineStr"/>
    </row>
    <row r="464" ht="15" customHeight="1">
      <c r="A464" t="inlineStr">
        <is>
          <t>A 35755-2023</t>
        </is>
      </c>
      <c r="B464" s="1" t="n">
        <v>45147.9540625</v>
      </c>
      <c r="C464" s="1" t="n">
        <v>45995</v>
      </c>
      <c r="D464" t="inlineStr">
        <is>
          <t>VÄSTERBOTTENS LÄN</t>
        </is>
      </c>
      <c r="E464" t="inlineStr">
        <is>
          <t>VILHELMINA</t>
        </is>
      </c>
      <c r="F464" t="inlineStr">
        <is>
          <t>SCA</t>
        </is>
      </c>
      <c r="G464" t="n">
        <v>5.9</v>
      </c>
      <c r="H464" t="n">
        <v>0</v>
      </c>
      <c r="I464" t="n">
        <v>0</v>
      </c>
      <c r="J464" t="n">
        <v>0</v>
      </c>
      <c r="K464" t="n">
        <v>0</v>
      </c>
      <c r="L464" t="n">
        <v>0</v>
      </c>
      <c r="M464" t="n">
        <v>0</v>
      </c>
      <c r="N464" t="n">
        <v>0</v>
      </c>
      <c r="O464" t="n">
        <v>0</v>
      </c>
      <c r="P464" t="n">
        <v>0</v>
      </c>
      <c r="Q464" t="n">
        <v>0</v>
      </c>
      <c r="R464" s="2" t="inlineStr"/>
    </row>
    <row r="465" ht="15" customHeight="1">
      <c r="A465" t="inlineStr">
        <is>
          <t>A 52334-2025</t>
        </is>
      </c>
      <c r="B465" s="1" t="n">
        <v>45953.68225694444</v>
      </c>
      <c r="C465" s="1" t="n">
        <v>45995</v>
      </c>
      <c r="D465" t="inlineStr">
        <is>
          <t>VÄSTERBOTTENS LÄN</t>
        </is>
      </c>
      <c r="E465" t="inlineStr">
        <is>
          <t>VILHELMINA</t>
        </is>
      </c>
      <c r="G465" t="n">
        <v>0.9</v>
      </c>
      <c r="H465" t="n">
        <v>0</v>
      </c>
      <c r="I465" t="n">
        <v>0</v>
      </c>
      <c r="J465" t="n">
        <v>0</v>
      </c>
      <c r="K465" t="n">
        <v>0</v>
      </c>
      <c r="L465" t="n">
        <v>0</v>
      </c>
      <c r="M465" t="n">
        <v>0</v>
      </c>
      <c r="N465" t="n">
        <v>0</v>
      </c>
      <c r="O465" t="n">
        <v>0</v>
      </c>
      <c r="P465" t="n">
        <v>0</v>
      </c>
      <c r="Q465" t="n">
        <v>0</v>
      </c>
      <c r="R465" s="2" t="inlineStr"/>
    </row>
    <row r="466" ht="15" customHeight="1">
      <c r="A466" t="inlineStr">
        <is>
          <t>A 16626-2024</t>
        </is>
      </c>
      <c r="B466" s="1" t="n">
        <v>45408</v>
      </c>
      <c r="C466" s="1" t="n">
        <v>45995</v>
      </c>
      <c r="D466" t="inlineStr">
        <is>
          <t>VÄSTERBOTTENS LÄN</t>
        </is>
      </c>
      <c r="E466" t="inlineStr">
        <is>
          <t>VILHELMINA</t>
        </is>
      </c>
      <c r="G466" t="n">
        <v>15.5</v>
      </c>
      <c r="H466" t="n">
        <v>0</v>
      </c>
      <c r="I466" t="n">
        <v>0</v>
      </c>
      <c r="J466" t="n">
        <v>0</v>
      </c>
      <c r="K466" t="n">
        <v>0</v>
      </c>
      <c r="L466" t="n">
        <v>0</v>
      </c>
      <c r="M466" t="n">
        <v>0</v>
      </c>
      <c r="N466" t="n">
        <v>0</v>
      </c>
      <c r="O466" t="n">
        <v>0</v>
      </c>
      <c r="P466" t="n">
        <v>0</v>
      </c>
      <c r="Q466" t="n">
        <v>0</v>
      </c>
      <c r="R466" s="2" t="inlineStr"/>
    </row>
    <row r="467" ht="15" customHeight="1">
      <c r="A467" t="inlineStr">
        <is>
          <t>A 2043-2023</t>
        </is>
      </c>
      <c r="B467" s="1" t="n">
        <v>44939</v>
      </c>
      <c r="C467" s="1" t="n">
        <v>45995</v>
      </c>
      <c r="D467" t="inlineStr">
        <is>
          <t>VÄSTERBOTTENS LÄN</t>
        </is>
      </c>
      <c r="E467" t="inlineStr">
        <is>
          <t>VILHELMINA</t>
        </is>
      </c>
      <c r="F467" t="inlineStr">
        <is>
          <t>Sveaskog</t>
        </is>
      </c>
      <c r="G467" t="n">
        <v>10.5</v>
      </c>
      <c r="H467" t="n">
        <v>0</v>
      </c>
      <c r="I467" t="n">
        <v>0</v>
      </c>
      <c r="J467" t="n">
        <v>0</v>
      </c>
      <c r="K467" t="n">
        <v>0</v>
      </c>
      <c r="L467" t="n">
        <v>0</v>
      </c>
      <c r="M467" t="n">
        <v>0</v>
      </c>
      <c r="N467" t="n">
        <v>0</v>
      </c>
      <c r="O467" t="n">
        <v>0</v>
      </c>
      <c r="P467" t="n">
        <v>0</v>
      </c>
      <c r="Q467" t="n">
        <v>0</v>
      </c>
      <c r="R467" s="2" t="inlineStr"/>
    </row>
    <row r="468" ht="15" customHeight="1">
      <c r="A468" t="inlineStr">
        <is>
          <t>A 36219-2023</t>
        </is>
      </c>
      <c r="B468" s="1" t="n">
        <v>45149.95310185185</v>
      </c>
      <c r="C468" s="1" t="n">
        <v>45995</v>
      </c>
      <c r="D468" t="inlineStr">
        <is>
          <t>VÄSTERBOTTENS LÄN</t>
        </is>
      </c>
      <c r="E468" t="inlineStr">
        <is>
          <t>VILHELMINA</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50505-2023</t>
        </is>
      </c>
      <c r="B469" s="1" t="n">
        <v>45216.95800925926</v>
      </c>
      <c r="C469" s="1" t="n">
        <v>45995</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6369-2024</t>
        </is>
      </c>
      <c r="B470" s="1" t="n">
        <v>45338</v>
      </c>
      <c r="C470" s="1" t="n">
        <v>45995</v>
      </c>
      <c r="D470" t="inlineStr">
        <is>
          <t>VÄSTERBOTTENS LÄN</t>
        </is>
      </c>
      <c r="E470" t="inlineStr">
        <is>
          <t>VILHELMINA</t>
        </is>
      </c>
      <c r="G470" t="n">
        <v>3.6</v>
      </c>
      <c r="H470" t="n">
        <v>0</v>
      </c>
      <c r="I470" t="n">
        <v>0</v>
      </c>
      <c r="J470" t="n">
        <v>0</v>
      </c>
      <c r="K470" t="n">
        <v>0</v>
      </c>
      <c r="L470" t="n">
        <v>0</v>
      </c>
      <c r="M470" t="n">
        <v>0</v>
      </c>
      <c r="N470" t="n">
        <v>0</v>
      </c>
      <c r="O470" t="n">
        <v>0</v>
      </c>
      <c r="P470" t="n">
        <v>0</v>
      </c>
      <c r="Q470" t="n">
        <v>0</v>
      </c>
      <c r="R470" s="2" t="inlineStr"/>
    </row>
    <row r="471" ht="15" customHeight="1">
      <c r="A471" t="inlineStr">
        <is>
          <t>A 55870-2022</t>
        </is>
      </c>
      <c r="B471" s="1" t="n">
        <v>44888</v>
      </c>
      <c r="C471" s="1" t="n">
        <v>45995</v>
      </c>
      <c r="D471" t="inlineStr">
        <is>
          <t>VÄSTERBOTTENS LÄN</t>
        </is>
      </c>
      <c r="E471" t="inlineStr">
        <is>
          <t>VILHELMINA</t>
        </is>
      </c>
      <c r="G471" t="n">
        <v>13.6</v>
      </c>
      <c r="H471" t="n">
        <v>0</v>
      </c>
      <c r="I471" t="n">
        <v>0</v>
      </c>
      <c r="J471" t="n">
        <v>0</v>
      </c>
      <c r="K471" t="n">
        <v>0</v>
      </c>
      <c r="L471" t="n">
        <v>0</v>
      </c>
      <c r="M471" t="n">
        <v>0</v>
      </c>
      <c r="N471" t="n">
        <v>0</v>
      </c>
      <c r="O471" t="n">
        <v>0</v>
      </c>
      <c r="P471" t="n">
        <v>0</v>
      </c>
      <c r="Q471" t="n">
        <v>0</v>
      </c>
      <c r="R471" s="2" t="inlineStr"/>
    </row>
    <row r="472" ht="15" customHeight="1">
      <c r="A472" t="inlineStr">
        <is>
          <t>A 52398-2025</t>
        </is>
      </c>
      <c r="B472" s="1" t="n">
        <v>45954.34572916666</v>
      </c>
      <c r="C472" s="1" t="n">
        <v>45995</v>
      </c>
      <c r="D472" t="inlineStr">
        <is>
          <t>VÄSTERBOTTENS LÄN</t>
        </is>
      </c>
      <c r="E472" t="inlineStr">
        <is>
          <t>VILHELMINA</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35758-2023</t>
        </is>
      </c>
      <c r="B473" s="1" t="n">
        <v>45147.95452546296</v>
      </c>
      <c r="C473" s="1" t="n">
        <v>45995</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52789-2025</t>
        </is>
      </c>
      <c r="B474" s="1" t="n">
        <v>45957.42777777778</v>
      </c>
      <c r="C474" s="1" t="n">
        <v>45995</v>
      </c>
      <c r="D474" t="inlineStr">
        <is>
          <t>VÄSTERBOTTENS LÄN</t>
        </is>
      </c>
      <c r="E474" t="inlineStr">
        <is>
          <t>VILHELMINA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1470-2021</t>
        </is>
      </c>
      <c r="B475" s="1" t="n">
        <v>44208</v>
      </c>
      <c r="C475" s="1" t="n">
        <v>45995</v>
      </c>
      <c r="D475" t="inlineStr">
        <is>
          <t>VÄSTERBOTTENS LÄN</t>
        </is>
      </c>
      <c r="E475" t="inlineStr">
        <is>
          <t>VILHELMINA</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53015-2025</t>
        </is>
      </c>
      <c r="B476" s="1" t="n">
        <v>45957.82777777778</v>
      </c>
      <c r="C476" s="1" t="n">
        <v>45995</v>
      </c>
      <c r="D476" t="inlineStr">
        <is>
          <t>VÄSTERBOTTENS LÄN</t>
        </is>
      </c>
      <c r="E476" t="inlineStr">
        <is>
          <t>VILHELMINA</t>
        </is>
      </c>
      <c r="G476" t="n">
        <v>17.2</v>
      </c>
      <c r="H476" t="n">
        <v>0</v>
      </c>
      <c r="I476" t="n">
        <v>0</v>
      </c>
      <c r="J476" t="n">
        <v>0</v>
      </c>
      <c r="K476" t="n">
        <v>0</v>
      </c>
      <c r="L476" t="n">
        <v>0</v>
      </c>
      <c r="M476" t="n">
        <v>0</v>
      </c>
      <c r="N476" t="n">
        <v>0</v>
      </c>
      <c r="O476" t="n">
        <v>0</v>
      </c>
      <c r="P476" t="n">
        <v>0</v>
      </c>
      <c r="Q476" t="n">
        <v>0</v>
      </c>
      <c r="R476" s="2" t="inlineStr"/>
    </row>
    <row r="477" ht="15" customHeight="1">
      <c r="A477" t="inlineStr">
        <is>
          <t>A 43987-2024</t>
        </is>
      </c>
      <c r="B477" s="1" t="n">
        <v>45572.51092592593</v>
      </c>
      <c r="C477" s="1" t="n">
        <v>45995</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664-2022</t>
        </is>
      </c>
      <c r="B478" s="1" t="n">
        <v>44568</v>
      </c>
      <c r="C478" s="1" t="n">
        <v>45995</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11538-2024</t>
        </is>
      </c>
      <c r="B479" s="1" t="n">
        <v>45372</v>
      </c>
      <c r="C479" s="1" t="n">
        <v>45995</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40732-2024</t>
        </is>
      </c>
      <c r="B480" s="1" t="n">
        <v>45558</v>
      </c>
      <c r="C480" s="1" t="n">
        <v>45995</v>
      </c>
      <c r="D480" t="inlineStr">
        <is>
          <t>VÄSTERBOTTENS LÄN</t>
        </is>
      </c>
      <c r="E480" t="inlineStr">
        <is>
          <t>VILHELMINA</t>
        </is>
      </c>
      <c r="F480" t="inlineStr">
        <is>
          <t>Allmännings- och besparingsskogar</t>
        </is>
      </c>
      <c r="G480" t="n">
        <v>90</v>
      </c>
      <c r="H480" t="n">
        <v>0</v>
      </c>
      <c r="I480" t="n">
        <v>0</v>
      </c>
      <c r="J480" t="n">
        <v>0</v>
      </c>
      <c r="K480" t="n">
        <v>0</v>
      </c>
      <c r="L480" t="n">
        <v>0</v>
      </c>
      <c r="M480" t="n">
        <v>0</v>
      </c>
      <c r="N480" t="n">
        <v>0</v>
      </c>
      <c r="O480" t="n">
        <v>0</v>
      </c>
      <c r="P480" t="n">
        <v>0</v>
      </c>
      <c r="Q480" t="n">
        <v>0</v>
      </c>
      <c r="R480" s="2" t="inlineStr"/>
    </row>
    <row r="481" ht="15" customHeight="1">
      <c r="A481" t="inlineStr">
        <is>
          <t>A 44015-2025</t>
        </is>
      </c>
      <c r="B481" s="1" t="n">
        <v>45915</v>
      </c>
      <c r="C481" s="1" t="n">
        <v>45995</v>
      </c>
      <c r="D481" t="inlineStr">
        <is>
          <t>VÄSTERBOTTENS LÄN</t>
        </is>
      </c>
      <c r="E481" t="inlineStr">
        <is>
          <t>VILHELMINA</t>
        </is>
      </c>
      <c r="G481" t="n">
        <v>1</v>
      </c>
      <c r="H481" t="n">
        <v>0</v>
      </c>
      <c r="I481" t="n">
        <v>0</v>
      </c>
      <c r="J481" t="n">
        <v>0</v>
      </c>
      <c r="K481" t="n">
        <v>0</v>
      </c>
      <c r="L481" t="n">
        <v>0</v>
      </c>
      <c r="M481" t="n">
        <v>0</v>
      </c>
      <c r="N481" t="n">
        <v>0</v>
      </c>
      <c r="O481" t="n">
        <v>0</v>
      </c>
      <c r="P481" t="n">
        <v>0</v>
      </c>
      <c r="Q481" t="n">
        <v>0</v>
      </c>
      <c r="R481" s="2" t="inlineStr"/>
    </row>
    <row r="482" ht="15" customHeight="1">
      <c r="A482" t="inlineStr">
        <is>
          <t>A 52811-2025</t>
        </is>
      </c>
      <c r="B482" s="1" t="n">
        <v>45957.44878472222</v>
      </c>
      <c r="C482" s="1" t="n">
        <v>45995</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35409-2024</t>
        </is>
      </c>
      <c r="B483" s="1" t="n">
        <v>45531</v>
      </c>
      <c r="C483" s="1" t="n">
        <v>45995</v>
      </c>
      <c r="D483" t="inlineStr">
        <is>
          <t>VÄSTERBOTTENS LÄN</t>
        </is>
      </c>
      <c r="E483" t="inlineStr">
        <is>
          <t>VILHELMINA</t>
        </is>
      </c>
      <c r="F483" t="inlineStr">
        <is>
          <t>SCA</t>
        </is>
      </c>
      <c r="G483" t="n">
        <v>13.1</v>
      </c>
      <c r="H483" t="n">
        <v>0</v>
      </c>
      <c r="I483" t="n">
        <v>0</v>
      </c>
      <c r="J483" t="n">
        <v>0</v>
      </c>
      <c r="K483" t="n">
        <v>0</v>
      </c>
      <c r="L483" t="n">
        <v>0</v>
      </c>
      <c r="M483" t="n">
        <v>0</v>
      </c>
      <c r="N483" t="n">
        <v>0</v>
      </c>
      <c r="O483" t="n">
        <v>0</v>
      </c>
      <c r="P483" t="n">
        <v>0</v>
      </c>
      <c r="Q483" t="n">
        <v>0</v>
      </c>
      <c r="R483" s="2" t="inlineStr"/>
    </row>
    <row r="484" ht="15" customHeight="1">
      <c r="A484" t="inlineStr">
        <is>
          <t>A 38125-2024</t>
        </is>
      </c>
      <c r="B484" s="1" t="n">
        <v>45545.40717592592</v>
      </c>
      <c r="C484" s="1" t="n">
        <v>45995</v>
      </c>
      <c r="D484" t="inlineStr">
        <is>
          <t>VÄSTERBOTTENS LÄN</t>
        </is>
      </c>
      <c r="E484" t="inlineStr">
        <is>
          <t>VILHELMINA</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38126-2024</t>
        </is>
      </c>
      <c r="B485" s="1" t="n">
        <v>45545</v>
      </c>
      <c r="C485" s="1" t="n">
        <v>45995</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38130-2024</t>
        </is>
      </c>
      <c r="B486" s="1" t="n">
        <v>45545</v>
      </c>
      <c r="C486" s="1" t="n">
        <v>45995</v>
      </c>
      <c r="D486" t="inlineStr">
        <is>
          <t>VÄSTERBOTTENS LÄN</t>
        </is>
      </c>
      <c r="E486" t="inlineStr">
        <is>
          <t>VILHELMINA</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39670-2024</t>
        </is>
      </c>
      <c r="B487" s="1" t="n">
        <v>45552.5315162037</v>
      </c>
      <c r="C487" s="1" t="n">
        <v>45995</v>
      </c>
      <c r="D487" t="inlineStr">
        <is>
          <t>VÄSTERBOTTENS LÄN</t>
        </is>
      </c>
      <c r="E487" t="inlineStr">
        <is>
          <t>VILHELMINA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19397-2023</t>
        </is>
      </c>
      <c r="B488" s="1" t="n">
        <v>45048</v>
      </c>
      <c r="C488" s="1" t="n">
        <v>45995</v>
      </c>
      <c r="D488" t="inlineStr">
        <is>
          <t>VÄSTERBOTTENS LÄN</t>
        </is>
      </c>
      <c r="E488" t="inlineStr">
        <is>
          <t>VILHELMINA</t>
        </is>
      </c>
      <c r="G488" t="n">
        <v>12.8</v>
      </c>
      <c r="H488" t="n">
        <v>0</v>
      </c>
      <c r="I488" t="n">
        <v>0</v>
      </c>
      <c r="J488" t="n">
        <v>0</v>
      </c>
      <c r="K488" t="n">
        <v>0</v>
      </c>
      <c r="L488" t="n">
        <v>0</v>
      </c>
      <c r="M488" t="n">
        <v>0</v>
      </c>
      <c r="N488" t="n">
        <v>0</v>
      </c>
      <c r="O488" t="n">
        <v>0</v>
      </c>
      <c r="P488" t="n">
        <v>0</v>
      </c>
      <c r="Q488" t="n">
        <v>0</v>
      </c>
      <c r="R488" s="2" t="inlineStr"/>
    </row>
    <row r="489" ht="15" customHeight="1">
      <c r="A489" t="inlineStr">
        <is>
          <t>A 59031-2024</t>
        </is>
      </c>
      <c r="B489" s="1" t="n">
        <v>45636</v>
      </c>
      <c r="C489" s="1" t="n">
        <v>45995</v>
      </c>
      <c r="D489" t="inlineStr">
        <is>
          <t>VÄSTERBOTTENS LÄN</t>
        </is>
      </c>
      <c r="E489" t="inlineStr">
        <is>
          <t>VILHELMINA</t>
        </is>
      </c>
      <c r="G489" t="n">
        <v>40</v>
      </c>
      <c r="H489" t="n">
        <v>0</v>
      </c>
      <c r="I489" t="n">
        <v>0</v>
      </c>
      <c r="J489" t="n">
        <v>0</v>
      </c>
      <c r="K489" t="n">
        <v>0</v>
      </c>
      <c r="L489" t="n">
        <v>0</v>
      </c>
      <c r="M489" t="n">
        <v>0</v>
      </c>
      <c r="N489" t="n">
        <v>0</v>
      </c>
      <c r="O489" t="n">
        <v>0</v>
      </c>
      <c r="P489" t="n">
        <v>0</v>
      </c>
      <c r="Q489" t="n">
        <v>0</v>
      </c>
      <c r="R489" s="2" t="inlineStr"/>
    </row>
    <row r="490" ht="15" customHeight="1">
      <c r="A490" t="inlineStr">
        <is>
          <t>A 56627-2024</t>
        </is>
      </c>
      <c r="B490" s="1" t="n">
        <v>45625</v>
      </c>
      <c r="C490" s="1" t="n">
        <v>45995</v>
      </c>
      <c r="D490" t="inlineStr">
        <is>
          <t>VÄSTERBOTTENS LÄN</t>
        </is>
      </c>
      <c r="E490" t="inlineStr">
        <is>
          <t>VILHELMINA</t>
        </is>
      </c>
      <c r="F490" t="inlineStr">
        <is>
          <t>Allmännings- och besparingsskogar</t>
        </is>
      </c>
      <c r="G490" t="n">
        <v>21.5</v>
      </c>
      <c r="H490" t="n">
        <v>0</v>
      </c>
      <c r="I490" t="n">
        <v>0</v>
      </c>
      <c r="J490" t="n">
        <v>0</v>
      </c>
      <c r="K490" t="n">
        <v>0</v>
      </c>
      <c r="L490" t="n">
        <v>0</v>
      </c>
      <c r="M490" t="n">
        <v>0</v>
      </c>
      <c r="N490" t="n">
        <v>0</v>
      </c>
      <c r="O490" t="n">
        <v>0</v>
      </c>
      <c r="P490" t="n">
        <v>0</v>
      </c>
      <c r="Q490" t="n">
        <v>0</v>
      </c>
      <c r="R490" s="2" t="inlineStr"/>
    </row>
    <row r="491" ht="15" customHeight="1">
      <c r="A491" t="inlineStr">
        <is>
          <t>A 37514-2024</t>
        </is>
      </c>
      <c r="B491" s="1" t="n">
        <v>45541.38586805556</v>
      </c>
      <c r="C491" s="1" t="n">
        <v>45995</v>
      </c>
      <c r="D491" t="inlineStr">
        <is>
          <t>VÄSTERBOTTENS LÄN</t>
        </is>
      </c>
      <c r="E491" t="inlineStr">
        <is>
          <t>VILHELMINA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44017-2025</t>
        </is>
      </c>
      <c r="B492" s="1" t="n">
        <v>45915</v>
      </c>
      <c r="C492" s="1" t="n">
        <v>45995</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33412-2023</t>
        </is>
      </c>
      <c r="B493" s="1" t="n">
        <v>45117</v>
      </c>
      <c r="C493" s="1" t="n">
        <v>45995</v>
      </c>
      <c r="D493" t="inlineStr">
        <is>
          <t>VÄSTERBOTTENS LÄN</t>
        </is>
      </c>
      <c r="E493" t="inlineStr">
        <is>
          <t>VILHELMINA</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21370-2024</t>
        </is>
      </c>
      <c r="B494" s="1" t="n">
        <v>45440.95310185185</v>
      </c>
      <c r="C494" s="1" t="n">
        <v>45995</v>
      </c>
      <c r="D494" t="inlineStr">
        <is>
          <t>VÄSTERBOTTENS LÄN</t>
        </is>
      </c>
      <c r="E494" t="inlineStr">
        <is>
          <t>VILHELMINA</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19423-2022</t>
        </is>
      </c>
      <c r="B495" s="1" t="n">
        <v>44693.32515046297</v>
      </c>
      <c r="C495" s="1" t="n">
        <v>45995</v>
      </c>
      <c r="D495" t="inlineStr">
        <is>
          <t>VÄSTERBOTTENS LÄN</t>
        </is>
      </c>
      <c r="E495" t="inlineStr">
        <is>
          <t>VILHELMINA</t>
        </is>
      </c>
      <c r="G495" t="n">
        <v>1.9</v>
      </c>
      <c r="H495" t="n">
        <v>0</v>
      </c>
      <c r="I495" t="n">
        <v>0</v>
      </c>
      <c r="J495" t="n">
        <v>0</v>
      </c>
      <c r="K495" t="n">
        <v>0</v>
      </c>
      <c r="L495" t="n">
        <v>0</v>
      </c>
      <c r="M495" t="n">
        <v>0</v>
      </c>
      <c r="N495" t="n">
        <v>0</v>
      </c>
      <c r="O495" t="n">
        <v>0</v>
      </c>
      <c r="P495" t="n">
        <v>0</v>
      </c>
      <c r="Q495" t="n">
        <v>0</v>
      </c>
      <c r="R495" s="2" t="inlineStr"/>
    </row>
    <row r="496" ht="15" customHeight="1">
      <c r="A496" t="inlineStr">
        <is>
          <t>A 57246-2023</t>
        </is>
      </c>
      <c r="B496" s="1" t="n">
        <v>45239</v>
      </c>
      <c r="C496" s="1" t="n">
        <v>45995</v>
      </c>
      <c r="D496" t="inlineStr">
        <is>
          <t>VÄSTERBOTTENS LÄN</t>
        </is>
      </c>
      <c r="E496" t="inlineStr">
        <is>
          <t>VILHELMINA</t>
        </is>
      </c>
      <c r="G496" t="n">
        <v>15.3</v>
      </c>
      <c r="H496" t="n">
        <v>0</v>
      </c>
      <c r="I496" t="n">
        <v>0</v>
      </c>
      <c r="J496" t="n">
        <v>0</v>
      </c>
      <c r="K496" t="n">
        <v>0</v>
      </c>
      <c r="L496" t="n">
        <v>0</v>
      </c>
      <c r="M496" t="n">
        <v>0</v>
      </c>
      <c r="N496" t="n">
        <v>0</v>
      </c>
      <c r="O496" t="n">
        <v>0</v>
      </c>
      <c r="P496" t="n">
        <v>0</v>
      </c>
      <c r="Q496" t="n">
        <v>0</v>
      </c>
      <c r="R496" s="2" t="inlineStr"/>
    </row>
    <row r="497" ht="15" customHeight="1">
      <c r="A497" t="inlineStr">
        <is>
          <t>A 56246-2023</t>
        </is>
      </c>
      <c r="B497" s="1" t="n">
        <v>45240</v>
      </c>
      <c r="C497" s="1" t="n">
        <v>45995</v>
      </c>
      <c r="D497" t="inlineStr">
        <is>
          <t>VÄSTERBOTTENS LÄN</t>
        </is>
      </c>
      <c r="E497" t="inlineStr">
        <is>
          <t>VILHELMINA</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12866-2023</t>
        </is>
      </c>
      <c r="B498" s="1" t="n">
        <v>45000</v>
      </c>
      <c r="C498" s="1" t="n">
        <v>45995</v>
      </c>
      <c r="D498" t="inlineStr">
        <is>
          <t>VÄSTERBOTTENS LÄN</t>
        </is>
      </c>
      <c r="E498" t="inlineStr">
        <is>
          <t>VILHELMINA</t>
        </is>
      </c>
      <c r="G498" t="n">
        <v>2.6</v>
      </c>
      <c r="H498" t="n">
        <v>0</v>
      </c>
      <c r="I498" t="n">
        <v>0</v>
      </c>
      <c r="J498" t="n">
        <v>0</v>
      </c>
      <c r="K498" t="n">
        <v>0</v>
      </c>
      <c r="L498" t="n">
        <v>0</v>
      </c>
      <c r="M498" t="n">
        <v>0</v>
      </c>
      <c r="N498" t="n">
        <v>0</v>
      </c>
      <c r="O498" t="n">
        <v>0</v>
      </c>
      <c r="P498" t="n">
        <v>0</v>
      </c>
      <c r="Q498" t="n">
        <v>0</v>
      </c>
      <c r="R498" s="2" t="inlineStr"/>
    </row>
    <row r="499" ht="15" customHeight="1">
      <c r="A499" t="inlineStr">
        <is>
          <t>A 34719-2024</t>
        </is>
      </c>
      <c r="B499" s="1" t="n">
        <v>45526.56435185186</v>
      </c>
      <c r="C499" s="1" t="n">
        <v>45995</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44626-2025</t>
        </is>
      </c>
      <c r="B500" s="1" t="n">
        <v>45917</v>
      </c>
      <c r="C500" s="1" t="n">
        <v>45995</v>
      </c>
      <c r="D500" t="inlineStr">
        <is>
          <t>VÄSTERBOTTENS LÄN</t>
        </is>
      </c>
      <c r="E500" t="inlineStr">
        <is>
          <t>VILHELMINA</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34630-2024</t>
        </is>
      </c>
      <c r="B501" s="1" t="n">
        <v>45526.46234953704</v>
      </c>
      <c r="C501" s="1" t="n">
        <v>45995</v>
      </c>
      <c r="D501" t="inlineStr">
        <is>
          <t>VÄSTERBOTTENS LÄN</t>
        </is>
      </c>
      <c r="E501" t="inlineStr">
        <is>
          <t>VILHELMINA</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45027-2025</t>
        </is>
      </c>
      <c r="B502" s="1" t="n">
        <v>45918</v>
      </c>
      <c r="C502" s="1" t="n">
        <v>45995</v>
      </c>
      <c r="D502" t="inlineStr">
        <is>
          <t>VÄSTERBOTTENS LÄN</t>
        </is>
      </c>
      <c r="E502" t="inlineStr">
        <is>
          <t>VILHELMINA</t>
        </is>
      </c>
      <c r="G502" t="n">
        <v>14.3</v>
      </c>
      <c r="H502" t="n">
        <v>0</v>
      </c>
      <c r="I502" t="n">
        <v>0</v>
      </c>
      <c r="J502" t="n">
        <v>0</v>
      </c>
      <c r="K502" t="n">
        <v>0</v>
      </c>
      <c r="L502" t="n">
        <v>0</v>
      </c>
      <c r="M502" t="n">
        <v>0</v>
      </c>
      <c r="N502" t="n">
        <v>0</v>
      </c>
      <c r="O502" t="n">
        <v>0</v>
      </c>
      <c r="P502" t="n">
        <v>0</v>
      </c>
      <c r="Q502" t="n">
        <v>0</v>
      </c>
      <c r="R502" s="2" t="inlineStr"/>
    </row>
    <row r="503" ht="15" customHeight="1">
      <c r="A503" t="inlineStr">
        <is>
          <t>A 72494-2021</t>
        </is>
      </c>
      <c r="B503" s="1" t="n">
        <v>44545.92059027778</v>
      </c>
      <c r="C503" s="1" t="n">
        <v>45995</v>
      </c>
      <c r="D503" t="inlineStr">
        <is>
          <t>VÄSTERBOTTENS LÄN</t>
        </is>
      </c>
      <c r="E503" t="inlineStr">
        <is>
          <t>VILHELMINA</t>
        </is>
      </c>
      <c r="G503" t="n">
        <v>4.2</v>
      </c>
      <c r="H503" t="n">
        <v>0</v>
      </c>
      <c r="I503" t="n">
        <v>0</v>
      </c>
      <c r="J503" t="n">
        <v>0</v>
      </c>
      <c r="K503" t="n">
        <v>0</v>
      </c>
      <c r="L503" t="n">
        <v>0</v>
      </c>
      <c r="M503" t="n">
        <v>0</v>
      </c>
      <c r="N503" t="n">
        <v>0</v>
      </c>
      <c r="O503" t="n">
        <v>0</v>
      </c>
      <c r="P503" t="n">
        <v>0</v>
      </c>
      <c r="Q503" t="n">
        <v>0</v>
      </c>
      <c r="R503" s="2" t="inlineStr"/>
    </row>
    <row r="504" ht="15" customHeight="1">
      <c r="A504" t="inlineStr">
        <is>
          <t>A 58207-2022</t>
        </is>
      </c>
      <c r="B504" s="1" t="n">
        <v>44901</v>
      </c>
      <c r="C504" s="1" t="n">
        <v>45995</v>
      </c>
      <c r="D504" t="inlineStr">
        <is>
          <t>VÄSTERBOTTENS LÄN</t>
        </is>
      </c>
      <c r="E504" t="inlineStr">
        <is>
          <t>VILHELMINA</t>
        </is>
      </c>
      <c r="G504" t="n">
        <v>143.2</v>
      </c>
      <c r="H504" t="n">
        <v>0</v>
      </c>
      <c r="I504" t="n">
        <v>0</v>
      </c>
      <c r="J504" t="n">
        <v>0</v>
      </c>
      <c r="K504" t="n">
        <v>0</v>
      </c>
      <c r="L504" t="n">
        <v>0</v>
      </c>
      <c r="M504" t="n">
        <v>0</v>
      </c>
      <c r="N504" t="n">
        <v>0</v>
      </c>
      <c r="O504" t="n">
        <v>0</v>
      </c>
      <c r="P504" t="n">
        <v>0</v>
      </c>
      <c r="Q504" t="n">
        <v>0</v>
      </c>
      <c r="R504" s="2" t="inlineStr"/>
    </row>
    <row r="505" ht="15" customHeight="1">
      <c r="A505" t="inlineStr">
        <is>
          <t>A 7102-2024</t>
        </is>
      </c>
      <c r="B505" s="1" t="n">
        <v>45343</v>
      </c>
      <c r="C505" s="1" t="n">
        <v>45995</v>
      </c>
      <c r="D505" t="inlineStr">
        <is>
          <t>VÄSTERBOTTENS LÄN</t>
        </is>
      </c>
      <c r="E505" t="inlineStr">
        <is>
          <t>VILHELMINA</t>
        </is>
      </c>
      <c r="G505" t="n">
        <v>3.2</v>
      </c>
      <c r="H505" t="n">
        <v>0</v>
      </c>
      <c r="I505" t="n">
        <v>0</v>
      </c>
      <c r="J505" t="n">
        <v>0</v>
      </c>
      <c r="K505" t="n">
        <v>0</v>
      </c>
      <c r="L505" t="n">
        <v>0</v>
      </c>
      <c r="M505" t="n">
        <v>0</v>
      </c>
      <c r="N505" t="n">
        <v>0</v>
      </c>
      <c r="O505" t="n">
        <v>0</v>
      </c>
      <c r="P505" t="n">
        <v>0</v>
      </c>
      <c r="Q505" t="n">
        <v>0</v>
      </c>
      <c r="R505" s="2" t="inlineStr"/>
    </row>
    <row r="506" ht="15" customHeight="1">
      <c r="A506" t="inlineStr">
        <is>
          <t>A 2488-2023</t>
        </is>
      </c>
      <c r="B506" s="1" t="n">
        <v>44943</v>
      </c>
      <c r="C506" s="1" t="n">
        <v>45995</v>
      </c>
      <c r="D506" t="inlineStr">
        <is>
          <t>VÄSTERBOTTENS LÄN</t>
        </is>
      </c>
      <c r="E506" t="inlineStr">
        <is>
          <t>VILHELMINA</t>
        </is>
      </c>
      <c r="G506" t="n">
        <v>69.3</v>
      </c>
      <c r="H506" t="n">
        <v>0</v>
      </c>
      <c r="I506" t="n">
        <v>0</v>
      </c>
      <c r="J506" t="n">
        <v>0</v>
      </c>
      <c r="K506" t="n">
        <v>0</v>
      </c>
      <c r="L506" t="n">
        <v>0</v>
      </c>
      <c r="M506" t="n">
        <v>0</v>
      </c>
      <c r="N506" t="n">
        <v>0</v>
      </c>
      <c r="O506" t="n">
        <v>0</v>
      </c>
      <c r="P506" t="n">
        <v>0</v>
      </c>
      <c r="Q506" t="n">
        <v>0</v>
      </c>
      <c r="R506" s="2" t="inlineStr"/>
    </row>
    <row r="507" ht="15" customHeight="1">
      <c r="A507" t="inlineStr">
        <is>
          <t>A 38297-2024</t>
        </is>
      </c>
      <c r="B507" s="1" t="n">
        <v>45545</v>
      </c>
      <c r="C507" s="1" t="n">
        <v>45995</v>
      </c>
      <c r="D507" t="inlineStr">
        <is>
          <t>VÄSTERBOTTENS LÄN</t>
        </is>
      </c>
      <c r="E507" t="inlineStr">
        <is>
          <t>VILHELMINA</t>
        </is>
      </c>
      <c r="G507" t="n">
        <v>139.8</v>
      </c>
      <c r="H507" t="n">
        <v>0</v>
      </c>
      <c r="I507" t="n">
        <v>0</v>
      </c>
      <c r="J507" t="n">
        <v>0</v>
      </c>
      <c r="K507" t="n">
        <v>0</v>
      </c>
      <c r="L507" t="n">
        <v>0</v>
      </c>
      <c r="M507" t="n">
        <v>0</v>
      </c>
      <c r="N507" t="n">
        <v>0</v>
      </c>
      <c r="O507" t="n">
        <v>0</v>
      </c>
      <c r="P507" t="n">
        <v>0</v>
      </c>
      <c r="Q507" t="n">
        <v>0</v>
      </c>
      <c r="R507" s="2" t="inlineStr"/>
    </row>
    <row r="508" ht="15" customHeight="1">
      <c r="A508" t="inlineStr">
        <is>
          <t>A 248-2025</t>
        </is>
      </c>
      <c r="B508" s="1" t="n">
        <v>45660.419375</v>
      </c>
      <c r="C508" s="1" t="n">
        <v>45995</v>
      </c>
      <c r="D508" t="inlineStr">
        <is>
          <t>VÄSTERBOTTENS LÄN</t>
        </is>
      </c>
      <c r="E508" t="inlineStr">
        <is>
          <t>VILHELMINA</t>
        </is>
      </c>
      <c r="G508" t="n">
        <v>11</v>
      </c>
      <c r="H508" t="n">
        <v>0</v>
      </c>
      <c r="I508" t="n">
        <v>0</v>
      </c>
      <c r="J508" t="n">
        <v>0</v>
      </c>
      <c r="K508" t="n">
        <v>0</v>
      </c>
      <c r="L508" t="n">
        <v>0</v>
      </c>
      <c r="M508" t="n">
        <v>0</v>
      </c>
      <c r="N508" t="n">
        <v>0</v>
      </c>
      <c r="O508" t="n">
        <v>0</v>
      </c>
      <c r="P508" t="n">
        <v>0</v>
      </c>
      <c r="Q508" t="n">
        <v>0</v>
      </c>
      <c r="R508" s="2" t="inlineStr"/>
    </row>
    <row r="509" ht="15" customHeight="1">
      <c r="A509" t="inlineStr">
        <is>
          <t>A 12368-2025</t>
        </is>
      </c>
      <c r="B509" s="1" t="n">
        <v>45730.37633101852</v>
      </c>
      <c r="C509" s="1" t="n">
        <v>45995</v>
      </c>
      <c r="D509" t="inlineStr">
        <is>
          <t>VÄSTERBOTTENS LÄN</t>
        </is>
      </c>
      <c r="E509" t="inlineStr">
        <is>
          <t>VILHELMINA</t>
        </is>
      </c>
      <c r="F509" t="inlineStr">
        <is>
          <t>Övriga statliga verk och myndigheter</t>
        </is>
      </c>
      <c r="G509" t="n">
        <v>14.8</v>
      </c>
      <c r="H509" t="n">
        <v>0</v>
      </c>
      <c r="I509" t="n">
        <v>0</v>
      </c>
      <c r="J509" t="n">
        <v>0</v>
      </c>
      <c r="K509" t="n">
        <v>0</v>
      </c>
      <c r="L509" t="n">
        <v>0</v>
      </c>
      <c r="M509" t="n">
        <v>0</v>
      </c>
      <c r="N509" t="n">
        <v>0</v>
      </c>
      <c r="O509" t="n">
        <v>0</v>
      </c>
      <c r="P509" t="n">
        <v>0</v>
      </c>
      <c r="Q509" t="n">
        <v>0</v>
      </c>
      <c r="R509" s="2" t="inlineStr"/>
    </row>
    <row r="510" ht="15" customHeight="1">
      <c r="A510" t="inlineStr">
        <is>
          <t>A 12373-2025</t>
        </is>
      </c>
      <c r="B510" s="1" t="n">
        <v>45730</v>
      </c>
      <c r="C510" s="1" t="n">
        <v>45995</v>
      </c>
      <c r="D510" t="inlineStr">
        <is>
          <t>VÄSTERBOTTENS LÄN</t>
        </is>
      </c>
      <c r="E510" t="inlineStr">
        <is>
          <t>VILHELMINA</t>
        </is>
      </c>
      <c r="F510" t="inlineStr">
        <is>
          <t>Övriga statliga verk och myndigheter</t>
        </is>
      </c>
      <c r="G510" t="n">
        <v>25.5</v>
      </c>
      <c r="H510" t="n">
        <v>0</v>
      </c>
      <c r="I510" t="n">
        <v>0</v>
      </c>
      <c r="J510" t="n">
        <v>0</v>
      </c>
      <c r="K510" t="n">
        <v>0</v>
      </c>
      <c r="L510" t="n">
        <v>0</v>
      </c>
      <c r="M510" t="n">
        <v>0</v>
      </c>
      <c r="N510" t="n">
        <v>0</v>
      </c>
      <c r="O510" t="n">
        <v>0</v>
      </c>
      <c r="P510" t="n">
        <v>0</v>
      </c>
      <c r="Q510" t="n">
        <v>0</v>
      </c>
      <c r="R510" s="2" t="inlineStr"/>
    </row>
    <row r="511" ht="15" customHeight="1">
      <c r="A511" t="inlineStr">
        <is>
          <t>A 26401-2022</t>
        </is>
      </c>
      <c r="B511" s="1" t="n">
        <v>44735</v>
      </c>
      <c r="C511" s="1" t="n">
        <v>45995</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46316-2022</t>
        </is>
      </c>
      <c r="B512" s="1" t="n">
        <v>44847</v>
      </c>
      <c r="C512" s="1" t="n">
        <v>45995</v>
      </c>
      <c r="D512" t="inlineStr">
        <is>
          <t>VÄSTERBOTTENS LÄN</t>
        </is>
      </c>
      <c r="E512" t="inlineStr">
        <is>
          <t>VILHELMINA</t>
        </is>
      </c>
      <c r="G512" t="n">
        <v>2.1</v>
      </c>
      <c r="H512" t="n">
        <v>0</v>
      </c>
      <c r="I512" t="n">
        <v>0</v>
      </c>
      <c r="J512" t="n">
        <v>0</v>
      </c>
      <c r="K512" t="n">
        <v>0</v>
      </c>
      <c r="L512" t="n">
        <v>0</v>
      </c>
      <c r="M512" t="n">
        <v>0</v>
      </c>
      <c r="N512" t="n">
        <v>0</v>
      </c>
      <c r="O512" t="n">
        <v>0</v>
      </c>
      <c r="P512" t="n">
        <v>0</v>
      </c>
      <c r="Q512" t="n">
        <v>0</v>
      </c>
      <c r="R512" s="2" t="inlineStr"/>
    </row>
    <row r="513" ht="15" customHeight="1">
      <c r="A513" t="inlineStr">
        <is>
          <t>A 9534-2023</t>
        </is>
      </c>
      <c r="B513" s="1" t="n">
        <v>44981.72646990741</v>
      </c>
      <c r="C513" s="1" t="n">
        <v>45995</v>
      </c>
      <c r="D513" t="inlineStr">
        <is>
          <t>VÄSTERBOTTENS LÄN</t>
        </is>
      </c>
      <c r="E513" t="inlineStr">
        <is>
          <t>VILHELMINA</t>
        </is>
      </c>
      <c r="G513" t="n">
        <v>1.7</v>
      </c>
      <c r="H513" t="n">
        <v>0</v>
      </c>
      <c r="I513" t="n">
        <v>0</v>
      </c>
      <c r="J513" t="n">
        <v>0</v>
      </c>
      <c r="K513" t="n">
        <v>0</v>
      </c>
      <c r="L513" t="n">
        <v>0</v>
      </c>
      <c r="M513" t="n">
        <v>0</v>
      </c>
      <c r="N513" t="n">
        <v>0</v>
      </c>
      <c r="O513" t="n">
        <v>0</v>
      </c>
      <c r="P513" t="n">
        <v>0</v>
      </c>
      <c r="Q513" t="n">
        <v>0</v>
      </c>
      <c r="R513" s="2" t="inlineStr"/>
    </row>
    <row r="514" ht="15" customHeight="1">
      <c r="A514" t="inlineStr">
        <is>
          <t>A 56747-2023</t>
        </is>
      </c>
      <c r="B514" s="1" t="n">
        <v>45238</v>
      </c>
      <c r="C514" s="1" t="n">
        <v>45995</v>
      </c>
      <c r="D514" t="inlineStr">
        <is>
          <t>VÄSTERBOTTENS LÄN</t>
        </is>
      </c>
      <c r="E514" t="inlineStr">
        <is>
          <t>VILHELMINA</t>
        </is>
      </c>
      <c r="F514" t="inlineStr">
        <is>
          <t>Allmännings- och besparingsskogar</t>
        </is>
      </c>
      <c r="G514" t="n">
        <v>16.2</v>
      </c>
      <c r="H514" t="n">
        <v>0</v>
      </c>
      <c r="I514" t="n">
        <v>0</v>
      </c>
      <c r="J514" t="n">
        <v>0</v>
      </c>
      <c r="K514" t="n">
        <v>0</v>
      </c>
      <c r="L514" t="n">
        <v>0</v>
      </c>
      <c r="M514" t="n">
        <v>0</v>
      </c>
      <c r="N514" t="n">
        <v>0</v>
      </c>
      <c r="O514" t="n">
        <v>0</v>
      </c>
      <c r="P514" t="n">
        <v>0</v>
      </c>
      <c r="Q514" t="n">
        <v>0</v>
      </c>
      <c r="R514" s="2" t="inlineStr"/>
    </row>
    <row r="515" ht="15" customHeight="1">
      <c r="A515" t="inlineStr">
        <is>
          <t>A 56758-2023</t>
        </is>
      </c>
      <c r="B515" s="1" t="n">
        <v>45238</v>
      </c>
      <c r="C515" s="1" t="n">
        <v>45995</v>
      </c>
      <c r="D515" t="inlineStr">
        <is>
          <t>VÄSTERBOTTENS LÄN</t>
        </is>
      </c>
      <c r="E515" t="inlineStr">
        <is>
          <t>VILHELMINA</t>
        </is>
      </c>
      <c r="F515" t="inlineStr">
        <is>
          <t>Allmännings- och besparingsskogar</t>
        </is>
      </c>
      <c r="G515" t="n">
        <v>371.4</v>
      </c>
      <c r="H515" t="n">
        <v>0</v>
      </c>
      <c r="I515" t="n">
        <v>0</v>
      </c>
      <c r="J515" t="n">
        <v>0</v>
      </c>
      <c r="K515" t="n">
        <v>0</v>
      </c>
      <c r="L515" t="n">
        <v>0</v>
      </c>
      <c r="M515" t="n">
        <v>0</v>
      </c>
      <c r="N515" t="n">
        <v>0</v>
      </c>
      <c r="O515" t="n">
        <v>0</v>
      </c>
      <c r="P515" t="n">
        <v>0</v>
      </c>
      <c r="Q515" t="n">
        <v>0</v>
      </c>
      <c r="R515" s="2" t="inlineStr"/>
    </row>
    <row r="516" ht="15" customHeight="1">
      <c r="A516" t="inlineStr">
        <is>
          <t>A 58456-2023</t>
        </is>
      </c>
      <c r="B516" s="1" t="n">
        <v>45250.96092592592</v>
      </c>
      <c r="C516" s="1" t="n">
        <v>45995</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60782-2023</t>
        </is>
      </c>
      <c r="B517" s="1" t="n">
        <v>45259</v>
      </c>
      <c r="C517" s="1" t="n">
        <v>45995</v>
      </c>
      <c r="D517" t="inlineStr">
        <is>
          <t>VÄSTERBOTTENS LÄN</t>
        </is>
      </c>
      <c r="E517" t="inlineStr">
        <is>
          <t>VILHELMINA</t>
        </is>
      </c>
      <c r="G517" t="n">
        <v>12.7</v>
      </c>
      <c r="H517" t="n">
        <v>0</v>
      </c>
      <c r="I517" t="n">
        <v>0</v>
      </c>
      <c r="J517" t="n">
        <v>0</v>
      </c>
      <c r="K517" t="n">
        <v>0</v>
      </c>
      <c r="L517" t="n">
        <v>0</v>
      </c>
      <c r="M517" t="n">
        <v>0</v>
      </c>
      <c r="N517" t="n">
        <v>0</v>
      </c>
      <c r="O517" t="n">
        <v>0</v>
      </c>
      <c r="P517" t="n">
        <v>0</v>
      </c>
      <c r="Q517" t="n">
        <v>0</v>
      </c>
      <c r="R517" s="2" t="inlineStr"/>
    </row>
    <row r="518" ht="15" customHeight="1">
      <c r="A518" t="inlineStr">
        <is>
          <t>A 9916-2021</t>
        </is>
      </c>
      <c r="B518" s="1" t="n">
        <v>44253</v>
      </c>
      <c r="C518" s="1" t="n">
        <v>45995</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9815-2024</t>
        </is>
      </c>
      <c r="B519" s="1" t="n">
        <v>45362.96927083333</v>
      </c>
      <c r="C519" s="1" t="n">
        <v>45995</v>
      </c>
      <c r="D519" t="inlineStr">
        <is>
          <t>VÄSTERBOTTENS LÄN</t>
        </is>
      </c>
      <c r="E519" t="inlineStr">
        <is>
          <t>VILHELMINA</t>
        </is>
      </c>
      <c r="G519" t="n">
        <v>1.3</v>
      </c>
      <c r="H519" t="n">
        <v>0</v>
      </c>
      <c r="I519" t="n">
        <v>0</v>
      </c>
      <c r="J519" t="n">
        <v>0</v>
      </c>
      <c r="K519" t="n">
        <v>0</v>
      </c>
      <c r="L519" t="n">
        <v>0</v>
      </c>
      <c r="M519" t="n">
        <v>0</v>
      </c>
      <c r="N519" t="n">
        <v>0</v>
      </c>
      <c r="O519" t="n">
        <v>0</v>
      </c>
      <c r="P519" t="n">
        <v>0</v>
      </c>
      <c r="Q519" t="n">
        <v>0</v>
      </c>
      <c r="R519" s="2" t="inlineStr"/>
    </row>
    <row r="520" ht="15" customHeight="1">
      <c r="A520" t="inlineStr">
        <is>
          <t>A 60151-2024</t>
        </is>
      </c>
      <c r="B520" s="1" t="n">
        <v>45642.61490740741</v>
      </c>
      <c r="C520" s="1" t="n">
        <v>45995</v>
      </c>
      <c r="D520" t="inlineStr">
        <is>
          <t>VÄSTERBOTTENS LÄN</t>
        </is>
      </c>
      <c r="E520" t="inlineStr">
        <is>
          <t>VILHELMINA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3435-2021</t>
        </is>
      </c>
      <c r="B521" s="1" t="n">
        <v>44216</v>
      </c>
      <c r="C521" s="1" t="n">
        <v>45995</v>
      </c>
      <c r="D521" t="inlineStr">
        <is>
          <t>VÄSTERBOTTENS LÄN</t>
        </is>
      </c>
      <c r="E521" t="inlineStr">
        <is>
          <t>VILHELMINA</t>
        </is>
      </c>
      <c r="G521" t="n">
        <v>20.5</v>
      </c>
      <c r="H521" t="n">
        <v>0</v>
      </c>
      <c r="I521" t="n">
        <v>0</v>
      </c>
      <c r="J521" t="n">
        <v>0</v>
      </c>
      <c r="K521" t="n">
        <v>0</v>
      </c>
      <c r="L521" t="n">
        <v>0</v>
      </c>
      <c r="M521" t="n">
        <v>0</v>
      </c>
      <c r="N521" t="n">
        <v>0</v>
      </c>
      <c r="O521" t="n">
        <v>0</v>
      </c>
      <c r="P521" t="n">
        <v>0</v>
      </c>
      <c r="Q521" t="n">
        <v>0</v>
      </c>
      <c r="R521" s="2" t="inlineStr"/>
    </row>
    <row r="522" ht="15" customHeight="1">
      <c r="A522" t="inlineStr">
        <is>
          <t>A 8908-2023</t>
        </is>
      </c>
      <c r="B522" s="1" t="n">
        <v>44972</v>
      </c>
      <c r="C522" s="1" t="n">
        <v>45995</v>
      </c>
      <c r="D522" t="inlineStr">
        <is>
          <t>VÄSTERBOTTENS LÄN</t>
        </is>
      </c>
      <c r="E522" t="inlineStr">
        <is>
          <t>VILHELMINA</t>
        </is>
      </c>
      <c r="F522" t="inlineStr">
        <is>
          <t>Allmännings- och besparingsskogar</t>
        </is>
      </c>
      <c r="G522" t="n">
        <v>22.3</v>
      </c>
      <c r="H522" t="n">
        <v>0</v>
      </c>
      <c r="I522" t="n">
        <v>0</v>
      </c>
      <c r="J522" t="n">
        <v>0</v>
      </c>
      <c r="K522" t="n">
        <v>0</v>
      </c>
      <c r="L522" t="n">
        <v>0</v>
      </c>
      <c r="M522" t="n">
        <v>0</v>
      </c>
      <c r="N522" t="n">
        <v>0</v>
      </c>
      <c r="O522" t="n">
        <v>0</v>
      </c>
      <c r="P522" t="n">
        <v>0</v>
      </c>
      <c r="Q522" t="n">
        <v>0</v>
      </c>
      <c r="R522" s="2" t="inlineStr"/>
    </row>
    <row r="523" ht="15" customHeight="1">
      <c r="A523" t="inlineStr">
        <is>
          <t>A 61048-2022</t>
        </is>
      </c>
      <c r="B523" s="1" t="n">
        <v>44914</v>
      </c>
      <c r="C523" s="1" t="n">
        <v>45995</v>
      </c>
      <c r="D523" t="inlineStr">
        <is>
          <t>VÄSTERBOTTENS LÄN</t>
        </is>
      </c>
      <c r="E523" t="inlineStr">
        <is>
          <t>VILHELMINA</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12229-2022</t>
        </is>
      </c>
      <c r="B524" s="1" t="n">
        <v>44637</v>
      </c>
      <c r="C524" s="1" t="n">
        <v>45995</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45007-2024</t>
        </is>
      </c>
      <c r="B525" s="1" t="n">
        <v>45575.49100694444</v>
      </c>
      <c r="C525" s="1" t="n">
        <v>45995</v>
      </c>
      <c r="D525" t="inlineStr">
        <is>
          <t>VÄSTERBOTTENS LÄN</t>
        </is>
      </c>
      <c r="E525" t="inlineStr">
        <is>
          <t>VILHELMINA</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2382-2023</t>
        </is>
      </c>
      <c r="B526" s="1" t="n">
        <v>44942</v>
      </c>
      <c r="C526" s="1" t="n">
        <v>45995</v>
      </c>
      <c r="D526" t="inlineStr">
        <is>
          <t>VÄSTERBOTTENS LÄN</t>
        </is>
      </c>
      <c r="E526" t="inlineStr">
        <is>
          <t>VILHELMINA</t>
        </is>
      </c>
      <c r="G526" t="n">
        <v>29.7</v>
      </c>
      <c r="H526" t="n">
        <v>0</v>
      </c>
      <c r="I526" t="n">
        <v>0</v>
      </c>
      <c r="J526" t="n">
        <v>0</v>
      </c>
      <c r="K526" t="n">
        <v>0</v>
      </c>
      <c r="L526" t="n">
        <v>0</v>
      </c>
      <c r="M526" t="n">
        <v>0</v>
      </c>
      <c r="N526" t="n">
        <v>0</v>
      </c>
      <c r="O526" t="n">
        <v>0</v>
      </c>
      <c r="P526" t="n">
        <v>0</v>
      </c>
      <c r="Q526" t="n">
        <v>0</v>
      </c>
      <c r="R526" s="2" t="inlineStr"/>
    </row>
    <row r="527" ht="15" customHeight="1">
      <c r="A527" t="inlineStr">
        <is>
          <t>A 70849-2021</t>
        </is>
      </c>
      <c r="B527" s="1" t="n">
        <v>44532</v>
      </c>
      <c r="C527" s="1" t="n">
        <v>45995</v>
      </c>
      <c r="D527" t="inlineStr">
        <is>
          <t>VÄSTERBOTTENS LÄN</t>
        </is>
      </c>
      <c r="E527" t="inlineStr">
        <is>
          <t>VILHELMINA</t>
        </is>
      </c>
      <c r="G527" t="n">
        <v>21.4</v>
      </c>
      <c r="H527" t="n">
        <v>0</v>
      </c>
      <c r="I527" t="n">
        <v>0</v>
      </c>
      <c r="J527" t="n">
        <v>0</v>
      </c>
      <c r="K527" t="n">
        <v>0</v>
      </c>
      <c r="L527" t="n">
        <v>0</v>
      </c>
      <c r="M527" t="n">
        <v>0</v>
      </c>
      <c r="N527" t="n">
        <v>0</v>
      </c>
      <c r="O527" t="n">
        <v>0</v>
      </c>
      <c r="P527" t="n">
        <v>0</v>
      </c>
      <c r="Q527" t="n">
        <v>0</v>
      </c>
      <c r="R527" s="2" t="inlineStr"/>
    </row>
    <row r="528" ht="15" customHeight="1">
      <c r="A528" t="inlineStr">
        <is>
          <t>A 56624-2024</t>
        </is>
      </c>
      <c r="B528" s="1" t="n">
        <v>45625</v>
      </c>
      <c r="C528" s="1" t="n">
        <v>45995</v>
      </c>
      <c r="D528" t="inlineStr">
        <is>
          <t>VÄSTERBOTTENS LÄN</t>
        </is>
      </c>
      <c r="E528" t="inlineStr">
        <is>
          <t>VILHELMINA</t>
        </is>
      </c>
      <c r="F528" t="inlineStr">
        <is>
          <t>Allmännings- och besparingsskogar</t>
        </is>
      </c>
      <c r="G528" t="n">
        <v>17.8</v>
      </c>
      <c r="H528" t="n">
        <v>0</v>
      </c>
      <c r="I528" t="n">
        <v>0</v>
      </c>
      <c r="J528" t="n">
        <v>0</v>
      </c>
      <c r="K528" t="n">
        <v>0</v>
      </c>
      <c r="L528" t="n">
        <v>0</v>
      </c>
      <c r="M528" t="n">
        <v>0</v>
      </c>
      <c r="N528" t="n">
        <v>0</v>
      </c>
      <c r="O528" t="n">
        <v>0</v>
      </c>
      <c r="P528" t="n">
        <v>0</v>
      </c>
      <c r="Q528" t="n">
        <v>0</v>
      </c>
      <c r="R528" s="2" t="inlineStr"/>
    </row>
    <row r="529" ht="15" customHeight="1">
      <c r="A529" t="inlineStr">
        <is>
          <t>A 55327-2023</t>
        </is>
      </c>
      <c r="B529" s="1" t="n">
        <v>45237.97375</v>
      </c>
      <c r="C529" s="1" t="n">
        <v>45995</v>
      </c>
      <c r="D529" t="inlineStr">
        <is>
          <t>VÄSTERBOTTENS LÄN</t>
        </is>
      </c>
      <c r="E529" t="inlineStr">
        <is>
          <t>VILHELMINA</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45435-2025</t>
        </is>
      </c>
      <c r="B530" s="1" t="n">
        <v>45922.46759259259</v>
      </c>
      <c r="C530" s="1" t="n">
        <v>45995</v>
      </c>
      <c r="D530" t="inlineStr">
        <is>
          <t>VÄSTERBOTTENS LÄN</t>
        </is>
      </c>
      <c r="E530" t="inlineStr">
        <is>
          <t>VILHELMINA</t>
        </is>
      </c>
      <c r="G530" t="n">
        <v>4.6</v>
      </c>
      <c r="H530" t="n">
        <v>0</v>
      </c>
      <c r="I530" t="n">
        <v>0</v>
      </c>
      <c r="J530" t="n">
        <v>0</v>
      </c>
      <c r="K530" t="n">
        <v>0</v>
      </c>
      <c r="L530" t="n">
        <v>0</v>
      </c>
      <c r="M530" t="n">
        <v>0</v>
      </c>
      <c r="N530" t="n">
        <v>0</v>
      </c>
      <c r="O530" t="n">
        <v>0</v>
      </c>
      <c r="P530" t="n">
        <v>0</v>
      </c>
      <c r="Q530" t="n">
        <v>0</v>
      </c>
      <c r="R530" s="2" t="inlineStr"/>
    </row>
    <row r="531" ht="15" customHeight="1">
      <c r="A531" t="inlineStr">
        <is>
          <t>A 38674-2023</t>
        </is>
      </c>
      <c r="B531" s="1" t="n">
        <v>45162.94335648148</v>
      </c>
      <c r="C531" s="1" t="n">
        <v>45995</v>
      </c>
      <c r="D531" t="inlineStr">
        <is>
          <t>VÄSTERBOTTENS LÄN</t>
        </is>
      </c>
      <c r="E531" t="inlineStr">
        <is>
          <t>VILHELMINA</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63218-2021</t>
        </is>
      </c>
      <c r="B532" s="1" t="n">
        <v>44505</v>
      </c>
      <c r="C532" s="1" t="n">
        <v>45995</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11544-2023</t>
        </is>
      </c>
      <c r="B533" s="1" t="n">
        <v>44993.94818287037</v>
      </c>
      <c r="C533" s="1" t="n">
        <v>45995</v>
      </c>
      <c r="D533" t="inlineStr">
        <is>
          <t>VÄSTERBOTTENS LÄN</t>
        </is>
      </c>
      <c r="E533" t="inlineStr">
        <is>
          <t>VILHELMINA</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58377-2021</t>
        </is>
      </c>
      <c r="B534" s="1" t="n">
        <v>44488</v>
      </c>
      <c r="C534" s="1" t="n">
        <v>45995</v>
      </c>
      <c r="D534" t="inlineStr">
        <is>
          <t>VÄSTERBOTTENS LÄN</t>
        </is>
      </c>
      <c r="E534" t="inlineStr">
        <is>
          <t>VILHELMINA</t>
        </is>
      </c>
      <c r="G534" t="n">
        <v>1.5</v>
      </c>
      <c r="H534" t="n">
        <v>0</v>
      </c>
      <c r="I534" t="n">
        <v>0</v>
      </c>
      <c r="J534" t="n">
        <v>0</v>
      </c>
      <c r="K534" t="n">
        <v>0</v>
      </c>
      <c r="L534" t="n">
        <v>0</v>
      </c>
      <c r="M534" t="n">
        <v>0</v>
      </c>
      <c r="N534" t="n">
        <v>0</v>
      </c>
      <c r="O534" t="n">
        <v>0</v>
      </c>
      <c r="P534" t="n">
        <v>0</v>
      </c>
      <c r="Q534" t="n">
        <v>0</v>
      </c>
      <c r="R534" s="2" t="inlineStr"/>
    </row>
    <row r="535" ht="15" customHeight="1">
      <c r="A535" t="inlineStr">
        <is>
          <t>A 48229-2024</t>
        </is>
      </c>
      <c r="B535" s="1" t="n">
        <v>45590.37554398148</v>
      </c>
      <c r="C535" s="1" t="n">
        <v>45995</v>
      </c>
      <c r="D535" t="inlineStr">
        <is>
          <t>VÄSTERBOTTENS LÄN</t>
        </is>
      </c>
      <c r="E535" t="inlineStr">
        <is>
          <t>VILHELMINA</t>
        </is>
      </c>
      <c r="G535" t="n">
        <v>11.6</v>
      </c>
      <c r="H535" t="n">
        <v>0</v>
      </c>
      <c r="I535" t="n">
        <v>0</v>
      </c>
      <c r="J535" t="n">
        <v>0</v>
      </c>
      <c r="K535" t="n">
        <v>0</v>
      </c>
      <c r="L535" t="n">
        <v>0</v>
      </c>
      <c r="M535" t="n">
        <v>0</v>
      </c>
      <c r="N535" t="n">
        <v>0</v>
      </c>
      <c r="O535" t="n">
        <v>0</v>
      </c>
      <c r="P535" t="n">
        <v>0</v>
      </c>
      <c r="Q535" t="n">
        <v>0</v>
      </c>
      <c r="R535" s="2" t="inlineStr"/>
    </row>
    <row r="536" ht="15" customHeight="1">
      <c r="A536" t="inlineStr">
        <is>
          <t>A 15326-2024</t>
        </is>
      </c>
      <c r="B536" s="1" t="n">
        <v>45400</v>
      </c>
      <c r="C536" s="1" t="n">
        <v>45995</v>
      </c>
      <c r="D536" t="inlineStr">
        <is>
          <t>VÄSTERBOTTENS LÄN</t>
        </is>
      </c>
      <c r="E536" t="inlineStr">
        <is>
          <t>VILHELMINA</t>
        </is>
      </c>
      <c r="G536" t="n">
        <v>4.7</v>
      </c>
      <c r="H536" t="n">
        <v>0</v>
      </c>
      <c r="I536" t="n">
        <v>0</v>
      </c>
      <c r="J536" t="n">
        <v>0</v>
      </c>
      <c r="K536" t="n">
        <v>0</v>
      </c>
      <c r="L536" t="n">
        <v>0</v>
      </c>
      <c r="M536" t="n">
        <v>0</v>
      </c>
      <c r="N536" t="n">
        <v>0</v>
      </c>
      <c r="O536" t="n">
        <v>0</v>
      </c>
      <c r="P536" t="n">
        <v>0</v>
      </c>
      <c r="Q536" t="n">
        <v>0</v>
      </c>
      <c r="R536" s="2" t="inlineStr"/>
    </row>
    <row r="537" ht="15" customHeight="1">
      <c r="A537" t="inlineStr">
        <is>
          <t>A 45271-2025</t>
        </is>
      </c>
      <c r="B537" s="1" t="n">
        <v>45919</v>
      </c>
      <c r="C537" s="1" t="n">
        <v>45995</v>
      </c>
      <c r="D537" t="inlineStr">
        <is>
          <t>VÄSTERBOTTENS LÄN</t>
        </is>
      </c>
      <c r="E537" t="inlineStr">
        <is>
          <t>VILHELMINA</t>
        </is>
      </c>
      <c r="G537" t="n">
        <v>8.6</v>
      </c>
      <c r="H537" t="n">
        <v>0</v>
      </c>
      <c r="I537" t="n">
        <v>0</v>
      </c>
      <c r="J537" t="n">
        <v>0</v>
      </c>
      <c r="K537" t="n">
        <v>0</v>
      </c>
      <c r="L537" t="n">
        <v>0</v>
      </c>
      <c r="M537" t="n">
        <v>0</v>
      </c>
      <c r="N537" t="n">
        <v>0</v>
      </c>
      <c r="O537" t="n">
        <v>0</v>
      </c>
      <c r="P537" t="n">
        <v>0</v>
      </c>
      <c r="Q537" t="n">
        <v>0</v>
      </c>
      <c r="R537" s="2" t="inlineStr"/>
    </row>
    <row r="538" ht="15" customHeight="1">
      <c r="A538" t="inlineStr">
        <is>
          <t>A 43791-2024</t>
        </is>
      </c>
      <c r="B538" s="1" t="n">
        <v>45571</v>
      </c>
      <c r="C538" s="1" t="n">
        <v>45995</v>
      </c>
      <c r="D538" t="inlineStr">
        <is>
          <t>VÄSTERBOTTENS LÄN</t>
        </is>
      </c>
      <c r="E538" t="inlineStr">
        <is>
          <t>VILHELMINA</t>
        </is>
      </c>
      <c r="G538" t="n">
        <v>30.3</v>
      </c>
      <c r="H538" t="n">
        <v>0</v>
      </c>
      <c r="I538" t="n">
        <v>0</v>
      </c>
      <c r="J538" t="n">
        <v>0</v>
      </c>
      <c r="K538" t="n">
        <v>0</v>
      </c>
      <c r="L538" t="n">
        <v>0</v>
      </c>
      <c r="M538" t="n">
        <v>0</v>
      </c>
      <c r="N538" t="n">
        <v>0</v>
      </c>
      <c r="O538" t="n">
        <v>0</v>
      </c>
      <c r="P538" t="n">
        <v>0</v>
      </c>
      <c r="Q538" t="n">
        <v>0</v>
      </c>
      <c r="R538" s="2" t="inlineStr"/>
    </row>
    <row r="539" ht="15" customHeight="1">
      <c r="A539" t="inlineStr">
        <is>
          <t>A 43792-2024</t>
        </is>
      </c>
      <c r="B539" s="1" t="n">
        <v>45571</v>
      </c>
      <c r="C539" s="1" t="n">
        <v>45995</v>
      </c>
      <c r="D539" t="inlineStr">
        <is>
          <t>VÄSTERBOTTENS LÄN</t>
        </is>
      </c>
      <c r="E539" t="inlineStr">
        <is>
          <t>VILHELMINA</t>
        </is>
      </c>
      <c r="G539" t="n">
        <v>25.3</v>
      </c>
      <c r="H539" t="n">
        <v>0</v>
      </c>
      <c r="I539" t="n">
        <v>0</v>
      </c>
      <c r="J539" t="n">
        <v>0</v>
      </c>
      <c r="K539" t="n">
        <v>0</v>
      </c>
      <c r="L539" t="n">
        <v>0</v>
      </c>
      <c r="M539" t="n">
        <v>0</v>
      </c>
      <c r="N539" t="n">
        <v>0</v>
      </c>
      <c r="O539" t="n">
        <v>0</v>
      </c>
      <c r="P539" t="n">
        <v>0</v>
      </c>
      <c r="Q539" t="n">
        <v>0</v>
      </c>
      <c r="R539" s="2" t="inlineStr"/>
    </row>
    <row r="540" ht="15" customHeight="1">
      <c r="A540" t="inlineStr">
        <is>
          <t>A 25551-2024</t>
        </is>
      </c>
      <c r="B540" s="1" t="n">
        <v>45463</v>
      </c>
      <c r="C540" s="1" t="n">
        <v>45995</v>
      </c>
      <c r="D540" t="inlineStr">
        <is>
          <t>VÄSTERBOTTENS LÄN</t>
        </is>
      </c>
      <c r="E540" t="inlineStr">
        <is>
          <t>VILHELMINA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29954-2023</t>
        </is>
      </c>
      <c r="B541" s="1" t="n">
        <v>45107</v>
      </c>
      <c r="C541" s="1" t="n">
        <v>45995</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36376-2023</t>
        </is>
      </c>
      <c r="B542" s="1" t="n">
        <v>45152</v>
      </c>
      <c r="C542" s="1" t="n">
        <v>45995</v>
      </c>
      <c r="D542" t="inlineStr">
        <is>
          <t>VÄSTERBOTTENS LÄN</t>
        </is>
      </c>
      <c r="E542" t="inlineStr">
        <is>
          <t>VILHELMINA</t>
        </is>
      </c>
      <c r="G542" t="n">
        <v>12.7</v>
      </c>
      <c r="H542" t="n">
        <v>0</v>
      </c>
      <c r="I542" t="n">
        <v>0</v>
      </c>
      <c r="J542" t="n">
        <v>0</v>
      </c>
      <c r="K542" t="n">
        <v>0</v>
      </c>
      <c r="L542" t="n">
        <v>0</v>
      </c>
      <c r="M542" t="n">
        <v>0</v>
      </c>
      <c r="N542" t="n">
        <v>0</v>
      </c>
      <c r="O542" t="n">
        <v>0</v>
      </c>
      <c r="P542" t="n">
        <v>0</v>
      </c>
      <c r="Q542" t="n">
        <v>0</v>
      </c>
      <c r="R542" s="2" t="inlineStr"/>
    </row>
    <row r="543" ht="15" customHeight="1">
      <c r="A543" t="inlineStr">
        <is>
          <t>A 6665-2021</t>
        </is>
      </c>
      <c r="B543" s="1" t="n">
        <v>44235</v>
      </c>
      <c r="C543" s="1" t="n">
        <v>45995</v>
      </c>
      <c r="D543" t="inlineStr">
        <is>
          <t>VÄSTERBOTTENS LÄN</t>
        </is>
      </c>
      <c r="E543" t="inlineStr">
        <is>
          <t>VILHELMINA</t>
        </is>
      </c>
      <c r="G543" t="n">
        <v>20</v>
      </c>
      <c r="H543" t="n">
        <v>0</v>
      </c>
      <c r="I543" t="n">
        <v>0</v>
      </c>
      <c r="J543" t="n">
        <v>0</v>
      </c>
      <c r="K543" t="n">
        <v>0</v>
      </c>
      <c r="L543" t="n">
        <v>0</v>
      </c>
      <c r="M543" t="n">
        <v>0</v>
      </c>
      <c r="N543" t="n">
        <v>0</v>
      </c>
      <c r="O543" t="n">
        <v>0</v>
      </c>
      <c r="P543" t="n">
        <v>0</v>
      </c>
      <c r="Q543" t="n">
        <v>0</v>
      </c>
      <c r="R543" s="2" t="inlineStr"/>
    </row>
    <row r="544" ht="15" customHeight="1">
      <c r="A544" t="inlineStr">
        <is>
          <t>A 30575-2024</t>
        </is>
      </c>
      <c r="B544" s="1" t="n">
        <v>45492.95818287037</v>
      </c>
      <c r="C544" s="1" t="n">
        <v>45995</v>
      </c>
      <c r="D544" t="inlineStr">
        <is>
          <t>VÄSTERBOTTENS LÄN</t>
        </is>
      </c>
      <c r="E544" t="inlineStr">
        <is>
          <t>VILHELMINA</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30578-2024</t>
        </is>
      </c>
      <c r="B545" s="1" t="n">
        <v>45492.95939814814</v>
      </c>
      <c r="C545" s="1" t="n">
        <v>45995</v>
      </c>
      <c r="D545" t="inlineStr">
        <is>
          <t>VÄSTERBOTTENS LÄN</t>
        </is>
      </c>
      <c r="E545" t="inlineStr">
        <is>
          <t>VILHELMINA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30580-2024</t>
        </is>
      </c>
      <c r="B546" s="1" t="n">
        <v>45492.95981481481</v>
      </c>
      <c r="C546" s="1" t="n">
        <v>45995</v>
      </c>
      <c r="D546" t="inlineStr">
        <is>
          <t>VÄSTERBOTTENS LÄN</t>
        </is>
      </c>
      <c r="E546" t="inlineStr">
        <is>
          <t>VILHELMINA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72153-2021</t>
        </is>
      </c>
      <c r="B547" s="1" t="n">
        <v>44543</v>
      </c>
      <c r="C547" s="1" t="n">
        <v>45995</v>
      </c>
      <c r="D547" t="inlineStr">
        <is>
          <t>VÄSTERBOTTENS LÄN</t>
        </is>
      </c>
      <c r="E547" t="inlineStr">
        <is>
          <t>VILHELMINA</t>
        </is>
      </c>
      <c r="G547" t="n">
        <v>6.7</v>
      </c>
      <c r="H547" t="n">
        <v>0</v>
      </c>
      <c r="I547" t="n">
        <v>0</v>
      </c>
      <c r="J547" t="n">
        <v>0</v>
      </c>
      <c r="K547" t="n">
        <v>0</v>
      </c>
      <c r="L547" t="n">
        <v>0</v>
      </c>
      <c r="M547" t="n">
        <v>0</v>
      </c>
      <c r="N547" t="n">
        <v>0</v>
      </c>
      <c r="O547" t="n">
        <v>0</v>
      </c>
      <c r="P547" t="n">
        <v>0</v>
      </c>
      <c r="Q547" t="n">
        <v>0</v>
      </c>
      <c r="R547" s="2" t="inlineStr"/>
    </row>
    <row r="548" ht="15" customHeight="1">
      <c r="A548" t="inlineStr">
        <is>
          <t>A 48424-2023</t>
        </is>
      </c>
      <c r="B548" s="1" t="n">
        <v>45205</v>
      </c>
      <c r="C548" s="1" t="n">
        <v>45995</v>
      </c>
      <c r="D548" t="inlineStr">
        <is>
          <t>VÄSTERBOTTENS LÄN</t>
        </is>
      </c>
      <c r="E548" t="inlineStr">
        <is>
          <t>VILHELMINA</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44714-2021</t>
        </is>
      </c>
      <c r="B549" s="1" t="n">
        <v>44435</v>
      </c>
      <c r="C549" s="1" t="n">
        <v>45995</v>
      </c>
      <c r="D549" t="inlineStr">
        <is>
          <t>VÄSTERBOTTENS LÄN</t>
        </is>
      </c>
      <c r="E549" t="inlineStr">
        <is>
          <t>VILHELMINA</t>
        </is>
      </c>
      <c r="G549" t="n">
        <v>4.3</v>
      </c>
      <c r="H549" t="n">
        <v>0</v>
      </c>
      <c r="I549" t="n">
        <v>0</v>
      </c>
      <c r="J549" t="n">
        <v>0</v>
      </c>
      <c r="K549" t="n">
        <v>0</v>
      </c>
      <c r="L549" t="n">
        <v>0</v>
      </c>
      <c r="M549" t="n">
        <v>0</v>
      </c>
      <c r="N549" t="n">
        <v>0</v>
      </c>
      <c r="O549" t="n">
        <v>0</v>
      </c>
      <c r="P549" t="n">
        <v>0</v>
      </c>
      <c r="Q549" t="n">
        <v>0</v>
      </c>
      <c r="R549" s="2" t="inlineStr"/>
    </row>
    <row r="550" ht="15" customHeight="1">
      <c r="A550" t="inlineStr">
        <is>
          <t>A 37714-2024</t>
        </is>
      </c>
      <c r="B550" s="1" t="n">
        <v>45541.63569444444</v>
      </c>
      <c r="C550" s="1" t="n">
        <v>45995</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37715-2024</t>
        </is>
      </c>
      <c r="B551" s="1" t="n">
        <v>45541.63581018519</v>
      </c>
      <c r="C551" s="1" t="n">
        <v>45995</v>
      </c>
      <c r="D551" t="inlineStr">
        <is>
          <t>VÄSTERBOTTENS LÄN</t>
        </is>
      </c>
      <c r="E551" t="inlineStr">
        <is>
          <t>VILHELMINA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44285-2024</t>
        </is>
      </c>
      <c r="B552" s="1" t="n">
        <v>45573</v>
      </c>
      <c r="C552" s="1" t="n">
        <v>45995</v>
      </c>
      <c r="D552" t="inlineStr">
        <is>
          <t>VÄSTERBOTTENS LÄN</t>
        </is>
      </c>
      <c r="E552" t="inlineStr">
        <is>
          <t>VILHELMINA</t>
        </is>
      </c>
      <c r="G552" t="n">
        <v>30.9</v>
      </c>
      <c r="H552" t="n">
        <v>0</v>
      </c>
      <c r="I552" t="n">
        <v>0</v>
      </c>
      <c r="J552" t="n">
        <v>0</v>
      </c>
      <c r="K552" t="n">
        <v>0</v>
      </c>
      <c r="L552" t="n">
        <v>0</v>
      </c>
      <c r="M552" t="n">
        <v>0</v>
      </c>
      <c r="N552" t="n">
        <v>0</v>
      </c>
      <c r="O552" t="n">
        <v>0</v>
      </c>
      <c r="P552" t="n">
        <v>0</v>
      </c>
      <c r="Q552" t="n">
        <v>0</v>
      </c>
      <c r="R552" s="2" t="inlineStr"/>
    </row>
    <row r="553" ht="15" customHeight="1">
      <c r="A553" t="inlineStr">
        <is>
          <t>A 35983-2023</t>
        </is>
      </c>
      <c r="B553" s="1" t="n">
        <v>45148.96185185185</v>
      </c>
      <c r="C553" s="1" t="n">
        <v>45995</v>
      </c>
      <c r="D553" t="inlineStr">
        <is>
          <t>VÄSTERBOTTENS LÄN</t>
        </is>
      </c>
      <c r="E553" t="inlineStr">
        <is>
          <t>VILHELMINA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23536-2024</t>
        </is>
      </c>
      <c r="B554" s="1" t="n">
        <v>45453.95199074074</v>
      </c>
      <c r="C554" s="1" t="n">
        <v>45995</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64421-2023</t>
        </is>
      </c>
      <c r="B555" s="1" t="n">
        <v>45280</v>
      </c>
      <c r="C555" s="1" t="n">
        <v>45995</v>
      </c>
      <c r="D555" t="inlineStr">
        <is>
          <t>VÄSTERBOTTENS LÄN</t>
        </is>
      </c>
      <c r="E555" t="inlineStr">
        <is>
          <t>VILHELMINA</t>
        </is>
      </c>
      <c r="G555" t="n">
        <v>4.9</v>
      </c>
      <c r="H555" t="n">
        <v>0</v>
      </c>
      <c r="I555" t="n">
        <v>0</v>
      </c>
      <c r="J555" t="n">
        <v>0</v>
      </c>
      <c r="K555" t="n">
        <v>0</v>
      </c>
      <c r="L555" t="n">
        <v>0</v>
      </c>
      <c r="M555" t="n">
        <v>0</v>
      </c>
      <c r="N555" t="n">
        <v>0</v>
      </c>
      <c r="O555" t="n">
        <v>0</v>
      </c>
      <c r="P555" t="n">
        <v>0</v>
      </c>
      <c r="Q555" t="n">
        <v>0</v>
      </c>
      <c r="R555" s="2" t="inlineStr"/>
    </row>
    <row r="556" ht="15" customHeight="1">
      <c r="A556" t="inlineStr">
        <is>
          <t>A 45749-2025</t>
        </is>
      </c>
      <c r="B556" s="1" t="n">
        <v>45923.48195601852</v>
      </c>
      <c r="C556" s="1" t="n">
        <v>45995</v>
      </c>
      <c r="D556" t="inlineStr">
        <is>
          <t>VÄSTERBOTTENS LÄN</t>
        </is>
      </c>
      <c r="E556" t="inlineStr">
        <is>
          <t>VILHELMINA</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66917-2021</t>
        </is>
      </c>
      <c r="B557" s="1" t="n">
        <v>44522</v>
      </c>
      <c r="C557" s="1" t="n">
        <v>45995</v>
      </c>
      <c r="D557" t="inlineStr">
        <is>
          <t>VÄSTERBOTTENS LÄN</t>
        </is>
      </c>
      <c r="E557" t="inlineStr">
        <is>
          <t>VILHELMINA</t>
        </is>
      </c>
      <c r="F557" t="inlineStr">
        <is>
          <t>Allmännings- och besparingsskogar</t>
        </is>
      </c>
      <c r="G557" t="n">
        <v>11.7</v>
      </c>
      <c r="H557" t="n">
        <v>0</v>
      </c>
      <c r="I557" t="n">
        <v>0</v>
      </c>
      <c r="J557" t="n">
        <v>0</v>
      </c>
      <c r="K557" t="n">
        <v>0</v>
      </c>
      <c r="L557" t="n">
        <v>0</v>
      </c>
      <c r="M557" t="n">
        <v>0</v>
      </c>
      <c r="N557" t="n">
        <v>0</v>
      </c>
      <c r="O557" t="n">
        <v>0</v>
      </c>
      <c r="P557" t="n">
        <v>0</v>
      </c>
      <c r="Q557" t="n">
        <v>0</v>
      </c>
      <c r="R557" s="2" t="inlineStr"/>
    </row>
    <row r="558" ht="15" customHeight="1">
      <c r="A558" t="inlineStr">
        <is>
          <t>A 24828-2023</t>
        </is>
      </c>
      <c r="B558" s="1" t="n">
        <v>45084</v>
      </c>
      <c r="C558" s="1" t="n">
        <v>45995</v>
      </c>
      <c r="D558" t="inlineStr">
        <is>
          <t>VÄSTERBOTTENS LÄN</t>
        </is>
      </c>
      <c r="E558" t="inlineStr">
        <is>
          <t>VILHELMINA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19221-2025</t>
        </is>
      </c>
      <c r="B559" s="1" t="n">
        <v>45769</v>
      </c>
      <c r="C559" s="1" t="n">
        <v>45995</v>
      </c>
      <c r="D559" t="inlineStr">
        <is>
          <t>VÄSTERBOTTENS LÄN</t>
        </is>
      </c>
      <c r="E559" t="inlineStr">
        <is>
          <t>VILHELMINA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8652-2023</t>
        </is>
      </c>
      <c r="B560" s="1" t="n">
        <v>44977.98401620371</v>
      </c>
      <c r="C560" s="1" t="n">
        <v>45995</v>
      </c>
      <c r="D560" t="inlineStr">
        <is>
          <t>VÄSTERBOTTENS LÄN</t>
        </is>
      </c>
      <c r="E560" t="inlineStr">
        <is>
          <t>VILHELMINA</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8653-2023</t>
        </is>
      </c>
      <c r="B561" s="1" t="n">
        <v>44977</v>
      </c>
      <c r="C561" s="1" t="n">
        <v>45995</v>
      </c>
      <c r="D561" t="inlineStr">
        <is>
          <t>VÄSTERBOTTENS LÄN</t>
        </is>
      </c>
      <c r="E561" t="inlineStr">
        <is>
          <t>VILHELMINA</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5955-2023</t>
        </is>
      </c>
      <c r="B562" s="1" t="n">
        <v>44963.93989583333</v>
      </c>
      <c r="C562" s="1" t="n">
        <v>45995</v>
      </c>
      <c r="D562" t="inlineStr">
        <is>
          <t>VÄSTERBOTTENS LÄN</t>
        </is>
      </c>
      <c r="E562" t="inlineStr">
        <is>
          <t>VILHELMINA</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6664-2021</t>
        </is>
      </c>
      <c r="B563" s="1" t="n">
        <v>44235</v>
      </c>
      <c r="C563" s="1" t="n">
        <v>45995</v>
      </c>
      <c r="D563" t="inlineStr">
        <is>
          <t>VÄSTERBOTTENS LÄN</t>
        </is>
      </c>
      <c r="E563" t="inlineStr">
        <is>
          <t>VILHELMINA</t>
        </is>
      </c>
      <c r="G563" t="n">
        <v>2.5</v>
      </c>
      <c r="H563" t="n">
        <v>0</v>
      </c>
      <c r="I563" t="n">
        <v>0</v>
      </c>
      <c r="J563" t="n">
        <v>0</v>
      </c>
      <c r="K563" t="n">
        <v>0</v>
      </c>
      <c r="L563" t="n">
        <v>0</v>
      </c>
      <c r="M563" t="n">
        <v>0</v>
      </c>
      <c r="N563" t="n">
        <v>0</v>
      </c>
      <c r="O563" t="n">
        <v>0</v>
      </c>
      <c r="P563" t="n">
        <v>0</v>
      </c>
      <c r="Q563" t="n">
        <v>0</v>
      </c>
      <c r="R563" s="2" t="inlineStr"/>
    </row>
    <row r="564" ht="15" customHeight="1">
      <c r="A564" t="inlineStr">
        <is>
          <t>A 6699-2021</t>
        </is>
      </c>
      <c r="B564" s="1" t="n">
        <v>44235</v>
      </c>
      <c r="C564" s="1" t="n">
        <v>45995</v>
      </c>
      <c r="D564" t="inlineStr">
        <is>
          <t>VÄSTERBOTTENS LÄN</t>
        </is>
      </c>
      <c r="E564" t="inlineStr">
        <is>
          <t>VILHELMINA</t>
        </is>
      </c>
      <c r="G564" t="n">
        <v>6.9</v>
      </c>
      <c r="H564" t="n">
        <v>0</v>
      </c>
      <c r="I564" t="n">
        <v>0</v>
      </c>
      <c r="J564" t="n">
        <v>0</v>
      </c>
      <c r="K564" t="n">
        <v>0</v>
      </c>
      <c r="L564" t="n">
        <v>0</v>
      </c>
      <c r="M564" t="n">
        <v>0</v>
      </c>
      <c r="N564" t="n">
        <v>0</v>
      </c>
      <c r="O564" t="n">
        <v>0</v>
      </c>
      <c r="P564" t="n">
        <v>0</v>
      </c>
      <c r="Q564" t="n">
        <v>0</v>
      </c>
      <c r="R564" s="2" t="inlineStr"/>
    </row>
    <row r="565" ht="15" customHeight="1">
      <c r="A565" t="inlineStr">
        <is>
          <t>A 8556-2025</t>
        </is>
      </c>
      <c r="B565" s="1" t="n">
        <v>45709</v>
      </c>
      <c r="C565" s="1" t="n">
        <v>45995</v>
      </c>
      <c r="D565" t="inlineStr">
        <is>
          <t>VÄSTERBOTTENS LÄN</t>
        </is>
      </c>
      <c r="E565" t="inlineStr">
        <is>
          <t>VILHELMINA</t>
        </is>
      </c>
      <c r="G565" t="n">
        <v>1</v>
      </c>
      <c r="H565" t="n">
        <v>0</v>
      </c>
      <c r="I565" t="n">
        <v>0</v>
      </c>
      <c r="J565" t="n">
        <v>0</v>
      </c>
      <c r="K565" t="n">
        <v>0</v>
      </c>
      <c r="L565" t="n">
        <v>0</v>
      </c>
      <c r="M565" t="n">
        <v>0</v>
      </c>
      <c r="N565" t="n">
        <v>0</v>
      </c>
      <c r="O565" t="n">
        <v>0</v>
      </c>
      <c r="P565" t="n">
        <v>0</v>
      </c>
      <c r="Q565" t="n">
        <v>0</v>
      </c>
      <c r="R565" s="2" t="inlineStr"/>
    </row>
    <row r="566" ht="15" customHeight="1">
      <c r="A566" t="inlineStr">
        <is>
          <t>A 61779-2023</t>
        </is>
      </c>
      <c r="B566" s="1" t="n">
        <v>45265.95677083333</v>
      </c>
      <c r="C566" s="1" t="n">
        <v>45995</v>
      </c>
      <c r="D566" t="inlineStr">
        <is>
          <t>VÄSTERBOTTENS LÄN</t>
        </is>
      </c>
      <c r="E566" t="inlineStr">
        <is>
          <t>VILHELMINA</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34135-2024</t>
        </is>
      </c>
      <c r="B567" s="1" t="n">
        <v>45524.35605324074</v>
      </c>
      <c r="C567" s="1" t="n">
        <v>45995</v>
      </c>
      <c r="D567" t="inlineStr">
        <is>
          <t>VÄSTERBOTTENS LÄN</t>
        </is>
      </c>
      <c r="E567" t="inlineStr">
        <is>
          <t>VILHELMINA</t>
        </is>
      </c>
      <c r="F567" t="inlineStr">
        <is>
          <t>Sveaskog</t>
        </is>
      </c>
      <c r="G567" t="n">
        <v>5.7</v>
      </c>
      <c r="H567" t="n">
        <v>0</v>
      </c>
      <c r="I567" t="n">
        <v>0</v>
      </c>
      <c r="J567" t="n">
        <v>0</v>
      </c>
      <c r="K567" t="n">
        <v>0</v>
      </c>
      <c r="L567" t="n">
        <v>0</v>
      </c>
      <c r="M567" t="n">
        <v>0</v>
      </c>
      <c r="N567" t="n">
        <v>0</v>
      </c>
      <c r="O567" t="n">
        <v>0</v>
      </c>
      <c r="P567" t="n">
        <v>0</v>
      </c>
      <c r="Q567" t="n">
        <v>0</v>
      </c>
      <c r="R567" s="2" t="inlineStr"/>
    </row>
    <row r="568" ht="15" customHeight="1">
      <c r="A568" t="inlineStr">
        <is>
          <t>A 54738-2025</t>
        </is>
      </c>
      <c r="B568" s="1" t="n">
        <v>45966</v>
      </c>
      <c r="C568" s="1" t="n">
        <v>45995</v>
      </c>
      <c r="D568" t="inlineStr">
        <is>
          <t>VÄSTERBOTTENS LÄN</t>
        </is>
      </c>
      <c r="E568" t="inlineStr">
        <is>
          <t>VILHELMINA</t>
        </is>
      </c>
      <c r="G568" t="n">
        <v>6.6</v>
      </c>
      <c r="H568" t="n">
        <v>0</v>
      </c>
      <c r="I568" t="n">
        <v>0</v>
      </c>
      <c r="J568" t="n">
        <v>0</v>
      </c>
      <c r="K568" t="n">
        <v>0</v>
      </c>
      <c r="L568" t="n">
        <v>0</v>
      </c>
      <c r="M568" t="n">
        <v>0</v>
      </c>
      <c r="N568" t="n">
        <v>0</v>
      </c>
      <c r="O568" t="n">
        <v>0</v>
      </c>
      <c r="P568" t="n">
        <v>0</v>
      </c>
      <c r="Q568" t="n">
        <v>0</v>
      </c>
      <c r="R568" s="2" t="inlineStr"/>
    </row>
    <row r="569" ht="15" customHeight="1">
      <c r="A569" t="inlineStr">
        <is>
          <t>A 42478-2024</t>
        </is>
      </c>
      <c r="B569" s="1" t="n">
        <v>45565.4912962963</v>
      </c>
      <c r="C569" s="1" t="n">
        <v>45995</v>
      </c>
      <c r="D569" t="inlineStr">
        <is>
          <t>VÄSTERBOTTENS LÄN</t>
        </is>
      </c>
      <c r="E569" t="inlineStr">
        <is>
          <t>VILHELMINA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55095-2025</t>
        </is>
      </c>
      <c r="B570" s="1" t="n">
        <v>45968.34498842592</v>
      </c>
      <c r="C570" s="1" t="n">
        <v>45995</v>
      </c>
      <c r="D570" t="inlineStr">
        <is>
          <t>VÄSTERBOTTENS LÄN</t>
        </is>
      </c>
      <c r="E570" t="inlineStr">
        <is>
          <t>VILHELMINA</t>
        </is>
      </c>
      <c r="F570" t="inlineStr">
        <is>
          <t>SCA</t>
        </is>
      </c>
      <c r="G570" t="n">
        <v>8</v>
      </c>
      <c r="H570" t="n">
        <v>0</v>
      </c>
      <c r="I570" t="n">
        <v>0</v>
      </c>
      <c r="J570" t="n">
        <v>0</v>
      </c>
      <c r="K570" t="n">
        <v>0</v>
      </c>
      <c r="L570" t="n">
        <v>0</v>
      </c>
      <c r="M570" t="n">
        <v>0</v>
      </c>
      <c r="N570" t="n">
        <v>0</v>
      </c>
      <c r="O570" t="n">
        <v>0</v>
      </c>
      <c r="P570" t="n">
        <v>0</v>
      </c>
      <c r="Q570" t="n">
        <v>0</v>
      </c>
      <c r="R570" s="2" t="inlineStr"/>
    </row>
    <row r="571" ht="15" customHeight="1">
      <c r="A571" t="inlineStr">
        <is>
          <t>A 57324-2022</t>
        </is>
      </c>
      <c r="B571" s="1" t="n">
        <v>44889</v>
      </c>
      <c r="C571" s="1" t="n">
        <v>45995</v>
      </c>
      <c r="D571" t="inlineStr">
        <is>
          <t>VÄSTERBOTTENS LÄN</t>
        </is>
      </c>
      <c r="E571" t="inlineStr">
        <is>
          <t>VILHELMINA</t>
        </is>
      </c>
      <c r="G571" t="n">
        <v>1.7</v>
      </c>
      <c r="H571" t="n">
        <v>0</v>
      </c>
      <c r="I571" t="n">
        <v>0</v>
      </c>
      <c r="J571" t="n">
        <v>0</v>
      </c>
      <c r="K571" t="n">
        <v>0</v>
      </c>
      <c r="L571" t="n">
        <v>0</v>
      </c>
      <c r="M571" t="n">
        <v>0</v>
      </c>
      <c r="N571" t="n">
        <v>0</v>
      </c>
      <c r="O571" t="n">
        <v>0</v>
      </c>
      <c r="P571" t="n">
        <v>0</v>
      </c>
      <c r="Q571" t="n">
        <v>0</v>
      </c>
      <c r="R571" s="2" t="inlineStr"/>
    </row>
    <row r="572" ht="15" customHeight="1">
      <c r="A572" t="inlineStr">
        <is>
          <t>A 12364-2025</t>
        </is>
      </c>
      <c r="B572" s="1" t="n">
        <v>45730.37515046296</v>
      </c>
      <c r="C572" s="1" t="n">
        <v>45995</v>
      </c>
      <c r="D572" t="inlineStr">
        <is>
          <t>VÄSTERBOTTENS LÄN</t>
        </is>
      </c>
      <c r="E572" t="inlineStr">
        <is>
          <t>VILHELMINA</t>
        </is>
      </c>
      <c r="F572" t="inlineStr">
        <is>
          <t>Övriga statliga verk och myndigheter</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12377-2025</t>
        </is>
      </c>
      <c r="B573" s="1" t="n">
        <v>45730</v>
      </c>
      <c r="C573" s="1" t="n">
        <v>45995</v>
      </c>
      <c r="D573" t="inlineStr">
        <is>
          <t>VÄSTERBOTTENS LÄN</t>
        </is>
      </c>
      <c r="E573" t="inlineStr">
        <is>
          <t>VILHELMINA</t>
        </is>
      </c>
      <c r="F573" t="inlineStr">
        <is>
          <t>Övriga statliga verk och myndigheter</t>
        </is>
      </c>
      <c r="G573" t="n">
        <v>37.1</v>
      </c>
      <c r="H573" t="n">
        <v>0</v>
      </c>
      <c r="I573" t="n">
        <v>0</v>
      </c>
      <c r="J573" t="n">
        <v>0</v>
      </c>
      <c r="K573" t="n">
        <v>0</v>
      </c>
      <c r="L573" t="n">
        <v>0</v>
      </c>
      <c r="M573" t="n">
        <v>0</v>
      </c>
      <c r="N573" t="n">
        <v>0</v>
      </c>
      <c r="O573" t="n">
        <v>0</v>
      </c>
      <c r="P573" t="n">
        <v>0</v>
      </c>
      <c r="Q573" t="n">
        <v>0</v>
      </c>
      <c r="R573" s="2" t="inlineStr"/>
    </row>
    <row r="574" ht="15" customHeight="1">
      <c r="A574" t="inlineStr">
        <is>
          <t>A 59671-2023</t>
        </is>
      </c>
      <c r="B574" s="1" t="n">
        <v>45254.96524305556</v>
      </c>
      <c r="C574" s="1" t="n">
        <v>45995</v>
      </c>
      <c r="D574" t="inlineStr">
        <is>
          <t>VÄSTERBOTTENS LÄN</t>
        </is>
      </c>
      <c r="E574" t="inlineStr">
        <is>
          <t>VILHELMINA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14254-2025</t>
        </is>
      </c>
      <c r="B575" s="1" t="n">
        <v>45740.61644675926</v>
      </c>
      <c r="C575" s="1" t="n">
        <v>45995</v>
      </c>
      <c r="D575" t="inlineStr">
        <is>
          <t>VÄSTERBOTTENS LÄN</t>
        </is>
      </c>
      <c r="E575" t="inlineStr">
        <is>
          <t>VILHELMINA</t>
        </is>
      </c>
      <c r="G575" t="n">
        <v>2</v>
      </c>
      <c r="H575" t="n">
        <v>0</v>
      </c>
      <c r="I575" t="n">
        <v>0</v>
      </c>
      <c r="J575" t="n">
        <v>0</v>
      </c>
      <c r="K575" t="n">
        <v>0</v>
      </c>
      <c r="L575" t="n">
        <v>0</v>
      </c>
      <c r="M575" t="n">
        <v>0</v>
      </c>
      <c r="N575" t="n">
        <v>0</v>
      </c>
      <c r="O575" t="n">
        <v>0</v>
      </c>
      <c r="P575" t="n">
        <v>0</v>
      </c>
      <c r="Q575" t="n">
        <v>0</v>
      </c>
      <c r="R575" s="2" t="inlineStr"/>
    </row>
    <row r="576" ht="15" customHeight="1">
      <c r="A576" t="inlineStr">
        <is>
          <t>A 54430-2024</t>
        </is>
      </c>
      <c r="B576" s="1" t="n">
        <v>45617.49107638889</v>
      </c>
      <c r="C576" s="1" t="n">
        <v>45995</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54920-2025</t>
        </is>
      </c>
      <c r="B577" s="1" t="n">
        <v>45967.38887731481</v>
      </c>
      <c r="C577" s="1" t="n">
        <v>45995</v>
      </c>
      <c r="D577" t="inlineStr">
        <is>
          <t>VÄSTERBOTTENS LÄN</t>
        </is>
      </c>
      <c r="E577" t="inlineStr">
        <is>
          <t>VILHELMINA</t>
        </is>
      </c>
      <c r="G577" t="n">
        <v>28.1</v>
      </c>
      <c r="H577" t="n">
        <v>0</v>
      </c>
      <c r="I577" t="n">
        <v>0</v>
      </c>
      <c r="J577" t="n">
        <v>0</v>
      </c>
      <c r="K577" t="n">
        <v>0</v>
      </c>
      <c r="L577" t="n">
        <v>0</v>
      </c>
      <c r="M577" t="n">
        <v>0</v>
      </c>
      <c r="N577" t="n">
        <v>0</v>
      </c>
      <c r="O577" t="n">
        <v>0</v>
      </c>
      <c r="P577" t="n">
        <v>0</v>
      </c>
      <c r="Q577" t="n">
        <v>0</v>
      </c>
      <c r="R577" s="2" t="inlineStr"/>
    </row>
    <row r="578" ht="15" customHeight="1">
      <c r="A578" t="inlineStr">
        <is>
          <t>A 54955-2025</t>
        </is>
      </c>
      <c r="B578" s="1" t="n">
        <v>45967</v>
      </c>
      <c r="C578" s="1" t="n">
        <v>45995</v>
      </c>
      <c r="D578" t="inlineStr">
        <is>
          <t>VÄSTERBOTTENS LÄN</t>
        </is>
      </c>
      <c r="E578" t="inlineStr">
        <is>
          <t>VILHELMINA</t>
        </is>
      </c>
      <c r="G578" t="n">
        <v>15.6</v>
      </c>
      <c r="H578" t="n">
        <v>0</v>
      </c>
      <c r="I578" t="n">
        <v>0</v>
      </c>
      <c r="J578" t="n">
        <v>0</v>
      </c>
      <c r="K578" t="n">
        <v>0</v>
      </c>
      <c r="L578" t="n">
        <v>0</v>
      </c>
      <c r="M578" t="n">
        <v>0</v>
      </c>
      <c r="N578" t="n">
        <v>0</v>
      </c>
      <c r="O578" t="n">
        <v>0</v>
      </c>
      <c r="P578" t="n">
        <v>0</v>
      </c>
      <c r="Q578" t="n">
        <v>0</v>
      </c>
      <c r="R578" s="2" t="inlineStr"/>
    </row>
    <row r="579" ht="15" customHeight="1">
      <c r="A579" t="inlineStr">
        <is>
          <t>A 17307-2025</t>
        </is>
      </c>
      <c r="B579" s="1" t="n">
        <v>45756</v>
      </c>
      <c r="C579" s="1" t="n">
        <v>45995</v>
      </c>
      <c r="D579" t="inlineStr">
        <is>
          <t>VÄSTERBOTTENS LÄN</t>
        </is>
      </c>
      <c r="E579" t="inlineStr">
        <is>
          <t>VILHELMINA</t>
        </is>
      </c>
      <c r="G579" t="n">
        <v>11.2</v>
      </c>
      <c r="H579" t="n">
        <v>0</v>
      </c>
      <c r="I579" t="n">
        <v>0</v>
      </c>
      <c r="J579" t="n">
        <v>0</v>
      </c>
      <c r="K579" t="n">
        <v>0</v>
      </c>
      <c r="L579" t="n">
        <v>0</v>
      </c>
      <c r="M579" t="n">
        <v>0</v>
      </c>
      <c r="N579" t="n">
        <v>0</v>
      </c>
      <c r="O579" t="n">
        <v>0</v>
      </c>
      <c r="P579" t="n">
        <v>0</v>
      </c>
      <c r="Q579" t="n">
        <v>0</v>
      </c>
      <c r="R579" s="2" t="inlineStr"/>
    </row>
    <row r="580" ht="15" customHeight="1">
      <c r="A580" t="inlineStr">
        <is>
          <t>A 58749-2023</t>
        </is>
      </c>
      <c r="B580" s="1" t="n">
        <v>45251.92947916667</v>
      </c>
      <c r="C580" s="1" t="n">
        <v>45995</v>
      </c>
      <c r="D580" t="inlineStr">
        <is>
          <t>VÄSTERBOTTENS LÄN</t>
        </is>
      </c>
      <c r="E580" t="inlineStr">
        <is>
          <t>VILHELMINA</t>
        </is>
      </c>
      <c r="G580" t="n">
        <v>2.8</v>
      </c>
      <c r="H580" t="n">
        <v>0</v>
      </c>
      <c r="I580" t="n">
        <v>0</v>
      </c>
      <c r="J580" t="n">
        <v>0</v>
      </c>
      <c r="K580" t="n">
        <v>0</v>
      </c>
      <c r="L580" t="n">
        <v>0</v>
      </c>
      <c r="M580" t="n">
        <v>0</v>
      </c>
      <c r="N580" t="n">
        <v>0</v>
      </c>
      <c r="O580" t="n">
        <v>0</v>
      </c>
      <c r="P580" t="n">
        <v>0</v>
      </c>
      <c r="Q580" t="n">
        <v>0</v>
      </c>
      <c r="R580" s="2" t="inlineStr"/>
    </row>
    <row r="581" ht="15" customHeight="1">
      <c r="A581" t="inlineStr">
        <is>
          <t>A 40726-2024</t>
        </is>
      </c>
      <c r="B581" s="1" t="n">
        <v>45558</v>
      </c>
      <c r="C581" s="1" t="n">
        <v>45995</v>
      </c>
      <c r="D581" t="inlineStr">
        <is>
          <t>VÄSTERBOTTENS LÄN</t>
        </is>
      </c>
      <c r="E581" t="inlineStr">
        <is>
          <t>VILHELMINA</t>
        </is>
      </c>
      <c r="F581" t="inlineStr">
        <is>
          <t>Allmännings- och besparingsskogar</t>
        </is>
      </c>
      <c r="G581" t="n">
        <v>73.59999999999999</v>
      </c>
      <c r="H581" t="n">
        <v>0</v>
      </c>
      <c r="I581" t="n">
        <v>0</v>
      </c>
      <c r="J581" t="n">
        <v>0</v>
      </c>
      <c r="K581" t="n">
        <v>0</v>
      </c>
      <c r="L581" t="n">
        <v>0</v>
      </c>
      <c r="M581" t="n">
        <v>0</v>
      </c>
      <c r="N581" t="n">
        <v>0</v>
      </c>
      <c r="O581" t="n">
        <v>0</v>
      </c>
      <c r="P581" t="n">
        <v>0</v>
      </c>
      <c r="Q581" t="n">
        <v>0</v>
      </c>
      <c r="R581" s="2" t="inlineStr"/>
    </row>
    <row r="582" ht="15" customHeight="1">
      <c r="A582" t="inlineStr">
        <is>
          <t>A 38361-2023</t>
        </is>
      </c>
      <c r="B582" s="1" t="n">
        <v>45161.94315972222</v>
      </c>
      <c r="C582" s="1" t="n">
        <v>45995</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58824-2024</t>
        </is>
      </c>
      <c r="B583" s="1" t="n">
        <v>45636.36488425926</v>
      </c>
      <c r="C583" s="1" t="n">
        <v>45995</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60377-2024</t>
        </is>
      </c>
      <c r="B584" s="1" t="n">
        <v>45643</v>
      </c>
      <c r="C584" s="1" t="n">
        <v>45995</v>
      </c>
      <c r="D584" t="inlineStr">
        <is>
          <t>VÄSTERBOTTENS LÄN</t>
        </is>
      </c>
      <c r="E584" t="inlineStr">
        <is>
          <t>VILHELMINA</t>
        </is>
      </c>
      <c r="F584" t="inlineStr">
        <is>
          <t>SCA</t>
        </is>
      </c>
      <c r="G584" t="n">
        <v>16.2</v>
      </c>
      <c r="H584" t="n">
        <v>0</v>
      </c>
      <c r="I584" t="n">
        <v>0</v>
      </c>
      <c r="J584" t="n">
        <v>0</v>
      </c>
      <c r="K584" t="n">
        <v>0</v>
      </c>
      <c r="L584" t="n">
        <v>0</v>
      </c>
      <c r="M584" t="n">
        <v>0</v>
      </c>
      <c r="N584" t="n">
        <v>0</v>
      </c>
      <c r="O584" t="n">
        <v>0</v>
      </c>
      <c r="P584" t="n">
        <v>0</v>
      </c>
      <c r="Q584" t="n">
        <v>0</v>
      </c>
      <c r="R584" s="2" t="inlineStr"/>
    </row>
    <row r="585" ht="15" customHeight="1">
      <c r="A585" t="inlineStr">
        <is>
          <t>A 55092-2025</t>
        </is>
      </c>
      <c r="B585" s="1" t="n">
        <v>45968.34462962963</v>
      </c>
      <c r="C585" s="1" t="n">
        <v>45995</v>
      </c>
      <c r="D585" t="inlineStr">
        <is>
          <t>VÄSTERBOTTENS LÄN</t>
        </is>
      </c>
      <c r="E585" t="inlineStr">
        <is>
          <t>VILHELMINA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61953-2024</t>
        </is>
      </c>
      <c r="B586" s="1" t="n">
        <v>45653.5150462963</v>
      </c>
      <c r="C586" s="1" t="n">
        <v>45995</v>
      </c>
      <c r="D586" t="inlineStr">
        <is>
          <t>VÄSTERBOTTENS LÄN</t>
        </is>
      </c>
      <c r="E586" t="inlineStr">
        <is>
          <t>VILHELMINA</t>
        </is>
      </c>
      <c r="F586" t="inlineStr">
        <is>
          <t>Kommuner</t>
        </is>
      </c>
      <c r="G586" t="n">
        <v>10.2</v>
      </c>
      <c r="H586" t="n">
        <v>0</v>
      </c>
      <c r="I586" t="n">
        <v>0</v>
      </c>
      <c r="J586" t="n">
        <v>0</v>
      </c>
      <c r="K586" t="n">
        <v>0</v>
      </c>
      <c r="L586" t="n">
        <v>0</v>
      </c>
      <c r="M586" t="n">
        <v>0</v>
      </c>
      <c r="N586" t="n">
        <v>0</v>
      </c>
      <c r="O586" t="n">
        <v>0</v>
      </c>
      <c r="P586" t="n">
        <v>0</v>
      </c>
      <c r="Q586" t="n">
        <v>0</v>
      </c>
      <c r="R586" s="2" t="inlineStr"/>
    </row>
    <row r="587" ht="15" customHeight="1">
      <c r="A587" t="inlineStr">
        <is>
          <t>A 62100-2024</t>
        </is>
      </c>
      <c r="B587" s="1" t="n">
        <v>45656</v>
      </c>
      <c r="C587" s="1" t="n">
        <v>45995</v>
      </c>
      <c r="D587" t="inlineStr">
        <is>
          <t>VÄSTERBOTTENS LÄN</t>
        </is>
      </c>
      <c r="E587" t="inlineStr">
        <is>
          <t>VILHELMINA</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62405-2022</t>
        </is>
      </c>
      <c r="B588" s="1" t="n">
        <v>44923</v>
      </c>
      <c r="C588" s="1" t="n">
        <v>45995</v>
      </c>
      <c r="D588" t="inlineStr">
        <is>
          <t>VÄSTERBOTTENS LÄN</t>
        </is>
      </c>
      <c r="E588" t="inlineStr">
        <is>
          <t>VILHELMINA</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55456-2025</t>
        </is>
      </c>
      <c r="B589" s="1" t="n">
        <v>45971.51086805556</v>
      </c>
      <c r="C589" s="1" t="n">
        <v>45995</v>
      </c>
      <c r="D589" t="inlineStr">
        <is>
          <t>VÄSTERBOTTENS LÄN</t>
        </is>
      </c>
      <c r="E589" t="inlineStr">
        <is>
          <t>VILHELMINA</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49886-2024</t>
        </is>
      </c>
      <c r="B590" s="1" t="n">
        <v>45597</v>
      </c>
      <c r="C590" s="1" t="n">
        <v>45995</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15062-2024</t>
        </is>
      </c>
      <c r="B591" s="1" t="n">
        <v>45399</v>
      </c>
      <c r="C591" s="1" t="n">
        <v>45995</v>
      </c>
      <c r="D591" t="inlineStr">
        <is>
          <t>VÄSTERBOTTENS LÄN</t>
        </is>
      </c>
      <c r="E591" t="inlineStr">
        <is>
          <t>VILHELMINA</t>
        </is>
      </c>
      <c r="G591" t="n">
        <v>1.7</v>
      </c>
      <c r="H591" t="n">
        <v>0</v>
      </c>
      <c r="I591" t="n">
        <v>0</v>
      </c>
      <c r="J591" t="n">
        <v>0</v>
      </c>
      <c r="K591" t="n">
        <v>0</v>
      </c>
      <c r="L591" t="n">
        <v>0</v>
      </c>
      <c r="M591" t="n">
        <v>0</v>
      </c>
      <c r="N591" t="n">
        <v>0</v>
      </c>
      <c r="O591" t="n">
        <v>0</v>
      </c>
      <c r="P591" t="n">
        <v>0</v>
      </c>
      <c r="Q591" t="n">
        <v>0</v>
      </c>
      <c r="R591" s="2" t="inlineStr"/>
    </row>
    <row r="592" ht="15" customHeight="1">
      <c r="A592" t="inlineStr">
        <is>
          <t>A 15066-2024</t>
        </is>
      </c>
      <c r="B592" s="1" t="n">
        <v>45399</v>
      </c>
      <c r="C592" s="1" t="n">
        <v>45995</v>
      </c>
      <c r="D592" t="inlineStr">
        <is>
          <t>VÄSTERBOTTENS LÄN</t>
        </is>
      </c>
      <c r="E592" t="inlineStr">
        <is>
          <t>VILHELMINA</t>
        </is>
      </c>
      <c r="G592" t="n">
        <v>4.6</v>
      </c>
      <c r="H592" t="n">
        <v>0</v>
      </c>
      <c r="I592" t="n">
        <v>0</v>
      </c>
      <c r="J592" t="n">
        <v>0</v>
      </c>
      <c r="K592" t="n">
        <v>0</v>
      </c>
      <c r="L592" t="n">
        <v>0</v>
      </c>
      <c r="M592" t="n">
        <v>0</v>
      </c>
      <c r="N592" t="n">
        <v>0</v>
      </c>
      <c r="O592" t="n">
        <v>0</v>
      </c>
      <c r="P592" t="n">
        <v>0</v>
      </c>
      <c r="Q592" t="n">
        <v>0</v>
      </c>
      <c r="R592" s="2" t="inlineStr"/>
    </row>
    <row r="593" ht="15" customHeight="1">
      <c r="A593" t="inlineStr">
        <is>
          <t>A 35006-2023</t>
        </is>
      </c>
      <c r="B593" s="1" t="n">
        <v>45142.95103009259</v>
      </c>
      <c r="C593" s="1" t="n">
        <v>45995</v>
      </c>
      <c r="D593" t="inlineStr">
        <is>
          <t>VÄSTERBOTTENS LÄN</t>
        </is>
      </c>
      <c r="E593" t="inlineStr">
        <is>
          <t>VILHELMINA</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51134-2024</t>
        </is>
      </c>
      <c r="B594" s="1" t="n">
        <v>45603</v>
      </c>
      <c r="C594" s="1" t="n">
        <v>45995</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252-2025</t>
        </is>
      </c>
      <c r="B595" s="1" t="n">
        <v>45660.42734953704</v>
      </c>
      <c r="C595" s="1" t="n">
        <v>45995</v>
      </c>
      <c r="D595" t="inlineStr">
        <is>
          <t>VÄSTERBOTTENS LÄN</t>
        </is>
      </c>
      <c r="E595" t="inlineStr">
        <is>
          <t>VILHELMINA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8229-2022</t>
        </is>
      </c>
      <c r="B596" s="1" t="n">
        <v>44609</v>
      </c>
      <c r="C596" s="1" t="n">
        <v>45995</v>
      </c>
      <c r="D596" t="inlineStr">
        <is>
          <t>VÄSTERBOTTENS LÄN</t>
        </is>
      </c>
      <c r="E596" t="inlineStr">
        <is>
          <t>VILHELMINA</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5435-2024</t>
        </is>
      </c>
      <c r="B597" s="1" t="n">
        <v>45331</v>
      </c>
      <c r="C597" s="1" t="n">
        <v>45995</v>
      </c>
      <c r="D597" t="inlineStr">
        <is>
          <t>VÄSTERBOTTENS LÄN</t>
        </is>
      </c>
      <c r="E597" t="inlineStr">
        <is>
          <t>VILHELMINA</t>
        </is>
      </c>
      <c r="G597" t="n">
        <v>6</v>
      </c>
      <c r="H597" t="n">
        <v>0</v>
      </c>
      <c r="I597" t="n">
        <v>0</v>
      </c>
      <c r="J597" t="n">
        <v>0</v>
      </c>
      <c r="K597" t="n">
        <v>0</v>
      </c>
      <c r="L597" t="n">
        <v>0</v>
      </c>
      <c r="M597" t="n">
        <v>0</v>
      </c>
      <c r="N597" t="n">
        <v>0</v>
      </c>
      <c r="O597" t="n">
        <v>0</v>
      </c>
      <c r="P597" t="n">
        <v>0</v>
      </c>
      <c r="Q597" t="n">
        <v>0</v>
      </c>
      <c r="R597" s="2" t="inlineStr"/>
    </row>
    <row r="598" ht="15" customHeight="1">
      <c r="A598" t="inlineStr">
        <is>
          <t>A 31496-2023</t>
        </is>
      </c>
      <c r="B598" s="1" t="n">
        <v>45114.94138888889</v>
      </c>
      <c r="C598" s="1" t="n">
        <v>45995</v>
      </c>
      <c r="D598" t="inlineStr">
        <is>
          <t>VÄSTERBOTTENS LÄN</t>
        </is>
      </c>
      <c r="E598" t="inlineStr">
        <is>
          <t>VILHELMINA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55634-2025</t>
        </is>
      </c>
      <c r="B599" s="1" t="n">
        <v>45972.34466435185</v>
      </c>
      <c r="C599" s="1" t="n">
        <v>45995</v>
      </c>
      <c r="D599" t="inlineStr">
        <is>
          <t>VÄSTERBOTTENS LÄN</t>
        </is>
      </c>
      <c r="E599" t="inlineStr">
        <is>
          <t>VILHELMINA</t>
        </is>
      </c>
      <c r="F599" t="inlineStr">
        <is>
          <t>SCA</t>
        </is>
      </c>
      <c r="G599" t="n">
        <v>7.2</v>
      </c>
      <c r="H599" t="n">
        <v>0</v>
      </c>
      <c r="I599" t="n">
        <v>0</v>
      </c>
      <c r="J599" t="n">
        <v>0</v>
      </c>
      <c r="K599" t="n">
        <v>0</v>
      </c>
      <c r="L599" t="n">
        <v>0</v>
      </c>
      <c r="M599" t="n">
        <v>0</v>
      </c>
      <c r="N599" t="n">
        <v>0</v>
      </c>
      <c r="O599" t="n">
        <v>0</v>
      </c>
      <c r="P599" t="n">
        <v>0</v>
      </c>
      <c r="Q599" t="n">
        <v>0</v>
      </c>
      <c r="R599" s="2" t="inlineStr"/>
    </row>
    <row r="600" ht="15" customHeight="1">
      <c r="A600" t="inlineStr">
        <is>
          <t>A 47035-2025</t>
        </is>
      </c>
      <c r="B600" s="1" t="n">
        <v>45929.59428240741</v>
      </c>
      <c r="C600" s="1" t="n">
        <v>45995</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15786-2025</t>
        </is>
      </c>
      <c r="B601" s="1" t="n">
        <v>45748.62240740741</v>
      </c>
      <c r="C601" s="1" t="n">
        <v>45995</v>
      </c>
      <c r="D601" t="inlineStr">
        <is>
          <t>VÄSTERBOTTENS LÄN</t>
        </is>
      </c>
      <c r="E601" t="inlineStr">
        <is>
          <t>VILHELMINA</t>
        </is>
      </c>
      <c r="G601" t="n">
        <v>1.1</v>
      </c>
      <c r="H601" t="n">
        <v>0</v>
      </c>
      <c r="I601" t="n">
        <v>0</v>
      </c>
      <c r="J601" t="n">
        <v>0</v>
      </c>
      <c r="K601" t="n">
        <v>0</v>
      </c>
      <c r="L601" t="n">
        <v>0</v>
      </c>
      <c r="M601" t="n">
        <v>0</v>
      </c>
      <c r="N601" t="n">
        <v>0</v>
      </c>
      <c r="O601" t="n">
        <v>0</v>
      </c>
      <c r="P601" t="n">
        <v>0</v>
      </c>
      <c r="Q601" t="n">
        <v>0</v>
      </c>
      <c r="R601" s="2" t="inlineStr"/>
    </row>
    <row r="602" ht="15" customHeight="1">
      <c r="A602" t="inlineStr">
        <is>
          <t>A 46970-2025</t>
        </is>
      </c>
      <c r="B602" s="1" t="n">
        <v>45929.50732638889</v>
      </c>
      <c r="C602" s="1" t="n">
        <v>45995</v>
      </c>
      <c r="D602" t="inlineStr">
        <is>
          <t>VÄSTERBOTTENS LÄN</t>
        </is>
      </c>
      <c r="E602" t="inlineStr">
        <is>
          <t>VILHELMINA</t>
        </is>
      </c>
      <c r="G602" t="n">
        <v>6.4</v>
      </c>
      <c r="H602" t="n">
        <v>0</v>
      </c>
      <c r="I602" t="n">
        <v>0</v>
      </c>
      <c r="J602" t="n">
        <v>0</v>
      </c>
      <c r="K602" t="n">
        <v>0</v>
      </c>
      <c r="L602" t="n">
        <v>0</v>
      </c>
      <c r="M602" t="n">
        <v>0</v>
      </c>
      <c r="N602" t="n">
        <v>0</v>
      </c>
      <c r="O602" t="n">
        <v>0</v>
      </c>
      <c r="P602" t="n">
        <v>0</v>
      </c>
      <c r="Q602" t="n">
        <v>0</v>
      </c>
      <c r="R602" s="2" t="inlineStr"/>
    </row>
    <row r="603" ht="15" customHeight="1">
      <c r="A603" t="inlineStr">
        <is>
          <t>A 45593-2024</t>
        </is>
      </c>
      <c r="B603" s="1" t="n">
        <v>45579</v>
      </c>
      <c r="C603" s="1" t="n">
        <v>45995</v>
      </c>
      <c r="D603" t="inlineStr">
        <is>
          <t>VÄSTERBOTTENS LÄN</t>
        </is>
      </c>
      <c r="E603" t="inlineStr">
        <is>
          <t>VILHELMINA</t>
        </is>
      </c>
      <c r="G603" t="n">
        <v>0.9</v>
      </c>
      <c r="H603" t="n">
        <v>0</v>
      </c>
      <c r="I603" t="n">
        <v>0</v>
      </c>
      <c r="J603" t="n">
        <v>0</v>
      </c>
      <c r="K603" t="n">
        <v>0</v>
      </c>
      <c r="L603" t="n">
        <v>0</v>
      </c>
      <c r="M603" t="n">
        <v>0</v>
      </c>
      <c r="N603" t="n">
        <v>0</v>
      </c>
      <c r="O603" t="n">
        <v>0</v>
      </c>
      <c r="P603" t="n">
        <v>0</v>
      </c>
      <c r="Q603" t="n">
        <v>0</v>
      </c>
      <c r="R603" s="2" t="inlineStr"/>
    </row>
    <row r="604" ht="15" customHeight="1">
      <c r="A604" t="inlineStr">
        <is>
          <t>A 49221-2024</t>
        </is>
      </c>
      <c r="B604" s="1" t="n">
        <v>45595.41166666667</v>
      </c>
      <c r="C604" s="1" t="n">
        <v>45995</v>
      </c>
      <c r="D604" t="inlineStr">
        <is>
          <t>VÄSTERBOTTENS LÄN</t>
        </is>
      </c>
      <c r="E604" t="inlineStr">
        <is>
          <t>VILHELMINA</t>
        </is>
      </c>
      <c r="G604" t="n">
        <v>11.4</v>
      </c>
      <c r="H604" t="n">
        <v>0</v>
      </c>
      <c r="I604" t="n">
        <v>0</v>
      </c>
      <c r="J604" t="n">
        <v>0</v>
      </c>
      <c r="K604" t="n">
        <v>0</v>
      </c>
      <c r="L604" t="n">
        <v>0</v>
      </c>
      <c r="M604" t="n">
        <v>0</v>
      </c>
      <c r="N604" t="n">
        <v>0</v>
      </c>
      <c r="O604" t="n">
        <v>0</v>
      </c>
      <c r="P604" t="n">
        <v>0</v>
      </c>
      <c r="Q604" t="n">
        <v>0</v>
      </c>
      <c r="R604" s="2" t="inlineStr"/>
    </row>
    <row r="605" ht="15" customHeight="1">
      <c r="A605" t="inlineStr">
        <is>
          <t>A 49246-2024</t>
        </is>
      </c>
      <c r="B605" s="1" t="n">
        <v>45595.4618287037</v>
      </c>
      <c r="C605" s="1" t="n">
        <v>45995</v>
      </c>
      <c r="D605" t="inlineStr">
        <is>
          <t>VÄSTERBOTTENS LÄN</t>
        </is>
      </c>
      <c r="E605" t="inlineStr">
        <is>
          <t>VILHELMINA</t>
        </is>
      </c>
      <c r="G605" t="n">
        <v>0.9</v>
      </c>
      <c r="H605" t="n">
        <v>0</v>
      </c>
      <c r="I605" t="n">
        <v>0</v>
      </c>
      <c r="J605" t="n">
        <v>0</v>
      </c>
      <c r="K605" t="n">
        <v>0</v>
      </c>
      <c r="L605" t="n">
        <v>0</v>
      </c>
      <c r="M605" t="n">
        <v>0</v>
      </c>
      <c r="N605" t="n">
        <v>0</v>
      </c>
      <c r="O605" t="n">
        <v>0</v>
      </c>
      <c r="P605" t="n">
        <v>0</v>
      </c>
      <c r="Q605" t="n">
        <v>0</v>
      </c>
      <c r="R605" s="2" t="inlineStr"/>
    </row>
    <row r="606" ht="15" customHeight="1">
      <c r="A606" t="inlineStr">
        <is>
          <t>A 46934-2025</t>
        </is>
      </c>
      <c r="B606" s="1" t="n">
        <v>45929</v>
      </c>
      <c r="C606" s="1" t="n">
        <v>45995</v>
      </c>
      <c r="D606" t="inlineStr">
        <is>
          <t>VÄSTERBOTTENS LÄN</t>
        </is>
      </c>
      <c r="E606" t="inlineStr">
        <is>
          <t>VILHELMINA</t>
        </is>
      </c>
      <c r="F606" t="inlineStr">
        <is>
          <t>SCA</t>
        </is>
      </c>
      <c r="G606" t="n">
        <v>20</v>
      </c>
      <c r="H606" t="n">
        <v>0</v>
      </c>
      <c r="I606" t="n">
        <v>0</v>
      </c>
      <c r="J606" t="n">
        <v>0</v>
      </c>
      <c r="K606" t="n">
        <v>0</v>
      </c>
      <c r="L606" t="n">
        <v>0</v>
      </c>
      <c r="M606" t="n">
        <v>0</v>
      </c>
      <c r="N606" t="n">
        <v>0</v>
      </c>
      <c r="O606" t="n">
        <v>0</v>
      </c>
      <c r="P606" t="n">
        <v>0</v>
      </c>
      <c r="Q606" t="n">
        <v>0</v>
      </c>
      <c r="R606" s="2" t="inlineStr"/>
    </row>
    <row r="607" ht="15" customHeight="1">
      <c r="A607" t="inlineStr">
        <is>
          <t>A 2008-2025</t>
        </is>
      </c>
      <c r="B607" s="1" t="n">
        <v>45672.45302083333</v>
      </c>
      <c r="C607" s="1" t="n">
        <v>45995</v>
      </c>
      <c r="D607" t="inlineStr">
        <is>
          <t>VÄSTERBOTTENS LÄN</t>
        </is>
      </c>
      <c r="E607" t="inlineStr">
        <is>
          <t>VILHELMINA</t>
        </is>
      </c>
      <c r="G607" t="n">
        <v>0.7</v>
      </c>
      <c r="H607" t="n">
        <v>0</v>
      </c>
      <c r="I607" t="n">
        <v>0</v>
      </c>
      <c r="J607" t="n">
        <v>0</v>
      </c>
      <c r="K607" t="n">
        <v>0</v>
      </c>
      <c r="L607" t="n">
        <v>0</v>
      </c>
      <c r="M607" t="n">
        <v>0</v>
      </c>
      <c r="N607" t="n">
        <v>0</v>
      </c>
      <c r="O607" t="n">
        <v>0</v>
      </c>
      <c r="P607" t="n">
        <v>0</v>
      </c>
      <c r="Q607" t="n">
        <v>0</v>
      </c>
      <c r="R607" s="2" t="inlineStr"/>
    </row>
    <row r="608" ht="15" customHeight="1">
      <c r="A608" t="inlineStr">
        <is>
          <t>A 52815-2025</t>
        </is>
      </c>
      <c r="B608" s="1" t="n">
        <v>45957</v>
      </c>
      <c r="C608" s="1" t="n">
        <v>45995</v>
      </c>
      <c r="D608" t="inlineStr">
        <is>
          <t>VÄSTERBOTTENS LÄN</t>
        </is>
      </c>
      <c r="E608" t="inlineStr">
        <is>
          <t>VILHELMINA</t>
        </is>
      </c>
      <c r="G608" t="n">
        <v>2.3</v>
      </c>
      <c r="H608" t="n">
        <v>0</v>
      </c>
      <c r="I608" t="n">
        <v>0</v>
      </c>
      <c r="J608" t="n">
        <v>0</v>
      </c>
      <c r="K608" t="n">
        <v>0</v>
      </c>
      <c r="L608" t="n">
        <v>0</v>
      </c>
      <c r="M608" t="n">
        <v>0</v>
      </c>
      <c r="N608" t="n">
        <v>0</v>
      </c>
      <c r="O608" t="n">
        <v>0</v>
      </c>
      <c r="P608" t="n">
        <v>0</v>
      </c>
      <c r="Q608" t="n">
        <v>0</v>
      </c>
      <c r="R608" s="2" t="inlineStr"/>
    </row>
    <row r="609" ht="15" customHeight="1">
      <c r="A609" t="inlineStr">
        <is>
          <t>A 52816-2025</t>
        </is>
      </c>
      <c r="B609" s="1" t="n">
        <v>45957</v>
      </c>
      <c r="C609" s="1" t="n">
        <v>45995</v>
      </c>
      <c r="D609" t="inlineStr">
        <is>
          <t>VÄSTERBOTTENS LÄN</t>
        </is>
      </c>
      <c r="E609" t="inlineStr">
        <is>
          <t>VILHELMINA</t>
        </is>
      </c>
      <c r="G609" t="n">
        <v>4.9</v>
      </c>
      <c r="H609" t="n">
        <v>0</v>
      </c>
      <c r="I609" t="n">
        <v>0</v>
      </c>
      <c r="J609" t="n">
        <v>0</v>
      </c>
      <c r="K609" t="n">
        <v>0</v>
      </c>
      <c r="L609" t="n">
        <v>0</v>
      </c>
      <c r="M609" t="n">
        <v>0</v>
      </c>
      <c r="N609" t="n">
        <v>0</v>
      </c>
      <c r="O609" t="n">
        <v>0</v>
      </c>
      <c r="P609" t="n">
        <v>0</v>
      </c>
      <c r="Q609" t="n">
        <v>0</v>
      </c>
      <c r="R609" s="2" t="inlineStr"/>
    </row>
    <row r="610" ht="15" customHeight="1">
      <c r="A610" t="inlineStr">
        <is>
          <t>A 52827-2025</t>
        </is>
      </c>
      <c r="B610" s="1" t="n">
        <v>45957</v>
      </c>
      <c r="C610" s="1" t="n">
        <v>45995</v>
      </c>
      <c r="D610" t="inlineStr">
        <is>
          <t>VÄSTERBOTTENS LÄN</t>
        </is>
      </c>
      <c r="E610" t="inlineStr">
        <is>
          <t>VILHELMINA</t>
        </is>
      </c>
      <c r="G610" t="n">
        <v>6.3</v>
      </c>
      <c r="H610" t="n">
        <v>0</v>
      </c>
      <c r="I610" t="n">
        <v>0</v>
      </c>
      <c r="J610" t="n">
        <v>0</v>
      </c>
      <c r="K610" t="n">
        <v>0</v>
      </c>
      <c r="L610" t="n">
        <v>0</v>
      </c>
      <c r="M610" t="n">
        <v>0</v>
      </c>
      <c r="N610" t="n">
        <v>0</v>
      </c>
      <c r="O610" t="n">
        <v>0</v>
      </c>
      <c r="P610" t="n">
        <v>0</v>
      </c>
      <c r="Q610" t="n">
        <v>0</v>
      </c>
      <c r="R610" s="2" t="inlineStr"/>
    </row>
    <row r="611" ht="15" customHeight="1">
      <c r="A611" t="inlineStr">
        <is>
          <t>A 52830-2025</t>
        </is>
      </c>
      <c r="B611" s="1" t="n">
        <v>45957</v>
      </c>
      <c r="C611" s="1" t="n">
        <v>45995</v>
      </c>
      <c r="D611" t="inlineStr">
        <is>
          <t>VÄSTERBOTTENS LÄN</t>
        </is>
      </c>
      <c r="E611" t="inlineStr">
        <is>
          <t>VILHELMINA</t>
        </is>
      </c>
      <c r="G611" t="n">
        <v>8.6</v>
      </c>
      <c r="H611" t="n">
        <v>0</v>
      </c>
      <c r="I611" t="n">
        <v>0</v>
      </c>
      <c r="J611" t="n">
        <v>0</v>
      </c>
      <c r="K611" t="n">
        <v>0</v>
      </c>
      <c r="L611" t="n">
        <v>0</v>
      </c>
      <c r="M611" t="n">
        <v>0</v>
      </c>
      <c r="N611" t="n">
        <v>0</v>
      </c>
      <c r="O611" t="n">
        <v>0</v>
      </c>
      <c r="P611" t="n">
        <v>0</v>
      </c>
      <c r="Q611" t="n">
        <v>0</v>
      </c>
      <c r="R611" s="2" t="inlineStr"/>
    </row>
    <row r="612" ht="15" customHeight="1">
      <c r="A612" t="inlineStr">
        <is>
          <t>A 40505-2024</t>
        </is>
      </c>
      <c r="B612" s="1" t="n">
        <v>45555.57373842593</v>
      </c>
      <c r="C612" s="1" t="n">
        <v>45995</v>
      </c>
      <c r="D612" t="inlineStr">
        <is>
          <t>VÄSTERBOTTENS LÄN</t>
        </is>
      </c>
      <c r="E612" t="inlineStr">
        <is>
          <t>VILHELMINA</t>
        </is>
      </c>
      <c r="G612" t="n">
        <v>0.3</v>
      </c>
      <c r="H612" t="n">
        <v>0</v>
      </c>
      <c r="I612" t="n">
        <v>0</v>
      </c>
      <c r="J612" t="n">
        <v>0</v>
      </c>
      <c r="K612" t="n">
        <v>0</v>
      </c>
      <c r="L612" t="n">
        <v>0</v>
      </c>
      <c r="M612" t="n">
        <v>0</v>
      </c>
      <c r="N612" t="n">
        <v>0</v>
      </c>
      <c r="O612" t="n">
        <v>0</v>
      </c>
      <c r="P612" t="n">
        <v>0</v>
      </c>
      <c r="Q612" t="n">
        <v>0</v>
      </c>
      <c r="R612" s="2" t="inlineStr"/>
    </row>
    <row r="613" ht="15" customHeight="1">
      <c r="A613" t="inlineStr">
        <is>
          <t>A 18398-2025</t>
        </is>
      </c>
      <c r="B613" s="1" t="n">
        <v>45762.59491898148</v>
      </c>
      <c r="C613" s="1" t="n">
        <v>45995</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65133-2021</t>
        </is>
      </c>
      <c r="B614" s="1" t="n">
        <v>44515</v>
      </c>
      <c r="C614" s="1" t="n">
        <v>45995</v>
      </c>
      <c r="D614" t="inlineStr">
        <is>
          <t>VÄSTERBOTTENS LÄN</t>
        </is>
      </c>
      <c r="E614" t="inlineStr">
        <is>
          <t>VILHELMINA</t>
        </is>
      </c>
      <c r="G614" t="n">
        <v>16.4</v>
      </c>
      <c r="H614" t="n">
        <v>0</v>
      </c>
      <c r="I614" t="n">
        <v>0</v>
      </c>
      <c r="J614" t="n">
        <v>0</v>
      </c>
      <c r="K614" t="n">
        <v>0</v>
      </c>
      <c r="L614" t="n">
        <v>0</v>
      </c>
      <c r="M614" t="n">
        <v>0</v>
      </c>
      <c r="N614" t="n">
        <v>0</v>
      </c>
      <c r="O614" t="n">
        <v>0</v>
      </c>
      <c r="P614" t="n">
        <v>0</v>
      </c>
      <c r="Q614" t="n">
        <v>0</v>
      </c>
      <c r="R614" s="2" t="inlineStr"/>
    </row>
    <row r="615" ht="15" customHeight="1">
      <c r="A615" t="inlineStr">
        <is>
          <t>A 55742-2025</t>
        </is>
      </c>
      <c r="B615" s="1" t="n">
        <v>45972</v>
      </c>
      <c r="C615" s="1" t="n">
        <v>45995</v>
      </c>
      <c r="D615" t="inlineStr">
        <is>
          <t>VÄSTERBOTTENS LÄN</t>
        </is>
      </c>
      <c r="E615" t="inlineStr">
        <is>
          <t>VILHELMINA</t>
        </is>
      </c>
      <c r="G615" t="n">
        <v>36.2</v>
      </c>
      <c r="H615" t="n">
        <v>0</v>
      </c>
      <c r="I615" t="n">
        <v>0</v>
      </c>
      <c r="J615" t="n">
        <v>0</v>
      </c>
      <c r="K615" t="n">
        <v>0</v>
      </c>
      <c r="L615" t="n">
        <v>0</v>
      </c>
      <c r="M615" t="n">
        <v>0</v>
      </c>
      <c r="N615" t="n">
        <v>0</v>
      </c>
      <c r="O615" t="n">
        <v>0</v>
      </c>
      <c r="P615" t="n">
        <v>0</v>
      </c>
      <c r="Q615" t="n">
        <v>0</v>
      </c>
      <c r="R615" s="2" t="inlineStr"/>
    </row>
    <row r="616" ht="15" customHeight="1">
      <c r="A616" t="inlineStr">
        <is>
          <t>A 20846-2025</t>
        </is>
      </c>
      <c r="B616" s="1" t="n">
        <v>45777</v>
      </c>
      <c r="C616" s="1" t="n">
        <v>45995</v>
      </c>
      <c r="D616" t="inlineStr">
        <is>
          <t>VÄSTERBOTTENS LÄN</t>
        </is>
      </c>
      <c r="E616" t="inlineStr">
        <is>
          <t>VILHELMINA</t>
        </is>
      </c>
      <c r="G616" t="n">
        <v>19.1</v>
      </c>
      <c r="H616" t="n">
        <v>0</v>
      </c>
      <c r="I616" t="n">
        <v>0</v>
      </c>
      <c r="J616" t="n">
        <v>0</v>
      </c>
      <c r="K616" t="n">
        <v>0</v>
      </c>
      <c r="L616" t="n">
        <v>0</v>
      </c>
      <c r="M616" t="n">
        <v>0</v>
      </c>
      <c r="N616" t="n">
        <v>0</v>
      </c>
      <c r="O616" t="n">
        <v>0</v>
      </c>
      <c r="P616" t="n">
        <v>0</v>
      </c>
      <c r="Q616" t="n">
        <v>0</v>
      </c>
      <c r="R616" s="2" t="inlineStr"/>
    </row>
    <row r="617" ht="15" customHeight="1">
      <c r="A617" t="inlineStr">
        <is>
          <t>A 38364-2023</t>
        </is>
      </c>
      <c r="B617" s="1" t="n">
        <v>45161</v>
      </c>
      <c r="C617" s="1" t="n">
        <v>45995</v>
      </c>
      <c r="D617" t="inlineStr">
        <is>
          <t>VÄSTERBOTTENS LÄN</t>
        </is>
      </c>
      <c r="E617" t="inlineStr">
        <is>
          <t>VILHELMINA</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55736-2025</t>
        </is>
      </c>
      <c r="B618" s="1" t="n">
        <v>45972</v>
      </c>
      <c r="C618" s="1" t="n">
        <v>45995</v>
      </c>
      <c r="D618" t="inlineStr">
        <is>
          <t>VÄSTERBOTTENS LÄN</t>
        </is>
      </c>
      <c r="E618" t="inlineStr">
        <is>
          <t>VILHELMINA</t>
        </is>
      </c>
      <c r="G618" t="n">
        <v>22.9</v>
      </c>
      <c r="H618" t="n">
        <v>0</v>
      </c>
      <c r="I618" t="n">
        <v>0</v>
      </c>
      <c r="J618" t="n">
        <v>0</v>
      </c>
      <c r="K618" t="n">
        <v>0</v>
      </c>
      <c r="L618" t="n">
        <v>0</v>
      </c>
      <c r="M618" t="n">
        <v>0</v>
      </c>
      <c r="N618" t="n">
        <v>0</v>
      </c>
      <c r="O618" t="n">
        <v>0</v>
      </c>
      <c r="P618" t="n">
        <v>0</v>
      </c>
      <c r="Q618" t="n">
        <v>0</v>
      </c>
      <c r="R618" s="2" t="inlineStr"/>
    </row>
    <row r="619" ht="15" customHeight="1">
      <c r="A619" t="inlineStr">
        <is>
          <t>A 52812-2025</t>
        </is>
      </c>
      <c r="B619" s="1" t="n">
        <v>45957</v>
      </c>
      <c r="C619" s="1" t="n">
        <v>45995</v>
      </c>
      <c r="D619" t="inlineStr">
        <is>
          <t>VÄSTERBOTTENS LÄN</t>
        </is>
      </c>
      <c r="E619" t="inlineStr">
        <is>
          <t>VILHELMINA</t>
        </is>
      </c>
      <c r="G619" t="n">
        <v>2.5</v>
      </c>
      <c r="H619" t="n">
        <v>0</v>
      </c>
      <c r="I619" t="n">
        <v>0</v>
      </c>
      <c r="J619" t="n">
        <v>0</v>
      </c>
      <c r="K619" t="n">
        <v>0</v>
      </c>
      <c r="L619" t="n">
        <v>0</v>
      </c>
      <c r="M619" t="n">
        <v>0</v>
      </c>
      <c r="N619" t="n">
        <v>0</v>
      </c>
      <c r="O619" t="n">
        <v>0</v>
      </c>
      <c r="P619" t="n">
        <v>0</v>
      </c>
      <c r="Q619" t="n">
        <v>0</v>
      </c>
      <c r="R619" s="2" t="inlineStr"/>
    </row>
    <row r="620" ht="15" customHeight="1">
      <c r="A620" t="inlineStr">
        <is>
          <t>A 52818-2025</t>
        </is>
      </c>
      <c r="B620" s="1" t="n">
        <v>45957</v>
      </c>
      <c r="C620" s="1" t="n">
        <v>45995</v>
      </c>
      <c r="D620" t="inlineStr">
        <is>
          <t>VÄSTERBOTTENS LÄN</t>
        </is>
      </c>
      <c r="E620" t="inlineStr">
        <is>
          <t>VILHELMINA</t>
        </is>
      </c>
      <c r="G620" t="n">
        <v>2.2</v>
      </c>
      <c r="H620" t="n">
        <v>0</v>
      </c>
      <c r="I620" t="n">
        <v>0</v>
      </c>
      <c r="J620" t="n">
        <v>0</v>
      </c>
      <c r="K620" t="n">
        <v>0</v>
      </c>
      <c r="L620" t="n">
        <v>0</v>
      </c>
      <c r="M620" t="n">
        <v>0</v>
      </c>
      <c r="N620" t="n">
        <v>0</v>
      </c>
      <c r="O620" t="n">
        <v>0</v>
      </c>
      <c r="P620" t="n">
        <v>0</v>
      </c>
      <c r="Q620" t="n">
        <v>0</v>
      </c>
      <c r="R620" s="2" t="inlineStr"/>
    </row>
    <row r="621" ht="15" customHeight="1">
      <c r="A621" t="inlineStr">
        <is>
          <t>A 52819-2025</t>
        </is>
      </c>
      <c r="B621" s="1" t="n">
        <v>45957</v>
      </c>
      <c r="C621" s="1" t="n">
        <v>45995</v>
      </c>
      <c r="D621" t="inlineStr">
        <is>
          <t>VÄSTERBOTTENS LÄN</t>
        </is>
      </c>
      <c r="E621" t="inlineStr">
        <is>
          <t>VILHELMINA</t>
        </is>
      </c>
      <c r="G621" t="n">
        <v>1.8</v>
      </c>
      <c r="H621" t="n">
        <v>0</v>
      </c>
      <c r="I621" t="n">
        <v>0</v>
      </c>
      <c r="J621" t="n">
        <v>0</v>
      </c>
      <c r="K621" t="n">
        <v>0</v>
      </c>
      <c r="L621" t="n">
        <v>0</v>
      </c>
      <c r="M621" t="n">
        <v>0</v>
      </c>
      <c r="N621" t="n">
        <v>0</v>
      </c>
      <c r="O621" t="n">
        <v>0</v>
      </c>
      <c r="P621" t="n">
        <v>0</v>
      </c>
      <c r="Q621" t="n">
        <v>0</v>
      </c>
      <c r="R621" s="2" t="inlineStr"/>
    </row>
    <row r="622" ht="15" customHeight="1">
      <c r="A622" t="inlineStr">
        <is>
          <t>A 52828-2025</t>
        </is>
      </c>
      <c r="B622" s="1" t="n">
        <v>45957</v>
      </c>
      <c r="C622" s="1" t="n">
        <v>45995</v>
      </c>
      <c r="D622" t="inlineStr">
        <is>
          <t>VÄSTERBOTTENS LÄN</t>
        </is>
      </c>
      <c r="E622" t="inlineStr">
        <is>
          <t>VILHELMINA</t>
        </is>
      </c>
      <c r="G622" t="n">
        <v>1.2</v>
      </c>
      <c r="H622" t="n">
        <v>0</v>
      </c>
      <c r="I622" t="n">
        <v>0</v>
      </c>
      <c r="J622" t="n">
        <v>0</v>
      </c>
      <c r="K622" t="n">
        <v>0</v>
      </c>
      <c r="L622" t="n">
        <v>0</v>
      </c>
      <c r="M622" t="n">
        <v>0</v>
      </c>
      <c r="N622" t="n">
        <v>0</v>
      </c>
      <c r="O622" t="n">
        <v>0</v>
      </c>
      <c r="P622" t="n">
        <v>0</v>
      </c>
      <c r="Q622" t="n">
        <v>0</v>
      </c>
      <c r="R622" s="2" t="inlineStr"/>
    </row>
    <row r="623" ht="15" customHeight="1">
      <c r="A623" t="inlineStr">
        <is>
          <t>A 52813-2025</t>
        </is>
      </c>
      <c r="B623" s="1" t="n">
        <v>45957</v>
      </c>
      <c r="C623" s="1" t="n">
        <v>45995</v>
      </c>
      <c r="D623" t="inlineStr">
        <is>
          <t>VÄSTERBOTTENS LÄN</t>
        </is>
      </c>
      <c r="E623" t="inlineStr">
        <is>
          <t>VILHELMINA</t>
        </is>
      </c>
      <c r="G623" t="n">
        <v>3.1</v>
      </c>
      <c r="H623" t="n">
        <v>0</v>
      </c>
      <c r="I623" t="n">
        <v>0</v>
      </c>
      <c r="J623" t="n">
        <v>0</v>
      </c>
      <c r="K623" t="n">
        <v>0</v>
      </c>
      <c r="L623" t="n">
        <v>0</v>
      </c>
      <c r="M623" t="n">
        <v>0</v>
      </c>
      <c r="N623" t="n">
        <v>0</v>
      </c>
      <c r="O623" t="n">
        <v>0</v>
      </c>
      <c r="P623" t="n">
        <v>0</v>
      </c>
      <c r="Q623" t="n">
        <v>0</v>
      </c>
      <c r="R623" s="2" t="inlineStr"/>
    </row>
    <row r="624" ht="15" customHeight="1">
      <c r="A624" t="inlineStr">
        <is>
          <t>A 52814-2025</t>
        </is>
      </c>
      <c r="B624" s="1" t="n">
        <v>45957</v>
      </c>
      <c r="C624" s="1" t="n">
        <v>45995</v>
      </c>
      <c r="D624" t="inlineStr">
        <is>
          <t>VÄSTERBOTTENS LÄN</t>
        </is>
      </c>
      <c r="E624" t="inlineStr">
        <is>
          <t>VILHELMINA</t>
        </is>
      </c>
      <c r="G624" t="n">
        <v>4.1</v>
      </c>
      <c r="H624" t="n">
        <v>0</v>
      </c>
      <c r="I624" t="n">
        <v>0</v>
      </c>
      <c r="J624" t="n">
        <v>0</v>
      </c>
      <c r="K624" t="n">
        <v>0</v>
      </c>
      <c r="L624" t="n">
        <v>0</v>
      </c>
      <c r="M624" t="n">
        <v>0</v>
      </c>
      <c r="N624" t="n">
        <v>0</v>
      </c>
      <c r="O624" t="n">
        <v>0</v>
      </c>
      <c r="P624" t="n">
        <v>0</v>
      </c>
      <c r="Q624" t="n">
        <v>0</v>
      </c>
      <c r="R624" s="2" t="inlineStr"/>
    </row>
    <row r="625" ht="15" customHeight="1">
      <c r="A625" t="inlineStr">
        <is>
          <t>A 22440-2025</t>
        </is>
      </c>
      <c r="B625" s="1" t="n">
        <v>45786</v>
      </c>
      <c r="C625" s="1" t="n">
        <v>45995</v>
      </c>
      <c r="D625" t="inlineStr">
        <is>
          <t>VÄSTERBOTTENS LÄN</t>
        </is>
      </c>
      <c r="E625" t="inlineStr">
        <is>
          <t>VILHELMINA</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58934-2024</t>
        </is>
      </c>
      <c r="B626" s="1" t="n">
        <v>45636</v>
      </c>
      <c r="C626" s="1" t="n">
        <v>45995</v>
      </c>
      <c r="D626" t="inlineStr">
        <is>
          <t>VÄSTERBOTTENS LÄN</t>
        </is>
      </c>
      <c r="E626" t="inlineStr">
        <is>
          <t>VILHELMINA</t>
        </is>
      </c>
      <c r="F626" t="inlineStr">
        <is>
          <t>Allmännings- och besparingsskogar</t>
        </is>
      </c>
      <c r="G626" t="n">
        <v>45.6</v>
      </c>
      <c r="H626" t="n">
        <v>0</v>
      </c>
      <c r="I626" t="n">
        <v>0</v>
      </c>
      <c r="J626" t="n">
        <v>0</v>
      </c>
      <c r="K626" t="n">
        <v>0</v>
      </c>
      <c r="L626" t="n">
        <v>0</v>
      </c>
      <c r="M626" t="n">
        <v>0</v>
      </c>
      <c r="N626" t="n">
        <v>0</v>
      </c>
      <c r="O626" t="n">
        <v>0</v>
      </c>
      <c r="P626" t="n">
        <v>0</v>
      </c>
      <c r="Q626" t="n">
        <v>0</v>
      </c>
      <c r="R626" s="2" t="inlineStr"/>
    </row>
    <row r="627" ht="15" customHeight="1">
      <c r="A627" t="inlineStr">
        <is>
          <t>A 16721-2025</t>
        </is>
      </c>
      <c r="B627" s="1" t="n">
        <v>45754.49045138889</v>
      </c>
      <c r="C627" s="1" t="n">
        <v>45995</v>
      </c>
      <c r="D627" t="inlineStr">
        <is>
          <t>VÄSTERBOTTENS LÄN</t>
        </is>
      </c>
      <c r="E627" t="inlineStr">
        <is>
          <t>VILHELMINA</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60376-2024</t>
        </is>
      </c>
      <c r="B628" s="1" t="n">
        <v>45643</v>
      </c>
      <c r="C628" s="1" t="n">
        <v>45995</v>
      </c>
      <c r="D628" t="inlineStr">
        <is>
          <t>VÄSTERBOTTENS LÄN</t>
        </is>
      </c>
      <c r="E628" t="inlineStr">
        <is>
          <t>VILHELMINA</t>
        </is>
      </c>
      <c r="F628" t="inlineStr">
        <is>
          <t>SCA</t>
        </is>
      </c>
      <c r="G628" t="n">
        <v>11.5</v>
      </c>
      <c r="H628" t="n">
        <v>0</v>
      </c>
      <c r="I628" t="n">
        <v>0</v>
      </c>
      <c r="J628" t="n">
        <v>0</v>
      </c>
      <c r="K628" t="n">
        <v>0</v>
      </c>
      <c r="L628" t="n">
        <v>0</v>
      </c>
      <c r="M628" t="n">
        <v>0</v>
      </c>
      <c r="N628" t="n">
        <v>0</v>
      </c>
      <c r="O628" t="n">
        <v>0</v>
      </c>
      <c r="P628" t="n">
        <v>0</v>
      </c>
      <c r="Q628" t="n">
        <v>0</v>
      </c>
      <c r="R628" s="2" t="inlineStr"/>
    </row>
    <row r="629" ht="15" customHeight="1">
      <c r="A629" t="inlineStr">
        <is>
          <t>A 19465-2025</t>
        </is>
      </c>
      <c r="B629" s="1" t="n">
        <v>45770</v>
      </c>
      <c r="C629" s="1" t="n">
        <v>45995</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32925-2024</t>
        </is>
      </c>
      <c r="B630" s="1" t="n">
        <v>45516.95302083333</v>
      </c>
      <c r="C630" s="1" t="n">
        <v>45995</v>
      </c>
      <c r="D630" t="inlineStr">
        <is>
          <t>VÄSTERBOTTENS LÄN</t>
        </is>
      </c>
      <c r="E630" t="inlineStr">
        <is>
          <t>VILHELMINA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32926-2024</t>
        </is>
      </c>
      <c r="B631" s="1" t="n">
        <v>45516.95311342592</v>
      </c>
      <c r="C631" s="1" t="n">
        <v>45995</v>
      </c>
      <c r="D631" t="inlineStr">
        <is>
          <t>VÄSTERBOTTENS LÄN</t>
        </is>
      </c>
      <c r="E631" t="inlineStr">
        <is>
          <t>VILHELMINA</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44505-2024</t>
        </is>
      </c>
      <c r="B632" s="1" t="n">
        <v>45574.40974537037</v>
      </c>
      <c r="C632" s="1" t="n">
        <v>45995</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55714-2023</t>
        </is>
      </c>
      <c r="B633" s="1" t="n">
        <v>45232</v>
      </c>
      <c r="C633" s="1" t="n">
        <v>45995</v>
      </c>
      <c r="D633" t="inlineStr">
        <is>
          <t>VÄSTERBOTTENS LÄN</t>
        </is>
      </c>
      <c r="E633" t="inlineStr">
        <is>
          <t>VILHELMINA</t>
        </is>
      </c>
      <c r="G633" t="n">
        <v>1.8</v>
      </c>
      <c r="H633" t="n">
        <v>0</v>
      </c>
      <c r="I633" t="n">
        <v>0</v>
      </c>
      <c r="J633" t="n">
        <v>0</v>
      </c>
      <c r="K633" t="n">
        <v>0</v>
      </c>
      <c r="L633" t="n">
        <v>0</v>
      </c>
      <c r="M633" t="n">
        <v>0</v>
      </c>
      <c r="N633" t="n">
        <v>0</v>
      </c>
      <c r="O633" t="n">
        <v>0</v>
      </c>
      <c r="P633" t="n">
        <v>0</v>
      </c>
      <c r="Q633" t="n">
        <v>0</v>
      </c>
      <c r="R633" s="2" t="inlineStr"/>
    </row>
    <row r="634" ht="15" customHeight="1">
      <c r="A634" t="inlineStr">
        <is>
          <t>A 52749-2023</t>
        </is>
      </c>
      <c r="B634" s="1" t="n">
        <v>45225.9678587963</v>
      </c>
      <c r="C634" s="1" t="n">
        <v>45995</v>
      </c>
      <c r="D634" t="inlineStr">
        <is>
          <t>VÄSTERBOTTENS LÄN</t>
        </is>
      </c>
      <c r="E634" t="inlineStr">
        <is>
          <t>VILHELMINA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45673-2023</t>
        </is>
      </c>
      <c r="B635" s="1" t="n">
        <v>45194</v>
      </c>
      <c r="C635" s="1" t="n">
        <v>45995</v>
      </c>
      <c r="D635" t="inlineStr">
        <is>
          <t>VÄSTERBOTTENS LÄN</t>
        </is>
      </c>
      <c r="E635" t="inlineStr">
        <is>
          <t>VILHELMINA</t>
        </is>
      </c>
      <c r="G635" t="n">
        <v>13.4</v>
      </c>
      <c r="H635" t="n">
        <v>0</v>
      </c>
      <c r="I635" t="n">
        <v>0</v>
      </c>
      <c r="J635" t="n">
        <v>0</v>
      </c>
      <c r="K635" t="n">
        <v>0</v>
      </c>
      <c r="L635" t="n">
        <v>0</v>
      </c>
      <c r="M635" t="n">
        <v>0</v>
      </c>
      <c r="N635" t="n">
        <v>0</v>
      </c>
      <c r="O635" t="n">
        <v>0</v>
      </c>
      <c r="P635" t="n">
        <v>0</v>
      </c>
      <c r="Q635" t="n">
        <v>0</v>
      </c>
      <c r="R635" s="2" t="inlineStr"/>
    </row>
    <row r="636" ht="15" customHeight="1">
      <c r="A636" t="inlineStr">
        <is>
          <t>A 30583-2024</t>
        </is>
      </c>
      <c r="B636" s="1" t="n">
        <v>45492.96108796296</v>
      </c>
      <c r="C636" s="1" t="n">
        <v>45995</v>
      </c>
      <c r="D636" t="inlineStr">
        <is>
          <t>VÄSTERBOTTENS LÄN</t>
        </is>
      </c>
      <c r="E636" t="inlineStr">
        <is>
          <t>VILHELMINA</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21035-2025</t>
        </is>
      </c>
      <c r="B637" s="1" t="n">
        <v>45777.53157407408</v>
      </c>
      <c r="C637" s="1" t="n">
        <v>45995</v>
      </c>
      <c r="D637" t="inlineStr">
        <is>
          <t>VÄSTERBOTTENS LÄN</t>
        </is>
      </c>
      <c r="E637" t="inlineStr">
        <is>
          <t>VILHELMINA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52829-2025</t>
        </is>
      </c>
      <c r="B638" s="1" t="n">
        <v>45957</v>
      </c>
      <c r="C638" s="1" t="n">
        <v>45995</v>
      </c>
      <c r="D638" t="inlineStr">
        <is>
          <t>VÄSTERBOTTENS LÄN</t>
        </is>
      </c>
      <c r="E638" t="inlineStr">
        <is>
          <t>VILHELMINA</t>
        </is>
      </c>
      <c r="G638" t="n">
        <v>4.3</v>
      </c>
      <c r="H638" t="n">
        <v>0</v>
      </c>
      <c r="I638" t="n">
        <v>0</v>
      </c>
      <c r="J638" t="n">
        <v>0</v>
      </c>
      <c r="K638" t="n">
        <v>0</v>
      </c>
      <c r="L638" t="n">
        <v>0</v>
      </c>
      <c r="M638" t="n">
        <v>0</v>
      </c>
      <c r="N638" t="n">
        <v>0</v>
      </c>
      <c r="O638" t="n">
        <v>0</v>
      </c>
      <c r="P638" t="n">
        <v>0</v>
      </c>
      <c r="Q638" t="n">
        <v>0</v>
      </c>
      <c r="R638" s="2" t="inlineStr"/>
    </row>
    <row r="639" ht="15" customHeight="1">
      <c r="A639" t="inlineStr">
        <is>
          <t>A 21069-2025</t>
        </is>
      </c>
      <c r="B639" s="1" t="n">
        <v>45777.59427083333</v>
      </c>
      <c r="C639" s="1" t="n">
        <v>45995</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51947-2025</t>
        </is>
      </c>
      <c r="B640" s="1" t="n">
        <v>45952</v>
      </c>
      <c r="C640" s="1" t="n">
        <v>45995</v>
      </c>
      <c r="D640" t="inlineStr">
        <is>
          <t>VÄSTERBOTTENS LÄN</t>
        </is>
      </c>
      <c r="E640" t="inlineStr">
        <is>
          <t>VILHELMINA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22457-2025</t>
        </is>
      </c>
      <c r="B641" s="1" t="n">
        <v>45786</v>
      </c>
      <c r="C641" s="1" t="n">
        <v>45995</v>
      </c>
      <c r="D641" t="inlineStr">
        <is>
          <t>VÄSTERBOTTENS LÄN</t>
        </is>
      </c>
      <c r="E641" t="inlineStr">
        <is>
          <t>VILHELMINA</t>
        </is>
      </c>
      <c r="G641" t="n">
        <v>10.8</v>
      </c>
      <c r="H641" t="n">
        <v>0</v>
      </c>
      <c r="I641" t="n">
        <v>0</v>
      </c>
      <c r="J641" t="n">
        <v>0</v>
      </c>
      <c r="K641" t="n">
        <v>0</v>
      </c>
      <c r="L641" t="n">
        <v>0</v>
      </c>
      <c r="M641" t="n">
        <v>0</v>
      </c>
      <c r="N641" t="n">
        <v>0</v>
      </c>
      <c r="O641" t="n">
        <v>0</v>
      </c>
      <c r="P641" t="n">
        <v>0</v>
      </c>
      <c r="Q641" t="n">
        <v>0</v>
      </c>
      <c r="R641" s="2" t="inlineStr"/>
    </row>
    <row r="642" ht="15" customHeight="1">
      <c r="A642" t="inlineStr">
        <is>
          <t>A 21410-2025</t>
        </is>
      </c>
      <c r="B642" s="1" t="n">
        <v>45782</v>
      </c>
      <c r="C642" s="1" t="n">
        <v>45995</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8578-2025</t>
        </is>
      </c>
      <c r="B643" s="1" t="n">
        <v>45709</v>
      </c>
      <c r="C643" s="1" t="n">
        <v>45995</v>
      </c>
      <c r="D643" t="inlineStr">
        <is>
          <t>VÄSTERBOTTENS LÄN</t>
        </is>
      </c>
      <c r="E643" t="inlineStr">
        <is>
          <t>VILHELMINA</t>
        </is>
      </c>
      <c r="G643" t="n">
        <v>3.5</v>
      </c>
      <c r="H643" t="n">
        <v>0</v>
      </c>
      <c r="I643" t="n">
        <v>0</v>
      </c>
      <c r="J643" t="n">
        <v>0</v>
      </c>
      <c r="K643" t="n">
        <v>0</v>
      </c>
      <c r="L643" t="n">
        <v>0</v>
      </c>
      <c r="M643" t="n">
        <v>0</v>
      </c>
      <c r="N643" t="n">
        <v>0</v>
      </c>
      <c r="O643" t="n">
        <v>0</v>
      </c>
      <c r="P643" t="n">
        <v>0</v>
      </c>
      <c r="Q643" t="n">
        <v>0</v>
      </c>
      <c r="R643" s="2" t="inlineStr"/>
    </row>
    <row r="644" ht="15" customHeight="1">
      <c r="A644" t="inlineStr">
        <is>
          <t>A 3745-2023</t>
        </is>
      </c>
      <c r="B644" s="1" t="n">
        <v>44949</v>
      </c>
      <c r="C644" s="1" t="n">
        <v>45995</v>
      </c>
      <c r="D644" t="inlineStr">
        <is>
          <t>VÄSTERBOTTENS LÄN</t>
        </is>
      </c>
      <c r="E644" t="inlineStr">
        <is>
          <t>VILHELMINA</t>
        </is>
      </c>
      <c r="G644" t="n">
        <v>36.6</v>
      </c>
      <c r="H644" t="n">
        <v>0</v>
      </c>
      <c r="I644" t="n">
        <v>0</v>
      </c>
      <c r="J644" t="n">
        <v>0</v>
      </c>
      <c r="K644" t="n">
        <v>0</v>
      </c>
      <c r="L644" t="n">
        <v>0</v>
      </c>
      <c r="M644" t="n">
        <v>0</v>
      </c>
      <c r="N644" t="n">
        <v>0</v>
      </c>
      <c r="O644" t="n">
        <v>0</v>
      </c>
      <c r="P644" t="n">
        <v>0</v>
      </c>
      <c r="Q644" t="n">
        <v>0</v>
      </c>
      <c r="R644" s="2" t="inlineStr"/>
    </row>
    <row r="645" ht="15" customHeight="1">
      <c r="A645" t="inlineStr">
        <is>
          <t>A 21205-2025</t>
        </is>
      </c>
      <c r="B645" s="1" t="n">
        <v>45779</v>
      </c>
      <c r="C645" s="1" t="n">
        <v>45995</v>
      </c>
      <c r="D645" t="inlineStr">
        <is>
          <t>VÄSTERBOTTENS LÄN</t>
        </is>
      </c>
      <c r="E645" t="inlineStr">
        <is>
          <t>VILHELMINA</t>
        </is>
      </c>
      <c r="F645" t="inlineStr">
        <is>
          <t>Allmännings- och besparingsskogar</t>
        </is>
      </c>
      <c r="G645" t="n">
        <v>6.2</v>
      </c>
      <c r="H645" t="n">
        <v>0</v>
      </c>
      <c r="I645" t="n">
        <v>0</v>
      </c>
      <c r="J645" t="n">
        <v>0</v>
      </c>
      <c r="K645" t="n">
        <v>0</v>
      </c>
      <c r="L645" t="n">
        <v>0</v>
      </c>
      <c r="M645" t="n">
        <v>0</v>
      </c>
      <c r="N645" t="n">
        <v>0</v>
      </c>
      <c r="O645" t="n">
        <v>0</v>
      </c>
      <c r="P645" t="n">
        <v>0</v>
      </c>
      <c r="Q645" t="n">
        <v>0</v>
      </c>
      <c r="R645" s="2" t="inlineStr"/>
    </row>
    <row r="646" ht="15" customHeight="1">
      <c r="A646" t="inlineStr">
        <is>
          <t>A 21448-2025</t>
        </is>
      </c>
      <c r="B646" s="1" t="n">
        <v>45782.55241898148</v>
      </c>
      <c r="C646" s="1" t="n">
        <v>45995</v>
      </c>
      <c r="D646" t="inlineStr">
        <is>
          <t>VÄSTERBOTTENS LÄN</t>
        </is>
      </c>
      <c r="E646" t="inlineStr">
        <is>
          <t>VILHELMINA</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46392-2024</t>
        </is>
      </c>
      <c r="B647" s="1" t="n">
        <v>45582</v>
      </c>
      <c r="C647" s="1" t="n">
        <v>45995</v>
      </c>
      <c r="D647" t="inlineStr">
        <is>
          <t>VÄSTERBOTTENS LÄN</t>
        </is>
      </c>
      <c r="E647" t="inlineStr">
        <is>
          <t>VILHELMINA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37346-2024</t>
        </is>
      </c>
      <c r="B648" s="1" t="n">
        <v>45540</v>
      </c>
      <c r="C648" s="1" t="n">
        <v>45995</v>
      </c>
      <c r="D648" t="inlineStr">
        <is>
          <t>VÄSTERBOTTENS LÄN</t>
        </is>
      </c>
      <c r="E648" t="inlineStr">
        <is>
          <t>VILHELMINA</t>
        </is>
      </c>
      <c r="G648" t="n">
        <v>96.3</v>
      </c>
      <c r="H648" t="n">
        <v>0</v>
      </c>
      <c r="I648" t="n">
        <v>0</v>
      </c>
      <c r="J648" t="n">
        <v>0</v>
      </c>
      <c r="K648" t="n">
        <v>0</v>
      </c>
      <c r="L648" t="n">
        <v>0</v>
      </c>
      <c r="M648" t="n">
        <v>0</v>
      </c>
      <c r="N648" t="n">
        <v>0</v>
      </c>
      <c r="O648" t="n">
        <v>0</v>
      </c>
      <c r="P648" t="n">
        <v>0</v>
      </c>
      <c r="Q648" t="n">
        <v>0</v>
      </c>
      <c r="R648" s="2" t="inlineStr"/>
    </row>
    <row r="649" ht="15" customHeight="1">
      <c r="A649" t="inlineStr">
        <is>
          <t>A 21204-2025</t>
        </is>
      </c>
      <c r="B649" s="1" t="n">
        <v>45779</v>
      </c>
      <c r="C649" s="1" t="n">
        <v>45995</v>
      </c>
      <c r="D649" t="inlineStr">
        <is>
          <t>VÄSTERBOTTENS LÄN</t>
        </is>
      </c>
      <c r="E649" t="inlineStr">
        <is>
          <t>VILHELMINA</t>
        </is>
      </c>
      <c r="F649" t="inlineStr">
        <is>
          <t>Allmännings- och besparingsskogar</t>
        </is>
      </c>
      <c r="G649" t="n">
        <v>0.9</v>
      </c>
      <c r="H649" t="n">
        <v>0</v>
      </c>
      <c r="I649" t="n">
        <v>0</v>
      </c>
      <c r="J649" t="n">
        <v>0</v>
      </c>
      <c r="K649" t="n">
        <v>0</v>
      </c>
      <c r="L649" t="n">
        <v>0</v>
      </c>
      <c r="M649" t="n">
        <v>0</v>
      </c>
      <c r="N649" t="n">
        <v>0</v>
      </c>
      <c r="O649" t="n">
        <v>0</v>
      </c>
      <c r="P649" t="n">
        <v>0</v>
      </c>
      <c r="Q649" t="n">
        <v>0</v>
      </c>
      <c r="R649" s="2" t="inlineStr"/>
    </row>
    <row r="650" ht="15" customHeight="1">
      <c r="A650" t="inlineStr">
        <is>
          <t>A 21924-2025</t>
        </is>
      </c>
      <c r="B650" s="1" t="n">
        <v>45784</v>
      </c>
      <c r="C650" s="1" t="n">
        <v>45995</v>
      </c>
      <c r="D650" t="inlineStr">
        <is>
          <t>VÄSTERBOTTENS LÄN</t>
        </is>
      </c>
      <c r="E650" t="inlineStr">
        <is>
          <t>VILHELMINA</t>
        </is>
      </c>
      <c r="G650" t="n">
        <v>10.2</v>
      </c>
      <c r="H650" t="n">
        <v>0</v>
      </c>
      <c r="I650" t="n">
        <v>0</v>
      </c>
      <c r="J650" t="n">
        <v>0</v>
      </c>
      <c r="K650" t="n">
        <v>0</v>
      </c>
      <c r="L650" t="n">
        <v>0</v>
      </c>
      <c r="M650" t="n">
        <v>0</v>
      </c>
      <c r="N650" t="n">
        <v>0</v>
      </c>
      <c r="O650" t="n">
        <v>0</v>
      </c>
      <c r="P650" t="n">
        <v>0</v>
      </c>
      <c r="Q650" t="n">
        <v>0</v>
      </c>
      <c r="R650" s="2" t="inlineStr"/>
    </row>
    <row r="651" ht="15" customHeight="1">
      <c r="A651" t="inlineStr">
        <is>
          <t>A 48651-2025</t>
        </is>
      </c>
      <c r="B651" s="1" t="n">
        <v>45936.55251157407</v>
      </c>
      <c r="C651" s="1" t="n">
        <v>45995</v>
      </c>
      <c r="D651" t="inlineStr">
        <is>
          <t>VÄSTERBOTTENS LÄN</t>
        </is>
      </c>
      <c r="E651" t="inlineStr">
        <is>
          <t>VILHELMINA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50482-2023</t>
        </is>
      </c>
      <c r="B652" s="1" t="n">
        <v>45216</v>
      </c>
      <c r="C652" s="1" t="n">
        <v>45995</v>
      </c>
      <c r="D652" t="inlineStr">
        <is>
          <t>VÄSTERBOTTENS LÄN</t>
        </is>
      </c>
      <c r="E652" t="inlineStr">
        <is>
          <t>VILHELMINA</t>
        </is>
      </c>
      <c r="G652" t="n">
        <v>3.5</v>
      </c>
      <c r="H652" t="n">
        <v>0</v>
      </c>
      <c r="I652" t="n">
        <v>0</v>
      </c>
      <c r="J652" t="n">
        <v>0</v>
      </c>
      <c r="K652" t="n">
        <v>0</v>
      </c>
      <c r="L652" t="n">
        <v>0</v>
      </c>
      <c r="M652" t="n">
        <v>0</v>
      </c>
      <c r="N652" t="n">
        <v>0</v>
      </c>
      <c r="O652" t="n">
        <v>0</v>
      </c>
      <c r="P652" t="n">
        <v>0</v>
      </c>
      <c r="Q652" t="n">
        <v>0</v>
      </c>
      <c r="R652" s="2" t="inlineStr"/>
    </row>
    <row r="653" ht="15" customHeight="1">
      <c r="A653" t="inlineStr">
        <is>
          <t>A 21999-2025</t>
        </is>
      </c>
      <c r="B653" s="1" t="n">
        <v>45784</v>
      </c>
      <c r="C653" s="1" t="n">
        <v>45995</v>
      </c>
      <c r="D653" t="inlineStr">
        <is>
          <t>VÄSTERBOTTENS LÄN</t>
        </is>
      </c>
      <c r="E653" t="inlineStr">
        <is>
          <t>VILHELMINA</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21950-2025</t>
        </is>
      </c>
      <c r="B654" s="1" t="n">
        <v>45784.59418981482</v>
      </c>
      <c r="C654" s="1" t="n">
        <v>45995</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21623-2025</t>
        </is>
      </c>
      <c r="B655" s="1" t="n">
        <v>45783</v>
      </c>
      <c r="C655" s="1" t="n">
        <v>45995</v>
      </c>
      <c r="D655" t="inlineStr">
        <is>
          <t>VÄSTERBOTTENS LÄN</t>
        </is>
      </c>
      <c r="E655" t="inlineStr">
        <is>
          <t>VILHELMINA</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21670-2025</t>
        </is>
      </c>
      <c r="B656" s="1" t="n">
        <v>45783.46917824074</v>
      </c>
      <c r="C656" s="1" t="n">
        <v>45995</v>
      </c>
      <c r="D656" t="inlineStr">
        <is>
          <t>VÄSTERBOTTENS LÄN</t>
        </is>
      </c>
      <c r="E656" t="inlineStr">
        <is>
          <t>VILHELMINA</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21972-2025</t>
        </is>
      </c>
      <c r="B657" s="1" t="n">
        <v>45784.63592592593</v>
      </c>
      <c r="C657" s="1" t="n">
        <v>45995</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12990-2025</t>
        </is>
      </c>
      <c r="B658" s="1" t="n">
        <v>45734</v>
      </c>
      <c r="C658" s="1" t="n">
        <v>45995</v>
      </c>
      <c r="D658" t="inlineStr">
        <is>
          <t>VÄSTERBOTTENS LÄN</t>
        </is>
      </c>
      <c r="E658" t="inlineStr">
        <is>
          <t>VILHELMINA</t>
        </is>
      </c>
      <c r="G658" t="n">
        <v>11.2</v>
      </c>
      <c r="H658" t="n">
        <v>0</v>
      </c>
      <c r="I658" t="n">
        <v>0</v>
      </c>
      <c r="J658" t="n">
        <v>0</v>
      </c>
      <c r="K658" t="n">
        <v>0</v>
      </c>
      <c r="L658" t="n">
        <v>0</v>
      </c>
      <c r="M658" t="n">
        <v>0</v>
      </c>
      <c r="N658" t="n">
        <v>0</v>
      </c>
      <c r="O658" t="n">
        <v>0</v>
      </c>
      <c r="P658" t="n">
        <v>0</v>
      </c>
      <c r="Q658" t="n">
        <v>0</v>
      </c>
      <c r="R658" s="2" t="inlineStr"/>
    </row>
    <row r="659" ht="15" customHeight="1">
      <c r="A659" t="inlineStr">
        <is>
          <t>A 34809-2023</t>
        </is>
      </c>
      <c r="B659" s="1" t="n">
        <v>45140</v>
      </c>
      <c r="C659" s="1" t="n">
        <v>45995</v>
      </c>
      <c r="D659" t="inlineStr">
        <is>
          <t>VÄSTERBOTTENS LÄN</t>
        </is>
      </c>
      <c r="E659" t="inlineStr">
        <is>
          <t>VILHELMINA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12118-2024</t>
        </is>
      </c>
      <c r="B660" s="1" t="n">
        <v>45376</v>
      </c>
      <c r="C660" s="1" t="n">
        <v>45995</v>
      </c>
      <c r="D660" t="inlineStr">
        <is>
          <t>VÄSTERBOTTENS LÄN</t>
        </is>
      </c>
      <c r="E660" t="inlineStr">
        <is>
          <t>VILHELMINA</t>
        </is>
      </c>
      <c r="G660" t="n">
        <v>3.6</v>
      </c>
      <c r="H660" t="n">
        <v>0</v>
      </c>
      <c r="I660" t="n">
        <v>0</v>
      </c>
      <c r="J660" t="n">
        <v>0</v>
      </c>
      <c r="K660" t="n">
        <v>0</v>
      </c>
      <c r="L660" t="n">
        <v>0</v>
      </c>
      <c r="M660" t="n">
        <v>0</v>
      </c>
      <c r="N660" t="n">
        <v>0</v>
      </c>
      <c r="O660" t="n">
        <v>0</v>
      </c>
      <c r="P660" t="n">
        <v>0</v>
      </c>
      <c r="Q660" t="n">
        <v>0</v>
      </c>
      <c r="R660" s="2" t="inlineStr"/>
    </row>
    <row r="661" ht="15" customHeight="1">
      <c r="A661" t="inlineStr">
        <is>
          <t>A 37937-2023</t>
        </is>
      </c>
      <c r="B661" s="1" t="n">
        <v>45159</v>
      </c>
      <c r="C661" s="1" t="n">
        <v>45995</v>
      </c>
      <c r="D661" t="inlineStr">
        <is>
          <t>VÄSTERBOTTENS LÄN</t>
        </is>
      </c>
      <c r="E661" t="inlineStr">
        <is>
          <t>VILHELMINA</t>
        </is>
      </c>
      <c r="G661" t="n">
        <v>2.2</v>
      </c>
      <c r="H661" t="n">
        <v>0</v>
      </c>
      <c r="I661" t="n">
        <v>0</v>
      </c>
      <c r="J661" t="n">
        <v>0</v>
      </c>
      <c r="K661" t="n">
        <v>0</v>
      </c>
      <c r="L661" t="n">
        <v>0</v>
      </c>
      <c r="M661" t="n">
        <v>0</v>
      </c>
      <c r="N661" t="n">
        <v>0</v>
      </c>
      <c r="O661" t="n">
        <v>0</v>
      </c>
      <c r="P661" t="n">
        <v>0</v>
      </c>
      <c r="Q661" t="n">
        <v>0</v>
      </c>
      <c r="R661" s="2" t="inlineStr"/>
    </row>
    <row r="662" ht="15" customHeight="1">
      <c r="A662" t="inlineStr">
        <is>
          <t>A 29722-2024</t>
        </is>
      </c>
      <c r="B662" s="1" t="n">
        <v>45485</v>
      </c>
      <c r="C662" s="1" t="n">
        <v>45995</v>
      </c>
      <c r="D662" t="inlineStr">
        <is>
          <t>VÄSTERBOTTENS LÄN</t>
        </is>
      </c>
      <c r="E662" t="inlineStr">
        <is>
          <t>VILHELMINA</t>
        </is>
      </c>
      <c r="G662" t="n">
        <v>2.5</v>
      </c>
      <c r="H662" t="n">
        <v>0</v>
      </c>
      <c r="I662" t="n">
        <v>0</v>
      </c>
      <c r="J662" t="n">
        <v>0</v>
      </c>
      <c r="K662" t="n">
        <v>0</v>
      </c>
      <c r="L662" t="n">
        <v>0</v>
      </c>
      <c r="M662" t="n">
        <v>0</v>
      </c>
      <c r="N662" t="n">
        <v>0</v>
      </c>
      <c r="O662" t="n">
        <v>0</v>
      </c>
      <c r="P662" t="n">
        <v>0</v>
      </c>
      <c r="Q662" t="n">
        <v>0</v>
      </c>
      <c r="R662" s="2" t="inlineStr"/>
    </row>
    <row r="663" ht="15" customHeight="1">
      <c r="A663" t="inlineStr">
        <is>
          <t>A 22048-2025</t>
        </is>
      </c>
      <c r="B663" s="1" t="n">
        <v>45785.3443287037</v>
      </c>
      <c r="C663" s="1" t="n">
        <v>45995</v>
      </c>
      <c r="D663" t="inlineStr">
        <is>
          <t>VÄSTERBOTTENS LÄN</t>
        </is>
      </c>
      <c r="E663" t="inlineStr">
        <is>
          <t>VILHELMINA</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19401-2023</t>
        </is>
      </c>
      <c r="B664" s="1" t="n">
        <v>45048</v>
      </c>
      <c r="C664" s="1" t="n">
        <v>45995</v>
      </c>
      <c r="D664" t="inlineStr">
        <is>
          <t>VÄSTERBOTTENS LÄN</t>
        </is>
      </c>
      <c r="E664" t="inlineStr">
        <is>
          <t>VILHELMINA</t>
        </is>
      </c>
      <c r="G664" t="n">
        <v>5.4</v>
      </c>
      <c r="H664" t="n">
        <v>0</v>
      </c>
      <c r="I664" t="n">
        <v>0</v>
      </c>
      <c r="J664" t="n">
        <v>0</v>
      </c>
      <c r="K664" t="n">
        <v>0</v>
      </c>
      <c r="L664" t="n">
        <v>0</v>
      </c>
      <c r="M664" t="n">
        <v>0</v>
      </c>
      <c r="N664" t="n">
        <v>0</v>
      </c>
      <c r="O664" t="n">
        <v>0</v>
      </c>
      <c r="P664" t="n">
        <v>0</v>
      </c>
      <c r="Q664" t="n">
        <v>0</v>
      </c>
      <c r="R664" s="2" t="inlineStr"/>
    </row>
    <row r="665" ht="15" customHeight="1">
      <c r="A665" t="inlineStr">
        <is>
          <t>A 57470-2024</t>
        </is>
      </c>
      <c r="B665" s="1" t="n">
        <v>45630</v>
      </c>
      <c r="C665" s="1" t="n">
        <v>45995</v>
      </c>
      <c r="D665" t="inlineStr">
        <is>
          <t>VÄSTERBOTTENS LÄN</t>
        </is>
      </c>
      <c r="E665" t="inlineStr">
        <is>
          <t>VILHELMINA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31095-2024</t>
        </is>
      </c>
      <c r="B666" s="1" t="n">
        <v>45502</v>
      </c>
      <c r="C666" s="1" t="n">
        <v>45995</v>
      </c>
      <c r="D666" t="inlineStr">
        <is>
          <t>VÄSTERBOTTENS LÄN</t>
        </is>
      </c>
      <c r="E666" t="inlineStr">
        <is>
          <t>VILHELMINA</t>
        </is>
      </c>
      <c r="G666" t="n">
        <v>4.7</v>
      </c>
      <c r="H666" t="n">
        <v>0</v>
      </c>
      <c r="I666" t="n">
        <v>0</v>
      </c>
      <c r="J666" t="n">
        <v>0</v>
      </c>
      <c r="K666" t="n">
        <v>0</v>
      </c>
      <c r="L666" t="n">
        <v>0</v>
      </c>
      <c r="M666" t="n">
        <v>0</v>
      </c>
      <c r="N666" t="n">
        <v>0</v>
      </c>
      <c r="O666" t="n">
        <v>0</v>
      </c>
      <c r="P666" t="n">
        <v>0</v>
      </c>
      <c r="Q666" t="n">
        <v>0</v>
      </c>
      <c r="R666" s="2" t="inlineStr"/>
    </row>
    <row r="667" ht="15" customHeight="1">
      <c r="A667" t="inlineStr">
        <is>
          <t>A 48816-2025</t>
        </is>
      </c>
      <c r="B667" s="1" t="n">
        <v>45937.36527777778</v>
      </c>
      <c r="C667" s="1" t="n">
        <v>45995</v>
      </c>
      <c r="D667" t="inlineStr">
        <is>
          <t>VÄSTERBOTTENS LÄN</t>
        </is>
      </c>
      <c r="E667" t="inlineStr">
        <is>
          <t>VILHELMINA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48904-2025</t>
        </is>
      </c>
      <c r="B668" s="1" t="n">
        <v>45937.4828125</v>
      </c>
      <c r="C668" s="1" t="n">
        <v>45995</v>
      </c>
      <c r="D668" t="inlineStr">
        <is>
          <t>VÄSTERBOTTENS LÄN</t>
        </is>
      </c>
      <c r="E668" t="inlineStr">
        <is>
          <t>VILHELMINA</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7777-2024</t>
        </is>
      </c>
      <c r="B669" s="1" t="n">
        <v>45349</v>
      </c>
      <c r="C669" s="1" t="n">
        <v>45995</v>
      </c>
      <c r="D669" t="inlineStr">
        <is>
          <t>VÄSTERBOTTENS LÄN</t>
        </is>
      </c>
      <c r="E669" t="inlineStr">
        <is>
          <t>VILHELMINA</t>
        </is>
      </c>
      <c r="G669" t="n">
        <v>7</v>
      </c>
      <c r="H669" t="n">
        <v>0</v>
      </c>
      <c r="I669" t="n">
        <v>0</v>
      </c>
      <c r="J669" t="n">
        <v>0</v>
      </c>
      <c r="K669" t="n">
        <v>0</v>
      </c>
      <c r="L669" t="n">
        <v>0</v>
      </c>
      <c r="M669" t="n">
        <v>0</v>
      </c>
      <c r="N669" t="n">
        <v>0</v>
      </c>
      <c r="O669" t="n">
        <v>0</v>
      </c>
      <c r="P669" t="n">
        <v>0</v>
      </c>
      <c r="Q669" t="n">
        <v>0</v>
      </c>
      <c r="R669" s="2" t="inlineStr"/>
    </row>
    <row r="670" ht="15" customHeight="1">
      <c r="A670" t="inlineStr">
        <is>
          <t>A 49103-2025</t>
        </is>
      </c>
      <c r="B670" s="1" t="n">
        <v>45937</v>
      </c>
      <c r="C670" s="1" t="n">
        <v>45995</v>
      </c>
      <c r="D670" t="inlineStr">
        <is>
          <t>VÄSTERBOTTENS LÄN</t>
        </is>
      </c>
      <c r="E670" t="inlineStr">
        <is>
          <t>VILHELMINA</t>
        </is>
      </c>
      <c r="G670" t="n">
        <v>2.5</v>
      </c>
      <c r="H670" t="n">
        <v>0</v>
      </c>
      <c r="I670" t="n">
        <v>0</v>
      </c>
      <c r="J670" t="n">
        <v>0</v>
      </c>
      <c r="K670" t="n">
        <v>0</v>
      </c>
      <c r="L670" t="n">
        <v>0</v>
      </c>
      <c r="M670" t="n">
        <v>0</v>
      </c>
      <c r="N670" t="n">
        <v>0</v>
      </c>
      <c r="O670" t="n">
        <v>0</v>
      </c>
      <c r="P670" t="n">
        <v>0</v>
      </c>
      <c r="Q670" t="n">
        <v>0</v>
      </c>
      <c r="R670" s="2" t="inlineStr"/>
    </row>
    <row r="671" ht="15" customHeight="1">
      <c r="A671" t="inlineStr">
        <is>
          <t>A 48470-2023</t>
        </is>
      </c>
      <c r="B671" s="1" t="n">
        <v>45206.95747685185</v>
      </c>
      <c r="C671" s="1" t="n">
        <v>45995</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57023-2025</t>
        </is>
      </c>
      <c r="B672" s="1" t="n">
        <v>45979.25059027778</v>
      </c>
      <c r="C672" s="1" t="n">
        <v>45995</v>
      </c>
      <c r="D672" t="inlineStr">
        <is>
          <t>VÄSTERBOTTENS LÄN</t>
        </is>
      </c>
      <c r="E672" t="inlineStr">
        <is>
          <t>VILHELMINA</t>
        </is>
      </c>
      <c r="G672" t="n">
        <v>37.7</v>
      </c>
      <c r="H672" t="n">
        <v>0</v>
      </c>
      <c r="I672" t="n">
        <v>0</v>
      </c>
      <c r="J672" t="n">
        <v>0</v>
      </c>
      <c r="K672" t="n">
        <v>0</v>
      </c>
      <c r="L672" t="n">
        <v>0</v>
      </c>
      <c r="M672" t="n">
        <v>0</v>
      </c>
      <c r="N672" t="n">
        <v>0</v>
      </c>
      <c r="O672" t="n">
        <v>0</v>
      </c>
      <c r="P672" t="n">
        <v>0</v>
      </c>
      <c r="Q672" t="n">
        <v>0</v>
      </c>
      <c r="R672" s="2" t="inlineStr"/>
    </row>
    <row r="673" ht="15" customHeight="1">
      <c r="A673" t="inlineStr">
        <is>
          <t>A 57565-2025</t>
        </is>
      </c>
      <c r="B673" s="1" t="n">
        <v>45980.71736111111</v>
      </c>
      <c r="C673" s="1" t="n">
        <v>45995</v>
      </c>
      <c r="D673" t="inlineStr">
        <is>
          <t>VÄSTERBOTTENS LÄN</t>
        </is>
      </c>
      <c r="E673" t="inlineStr">
        <is>
          <t>VILHELMINA</t>
        </is>
      </c>
      <c r="G673" t="n">
        <v>22.9</v>
      </c>
      <c r="H673" t="n">
        <v>0</v>
      </c>
      <c r="I673" t="n">
        <v>0</v>
      </c>
      <c r="J673" t="n">
        <v>0</v>
      </c>
      <c r="K673" t="n">
        <v>0</v>
      </c>
      <c r="L673" t="n">
        <v>0</v>
      </c>
      <c r="M673" t="n">
        <v>0</v>
      </c>
      <c r="N673" t="n">
        <v>0</v>
      </c>
      <c r="O673" t="n">
        <v>0</v>
      </c>
      <c r="P673" t="n">
        <v>0</v>
      </c>
      <c r="Q673" t="n">
        <v>0</v>
      </c>
      <c r="R673" s="2" t="inlineStr"/>
    </row>
    <row r="674" ht="15" customHeight="1">
      <c r="A674" t="inlineStr">
        <is>
          <t>A 13829-2025</t>
        </is>
      </c>
      <c r="B674" s="1" t="n">
        <v>45737</v>
      </c>
      <c r="C674" s="1" t="n">
        <v>45995</v>
      </c>
      <c r="D674" t="inlineStr">
        <is>
          <t>VÄSTERBOTTENS LÄN</t>
        </is>
      </c>
      <c r="E674" t="inlineStr">
        <is>
          <t>VILHELMINA</t>
        </is>
      </c>
      <c r="F674" t="inlineStr">
        <is>
          <t>Övriga statliga verk och myndigheter</t>
        </is>
      </c>
      <c r="G674" t="n">
        <v>39.7</v>
      </c>
      <c r="H674" t="n">
        <v>0</v>
      </c>
      <c r="I674" t="n">
        <v>0</v>
      </c>
      <c r="J674" t="n">
        <v>0</v>
      </c>
      <c r="K674" t="n">
        <v>0</v>
      </c>
      <c r="L674" t="n">
        <v>0</v>
      </c>
      <c r="M674" t="n">
        <v>0</v>
      </c>
      <c r="N674" t="n">
        <v>0</v>
      </c>
      <c r="O674" t="n">
        <v>0</v>
      </c>
      <c r="P674" t="n">
        <v>0</v>
      </c>
      <c r="Q674" t="n">
        <v>0</v>
      </c>
      <c r="R674" s="2" t="inlineStr"/>
    </row>
    <row r="675" ht="15" customHeight="1">
      <c r="A675" t="inlineStr">
        <is>
          <t>A 57207-2025</t>
        </is>
      </c>
      <c r="B675" s="1" t="n">
        <v>45979.59443287037</v>
      </c>
      <c r="C675" s="1" t="n">
        <v>45995</v>
      </c>
      <c r="D675" t="inlineStr">
        <is>
          <t>VÄSTERBOTTENS LÄN</t>
        </is>
      </c>
      <c r="E675" t="inlineStr">
        <is>
          <t>VILHELMINA</t>
        </is>
      </c>
      <c r="G675" t="n">
        <v>2.3</v>
      </c>
      <c r="H675" t="n">
        <v>0</v>
      </c>
      <c r="I675" t="n">
        <v>0</v>
      </c>
      <c r="J675" t="n">
        <v>0</v>
      </c>
      <c r="K675" t="n">
        <v>0</v>
      </c>
      <c r="L675" t="n">
        <v>0</v>
      </c>
      <c r="M675" t="n">
        <v>0</v>
      </c>
      <c r="N675" t="n">
        <v>0</v>
      </c>
      <c r="O675" t="n">
        <v>0</v>
      </c>
      <c r="P675" t="n">
        <v>0</v>
      </c>
      <c r="Q675" t="n">
        <v>0</v>
      </c>
      <c r="R675" s="2" t="inlineStr"/>
    </row>
    <row r="676" ht="15" customHeight="1">
      <c r="A676" t="inlineStr">
        <is>
          <t>A 49680-2025</t>
        </is>
      </c>
      <c r="B676" s="1" t="n">
        <v>45939.65079861111</v>
      </c>
      <c r="C676" s="1" t="n">
        <v>45995</v>
      </c>
      <c r="D676" t="inlineStr">
        <is>
          <t>VÄSTERBOTTENS LÄN</t>
        </is>
      </c>
      <c r="E676" t="inlineStr">
        <is>
          <t>VILHELMINA</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45995</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58074-2025</t>
        </is>
      </c>
      <c r="B678" s="1" t="n">
        <v>45982.55253472222</v>
      </c>
      <c r="C678" s="1" t="n">
        <v>45995</v>
      </c>
      <c r="D678" t="inlineStr">
        <is>
          <t>VÄSTERBOTTENS LÄN</t>
        </is>
      </c>
      <c r="E678" t="inlineStr">
        <is>
          <t>VILHELMINA</t>
        </is>
      </c>
      <c r="F678" t="inlineStr">
        <is>
          <t>SCA</t>
        </is>
      </c>
      <c r="G678" t="n">
        <v>12.4</v>
      </c>
      <c r="H678" t="n">
        <v>0</v>
      </c>
      <c r="I678" t="n">
        <v>0</v>
      </c>
      <c r="J678" t="n">
        <v>0</v>
      </c>
      <c r="K678" t="n">
        <v>0</v>
      </c>
      <c r="L678" t="n">
        <v>0</v>
      </c>
      <c r="M678" t="n">
        <v>0</v>
      </c>
      <c r="N678" t="n">
        <v>0</v>
      </c>
      <c r="O678" t="n">
        <v>0</v>
      </c>
      <c r="P678" t="n">
        <v>0</v>
      </c>
      <c r="Q678" t="n">
        <v>0</v>
      </c>
      <c r="R678" s="2" t="inlineStr"/>
    </row>
    <row r="679" ht="15" customHeight="1">
      <c r="A679" t="inlineStr">
        <is>
          <t>A 54459-2024</t>
        </is>
      </c>
      <c r="B679" s="1" t="n">
        <v>45617</v>
      </c>
      <c r="C679" s="1" t="n">
        <v>45995</v>
      </c>
      <c r="D679" t="inlineStr">
        <is>
          <t>VÄSTERBOTTENS LÄN</t>
        </is>
      </c>
      <c r="E679" t="inlineStr">
        <is>
          <t>VILHELMINA</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46177-2023</t>
        </is>
      </c>
      <c r="B680" s="1" t="n">
        <v>45190</v>
      </c>
      <c r="C680" s="1" t="n">
        <v>45995</v>
      </c>
      <c r="D680" t="inlineStr">
        <is>
          <t>VÄSTERBOTTENS LÄN</t>
        </is>
      </c>
      <c r="E680" t="inlineStr">
        <is>
          <t>VILHELMINA</t>
        </is>
      </c>
      <c r="F680" t="inlineStr">
        <is>
          <t>Övriga Aktiebolag</t>
        </is>
      </c>
      <c r="G680" t="n">
        <v>7.7</v>
      </c>
      <c r="H680" t="n">
        <v>0</v>
      </c>
      <c r="I680" t="n">
        <v>0</v>
      </c>
      <c r="J680" t="n">
        <v>0</v>
      </c>
      <c r="K680" t="n">
        <v>0</v>
      </c>
      <c r="L680" t="n">
        <v>0</v>
      </c>
      <c r="M680" t="n">
        <v>0</v>
      </c>
      <c r="N680" t="n">
        <v>0</v>
      </c>
      <c r="O680" t="n">
        <v>0</v>
      </c>
      <c r="P680" t="n">
        <v>0</v>
      </c>
      <c r="Q680" t="n">
        <v>0</v>
      </c>
      <c r="R680" s="2" t="inlineStr"/>
    </row>
    <row r="681" ht="15" customHeight="1">
      <c r="A681" t="inlineStr">
        <is>
          <t>A 47440-2024</t>
        </is>
      </c>
      <c r="B681" s="1" t="n">
        <v>45587</v>
      </c>
      <c r="C681" s="1" t="n">
        <v>45995</v>
      </c>
      <c r="D681" t="inlineStr">
        <is>
          <t>VÄSTERBOTTENS LÄN</t>
        </is>
      </c>
      <c r="E681" t="inlineStr">
        <is>
          <t>VILHELMINA</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48088-2024</t>
        </is>
      </c>
      <c r="B682" s="1" t="n">
        <v>45589</v>
      </c>
      <c r="C682" s="1" t="n">
        <v>45995</v>
      </c>
      <c r="D682" t="inlineStr">
        <is>
          <t>VÄSTERBOTTENS LÄN</t>
        </is>
      </c>
      <c r="E682" t="inlineStr">
        <is>
          <t>VILHELMINA</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39035-2024</t>
        </is>
      </c>
      <c r="B683" s="1" t="n">
        <v>45548.46918981482</v>
      </c>
      <c r="C683" s="1" t="n">
        <v>45995</v>
      </c>
      <c r="D683" t="inlineStr">
        <is>
          <t>VÄSTERBOTTENS LÄN</t>
        </is>
      </c>
      <c r="E683" t="inlineStr">
        <is>
          <t>VILHELMINA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57792-2025</t>
        </is>
      </c>
      <c r="B684" s="1" t="n">
        <v>45981.57957175926</v>
      </c>
      <c r="C684" s="1" t="n">
        <v>45995</v>
      </c>
      <c r="D684" t="inlineStr">
        <is>
          <t>VÄSTERBOTTENS LÄN</t>
        </is>
      </c>
      <c r="E684" t="inlineStr">
        <is>
          <t>VILHELMINA</t>
        </is>
      </c>
      <c r="G684" t="n">
        <v>1.3</v>
      </c>
      <c r="H684" t="n">
        <v>0</v>
      </c>
      <c r="I684" t="n">
        <v>0</v>
      </c>
      <c r="J684" t="n">
        <v>0</v>
      </c>
      <c r="K684" t="n">
        <v>0</v>
      </c>
      <c r="L684" t="n">
        <v>0</v>
      </c>
      <c r="M684" t="n">
        <v>0</v>
      </c>
      <c r="N684" t="n">
        <v>0</v>
      </c>
      <c r="O684" t="n">
        <v>0</v>
      </c>
      <c r="P684" t="n">
        <v>0</v>
      </c>
      <c r="Q684" t="n">
        <v>0</v>
      </c>
      <c r="R684" s="2" t="inlineStr"/>
    </row>
    <row r="685" ht="15" customHeight="1">
      <c r="A685" t="inlineStr">
        <is>
          <t>A 47548-2024</t>
        </is>
      </c>
      <c r="B685" s="1" t="n">
        <v>45587</v>
      </c>
      <c r="C685" s="1" t="n">
        <v>45995</v>
      </c>
      <c r="D685" t="inlineStr">
        <is>
          <t>VÄSTERBOTTENS LÄN</t>
        </is>
      </c>
      <c r="E685" t="inlineStr">
        <is>
          <t>VILHELMINA</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51826-2023</t>
        </is>
      </c>
      <c r="B686" s="1" t="n">
        <v>45222.9678125</v>
      </c>
      <c r="C686" s="1" t="n">
        <v>45995</v>
      </c>
      <c r="D686" t="inlineStr">
        <is>
          <t>VÄSTERBOTTENS LÄN</t>
        </is>
      </c>
      <c r="E686" t="inlineStr">
        <is>
          <t>VILHELMINA</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18394-2025</t>
        </is>
      </c>
      <c r="B687" s="1" t="n">
        <v>45762</v>
      </c>
      <c r="C687" s="1" t="n">
        <v>45995</v>
      </c>
      <c r="D687" t="inlineStr">
        <is>
          <t>VÄSTERBOTTENS LÄN</t>
        </is>
      </c>
      <c r="E687" t="inlineStr">
        <is>
          <t>VILHELMINA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23459-2025</t>
        </is>
      </c>
      <c r="B688" s="1" t="n">
        <v>45792</v>
      </c>
      <c r="C688" s="1" t="n">
        <v>45995</v>
      </c>
      <c r="D688" t="inlineStr">
        <is>
          <t>VÄSTERBOTTENS LÄN</t>
        </is>
      </c>
      <c r="E688" t="inlineStr">
        <is>
          <t>VILHELMINA</t>
        </is>
      </c>
      <c r="F688" t="inlineStr">
        <is>
          <t>SCA</t>
        </is>
      </c>
      <c r="G688" t="n">
        <v>7.4</v>
      </c>
      <c r="H688" t="n">
        <v>0</v>
      </c>
      <c r="I688" t="n">
        <v>0</v>
      </c>
      <c r="J688" t="n">
        <v>0</v>
      </c>
      <c r="K688" t="n">
        <v>0</v>
      </c>
      <c r="L688" t="n">
        <v>0</v>
      </c>
      <c r="M688" t="n">
        <v>0</v>
      </c>
      <c r="N688" t="n">
        <v>0</v>
      </c>
      <c r="O688" t="n">
        <v>0</v>
      </c>
      <c r="P688" t="n">
        <v>0</v>
      </c>
      <c r="Q688" t="n">
        <v>0</v>
      </c>
      <c r="R688" s="2" t="inlineStr"/>
    </row>
    <row r="689" ht="15" customHeight="1">
      <c r="A689" t="inlineStr">
        <is>
          <t>A 23461-2025</t>
        </is>
      </c>
      <c r="B689" s="1" t="n">
        <v>45792</v>
      </c>
      <c r="C689" s="1" t="n">
        <v>45995</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20524-2024</t>
        </is>
      </c>
      <c r="B690" s="1" t="n">
        <v>45435.94567129629</v>
      </c>
      <c r="C690" s="1" t="n">
        <v>45995</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23281-2025</t>
        </is>
      </c>
      <c r="B691" s="1" t="n">
        <v>45791.57324074074</v>
      </c>
      <c r="C691" s="1" t="n">
        <v>45995</v>
      </c>
      <c r="D691" t="inlineStr">
        <is>
          <t>VÄSTERBOTTENS LÄN</t>
        </is>
      </c>
      <c r="E691" t="inlineStr">
        <is>
          <t>VILHELMINA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50282-2025</t>
        </is>
      </c>
      <c r="B692" s="1" t="n">
        <v>45944.3862037037</v>
      </c>
      <c r="C692" s="1" t="n">
        <v>45995</v>
      </c>
      <c r="D692" t="inlineStr">
        <is>
          <t>VÄSTERBOTTENS LÄN</t>
        </is>
      </c>
      <c r="E692" t="inlineStr">
        <is>
          <t>VILHELMINA</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50494-2023</t>
        </is>
      </c>
      <c r="B693" s="1" t="n">
        <v>45216.95604166666</v>
      </c>
      <c r="C693" s="1" t="n">
        <v>45995</v>
      </c>
      <c r="D693" t="inlineStr">
        <is>
          <t>VÄSTERBOTTENS LÄN</t>
        </is>
      </c>
      <c r="E693" t="inlineStr">
        <is>
          <t>VILHELMINA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47242-2024</t>
        </is>
      </c>
      <c r="B694" s="1" t="n">
        <v>45586</v>
      </c>
      <c r="C694" s="1" t="n">
        <v>45995</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50148-2025</t>
        </is>
      </c>
      <c r="B695" s="1" t="n">
        <v>45943.57296296296</v>
      </c>
      <c r="C695" s="1" t="n">
        <v>45995</v>
      </c>
      <c r="D695" t="inlineStr">
        <is>
          <t>VÄSTERBOTTENS LÄN</t>
        </is>
      </c>
      <c r="E695" t="inlineStr">
        <is>
          <t>VILHELMINA</t>
        </is>
      </c>
      <c r="G695" t="n">
        <v>18.9</v>
      </c>
      <c r="H695" t="n">
        <v>0</v>
      </c>
      <c r="I695" t="n">
        <v>0</v>
      </c>
      <c r="J695" t="n">
        <v>0</v>
      </c>
      <c r="K695" t="n">
        <v>0</v>
      </c>
      <c r="L695" t="n">
        <v>0</v>
      </c>
      <c r="M695" t="n">
        <v>0</v>
      </c>
      <c r="N695" t="n">
        <v>0</v>
      </c>
      <c r="O695" t="n">
        <v>0</v>
      </c>
      <c r="P695" t="n">
        <v>0</v>
      </c>
      <c r="Q695" t="n">
        <v>0</v>
      </c>
      <c r="R695" s="2" t="inlineStr"/>
    </row>
    <row r="696" ht="15" customHeight="1">
      <c r="A696" t="inlineStr">
        <is>
          <t>A 8566-2025</t>
        </is>
      </c>
      <c r="B696" s="1" t="n">
        <v>45709</v>
      </c>
      <c r="C696" s="1" t="n">
        <v>45995</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8585-2025</t>
        </is>
      </c>
      <c r="B697" s="1" t="n">
        <v>45709</v>
      </c>
      <c r="C697" s="1" t="n">
        <v>45995</v>
      </c>
      <c r="D697" t="inlineStr">
        <is>
          <t>VÄSTERBOTTENS LÄN</t>
        </is>
      </c>
      <c r="E697" t="inlineStr">
        <is>
          <t>VILHELMINA</t>
        </is>
      </c>
      <c r="G697" t="n">
        <v>3.4</v>
      </c>
      <c r="H697" t="n">
        <v>0</v>
      </c>
      <c r="I697" t="n">
        <v>0</v>
      </c>
      <c r="J697" t="n">
        <v>0</v>
      </c>
      <c r="K697" t="n">
        <v>0</v>
      </c>
      <c r="L697" t="n">
        <v>0</v>
      </c>
      <c r="M697" t="n">
        <v>0</v>
      </c>
      <c r="N697" t="n">
        <v>0</v>
      </c>
      <c r="O697" t="n">
        <v>0</v>
      </c>
      <c r="P697" t="n">
        <v>0</v>
      </c>
      <c r="Q697" t="n">
        <v>0</v>
      </c>
      <c r="R697" s="2" t="inlineStr"/>
    </row>
    <row r="698" ht="15" customHeight="1">
      <c r="A698" t="inlineStr">
        <is>
          <t>A 19585-2024</t>
        </is>
      </c>
      <c r="B698" s="1" t="n">
        <v>45429</v>
      </c>
      <c r="C698" s="1" t="n">
        <v>45995</v>
      </c>
      <c r="D698" t="inlineStr">
        <is>
          <t>VÄSTERBOTTENS LÄN</t>
        </is>
      </c>
      <c r="E698" t="inlineStr">
        <is>
          <t>VILHELMINA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58300-2025</t>
        </is>
      </c>
      <c r="B699" s="1" t="n">
        <v>45985</v>
      </c>
      <c r="C699" s="1" t="n">
        <v>45995</v>
      </c>
      <c r="D699" t="inlineStr">
        <is>
          <t>VÄSTERBOTTENS LÄN</t>
        </is>
      </c>
      <c r="E699" t="inlineStr">
        <is>
          <t>VILHELMINA</t>
        </is>
      </c>
      <c r="G699" t="n">
        <v>2.4</v>
      </c>
      <c r="H699" t="n">
        <v>0</v>
      </c>
      <c r="I699" t="n">
        <v>0</v>
      </c>
      <c r="J699" t="n">
        <v>0</v>
      </c>
      <c r="K699" t="n">
        <v>0</v>
      </c>
      <c r="L699" t="n">
        <v>0</v>
      </c>
      <c r="M699" t="n">
        <v>0</v>
      </c>
      <c r="N699" t="n">
        <v>0</v>
      </c>
      <c r="O699" t="n">
        <v>0</v>
      </c>
      <c r="P699" t="n">
        <v>0</v>
      </c>
      <c r="Q699" t="n">
        <v>0</v>
      </c>
      <c r="R699" s="2" t="inlineStr"/>
    </row>
    <row r="700" ht="15" customHeight="1">
      <c r="A700" t="inlineStr">
        <is>
          <t>A 23415-2025</t>
        </is>
      </c>
      <c r="B700" s="1" t="n">
        <v>45792.34643518519</v>
      </c>
      <c r="C700" s="1" t="n">
        <v>45995</v>
      </c>
      <c r="D700" t="inlineStr">
        <is>
          <t>VÄSTERBOTTENS LÄN</t>
        </is>
      </c>
      <c r="E700" t="inlineStr">
        <is>
          <t>VILHELMINA</t>
        </is>
      </c>
      <c r="F700" t="inlineStr">
        <is>
          <t>SCA</t>
        </is>
      </c>
      <c r="G700" t="n">
        <v>36.9</v>
      </c>
      <c r="H700" t="n">
        <v>0</v>
      </c>
      <c r="I700" t="n">
        <v>0</v>
      </c>
      <c r="J700" t="n">
        <v>0</v>
      </c>
      <c r="K700" t="n">
        <v>0</v>
      </c>
      <c r="L700" t="n">
        <v>0</v>
      </c>
      <c r="M700" t="n">
        <v>0</v>
      </c>
      <c r="N700" t="n">
        <v>0</v>
      </c>
      <c r="O700" t="n">
        <v>0</v>
      </c>
      <c r="P700" t="n">
        <v>0</v>
      </c>
      <c r="Q700" t="n">
        <v>0</v>
      </c>
      <c r="R700" s="2" t="inlineStr"/>
    </row>
    <row r="701" ht="15" customHeight="1">
      <c r="A701" t="inlineStr">
        <is>
          <t>A 48062-2024</t>
        </is>
      </c>
      <c r="B701" s="1" t="n">
        <v>45589</v>
      </c>
      <c r="C701" s="1" t="n">
        <v>45995</v>
      </c>
      <c r="D701" t="inlineStr">
        <is>
          <t>VÄSTERBOTTENS LÄN</t>
        </is>
      </c>
      <c r="E701" t="inlineStr">
        <is>
          <t>VILHELMINA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23406-2025</t>
        </is>
      </c>
      <c r="B702" s="1" t="n">
        <v>45792.34540509259</v>
      </c>
      <c r="C702" s="1" t="n">
        <v>45995</v>
      </c>
      <c r="D702" t="inlineStr">
        <is>
          <t>VÄSTERBOTTENS LÄN</t>
        </is>
      </c>
      <c r="E702" t="inlineStr">
        <is>
          <t>VILHELMINA</t>
        </is>
      </c>
      <c r="F702" t="inlineStr">
        <is>
          <t>SCA</t>
        </is>
      </c>
      <c r="G702" t="n">
        <v>15.4</v>
      </c>
      <c r="H702" t="n">
        <v>0</v>
      </c>
      <c r="I702" t="n">
        <v>0</v>
      </c>
      <c r="J702" t="n">
        <v>0</v>
      </c>
      <c r="K702" t="n">
        <v>0</v>
      </c>
      <c r="L702" t="n">
        <v>0</v>
      </c>
      <c r="M702" t="n">
        <v>0</v>
      </c>
      <c r="N702" t="n">
        <v>0</v>
      </c>
      <c r="O702" t="n">
        <v>0</v>
      </c>
      <c r="P702" t="n">
        <v>0</v>
      </c>
      <c r="Q702" t="n">
        <v>0</v>
      </c>
      <c r="R702" s="2" t="inlineStr"/>
    </row>
    <row r="703" ht="15" customHeight="1">
      <c r="A703" t="inlineStr">
        <is>
          <t>A 58420-2025</t>
        </is>
      </c>
      <c r="B703" s="1" t="n">
        <v>45985.58819444444</v>
      </c>
      <c r="C703" s="1" t="n">
        <v>45995</v>
      </c>
      <c r="D703" t="inlineStr">
        <is>
          <t>VÄSTERBOTTENS LÄN</t>
        </is>
      </c>
      <c r="E703" t="inlineStr">
        <is>
          <t>VILHELMINA</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59022-2024</t>
        </is>
      </c>
      <c r="B704" s="1" t="n">
        <v>45636</v>
      </c>
      <c r="C704" s="1" t="n">
        <v>45995</v>
      </c>
      <c r="D704" t="inlineStr">
        <is>
          <t>VÄSTERBOTTENS LÄN</t>
        </is>
      </c>
      <c r="E704" t="inlineStr">
        <is>
          <t>VILHELMINA</t>
        </is>
      </c>
      <c r="F704" t="inlineStr">
        <is>
          <t>Allmännings- och besparingsskogar</t>
        </is>
      </c>
      <c r="G704" t="n">
        <v>35</v>
      </c>
      <c r="H704" t="n">
        <v>0</v>
      </c>
      <c r="I704" t="n">
        <v>0</v>
      </c>
      <c r="J704" t="n">
        <v>0</v>
      </c>
      <c r="K704" t="n">
        <v>0</v>
      </c>
      <c r="L704" t="n">
        <v>0</v>
      </c>
      <c r="M704" t="n">
        <v>0</v>
      </c>
      <c r="N704" t="n">
        <v>0</v>
      </c>
      <c r="O704" t="n">
        <v>0</v>
      </c>
      <c r="P704" t="n">
        <v>0</v>
      </c>
      <c r="Q704" t="n">
        <v>0</v>
      </c>
      <c r="R704" s="2" t="inlineStr"/>
    </row>
    <row r="705" ht="15" customHeight="1">
      <c r="A705" t="inlineStr">
        <is>
          <t>A 34805-2023</t>
        </is>
      </c>
      <c r="B705" s="1" t="n">
        <v>45140</v>
      </c>
      <c r="C705" s="1" t="n">
        <v>45995</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59011-2024</t>
        </is>
      </c>
      <c r="B706" s="1" t="n">
        <v>45636</v>
      </c>
      <c r="C706" s="1" t="n">
        <v>45995</v>
      </c>
      <c r="D706" t="inlineStr">
        <is>
          <t>VÄSTERBOTTENS LÄN</t>
        </is>
      </c>
      <c r="E706" t="inlineStr">
        <is>
          <t>VILHELMINA</t>
        </is>
      </c>
      <c r="F706" t="inlineStr">
        <is>
          <t>Allmännings- och besparingsskogar</t>
        </is>
      </c>
      <c r="G706" t="n">
        <v>36</v>
      </c>
      <c r="H706" t="n">
        <v>0</v>
      </c>
      <c r="I706" t="n">
        <v>0</v>
      </c>
      <c r="J706" t="n">
        <v>0</v>
      </c>
      <c r="K706" t="n">
        <v>0</v>
      </c>
      <c r="L706" t="n">
        <v>0</v>
      </c>
      <c r="M706" t="n">
        <v>0</v>
      </c>
      <c r="N706" t="n">
        <v>0</v>
      </c>
      <c r="O706" t="n">
        <v>0</v>
      </c>
      <c r="P706" t="n">
        <v>0</v>
      </c>
      <c r="Q706" t="n">
        <v>0</v>
      </c>
      <c r="R706" s="2" t="inlineStr"/>
    </row>
    <row r="707" ht="15" customHeight="1">
      <c r="A707" t="inlineStr">
        <is>
          <t>A 59003-2024</t>
        </is>
      </c>
      <c r="B707" s="1" t="n">
        <v>45636</v>
      </c>
      <c r="C707" s="1" t="n">
        <v>45995</v>
      </c>
      <c r="D707" t="inlineStr">
        <is>
          <t>VÄSTERBOTTENS LÄN</t>
        </is>
      </c>
      <c r="E707" t="inlineStr">
        <is>
          <t>VILHELMINA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56629-2024</t>
        </is>
      </c>
      <c r="B708" s="1" t="n">
        <v>45625</v>
      </c>
      <c r="C708" s="1" t="n">
        <v>45995</v>
      </c>
      <c r="D708" t="inlineStr">
        <is>
          <t>VÄSTERBOTTENS LÄN</t>
        </is>
      </c>
      <c r="E708" t="inlineStr">
        <is>
          <t>VILHELMINA</t>
        </is>
      </c>
      <c r="F708" t="inlineStr">
        <is>
          <t>Allmännings- och besparingsskogar</t>
        </is>
      </c>
      <c r="G708" t="n">
        <v>20</v>
      </c>
      <c r="H708" t="n">
        <v>0</v>
      </c>
      <c r="I708" t="n">
        <v>0</v>
      </c>
      <c r="J708" t="n">
        <v>0</v>
      </c>
      <c r="K708" t="n">
        <v>0</v>
      </c>
      <c r="L708" t="n">
        <v>0</v>
      </c>
      <c r="M708" t="n">
        <v>0</v>
      </c>
      <c r="N708" t="n">
        <v>0</v>
      </c>
      <c r="O708" t="n">
        <v>0</v>
      </c>
      <c r="P708" t="n">
        <v>0</v>
      </c>
      <c r="Q708" t="n">
        <v>0</v>
      </c>
      <c r="R708" s="2" t="inlineStr"/>
    </row>
    <row r="709" ht="15" customHeight="1">
      <c r="A709" t="inlineStr">
        <is>
          <t>A 50305-2025</t>
        </is>
      </c>
      <c r="B709" s="1" t="n">
        <v>45944.42415509259</v>
      </c>
      <c r="C709" s="1" t="n">
        <v>45995</v>
      </c>
      <c r="D709" t="inlineStr">
        <is>
          <t>VÄSTERBOTTENS LÄN</t>
        </is>
      </c>
      <c r="E709" t="inlineStr">
        <is>
          <t>VILHELMINA</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17467-2025</t>
        </is>
      </c>
      <c r="B710" s="1" t="n">
        <v>45757</v>
      </c>
      <c r="C710" s="1" t="n">
        <v>45995</v>
      </c>
      <c r="D710" t="inlineStr">
        <is>
          <t>VÄSTERBOTTENS LÄN</t>
        </is>
      </c>
      <c r="E710" t="inlineStr">
        <is>
          <t>VILHELMINA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69621-2020</t>
        </is>
      </c>
      <c r="B711" s="1" t="n">
        <v>44195</v>
      </c>
      <c r="C711" s="1" t="n">
        <v>45995</v>
      </c>
      <c r="D711" t="inlineStr">
        <is>
          <t>VÄSTERBOTTENS LÄN</t>
        </is>
      </c>
      <c r="E711" t="inlineStr">
        <is>
          <t>VILHELMINA</t>
        </is>
      </c>
      <c r="G711" t="n">
        <v>2.9</v>
      </c>
      <c r="H711" t="n">
        <v>0</v>
      </c>
      <c r="I711" t="n">
        <v>0</v>
      </c>
      <c r="J711" t="n">
        <v>0</v>
      </c>
      <c r="K711" t="n">
        <v>0</v>
      </c>
      <c r="L711" t="n">
        <v>0</v>
      </c>
      <c r="M711" t="n">
        <v>0</v>
      </c>
      <c r="N711" t="n">
        <v>0</v>
      </c>
      <c r="O711" t="n">
        <v>0</v>
      </c>
      <c r="P711" t="n">
        <v>0</v>
      </c>
      <c r="Q711" t="n">
        <v>0</v>
      </c>
      <c r="R711" s="2" t="inlineStr"/>
    </row>
    <row r="712" ht="15" customHeight="1">
      <c r="A712" t="inlineStr">
        <is>
          <t>A 146-2025</t>
        </is>
      </c>
      <c r="B712" s="1" t="n">
        <v>45659</v>
      </c>
      <c r="C712" s="1" t="n">
        <v>45995</v>
      </c>
      <c r="D712" t="inlineStr">
        <is>
          <t>VÄSTERBOTTENS LÄN</t>
        </is>
      </c>
      <c r="E712" t="inlineStr">
        <is>
          <t>VILHELMINA</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31449-2024</t>
        </is>
      </c>
      <c r="B713" s="1" t="n">
        <v>45505.9299537037</v>
      </c>
      <c r="C713" s="1" t="n">
        <v>45995</v>
      </c>
      <c r="D713" t="inlineStr">
        <is>
          <t>VÄSTERBOTTENS LÄN</t>
        </is>
      </c>
      <c r="E713" t="inlineStr">
        <is>
          <t>VILHELMINA</t>
        </is>
      </c>
      <c r="G713" t="n">
        <v>3.5</v>
      </c>
      <c r="H713" t="n">
        <v>0</v>
      </c>
      <c r="I713" t="n">
        <v>0</v>
      </c>
      <c r="J713" t="n">
        <v>0</v>
      </c>
      <c r="K713" t="n">
        <v>0</v>
      </c>
      <c r="L713" t="n">
        <v>0</v>
      </c>
      <c r="M713" t="n">
        <v>0</v>
      </c>
      <c r="N713" t="n">
        <v>0</v>
      </c>
      <c r="O713" t="n">
        <v>0</v>
      </c>
      <c r="P713" t="n">
        <v>0</v>
      </c>
      <c r="Q713" t="n">
        <v>0</v>
      </c>
      <c r="R713" s="2" t="inlineStr"/>
    </row>
    <row r="714" ht="15" customHeight="1">
      <c r="A714" t="inlineStr">
        <is>
          <t>A 31485-2025</t>
        </is>
      </c>
      <c r="B714" s="1" t="n">
        <v>45833</v>
      </c>
      <c r="C714" s="1" t="n">
        <v>45995</v>
      </c>
      <c r="D714" t="inlineStr">
        <is>
          <t>VÄSTERBOTTENS LÄN</t>
        </is>
      </c>
      <c r="E714" t="inlineStr">
        <is>
          <t>VILHELMINA</t>
        </is>
      </c>
      <c r="G714" t="n">
        <v>2.8</v>
      </c>
      <c r="H714" t="n">
        <v>0</v>
      </c>
      <c r="I714" t="n">
        <v>0</v>
      </c>
      <c r="J714" t="n">
        <v>0</v>
      </c>
      <c r="K714" t="n">
        <v>0</v>
      </c>
      <c r="L714" t="n">
        <v>0</v>
      </c>
      <c r="M714" t="n">
        <v>0</v>
      </c>
      <c r="N714" t="n">
        <v>0</v>
      </c>
      <c r="O714" t="n">
        <v>0</v>
      </c>
      <c r="P714" t="n">
        <v>0</v>
      </c>
      <c r="Q714" t="n">
        <v>0</v>
      </c>
      <c r="R714" s="2" t="inlineStr"/>
    </row>
    <row r="715" ht="15" customHeight="1">
      <c r="A715" t="inlineStr">
        <is>
          <t>A 51825-2023</t>
        </is>
      </c>
      <c r="B715" s="1" t="n">
        <v>45222</v>
      </c>
      <c r="C715" s="1" t="n">
        <v>45995</v>
      </c>
      <c r="D715" t="inlineStr">
        <is>
          <t>VÄSTERBOTTENS LÄN</t>
        </is>
      </c>
      <c r="E715" t="inlineStr">
        <is>
          <t>VILHELMINA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19873-2024</t>
        </is>
      </c>
      <c r="B716" s="1" t="n">
        <v>45433</v>
      </c>
      <c r="C716" s="1" t="n">
        <v>45995</v>
      </c>
      <c r="D716" t="inlineStr">
        <is>
          <t>VÄSTERBOTTENS LÄN</t>
        </is>
      </c>
      <c r="E716" t="inlineStr">
        <is>
          <t>VILHELMINA</t>
        </is>
      </c>
      <c r="G716" t="n">
        <v>8.6</v>
      </c>
      <c r="H716" t="n">
        <v>0</v>
      </c>
      <c r="I716" t="n">
        <v>0</v>
      </c>
      <c r="J716" t="n">
        <v>0</v>
      </c>
      <c r="K716" t="n">
        <v>0</v>
      </c>
      <c r="L716" t="n">
        <v>0</v>
      </c>
      <c r="M716" t="n">
        <v>0</v>
      </c>
      <c r="N716" t="n">
        <v>0</v>
      </c>
      <c r="O716" t="n">
        <v>0</v>
      </c>
      <c r="P716" t="n">
        <v>0</v>
      </c>
      <c r="Q716" t="n">
        <v>0</v>
      </c>
      <c r="R716" s="2" t="inlineStr"/>
    </row>
    <row r="717" ht="15" customHeight="1">
      <c r="A717" t="inlineStr">
        <is>
          <t>A 25308-2025</t>
        </is>
      </c>
      <c r="B717" s="1" t="n">
        <v>45800</v>
      </c>
      <c r="C717" s="1" t="n">
        <v>45995</v>
      </c>
      <c r="D717" t="inlineStr">
        <is>
          <t>VÄSTERBOTTENS LÄN</t>
        </is>
      </c>
      <c r="E717" t="inlineStr">
        <is>
          <t>VILHELMINA</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9162-2022</t>
        </is>
      </c>
      <c r="B718" s="1" t="n">
        <v>44615</v>
      </c>
      <c r="C718" s="1" t="n">
        <v>45995</v>
      </c>
      <c r="D718" t="inlineStr">
        <is>
          <t>VÄSTERBOTTENS LÄN</t>
        </is>
      </c>
      <c r="E718" t="inlineStr">
        <is>
          <t>VILHELMINA</t>
        </is>
      </c>
      <c r="G718" t="n">
        <v>7.2</v>
      </c>
      <c r="H718" t="n">
        <v>0</v>
      </c>
      <c r="I718" t="n">
        <v>0</v>
      </c>
      <c r="J718" t="n">
        <v>0</v>
      </c>
      <c r="K718" t="n">
        <v>0</v>
      </c>
      <c r="L718" t="n">
        <v>0</v>
      </c>
      <c r="M718" t="n">
        <v>0</v>
      </c>
      <c r="N718" t="n">
        <v>0</v>
      </c>
      <c r="O718" t="n">
        <v>0</v>
      </c>
      <c r="P718" t="n">
        <v>0</v>
      </c>
      <c r="Q718" t="n">
        <v>0</v>
      </c>
      <c r="R718" s="2" t="inlineStr"/>
    </row>
    <row r="719" ht="15" customHeight="1">
      <c r="A719" t="inlineStr">
        <is>
          <t>A 20591-2025</t>
        </is>
      </c>
      <c r="B719" s="1" t="n">
        <v>45775</v>
      </c>
      <c r="C719" s="1" t="n">
        <v>45995</v>
      </c>
      <c r="D719" t="inlineStr">
        <is>
          <t>VÄSTERBOTTENS LÄN</t>
        </is>
      </c>
      <c r="E719" t="inlineStr">
        <is>
          <t>VILHELMINA</t>
        </is>
      </c>
      <c r="F719" t="inlineStr">
        <is>
          <t>SCA</t>
        </is>
      </c>
      <c r="G719" t="n">
        <v>27.4</v>
      </c>
      <c r="H719" t="n">
        <v>0</v>
      </c>
      <c r="I719" t="n">
        <v>0</v>
      </c>
      <c r="J719" t="n">
        <v>0</v>
      </c>
      <c r="K719" t="n">
        <v>0</v>
      </c>
      <c r="L719" t="n">
        <v>0</v>
      </c>
      <c r="M719" t="n">
        <v>0</v>
      </c>
      <c r="N719" t="n">
        <v>0</v>
      </c>
      <c r="O719" t="n">
        <v>0</v>
      </c>
      <c r="P719" t="n">
        <v>0</v>
      </c>
      <c r="Q719" t="n">
        <v>0</v>
      </c>
      <c r="R719" s="2" t="inlineStr"/>
    </row>
    <row r="720" ht="15" customHeight="1">
      <c r="A720" t="inlineStr">
        <is>
          <t>A 33636-2021</t>
        </is>
      </c>
      <c r="B720" s="1" t="n">
        <v>44378</v>
      </c>
      <c r="C720" s="1" t="n">
        <v>45995</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35984-2023</t>
        </is>
      </c>
      <c r="B721" s="1" t="n">
        <v>45148.96195601852</v>
      </c>
      <c r="C721" s="1" t="n">
        <v>45995</v>
      </c>
      <c r="D721" t="inlineStr">
        <is>
          <t>VÄSTERBOTTENS LÄN</t>
        </is>
      </c>
      <c r="E721" t="inlineStr">
        <is>
          <t>VILHELMINA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10548-2022</t>
        </is>
      </c>
      <c r="B722" s="1" t="n">
        <v>44623</v>
      </c>
      <c r="C722" s="1" t="n">
        <v>45995</v>
      </c>
      <c r="D722" t="inlineStr">
        <is>
          <t>VÄSTERBOTTENS LÄN</t>
        </is>
      </c>
      <c r="E722" t="inlineStr">
        <is>
          <t>VILHELMINA</t>
        </is>
      </c>
      <c r="F722" t="inlineStr">
        <is>
          <t>SCA</t>
        </is>
      </c>
      <c r="G722" t="n">
        <v>11.5</v>
      </c>
      <c r="H722" t="n">
        <v>0</v>
      </c>
      <c r="I722" t="n">
        <v>0</v>
      </c>
      <c r="J722" t="n">
        <v>0</v>
      </c>
      <c r="K722" t="n">
        <v>0</v>
      </c>
      <c r="L722" t="n">
        <v>0</v>
      </c>
      <c r="M722" t="n">
        <v>0</v>
      </c>
      <c r="N722" t="n">
        <v>0</v>
      </c>
      <c r="O722" t="n">
        <v>0</v>
      </c>
      <c r="P722" t="n">
        <v>0</v>
      </c>
      <c r="Q722" t="n">
        <v>0</v>
      </c>
      <c r="R722" s="2" t="inlineStr"/>
    </row>
    <row r="723" ht="15" customHeight="1">
      <c r="A723" t="inlineStr">
        <is>
          <t>A 50922-2025</t>
        </is>
      </c>
      <c r="B723" s="1" t="n">
        <v>45946.67149305555</v>
      </c>
      <c r="C723" s="1" t="n">
        <v>45995</v>
      </c>
      <c r="D723" t="inlineStr">
        <is>
          <t>VÄSTERBOTTENS LÄN</t>
        </is>
      </c>
      <c r="E723" t="inlineStr">
        <is>
          <t>VILHELMINA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35753-2023</t>
        </is>
      </c>
      <c r="B724" s="1" t="n">
        <v>45147.95390046296</v>
      </c>
      <c r="C724" s="1" t="n">
        <v>45995</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52746-2023</t>
        </is>
      </c>
      <c r="B725" s="1" t="n">
        <v>45225.96753472222</v>
      </c>
      <c r="C725" s="1" t="n">
        <v>45995</v>
      </c>
      <c r="D725" t="inlineStr">
        <is>
          <t>VÄSTERBOTTENS LÄN</t>
        </is>
      </c>
      <c r="E725" t="inlineStr">
        <is>
          <t>VILHELMINA</t>
        </is>
      </c>
      <c r="F725" t="inlineStr">
        <is>
          <t>SCA</t>
        </is>
      </c>
      <c r="G725" t="n">
        <v>10.4</v>
      </c>
      <c r="H725" t="n">
        <v>0</v>
      </c>
      <c r="I725" t="n">
        <v>0</v>
      </c>
      <c r="J725" t="n">
        <v>0</v>
      </c>
      <c r="K725" t="n">
        <v>0</v>
      </c>
      <c r="L725" t="n">
        <v>0</v>
      </c>
      <c r="M725" t="n">
        <v>0</v>
      </c>
      <c r="N725" t="n">
        <v>0</v>
      </c>
      <c r="O725" t="n">
        <v>0</v>
      </c>
      <c r="P725" t="n">
        <v>0</v>
      </c>
      <c r="Q725" t="n">
        <v>0</v>
      </c>
      <c r="R725" s="2" t="inlineStr"/>
    </row>
    <row r="726" ht="15" customHeight="1">
      <c r="A726" t="inlineStr">
        <is>
          <t>A 55326-2023</t>
        </is>
      </c>
      <c r="B726" s="1" t="n">
        <v>45237.97364583334</v>
      </c>
      <c r="C726" s="1" t="n">
        <v>45995</v>
      </c>
      <c r="D726" t="inlineStr">
        <is>
          <t>VÄSTERBOTTENS LÄN</t>
        </is>
      </c>
      <c r="E726" t="inlineStr">
        <is>
          <t>VILHELMINA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27918-2022</t>
        </is>
      </c>
      <c r="B727" s="1" t="n">
        <v>44743.94145833333</v>
      </c>
      <c r="C727" s="1" t="n">
        <v>45995</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23826-2025</t>
        </is>
      </c>
      <c r="B728" s="1" t="n">
        <v>45793.59461805555</v>
      </c>
      <c r="C728" s="1" t="n">
        <v>45995</v>
      </c>
      <c r="D728" t="inlineStr">
        <is>
          <t>VÄSTERBOTTENS LÄN</t>
        </is>
      </c>
      <c r="E728" t="inlineStr">
        <is>
          <t>VILHELMINA</t>
        </is>
      </c>
      <c r="F728" t="inlineStr">
        <is>
          <t>SCA</t>
        </is>
      </c>
      <c r="G728" t="n">
        <v>5.9</v>
      </c>
      <c r="H728" t="n">
        <v>0</v>
      </c>
      <c r="I728" t="n">
        <v>0</v>
      </c>
      <c r="J728" t="n">
        <v>0</v>
      </c>
      <c r="K728" t="n">
        <v>0</v>
      </c>
      <c r="L728" t="n">
        <v>0</v>
      </c>
      <c r="M728" t="n">
        <v>0</v>
      </c>
      <c r="N728" t="n">
        <v>0</v>
      </c>
      <c r="O728" t="n">
        <v>0</v>
      </c>
      <c r="P728" t="n">
        <v>0</v>
      </c>
      <c r="Q728" t="n">
        <v>0</v>
      </c>
      <c r="R728" s="2" t="inlineStr"/>
    </row>
    <row r="729" ht="15" customHeight="1">
      <c r="A729" t="inlineStr">
        <is>
          <t>A 35760-2023</t>
        </is>
      </c>
      <c r="B729" s="1" t="n">
        <v>45147</v>
      </c>
      <c r="C729" s="1" t="n">
        <v>45995</v>
      </c>
      <c r="D729" t="inlineStr">
        <is>
          <t>VÄSTERBOTTENS LÄN</t>
        </is>
      </c>
      <c r="E729" t="inlineStr">
        <is>
          <t>VILHELMINA</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47010-2024</t>
        </is>
      </c>
      <c r="B730" s="1" t="n">
        <v>45586</v>
      </c>
      <c r="C730" s="1" t="n">
        <v>45995</v>
      </c>
      <c r="D730" t="inlineStr">
        <is>
          <t>VÄSTERBOTTENS LÄN</t>
        </is>
      </c>
      <c r="E730" t="inlineStr">
        <is>
          <t>VILHELMINA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15805-2025</t>
        </is>
      </c>
      <c r="B731" s="1" t="n">
        <v>45748</v>
      </c>
      <c r="C731" s="1" t="n">
        <v>45995</v>
      </c>
      <c r="D731" t="inlineStr">
        <is>
          <t>VÄSTERBOTTENS LÄN</t>
        </is>
      </c>
      <c r="E731" t="inlineStr">
        <is>
          <t>VILHELMINA</t>
        </is>
      </c>
      <c r="G731" t="n">
        <v>1.4</v>
      </c>
      <c r="H731" t="n">
        <v>0</v>
      </c>
      <c r="I731" t="n">
        <v>0</v>
      </c>
      <c r="J731" t="n">
        <v>0</v>
      </c>
      <c r="K731" t="n">
        <v>0</v>
      </c>
      <c r="L731" t="n">
        <v>0</v>
      </c>
      <c r="M731" t="n">
        <v>0</v>
      </c>
      <c r="N731" t="n">
        <v>0</v>
      </c>
      <c r="O731" t="n">
        <v>0</v>
      </c>
      <c r="P731" t="n">
        <v>0</v>
      </c>
      <c r="Q731" t="n">
        <v>0</v>
      </c>
      <c r="R731" s="2" t="inlineStr"/>
    </row>
    <row r="732" ht="15" customHeight="1">
      <c r="A732" t="inlineStr">
        <is>
          <t>A 58833-2023</t>
        </is>
      </c>
      <c r="B732" s="1" t="n">
        <v>45248</v>
      </c>
      <c r="C732" s="1" t="n">
        <v>45995</v>
      </c>
      <c r="D732" t="inlineStr">
        <is>
          <t>VÄSTERBOTTENS LÄN</t>
        </is>
      </c>
      <c r="E732" t="inlineStr">
        <is>
          <t>VILHELMINA</t>
        </is>
      </c>
      <c r="G732" t="n">
        <v>1.5</v>
      </c>
      <c r="H732" t="n">
        <v>0</v>
      </c>
      <c r="I732" t="n">
        <v>0</v>
      </c>
      <c r="J732" t="n">
        <v>0</v>
      </c>
      <c r="K732" t="n">
        <v>0</v>
      </c>
      <c r="L732" t="n">
        <v>0</v>
      </c>
      <c r="M732" t="n">
        <v>0</v>
      </c>
      <c r="N732" t="n">
        <v>0</v>
      </c>
      <c r="O732" t="n">
        <v>0</v>
      </c>
      <c r="P732" t="n">
        <v>0</v>
      </c>
      <c r="Q732" t="n">
        <v>0</v>
      </c>
      <c r="R732" s="2" t="inlineStr"/>
    </row>
    <row r="733" ht="15" customHeight="1">
      <c r="A733" t="inlineStr">
        <is>
          <t>A 51042-2025</t>
        </is>
      </c>
      <c r="B733" s="1" t="n">
        <v>45947.42334490741</v>
      </c>
      <c r="C733" s="1" t="n">
        <v>45995</v>
      </c>
      <c r="D733" t="inlineStr">
        <is>
          <t>VÄSTERBOTTENS LÄN</t>
        </is>
      </c>
      <c r="E733" t="inlineStr">
        <is>
          <t>VILHELMINA</t>
        </is>
      </c>
      <c r="G733" t="n">
        <v>12.6</v>
      </c>
      <c r="H733" t="n">
        <v>0</v>
      </c>
      <c r="I733" t="n">
        <v>0</v>
      </c>
      <c r="J733" t="n">
        <v>0</v>
      </c>
      <c r="K733" t="n">
        <v>0</v>
      </c>
      <c r="L733" t="n">
        <v>0</v>
      </c>
      <c r="M733" t="n">
        <v>0</v>
      </c>
      <c r="N733" t="n">
        <v>0</v>
      </c>
      <c r="O733" t="n">
        <v>0</v>
      </c>
      <c r="P733" t="n">
        <v>0</v>
      </c>
      <c r="Q733" t="n">
        <v>0</v>
      </c>
      <c r="R733" s="2" t="inlineStr"/>
    </row>
    <row r="734" ht="15" customHeight="1">
      <c r="A734" t="inlineStr">
        <is>
          <t>A 60035-2023</t>
        </is>
      </c>
      <c r="B734" s="1" t="n">
        <v>45254</v>
      </c>
      <c r="C734" s="1" t="n">
        <v>45995</v>
      </c>
      <c r="D734" t="inlineStr">
        <is>
          <t>VÄSTERBOTTENS LÄN</t>
        </is>
      </c>
      <c r="E734" t="inlineStr">
        <is>
          <t>VILHELMINA</t>
        </is>
      </c>
      <c r="G734" t="n">
        <v>2</v>
      </c>
      <c r="H734" t="n">
        <v>0</v>
      </c>
      <c r="I734" t="n">
        <v>0</v>
      </c>
      <c r="J734" t="n">
        <v>0</v>
      </c>
      <c r="K734" t="n">
        <v>0</v>
      </c>
      <c r="L734" t="n">
        <v>0</v>
      </c>
      <c r="M734" t="n">
        <v>0</v>
      </c>
      <c r="N734" t="n">
        <v>0</v>
      </c>
      <c r="O734" t="n">
        <v>0</v>
      </c>
      <c r="P734" t="n">
        <v>0</v>
      </c>
      <c r="Q734" t="n">
        <v>0</v>
      </c>
      <c r="R734" s="2" t="inlineStr"/>
    </row>
    <row r="735" ht="15" customHeight="1">
      <c r="A735" t="inlineStr">
        <is>
          <t>A 59629-2025</t>
        </is>
      </c>
      <c r="B735" s="1" t="n">
        <v>45992.39248842592</v>
      </c>
      <c r="C735" s="1" t="n">
        <v>45995</v>
      </c>
      <c r="D735" t="inlineStr">
        <is>
          <t>VÄSTERBOTTENS LÄN</t>
        </is>
      </c>
      <c r="E735" t="inlineStr">
        <is>
          <t>VILHELMINA</t>
        </is>
      </c>
      <c r="G735" t="n">
        <v>12.6</v>
      </c>
      <c r="H735" t="n">
        <v>0</v>
      </c>
      <c r="I735" t="n">
        <v>0</v>
      </c>
      <c r="J735" t="n">
        <v>0</v>
      </c>
      <c r="K735" t="n">
        <v>0</v>
      </c>
      <c r="L735" t="n">
        <v>0</v>
      </c>
      <c r="M735" t="n">
        <v>0</v>
      </c>
      <c r="N735" t="n">
        <v>0</v>
      </c>
      <c r="O735" t="n">
        <v>0</v>
      </c>
      <c r="P735" t="n">
        <v>0</v>
      </c>
      <c r="Q735" t="n">
        <v>0</v>
      </c>
      <c r="R735" s="2" t="inlineStr"/>
    </row>
    <row r="736" ht="15" customHeight="1">
      <c r="A736" t="inlineStr">
        <is>
          <t>A 23764-2025</t>
        </is>
      </c>
      <c r="B736" s="1" t="n">
        <v>45793</v>
      </c>
      <c r="C736" s="1" t="n">
        <v>45995</v>
      </c>
      <c r="D736" t="inlineStr">
        <is>
          <t>VÄSTERBOTTENS LÄN</t>
        </is>
      </c>
      <c r="E736" t="inlineStr">
        <is>
          <t>VILHELMINA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33319-2024</t>
        </is>
      </c>
      <c r="B737" s="1" t="n">
        <v>45518</v>
      </c>
      <c r="C737" s="1" t="n">
        <v>45995</v>
      </c>
      <c r="D737" t="inlineStr">
        <is>
          <t>VÄSTERBOTTENS LÄN</t>
        </is>
      </c>
      <c r="E737" t="inlineStr">
        <is>
          <t>VILHELMINA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45672-2023</t>
        </is>
      </c>
      <c r="B738" s="1" t="n">
        <v>45194</v>
      </c>
      <c r="C738" s="1" t="n">
        <v>45995</v>
      </c>
      <c r="D738" t="inlineStr">
        <is>
          <t>VÄSTERBOTTENS LÄN</t>
        </is>
      </c>
      <c r="E738" t="inlineStr">
        <is>
          <t>VILHELMINA</t>
        </is>
      </c>
      <c r="G738" t="n">
        <v>1.5</v>
      </c>
      <c r="H738" t="n">
        <v>0</v>
      </c>
      <c r="I738" t="n">
        <v>0</v>
      </c>
      <c r="J738" t="n">
        <v>0</v>
      </c>
      <c r="K738" t="n">
        <v>0</v>
      </c>
      <c r="L738" t="n">
        <v>0</v>
      </c>
      <c r="M738" t="n">
        <v>0</v>
      </c>
      <c r="N738" t="n">
        <v>0</v>
      </c>
      <c r="O738" t="n">
        <v>0</v>
      </c>
      <c r="P738" t="n">
        <v>0</v>
      </c>
      <c r="Q738" t="n">
        <v>0</v>
      </c>
      <c r="R738" s="2" t="inlineStr"/>
    </row>
    <row r="739" ht="15" customHeight="1">
      <c r="A739" t="inlineStr">
        <is>
          <t>A 28486-2022</t>
        </is>
      </c>
      <c r="B739" s="1" t="n">
        <v>44747</v>
      </c>
      <c r="C739" s="1" t="n">
        <v>45995</v>
      </c>
      <c r="D739" t="inlineStr">
        <is>
          <t>VÄSTERBOTTENS LÄN</t>
        </is>
      </c>
      <c r="E739" t="inlineStr">
        <is>
          <t>VILHELMINA</t>
        </is>
      </c>
      <c r="F739" t="inlineStr">
        <is>
          <t>SCA</t>
        </is>
      </c>
      <c r="G739" t="n">
        <v>7.9</v>
      </c>
      <c r="H739" t="n">
        <v>0</v>
      </c>
      <c r="I739" t="n">
        <v>0</v>
      </c>
      <c r="J739" t="n">
        <v>0</v>
      </c>
      <c r="K739" t="n">
        <v>0</v>
      </c>
      <c r="L739" t="n">
        <v>0</v>
      </c>
      <c r="M739" t="n">
        <v>0</v>
      </c>
      <c r="N739" t="n">
        <v>0</v>
      </c>
      <c r="O739" t="n">
        <v>0</v>
      </c>
      <c r="P739" t="n">
        <v>0</v>
      </c>
      <c r="Q739" t="n">
        <v>0</v>
      </c>
      <c r="R739" s="2" t="inlineStr"/>
    </row>
    <row r="740" ht="15" customHeight="1">
      <c r="A740" t="inlineStr">
        <is>
          <t>A 23686-2025</t>
        </is>
      </c>
      <c r="B740" s="1" t="n">
        <v>45793</v>
      </c>
      <c r="C740" s="1" t="n">
        <v>45995</v>
      </c>
      <c r="D740" t="inlineStr">
        <is>
          <t>VÄSTERBOTTENS LÄN</t>
        </is>
      </c>
      <c r="E740" t="inlineStr">
        <is>
          <t>VILHELMINA</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26663-2023</t>
        </is>
      </c>
      <c r="B741" s="1" t="n">
        <v>45092.94042824074</v>
      </c>
      <c r="C741" s="1" t="n">
        <v>45995</v>
      </c>
      <c r="D741" t="inlineStr">
        <is>
          <t>VÄSTERBOTTENS LÄN</t>
        </is>
      </c>
      <c r="E741" t="inlineStr">
        <is>
          <t>VILHELMINA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63877-2023</t>
        </is>
      </c>
      <c r="B742" s="1" t="n">
        <v>45278</v>
      </c>
      <c r="C742" s="1" t="n">
        <v>45995</v>
      </c>
      <c r="D742" t="inlineStr">
        <is>
          <t>VÄSTERBOTTENS LÄN</t>
        </is>
      </c>
      <c r="E742" t="inlineStr">
        <is>
          <t>VILHELMINA</t>
        </is>
      </c>
      <c r="G742" t="n">
        <v>1.2</v>
      </c>
      <c r="H742" t="n">
        <v>0</v>
      </c>
      <c r="I742" t="n">
        <v>0</v>
      </c>
      <c r="J742" t="n">
        <v>0</v>
      </c>
      <c r="K742" t="n">
        <v>0</v>
      </c>
      <c r="L742" t="n">
        <v>0</v>
      </c>
      <c r="M742" t="n">
        <v>0</v>
      </c>
      <c r="N742" t="n">
        <v>0</v>
      </c>
      <c r="O742" t="n">
        <v>0</v>
      </c>
      <c r="P742" t="n">
        <v>0</v>
      </c>
      <c r="Q742" t="n">
        <v>0</v>
      </c>
      <c r="R742" s="2" t="inlineStr"/>
    </row>
    <row r="743" ht="15" customHeight="1">
      <c r="A743" t="inlineStr">
        <is>
          <t>A 39677-2024</t>
        </is>
      </c>
      <c r="B743" s="1" t="n">
        <v>45552</v>
      </c>
      <c r="C743" s="1" t="n">
        <v>45995</v>
      </c>
      <c r="D743" t="inlineStr">
        <is>
          <t>VÄSTERBOTTENS LÄN</t>
        </is>
      </c>
      <c r="E743" t="inlineStr">
        <is>
          <t>VILHELMINA</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36215-2023</t>
        </is>
      </c>
      <c r="B744" s="1" t="n">
        <v>45149.95266203704</v>
      </c>
      <c r="C744" s="1" t="n">
        <v>45995</v>
      </c>
      <c r="D744" t="inlineStr">
        <is>
          <t>VÄSTERBOTTENS LÄN</t>
        </is>
      </c>
      <c r="E744" t="inlineStr">
        <is>
          <t>VILHELMINA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48472-2023</t>
        </is>
      </c>
      <c r="B745" s="1" t="n">
        <v>45206.95761574074</v>
      </c>
      <c r="C745" s="1" t="n">
        <v>45995</v>
      </c>
      <c r="D745" t="inlineStr">
        <is>
          <t>VÄSTERBOTTENS LÄN</t>
        </is>
      </c>
      <c r="E745" t="inlineStr">
        <is>
          <t>VILHELMINA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43637-2023</t>
        </is>
      </c>
      <c r="B746" s="1" t="n">
        <v>45186.51590277778</v>
      </c>
      <c r="C746" s="1" t="n">
        <v>45995</v>
      </c>
      <c r="D746" t="inlineStr">
        <is>
          <t>VÄSTERBOTTENS LÄN</t>
        </is>
      </c>
      <c r="E746" t="inlineStr">
        <is>
          <t>VILHELMINA</t>
        </is>
      </c>
      <c r="G746" t="n">
        <v>3.3</v>
      </c>
      <c r="H746" t="n">
        <v>0</v>
      </c>
      <c r="I746" t="n">
        <v>0</v>
      </c>
      <c r="J746" t="n">
        <v>0</v>
      </c>
      <c r="K746" t="n">
        <v>0</v>
      </c>
      <c r="L746" t="n">
        <v>0</v>
      </c>
      <c r="M746" t="n">
        <v>0</v>
      </c>
      <c r="N746" t="n">
        <v>0</v>
      </c>
      <c r="O746" t="n">
        <v>0</v>
      </c>
      <c r="P746" t="n">
        <v>0</v>
      </c>
      <c r="Q746" t="n">
        <v>0</v>
      </c>
      <c r="R746" s="2" t="inlineStr"/>
    </row>
    <row r="747" ht="15" customHeight="1">
      <c r="A747" t="inlineStr">
        <is>
          <t>A 51651-2025</t>
        </is>
      </c>
      <c r="B747" s="1" t="n">
        <v>45951.46043981481</v>
      </c>
      <c r="C747" s="1" t="n">
        <v>45995</v>
      </c>
      <c r="D747" t="inlineStr">
        <is>
          <t>VÄSTERBOTTENS LÄN</t>
        </is>
      </c>
      <c r="E747" t="inlineStr">
        <is>
          <t>VILHELMINA</t>
        </is>
      </c>
      <c r="G747" t="n">
        <v>6.9</v>
      </c>
      <c r="H747" t="n">
        <v>0</v>
      </c>
      <c r="I747" t="n">
        <v>0</v>
      </c>
      <c r="J747" t="n">
        <v>0</v>
      </c>
      <c r="K747" t="n">
        <v>0</v>
      </c>
      <c r="L747" t="n">
        <v>0</v>
      </c>
      <c r="M747" t="n">
        <v>0</v>
      </c>
      <c r="N747" t="n">
        <v>0</v>
      </c>
      <c r="O747" t="n">
        <v>0</v>
      </c>
      <c r="P747" t="n">
        <v>0</v>
      </c>
      <c r="Q747" t="n">
        <v>0</v>
      </c>
      <c r="R747" s="2" t="inlineStr"/>
    </row>
    <row r="748" ht="15" customHeight="1">
      <c r="A748" t="inlineStr">
        <is>
          <t>A 51657-2025</t>
        </is>
      </c>
      <c r="B748" s="1" t="n">
        <v>45951.47362268518</v>
      </c>
      <c r="C748" s="1" t="n">
        <v>45995</v>
      </c>
      <c r="D748" t="inlineStr">
        <is>
          <t>VÄSTERBOTTENS LÄN</t>
        </is>
      </c>
      <c r="E748" t="inlineStr">
        <is>
          <t>VILHELMINA</t>
        </is>
      </c>
      <c r="G748" t="n">
        <v>14.4</v>
      </c>
      <c r="H748" t="n">
        <v>0</v>
      </c>
      <c r="I748" t="n">
        <v>0</v>
      </c>
      <c r="J748" t="n">
        <v>0</v>
      </c>
      <c r="K748" t="n">
        <v>0</v>
      </c>
      <c r="L748" t="n">
        <v>0</v>
      </c>
      <c r="M748" t="n">
        <v>0</v>
      </c>
      <c r="N748" t="n">
        <v>0</v>
      </c>
      <c r="O748" t="n">
        <v>0</v>
      </c>
      <c r="P748" t="n">
        <v>0</v>
      </c>
      <c r="Q748" t="n">
        <v>0</v>
      </c>
      <c r="R748" s="2" t="inlineStr"/>
    </row>
    <row r="749" ht="15" customHeight="1">
      <c r="A749" t="inlineStr">
        <is>
          <t>A 16608-2024</t>
        </is>
      </c>
      <c r="B749" s="1" t="n">
        <v>45408</v>
      </c>
      <c r="C749" s="1" t="n">
        <v>45995</v>
      </c>
      <c r="D749" t="inlineStr">
        <is>
          <t>VÄSTERBOTTENS LÄN</t>
        </is>
      </c>
      <c r="E749" t="inlineStr">
        <is>
          <t>VILHELMINA</t>
        </is>
      </c>
      <c r="G749" t="n">
        <v>17.5</v>
      </c>
      <c r="H749" t="n">
        <v>0</v>
      </c>
      <c r="I749" t="n">
        <v>0</v>
      </c>
      <c r="J749" t="n">
        <v>0</v>
      </c>
      <c r="K749" t="n">
        <v>0</v>
      </c>
      <c r="L749" t="n">
        <v>0</v>
      </c>
      <c r="M749" t="n">
        <v>0</v>
      </c>
      <c r="N749" t="n">
        <v>0</v>
      </c>
      <c r="O749" t="n">
        <v>0</v>
      </c>
      <c r="P749" t="n">
        <v>0</v>
      </c>
      <c r="Q749" t="n">
        <v>0</v>
      </c>
      <c r="R749" s="2" t="inlineStr"/>
    </row>
    <row r="750" ht="15" customHeight="1">
      <c r="A750" t="inlineStr">
        <is>
          <t>A 55695-2024</t>
        </is>
      </c>
      <c r="B750" s="1" t="n">
        <v>45622</v>
      </c>
      <c r="C750" s="1" t="n">
        <v>45995</v>
      </c>
      <c r="D750" t="inlineStr">
        <is>
          <t>VÄSTERBOTTENS LÄN</t>
        </is>
      </c>
      <c r="E750" t="inlineStr">
        <is>
          <t>VILHELMINA</t>
        </is>
      </c>
      <c r="G750" t="n">
        <v>7</v>
      </c>
      <c r="H750" t="n">
        <v>0</v>
      </c>
      <c r="I750" t="n">
        <v>0</v>
      </c>
      <c r="J750" t="n">
        <v>0</v>
      </c>
      <c r="K750" t="n">
        <v>0</v>
      </c>
      <c r="L750" t="n">
        <v>0</v>
      </c>
      <c r="M750" t="n">
        <v>0</v>
      </c>
      <c r="N750" t="n">
        <v>0</v>
      </c>
      <c r="O750" t="n">
        <v>0</v>
      </c>
      <c r="P750" t="n">
        <v>0</v>
      </c>
      <c r="Q750" t="n">
        <v>0</v>
      </c>
      <c r="R750" s="2" t="inlineStr"/>
    </row>
    <row r="751" ht="15" customHeight="1">
      <c r="A751" t="inlineStr">
        <is>
          <t>A 59505-2025</t>
        </is>
      </c>
      <c r="B751" s="1" t="n">
        <v>45989</v>
      </c>
      <c r="C751" s="1" t="n">
        <v>45995</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60065-2025</t>
        </is>
      </c>
      <c r="B752" s="1" t="n">
        <v>45993.65892361111</v>
      </c>
      <c r="C752" s="1" t="n">
        <v>45995</v>
      </c>
      <c r="D752" t="inlineStr">
        <is>
          <t>VÄSTERBOTTENS LÄN</t>
        </is>
      </c>
      <c r="E752" t="inlineStr">
        <is>
          <t>VILHELMINA</t>
        </is>
      </c>
      <c r="G752" t="n">
        <v>5.8</v>
      </c>
      <c r="H752" t="n">
        <v>0</v>
      </c>
      <c r="I752" t="n">
        <v>0</v>
      </c>
      <c r="J752" t="n">
        <v>0</v>
      </c>
      <c r="K752" t="n">
        <v>0</v>
      </c>
      <c r="L752" t="n">
        <v>0</v>
      </c>
      <c r="M752" t="n">
        <v>0</v>
      </c>
      <c r="N752" t="n">
        <v>0</v>
      </c>
      <c r="O752" t="n">
        <v>0</v>
      </c>
      <c r="P752" t="n">
        <v>0</v>
      </c>
      <c r="Q752" t="n">
        <v>0</v>
      </c>
      <c r="R752" s="2" t="inlineStr"/>
    </row>
    <row r="753" ht="15" customHeight="1">
      <c r="A753" t="inlineStr">
        <is>
          <t>A 31696-2024</t>
        </is>
      </c>
      <c r="B753" s="1" t="n">
        <v>45508</v>
      </c>
      <c r="C753" s="1" t="n">
        <v>45995</v>
      </c>
      <c r="D753" t="inlineStr">
        <is>
          <t>VÄSTERBOTTENS LÄN</t>
        </is>
      </c>
      <c r="E753" t="inlineStr">
        <is>
          <t>VILHELMINA</t>
        </is>
      </c>
      <c r="G753" t="n">
        <v>12.4</v>
      </c>
      <c r="H753" t="n">
        <v>0</v>
      </c>
      <c r="I753" t="n">
        <v>0</v>
      </c>
      <c r="J753" t="n">
        <v>0</v>
      </c>
      <c r="K753" t="n">
        <v>0</v>
      </c>
      <c r="L753" t="n">
        <v>0</v>
      </c>
      <c r="M753" t="n">
        <v>0</v>
      </c>
      <c r="N753" t="n">
        <v>0</v>
      </c>
      <c r="O753" t="n">
        <v>0</v>
      </c>
      <c r="P753" t="n">
        <v>0</v>
      </c>
      <c r="Q753" t="n">
        <v>0</v>
      </c>
      <c r="R753" s="2" t="inlineStr"/>
    </row>
    <row r="754" ht="15" customHeight="1">
      <c r="A754" t="inlineStr">
        <is>
          <t>A 32683-2024</t>
        </is>
      </c>
      <c r="B754" s="1" t="n">
        <v>45515</v>
      </c>
      <c r="C754" s="1" t="n">
        <v>45995</v>
      </c>
      <c r="D754" t="inlineStr">
        <is>
          <t>VÄSTERBOTTENS LÄN</t>
        </is>
      </c>
      <c r="E754" t="inlineStr">
        <is>
          <t>VILHELMINA</t>
        </is>
      </c>
      <c r="G754" t="n">
        <v>6.1</v>
      </c>
      <c r="H754" t="n">
        <v>0</v>
      </c>
      <c r="I754" t="n">
        <v>0</v>
      </c>
      <c r="J754" t="n">
        <v>0</v>
      </c>
      <c r="K754" t="n">
        <v>0</v>
      </c>
      <c r="L754" t="n">
        <v>0</v>
      </c>
      <c r="M754" t="n">
        <v>0</v>
      </c>
      <c r="N754" t="n">
        <v>0</v>
      </c>
      <c r="O754" t="n">
        <v>0</v>
      </c>
      <c r="P754" t="n">
        <v>0</v>
      </c>
      <c r="Q754" t="n">
        <v>0</v>
      </c>
      <c r="R754" s="2" t="inlineStr"/>
    </row>
    <row r="755" ht="15" customHeight="1">
      <c r="A755" t="inlineStr">
        <is>
          <t>A 60057-2025</t>
        </is>
      </c>
      <c r="B755" s="1" t="n">
        <v>45993.65197916667</v>
      </c>
      <c r="C755" s="1" t="n">
        <v>45995</v>
      </c>
      <c r="D755" t="inlineStr">
        <is>
          <t>VÄSTERBOTTENS LÄN</t>
        </is>
      </c>
      <c r="E755" t="inlineStr">
        <is>
          <t>VILHELMINA</t>
        </is>
      </c>
      <c r="G755" t="n">
        <v>0.6</v>
      </c>
      <c r="H755" t="n">
        <v>0</v>
      </c>
      <c r="I755" t="n">
        <v>0</v>
      </c>
      <c r="J755" t="n">
        <v>0</v>
      </c>
      <c r="K755" t="n">
        <v>0</v>
      </c>
      <c r="L755" t="n">
        <v>0</v>
      </c>
      <c r="M755" t="n">
        <v>0</v>
      </c>
      <c r="N755" t="n">
        <v>0</v>
      </c>
      <c r="O755" t="n">
        <v>0</v>
      </c>
      <c r="P755" t="n">
        <v>0</v>
      </c>
      <c r="Q755" t="n">
        <v>0</v>
      </c>
      <c r="R755" s="2" t="inlineStr"/>
    </row>
    <row r="756" ht="15" customHeight="1">
      <c r="A756" t="inlineStr">
        <is>
          <t>A 52034-2025</t>
        </is>
      </c>
      <c r="B756" s="1" t="n">
        <v>45952.61252314815</v>
      </c>
      <c r="C756" s="1" t="n">
        <v>45995</v>
      </c>
      <c r="D756" t="inlineStr">
        <is>
          <t>VÄSTERBOTTENS LÄN</t>
        </is>
      </c>
      <c r="E756" t="inlineStr">
        <is>
          <t>VILHELMINA</t>
        </is>
      </c>
      <c r="G756" t="n">
        <v>9.6</v>
      </c>
      <c r="H756" t="n">
        <v>0</v>
      </c>
      <c r="I756" t="n">
        <v>0</v>
      </c>
      <c r="J756" t="n">
        <v>0</v>
      </c>
      <c r="K756" t="n">
        <v>0</v>
      </c>
      <c r="L756" t="n">
        <v>0</v>
      </c>
      <c r="M756" t="n">
        <v>0</v>
      </c>
      <c r="N756" t="n">
        <v>0</v>
      </c>
      <c r="O756" t="n">
        <v>0</v>
      </c>
      <c r="P756" t="n">
        <v>0</v>
      </c>
      <c r="Q756" t="n">
        <v>0</v>
      </c>
      <c r="R756" s="2" t="inlineStr"/>
    </row>
    <row r="757" ht="15" customHeight="1">
      <c r="A757" t="inlineStr">
        <is>
          <t>A 26381-2024</t>
        </is>
      </c>
      <c r="B757" s="1" t="n">
        <v>45469</v>
      </c>
      <c r="C757" s="1" t="n">
        <v>45995</v>
      </c>
      <c r="D757" t="inlineStr">
        <is>
          <t>VÄSTERBOTTENS LÄN</t>
        </is>
      </c>
      <c r="E757" t="inlineStr">
        <is>
          <t>VILHELMINA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47483-2023</t>
        </is>
      </c>
      <c r="B758" s="1" t="n">
        <v>45202.9413425926</v>
      </c>
      <c r="C758" s="1" t="n">
        <v>45995</v>
      </c>
      <c r="D758" t="inlineStr">
        <is>
          <t>VÄSTERBOTTENS LÄN</t>
        </is>
      </c>
      <c r="E758" t="inlineStr">
        <is>
          <t>VILHELMINA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58471-2025</t>
        </is>
      </c>
      <c r="B759" s="1" t="n">
        <v>45985</v>
      </c>
      <c r="C759" s="1" t="n">
        <v>45995</v>
      </c>
      <c r="D759" t="inlineStr">
        <is>
          <t>VÄSTERBOTTENS LÄN</t>
        </is>
      </c>
      <c r="E759" t="inlineStr">
        <is>
          <t>VILHELMINA</t>
        </is>
      </c>
      <c r="G759" t="n">
        <v>4.5</v>
      </c>
      <c r="H759" t="n">
        <v>0</v>
      </c>
      <c r="I759" t="n">
        <v>0</v>
      </c>
      <c r="J759" t="n">
        <v>0</v>
      </c>
      <c r="K759" t="n">
        <v>0</v>
      </c>
      <c r="L759" t="n">
        <v>0</v>
      </c>
      <c r="M759" t="n">
        <v>0</v>
      </c>
      <c r="N759" t="n">
        <v>0</v>
      </c>
      <c r="O759" t="n">
        <v>0</v>
      </c>
      <c r="P759" t="n">
        <v>0</v>
      </c>
      <c r="Q759" t="n">
        <v>0</v>
      </c>
      <c r="R759" s="2" t="inlineStr"/>
    </row>
    <row r="760" ht="15" customHeight="1">
      <c r="A760" t="inlineStr">
        <is>
          <t>A 58999-2024</t>
        </is>
      </c>
      <c r="B760" s="1" t="n">
        <v>45636</v>
      </c>
      <c r="C760" s="1" t="n">
        <v>45995</v>
      </c>
      <c r="D760" t="inlineStr">
        <is>
          <t>VÄSTERBOTTENS LÄN</t>
        </is>
      </c>
      <c r="E760" t="inlineStr">
        <is>
          <t>VILHELMINA</t>
        </is>
      </c>
      <c r="F760" t="inlineStr">
        <is>
          <t>Allmännings- och besparingsskogar</t>
        </is>
      </c>
      <c r="G760" t="n">
        <v>12.3</v>
      </c>
      <c r="H760" t="n">
        <v>0</v>
      </c>
      <c r="I760" t="n">
        <v>0</v>
      </c>
      <c r="J760" t="n">
        <v>0</v>
      </c>
      <c r="K760" t="n">
        <v>0</v>
      </c>
      <c r="L760" t="n">
        <v>0</v>
      </c>
      <c r="M760" t="n">
        <v>0</v>
      </c>
      <c r="N760" t="n">
        <v>0</v>
      </c>
      <c r="O760" t="n">
        <v>0</v>
      </c>
      <c r="P760" t="n">
        <v>0</v>
      </c>
      <c r="Q760" t="n">
        <v>0</v>
      </c>
      <c r="R760" s="2" t="inlineStr"/>
    </row>
    <row r="761" ht="15" customHeight="1">
      <c r="A761" t="inlineStr">
        <is>
          <t>A 60069-2025</t>
        </is>
      </c>
      <c r="B761" s="1" t="n">
        <v>45993.66409722222</v>
      </c>
      <c r="C761" s="1" t="n">
        <v>45995</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60075-2025</t>
        </is>
      </c>
      <c r="B762" s="1" t="n">
        <v>45993.67761574074</v>
      </c>
      <c r="C762" s="1" t="n">
        <v>45995</v>
      </c>
      <c r="D762" t="inlineStr">
        <is>
          <t>VÄSTERBOTTENS LÄN</t>
        </is>
      </c>
      <c r="E762" t="inlineStr">
        <is>
          <t>VILHELMINA</t>
        </is>
      </c>
      <c r="G762" t="n">
        <v>36.9</v>
      </c>
      <c r="H762" t="n">
        <v>0</v>
      </c>
      <c r="I762" t="n">
        <v>0</v>
      </c>
      <c r="J762" t="n">
        <v>0</v>
      </c>
      <c r="K762" t="n">
        <v>0</v>
      </c>
      <c r="L762" t="n">
        <v>0</v>
      </c>
      <c r="M762" t="n">
        <v>0</v>
      </c>
      <c r="N762" t="n">
        <v>0</v>
      </c>
      <c r="O762" t="n">
        <v>0</v>
      </c>
      <c r="P762" t="n">
        <v>0</v>
      </c>
      <c r="Q762" t="n">
        <v>0</v>
      </c>
      <c r="R762" s="2" t="inlineStr"/>
    </row>
    <row r="763" ht="15" customHeight="1">
      <c r="A763" t="inlineStr">
        <is>
          <t>A 51704-2025</t>
        </is>
      </c>
      <c r="B763" s="1" t="n">
        <v>45951.55436342592</v>
      </c>
      <c r="C763" s="1" t="n">
        <v>45995</v>
      </c>
      <c r="D763" t="inlineStr">
        <is>
          <t>VÄSTERBOTTENS LÄN</t>
        </is>
      </c>
      <c r="E763" t="inlineStr">
        <is>
          <t>VILHELMINA</t>
        </is>
      </c>
      <c r="G763" t="n">
        <v>2.9</v>
      </c>
      <c r="H763" t="n">
        <v>0</v>
      </c>
      <c r="I763" t="n">
        <v>0</v>
      </c>
      <c r="J763" t="n">
        <v>0</v>
      </c>
      <c r="K763" t="n">
        <v>0</v>
      </c>
      <c r="L763" t="n">
        <v>0</v>
      </c>
      <c r="M763" t="n">
        <v>0</v>
      </c>
      <c r="N763" t="n">
        <v>0</v>
      </c>
      <c r="O763" t="n">
        <v>0</v>
      </c>
      <c r="P763" t="n">
        <v>0</v>
      </c>
      <c r="Q763" t="n">
        <v>0</v>
      </c>
      <c r="R763" s="2" t="inlineStr"/>
    </row>
    <row r="764" ht="15" customHeight="1">
      <c r="A764" t="inlineStr">
        <is>
          <t>A 59915-2025</t>
        </is>
      </c>
      <c r="B764" s="1" t="n">
        <v>45993.37083333333</v>
      </c>
      <c r="C764" s="1" t="n">
        <v>45995</v>
      </c>
      <c r="D764" t="inlineStr">
        <is>
          <t>VÄSTERBOTTENS LÄN</t>
        </is>
      </c>
      <c r="E764" t="inlineStr">
        <is>
          <t>VILHELMINA</t>
        </is>
      </c>
      <c r="G764" t="n">
        <v>27.8</v>
      </c>
      <c r="H764" t="n">
        <v>0</v>
      </c>
      <c r="I764" t="n">
        <v>0</v>
      </c>
      <c r="J764" t="n">
        <v>0</v>
      </c>
      <c r="K764" t="n">
        <v>0</v>
      </c>
      <c r="L764" t="n">
        <v>0</v>
      </c>
      <c r="M764" t="n">
        <v>0</v>
      </c>
      <c r="N764" t="n">
        <v>0</v>
      </c>
      <c r="O764" t="n">
        <v>0</v>
      </c>
      <c r="P764" t="n">
        <v>0</v>
      </c>
      <c r="Q764" t="n">
        <v>0</v>
      </c>
      <c r="R764" s="2" t="inlineStr"/>
    </row>
    <row r="765" ht="15" customHeight="1">
      <c r="A765" t="inlineStr">
        <is>
          <t>A 17186-2025</t>
        </is>
      </c>
      <c r="B765" s="1" t="n">
        <v>45756</v>
      </c>
      <c r="C765" s="1" t="n">
        <v>45995</v>
      </c>
      <c r="D765" t="inlineStr">
        <is>
          <t>VÄSTERBOTTENS LÄN</t>
        </is>
      </c>
      <c r="E765" t="inlineStr">
        <is>
          <t>VILHELMINA</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17302-2025</t>
        </is>
      </c>
      <c r="B766" s="1" t="n">
        <v>45756</v>
      </c>
      <c r="C766" s="1" t="n">
        <v>45995</v>
      </c>
      <c r="D766" t="inlineStr">
        <is>
          <t>VÄSTERBOTTENS LÄN</t>
        </is>
      </c>
      <c r="E766" t="inlineStr">
        <is>
          <t>VILHELMINA</t>
        </is>
      </c>
      <c r="G766" t="n">
        <v>6.6</v>
      </c>
      <c r="H766" t="n">
        <v>0</v>
      </c>
      <c r="I766" t="n">
        <v>0</v>
      </c>
      <c r="J766" t="n">
        <v>0</v>
      </c>
      <c r="K766" t="n">
        <v>0</v>
      </c>
      <c r="L766" t="n">
        <v>0</v>
      </c>
      <c r="M766" t="n">
        <v>0</v>
      </c>
      <c r="N766" t="n">
        <v>0</v>
      </c>
      <c r="O766" t="n">
        <v>0</v>
      </c>
      <c r="P766" t="n">
        <v>0</v>
      </c>
      <c r="Q766" t="n">
        <v>0</v>
      </c>
      <c r="R766" s="2" t="inlineStr"/>
    </row>
    <row r="767" ht="15" customHeight="1">
      <c r="A767" t="inlineStr">
        <is>
          <t>A 17314-2025</t>
        </is>
      </c>
      <c r="B767" s="1" t="n">
        <v>45756</v>
      </c>
      <c r="C767" s="1" t="n">
        <v>45995</v>
      </c>
      <c r="D767" t="inlineStr">
        <is>
          <t>VÄSTERBOTTENS LÄN</t>
        </is>
      </c>
      <c r="E767" t="inlineStr">
        <is>
          <t>VILHELMINA</t>
        </is>
      </c>
      <c r="G767" t="n">
        <v>3.4</v>
      </c>
      <c r="H767" t="n">
        <v>0</v>
      </c>
      <c r="I767" t="n">
        <v>0</v>
      </c>
      <c r="J767" t="n">
        <v>0</v>
      </c>
      <c r="K767" t="n">
        <v>0</v>
      </c>
      <c r="L767" t="n">
        <v>0</v>
      </c>
      <c r="M767" t="n">
        <v>0</v>
      </c>
      <c r="N767" t="n">
        <v>0</v>
      </c>
      <c r="O767" t="n">
        <v>0</v>
      </c>
      <c r="P767" t="n">
        <v>0</v>
      </c>
      <c r="Q767" t="n">
        <v>0</v>
      </c>
      <c r="R767" s="2" t="inlineStr"/>
    </row>
    <row r="768" ht="15" customHeight="1">
      <c r="A768" t="inlineStr">
        <is>
          <t>A 59506-2025</t>
        </is>
      </c>
      <c r="B768" s="1" t="n">
        <v>45989</v>
      </c>
      <c r="C768" s="1" t="n">
        <v>45995</v>
      </c>
      <c r="D768" t="inlineStr">
        <is>
          <t>VÄSTERBOTTENS LÄN</t>
        </is>
      </c>
      <c r="E768" t="inlineStr">
        <is>
          <t>VILHELMINA</t>
        </is>
      </c>
      <c r="G768" t="n">
        <v>4.9</v>
      </c>
      <c r="H768" t="n">
        <v>0</v>
      </c>
      <c r="I768" t="n">
        <v>0</v>
      </c>
      <c r="J768" t="n">
        <v>0</v>
      </c>
      <c r="K768" t="n">
        <v>0</v>
      </c>
      <c r="L768" t="n">
        <v>0</v>
      </c>
      <c r="M768" t="n">
        <v>0</v>
      </c>
      <c r="N768" t="n">
        <v>0</v>
      </c>
      <c r="O768" t="n">
        <v>0</v>
      </c>
      <c r="P768" t="n">
        <v>0</v>
      </c>
      <c r="Q768" t="n">
        <v>0</v>
      </c>
      <c r="R768" s="2" t="inlineStr"/>
    </row>
    <row r="769" ht="15" customHeight="1">
      <c r="A769" t="inlineStr">
        <is>
          <t>A 51701-2025</t>
        </is>
      </c>
      <c r="B769" s="1" t="n">
        <v>45951.55298611111</v>
      </c>
      <c r="C769" s="1" t="n">
        <v>45995</v>
      </c>
      <c r="D769" t="inlineStr">
        <is>
          <t>VÄSTERBOTTENS LÄN</t>
        </is>
      </c>
      <c r="E769" t="inlineStr">
        <is>
          <t>VILHELMINA</t>
        </is>
      </c>
      <c r="G769" t="n">
        <v>4.1</v>
      </c>
      <c r="H769" t="n">
        <v>0</v>
      </c>
      <c r="I769" t="n">
        <v>0</v>
      </c>
      <c r="J769" t="n">
        <v>0</v>
      </c>
      <c r="K769" t="n">
        <v>0</v>
      </c>
      <c r="L769" t="n">
        <v>0</v>
      </c>
      <c r="M769" t="n">
        <v>0</v>
      </c>
      <c r="N769" t="n">
        <v>0</v>
      </c>
      <c r="O769" t="n">
        <v>0</v>
      </c>
      <c r="P769" t="n">
        <v>0</v>
      </c>
      <c r="Q769" t="n">
        <v>0</v>
      </c>
      <c r="R769" s="2" t="inlineStr"/>
    </row>
    <row r="770" ht="15" customHeight="1">
      <c r="A770" t="inlineStr">
        <is>
          <t>A 57812-2025</t>
        </is>
      </c>
      <c r="B770" s="1" t="n">
        <v>45981</v>
      </c>
      <c r="C770" s="1" t="n">
        <v>45995</v>
      </c>
      <c r="D770" t="inlineStr">
        <is>
          <t>VÄSTERBOTTENS LÄN</t>
        </is>
      </c>
      <c r="E770" t="inlineStr">
        <is>
          <t>VILHELMINA</t>
        </is>
      </c>
      <c r="G770" t="n">
        <v>5.9</v>
      </c>
      <c r="H770" t="n">
        <v>0</v>
      </c>
      <c r="I770" t="n">
        <v>0</v>
      </c>
      <c r="J770" t="n">
        <v>0</v>
      </c>
      <c r="K770" t="n">
        <v>0</v>
      </c>
      <c r="L770" t="n">
        <v>0</v>
      </c>
      <c r="M770" t="n">
        <v>0</v>
      </c>
      <c r="N770" t="n">
        <v>0</v>
      </c>
      <c r="O770" t="n">
        <v>0</v>
      </c>
      <c r="P770" t="n">
        <v>0</v>
      </c>
      <c r="Q770" t="n">
        <v>0</v>
      </c>
      <c r="R770" s="2" t="inlineStr"/>
    </row>
    <row r="771" ht="15" customHeight="1">
      <c r="A771" t="inlineStr">
        <is>
          <t>A 24224-2025</t>
        </is>
      </c>
      <c r="B771" s="1" t="n">
        <v>45797</v>
      </c>
      <c r="C771" s="1" t="n">
        <v>45995</v>
      </c>
      <c r="D771" t="inlineStr">
        <is>
          <t>VÄSTERBOTTENS LÄN</t>
        </is>
      </c>
      <c r="E771" t="inlineStr">
        <is>
          <t>VILHELMINA</t>
        </is>
      </c>
      <c r="G771" t="n">
        <v>27.2</v>
      </c>
      <c r="H771" t="n">
        <v>0</v>
      </c>
      <c r="I771" t="n">
        <v>0</v>
      </c>
      <c r="J771" t="n">
        <v>0</v>
      </c>
      <c r="K771" t="n">
        <v>0</v>
      </c>
      <c r="L771" t="n">
        <v>0</v>
      </c>
      <c r="M771" t="n">
        <v>0</v>
      </c>
      <c r="N771" t="n">
        <v>0</v>
      </c>
      <c r="O771" t="n">
        <v>0</v>
      </c>
      <c r="P771" t="n">
        <v>0</v>
      </c>
      <c r="Q771" t="n">
        <v>0</v>
      </c>
      <c r="R771" s="2" t="inlineStr"/>
    </row>
    <row r="772" ht="15" customHeight="1">
      <c r="A772" t="inlineStr">
        <is>
          <t>A 25180-2025</t>
        </is>
      </c>
      <c r="B772" s="1" t="n">
        <v>45800.44892361111</v>
      </c>
      <c r="C772" s="1" t="n">
        <v>45995</v>
      </c>
      <c r="D772" t="inlineStr">
        <is>
          <t>VÄSTERBOTTENS LÄN</t>
        </is>
      </c>
      <c r="E772" t="inlineStr">
        <is>
          <t>VILHELMINA</t>
        </is>
      </c>
      <c r="F772" t="inlineStr">
        <is>
          <t>SCA</t>
        </is>
      </c>
      <c r="G772" t="n">
        <v>10.8</v>
      </c>
      <c r="H772" t="n">
        <v>0</v>
      </c>
      <c r="I772" t="n">
        <v>0</v>
      </c>
      <c r="J772" t="n">
        <v>0</v>
      </c>
      <c r="K772" t="n">
        <v>0</v>
      </c>
      <c r="L772" t="n">
        <v>0</v>
      </c>
      <c r="M772" t="n">
        <v>0</v>
      </c>
      <c r="N772" t="n">
        <v>0</v>
      </c>
      <c r="O772" t="n">
        <v>0</v>
      </c>
      <c r="P772" t="n">
        <v>0</v>
      </c>
      <c r="Q772" t="n">
        <v>0</v>
      </c>
      <c r="R772" s="2" t="inlineStr"/>
    </row>
    <row r="773" ht="15" customHeight="1">
      <c r="A773" t="inlineStr">
        <is>
          <t>A 17587-2024</t>
        </is>
      </c>
      <c r="B773" s="1" t="n">
        <v>45415.94033564815</v>
      </c>
      <c r="C773" s="1" t="n">
        <v>45995</v>
      </c>
      <c r="D773" t="inlineStr">
        <is>
          <t>VÄSTERBOTTENS LÄN</t>
        </is>
      </c>
      <c r="E773" t="inlineStr">
        <is>
          <t>VILHELMINA</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24870-2025</t>
        </is>
      </c>
      <c r="B774" s="1" t="n">
        <v>45799.49025462963</v>
      </c>
      <c r="C774" s="1" t="n">
        <v>45995</v>
      </c>
      <c r="D774" t="inlineStr">
        <is>
          <t>VÄSTERBOTTENS LÄN</t>
        </is>
      </c>
      <c r="E774" t="inlineStr">
        <is>
          <t>VILHELMINA</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25239-2025</t>
        </is>
      </c>
      <c r="B775" s="1" t="n">
        <v>45800</v>
      </c>
      <c r="C775" s="1" t="n">
        <v>45995</v>
      </c>
      <c r="D775" t="inlineStr">
        <is>
          <t>VÄSTERBOTTENS LÄN</t>
        </is>
      </c>
      <c r="E775" t="inlineStr">
        <is>
          <t>VILHELMINA</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25309-2025</t>
        </is>
      </c>
      <c r="B776" s="1" t="n">
        <v>45800.57380787037</v>
      </c>
      <c r="C776" s="1" t="n">
        <v>45995</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8215-2023</t>
        </is>
      </c>
      <c r="B777" s="1" t="n">
        <v>44971</v>
      </c>
      <c r="C777" s="1" t="n">
        <v>45995</v>
      </c>
      <c r="D777" t="inlineStr">
        <is>
          <t>VÄSTERBOTTENS LÄN</t>
        </is>
      </c>
      <c r="E777" t="inlineStr">
        <is>
          <t>VILHELMINA</t>
        </is>
      </c>
      <c r="G777" t="n">
        <v>0.8</v>
      </c>
      <c r="H777" t="n">
        <v>0</v>
      </c>
      <c r="I777" t="n">
        <v>0</v>
      </c>
      <c r="J777" t="n">
        <v>0</v>
      </c>
      <c r="K777" t="n">
        <v>0</v>
      </c>
      <c r="L777" t="n">
        <v>0</v>
      </c>
      <c r="M777" t="n">
        <v>0</v>
      </c>
      <c r="N777" t="n">
        <v>0</v>
      </c>
      <c r="O777" t="n">
        <v>0</v>
      </c>
      <c r="P777" t="n">
        <v>0</v>
      </c>
      <c r="Q777" t="n">
        <v>0</v>
      </c>
      <c r="R777" s="2" t="inlineStr"/>
    </row>
    <row r="778" ht="15" customHeight="1">
      <c r="A778" t="inlineStr">
        <is>
          <t>A 48754-2021</t>
        </is>
      </c>
      <c r="B778" s="1" t="n">
        <v>44452</v>
      </c>
      <c r="C778" s="1" t="n">
        <v>45995</v>
      </c>
      <c r="D778" t="inlineStr">
        <is>
          <t>VÄSTERBOTTENS LÄN</t>
        </is>
      </c>
      <c r="E778" t="inlineStr">
        <is>
          <t>VILHELMINA</t>
        </is>
      </c>
      <c r="G778" t="n">
        <v>5.6</v>
      </c>
      <c r="H778" t="n">
        <v>0</v>
      </c>
      <c r="I778" t="n">
        <v>0</v>
      </c>
      <c r="J778" t="n">
        <v>0</v>
      </c>
      <c r="K778" t="n">
        <v>0</v>
      </c>
      <c r="L778" t="n">
        <v>0</v>
      </c>
      <c r="M778" t="n">
        <v>0</v>
      </c>
      <c r="N778" t="n">
        <v>0</v>
      </c>
      <c r="O778" t="n">
        <v>0</v>
      </c>
      <c r="P778" t="n">
        <v>0</v>
      </c>
      <c r="Q778" t="n">
        <v>0</v>
      </c>
      <c r="R778" s="2" t="inlineStr"/>
    </row>
    <row r="779" ht="15" customHeight="1">
      <c r="A779" t="inlineStr">
        <is>
          <t>A 48756-2021</t>
        </is>
      </c>
      <c r="B779" s="1" t="n">
        <v>44452</v>
      </c>
      <c r="C779" s="1" t="n">
        <v>45995</v>
      </c>
      <c r="D779" t="inlineStr">
        <is>
          <t>VÄSTERBOTTENS LÄN</t>
        </is>
      </c>
      <c r="E779" t="inlineStr">
        <is>
          <t>VILHELMINA</t>
        </is>
      </c>
      <c r="G779" t="n">
        <v>13.3</v>
      </c>
      <c r="H779" t="n">
        <v>0</v>
      </c>
      <c r="I779" t="n">
        <v>0</v>
      </c>
      <c r="J779" t="n">
        <v>0</v>
      </c>
      <c r="K779" t="n">
        <v>0</v>
      </c>
      <c r="L779" t="n">
        <v>0</v>
      </c>
      <c r="M779" t="n">
        <v>0</v>
      </c>
      <c r="N779" t="n">
        <v>0</v>
      </c>
      <c r="O779" t="n">
        <v>0</v>
      </c>
      <c r="P779" t="n">
        <v>0</v>
      </c>
      <c r="Q779" t="n">
        <v>0</v>
      </c>
      <c r="R779" s="2" t="inlineStr"/>
    </row>
    <row r="780" ht="15" customHeight="1">
      <c r="A780" t="inlineStr">
        <is>
          <t>A 46318-2022</t>
        </is>
      </c>
      <c r="B780" s="1" t="n">
        <v>44847</v>
      </c>
      <c r="C780" s="1" t="n">
        <v>45995</v>
      </c>
      <c r="D780" t="inlineStr">
        <is>
          <t>VÄSTERBOTTENS LÄN</t>
        </is>
      </c>
      <c r="E780" t="inlineStr">
        <is>
          <t>VILHELMINA</t>
        </is>
      </c>
      <c r="G780" t="n">
        <v>11.7</v>
      </c>
      <c r="H780" t="n">
        <v>0</v>
      </c>
      <c r="I780" t="n">
        <v>0</v>
      </c>
      <c r="J780" t="n">
        <v>0</v>
      </c>
      <c r="K780" t="n">
        <v>0</v>
      </c>
      <c r="L780" t="n">
        <v>0</v>
      </c>
      <c r="M780" t="n">
        <v>0</v>
      </c>
      <c r="N780" t="n">
        <v>0</v>
      </c>
      <c r="O780" t="n">
        <v>0</v>
      </c>
      <c r="P780" t="n">
        <v>0</v>
      </c>
      <c r="Q780" t="n">
        <v>0</v>
      </c>
      <c r="R780" s="2" t="inlineStr"/>
    </row>
    <row r="781" ht="15" customHeight="1">
      <c r="A781" t="inlineStr">
        <is>
          <t>A 24871-2025</t>
        </is>
      </c>
      <c r="B781" s="1" t="n">
        <v>45799.49028935185</v>
      </c>
      <c r="C781" s="1" t="n">
        <v>45995</v>
      </c>
      <c r="D781" t="inlineStr">
        <is>
          <t>VÄSTERBOTTENS LÄN</t>
        </is>
      </c>
      <c r="E781" t="inlineStr">
        <is>
          <t>VILHELMINA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37322-2022</t>
        </is>
      </c>
      <c r="B782" s="1" t="n">
        <v>44806</v>
      </c>
      <c r="C782" s="1" t="n">
        <v>45995</v>
      </c>
      <c r="D782" t="inlineStr">
        <is>
          <t>VÄSTERBOTTENS LÄN</t>
        </is>
      </c>
      <c r="E782" t="inlineStr">
        <is>
          <t>VILHELMINA</t>
        </is>
      </c>
      <c r="F782" t="inlineStr">
        <is>
          <t>Övriga statliga verk och myndigheter</t>
        </is>
      </c>
      <c r="G782" t="n">
        <v>15.4</v>
      </c>
      <c r="H782" t="n">
        <v>0</v>
      </c>
      <c r="I782" t="n">
        <v>0</v>
      </c>
      <c r="J782" t="n">
        <v>0</v>
      </c>
      <c r="K782" t="n">
        <v>0</v>
      </c>
      <c r="L782" t="n">
        <v>0</v>
      </c>
      <c r="M782" t="n">
        <v>0</v>
      </c>
      <c r="N782" t="n">
        <v>0</v>
      </c>
      <c r="O782" t="n">
        <v>0</v>
      </c>
      <c r="P782" t="n">
        <v>0</v>
      </c>
      <c r="Q782" t="n">
        <v>0</v>
      </c>
      <c r="R782" s="2" t="inlineStr"/>
    </row>
    <row r="783" ht="15" customHeight="1">
      <c r="A783" t="inlineStr">
        <is>
          <t>A 25062-2025</t>
        </is>
      </c>
      <c r="B783" s="1" t="n">
        <v>45799.69844907407</v>
      </c>
      <c r="C783" s="1" t="n">
        <v>45995</v>
      </c>
      <c r="D783" t="inlineStr">
        <is>
          <t>VÄSTERBOTTENS LÄN</t>
        </is>
      </c>
      <c r="E783" t="inlineStr">
        <is>
          <t>VILHELMINA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25176-2025</t>
        </is>
      </c>
      <c r="B784" s="1" t="n">
        <v>45800.44840277778</v>
      </c>
      <c r="C784" s="1" t="n">
        <v>45995</v>
      </c>
      <c r="D784" t="inlineStr">
        <is>
          <t>VÄSTERBOTTENS LÄN</t>
        </is>
      </c>
      <c r="E784" t="inlineStr">
        <is>
          <t>VILHELMINA</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20510-2024</t>
        </is>
      </c>
      <c r="B785" s="1" t="n">
        <v>45435.94324074074</v>
      </c>
      <c r="C785" s="1" t="n">
        <v>45995</v>
      </c>
      <c r="D785" t="inlineStr">
        <is>
          <t>VÄSTERBOTTENS LÄN</t>
        </is>
      </c>
      <c r="E785" t="inlineStr">
        <is>
          <t>VILHELMINA</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20523-2024</t>
        </is>
      </c>
      <c r="B786" s="1" t="n">
        <v>45435.94553240741</v>
      </c>
      <c r="C786" s="1" t="n">
        <v>45995</v>
      </c>
      <c r="D786" t="inlineStr">
        <is>
          <t>VÄSTERBOTTENS LÄN</t>
        </is>
      </c>
      <c r="E786" t="inlineStr">
        <is>
          <t>VILHELMINA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32455-2024</t>
        </is>
      </c>
      <c r="B787" s="1" t="n">
        <v>45512.95870370371</v>
      </c>
      <c r="C787" s="1" t="n">
        <v>45995</v>
      </c>
      <c r="D787" t="inlineStr">
        <is>
          <t>VÄSTERBOTTENS LÄN</t>
        </is>
      </c>
      <c r="E787" t="inlineStr">
        <is>
          <t>VILHELMINA</t>
        </is>
      </c>
      <c r="F787" t="inlineStr">
        <is>
          <t>SCA</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25524-2025</t>
        </is>
      </c>
      <c r="B788" s="1" t="n">
        <v>45803.38644675926</v>
      </c>
      <c r="C788" s="1" t="n">
        <v>45995</v>
      </c>
      <c r="D788" t="inlineStr">
        <is>
          <t>VÄSTERBOTTENS LÄN</t>
        </is>
      </c>
      <c r="E788" t="inlineStr">
        <is>
          <t>VILHELMINA</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25770-2025</t>
        </is>
      </c>
      <c r="B789" s="1" t="n">
        <v>45804.3449537037</v>
      </c>
      <c r="C789" s="1" t="n">
        <v>45995</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25942-2025</t>
        </is>
      </c>
      <c r="B790" s="1" t="n">
        <v>45804.59461805555</v>
      </c>
      <c r="C790" s="1" t="n">
        <v>45995</v>
      </c>
      <c r="D790" t="inlineStr">
        <is>
          <t>VÄSTERBOTTENS LÄN</t>
        </is>
      </c>
      <c r="E790" t="inlineStr">
        <is>
          <t>VILHELMINA</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46908-2024</t>
        </is>
      </c>
      <c r="B791" s="1" t="n">
        <v>45583</v>
      </c>
      <c r="C791" s="1" t="n">
        <v>45995</v>
      </c>
      <c r="D791" t="inlineStr">
        <is>
          <t>VÄSTERBOTTENS LÄN</t>
        </is>
      </c>
      <c r="E791" t="inlineStr">
        <is>
          <t>VILHELMINA</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26098-2025</t>
        </is>
      </c>
      <c r="B792" s="1" t="n">
        <v>45805</v>
      </c>
      <c r="C792" s="1" t="n">
        <v>45995</v>
      </c>
      <c r="D792" t="inlineStr">
        <is>
          <t>VÄSTERBOTTENS LÄN</t>
        </is>
      </c>
      <c r="E792" t="inlineStr">
        <is>
          <t>VILHELMINA</t>
        </is>
      </c>
      <c r="F792" t="inlineStr">
        <is>
          <t>Övriga statliga verk och myndigheter</t>
        </is>
      </c>
      <c r="G792" t="n">
        <v>5.4</v>
      </c>
      <c r="H792" t="n">
        <v>0</v>
      </c>
      <c r="I792" t="n">
        <v>0</v>
      </c>
      <c r="J792" t="n">
        <v>0</v>
      </c>
      <c r="K792" t="n">
        <v>0</v>
      </c>
      <c r="L792" t="n">
        <v>0</v>
      </c>
      <c r="M792" t="n">
        <v>0</v>
      </c>
      <c r="N792" t="n">
        <v>0</v>
      </c>
      <c r="O792" t="n">
        <v>0</v>
      </c>
      <c r="P792" t="n">
        <v>0</v>
      </c>
      <c r="Q792" t="n">
        <v>0</v>
      </c>
      <c r="R792" s="2" t="inlineStr"/>
    </row>
    <row r="793" ht="15" customHeight="1">
      <c r="A793" t="inlineStr">
        <is>
          <t>A 27355-2023</t>
        </is>
      </c>
      <c r="B793" s="1" t="n">
        <v>45096</v>
      </c>
      <c r="C793" s="1" t="n">
        <v>45995</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26553-2023</t>
        </is>
      </c>
      <c r="B794" s="1" t="n">
        <v>45089</v>
      </c>
      <c r="C794" s="1" t="n">
        <v>45995</v>
      </c>
      <c r="D794" t="inlineStr">
        <is>
          <t>VÄSTERBOTTENS LÄN</t>
        </is>
      </c>
      <c r="E794" t="inlineStr">
        <is>
          <t>VILHELMINA</t>
        </is>
      </c>
      <c r="G794" t="n">
        <v>5.5</v>
      </c>
      <c r="H794" t="n">
        <v>0</v>
      </c>
      <c r="I794" t="n">
        <v>0</v>
      </c>
      <c r="J794" t="n">
        <v>0</v>
      </c>
      <c r="K794" t="n">
        <v>0</v>
      </c>
      <c r="L794" t="n">
        <v>0</v>
      </c>
      <c r="M794" t="n">
        <v>0</v>
      </c>
      <c r="N794" t="n">
        <v>0</v>
      </c>
      <c r="O794" t="n">
        <v>0</v>
      </c>
      <c r="P794" t="n">
        <v>0</v>
      </c>
      <c r="Q794" t="n">
        <v>0</v>
      </c>
      <c r="R794" s="2" t="inlineStr"/>
    </row>
    <row r="795" ht="15" customHeight="1">
      <c r="A795" t="inlineStr">
        <is>
          <t>A 58946-2024</t>
        </is>
      </c>
      <c r="B795" s="1" t="n">
        <v>45636.55063657407</v>
      </c>
      <c r="C795" s="1" t="n">
        <v>45995</v>
      </c>
      <c r="D795" t="inlineStr">
        <is>
          <t>VÄSTERBOTTENS LÄN</t>
        </is>
      </c>
      <c r="E795" t="inlineStr">
        <is>
          <t>VILHELMINA</t>
        </is>
      </c>
      <c r="F795" t="inlineStr">
        <is>
          <t>Kommuner</t>
        </is>
      </c>
      <c r="G795" t="n">
        <v>4.9</v>
      </c>
      <c r="H795" t="n">
        <v>0</v>
      </c>
      <c r="I795" t="n">
        <v>0</v>
      </c>
      <c r="J795" t="n">
        <v>0</v>
      </c>
      <c r="K795" t="n">
        <v>0</v>
      </c>
      <c r="L795" t="n">
        <v>0</v>
      </c>
      <c r="M795" t="n">
        <v>0</v>
      </c>
      <c r="N795" t="n">
        <v>0</v>
      </c>
      <c r="O795" t="n">
        <v>0</v>
      </c>
      <c r="P795" t="n">
        <v>0</v>
      </c>
      <c r="Q795" t="n">
        <v>0</v>
      </c>
      <c r="R795" s="2" t="inlineStr"/>
    </row>
    <row r="796" ht="15" customHeight="1">
      <c r="A796" t="inlineStr">
        <is>
          <t>A 21345-2024</t>
        </is>
      </c>
      <c r="B796" s="1" t="n">
        <v>45440.92866898148</v>
      </c>
      <c r="C796" s="1" t="n">
        <v>45995</v>
      </c>
      <c r="D796" t="inlineStr">
        <is>
          <t>VÄSTERBOTTENS LÄN</t>
        </is>
      </c>
      <c r="E796" t="inlineStr">
        <is>
          <t>VILHELMINA</t>
        </is>
      </c>
      <c r="G796" t="n">
        <v>3</v>
      </c>
      <c r="H796" t="n">
        <v>0</v>
      </c>
      <c r="I796" t="n">
        <v>0</v>
      </c>
      <c r="J796" t="n">
        <v>0</v>
      </c>
      <c r="K796" t="n">
        <v>0</v>
      </c>
      <c r="L796" t="n">
        <v>0</v>
      </c>
      <c r="M796" t="n">
        <v>0</v>
      </c>
      <c r="N796" t="n">
        <v>0</v>
      </c>
      <c r="O796" t="n">
        <v>0</v>
      </c>
      <c r="P796" t="n">
        <v>0</v>
      </c>
      <c r="Q796" t="n">
        <v>0</v>
      </c>
      <c r="R796" s="2" t="inlineStr"/>
    </row>
    <row r="797" ht="15" customHeight="1">
      <c r="A797" t="inlineStr">
        <is>
          <t>A 8859-2023</t>
        </is>
      </c>
      <c r="B797" s="1" t="n">
        <v>44978</v>
      </c>
      <c r="C797" s="1" t="n">
        <v>45995</v>
      </c>
      <c r="D797" t="inlineStr">
        <is>
          <t>VÄSTERBOTTENS LÄN</t>
        </is>
      </c>
      <c r="E797" t="inlineStr">
        <is>
          <t>VILHELMINA</t>
        </is>
      </c>
      <c r="G797" t="n">
        <v>6.3</v>
      </c>
      <c r="H797" t="n">
        <v>0</v>
      </c>
      <c r="I797" t="n">
        <v>0</v>
      </c>
      <c r="J797" t="n">
        <v>0</v>
      </c>
      <c r="K797" t="n">
        <v>0</v>
      </c>
      <c r="L797" t="n">
        <v>0</v>
      </c>
      <c r="M797" t="n">
        <v>0</v>
      </c>
      <c r="N797" t="n">
        <v>0</v>
      </c>
      <c r="O797" t="n">
        <v>0</v>
      </c>
      <c r="P797" t="n">
        <v>0</v>
      </c>
      <c r="Q797" t="n">
        <v>0</v>
      </c>
      <c r="R797" s="2" t="inlineStr"/>
    </row>
    <row r="798" ht="15" customHeight="1">
      <c r="A798" t="inlineStr">
        <is>
          <t>A 26722-2025</t>
        </is>
      </c>
      <c r="B798" s="1" t="n">
        <v>45810</v>
      </c>
      <c r="C798" s="1" t="n">
        <v>45995</v>
      </c>
      <c r="D798" t="inlineStr">
        <is>
          <t>VÄSTERBOTTENS LÄN</t>
        </is>
      </c>
      <c r="E798" t="inlineStr">
        <is>
          <t>VILHELMINA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41484-2022</t>
        </is>
      </c>
      <c r="B799" s="1" t="n">
        <v>44826</v>
      </c>
      <c r="C799" s="1" t="n">
        <v>45995</v>
      </c>
      <c r="D799" t="inlineStr">
        <is>
          <t>VÄSTERBOTTENS LÄN</t>
        </is>
      </c>
      <c r="E799" t="inlineStr">
        <is>
          <t>VILHELMINA</t>
        </is>
      </c>
      <c r="F799" t="inlineStr">
        <is>
          <t>SCA</t>
        </is>
      </c>
      <c r="G799" t="n">
        <v>18.1</v>
      </c>
      <c r="H799" t="n">
        <v>0</v>
      </c>
      <c r="I799" t="n">
        <v>0</v>
      </c>
      <c r="J799" t="n">
        <v>0</v>
      </c>
      <c r="K799" t="n">
        <v>0</v>
      </c>
      <c r="L799" t="n">
        <v>0</v>
      </c>
      <c r="M799" t="n">
        <v>0</v>
      </c>
      <c r="N799" t="n">
        <v>0</v>
      </c>
      <c r="O799" t="n">
        <v>0</v>
      </c>
      <c r="P799" t="n">
        <v>0</v>
      </c>
      <c r="Q799" t="n">
        <v>0</v>
      </c>
      <c r="R799" s="2" t="inlineStr"/>
    </row>
    <row r="800" ht="15" customHeight="1">
      <c r="A800" t="inlineStr">
        <is>
          <t>A 47253-2022</t>
        </is>
      </c>
      <c r="B800" s="1" t="n">
        <v>44852</v>
      </c>
      <c r="C800" s="1" t="n">
        <v>45995</v>
      </c>
      <c r="D800" t="inlineStr">
        <is>
          <t>VÄSTERBOTTENS LÄN</t>
        </is>
      </c>
      <c r="E800" t="inlineStr">
        <is>
          <t>VILHELMINA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26744-2025</t>
        </is>
      </c>
      <c r="B801" s="1" t="n">
        <v>45810.53185185185</v>
      </c>
      <c r="C801" s="1" t="n">
        <v>45995</v>
      </c>
      <c r="D801" t="inlineStr">
        <is>
          <t>VÄSTERBOTTENS LÄN</t>
        </is>
      </c>
      <c r="E801" t="inlineStr">
        <is>
          <t>VILHELMINA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26790-2025</t>
        </is>
      </c>
      <c r="B802" s="1" t="n">
        <v>45810.59417824074</v>
      </c>
      <c r="C802" s="1" t="n">
        <v>45995</v>
      </c>
      <c r="D802" t="inlineStr">
        <is>
          <t>VÄSTERBOTTENS LÄN</t>
        </is>
      </c>
      <c r="E802" t="inlineStr">
        <is>
          <t>VILHELMINA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26745-2025</t>
        </is>
      </c>
      <c r="B803" s="1" t="n">
        <v>45810.53188657408</v>
      </c>
      <c r="C803" s="1" t="n">
        <v>45995</v>
      </c>
      <c r="D803" t="inlineStr">
        <is>
          <t>VÄSTERBOTTENS LÄN</t>
        </is>
      </c>
      <c r="E803" t="inlineStr">
        <is>
          <t>VILHELMINA</t>
        </is>
      </c>
      <c r="F803" t="inlineStr">
        <is>
          <t>SCA</t>
        </is>
      </c>
      <c r="G803" t="n">
        <v>0.3</v>
      </c>
      <c r="H803" t="n">
        <v>0</v>
      </c>
      <c r="I803" t="n">
        <v>0</v>
      </c>
      <c r="J803" t="n">
        <v>0</v>
      </c>
      <c r="K803" t="n">
        <v>0</v>
      </c>
      <c r="L803" t="n">
        <v>0</v>
      </c>
      <c r="M803" t="n">
        <v>0</v>
      </c>
      <c r="N803" t="n">
        <v>0</v>
      </c>
      <c r="O803" t="n">
        <v>0</v>
      </c>
      <c r="P803" t="n">
        <v>0</v>
      </c>
      <c r="Q803" t="n">
        <v>0</v>
      </c>
      <c r="R803" s="2" t="inlineStr"/>
    </row>
    <row r="804" ht="15" customHeight="1">
      <c r="A804" t="inlineStr">
        <is>
          <t>A 35412-2024</t>
        </is>
      </c>
      <c r="B804" s="1" t="n">
        <v>45531.4075</v>
      </c>
      <c r="C804" s="1" t="n">
        <v>45995</v>
      </c>
      <c r="D804" t="inlineStr">
        <is>
          <t>VÄSTERBOTTENS LÄN</t>
        </is>
      </c>
      <c r="E804" t="inlineStr">
        <is>
          <t>VILHELMINA</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14961-2022</t>
        </is>
      </c>
      <c r="B805" s="1" t="n">
        <v>44657</v>
      </c>
      <c r="C805" s="1" t="n">
        <v>45995</v>
      </c>
      <c r="D805" t="inlineStr">
        <is>
          <t>VÄSTERBOTTENS LÄN</t>
        </is>
      </c>
      <c r="E805" t="inlineStr">
        <is>
          <t>VILHELMINA</t>
        </is>
      </c>
      <c r="G805" t="n">
        <v>19.9</v>
      </c>
      <c r="H805" t="n">
        <v>0</v>
      </c>
      <c r="I805" t="n">
        <v>0</v>
      </c>
      <c r="J805" t="n">
        <v>0</v>
      </c>
      <c r="K805" t="n">
        <v>0</v>
      </c>
      <c r="L805" t="n">
        <v>0</v>
      </c>
      <c r="M805" t="n">
        <v>0</v>
      </c>
      <c r="N805" t="n">
        <v>0</v>
      </c>
      <c r="O805" t="n">
        <v>0</v>
      </c>
      <c r="P805" t="n">
        <v>0</v>
      </c>
      <c r="Q805" t="n">
        <v>0</v>
      </c>
      <c r="R805" s="2" t="inlineStr"/>
    </row>
    <row r="806" ht="15" customHeight="1">
      <c r="A806" t="inlineStr">
        <is>
          <t>A 44634-2024</t>
        </is>
      </c>
      <c r="B806" s="1" t="n">
        <v>45574</v>
      </c>
      <c r="C806" s="1" t="n">
        <v>45995</v>
      </c>
      <c r="D806" t="inlineStr">
        <is>
          <t>VÄSTERBOTTENS LÄN</t>
        </is>
      </c>
      <c r="E806" t="inlineStr">
        <is>
          <t>VILHELMINA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66952-2021</t>
        </is>
      </c>
      <c r="B807" s="1" t="n">
        <v>44522</v>
      </c>
      <c r="C807" s="1" t="n">
        <v>45995</v>
      </c>
      <c r="D807" t="inlineStr">
        <is>
          <t>VÄSTERBOTTENS LÄN</t>
        </is>
      </c>
      <c r="E807" t="inlineStr">
        <is>
          <t>VILHELMINA</t>
        </is>
      </c>
      <c r="F807" t="inlineStr">
        <is>
          <t>Allmännings- och besparingsskogar</t>
        </is>
      </c>
      <c r="G807" t="n">
        <v>70</v>
      </c>
      <c r="H807" t="n">
        <v>0</v>
      </c>
      <c r="I807" t="n">
        <v>0</v>
      </c>
      <c r="J807" t="n">
        <v>0</v>
      </c>
      <c r="K807" t="n">
        <v>0</v>
      </c>
      <c r="L807" t="n">
        <v>0</v>
      </c>
      <c r="M807" t="n">
        <v>0</v>
      </c>
      <c r="N807" t="n">
        <v>0</v>
      </c>
      <c r="O807" t="n">
        <v>0</v>
      </c>
      <c r="P807" t="n">
        <v>0</v>
      </c>
      <c r="Q807" t="n">
        <v>0</v>
      </c>
      <c r="R807" s="2" t="inlineStr"/>
    </row>
    <row r="808" ht="15" customHeight="1">
      <c r="A808" t="inlineStr">
        <is>
          <t>A 3096-2021</t>
        </is>
      </c>
      <c r="B808" s="1" t="n">
        <v>44216.93865740741</v>
      </c>
      <c r="C808" s="1" t="n">
        <v>45995</v>
      </c>
      <c r="D808" t="inlineStr">
        <is>
          <t>VÄSTERBOTTENS LÄN</t>
        </is>
      </c>
      <c r="E808" t="inlineStr">
        <is>
          <t>VILHELMINA</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45995</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21726-2021</t>
        </is>
      </c>
      <c r="B810" s="1" t="n">
        <v>44322</v>
      </c>
      <c r="C810" s="1" t="n">
        <v>45995</v>
      </c>
      <c r="D810" t="inlineStr">
        <is>
          <t>VÄSTERBOTTENS LÄN</t>
        </is>
      </c>
      <c r="E810" t="inlineStr">
        <is>
          <t>VILHELMINA</t>
        </is>
      </c>
      <c r="G810" t="n">
        <v>19.6</v>
      </c>
      <c r="H810" t="n">
        <v>0</v>
      </c>
      <c r="I810" t="n">
        <v>0</v>
      </c>
      <c r="J810" t="n">
        <v>0</v>
      </c>
      <c r="K810" t="n">
        <v>0</v>
      </c>
      <c r="L810" t="n">
        <v>0</v>
      </c>
      <c r="M810" t="n">
        <v>0</v>
      </c>
      <c r="N810" t="n">
        <v>0</v>
      </c>
      <c r="O810" t="n">
        <v>0</v>
      </c>
      <c r="P810" t="n">
        <v>0</v>
      </c>
      <c r="Q810" t="n">
        <v>0</v>
      </c>
      <c r="R810" s="2" t="inlineStr"/>
    </row>
    <row r="811" ht="15" customHeight="1">
      <c r="A811" t="inlineStr">
        <is>
          <t>A 72057-2021</t>
        </is>
      </c>
      <c r="B811" s="1" t="n">
        <v>44540</v>
      </c>
      <c r="C811" s="1" t="n">
        <v>45995</v>
      </c>
      <c r="D811" t="inlineStr">
        <is>
          <t>VÄSTERBOTTENS LÄN</t>
        </is>
      </c>
      <c r="E811" t="inlineStr">
        <is>
          <t>VILHELMINA</t>
        </is>
      </c>
      <c r="G811" t="n">
        <v>7</v>
      </c>
      <c r="H811" t="n">
        <v>0</v>
      </c>
      <c r="I811" t="n">
        <v>0</v>
      </c>
      <c r="J811" t="n">
        <v>0</v>
      </c>
      <c r="K811" t="n">
        <v>0</v>
      </c>
      <c r="L811" t="n">
        <v>0</v>
      </c>
      <c r="M811" t="n">
        <v>0</v>
      </c>
      <c r="N811" t="n">
        <v>0</v>
      </c>
      <c r="O811" t="n">
        <v>0</v>
      </c>
      <c r="P811" t="n">
        <v>0</v>
      </c>
      <c r="Q811" t="n">
        <v>0</v>
      </c>
      <c r="R811" s="2" t="inlineStr"/>
    </row>
    <row r="812" ht="15" customHeight="1">
      <c r="A812" t="inlineStr">
        <is>
          <t>A 61777-2023</t>
        </is>
      </c>
      <c r="B812" s="1" t="n">
        <v>45265</v>
      </c>
      <c r="C812" s="1" t="n">
        <v>45995</v>
      </c>
      <c r="D812" t="inlineStr">
        <is>
          <t>VÄSTERBOTTENS LÄN</t>
        </is>
      </c>
      <c r="E812" t="inlineStr">
        <is>
          <t>VILHELMINA</t>
        </is>
      </c>
      <c r="F812" t="inlineStr">
        <is>
          <t>SCA</t>
        </is>
      </c>
      <c r="G812" t="n">
        <v>20.6</v>
      </c>
      <c r="H812" t="n">
        <v>0</v>
      </c>
      <c r="I812" t="n">
        <v>0</v>
      </c>
      <c r="J812" t="n">
        <v>0</v>
      </c>
      <c r="K812" t="n">
        <v>0</v>
      </c>
      <c r="L812" t="n">
        <v>0</v>
      </c>
      <c r="M812" t="n">
        <v>0</v>
      </c>
      <c r="N812" t="n">
        <v>0</v>
      </c>
      <c r="O812" t="n">
        <v>0</v>
      </c>
      <c r="P812" t="n">
        <v>0</v>
      </c>
      <c r="Q812" t="n">
        <v>0</v>
      </c>
      <c r="R812" s="2" t="inlineStr"/>
    </row>
    <row r="813" ht="15" customHeight="1">
      <c r="A813" t="inlineStr">
        <is>
          <t>A 27601-2025</t>
        </is>
      </c>
      <c r="B813" s="1" t="n">
        <v>45813.52791666667</v>
      </c>
      <c r="C813" s="1" t="n">
        <v>45995</v>
      </c>
      <c r="D813" t="inlineStr">
        <is>
          <t>VÄSTERBOTTENS LÄN</t>
        </is>
      </c>
      <c r="E813" t="inlineStr">
        <is>
          <t>VILHELMINA</t>
        </is>
      </c>
      <c r="F813" t="inlineStr">
        <is>
          <t>Övriga statliga verk och myndigheter</t>
        </is>
      </c>
      <c r="G813" t="n">
        <v>36.5</v>
      </c>
      <c r="H813" t="n">
        <v>0</v>
      </c>
      <c r="I813" t="n">
        <v>0</v>
      </c>
      <c r="J813" t="n">
        <v>0</v>
      </c>
      <c r="K813" t="n">
        <v>0</v>
      </c>
      <c r="L813" t="n">
        <v>0</v>
      </c>
      <c r="M813" t="n">
        <v>0</v>
      </c>
      <c r="N813" t="n">
        <v>0</v>
      </c>
      <c r="O813" t="n">
        <v>0</v>
      </c>
      <c r="P813" t="n">
        <v>0</v>
      </c>
      <c r="Q813" t="n">
        <v>0</v>
      </c>
      <c r="R813" s="2" t="inlineStr"/>
    </row>
    <row r="814" ht="15" customHeight="1">
      <c r="A814" t="inlineStr">
        <is>
          <t>A 29922-2024</t>
        </is>
      </c>
      <c r="B814" s="1" t="n">
        <v>45487.9563425926</v>
      </c>
      <c r="C814" s="1" t="n">
        <v>45995</v>
      </c>
      <c r="D814" t="inlineStr">
        <is>
          <t>VÄSTERBOTTENS LÄN</t>
        </is>
      </c>
      <c r="E814" t="inlineStr">
        <is>
          <t>VILHELMINA</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12365-2025</t>
        </is>
      </c>
      <c r="B815" s="1" t="n">
        <v>45730.37549768519</v>
      </c>
      <c r="C815" s="1" t="n">
        <v>45995</v>
      </c>
      <c r="D815" t="inlineStr">
        <is>
          <t>VÄSTERBOTTENS LÄN</t>
        </is>
      </c>
      <c r="E815" t="inlineStr">
        <is>
          <t>VILHELMINA</t>
        </is>
      </c>
      <c r="F815" t="inlineStr">
        <is>
          <t>Övriga statliga verk och myndigheter</t>
        </is>
      </c>
      <c r="G815" t="n">
        <v>11.5</v>
      </c>
      <c r="H815" t="n">
        <v>0</v>
      </c>
      <c r="I815" t="n">
        <v>0</v>
      </c>
      <c r="J815" t="n">
        <v>0</v>
      </c>
      <c r="K815" t="n">
        <v>0</v>
      </c>
      <c r="L815" t="n">
        <v>0</v>
      </c>
      <c r="M815" t="n">
        <v>0</v>
      </c>
      <c r="N815" t="n">
        <v>0</v>
      </c>
      <c r="O815" t="n">
        <v>0</v>
      </c>
      <c r="P815" t="n">
        <v>0</v>
      </c>
      <c r="Q815" t="n">
        <v>0</v>
      </c>
      <c r="R815" s="2" t="inlineStr"/>
    </row>
    <row r="816" ht="15" customHeight="1">
      <c r="A816" t="inlineStr">
        <is>
          <t>A 12370-2025</t>
        </is>
      </c>
      <c r="B816" s="1" t="n">
        <v>45730.37681712963</v>
      </c>
      <c r="C816" s="1" t="n">
        <v>45995</v>
      </c>
      <c r="D816" t="inlineStr">
        <is>
          <t>VÄSTERBOTTENS LÄN</t>
        </is>
      </c>
      <c r="E816" t="inlineStr">
        <is>
          <t>VILHELMINA</t>
        </is>
      </c>
      <c r="F816" t="inlineStr">
        <is>
          <t>Övriga statliga verk och myndigheter</t>
        </is>
      </c>
      <c r="G816" t="n">
        <v>8.9</v>
      </c>
      <c r="H816" t="n">
        <v>0</v>
      </c>
      <c r="I816" t="n">
        <v>0</v>
      </c>
      <c r="J816" t="n">
        <v>0</v>
      </c>
      <c r="K816" t="n">
        <v>0</v>
      </c>
      <c r="L816" t="n">
        <v>0</v>
      </c>
      <c r="M816" t="n">
        <v>0</v>
      </c>
      <c r="N816" t="n">
        <v>0</v>
      </c>
      <c r="O816" t="n">
        <v>0</v>
      </c>
      <c r="P816" t="n">
        <v>0</v>
      </c>
      <c r="Q816" t="n">
        <v>0</v>
      </c>
      <c r="R816" s="2" t="inlineStr"/>
    </row>
    <row r="817" ht="15" customHeight="1">
      <c r="A817" t="inlineStr">
        <is>
          <t>A 27945-2025</t>
        </is>
      </c>
      <c r="B817" s="1" t="n">
        <v>45817</v>
      </c>
      <c r="C817" s="1" t="n">
        <v>45995</v>
      </c>
      <c r="D817" t="inlineStr">
        <is>
          <t>VÄSTERBOTTENS LÄN</t>
        </is>
      </c>
      <c r="E817" t="inlineStr">
        <is>
          <t>VILHELMINA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2022-2024</t>
        </is>
      </c>
      <c r="B818" s="1" t="n">
        <v>45308</v>
      </c>
      <c r="C818" s="1" t="n">
        <v>45995</v>
      </c>
      <c r="D818" t="inlineStr">
        <is>
          <t>VÄSTERBOTTENS LÄN</t>
        </is>
      </c>
      <c r="E818" t="inlineStr">
        <is>
          <t>VILHELMINA</t>
        </is>
      </c>
      <c r="G818" t="n">
        <v>8.5</v>
      </c>
      <c r="H818" t="n">
        <v>0</v>
      </c>
      <c r="I818" t="n">
        <v>0</v>
      </c>
      <c r="J818" t="n">
        <v>0</v>
      </c>
      <c r="K818" t="n">
        <v>0</v>
      </c>
      <c r="L818" t="n">
        <v>0</v>
      </c>
      <c r="M818" t="n">
        <v>0</v>
      </c>
      <c r="N818" t="n">
        <v>0</v>
      </c>
      <c r="O818" t="n">
        <v>0</v>
      </c>
      <c r="P818" t="n">
        <v>0</v>
      </c>
      <c r="Q818" t="n">
        <v>0</v>
      </c>
      <c r="R818" s="2" t="inlineStr"/>
    </row>
    <row r="819" ht="15" customHeight="1">
      <c r="A819" t="inlineStr">
        <is>
          <t>A 17732-2024</t>
        </is>
      </c>
      <c r="B819" s="1" t="n">
        <v>45415</v>
      </c>
      <c r="C819" s="1" t="n">
        <v>45995</v>
      </c>
      <c r="D819" t="inlineStr">
        <is>
          <t>VÄSTERBOTTENS LÄN</t>
        </is>
      </c>
      <c r="E819" t="inlineStr">
        <is>
          <t>VILHELMINA</t>
        </is>
      </c>
      <c r="G819" t="n">
        <v>0.6</v>
      </c>
      <c r="H819" t="n">
        <v>0</v>
      </c>
      <c r="I819" t="n">
        <v>0</v>
      </c>
      <c r="J819" t="n">
        <v>0</v>
      </c>
      <c r="K819" t="n">
        <v>0</v>
      </c>
      <c r="L819" t="n">
        <v>0</v>
      </c>
      <c r="M819" t="n">
        <v>0</v>
      </c>
      <c r="N819" t="n">
        <v>0</v>
      </c>
      <c r="O819" t="n">
        <v>0</v>
      </c>
      <c r="P819" t="n">
        <v>0</v>
      </c>
      <c r="Q819" t="n">
        <v>0</v>
      </c>
      <c r="R819" s="2" t="inlineStr"/>
    </row>
    <row r="820" ht="15" customHeight="1">
      <c r="A820" t="inlineStr">
        <is>
          <t>A 21965-2025</t>
        </is>
      </c>
      <c r="B820" s="1" t="n">
        <v>45784</v>
      </c>
      <c r="C820" s="1" t="n">
        <v>45995</v>
      </c>
      <c r="D820" t="inlineStr">
        <is>
          <t>VÄSTERBOTTENS LÄN</t>
        </is>
      </c>
      <c r="E820" t="inlineStr">
        <is>
          <t>VILHELMINA</t>
        </is>
      </c>
      <c r="G820" t="n">
        <v>7.4</v>
      </c>
      <c r="H820" t="n">
        <v>0</v>
      </c>
      <c r="I820" t="n">
        <v>0</v>
      </c>
      <c r="J820" t="n">
        <v>0</v>
      </c>
      <c r="K820" t="n">
        <v>0</v>
      </c>
      <c r="L820" t="n">
        <v>0</v>
      </c>
      <c r="M820" t="n">
        <v>0</v>
      </c>
      <c r="N820" t="n">
        <v>0</v>
      </c>
      <c r="O820" t="n">
        <v>0</v>
      </c>
      <c r="P820" t="n">
        <v>0</v>
      </c>
      <c r="Q820" t="n">
        <v>0</v>
      </c>
      <c r="R820" s="2" t="inlineStr"/>
    </row>
    <row r="821" ht="15" customHeight="1">
      <c r="A821" t="inlineStr">
        <is>
          <t>A 34130-2024</t>
        </is>
      </c>
      <c r="B821" s="1" t="n">
        <v>45524.34668981482</v>
      </c>
      <c r="C821" s="1" t="n">
        <v>45995</v>
      </c>
      <c r="D821" t="inlineStr">
        <is>
          <t>VÄSTERBOTTENS LÄN</t>
        </is>
      </c>
      <c r="E821" t="inlineStr">
        <is>
          <t>VILHELMINA</t>
        </is>
      </c>
      <c r="F821" t="inlineStr">
        <is>
          <t>Sveaskog</t>
        </is>
      </c>
      <c r="G821" t="n">
        <v>3.7</v>
      </c>
      <c r="H821" t="n">
        <v>0</v>
      </c>
      <c r="I821" t="n">
        <v>0</v>
      </c>
      <c r="J821" t="n">
        <v>0</v>
      </c>
      <c r="K821" t="n">
        <v>0</v>
      </c>
      <c r="L821" t="n">
        <v>0</v>
      </c>
      <c r="M821" t="n">
        <v>0</v>
      </c>
      <c r="N821" t="n">
        <v>0</v>
      </c>
      <c r="O821" t="n">
        <v>0</v>
      </c>
      <c r="P821" t="n">
        <v>0</v>
      </c>
      <c r="Q821" t="n">
        <v>0</v>
      </c>
      <c r="R821" s="2" t="inlineStr"/>
    </row>
    <row r="822" ht="15" customHeight="1">
      <c r="A822" t="inlineStr">
        <is>
          <t>A 28019-2025</t>
        </is>
      </c>
      <c r="B822" s="1" t="n">
        <v>45817.61545138889</v>
      </c>
      <c r="C822" s="1" t="n">
        <v>45995</v>
      </c>
      <c r="D822" t="inlineStr">
        <is>
          <t>VÄSTERBOTTENS LÄN</t>
        </is>
      </c>
      <c r="E822" t="inlineStr">
        <is>
          <t>VILHELMINA</t>
        </is>
      </c>
      <c r="F822" t="inlineStr">
        <is>
          <t>SCA</t>
        </is>
      </c>
      <c r="G822" t="n">
        <v>5</v>
      </c>
      <c r="H822" t="n">
        <v>0</v>
      </c>
      <c r="I822" t="n">
        <v>0</v>
      </c>
      <c r="J822" t="n">
        <v>0</v>
      </c>
      <c r="K822" t="n">
        <v>0</v>
      </c>
      <c r="L822" t="n">
        <v>0</v>
      </c>
      <c r="M822" t="n">
        <v>0</v>
      </c>
      <c r="N822" t="n">
        <v>0</v>
      </c>
      <c r="O822" t="n">
        <v>0</v>
      </c>
      <c r="P822" t="n">
        <v>0</v>
      </c>
      <c r="Q822" t="n">
        <v>0</v>
      </c>
      <c r="R822" s="2" t="inlineStr"/>
    </row>
    <row r="823" ht="15" customHeight="1">
      <c r="A823" t="inlineStr">
        <is>
          <t>A 27943-2025</t>
        </is>
      </c>
      <c r="B823" s="1" t="n">
        <v>45817.51078703703</v>
      </c>
      <c r="C823" s="1" t="n">
        <v>45995</v>
      </c>
      <c r="D823" t="inlineStr">
        <is>
          <t>VÄSTERBOTTENS LÄN</t>
        </is>
      </c>
      <c r="E823" t="inlineStr">
        <is>
          <t>VILHELMINA</t>
        </is>
      </c>
      <c r="F823" t="inlineStr">
        <is>
          <t>SCA</t>
        </is>
      </c>
      <c r="G823" t="n">
        <v>4.4</v>
      </c>
      <c r="H823" t="n">
        <v>0</v>
      </c>
      <c r="I823" t="n">
        <v>0</v>
      </c>
      <c r="J823" t="n">
        <v>0</v>
      </c>
      <c r="K823" t="n">
        <v>0</v>
      </c>
      <c r="L823" t="n">
        <v>0</v>
      </c>
      <c r="M823" t="n">
        <v>0</v>
      </c>
      <c r="N823" t="n">
        <v>0</v>
      </c>
      <c r="O823" t="n">
        <v>0</v>
      </c>
      <c r="P823" t="n">
        <v>0</v>
      </c>
      <c r="Q823" t="n">
        <v>0</v>
      </c>
      <c r="R823" s="2" t="inlineStr"/>
    </row>
    <row r="824" ht="15" customHeight="1">
      <c r="A824" t="inlineStr">
        <is>
          <t>A 27952-2025</t>
        </is>
      </c>
      <c r="B824" s="1" t="n">
        <v>45817.53157407408</v>
      </c>
      <c r="C824" s="1" t="n">
        <v>45995</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28016-2025</t>
        </is>
      </c>
      <c r="B825" s="1" t="n">
        <v>45817.61506944444</v>
      </c>
      <c r="C825" s="1" t="n">
        <v>45995</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28050-2025</t>
        </is>
      </c>
      <c r="B826" s="1" t="n">
        <v>45817.65658564815</v>
      </c>
      <c r="C826" s="1" t="n">
        <v>45995</v>
      </c>
      <c r="D826" t="inlineStr">
        <is>
          <t>VÄSTERBOTTENS LÄN</t>
        </is>
      </c>
      <c r="E826" t="inlineStr">
        <is>
          <t>VILHELMINA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18564-2022</t>
        </is>
      </c>
      <c r="B827" s="1" t="n">
        <v>44686</v>
      </c>
      <c r="C827" s="1" t="n">
        <v>45995</v>
      </c>
      <c r="D827" t="inlineStr">
        <is>
          <t>VÄSTERBOTTENS LÄN</t>
        </is>
      </c>
      <c r="E827" t="inlineStr">
        <is>
          <t>VILHELMINA</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23176-2024</t>
        </is>
      </c>
      <c r="B828" s="1" t="n">
        <v>45450.94366898148</v>
      </c>
      <c r="C828" s="1" t="n">
        <v>45995</v>
      </c>
      <c r="D828" t="inlineStr">
        <is>
          <t>VÄSTERBOTTENS LÄN</t>
        </is>
      </c>
      <c r="E828" t="inlineStr">
        <is>
          <t>VILHELMINA</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28071-2025</t>
        </is>
      </c>
      <c r="B829" s="1" t="n">
        <v>45817.67755787037</v>
      </c>
      <c r="C829" s="1" t="n">
        <v>45995</v>
      </c>
      <c r="D829" t="inlineStr">
        <is>
          <t>VÄSTERBOTTENS LÄN</t>
        </is>
      </c>
      <c r="E829" t="inlineStr">
        <is>
          <t>VILHELMINA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49888-2024</t>
        </is>
      </c>
      <c r="B830" s="1" t="n">
        <v>45597.5109837963</v>
      </c>
      <c r="C830" s="1" t="n">
        <v>45995</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44516-2024</t>
        </is>
      </c>
      <c r="B831" s="1" t="n">
        <v>45574</v>
      </c>
      <c r="C831" s="1" t="n">
        <v>45995</v>
      </c>
      <c r="D831" t="inlineStr">
        <is>
          <t>VÄSTERBOTTENS LÄN</t>
        </is>
      </c>
      <c r="E831" t="inlineStr">
        <is>
          <t>VILHELMINA</t>
        </is>
      </c>
      <c r="G831" t="n">
        <v>2.9</v>
      </c>
      <c r="H831" t="n">
        <v>0</v>
      </c>
      <c r="I831" t="n">
        <v>0</v>
      </c>
      <c r="J831" t="n">
        <v>0</v>
      </c>
      <c r="K831" t="n">
        <v>0</v>
      </c>
      <c r="L831" t="n">
        <v>0</v>
      </c>
      <c r="M831" t="n">
        <v>0</v>
      </c>
      <c r="N831" t="n">
        <v>0</v>
      </c>
      <c r="O831" t="n">
        <v>0</v>
      </c>
      <c r="P831" t="n">
        <v>0</v>
      </c>
      <c r="Q831" t="n">
        <v>0</v>
      </c>
      <c r="R831" s="2" t="inlineStr"/>
    </row>
    <row r="832" ht="15" customHeight="1">
      <c r="A832" t="inlineStr">
        <is>
          <t>A 36320-2024</t>
        </is>
      </c>
      <c r="B832" s="1" t="n">
        <v>45534.63586805556</v>
      </c>
      <c r="C832" s="1" t="n">
        <v>45995</v>
      </c>
      <c r="D832" t="inlineStr">
        <is>
          <t>VÄSTERBOTTENS LÄN</t>
        </is>
      </c>
      <c r="E832" t="inlineStr">
        <is>
          <t>VILHELMINA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28897-2025</t>
        </is>
      </c>
      <c r="B833" s="1" t="n">
        <v>45820.6360300926</v>
      </c>
      <c r="C833" s="1" t="n">
        <v>45995</v>
      </c>
      <c r="D833" t="inlineStr">
        <is>
          <t>VÄSTERBOTTENS LÄN</t>
        </is>
      </c>
      <c r="E833" t="inlineStr">
        <is>
          <t>VILHELMINA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13768-2024</t>
        </is>
      </c>
      <c r="B834" s="1" t="n">
        <v>45390.95230324074</v>
      </c>
      <c r="C834" s="1" t="n">
        <v>45995</v>
      </c>
      <c r="D834" t="inlineStr">
        <is>
          <t>VÄSTERBOTTENS LÄN</t>
        </is>
      </c>
      <c r="E834" t="inlineStr">
        <is>
          <t>VILHELMINA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69502-2020</t>
        </is>
      </c>
      <c r="B835" s="1" t="n">
        <v>44193</v>
      </c>
      <c r="C835" s="1" t="n">
        <v>45995</v>
      </c>
      <c r="D835" t="inlineStr">
        <is>
          <t>VÄSTERBOTTENS LÄN</t>
        </is>
      </c>
      <c r="E835" t="inlineStr">
        <is>
          <t>VILHELMINA</t>
        </is>
      </c>
      <c r="G835" t="n">
        <v>19</v>
      </c>
      <c r="H835" t="n">
        <v>0</v>
      </c>
      <c r="I835" t="n">
        <v>0</v>
      </c>
      <c r="J835" t="n">
        <v>0</v>
      </c>
      <c r="K835" t="n">
        <v>0</v>
      </c>
      <c r="L835" t="n">
        <v>0</v>
      </c>
      <c r="M835" t="n">
        <v>0</v>
      </c>
      <c r="N835" t="n">
        <v>0</v>
      </c>
      <c r="O835" t="n">
        <v>0</v>
      </c>
      <c r="P835" t="n">
        <v>0</v>
      </c>
      <c r="Q835" t="n">
        <v>0</v>
      </c>
      <c r="R835" s="2" t="inlineStr"/>
    </row>
    <row r="836" ht="15" customHeight="1">
      <c r="A836" t="inlineStr">
        <is>
          <t>A 29203-2025</t>
        </is>
      </c>
      <c r="B836" s="1" t="n">
        <v>45823</v>
      </c>
      <c r="C836" s="1" t="n">
        <v>45995</v>
      </c>
      <c r="D836" t="inlineStr">
        <is>
          <t>VÄSTERBOTTENS LÄN</t>
        </is>
      </c>
      <c r="E836" t="inlineStr">
        <is>
          <t>VILHELMINA</t>
        </is>
      </c>
      <c r="G836" t="n">
        <v>2.3</v>
      </c>
      <c r="H836" t="n">
        <v>0</v>
      </c>
      <c r="I836" t="n">
        <v>0</v>
      </c>
      <c r="J836" t="n">
        <v>0</v>
      </c>
      <c r="K836" t="n">
        <v>0</v>
      </c>
      <c r="L836" t="n">
        <v>0</v>
      </c>
      <c r="M836" t="n">
        <v>0</v>
      </c>
      <c r="N836" t="n">
        <v>0</v>
      </c>
      <c r="O836" t="n">
        <v>0</v>
      </c>
      <c r="P836" t="n">
        <v>0</v>
      </c>
      <c r="Q836" t="n">
        <v>0</v>
      </c>
      <c r="R836" s="2" t="inlineStr"/>
    </row>
    <row r="837" ht="15" customHeight="1">
      <c r="A837" t="inlineStr">
        <is>
          <t>A 29120-2025</t>
        </is>
      </c>
      <c r="B837" s="1" t="n">
        <v>45821</v>
      </c>
      <c r="C837" s="1" t="n">
        <v>45995</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53987-2021</t>
        </is>
      </c>
      <c r="B838" s="1" t="n">
        <v>44470.31884259259</v>
      </c>
      <c r="C838" s="1" t="n">
        <v>45995</v>
      </c>
      <c r="D838" t="inlineStr">
        <is>
          <t>VÄSTERBOTTENS LÄN</t>
        </is>
      </c>
      <c r="E838" t="inlineStr">
        <is>
          <t>VILHELMINA</t>
        </is>
      </c>
      <c r="F838" t="inlineStr">
        <is>
          <t>Kommuner</t>
        </is>
      </c>
      <c r="G838" t="n">
        <v>10</v>
      </c>
      <c r="H838" t="n">
        <v>0</v>
      </c>
      <c r="I838" t="n">
        <v>0</v>
      </c>
      <c r="J838" t="n">
        <v>0</v>
      </c>
      <c r="K838" t="n">
        <v>0</v>
      </c>
      <c r="L838" t="n">
        <v>0</v>
      </c>
      <c r="M838" t="n">
        <v>0</v>
      </c>
      <c r="N838" t="n">
        <v>0</v>
      </c>
      <c r="O838" t="n">
        <v>0</v>
      </c>
      <c r="P838" t="n">
        <v>0</v>
      </c>
      <c r="Q838" t="n">
        <v>0</v>
      </c>
      <c r="R838" s="2" t="inlineStr"/>
    </row>
    <row r="839" ht="15" customHeight="1">
      <c r="A839" t="inlineStr">
        <is>
          <t>A 29234-2025</t>
        </is>
      </c>
      <c r="B839" s="1" t="n">
        <v>45824.34478009259</v>
      </c>
      <c r="C839" s="1" t="n">
        <v>45995</v>
      </c>
      <c r="D839" t="inlineStr">
        <is>
          <t>VÄSTERBOTTENS LÄN</t>
        </is>
      </c>
      <c r="E839" t="inlineStr">
        <is>
          <t>VILHELMINA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32658-2021</t>
        </is>
      </c>
      <c r="B840" s="1" t="n">
        <v>44371</v>
      </c>
      <c r="C840" s="1" t="n">
        <v>45995</v>
      </c>
      <c r="D840" t="inlineStr">
        <is>
          <t>VÄSTERBOTTENS LÄN</t>
        </is>
      </c>
      <c r="E840" t="inlineStr">
        <is>
          <t>VILHELMINA</t>
        </is>
      </c>
      <c r="G840" t="n">
        <v>2.2</v>
      </c>
      <c r="H840" t="n">
        <v>0</v>
      </c>
      <c r="I840" t="n">
        <v>0</v>
      </c>
      <c r="J840" t="n">
        <v>0</v>
      </c>
      <c r="K840" t="n">
        <v>0</v>
      </c>
      <c r="L840" t="n">
        <v>0</v>
      </c>
      <c r="M840" t="n">
        <v>0</v>
      </c>
      <c r="N840" t="n">
        <v>0</v>
      </c>
      <c r="O840" t="n">
        <v>0</v>
      </c>
      <c r="P840" t="n">
        <v>0</v>
      </c>
      <c r="Q840" t="n">
        <v>0</v>
      </c>
      <c r="R840" s="2" t="inlineStr"/>
    </row>
    <row r="841" ht="15" customHeight="1">
      <c r="A841" t="inlineStr">
        <is>
          <t>A 29468-2025</t>
        </is>
      </c>
      <c r="B841" s="1" t="n">
        <v>45824.69888888889</v>
      </c>
      <c r="C841" s="1" t="n">
        <v>45995</v>
      </c>
      <c r="D841" t="inlineStr">
        <is>
          <t>VÄSTERBOTTENS LÄN</t>
        </is>
      </c>
      <c r="E841" t="inlineStr">
        <is>
          <t>VILHELMINA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29466-2025</t>
        </is>
      </c>
      <c r="B842" s="1" t="n">
        <v>45824.69865740741</v>
      </c>
      <c r="C842" s="1" t="n">
        <v>45995</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29940-2025</t>
        </is>
      </c>
      <c r="B843" s="1" t="n">
        <v>45826.45104166667</v>
      </c>
      <c r="C843" s="1" t="n">
        <v>45995</v>
      </c>
      <c r="D843" t="inlineStr">
        <is>
          <t>VÄSTERBOTTENS LÄN</t>
        </is>
      </c>
      <c r="E843" t="inlineStr">
        <is>
          <t>VILHELMINA</t>
        </is>
      </c>
      <c r="F843" t="inlineStr">
        <is>
          <t>Sveaskog</t>
        </is>
      </c>
      <c r="G843" t="n">
        <v>11.6</v>
      </c>
      <c r="H843" t="n">
        <v>0</v>
      </c>
      <c r="I843" t="n">
        <v>0</v>
      </c>
      <c r="J843" t="n">
        <v>0</v>
      </c>
      <c r="K843" t="n">
        <v>0</v>
      </c>
      <c r="L843" t="n">
        <v>0</v>
      </c>
      <c r="M843" t="n">
        <v>0</v>
      </c>
      <c r="N843" t="n">
        <v>0</v>
      </c>
      <c r="O843" t="n">
        <v>0</v>
      </c>
      <c r="P843" t="n">
        <v>0</v>
      </c>
      <c r="Q843" t="n">
        <v>0</v>
      </c>
      <c r="R843" s="2" t="inlineStr"/>
    </row>
    <row r="844" ht="15" customHeight="1">
      <c r="A844" t="inlineStr">
        <is>
          <t>A 29347-2021</t>
        </is>
      </c>
      <c r="B844" s="1" t="n">
        <v>44361</v>
      </c>
      <c r="C844" s="1" t="n">
        <v>45995</v>
      </c>
      <c r="D844" t="inlineStr">
        <is>
          <t>VÄSTERBOTTENS LÄN</t>
        </is>
      </c>
      <c r="E844" t="inlineStr">
        <is>
          <t>VILHELMINA</t>
        </is>
      </c>
      <c r="F844" t="inlineStr">
        <is>
          <t>Allmännings- och besparingsskogar</t>
        </is>
      </c>
      <c r="G844" t="n">
        <v>52</v>
      </c>
      <c r="H844" t="n">
        <v>0</v>
      </c>
      <c r="I844" t="n">
        <v>0</v>
      </c>
      <c r="J844" t="n">
        <v>0</v>
      </c>
      <c r="K844" t="n">
        <v>0</v>
      </c>
      <c r="L844" t="n">
        <v>0</v>
      </c>
      <c r="M844" t="n">
        <v>0</v>
      </c>
      <c r="N844" t="n">
        <v>0</v>
      </c>
      <c r="O844" t="n">
        <v>0</v>
      </c>
      <c r="P844" t="n">
        <v>0</v>
      </c>
      <c r="Q844" t="n">
        <v>0</v>
      </c>
      <c r="R844" s="2" t="inlineStr"/>
    </row>
    <row r="845" ht="15" customHeight="1">
      <c r="A845" t="inlineStr">
        <is>
          <t>A 30574-2024</t>
        </is>
      </c>
      <c r="B845" s="1" t="n">
        <v>45492.9580324074</v>
      </c>
      <c r="C845" s="1" t="n">
        <v>45995</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30681-2024</t>
        </is>
      </c>
      <c r="B846" s="1" t="n">
        <v>45495.9509837963</v>
      </c>
      <c r="C846" s="1" t="n">
        <v>45995</v>
      </c>
      <c r="D846" t="inlineStr">
        <is>
          <t>VÄSTERBOTTENS LÄN</t>
        </is>
      </c>
      <c r="E846" t="inlineStr">
        <is>
          <t>VILHELMINA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40462-2024</t>
        </is>
      </c>
      <c r="B847" s="1" t="n">
        <v>45555.51084490741</v>
      </c>
      <c r="C847" s="1" t="n">
        <v>45995</v>
      </c>
      <c r="D847" t="inlineStr">
        <is>
          <t>VÄSTERBOTTENS LÄN</t>
        </is>
      </c>
      <c r="E847" t="inlineStr">
        <is>
          <t>VILHELMINA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10833-2022</t>
        </is>
      </c>
      <c r="B848" s="1" t="n">
        <v>44627</v>
      </c>
      <c r="C848" s="1" t="n">
        <v>45995</v>
      </c>
      <c r="D848" t="inlineStr">
        <is>
          <t>VÄSTERBOTTENS LÄN</t>
        </is>
      </c>
      <c r="E848" t="inlineStr">
        <is>
          <t>VILHELMINA</t>
        </is>
      </c>
      <c r="G848" t="n">
        <v>5.4</v>
      </c>
      <c r="H848" t="n">
        <v>0</v>
      </c>
      <c r="I848" t="n">
        <v>0</v>
      </c>
      <c r="J848" t="n">
        <v>0</v>
      </c>
      <c r="K848" t="n">
        <v>0</v>
      </c>
      <c r="L848" t="n">
        <v>0</v>
      </c>
      <c r="M848" t="n">
        <v>0</v>
      </c>
      <c r="N848" t="n">
        <v>0</v>
      </c>
      <c r="O848" t="n">
        <v>0</v>
      </c>
      <c r="P848" t="n">
        <v>0</v>
      </c>
      <c r="Q848" t="n">
        <v>0</v>
      </c>
      <c r="R848" s="2" t="inlineStr"/>
    </row>
    <row r="849" ht="15" customHeight="1">
      <c r="A849" t="inlineStr">
        <is>
          <t>A 29942-2025</t>
        </is>
      </c>
      <c r="B849" s="1" t="n">
        <v>45826.45702546297</v>
      </c>
      <c r="C849" s="1" t="n">
        <v>45995</v>
      </c>
      <c r="D849" t="inlineStr">
        <is>
          <t>VÄSTERBOTTENS LÄN</t>
        </is>
      </c>
      <c r="E849" t="inlineStr">
        <is>
          <t>VILHELMINA</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46372-2021</t>
        </is>
      </c>
      <c r="B850" s="1" t="n">
        <v>44442.94226851852</v>
      </c>
      <c r="C850" s="1" t="n">
        <v>45995</v>
      </c>
      <c r="D850" t="inlineStr">
        <is>
          <t>VÄSTERBOTTENS LÄN</t>
        </is>
      </c>
      <c r="E850" t="inlineStr">
        <is>
          <t>VILHELMINA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28722-2022</t>
        </is>
      </c>
      <c r="B851" s="1" t="n">
        <v>44748</v>
      </c>
      <c r="C851" s="1" t="n">
        <v>45995</v>
      </c>
      <c r="D851" t="inlineStr">
        <is>
          <t>VÄSTERBOTTENS LÄN</t>
        </is>
      </c>
      <c r="E851" t="inlineStr">
        <is>
          <t>VILHELMINA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43251-2024</t>
        </is>
      </c>
      <c r="B852" s="1" t="n">
        <v>45568.34429398148</v>
      </c>
      <c r="C852" s="1" t="n">
        <v>45995</v>
      </c>
      <c r="D852" t="inlineStr">
        <is>
          <t>VÄSTERBOTTENS LÄN</t>
        </is>
      </c>
      <c r="E852" t="inlineStr">
        <is>
          <t>VILHELMINA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12373-2024</t>
        </is>
      </c>
      <c r="B853" s="1" t="n">
        <v>45378</v>
      </c>
      <c r="C853" s="1" t="n">
        <v>45995</v>
      </c>
      <c r="D853" t="inlineStr">
        <is>
          <t>VÄSTERBOTTENS LÄN</t>
        </is>
      </c>
      <c r="E853" t="inlineStr">
        <is>
          <t>VILHELMINA</t>
        </is>
      </c>
      <c r="G853" t="n">
        <v>0.7</v>
      </c>
      <c r="H853" t="n">
        <v>0</v>
      </c>
      <c r="I853" t="n">
        <v>0</v>
      </c>
      <c r="J853" t="n">
        <v>0</v>
      </c>
      <c r="K853" t="n">
        <v>0</v>
      </c>
      <c r="L853" t="n">
        <v>0</v>
      </c>
      <c r="M853" t="n">
        <v>0</v>
      </c>
      <c r="N853" t="n">
        <v>0</v>
      </c>
      <c r="O853" t="n">
        <v>0</v>
      </c>
      <c r="P853" t="n">
        <v>0</v>
      </c>
      <c r="Q853" t="n">
        <v>0</v>
      </c>
      <c r="R853" s="2" t="inlineStr"/>
    </row>
    <row r="854" ht="15" customHeight="1">
      <c r="A854" t="inlineStr">
        <is>
          <t>A 21843-2024</t>
        </is>
      </c>
      <c r="B854" s="1" t="n">
        <v>45442.96064814815</v>
      </c>
      <c r="C854" s="1" t="n">
        <v>45995</v>
      </c>
      <c r="D854" t="inlineStr">
        <is>
          <t>VÄSTERBOTTENS LÄN</t>
        </is>
      </c>
      <c r="E854" t="inlineStr">
        <is>
          <t>VILHELMINA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34819-2024</t>
        </is>
      </c>
      <c r="B855" s="1" t="n">
        <v>45526.71134259259</v>
      </c>
      <c r="C855" s="1" t="n">
        <v>45995</v>
      </c>
      <c r="D855" t="inlineStr">
        <is>
          <t>VÄSTERBOTTENS LÄN</t>
        </is>
      </c>
      <c r="E855" t="inlineStr">
        <is>
          <t>VILHELMINA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12043-2023</t>
        </is>
      </c>
      <c r="B856" s="1" t="n">
        <v>44995</v>
      </c>
      <c r="C856" s="1" t="n">
        <v>45995</v>
      </c>
      <c r="D856" t="inlineStr">
        <is>
          <t>VÄSTERBOTTENS LÄN</t>
        </is>
      </c>
      <c r="E856" t="inlineStr">
        <is>
          <t>VILHELMINA</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30553-2025</t>
        </is>
      </c>
      <c r="B857" s="1" t="n">
        <v>45831.38579861111</v>
      </c>
      <c r="C857" s="1" t="n">
        <v>45995</v>
      </c>
      <c r="D857" t="inlineStr">
        <is>
          <t>VÄSTERBOTTENS LÄN</t>
        </is>
      </c>
      <c r="E857" t="inlineStr">
        <is>
          <t>VILHELMINA</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48117-2022</t>
        </is>
      </c>
      <c r="B858" s="1" t="n">
        <v>44857</v>
      </c>
      <c r="C858" s="1" t="n">
        <v>45995</v>
      </c>
      <c r="D858" t="inlineStr">
        <is>
          <t>VÄSTERBOTTENS LÄN</t>
        </is>
      </c>
      <c r="E858" t="inlineStr">
        <is>
          <t>VILHELMINA</t>
        </is>
      </c>
      <c r="G858" t="n">
        <v>5.6</v>
      </c>
      <c r="H858" t="n">
        <v>0</v>
      </c>
      <c r="I858" t="n">
        <v>0</v>
      </c>
      <c r="J858" t="n">
        <v>0</v>
      </c>
      <c r="K858" t="n">
        <v>0</v>
      </c>
      <c r="L858" t="n">
        <v>0</v>
      </c>
      <c r="M858" t="n">
        <v>0</v>
      </c>
      <c r="N858" t="n">
        <v>0</v>
      </c>
      <c r="O858" t="n">
        <v>0</v>
      </c>
      <c r="P858" t="n">
        <v>0</v>
      </c>
      <c r="Q858" t="n">
        <v>0</v>
      </c>
      <c r="R858" s="2" t="inlineStr"/>
    </row>
    <row r="859" ht="15" customHeight="1">
      <c r="A859" t="inlineStr">
        <is>
          <t>A 4869-2023</t>
        </is>
      </c>
      <c r="B859" s="1" t="n">
        <v>44957</v>
      </c>
      <c r="C859" s="1" t="n">
        <v>45995</v>
      </c>
      <c r="D859" t="inlineStr">
        <is>
          <t>VÄSTERBOTTENS LÄN</t>
        </is>
      </c>
      <c r="E859" t="inlineStr">
        <is>
          <t>VILHELMINA</t>
        </is>
      </c>
      <c r="G859" t="n">
        <v>5.7</v>
      </c>
      <c r="H859" t="n">
        <v>0</v>
      </c>
      <c r="I859" t="n">
        <v>0</v>
      </c>
      <c r="J859" t="n">
        <v>0</v>
      </c>
      <c r="K859" t="n">
        <v>0</v>
      </c>
      <c r="L859" t="n">
        <v>0</v>
      </c>
      <c r="M859" t="n">
        <v>0</v>
      </c>
      <c r="N859" t="n">
        <v>0</v>
      </c>
      <c r="O859" t="n">
        <v>0</v>
      </c>
      <c r="P859" t="n">
        <v>0</v>
      </c>
      <c r="Q859" t="n">
        <v>0</v>
      </c>
      <c r="R859" s="2" t="inlineStr"/>
    </row>
    <row r="860" ht="15" customHeight="1">
      <c r="A860" t="inlineStr">
        <is>
          <t>A 34799-2023</t>
        </is>
      </c>
      <c r="B860" s="1" t="n">
        <v>45140</v>
      </c>
      <c r="C860" s="1" t="n">
        <v>45995</v>
      </c>
      <c r="D860" t="inlineStr">
        <is>
          <t>VÄSTERBOTTENS LÄN</t>
        </is>
      </c>
      <c r="E860" t="inlineStr">
        <is>
          <t>VILHELMINA</t>
        </is>
      </c>
      <c r="G860" t="n">
        <v>17.4</v>
      </c>
      <c r="H860" t="n">
        <v>0</v>
      </c>
      <c r="I860" t="n">
        <v>0</v>
      </c>
      <c r="J860" t="n">
        <v>0</v>
      </c>
      <c r="K860" t="n">
        <v>0</v>
      </c>
      <c r="L860" t="n">
        <v>0</v>
      </c>
      <c r="M860" t="n">
        <v>0</v>
      </c>
      <c r="N860" t="n">
        <v>0</v>
      </c>
      <c r="O860" t="n">
        <v>0</v>
      </c>
      <c r="P860" t="n">
        <v>0</v>
      </c>
      <c r="Q860" t="n">
        <v>0</v>
      </c>
      <c r="R860" s="2" t="inlineStr"/>
    </row>
    <row r="861" ht="15" customHeight="1">
      <c r="A861" t="inlineStr">
        <is>
          <t>A 30572-2024</t>
        </is>
      </c>
      <c r="B861" s="1" t="n">
        <v>45492.95777777778</v>
      </c>
      <c r="C861" s="1" t="n">
        <v>45995</v>
      </c>
      <c r="D861" t="inlineStr">
        <is>
          <t>VÄSTERBOTTENS LÄN</t>
        </is>
      </c>
      <c r="E861" t="inlineStr">
        <is>
          <t>VILHELMINA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30582-2024</t>
        </is>
      </c>
      <c r="B862" s="1" t="n">
        <v>45492</v>
      </c>
      <c r="C862" s="1" t="n">
        <v>45995</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55620-2024</t>
        </is>
      </c>
      <c r="B863" s="1" t="n">
        <v>45622</v>
      </c>
      <c r="C863" s="1" t="n">
        <v>45995</v>
      </c>
      <c r="D863" t="inlineStr">
        <is>
          <t>VÄSTERBOTTENS LÄN</t>
        </is>
      </c>
      <c r="E863" t="inlineStr">
        <is>
          <t>VILHELMINA</t>
        </is>
      </c>
      <c r="F863" t="inlineStr">
        <is>
          <t>SCA</t>
        </is>
      </c>
      <c r="G863" t="n">
        <v>21.4</v>
      </c>
      <c r="H863" t="n">
        <v>0</v>
      </c>
      <c r="I863" t="n">
        <v>0</v>
      </c>
      <c r="J863" t="n">
        <v>0</v>
      </c>
      <c r="K863" t="n">
        <v>0</v>
      </c>
      <c r="L863" t="n">
        <v>0</v>
      </c>
      <c r="M863" t="n">
        <v>0</v>
      </c>
      <c r="N863" t="n">
        <v>0</v>
      </c>
      <c r="O863" t="n">
        <v>0</v>
      </c>
      <c r="P863" t="n">
        <v>0</v>
      </c>
      <c r="Q863" t="n">
        <v>0</v>
      </c>
      <c r="R863" s="2" t="inlineStr"/>
    </row>
    <row r="864" ht="15" customHeight="1">
      <c r="A864" t="inlineStr">
        <is>
          <t>A 37320-2021</t>
        </is>
      </c>
      <c r="B864" s="1" t="n">
        <v>44397</v>
      </c>
      <c r="C864" s="1" t="n">
        <v>45995</v>
      </c>
      <c r="D864" t="inlineStr">
        <is>
          <t>VÄSTERBOTTENS LÄN</t>
        </is>
      </c>
      <c r="E864" t="inlineStr">
        <is>
          <t>VILHELMINA</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12362-2025</t>
        </is>
      </c>
      <c r="B865" s="1" t="n">
        <v>45730</v>
      </c>
      <c r="C865" s="1" t="n">
        <v>45995</v>
      </c>
      <c r="D865" t="inlineStr">
        <is>
          <t>VÄSTERBOTTENS LÄN</t>
        </is>
      </c>
      <c r="E865" t="inlineStr">
        <is>
          <t>VILHELMINA</t>
        </is>
      </c>
      <c r="F865" t="inlineStr">
        <is>
          <t>Övriga statliga verk och myndigheter</t>
        </is>
      </c>
      <c r="G865" t="n">
        <v>6.1</v>
      </c>
      <c r="H865" t="n">
        <v>0</v>
      </c>
      <c r="I865" t="n">
        <v>0</v>
      </c>
      <c r="J865" t="n">
        <v>0</v>
      </c>
      <c r="K865" t="n">
        <v>0</v>
      </c>
      <c r="L865" t="n">
        <v>0</v>
      </c>
      <c r="M865" t="n">
        <v>0</v>
      </c>
      <c r="N865" t="n">
        <v>0</v>
      </c>
      <c r="O865" t="n">
        <v>0</v>
      </c>
      <c r="P865" t="n">
        <v>0</v>
      </c>
      <c r="Q865" t="n">
        <v>0</v>
      </c>
      <c r="R865" s="2" t="inlineStr"/>
    </row>
    <row r="866" ht="15" customHeight="1">
      <c r="A866" t="inlineStr">
        <is>
          <t>A 52740-2023</t>
        </is>
      </c>
      <c r="B866" s="1" t="n">
        <v>45225</v>
      </c>
      <c r="C866" s="1" t="n">
        <v>45995</v>
      </c>
      <c r="D866" t="inlineStr">
        <is>
          <t>VÄSTERBOTTENS LÄN</t>
        </is>
      </c>
      <c r="E866" t="inlineStr">
        <is>
          <t>VILHELMINA</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12763-2025</t>
        </is>
      </c>
      <c r="B867" s="1" t="n">
        <v>45733</v>
      </c>
      <c r="C867" s="1" t="n">
        <v>45995</v>
      </c>
      <c r="D867" t="inlineStr">
        <is>
          <t>VÄSTERBOTTENS LÄN</t>
        </is>
      </c>
      <c r="E867" t="inlineStr">
        <is>
          <t>VILHELMINA</t>
        </is>
      </c>
      <c r="F867" t="inlineStr">
        <is>
          <t>SCA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45197.94158564815</v>
      </c>
      <c r="C868" s="1" t="n">
        <v>45995</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31724-2025</t>
        </is>
      </c>
      <c r="B869" s="1" t="n">
        <v>45834</v>
      </c>
      <c r="C869" s="1" t="n">
        <v>45995</v>
      </c>
      <c r="D869" t="inlineStr">
        <is>
          <t>VÄSTERBOTTENS LÄN</t>
        </is>
      </c>
      <c r="E869" t="inlineStr">
        <is>
          <t>VILHELMINA</t>
        </is>
      </c>
      <c r="G869" t="n">
        <v>19.7</v>
      </c>
      <c r="H869" t="n">
        <v>0</v>
      </c>
      <c r="I869" t="n">
        <v>0</v>
      </c>
      <c r="J869" t="n">
        <v>0</v>
      </c>
      <c r="K869" t="n">
        <v>0</v>
      </c>
      <c r="L869" t="n">
        <v>0</v>
      </c>
      <c r="M869" t="n">
        <v>0</v>
      </c>
      <c r="N869" t="n">
        <v>0</v>
      </c>
      <c r="O869" t="n">
        <v>0</v>
      </c>
      <c r="P869" t="n">
        <v>0</v>
      </c>
      <c r="Q869" t="n">
        <v>0</v>
      </c>
      <c r="R869" s="2" t="inlineStr"/>
    </row>
    <row r="870" ht="15" customHeight="1">
      <c r="A870" t="inlineStr">
        <is>
          <t>A 31730-2025</t>
        </is>
      </c>
      <c r="B870" s="1" t="n">
        <v>45834</v>
      </c>
      <c r="C870" s="1" t="n">
        <v>45995</v>
      </c>
      <c r="D870" t="inlineStr">
        <is>
          <t>VÄSTERBOTTENS LÄN</t>
        </is>
      </c>
      <c r="E870" t="inlineStr">
        <is>
          <t>VILHELMINA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31307-2025</t>
        </is>
      </c>
      <c r="B871" s="1" t="n">
        <v>45833</v>
      </c>
      <c r="C871" s="1" t="n">
        <v>45995</v>
      </c>
      <c r="D871" t="inlineStr">
        <is>
          <t>VÄSTERBOTTENS LÄN</t>
        </is>
      </c>
      <c r="E871" t="inlineStr">
        <is>
          <t>VILHELMINA</t>
        </is>
      </c>
      <c r="G871" t="n">
        <v>9.9</v>
      </c>
      <c r="H871" t="n">
        <v>0</v>
      </c>
      <c r="I871" t="n">
        <v>0</v>
      </c>
      <c r="J871" t="n">
        <v>0</v>
      </c>
      <c r="K871" t="n">
        <v>0</v>
      </c>
      <c r="L871" t="n">
        <v>0</v>
      </c>
      <c r="M871" t="n">
        <v>0</v>
      </c>
      <c r="N871" t="n">
        <v>0</v>
      </c>
      <c r="O871" t="n">
        <v>0</v>
      </c>
      <c r="P871" t="n">
        <v>0</v>
      </c>
      <c r="Q871" t="n">
        <v>0</v>
      </c>
      <c r="R871" s="2" t="inlineStr"/>
    </row>
    <row r="872" ht="15" customHeight="1">
      <c r="A872" t="inlineStr">
        <is>
          <t>A 14959-2022</t>
        </is>
      </c>
      <c r="B872" s="1" t="n">
        <v>44657</v>
      </c>
      <c r="C872" s="1" t="n">
        <v>45995</v>
      </c>
      <c r="D872" t="inlineStr">
        <is>
          <t>VÄSTERBOTTENS LÄN</t>
        </is>
      </c>
      <c r="E872" t="inlineStr">
        <is>
          <t>VILHELMINA</t>
        </is>
      </c>
      <c r="G872" t="n">
        <v>71.8</v>
      </c>
      <c r="H872" t="n">
        <v>0</v>
      </c>
      <c r="I872" t="n">
        <v>0</v>
      </c>
      <c r="J872" t="n">
        <v>0</v>
      </c>
      <c r="K872" t="n">
        <v>0</v>
      </c>
      <c r="L872" t="n">
        <v>0</v>
      </c>
      <c r="M872" t="n">
        <v>0</v>
      </c>
      <c r="N872" t="n">
        <v>0</v>
      </c>
      <c r="O872" t="n">
        <v>0</v>
      </c>
      <c r="P872" t="n">
        <v>0</v>
      </c>
      <c r="Q872" t="n">
        <v>0</v>
      </c>
      <c r="R872" s="2" t="inlineStr"/>
    </row>
    <row r="873" ht="15" customHeight="1">
      <c r="A873" t="inlineStr">
        <is>
          <t>A 31733-2025</t>
        </is>
      </c>
      <c r="B873" s="1" t="n">
        <v>45834.47035879629</v>
      </c>
      <c r="C873" s="1" t="n">
        <v>45995</v>
      </c>
      <c r="D873" t="inlineStr">
        <is>
          <t>VÄSTERBOTTENS LÄN</t>
        </is>
      </c>
      <c r="E873" t="inlineStr">
        <is>
          <t>VILHELMINA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31308-2025</t>
        </is>
      </c>
      <c r="B874" s="1" t="n">
        <v>45833</v>
      </c>
      <c r="C874" s="1" t="n">
        <v>45995</v>
      </c>
      <c r="D874" t="inlineStr">
        <is>
          <t>VÄSTERBOTTENS LÄN</t>
        </is>
      </c>
      <c r="E874" t="inlineStr">
        <is>
          <t>VILHELMINA</t>
        </is>
      </c>
      <c r="G874" t="n">
        <v>3.2</v>
      </c>
      <c r="H874" t="n">
        <v>0</v>
      </c>
      <c r="I874" t="n">
        <v>0</v>
      </c>
      <c r="J874" t="n">
        <v>0</v>
      </c>
      <c r="K874" t="n">
        <v>0</v>
      </c>
      <c r="L874" t="n">
        <v>0</v>
      </c>
      <c r="M874" t="n">
        <v>0</v>
      </c>
      <c r="N874" t="n">
        <v>0</v>
      </c>
      <c r="O874" t="n">
        <v>0</v>
      </c>
      <c r="P874" t="n">
        <v>0</v>
      </c>
      <c r="Q874" t="n">
        <v>0</v>
      </c>
      <c r="R874" s="2" t="inlineStr"/>
    </row>
    <row r="875" ht="15" customHeight="1">
      <c r="A875" t="inlineStr">
        <is>
          <t>A 2187-2021</t>
        </is>
      </c>
      <c r="B875" s="1" t="n">
        <v>44211</v>
      </c>
      <c r="C875" s="1" t="n">
        <v>45995</v>
      </c>
      <c r="D875" t="inlineStr">
        <is>
          <t>VÄSTERBOTTENS LÄN</t>
        </is>
      </c>
      <c r="E875" t="inlineStr">
        <is>
          <t>VILHELMINA</t>
        </is>
      </c>
      <c r="F875" t="inlineStr">
        <is>
          <t>Allmännings- och besparingsskogar</t>
        </is>
      </c>
      <c r="G875" t="n">
        <v>21.3</v>
      </c>
      <c r="H875" t="n">
        <v>0</v>
      </c>
      <c r="I875" t="n">
        <v>0</v>
      </c>
      <c r="J875" t="n">
        <v>0</v>
      </c>
      <c r="K875" t="n">
        <v>0</v>
      </c>
      <c r="L875" t="n">
        <v>0</v>
      </c>
      <c r="M875" t="n">
        <v>0</v>
      </c>
      <c r="N875" t="n">
        <v>0</v>
      </c>
      <c r="O875" t="n">
        <v>0</v>
      </c>
      <c r="P875" t="n">
        <v>0</v>
      </c>
      <c r="Q875" t="n">
        <v>0</v>
      </c>
      <c r="R875" s="2" t="inlineStr"/>
    </row>
    <row r="876" ht="15" customHeight="1">
      <c r="A876" t="inlineStr">
        <is>
          <t>A 12825-2023</t>
        </is>
      </c>
      <c r="B876" s="1" t="n">
        <v>45000</v>
      </c>
      <c r="C876" s="1" t="n">
        <v>45995</v>
      </c>
      <c r="D876" t="inlineStr">
        <is>
          <t>VÄSTERBOTTENS LÄN</t>
        </is>
      </c>
      <c r="E876" t="inlineStr">
        <is>
          <t>VILHELMINA</t>
        </is>
      </c>
      <c r="G876" t="n">
        <v>22.4</v>
      </c>
      <c r="H876" t="n">
        <v>0</v>
      </c>
      <c r="I876" t="n">
        <v>0</v>
      </c>
      <c r="J876" t="n">
        <v>0</v>
      </c>
      <c r="K876" t="n">
        <v>0</v>
      </c>
      <c r="L876" t="n">
        <v>0</v>
      </c>
      <c r="M876" t="n">
        <v>0</v>
      </c>
      <c r="N876" t="n">
        <v>0</v>
      </c>
      <c r="O876" t="n">
        <v>0</v>
      </c>
      <c r="P876" t="n">
        <v>0</v>
      </c>
      <c r="Q876" t="n">
        <v>0</v>
      </c>
      <c r="R876" s="2" t="inlineStr"/>
    </row>
    <row r="877" ht="15" customHeight="1">
      <c r="A877" t="inlineStr">
        <is>
          <t>A 23360-2025</t>
        </is>
      </c>
      <c r="B877" s="1" t="n">
        <v>45791</v>
      </c>
      <c r="C877" s="1" t="n">
        <v>45995</v>
      </c>
      <c r="D877" t="inlineStr">
        <is>
          <t>VÄSTERBOTTENS LÄN</t>
        </is>
      </c>
      <c r="E877" t="inlineStr">
        <is>
          <t>VILHELMINA</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19349-2024</t>
        </is>
      </c>
      <c r="B878" s="1" t="n">
        <v>45428.97231481481</v>
      </c>
      <c r="C878" s="1" t="n">
        <v>45995</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18692-2023</t>
        </is>
      </c>
      <c r="B879" s="1" t="n">
        <v>45042</v>
      </c>
      <c r="C879" s="1" t="n">
        <v>45995</v>
      </c>
      <c r="D879" t="inlineStr">
        <is>
          <t>VÄSTERBOTTENS LÄN</t>
        </is>
      </c>
      <c r="E879" t="inlineStr">
        <is>
          <t>VILHELMINA</t>
        </is>
      </c>
      <c r="F879" t="inlineStr">
        <is>
          <t>Allmännings- och besparingsskogar</t>
        </is>
      </c>
      <c r="G879" t="n">
        <v>0.6</v>
      </c>
      <c r="H879" t="n">
        <v>0</v>
      </c>
      <c r="I879" t="n">
        <v>0</v>
      </c>
      <c r="J879" t="n">
        <v>0</v>
      </c>
      <c r="K879" t="n">
        <v>0</v>
      </c>
      <c r="L879" t="n">
        <v>0</v>
      </c>
      <c r="M879" t="n">
        <v>0</v>
      </c>
      <c r="N879" t="n">
        <v>0</v>
      </c>
      <c r="O879" t="n">
        <v>0</v>
      </c>
      <c r="P879" t="n">
        <v>0</v>
      </c>
      <c r="Q879" t="n">
        <v>0</v>
      </c>
      <c r="R879" s="2" t="inlineStr"/>
    </row>
    <row r="880" ht="15" customHeight="1">
      <c r="A880" t="inlineStr">
        <is>
          <t>A 58363-2021</t>
        </is>
      </c>
      <c r="B880" s="1" t="n">
        <v>44488</v>
      </c>
      <c r="C880" s="1" t="n">
        <v>45995</v>
      </c>
      <c r="D880" t="inlineStr">
        <is>
          <t>VÄSTERBOTTENS LÄN</t>
        </is>
      </c>
      <c r="E880" t="inlineStr">
        <is>
          <t>VILHELMINA</t>
        </is>
      </c>
      <c r="G880" t="n">
        <v>7.3</v>
      </c>
      <c r="H880" t="n">
        <v>0</v>
      </c>
      <c r="I880" t="n">
        <v>0</v>
      </c>
      <c r="J880" t="n">
        <v>0</v>
      </c>
      <c r="K880" t="n">
        <v>0</v>
      </c>
      <c r="L880" t="n">
        <v>0</v>
      </c>
      <c r="M880" t="n">
        <v>0</v>
      </c>
      <c r="N880" t="n">
        <v>0</v>
      </c>
      <c r="O880" t="n">
        <v>0</v>
      </c>
      <c r="P880" t="n">
        <v>0</v>
      </c>
      <c r="Q880" t="n">
        <v>0</v>
      </c>
      <c r="R880" s="2" t="inlineStr"/>
    </row>
    <row r="881" ht="15" customHeight="1">
      <c r="A881" t="inlineStr">
        <is>
          <t>A 8750-2021</t>
        </is>
      </c>
      <c r="B881" s="1" t="n">
        <v>44246</v>
      </c>
      <c r="C881" s="1" t="n">
        <v>45995</v>
      </c>
      <c r="D881" t="inlineStr">
        <is>
          <t>VÄSTERBOTTENS LÄN</t>
        </is>
      </c>
      <c r="E881" t="inlineStr">
        <is>
          <t>VILHELMINA</t>
        </is>
      </c>
      <c r="G881" t="n">
        <v>5.2</v>
      </c>
      <c r="H881" t="n">
        <v>0</v>
      </c>
      <c r="I881" t="n">
        <v>0</v>
      </c>
      <c r="J881" t="n">
        <v>0</v>
      </c>
      <c r="K881" t="n">
        <v>0</v>
      </c>
      <c r="L881" t="n">
        <v>0</v>
      </c>
      <c r="M881" t="n">
        <v>0</v>
      </c>
      <c r="N881" t="n">
        <v>0</v>
      </c>
      <c r="O881" t="n">
        <v>0</v>
      </c>
      <c r="P881" t="n">
        <v>0</v>
      </c>
      <c r="Q881" t="n">
        <v>0</v>
      </c>
      <c r="R881" s="2" t="inlineStr"/>
    </row>
    <row r="882" ht="15" customHeight="1">
      <c r="A882" t="inlineStr">
        <is>
          <t>A 33142-2025</t>
        </is>
      </c>
      <c r="B882" s="1" t="n">
        <v>45840</v>
      </c>
      <c r="C882" s="1" t="n">
        <v>45995</v>
      </c>
      <c r="D882" t="inlineStr">
        <is>
          <t>VÄSTERBOTTENS LÄN</t>
        </is>
      </c>
      <c r="E882" t="inlineStr">
        <is>
          <t>VILHELMINA</t>
        </is>
      </c>
      <c r="G882" t="n">
        <v>15.2</v>
      </c>
      <c r="H882" t="n">
        <v>0</v>
      </c>
      <c r="I882" t="n">
        <v>0</v>
      </c>
      <c r="J882" t="n">
        <v>0</v>
      </c>
      <c r="K882" t="n">
        <v>0</v>
      </c>
      <c r="L882" t="n">
        <v>0</v>
      </c>
      <c r="M882" t="n">
        <v>0</v>
      </c>
      <c r="N882" t="n">
        <v>0</v>
      </c>
      <c r="O882" t="n">
        <v>0</v>
      </c>
      <c r="P882" t="n">
        <v>0</v>
      </c>
      <c r="Q882" t="n">
        <v>0</v>
      </c>
      <c r="R882" s="2" t="inlineStr"/>
    </row>
    <row r="883" ht="15" customHeight="1">
      <c r="A883" t="inlineStr">
        <is>
          <t>A 32947-2025</t>
        </is>
      </c>
      <c r="B883" s="1" t="n">
        <v>45839</v>
      </c>
      <c r="C883" s="1" t="n">
        <v>45995</v>
      </c>
      <c r="D883" t="inlineStr">
        <is>
          <t>VÄSTERBOTTENS LÄN</t>
        </is>
      </c>
      <c r="E883" t="inlineStr">
        <is>
          <t>VILHELMINA</t>
        </is>
      </c>
      <c r="G883" t="n">
        <v>19.1</v>
      </c>
      <c r="H883" t="n">
        <v>0</v>
      </c>
      <c r="I883" t="n">
        <v>0</v>
      </c>
      <c r="J883" t="n">
        <v>0</v>
      </c>
      <c r="K883" t="n">
        <v>0</v>
      </c>
      <c r="L883" t="n">
        <v>0</v>
      </c>
      <c r="M883" t="n">
        <v>0</v>
      </c>
      <c r="N883" t="n">
        <v>0</v>
      </c>
      <c r="O883" t="n">
        <v>0</v>
      </c>
      <c r="P883" t="n">
        <v>0</v>
      </c>
      <c r="Q883" t="n">
        <v>0</v>
      </c>
      <c r="R883" s="2" t="inlineStr"/>
    </row>
    <row r="884" ht="15" customHeight="1">
      <c r="A884" t="inlineStr">
        <is>
          <t>A 6706-2021</t>
        </is>
      </c>
      <c r="B884" s="1" t="n">
        <v>44235</v>
      </c>
      <c r="C884" s="1" t="n">
        <v>45995</v>
      </c>
      <c r="D884" t="inlineStr">
        <is>
          <t>VÄSTERBOTTENS LÄN</t>
        </is>
      </c>
      <c r="E884" t="inlineStr">
        <is>
          <t>VILHELMINA</t>
        </is>
      </c>
      <c r="G884" t="n">
        <v>3.8</v>
      </c>
      <c r="H884" t="n">
        <v>0</v>
      </c>
      <c r="I884" t="n">
        <v>0</v>
      </c>
      <c r="J884" t="n">
        <v>0</v>
      </c>
      <c r="K884" t="n">
        <v>0</v>
      </c>
      <c r="L884" t="n">
        <v>0</v>
      </c>
      <c r="M884" t="n">
        <v>0</v>
      </c>
      <c r="N884" t="n">
        <v>0</v>
      </c>
      <c r="O884" t="n">
        <v>0</v>
      </c>
      <c r="P884" t="n">
        <v>0</v>
      </c>
      <c r="Q884" t="n">
        <v>0</v>
      </c>
      <c r="R884" s="2" t="inlineStr"/>
    </row>
    <row r="885" ht="15" customHeight="1">
      <c r="A885" t="inlineStr">
        <is>
          <t>A 53606-2024</t>
        </is>
      </c>
      <c r="B885" s="1" t="n">
        <v>45614</v>
      </c>
      <c r="C885" s="1" t="n">
        <v>45995</v>
      </c>
      <c r="D885" t="inlineStr">
        <is>
          <t>VÄSTERBOTTENS LÄN</t>
        </is>
      </c>
      <c r="E885" t="inlineStr">
        <is>
          <t>VILHELMINA</t>
        </is>
      </c>
      <c r="F885" t="inlineStr">
        <is>
          <t>SCA</t>
        </is>
      </c>
      <c r="G885" t="n">
        <v>10.1</v>
      </c>
      <c r="H885" t="n">
        <v>0</v>
      </c>
      <c r="I885" t="n">
        <v>0</v>
      </c>
      <c r="J885" t="n">
        <v>0</v>
      </c>
      <c r="K885" t="n">
        <v>0</v>
      </c>
      <c r="L885" t="n">
        <v>0</v>
      </c>
      <c r="M885" t="n">
        <v>0</v>
      </c>
      <c r="N885" t="n">
        <v>0</v>
      </c>
      <c r="O885" t="n">
        <v>0</v>
      </c>
      <c r="P885" t="n">
        <v>0</v>
      </c>
      <c r="Q885" t="n">
        <v>0</v>
      </c>
      <c r="R885" s="2" t="inlineStr"/>
    </row>
    <row r="886" ht="15" customHeight="1">
      <c r="A886" t="inlineStr">
        <is>
          <t>A 33786-2024</t>
        </is>
      </c>
      <c r="B886" s="1" t="n">
        <v>45520.58966435185</v>
      </c>
      <c r="C886" s="1" t="n">
        <v>45995</v>
      </c>
      <c r="D886" t="inlineStr">
        <is>
          <t>VÄSTERBOTTENS LÄN</t>
        </is>
      </c>
      <c r="E886" t="inlineStr">
        <is>
          <t>VILHELMINA</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28869-2024</t>
        </is>
      </c>
      <c r="B887" s="1" t="n">
        <v>45478.94722222222</v>
      </c>
      <c r="C887" s="1" t="n">
        <v>45995</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33319-2025</t>
        </is>
      </c>
      <c r="B888" s="1" t="n">
        <v>45841</v>
      </c>
      <c r="C888" s="1" t="n">
        <v>45995</v>
      </c>
      <c r="D888" t="inlineStr">
        <is>
          <t>VÄSTERBOTTENS LÄN</t>
        </is>
      </c>
      <c r="E888" t="inlineStr">
        <is>
          <t>VILHELMINA</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33320-2025</t>
        </is>
      </c>
      <c r="B889" s="1" t="n">
        <v>45841.34461805555</v>
      </c>
      <c r="C889" s="1" t="n">
        <v>45995</v>
      </c>
      <c r="D889" t="inlineStr">
        <is>
          <t>VÄSTERBOTTENS LÄN</t>
        </is>
      </c>
      <c r="E889" t="inlineStr">
        <is>
          <t>VILHELMINA</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25102-2021</t>
        </is>
      </c>
      <c r="B890" s="1" t="n">
        <v>44341</v>
      </c>
      <c r="C890" s="1" t="n">
        <v>45995</v>
      </c>
      <c r="D890" t="inlineStr">
        <is>
          <t>VÄSTERBOTTENS LÄN</t>
        </is>
      </c>
      <c r="E890" t="inlineStr">
        <is>
          <t>VILHELMINA</t>
        </is>
      </c>
      <c r="G890" t="n">
        <v>6.7</v>
      </c>
      <c r="H890" t="n">
        <v>0</v>
      </c>
      <c r="I890" t="n">
        <v>0</v>
      </c>
      <c r="J890" t="n">
        <v>0</v>
      </c>
      <c r="K890" t="n">
        <v>0</v>
      </c>
      <c r="L890" t="n">
        <v>0</v>
      </c>
      <c r="M890" t="n">
        <v>0</v>
      </c>
      <c r="N890" t="n">
        <v>0</v>
      </c>
      <c r="O890" t="n">
        <v>0</v>
      </c>
      <c r="P890" t="n">
        <v>0</v>
      </c>
      <c r="Q890" t="n">
        <v>0</v>
      </c>
      <c r="R890" s="2" t="inlineStr"/>
    </row>
    <row r="891" ht="15" customHeight="1">
      <c r="A891" t="inlineStr">
        <is>
          <t>A 20322-2022</t>
        </is>
      </c>
      <c r="B891" s="1" t="n">
        <v>44698</v>
      </c>
      <c r="C891" s="1" t="n">
        <v>45995</v>
      </c>
      <c r="D891" t="inlineStr">
        <is>
          <t>VÄSTERBOTTENS LÄN</t>
        </is>
      </c>
      <c r="E891" t="inlineStr">
        <is>
          <t>VILHELMINA</t>
        </is>
      </c>
      <c r="G891" t="n">
        <v>10.5</v>
      </c>
      <c r="H891" t="n">
        <v>0</v>
      </c>
      <c r="I891" t="n">
        <v>0</v>
      </c>
      <c r="J891" t="n">
        <v>0</v>
      </c>
      <c r="K891" t="n">
        <v>0</v>
      </c>
      <c r="L891" t="n">
        <v>0</v>
      </c>
      <c r="M891" t="n">
        <v>0</v>
      </c>
      <c r="N891" t="n">
        <v>0</v>
      </c>
      <c r="O891" t="n">
        <v>0</v>
      </c>
      <c r="P891" t="n">
        <v>0</v>
      </c>
      <c r="Q891" t="n">
        <v>0</v>
      </c>
      <c r="R891" s="2" t="inlineStr"/>
    </row>
    <row r="892" ht="15" customHeight="1">
      <c r="A892" t="inlineStr">
        <is>
          <t>A 2742-2023</t>
        </is>
      </c>
      <c r="B892" s="1" t="n">
        <v>44943</v>
      </c>
      <c r="C892" s="1" t="n">
        <v>45995</v>
      </c>
      <c r="D892" t="inlineStr">
        <is>
          <t>VÄSTERBOTTENS LÄN</t>
        </is>
      </c>
      <c r="E892" t="inlineStr">
        <is>
          <t>VILHELMINA</t>
        </is>
      </c>
      <c r="G892" t="n">
        <v>34.8</v>
      </c>
      <c r="H892" t="n">
        <v>0</v>
      </c>
      <c r="I892" t="n">
        <v>0</v>
      </c>
      <c r="J892" t="n">
        <v>0</v>
      </c>
      <c r="K892" t="n">
        <v>0</v>
      </c>
      <c r="L892" t="n">
        <v>0</v>
      </c>
      <c r="M892" t="n">
        <v>0</v>
      </c>
      <c r="N892" t="n">
        <v>0</v>
      </c>
      <c r="O892" t="n">
        <v>0</v>
      </c>
      <c r="P892" t="n">
        <v>0</v>
      </c>
      <c r="Q892" t="n">
        <v>0</v>
      </c>
      <c r="R892" s="2" t="inlineStr"/>
    </row>
    <row r="893" ht="15" customHeight="1">
      <c r="A893" t="inlineStr">
        <is>
          <t>A 33641-2025</t>
        </is>
      </c>
      <c r="B893" s="1" t="n">
        <v>45841.65045138889</v>
      </c>
      <c r="C893" s="1" t="n">
        <v>45995</v>
      </c>
      <c r="D893" t="inlineStr">
        <is>
          <t>VÄSTERBOTTENS LÄN</t>
        </is>
      </c>
      <c r="E893" t="inlineStr">
        <is>
          <t>VILHELMINA</t>
        </is>
      </c>
      <c r="G893" t="n">
        <v>7.3</v>
      </c>
      <c r="H893" t="n">
        <v>0</v>
      </c>
      <c r="I893" t="n">
        <v>0</v>
      </c>
      <c r="J893" t="n">
        <v>0</v>
      </c>
      <c r="K893" t="n">
        <v>0</v>
      </c>
      <c r="L893" t="n">
        <v>0</v>
      </c>
      <c r="M893" t="n">
        <v>0</v>
      </c>
      <c r="N893" t="n">
        <v>0</v>
      </c>
      <c r="O893" t="n">
        <v>0</v>
      </c>
      <c r="P893" t="n">
        <v>0</v>
      </c>
      <c r="Q893" t="n">
        <v>0</v>
      </c>
      <c r="R893" s="2" t="inlineStr"/>
    </row>
    <row r="894" ht="15" customHeight="1">
      <c r="A894" t="inlineStr">
        <is>
          <t>A 26947-2024</t>
        </is>
      </c>
      <c r="B894" s="1" t="n">
        <v>45470.9693287037</v>
      </c>
      <c r="C894" s="1" t="n">
        <v>45995</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26557-2023</t>
        </is>
      </c>
      <c r="B895" s="1" t="n">
        <v>45089</v>
      </c>
      <c r="C895" s="1" t="n">
        <v>45995</v>
      </c>
      <c r="D895" t="inlineStr">
        <is>
          <t>VÄSTERBOTTENS LÄN</t>
        </is>
      </c>
      <c r="E895" t="inlineStr">
        <is>
          <t>VILHELMINA</t>
        </is>
      </c>
      <c r="G895" t="n">
        <v>0.5</v>
      </c>
      <c r="H895" t="n">
        <v>0</v>
      </c>
      <c r="I895" t="n">
        <v>0</v>
      </c>
      <c r="J895" t="n">
        <v>0</v>
      </c>
      <c r="K895" t="n">
        <v>0</v>
      </c>
      <c r="L895" t="n">
        <v>0</v>
      </c>
      <c r="M895" t="n">
        <v>0</v>
      </c>
      <c r="N895" t="n">
        <v>0</v>
      </c>
      <c r="O895" t="n">
        <v>0</v>
      </c>
      <c r="P895" t="n">
        <v>0</v>
      </c>
      <c r="Q895" t="n">
        <v>0</v>
      </c>
      <c r="R895" s="2" t="inlineStr"/>
    </row>
    <row r="896" ht="15" customHeight="1">
      <c r="A896" t="inlineStr">
        <is>
          <t>A 34413-2025</t>
        </is>
      </c>
      <c r="B896" s="1" t="n">
        <v>45845</v>
      </c>
      <c r="C896" s="1" t="n">
        <v>45995</v>
      </c>
      <c r="D896" t="inlineStr">
        <is>
          <t>VÄSTERBOTTENS LÄN</t>
        </is>
      </c>
      <c r="E896" t="inlineStr">
        <is>
          <t>VILHELMINA</t>
        </is>
      </c>
      <c r="G896" t="n">
        <v>6.8</v>
      </c>
      <c r="H896" t="n">
        <v>0</v>
      </c>
      <c r="I896" t="n">
        <v>0</v>
      </c>
      <c r="J896" t="n">
        <v>0</v>
      </c>
      <c r="K896" t="n">
        <v>0</v>
      </c>
      <c r="L896" t="n">
        <v>0</v>
      </c>
      <c r="M896" t="n">
        <v>0</v>
      </c>
      <c r="N896" t="n">
        <v>0</v>
      </c>
      <c r="O896" t="n">
        <v>0</v>
      </c>
      <c r="P896" t="n">
        <v>0</v>
      </c>
      <c r="Q896" t="n">
        <v>0</v>
      </c>
      <c r="R896" s="2" t="inlineStr"/>
    </row>
    <row r="897" ht="15" customHeight="1">
      <c r="A897" t="inlineStr">
        <is>
          <t>A 36957-2023</t>
        </is>
      </c>
      <c r="B897" s="1" t="n">
        <v>45154.92628472222</v>
      </c>
      <c r="C897" s="1" t="n">
        <v>45995</v>
      </c>
      <c r="D897" t="inlineStr">
        <is>
          <t>VÄSTERBOTTENS LÄN</t>
        </is>
      </c>
      <c r="E897" t="inlineStr">
        <is>
          <t>VILHELMINA</t>
        </is>
      </c>
      <c r="G897" t="n">
        <v>0.5</v>
      </c>
      <c r="H897" t="n">
        <v>0</v>
      </c>
      <c r="I897" t="n">
        <v>0</v>
      </c>
      <c r="J897" t="n">
        <v>0</v>
      </c>
      <c r="K897" t="n">
        <v>0</v>
      </c>
      <c r="L897" t="n">
        <v>0</v>
      </c>
      <c r="M897" t="n">
        <v>0</v>
      </c>
      <c r="N897" t="n">
        <v>0</v>
      </c>
      <c r="O897" t="n">
        <v>0</v>
      </c>
      <c r="P897" t="n">
        <v>0</v>
      </c>
      <c r="Q897" t="n">
        <v>0</v>
      </c>
      <c r="R897" s="2" t="inlineStr"/>
    </row>
    <row r="898" ht="15" customHeight="1">
      <c r="A898" t="inlineStr">
        <is>
          <t>A 34253-2025</t>
        </is>
      </c>
      <c r="B898" s="1" t="n">
        <v>45845</v>
      </c>
      <c r="C898" s="1" t="n">
        <v>45995</v>
      </c>
      <c r="D898" t="inlineStr">
        <is>
          <t>VÄSTERBOTTENS LÄN</t>
        </is>
      </c>
      <c r="E898" t="inlineStr">
        <is>
          <t>VILHELMINA</t>
        </is>
      </c>
      <c r="G898" t="n">
        <v>14.3</v>
      </c>
      <c r="H898" t="n">
        <v>0</v>
      </c>
      <c r="I898" t="n">
        <v>0</v>
      </c>
      <c r="J898" t="n">
        <v>0</v>
      </c>
      <c r="K898" t="n">
        <v>0</v>
      </c>
      <c r="L898" t="n">
        <v>0</v>
      </c>
      <c r="M898" t="n">
        <v>0</v>
      </c>
      <c r="N898" t="n">
        <v>0</v>
      </c>
      <c r="O898" t="n">
        <v>0</v>
      </c>
      <c r="P898" t="n">
        <v>0</v>
      </c>
      <c r="Q898" t="n">
        <v>0</v>
      </c>
      <c r="R898" s="2" t="inlineStr"/>
    </row>
    <row r="899" ht="15" customHeight="1">
      <c r="A899" t="inlineStr">
        <is>
          <t>A 34569-2025</t>
        </is>
      </c>
      <c r="B899" s="1" t="n">
        <v>45847.58480324074</v>
      </c>
      <c r="C899" s="1" t="n">
        <v>45995</v>
      </c>
      <c r="D899" t="inlineStr">
        <is>
          <t>VÄSTERBOTTENS LÄN</t>
        </is>
      </c>
      <c r="E899" t="inlineStr">
        <is>
          <t>VILHELMINA</t>
        </is>
      </c>
      <c r="G899" t="n">
        <v>5.3</v>
      </c>
      <c r="H899" t="n">
        <v>0</v>
      </c>
      <c r="I899" t="n">
        <v>0</v>
      </c>
      <c r="J899" t="n">
        <v>0</v>
      </c>
      <c r="K899" t="n">
        <v>0</v>
      </c>
      <c r="L899" t="n">
        <v>0</v>
      </c>
      <c r="M899" t="n">
        <v>0</v>
      </c>
      <c r="N899" t="n">
        <v>0</v>
      </c>
      <c r="O899" t="n">
        <v>0</v>
      </c>
      <c r="P899" t="n">
        <v>0</v>
      </c>
      <c r="Q899" t="n">
        <v>0</v>
      </c>
      <c r="R899" s="2" t="inlineStr"/>
    </row>
    <row r="900" ht="15" customHeight="1">
      <c r="A900" t="inlineStr">
        <is>
          <t>A 34542-2025</t>
        </is>
      </c>
      <c r="B900" s="1" t="n">
        <v>45847.53211805555</v>
      </c>
      <c r="C900" s="1" t="n">
        <v>45995</v>
      </c>
      <c r="D900" t="inlineStr">
        <is>
          <t>VÄSTERBOTTENS LÄN</t>
        </is>
      </c>
      <c r="E900" t="inlineStr">
        <is>
          <t>VILHELMINA</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34563-2025</t>
        </is>
      </c>
      <c r="B901" s="1" t="n">
        <v>45847.57950231482</v>
      </c>
      <c r="C901" s="1" t="n">
        <v>45995</v>
      </c>
      <c r="D901" t="inlineStr">
        <is>
          <t>VÄSTERBOTTENS LÄN</t>
        </is>
      </c>
      <c r="E901" t="inlineStr">
        <is>
          <t>VILHELMINA</t>
        </is>
      </c>
      <c r="G901" t="n">
        <v>20.6</v>
      </c>
      <c r="H901" t="n">
        <v>0</v>
      </c>
      <c r="I901" t="n">
        <v>0</v>
      </c>
      <c r="J901" t="n">
        <v>0</v>
      </c>
      <c r="K901" t="n">
        <v>0</v>
      </c>
      <c r="L901" t="n">
        <v>0</v>
      </c>
      <c r="M901" t="n">
        <v>0</v>
      </c>
      <c r="N901" t="n">
        <v>0</v>
      </c>
      <c r="O901" t="n">
        <v>0</v>
      </c>
      <c r="P901" t="n">
        <v>0</v>
      </c>
      <c r="Q901" t="n">
        <v>0</v>
      </c>
      <c r="R901" s="2" t="inlineStr"/>
    </row>
    <row r="902" ht="15" customHeight="1">
      <c r="A902" t="inlineStr">
        <is>
          <t>A 12784-2023</t>
        </is>
      </c>
      <c r="B902" s="1" t="n">
        <v>45000</v>
      </c>
      <c r="C902" s="1" t="n">
        <v>45995</v>
      </c>
      <c r="D902" t="inlineStr">
        <is>
          <t>VÄSTERBOTTENS LÄN</t>
        </is>
      </c>
      <c r="E902" t="inlineStr">
        <is>
          <t>VILHELMINA</t>
        </is>
      </c>
      <c r="G902" t="n">
        <v>18.6</v>
      </c>
      <c r="H902" t="n">
        <v>0</v>
      </c>
      <c r="I902" t="n">
        <v>0</v>
      </c>
      <c r="J902" t="n">
        <v>0</v>
      </c>
      <c r="K902" t="n">
        <v>0</v>
      </c>
      <c r="L902" t="n">
        <v>0</v>
      </c>
      <c r="M902" t="n">
        <v>0</v>
      </c>
      <c r="N902" t="n">
        <v>0</v>
      </c>
      <c r="O902" t="n">
        <v>0</v>
      </c>
      <c r="P902" t="n">
        <v>0</v>
      </c>
      <c r="Q902" t="n">
        <v>0</v>
      </c>
      <c r="R902" s="2" t="inlineStr"/>
    </row>
    <row r="903" ht="15" customHeight="1">
      <c r="A903" t="inlineStr">
        <is>
          <t>A 5947-2023</t>
        </is>
      </c>
      <c r="B903" s="1" t="n">
        <v>44963.92259259259</v>
      </c>
      <c r="C903" s="1" t="n">
        <v>45995</v>
      </c>
      <c r="D903" t="inlineStr">
        <is>
          <t>VÄSTERBOTTENS LÄN</t>
        </is>
      </c>
      <c r="E903" t="inlineStr">
        <is>
          <t>VILHELMINA</t>
        </is>
      </c>
      <c r="G903" t="n">
        <v>4.3</v>
      </c>
      <c r="H903" t="n">
        <v>0</v>
      </c>
      <c r="I903" t="n">
        <v>0</v>
      </c>
      <c r="J903" t="n">
        <v>0</v>
      </c>
      <c r="K903" t="n">
        <v>0</v>
      </c>
      <c r="L903" t="n">
        <v>0</v>
      </c>
      <c r="M903" t="n">
        <v>0</v>
      </c>
      <c r="N903" t="n">
        <v>0</v>
      </c>
      <c r="O903" t="n">
        <v>0</v>
      </c>
      <c r="P903" t="n">
        <v>0</v>
      </c>
      <c r="Q903" t="n">
        <v>0</v>
      </c>
      <c r="R903" s="2" t="inlineStr"/>
    </row>
    <row r="904" ht="15" customHeight="1">
      <c r="A904" t="inlineStr">
        <is>
          <t>A 65179-2021</t>
        </is>
      </c>
      <c r="B904" s="1" t="n">
        <v>44515</v>
      </c>
      <c r="C904" s="1" t="n">
        <v>45995</v>
      </c>
      <c r="D904" t="inlineStr">
        <is>
          <t>VÄSTERBOTTENS LÄN</t>
        </is>
      </c>
      <c r="E904" t="inlineStr">
        <is>
          <t>VILHELMINA</t>
        </is>
      </c>
      <c r="G904" t="n">
        <v>8</v>
      </c>
      <c r="H904" t="n">
        <v>0</v>
      </c>
      <c r="I904" t="n">
        <v>0</v>
      </c>
      <c r="J904" t="n">
        <v>0</v>
      </c>
      <c r="K904" t="n">
        <v>0</v>
      </c>
      <c r="L904" t="n">
        <v>0</v>
      </c>
      <c r="M904" t="n">
        <v>0</v>
      </c>
      <c r="N904" t="n">
        <v>0</v>
      </c>
      <c r="O904" t="n">
        <v>0</v>
      </c>
      <c r="P904" t="n">
        <v>0</v>
      </c>
      <c r="Q904" t="n">
        <v>0</v>
      </c>
      <c r="R904" s="2" t="inlineStr"/>
    </row>
    <row r="905" ht="15" customHeight="1">
      <c r="A905" t="inlineStr">
        <is>
          <t>A 26499-2024</t>
        </is>
      </c>
      <c r="B905" s="1" t="n">
        <v>45469</v>
      </c>
      <c r="C905" s="1" t="n">
        <v>45995</v>
      </c>
      <c r="D905" t="inlineStr">
        <is>
          <t>VÄSTERBOTTENS LÄN</t>
        </is>
      </c>
      <c r="E905" t="inlineStr">
        <is>
          <t>VILHELMINA</t>
        </is>
      </c>
      <c r="F905" t="inlineStr">
        <is>
          <t>Sveaskog</t>
        </is>
      </c>
      <c r="G905" t="n">
        <v>5.1</v>
      </c>
      <c r="H905" t="n">
        <v>0</v>
      </c>
      <c r="I905" t="n">
        <v>0</v>
      </c>
      <c r="J905" t="n">
        <v>0</v>
      </c>
      <c r="K905" t="n">
        <v>0</v>
      </c>
      <c r="L905" t="n">
        <v>0</v>
      </c>
      <c r="M905" t="n">
        <v>0</v>
      </c>
      <c r="N905" t="n">
        <v>0</v>
      </c>
      <c r="O905" t="n">
        <v>0</v>
      </c>
      <c r="P905" t="n">
        <v>0</v>
      </c>
      <c r="Q905" t="n">
        <v>0</v>
      </c>
      <c r="R905" s="2" t="inlineStr"/>
    </row>
    <row r="906" ht="15" customHeight="1">
      <c r="A906" t="inlineStr">
        <is>
          <t>A 8745-2023</t>
        </is>
      </c>
      <c r="B906" s="1" t="n">
        <v>44972</v>
      </c>
      <c r="C906" s="1" t="n">
        <v>45995</v>
      </c>
      <c r="D906" t="inlineStr">
        <is>
          <t>VÄSTERBOTTENS LÄN</t>
        </is>
      </c>
      <c r="E906" t="inlineStr">
        <is>
          <t>VILHELMINA</t>
        </is>
      </c>
      <c r="F906" t="inlineStr">
        <is>
          <t>Allmännings- och besparingsskogar</t>
        </is>
      </c>
      <c r="G906" t="n">
        <v>41</v>
      </c>
      <c r="H906" t="n">
        <v>0</v>
      </c>
      <c r="I906" t="n">
        <v>0</v>
      </c>
      <c r="J906" t="n">
        <v>0</v>
      </c>
      <c r="K906" t="n">
        <v>0</v>
      </c>
      <c r="L906" t="n">
        <v>0</v>
      </c>
      <c r="M906" t="n">
        <v>0</v>
      </c>
      <c r="N906" t="n">
        <v>0</v>
      </c>
      <c r="O906" t="n">
        <v>0</v>
      </c>
      <c r="P906" t="n">
        <v>0</v>
      </c>
      <c r="Q906" t="n">
        <v>0</v>
      </c>
      <c r="R906" s="2" t="inlineStr"/>
    </row>
    <row r="907" ht="15" customHeight="1">
      <c r="A907" t="inlineStr">
        <is>
          <t>A 35285-2025</t>
        </is>
      </c>
      <c r="B907" s="1" t="n">
        <v>45854</v>
      </c>
      <c r="C907" s="1" t="n">
        <v>45995</v>
      </c>
      <c r="D907" t="inlineStr">
        <is>
          <t>VÄSTERBOTTENS LÄN</t>
        </is>
      </c>
      <c r="E907" t="inlineStr">
        <is>
          <t>VILHELMINA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35287-2025</t>
        </is>
      </c>
      <c r="B908" s="1" t="n">
        <v>45854.3653587963</v>
      </c>
      <c r="C908" s="1" t="n">
        <v>45995</v>
      </c>
      <c r="D908" t="inlineStr">
        <is>
          <t>VÄSTERBOTTENS LÄN</t>
        </is>
      </c>
      <c r="E908" t="inlineStr">
        <is>
          <t>VILHELMINA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35288-2025</t>
        </is>
      </c>
      <c r="B909" s="1" t="n">
        <v>45854.36543981481</v>
      </c>
      <c r="C909" s="1" t="n">
        <v>45995</v>
      </c>
      <c r="D909" t="inlineStr">
        <is>
          <t>VÄSTERBOTTENS LÄN</t>
        </is>
      </c>
      <c r="E909" t="inlineStr">
        <is>
          <t>VILHELMINA</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16719-2025</t>
        </is>
      </c>
      <c r="B910" s="1" t="n">
        <v>45754.49008101852</v>
      </c>
      <c r="C910" s="1" t="n">
        <v>45995</v>
      </c>
      <c r="D910" t="inlineStr">
        <is>
          <t>VÄSTERBOTTENS LÄN</t>
        </is>
      </c>
      <c r="E910" t="inlineStr">
        <is>
          <t>VILHELMINA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35230-2025</t>
        </is>
      </c>
      <c r="B911" s="1" t="n">
        <v>45853.59447916667</v>
      </c>
      <c r="C911" s="1" t="n">
        <v>45995</v>
      </c>
      <c r="D911" t="inlineStr">
        <is>
          <t>VÄSTERBOTTENS LÄN</t>
        </is>
      </c>
      <c r="E911" t="inlineStr">
        <is>
          <t>VILHELMINA</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35231-2025</t>
        </is>
      </c>
      <c r="B912" s="1" t="n">
        <v>45853.59453703704</v>
      </c>
      <c r="C912" s="1" t="n">
        <v>45995</v>
      </c>
      <c r="D912" t="inlineStr">
        <is>
          <t>VÄSTERBOTTENS LÄN</t>
        </is>
      </c>
      <c r="E912" t="inlineStr">
        <is>
          <t>VILHELMINA</t>
        </is>
      </c>
      <c r="F912" t="inlineStr">
        <is>
          <t>SCA</t>
        </is>
      </c>
      <c r="G912" t="n">
        <v>4.3</v>
      </c>
      <c r="H912" t="n">
        <v>0</v>
      </c>
      <c r="I912" t="n">
        <v>0</v>
      </c>
      <c r="J912" t="n">
        <v>0</v>
      </c>
      <c r="K912" t="n">
        <v>0</v>
      </c>
      <c r="L912" t="n">
        <v>0</v>
      </c>
      <c r="M912" t="n">
        <v>0</v>
      </c>
      <c r="N912" t="n">
        <v>0</v>
      </c>
      <c r="O912" t="n">
        <v>0</v>
      </c>
      <c r="P912" t="n">
        <v>0</v>
      </c>
      <c r="Q912" t="n">
        <v>0</v>
      </c>
      <c r="R912" s="2" t="inlineStr"/>
    </row>
    <row r="913" ht="15" customHeight="1">
      <c r="A913" t="inlineStr">
        <is>
          <t>A 37325-2022</t>
        </is>
      </c>
      <c r="B913" s="1" t="n">
        <v>44806</v>
      </c>
      <c r="C913" s="1" t="n">
        <v>45995</v>
      </c>
      <c r="D913" t="inlineStr">
        <is>
          <t>VÄSTERBOTTENS LÄN</t>
        </is>
      </c>
      <c r="E913" t="inlineStr">
        <is>
          <t>VILHELMINA</t>
        </is>
      </c>
      <c r="F913" t="inlineStr">
        <is>
          <t>Övriga statliga verk och myndigheter</t>
        </is>
      </c>
      <c r="G913" t="n">
        <v>11</v>
      </c>
      <c r="H913" t="n">
        <v>0</v>
      </c>
      <c r="I913" t="n">
        <v>0</v>
      </c>
      <c r="J913" t="n">
        <v>0</v>
      </c>
      <c r="K913" t="n">
        <v>0</v>
      </c>
      <c r="L913" t="n">
        <v>0</v>
      </c>
      <c r="M913" t="n">
        <v>0</v>
      </c>
      <c r="N913" t="n">
        <v>0</v>
      </c>
      <c r="O913" t="n">
        <v>0</v>
      </c>
      <c r="P913" t="n">
        <v>0</v>
      </c>
      <c r="Q913" t="n">
        <v>0</v>
      </c>
      <c r="R913" s="2" t="inlineStr"/>
    </row>
    <row r="914" ht="15" customHeight="1">
      <c r="A914" t="inlineStr">
        <is>
          <t>A 8733-2023</t>
        </is>
      </c>
      <c r="B914" s="1" t="n">
        <v>44972</v>
      </c>
      <c r="C914" s="1" t="n">
        <v>45995</v>
      </c>
      <c r="D914" t="inlineStr">
        <is>
          <t>VÄSTERBOTTENS LÄN</t>
        </is>
      </c>
      <c r="E914" t="inlineStr">
        <is>
          <t>VILHELMINA</t>
        </is>
      </c>
      <c r="F914" t="inlineStr">
        <is>
          <t>Allmännings- och besparingsskogar</t>
        </is>
      </c>
      <c r="G914" t="n">
        <v>20</v>
      </c>
      <c r="H914" t="n">
        <v>0</v>
      </c>
      <c r="I914" t="n">
        <v>0</v>
      </c>
      <c r="J914" t="n">
        <v>0</v>
      </c>
      <c r="K914" t="n">
        <v>0</v>
      </c>
      <c r="L914" t="n">
        <v>0</v>
      </c>
      <c r="M914" t="n">
        <v>0</v>
      </c>
      <c r="N914" t="n">
        <v>0</v>
      </c>
      <c r="O914" t="n">
        <v>0</v>
      </c>
      <c r="P914" t="n">
        <v>0</v>
      </c>
      <c r="Q914" t="n">
        <v>0</v>
      </c>
      <c r="R914" s="2" t="inlineStr"/>
    </row>
    <row r="915" ht="15" customHeight="1">
      <c r="A915" t="inlineStr">
        <is>
          <t>A 8759-2023</t>
        </is>
      </c>
      <c r="B915" s="1" t="n">
        <v>44972</v>
      </c>
      <c r="C915" s="1" t="n">
        <v>45995</v>
      </c>
      <c r="D915" t="inlineStr">
        <is>
          <t>VÄSTERBOTTENS LÄN</t>
        </is>
      </c>
      <c r="E915" t="inlineStr">
        <is>
          <t>VILHELMINA</t>
        </is>
      </c>
      <c r="F915" t="inlineStr">
        <is>
          <t>Allmännings- och besparingsskogar</t>
        </is>
      </c>
      <c r="G915" t="n">
        <v>23.4</v>
      </c>
      <c r="H915" t="n">
        <v>0</v>
      </c>
      <c r="I915" t="n">
        <v>0</v>
      </c>
      <c r="J915" t="n">
        <v>0</v>
      </c>
      <c r="K915" t="n">
        <v>0</v>
      </c>
      <c r="L915" t="n">
        <v>0</v>
      </c>
      <c r="M915" t="n">
        <v>0</v>
      </c>
      <c r="N915" t="n">
        <v>0</v>
      </c>
      <c r="O915" t="n">
        <v>0</v>
      </c>
      <c r="P915" t="n">
        <v>0</v>
      </c>
      <c r="Q915" t="n">
        <v>0</v>
      </c>
      <c r="R915" s="2" t="inlineStr"/>
    </row>
    <row r="916" ht="15" customHeight="1">
      <c r="A916" t="inlineStr">
        <is>
          <t>A 48423-2023</t>
        </is>
      </c>
      <c r="B916" s="1" t="n">
        <v>45205</v>
      </c>
      <c r="C916" s="1" t="n">
        <v>45995</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35888-2025</t>
        </is>
      </c>
      <c r="B917" s="1" t="n">
        <v>45862.44034722223</v>
      </c>
      <c r="C917" s="1" t="n">
        <v>45995</v>
      </c>
      <c r="D917" t="inlineStr">
        <is>
          <t>VÄSTERBOTTENS LÄN</t>
        </is>
      </c>
      <c r="E917" t="inlineStr">
        <is>
          <t>VILHELMINA</t>
        </is>
      </c>
      <c r="G917" t="n">
        <v>2.4</v>
      </c>
      <c r="H917" t="n">
        <v>0</v>
      </c>
      <c r="I917" t="n">
        <v>0</v>
      </c>
      <c r="J917" t="n">
        <v>0</v>
      </c>
      <c r="K917" t="n">
        <v>0</v>
      </c>
      <c r="L917" t="n">
        <v>0</v>
      </c>
      <c r="M917" t="n">
        <v>0</v>
      </c>
      <c r="N917" t="n">
        <v>0</v>
      </c>
      <c r="O917" t="n">
        <v>0</v>
      </c>
      <c r="P917" t="n">
        <v>0</v>
      </c>
      <c r="Q917" t="n">
        <v>0</v>
      </c>
      <c r="R917" s="2" t="inlineStr"/>
    </row>
    <row r="918" ht="15" customHeight="1">
      <c r="A918" t="inlineStr">
        <is>
          <t>A 35886-2025</t>
        </is>
      </c>
      <c r="B918" s="1" t="n">
        <v>45862</v>
      </c>
      <c r="C918" s="1" t="n">
        <v>45995</v>
      </c>
      <c r="D918" t="inlineStr">
        <is>
          <t>VÄSTERBOTTENS LÄN</t>
        </is>
      </c>
      <c r="E918" t="inlineStr">
        <is>
          <t>VILHELMINA</t>
        </is>
      </c>
      <c r="G918" t="n">
        <v>7</v>
      </c>
      <c r="H918" t="n">
        <v>0</v>
      </c>
      <c r="I918" t="n">
        <v>0</v>
      </c>
      <c r="J918" t="n">
        <v>0</v>
      </c>
      <c r="K918" t="n">
        <v>0</v>
      </c>
      <c r="L918" t="n">
        <v>0</v>
      </c>
      <c r="M918" t="n">
        <v>0</v>
      </c>
      <c r="N918" t="n">
        <v>0</v>
      </c>
      <c r="O918" t="n">
        <v>0</v>
      </c>
      <c r="P918" t="n">
        <v>0</v>
      </c>
      <c r="Q918" t="n">
        <v>0</v>
      </c>
      <c r="R918" s="2" t="inlineStr"/>
    </row>
    <row r="919" ht="15" customHeight="1">
      <c r="A919" t="inlineStr">
        <is>
          <t>A 43817-2025</t>
        </is>
      </c>
      <c r="B919" s="1" t="n">
        <v>45912</v>
      </c>
      <c r="C919" s="1" t="n">
        <v>45995</v>
      </c>
      <c r="D919" t="inlineStr">
        <is>
          <t>VÄSTERBOTTENS LÄN</t>
        </is>
      </c>
      <c r="E919" t="inlineStr">
        <is>
          <t>VILHELMINA</t>
        </is>
      </c>
      <c r="G919" t="n">
        <v>23.1</v>
      </c>
      <c r="H919" t="n">
        <v>0</v>
      </c>
      <c r="I919" t="n">
        <v>0</v>
      </c>
      <c r="J919" t="n">
        <v>0</v>
      </c>
      <c r="K919" t="n">
        <v>0</v>
      </c>
      <c r="L919" t="n">
        <v>0</v>
      </c>
      <c r="M919" t="n">
        <v>0</v>
      </c>
      <c r="N919" t="n">
        <v>0</v>
      </c>
      <c r="O919" t="n">
        <v>0</v>
      </c>
      <c r="P919" t="n">
        <v>0</v>
      </c>
      <c r="Q919" t="n">
        <v>0</v>
      </c>
      <c r="R919" s="2" t="inlineStr"/>
    </row>
    <row r="920" ht="15" customHeight="1">
      <c r="A920" t="inlineStr">
        <is>
          <t>A 36569-2025</t>
        </is>
      </c>
      <c r="B920" s="1" t="n">
        <v>45870</v>
      </c>
      <c r="C920" s="1" t="n">
        <v>45995</v>
      </c>
      <c r="D920" t="inlineStr">
        <is>
          <t>VÄSTERBOTTENS LÄN</t>
        </is>
      </c>
      <c r="E920" t="inlineStr">
        <is>
          <t>VILHELMINA</t>
        </is>
      </c>
      <c r="F920" t="inlineStr">
        <is>
          <t>SCA</t>
        </is>
      </c>
      <c r="G920" t="n">
        <v>5.1</v>
      </c>
      <c r="H920" t="n">
        <v>0</v>
      </c>
      <c r="I920" t="n">
        <v>0</v>
      </c>
      <c r="J920" t="n">
        <v>0</v>
      </c>
      <c r="K920" t="n">
        <v>0</v>
      </c>
      <c r="L920" t="n">
        <v>0</v>
      </c>
      <c r="M920" t="n">
        <v>0</v>
      </c>
      <c r="N920" t="n">
        <v>0</v>
      </c>
      <c r="O920" t="n">
        <v>0</v>
      </c>
      <c r="P920" t="n">
        <v>0</v>
      </c>
      <c r="Q920" t="n">
        <v>0</v>
      </c>
      <c r="R920" s="2" t="inlineStr"/>
    </row>
    <row r="921" ht="15" customHeight="1">
      <c r="A921" t="inlineStr">
        <is>
          <t>A 36973-2025</t>
        </is>
      </c>
      <c r="B921" s="1" t="n">
        <v>45874.63747685185</v>
      </c>
      <c r="C921" s="1" t="n">
        <v>45995</v>
      </c>
      <c r="D921" t="inlineStr">
        <is>
          <t>VÄSTERBOTTENS LÄN</t>
        </is>
      </c>
      <c r="E921" t="inlineStr">
        <is>
          <t>VILHELMINA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36669-2025</t>
        </is>
      </c>
      <c r="B922" s="1" t="n">
        <v>45873</v>
      </c>
      <c r="C922" s="1" t="n">
        <v>45995</v>
      </c>
      <c r="D922" t="inlineStr">
        <is>
          <t>VÄSTERBOTTENS LÄN</t>
        </is>
      </c>
      <c r="E922" t="inlineStr">
        <is>
          <t>VILHELMINA</t>
        </is>
      </c>
      <c r="G922" t="n">
        <v>12.5</v>
      </c>
      <c r="H922" t="n">
        <v>0</v>
      </c>
      <c r="I922" t="n">
        <v>0</v>
      </c>
      <c r="J922" t="n">
        <v>0</v>
      </c>
      <c r="K922" t="n">
        <v>0</v>
      </c>
      <c r="L922" t="n">
        <v>0</v>
      </c>
      <c r="M922" t="n">
        <v>0</v>
      </c>
      <c r="N922" t="n">
        <v>0</v>
      </c>
      <c r="O922" t="n">
        <v>0</v>
      </c>
      <c r="P922" t="n">
        <v>0</v>
      </c>
      <c r="Q922" t="n">
        <v>0</v>
      </c>
      <c r="R922" s="2" t="inlineStr"/>
    </row>
    <row r="923" ht="15" customHeight="1">
      <c r="A923" t="inlineStr">
        <is>
          <t>A 36944-2025</t>
        </is>
      </c>
      <c r="B923" s="1" t="n">
        <v>45874.59450231482</v>
      </c>
      <c r="C923" s="1" t="n">
        <v>45995</v>
      </c>
      <c r="D923" t="inlineStr">
        <is>
          <t>VÄSTERBOTTENS LÄN</t>
        </is>
      </c>
      <c r="E923" t="inlineStr">
        <is>
          <t>VILHELMINA</t>
        </is>
      </c>
      <c r="F923" t="inlineStr">
        <is>
          <t>SCA</t>
        </is>
      </c>
      <c r="G923" t="n">
        <v>17.4</v>
      </c>
      <c r="H923" t="n">
        <v>0</v>
      </c>
      <c r="I923" t="n">
        <v>0</v>
      </c>
      <c r="J923" t="n">
        <v>0</v>
      </c>
      <c r="K923" t="n">
        <v>0</v>
      </c>
      <c r="L923" t="n">
        <v>0</v>
      </c>
      <c r="M923" t="n">
        <v>0</v>
      </c>
      <c r="N923" t="n">
        <v>0</v>
      </c>
      <c r="O923" t="n">
        <v>0</v>
      </c>
      <c r="P923" t="n">
        <v>0</v>
      </c>
      <c r="Q923" t="n">
        <v>0</v>
      </c>
      <c r="R923" s="2" t="inlineStr"/>
    </row>
    <row r="924" ht="15" customHeight="1">
      <c r="A924" t="inlineStr">
        <is>
          <t>A 37015-2025</t>
        </is>
      </c>
      <c r="B924" s="1" t="n">
        <v>45874.71912037037</v>
      </c>
      <c r="C924" s="1" t="n">
        <v>45995</v>
      </c>
      <c r="D924" t="inlineStr">
        <is>
          <t>VÄSTERBOTTENS LÄN</t>
        </is>
      </c>
      <c r="E924" t="inlineStr">
        <is>
          <t>VILHELMINA</t>
        </is>
      </c>
      <c r="F924" t="inlineStr">
        <is>
          <t>SCA</t>
        </is>
      </c>
      <c r="G924" t="n">
        <v>7.9</v>
      </c>
      <c r="H924" t="n">
        <v>0</v>
      </c>
      <c r="I924" t="n">
        <v>0</v>
      </c>
      <c r="J924" t="n">
        <v>0</v>
      </c>
      <c r="K924" t="n">
        <v>0</v>
      </c>
      <c r="L924" t="n">
        <v>0</v>
      </c>
      <c r="M924" t="n">
        <v>0</v>
      </c>
      <c r="N924" t="n">
        <v>0</v>
      </c>
      <c r="O924" t="n">
        <v>0</v>
      </c>
      <c r="P924" t="n">
        <v>0</v>
      </c>
      <c r="Q924" t="n">
        <v>0</v>
      </c>
      <c r="R924" s="2" t="inlineStr"/>
    </row>
    <row r="925" ht="15" customHeight="1">
      <c r="A925" t="inlineStr">
        <is>
          <t>A 37302-2025</t>
        </is>
      </c>
      <c r="B925" s="1" t="n">
        <v>45876</v>
      </c>
      <c r="C925" s="1" t="n">
        <v>45995</v>
      </c>
      <c r="D925" t="inlineStr">
        <is>
          <t>VÄSTERBOTTENS LÄN</t>
        </is>
      </c>
      <c r="E925" t="inlineStr">
        <is>
          <t>VILHELMINA</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37269-2025</t>
        </is>
      </c>
      <c r="B926" s="1" t="n">
        <v>45876</v>
      </c>
      <c r="C926" s="1" t="n">
        <v>45995</v>
      </c>
      <c r="D926" t="inlineStr">
        <is>
          <t>VÄSTERBOTTENS LÄN</t>
        </is>
      </c>
      <c r="E926" t="inlineStr">
        <is>
          <t>VILHELMINA</t>
        </is>
      </c>
      <c r="G926" t="n">
        <v>2.5</v>
      </c>
      <c r="H926" t="n">
        <v>0</v>
      </c>
      <c r="I926" t="n">
        <v>0</v>
      </c>
      <c r="J926" t="n">
        <v>0</v>
      </c>
      <c r="K926" t="n">
        <v>0</v>
      </c>
      <c r="L926" t="n">
        <v>0</v>
      </c>
      <c r="M926" t="n">
        <v>0</v>
      </c>
      <c r="N926" t="n">
        <v>0</v>
      </c>
      <c r="O926" t="n">
        <v>0</v>
      </c>
      <c r="P926" t="n">
        <v>0</v>
      </c>
      <c r="Q926" t="n">
        <v>0</v>
      </c>
      <c r="R926" s="2" t="inlineStr"/>
    </row>
    <row r="927" ht="15" customHeight="1">
      <c r="A927" t="inlineStr">
        <is>
          <t>A 37369-2025</t>
        </is>
      </c>
      <c r="B927" s="1" t="n">
        <v>45877.34444444445</v>
      </c>
      <c r="C927" s="1" t="n">
        <v>45995</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37376-2025</t>
        </is>
      </c>
      <c r="B928" s="1" t="n">
        <v>45877.36513888889</v>
      </c>
      <c r="C928" s="1" t="n">
        <v>45995</v>
      </c>
      <c r="D928" t="inlineStr">
        <is>
          <t>VÄSTERBOTTENS LÄN</t>
        </is>
      </c>
      <c r="E928" t="inlineStr">
        <is>
          <t>VILHELMINA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37368-2025</t>
        </is>
      </c>
      <c r="B929" s="1" t="n">
        <v>45877.34436342592</v>
      </c>
      <c r="C929" s="1" t="n">
        <v>45995</v>
      </c>
      <c r="D929" t="inlineStr">
        <is>
          <t>VÄSTERBOTTENS LÄN</t>
        </is>
      </c>
      <c r="E929" t="inlineStr">
        <is>
          <t>VILHELMINA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22108-2024</t>
        </is>
      </c>
      <c r="B930" s="1" t="n">
        <v>45443</v>
      </c>
      <c r="C930" s="1" t="n">
        <v>45995</v>
      </c>
      <c r="D930" t="inlineStr">
        <is>
          <t>VÄSTERBOTTENS LÄN</t>
        </is>
      </c>
      <c r="E930" t="inlineStr">
        <is>
          <t>VILHELMINA</t>
        </is>
      </c>
      <c r="F930" t="inlineStr">
        <is>
          <t>SCA</t>
        </is>
      </c>
      <c r="G930" t="n">
        <v>4.9</v>
      </c>
      <c r="H930" t="n">
        <v>0</v>
      </c>
      <c r="I930" t="n">
        <v>0</v>
      </c>
      <c r="J930" t="n">
        <v>0</v>
      </c>
      <c r="K930" t="n">
        <v>0</v>
      </c>
      <c r="L930" t="n">
        <v>0</v>
      </c>
      <c r="M930" t="n">
        <v>0</v>
      </c>
      <c r="N930" t="n">
        <v>0</v>
      </c>
      <c r="O930" t="n">
        <v>0</v>
      </c>
      <c r="P930" t="n">
        <v>0</v>
      </c>
      <c r="Q930" t="n">
        <v>0</v>
      </c>
      <c r="R930" s="2" t="inlineStr"/>
    </row>
    <row r="931">
      <c r="A931" t="inlineStr">
        <is>
          <t>A 38620-2025</t>
        </is>
      </c>
      <c r="B931" s="1" t="n">
        <v>45884.55297453704</v>
      </c>
      <c r="C931" s="1" t="n">
        <v>45995</v>
      </c>
      <c r="D931" t="inlineStr">
        <is>
          <t>VÄSTERBOTTENS LÄN</t>
        </is>
      </c>
      <c r="E931" t="inlineStr">
        <is>
          <t>VILHELMINA</t>
        </is>
      </c>
      <c r="F931" t="inlineStr">
        <is>
          <t>SCA</t>
        </is>
      </c>
      <c r="G931" t="n">
        <v>4.3</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2025-12-04T10:30:59Z</dcterms:created>
  <dcterms:modified xmlns:dcterms="http://purl.org/dc/terms/" xmlns:xsi="http://www.w3.org/2001/XMLSchema-instance" xsi:type="dcterms:W3CDTF">2025-12-04T10:31:00Z</dcterms:modified>
</cp:coreProperties>
</file>