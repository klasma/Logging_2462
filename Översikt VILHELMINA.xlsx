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46033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46033</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46033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46033</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46033</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46033</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46033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46033</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46033</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56589-2024</t>
        </is>
      </c>
      <c r="B21" s="1" t="n">
        <v>45625</v>
      </c>
      <c r="C21" s="1" t="n">
        <v>46033</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54734-2022</t>
        </is>
      </c>
      <c r="B22" s="1" t="n">
        <v>44881</v>
      </c>
      <c r="C22" s="1" t="n">
        <v>46033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46033</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46033</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46033</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46033</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46033</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46033</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46033</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46033</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46033</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46033</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46033</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59489-2025</t>
        </is>
      </c>
      <c r="B35" s="1" t="n">
        <v>45989</v>
      </c>
      <c r="C35" s="1" t="n">
        <v>46033</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46033</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46033</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46033</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46033</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46033</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46033</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46033</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46033</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46033</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15051-2024</t>
        </is>
      </c>
      <c r="B45" s="1" t="n">
        <v>45399</v>
      </c>
      <c r="C45" s="1" t="n">
        <v>46033</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19934-2023</t>
        </is>
      </c>
      <c r="B46" s="1" t="n">
        <v>45051</v>
      </c>
      <c r="C46" s="1" t="n">
        <v>46033</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46033</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59039-2024</t>
        </is>
      </c>
      <c r="B48" s="1" t="n">
        <v>45636</v>
      </c>
      <c r="C48" s="1" t="n">
        <v>46033</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38930-2025</t>
        </is>
      </c>
      <c r="B49" s="1" t="n">
        <v>45887</v>
      </c>
      <c r="C49" s="1" t="n">
        <v>46033</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49141-2023</t>
        </is>
      </c>
      <c r="B50" s="1" t="n">
        <v>45205</v>
      </c>
      <c r="C50" s="1" t="n">
        <v>46033</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46033</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46033</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46033</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46033</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46033</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46033</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46033</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46033</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46033</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46033</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60737-2024</t>
        </is>
      </c>
      <c r="B61" s="1" t="n">
        <v>45644</v>
      </c>
      <c r="C61" s="1" t="n">
        <v>46033</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46033</v>
      </c>
      <c r="D62" t="inlineStr">
        <is>
          <t>VÄSTERBOTTENS LÄN</t>
        </is>
      </c>
      <c r="E62" t="inlineStr">
        <is>
          <t>VILHELMINA</t>
        </is>
      </c>
      <c r="F62" t="inlineStr">
        <is>
          <t>Allmännings- och besparingsskogar</t>
        </is>
      </c>
      <c r="G62" t="n">
        <v>33</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31884-2024</t>
        </is>
      </c>
      <c r="B63" s="1" t="n">
        <v>45509</v>
      </c>
      <c r="C63" s="1" t="n">
        <v>46033</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2196-2021</t>
        </is>
      </c>
      <c r="B64" s="1" t="n">
        <v>44211</v>
      </c>
      <c r="C64" s="1" t="n">
        <v>46033</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30345-2024</t>
        </is>
      </c>
      <c r="B65" s="1" t="n">
        <v>45490</v>
      </c>
      <c r="C65" s="1" t="n">
        <v>46033</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26191-2022</t>
        </is>
      </c>
      <c r="B66" s="1" t="n">
        <v>44735</v>
      </c>
      <c r="C66" s="1" t="n">
        <v>46033</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30810-2024</t>
        </is>
      </c>
      <c r="B67" s="1" t="n">
        <v>45497</v>
      </c>
      <c r="C67" s="1" t="n">
        <v>46033</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56632-2024</t>
        </is>
      </c>
      <c r="B68" s="1" t="n">
        <v>45625</v>
      </c>
      <c r="C68" s="1" t="n">
        <v>46033</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36220-2023</t>
        </is>
      </c>
      <c r="B69" s="1" t="n">
        <v>45149</v>
      </c>
      <c r="C69" s="1" t="n">
        <v>46033</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33322-2025</t>
        </is>
      </c>
      <c r="B70" s="1" t="n">
        <v>45841.3452662037</v>
      </c>
      <c r="C70" s="1" t="n">
        <v>46033</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28799-2024</t>
        </is>
      </c>
      <c r="B71" s="1" t="n">
        <v>45478</v>
      </c>
      <c r="C71" s="1" t="n">
        <v>46033</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32456-2024</t>
        </is>
      </c>
      <c r="B72" s="1" t="n">
        <v>45512</v>
      </c>
      <c r="C72" s="1" t="n">
        <v>46033</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46033</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25564-2024</t>
        </is>
      </c>
      <c r="B74" s="1" t="n">
        <v>45463</v>
      </c>
      <c r="C74" s="1" t="n">
        <v>46033</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47932-2024</t>
        </is>
      </c>
      <c r="B75" s="1" t="n">
        <v>45589</v>
      </c>
      <c r="C75" s="1" t="n">
        <v>46033</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44354-2024</t>
        </is>
      </c>
      <c r="B76" s="1" t="n">
        <v>45573</v>
      </c>
      <c r="C76" s="1" t="n">
        <v>46033</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49977-2023</t>
        </is>
      </c>
      <c r="B77" s="1" t="n">
        <v>45208</v>
      </c>
      <c r="C77" s="1" t="n">
        <v>46033</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Leptoporus mollis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46033</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18873-2025</t>
        </is>
      </c>
      <c r="B79" s="1" t="n">
        <v>45764</v>
      </c>
      <c r="C79" s="1" t="n">
        <v>46033</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25040-2025</t>
        </is>
      </c>
      <c r="B80" s="1" t="n">
        <v>45799.65734953704</v>
      </c>
      <c r="C80" s="1" t="n">
        <v>46033</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44874-2024</t>
        </is>
      </c>
      <c r="B81" s="1" t="n">
        <v>45575</v>
      </c>
      <c r="C81" s="1" t="n">
        <v>46033</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8562-2025</t>
        </is>
      </c>
      <c r="B82" s="1" t="n">
        <v>45709</v>
      </c>
      <c r="C82" s="1" t="n">
        <v>46033</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38540-2024</t>
        </is>
      </c>
      <c r="B83" s="1" t="n">
        <v>45546</v>
      </c>
      <c r="C83" s="1" t="n">
        <v>46033</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38128-2024</t>
        </is>
      </c>
      <c r="B84" s="1" t="n">
        <v>45545</v>
      </c>
      <c r="C84" s="1" t="n">
        <v>46033</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57099-2024</t>
        </is>
      </c>
      <c r="B85" s="1" t="n">
        <v>45629</v>
      </c>
      <c r="C85" s="1" t="n">
        <v>46033</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39678-2024</t>
        </is>
      </c>
      <c r="B86" s="1" t="n">
        <v>45552</v>
      </c>
      <c r="C86" s="1" t="n">
        <v>46033</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46033</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896-2025</t>
        </is>
      </c>
      <c r="B88" s="1" t="n">
        <v>45665</v>
      </c>
      <c r="C88" s="1" t="n">
        <v>46033</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46033</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46033</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25036-2024</t>
        </is>
      </c>
      <c r="B91" s="1" t="n">
        <v>45461</v>
      </c>
      <c r="C91" s="1" t="n">
        <v>46033</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46033</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46033</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46033</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46033</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46033</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31198-2023</t>
        </is>
      </c>
      <c r="B97" s="1" t="n">
        <v>45113</v>
      </c>
      <c r="C97" s="1" t="n">
        <v>46033</v>
      </c>
      <c r="D97" t="inlineStr">
        <is>
          <t>VÄSTERBOTTENS LÄN</t>
        </is>
      </c>
      <c r="E97" t="inlineStr">
        <is>
          <t>VILHELMINA</t>
        </is>
      </c>
      <c r="F97" t="inlineStr">
        <is>
          <t>SCA</t>
        </is>
      </c>
      <c r="G97" t="n">
        <v>4.2</v>
      </c>
      <c r="H97" t="n">
        <v>1</v>
      </c>
      <c r="I97" t="n">
        <v>0</v>
      </c>
      <c r="J97" t="n">
        <v>4</v>
      </c>
      <c r="K97" t="n">
        <v>0</v>
      </c>
      <c r="L97" t="n">
        <v>0</v>
      </c>
      <c r="M97" t="n">
        <v>0</v>
      </c>
      <c r="N97" t="n">
        <v>0</v>
      </c>
      <c r="O97" t="n">
        <v>4</v>
      </c>
      <c r="P97" t="n">
        <v>0</v>
      </c>
      <c r="Q97" t="n">
        <v>4</v>
      </c>
      <c r="R97" s="2" t="inlineStr">
        <is>
          <t>Garnlav
Knottrig blåslav
Tretåig hackspett
Vitgrynig nållav</t>
        </is>
      </c>
      <c r="S97">
        <f>HYPERLINK("https://klasma.github.io/Logging_2462/artfynd/A 31198-2023 artfynd.xlsx", "A 31198-2023")</f>
        <v/>
      </c>
      <c r="T97">
        <f>HYPERLINK("https://klasma.github.io/Logging_2462/kartor/A 31198-2023 karta.png", "A 31198-2023")</f>
        <v/>
      </c>
      <c r="V97">
        <f>HYPERLINK("https://klasma.github.io/Logging_2462/klagomål/A 31198-2023 FSC-klagomål.docx", "A 31198-2023")</f>
        <v/>
      </c>
      <c r="W97">
        <f>HYPERLINK("https://klasma.github.io/Logging_2462/klagomålsmail/A 31198-2023 FSC-klagomål mail.docx", "A 31198-2023")</f>
        <v/>
      </c>
      <c r="X97">
        <f>HYPERLINK("https://klasma.github.io/Logging_2462/tillsyn/A 31198-2023 tillsynsbegäran.docx", "A 31198-2023")</f>
        <v/>
      </c>
      <c r="Y97">
        <f>HYPERLINK("https://klasma.github.io/Logging_2462/tillsynsmail/A 31198-2023 tillsynsbegäran mail.docx", "A 31198-2023")</f>
        <v/>
      </c>
      <c r="Z97">
        <f>HYPERLINK("https://klasma.github.io/Logging_2462/fåglar/A 31198-2023 prioriterade fågelarter.docx", "A 31198-2023")</f>
        <v/>
      </c>
    </row>
    <row r="98" ht="15" customHeight="1">
      <c r="A98" t="inlineStr">
        <is>
          <t>A 44382-2023</t>
        </is>
      </c>
      <c r="B98" s="1" t="n">
        <v>45188.94413194444</v>
      </c>
      <c r="C98" s="1" t="n">
        <v>46033</v>
      </c>
      <c r="D98" t="inlineStr">
        <is>
          <t>VÄSTERBOTTENS LÄN</t>
        </is>
      </c>
      <c r="E98" t="inlineStr">
        <is>
          <t>VILHELMINA</t>
        </is>
      </c>
      <c r="F98" t="inlineStr">
        <is>
          <t>SCA</t>
        </is>
      </c>
      <c r="G98" t="n">
        <v>2.8</v>
      </c>
      <c r="H98" t="n">
        <v>1</v>
      </c>
      <c r="I98" t="n">
        <v>1</v>
      </c>
      <c r="J98" t="n">
        <v>3</v>
      </c>
      <c r="K98" t="n">
        <v>0</v>
      </c>
      <c r="L98" t="n">
        <v>0</v>
      </c>
      <c r="M98" t="n">
        <v>0</v>
      </c>
      <c r="N98" t="n">
        <v>0</v>
      </c>
      <c r="O98" t="n">
        <v>3</v>
      </c>
      <c r="P98" t="n">
        <v>0</v>
      </c>
      <c r="Q98" t="n">
        <v>4</v>
      </c>
      <c r="R98" s="2" t="inlineStr">
        <is>
          <t>Garnlav
Lunglav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13604-2022</t>
        </is>
      </c>
      <c r="B99" s="1" t="n">
        <v>44648</v>
      </c>
      <c r="C99" s="1" t="n">
        <v>46033</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46033</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65382-2021</t>
        </is>
      </c>
      <c r="B101" s="1" t="n">
        <v>44515</v>
      </c>
      <c r="C101" s="1" t="n">
        <v>46033</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42063-2024</t>
        </is>
      </c>
      <c r="B102" s="1" t="n">
        <v>45561</v>
      </c>
      <c r="C102" s="1" t="n">
        <v>46033</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38123-2024</t>
        </is>
      </c>
      <c r="B103" s="1" t="n">
        <v>45545</v>
      </c>
      <c r="C103" s="1" t="n">
        <v>46033</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47036-2025</t>
        </is>
      </c>
      <c r="B104" s="1" t="n">
        <v>45929.594375</v>
      </c>
      <c r="C104" s="1" t="n">
        <v>46033</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32779-2025</t>
        </is>
      </c>
      <c r="B105" s="1" t="n">
        <v>45839.46946759259</v>
      </c>
      <c r="C105" s="1" t="n">
        <v>46033</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38534-2024</t>
        </is>
      </c>
      <c r="B106" s="1" t="n">
        <v>45546</v>
      </c>
      <c r="C106" s="1" t="n">
        <v>46033</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56618-2024</t>
        </is>
      </c>
      <c r="B107" s="1" t="n">
        <v>45625</v>
      </c>
      <c r="C107" s="1" t="n">
        <v>46033</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53897-2025</t>
        </is>
      </c>
      <c r="B108" s="1" t="n">
        <v>45961.42766203704</v>
      </c>
      <c r="C108" s="1" t="n">
        <v>46033</v>
      </c>
      <c r="D108" t="inlineStr">
        <is>
          <t>VÄSTERBOTTENS LÄN</t>
        </is>
      </c>
      <c r="E108" t="inlineStr">
        <is>
          <t>VILHELMINA</t>
        </is>
      </c>
      <c r="F108" t="inlineStr">
        <is>
          <t>SCA</t>
        </is>
      </c>
      <c r="G108" t="n">
        <v>6.5</v>
      </c>
      <c r="H108" t="n">
        <v>0</v>
      </c>
      <c r="I108" t="n">
        <v>1</v>
      </c>
      <c r="J108" t="n">
        <v>2</v>
      </c>
      <c r="K108" t="n">
        <v>0</v>
      </c>
      <c r="L108" t="n">
        <v>0</v>
      </c>
      <c r="M108" t="n">
        <v>0</v>
      </c>
      <c r="N108" t="n">
        <v>0</v>
      </c>
      <c r="O108" t="n">
        <v>2</v>
      </c>
      <c r="P108" t="n">
        <v>0</v>
      </c>
      <c r="Q108" t="n">
        <v>3</v>
      </c>
      <c r="R108" s="2" t="inlineStr">
        <is>
          <t>Granticka
Skogshare
Rävticka</t>
        </is>
      </c>
      <c r="S108">
        <f>HYPERLINK("https://klasma.github.io/Logging_2462/artfynd/A 53897-2025 artfynd.xlsx", "A 53897-2025")</f>
        <v/>
      </c>
      <c r="T108">
        <f>HYPERLINK("https://klasma.github.io/Logging_2462/kartor/A 53897-2025 karta.png", "A 53897-2025")</f>
        <v/>
      </c>
      <c r="V108">
        <f>HYPERLINK("https://klasma.github.io/Logging_2462/klagomål/A 53897-2025 FSC-klagomål.docx", "A 53897-2025")</f>
        <v/>
      </c>
      <c r="W108">
        <f>HYPERLINK("https://klasma.github.io/Logging_2462/klagomålsmail/A 53897-2025 FSC-klagomål mail.docx", "A 53897-2025")</f>
        <v/>
      </c>
      <c r="X108">
        <f>HYPERLINK("https://klasma.github.io/Logging_2462/tillsyn/A 53897-2025 tillsynsbegäran.docx", "A 53897-2025")</f>
        <v/>
      </c>
      <c r="Y108">
        <f>HYPERLINK("https://klasma.github.io/Logging_2462/tillsynsmail/A 53897-2025 tillsynsbegäran mail.docx", "A 53897-2025")</f>
        <v/>
      </c>
    </row>
    <row r="109" ht="15" customHeight="1">
      <c r="A109" t="inlineStr">
        <is>
          <t>A 41646-2024</t>
        </is>
      </c>
      <c r="B109" s="1" t="n">
        <v>45560</v>
      </c>
      <c r="C109" s="1" t="n">
        <v>46033</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54780-2024</t>
        </is>
      </c>
      <c r="B110" s="1" t="n">
        <v>45618</v>
      </c>
      <c r="C110" s="1" t="n">
        <v>46033</v>
      </c>
      <c r="D110" t="inlineStr">
        <is>
          <t>VÄSTERBOTTENS LÄN</t>
        </is>
      </c>
      <c r="E110" t="inlineStr">
        <is>
          <t>VILHELMINA</t>
        </is>
      </c>
      <c r="F110" t="inlineStr">
        <is>
          <t>SCA</t>
        </is>
      </c>
      <c r="G110" t="n">
        <v>8.199999999999999</v>
      </c>
      <c r="H110" t="n">
        <v>0</v>
      </c>
      <c r="I110" t="n">
        <v>0</v>
      </c>
      <c r="J110" t="n">
        <v>3</v>
      </c>
      <c r="K110" t="n">
        <v>0</v>
      </c>
      <c r="L110" t="n">
        <v>0</v>
      </c>
      <c r="M110" t="n">
        <v>0</v>
      </c>
      <c r="N110" t="n">
        <v>0</v>
      </c>
      <c r="O110" t="n">
        <v>3</v>
      </c>
      <c r="P110" t="n">
        <v>0</v>
      </c>
      <c r="Q110" t="n">
        <v>3</v>
      </c>
      <c r="R110" s="2" t="inlineStr">
        <is>
          <t>Gammelgransskål
Rosenticka
Tallticka</t>
        </is>
      </c>
      <c r="S110">
        <f>HYPERLINK("https://klasma.github.io/Logging_2462/artfynd/A 54780-2024 artfynd.xlsx", "A 54780-2024")</f>
        <v/>
      </c>
      <c r="T110">
        <f>HYPERLINK("https://klasma.github.io/Logging_2462/kartor/A 54780-2024 karta.png", "A 54780-2024")</f>
        <v/>
      </c>
      <c r="V110">
        <f>HYPERLINK("https://klasma.github.io/Logging_2462/klagomål/A 54780-2024 FSC-klagomål.docx", "A 54780-2024")</f>
        <v/>
      </c>
      <c r="W110">
        <f>HYPERLINK("https://klasma.github.io/Logging_2462/klagomålsmail/A 54780-2024 FSC-klagomål mail.docx", "A 54780-2024")</f>
        <v/>
      </c>
      <c r="X110">
        <f>HYPERLINK("https://klasma.github.io/Logging_2462/tillsyn/A 54780-2024 tillsynsbegäran.docx", "A 54780-2024")</f>
        <v/>
      </c>
      <c r="Y110">
        <f>HYPERLINK("https://klasma.github.io/Logging_2462/tillsynsmail/A 54780-2024 tillsynsbegäran mail.docx", "A 54780-2024")</f>
        <v/>
      </c>
    </row>
    <row r="111" ht="15" customHeight="1">
      <c r="A111" t="inlineStr">
        <is>
          <t>A 9157-2023</t>
        </is>
      </c>
      <c r="B111" s="1" t="n">
        <v>44972</v>
      </c>
      <c r="C111" s="1" t="n">
        <v>46033</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16463-2025</t>
        </is>
      </c>
      <c r="B112" s="1" t="n">
        <v>45751</v>
      </c>
      <c r="C112" s="1" t="n">
        <v>46033</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11980-2021</t>
        </is>
      </c>
      <c r="B113" s="1" t="n">
        <v>44266</v>
      </c>
      <c r="C113" s="1" t="n">
        <v>46033</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60379-2024</t>
        </is>
      </c>
      <c r="B114" s="1" t="n">
        <v>45643</v>
      </c>
      <c r="C114" s="1" t="n">
        <v>46033</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29140-2025</t>
        </is>
      </c>
      <c r="B115" s="1" t="n">
        <v>45821</v>
      </c>
      <c r="C115" s="1" t="n">
        <v>46033</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48652-2025</t>
        </is>
      </c>
      <c r="B116" s="1" t="n">
        <v>45936</v>
      </c>
      <c r="C116" s="1" t="n">
        <v>46033</v>
      </c>
      <c r="D116" t="inlineStr">
        <is>
          <t>VÄSTERBOTTENS LÄN</t>
        </is>
      </c>
      <c r="E116" t="inlineStr">
        <is>
          <t>VILHELMINA</t>
        </is>
      </c>
      <c r="F116" t="inlineStr">
        <is>
          <t>SCA</t>
        </is>
      </c>
      <c r="G116" t="n">
        <v>6.8</v>
      </c>
      <c r="H116" t="n">
        <v>0</v>
      </c>
      <c r="I116" t="n">
        <v>0</v>
      </c>
      <c r="J116" t="n">
        <v>2</v>
      </c>
      <c r="K116" t="n">
        <v>0</v>
      </c>
      <c r="L116" t="n">
        <v>0</v>
      </c>
      <c r="M116" t="n">
        <v>0</v>
      </c>
      <c r="N116" t="n">
        <v>0</v>
      </c>
      <c r="O116" t="n">
        <v>2</v>
      </c>
      <c r="P116" t="n">
        <v>0</v>
      </c>
      <c r="Q116" t="n">
        <v>2</v>
      </c>
      <c r="R116" s="2" t="inlineStr">
        <is>
          <t>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31735-2025</t>
        </is>
      </c>
      <c r="B117" s="1" t="n">
        <v>45834.47067129629</v>
      </c>
      <c r="C117" s="1" t="n">
        <v>46033</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25037-2024</t>
        </is>
      </c>
      <c r="B118" s="1" t="n">
        <v>45461</v>
      </c>
      <c r="C118" s="1" t="n">
        <v>46033</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28012-2023</t>
        </is>
      </c>
      <c r="B119" s="1" t="n">
        <v>45098</v>
      </c>
      <c r="C119" s="1" t="n">
        <v>46033</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30717-2023</t>
        </is>
      </c>
      <c r="B120" s="1" t="n">
        <v>45112</v>
      </c>
      <c r="C120" s="1" t="n">
        <v>46033</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42274-2025</t>
        </is>
      </c>
      <c r="B121" s="1" t="n">
        <v>45903</v>
      </c>
      <c r="C121" s="1" t="n">
        <v>46033</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36998-2025</t>
        </is>
      </c>
      <c r="B122" s="1" t="n">
        <v>45874</v>
      </c>
      <c r="C122" s="1" t="n">
        <v>46033</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19234-2021</t>
        </is>
      </c>
      <c r="B123" s="1" t="n">
        <v>44309</v>
      </c>
      <c r="C123" s="1" t="n">
        <v>46033</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41645-2024</t>
        </is>
      </c>
      <c r="B124" s="1" t="n">
        <v>45560</v>
      </c>
      <c r="C124" s="1" t="n">
        <v>46033</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6704-2021</t>
        </is>
      </c>
      <c r="B125" s="1" t="n">
        <v>44235</v>
      </c>
      <c r="C125" s="1" t="n">
        <v>46033</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65586-2021</t>
        </is>
      </c>
      <c r="B126" s="1" t="n">
        <v>44518</v>
      </c>
      <c r="C126" s="1" t="n">
        <v>46033</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54779-2024</t>
        </is>
      </c>
      <c r="B127" s="1" t="n">
        <v>45618</v>
      </c>
      <c r="C127" s="1" t="n">
        <v>46033</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46033</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69023-2021</t>
        </is>
      </c>
      <c r="B129" s="1" t="n">
        <v>44529</v>
      </c>
      <c r="C129" s="1" t="n">
        <v>46033</v>
      </c>
      <c r="D129" t="inlineStr">
        <is>
          <t>VÄSTERBOTTENS LÄN</t>
        </is>
      </c>
      <c r="E129" t="inlineStr">
        <is>
          <t>VILHELMINA</t>
        </is>
      </c>
      <c r="G129" t="n">
        <v>88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69023-2021 artfynd.xlsx", "A 69023-2021")</f>
        <v/>
      </c>
      <c r="T129">
        <f>HYPERLINK("https://klasma.github.io/Logging_2462/kartor/A 69023-2021 karta.png", "A 69023-2021")</f>
        <v/>
      </c>
      <c r="V129">
        <f>HYPERLINK("https://klasma.github.io/Logging_2462/klagomål/A 69023-2021 FSC-klagomål.docx", "A 69023-2021")</f>
        <v/>
      </c>
      <c r="W129">
        <f>HYPERLINK("https://klasma.github.io/Logging_2462/klagomålsmail/A 69023-2021 FSC-klagomål mail.docx", "A 69023-2021")</f>
        <v/>
      </c>
      <c r="X129">
        <f>HYPERLINK("https://klasma.github.io/Logging_2462/tillsyn/A 69023-2021 tillsynsbegäran.docx", "A 69023-2021")</f>
        <v/>
      </c>
      <c r="Y129">
        <f>HYPERLINK("https://klasma.github.io/Logging_2462/tillsynsmail/A 69023-2021 tillsynsbegäran mail.docx", "A 69023-2021")</f>
        <v/>
      </c>
    </row>
    <row r="130" ht="15" customHeight="1">
      <c r="A130" t="inlineStr">
        <is>
          <t>A 46391-2024</t>
        </is>
      </c>
      <c r="B130" s="1" t="n">
        <v>45582</v>
      </c>
      <c r="C130" s="1" t="n">
        <v>46033</v>
      </c>
      <c r="D130" t="inlineStr">
        <is>
          <t>VÄSTERBOTTENS LÄN</t>
        </is>
      </c>
      <c r="E130" t="inlineStr">
        <is>
          <t>VILHELMINA</t>
        </is>
      </c>
      <c r="F130" t="inlineStr">
        <is>
          <t>SCA</t>
        </is>
      </c>
      <c r="G130" t="n">
        <v>23.4</v>
      </c>
      <c r="H130" t="n">
        <v>0</v>
      </c>
      <c r="I130" t="n">
        <v>0</v>
      </c>
      <c r="J130" t="n">
        <v>2</v>
      </c>
      <c r="K130" t="n">
        <v>0</v>
      </c>
      <c r="L130" t="n">
        <v>0</v>
      </c>
      <c r="M130" t="n">
        <v>0</v>
      </c>
      <c r="N130" t="n">
        <v>0</v>
      </c>
      <c r="O130" t="n">
        <v>2</v>
      </c>
      <c r="P130" t="n">
        <v>0</v>
      </c>
      <c r="Q130" t="n">
        <v>2</v>
      </c>
      <c r="R130" s="2" t="inlineStr">
        <is>
          <t>Granticka
Gränsticka</t>
        </is>
      </c>
      <c r="S130">
        <f>HYPERLINK("https://klasma.github.io/Logging_2462/artfynd/A 46391-2024 artfynd.xlsx", "A 46391-2024")</f>
        <v/>
      </c>
      <c r="T130">
        <f>HYPERLINK("https://klasma.github.io/Logging_2462/kartor/A 46391-2024 karta.png", "A 46391-2024")</f>
        <v/>
      </c>
      <c r="V130">
        <f>HYPERLINK("https://klasma.github.io/Logging_2462/klagomål/A 46391-2024 FSC-klagomål.docx", "A 46391-2024")</f>
        <v/>
      </c>
      <c r="W130">
        <f>HYPERLINK("https://klasma.github.io/Logging_2462/klagomålsmail/A 46391-2024 FSC-klagomål mail.docx", "A 46391-2024")</f>
        <v/>
      </c>
      <c r="X130">
        <f>HYPERLINK("https://klasma.github.io/Logging_2462/tillsyn/A 46391-2024 tillsynsbegäran.docx", "A 46391-2024")</f>
        <v/>
      </c>
      <c r="Y130">
        <f>HYPERLINK("https://klasma.github.io/Logging_2462/tillsynsmail/A 46391-2024 tillsynsbegäran mail.docx", "A 46391-2024")</f>
        <v/>
      </c>
    </row>
    <row r="131" ht="15" customHeight="1">
      <c r="A131" t="inlineStr">
        <is>
          <t>A 64030-2023</t>
        </is>
      </c>
      <c r="B131" s="1" t="n">
        <v>45278</v>
      </c>
      <c r="C131" s="1" t="n">
        <v>46033</v>
      </c>
      <c r="D131" t="inlineStr">
        <is>
          <t>VÄSTERBOTTENS LÄN</t>
        </is>
      </c>
      <c r="E131" t="inlineStr">
        <is>
          <t>VILHELMINA</t>
        </is>
      </c>
      <c r="F131" t="inlineStr">
        <is>
          <t>SCA</t>
        </is>
      </c>
      <c r="G131" t="n">
        <v>1.7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64030-2023 artfynd.xlsx", "A 64030-2023")</f>
        <v/>
      </c>
      <c r="T131">
        <f>HYPERLINK("https://klasma.github.io/Logging_2462/kartor/A 64030-2023 karta.png", "A 64030-2023")</f>
        <v/>
      </c>
      <c r="V131">
        <f>HYPERLINK("https://klasma.github.io/Logging_2462/klagomål/A 64030-2023 FSC-klagomål.docx", "A 64030-2023")</f>
        <v/>
      </c>
      <c r="W131">
        <f>HYPERLINK("https://klasma.github.io/Logging_2462/klagomålsmail/A 64030-2023 FSC-klagomål mail.docx", "A 64030-2023")</f>
        <v/>
      </c>
      <c r="X131">
        <f>HYPERLINK("https://klasma.github.io/Logging_2462/tillsyn/A 64030-2023 tillsynsbegäran.docx", "A 64030-2023")</f>
        <v/>
      </c>
      <c r="Y131">
        <f>HYPERLINK("https://klasma.github.io/Logging_2462/tillsynsmail/A 64030-2023 tillsynsbegäran mail.docx", "A 64030-2023")</f>
        <v/>
      </c>
      <c r="Z131">
        <f>HYPERLINK("https://klasma.github.io/Logging_2462/fåglar/A 64030-2023 prioriterade fågelarter.docx", "A 64030-2023")</f>
        <v/>
      </c>
    </row>
    <row r="132" ht="15" customHeight="1">
      <c r="A132" t="inlineStr">
        <is>
          <t>A 37513-2024</t>
        </is>
      </c>
      <c r="B132" s="1" t="n">
        <v>45541.38572916666</v>
      </c>
      <c r="C132" s="1" t="n">
        <v>46033</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46033</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46033</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46033</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47248-2024</t>
        </is>
      </c>
      <c r="B136" s="1" t="n">
        <v>45586</v>
      </c>
      <c r="C136" s="1" t="n">
        <v>46033</v>
      </c>
      <c r="D136" t="inlineStr">
        <is>
          <t>VÄSTERBOTTENS LÄN</t>
        </is>
      </c>
      <c r="E136" t="inlineStr">
        <is>
          <t>VILHELMINA</t>
        </is>
      </c>
      <c r="F136" t="inlineStr">
        <is>
          <t>SCA</t>
        </is>
      </c>
      <c r="G136" t="n">
        <v>4</v>
      </c>
      <c r="H136" t="n">
        <v>0</v>
      </c>
      <c r="I136" t="n">
        <v>0</v>
      </c>
      <c r="J136" t="n">
        <v>1</v>
      </c>
      <c r="K136" t="n">
        <v>0</v>
      </c>
      <c r="L136" t="n">
        <v>0</v>
      </c>
      <c r="M136" t="n">
        <v>0</v>
      </c>
      <c r="N136" t="n">
        <v>0</v>
      </c>
      <c r="O136" t="n">
        <v>1</v>
      </c>
      <c r="P136" t="n">
        <v>0</v>
      </c>
      <c r="Q136" t="n">
        <v>1</v>
      </c>
      <c r="R136" s="2" t="inlineStr">
        <is>
          <t>Granticka</t>
        </is>
      </c>
      <c r="S136">
        <f>HYPERLINK("https://klasma.github.io/Logging_2462/artfynd/A 47248-2024 artfynd.xlsx", "A 47248-2024")</f>
        <v/>
      </c>
      <c r="T136">
        <f>HYPERLINK("https://klasma.github.io/Logging_2462/kartor/A 47248-2024 karta.png", "A 47248-2024")</f>
        <v/>
      </c>
      <c r="V136">
        <f>HYPERLINK("https://klasma.github.io/Logging_2462/klagomål/A 47248-2024 FSC-klagomål.docx", "A 47248-2024")</f>
        <v/>
      </c>
      <c r="W136">
        <f>HYPERLINK("https://klasma.github.io/Logging_2462/klagomålsmail/A 47248-2024 FSC-klagomål mail.docx", "A 47248-2024")</f>
        <v/>
      </c>
      <c r="X136">
        <f>HYPERLINK("https://klasma.github.io/Logging_2462/tillsyn/A 47248-2024 tillsynsbegäran.docx", "A 47248-2024")</f>
        <v/>
      </c>
      <c r="Y136">
        <f>HYPERLINK("https://klasma.github.io/Logging_2462/tillsynsmail/A 47248-2024 tillsynsbegäran mail.docx", "A 47248-2024")</f>
        <v/>
      </c>
    </row>
    <row r="137" ht="15" customHeight="1">
      <c r="A137" t="inlineStr">
        <is>
          <t>A 25977-2025</t>
        </is>
      </c>
      <c r="B137" s="1" t="n">
        <v>45804</v>
      </c>
      <c r="C137" s="1" t="n">
        <v>46033</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34769-2024</t>
        </is>
      </c>
      <c r="B138" s="1" t="n">
        <v>45526.62043981482</v>
      </c>
      <c r="C138" s="1" t="n">
        <v>46033</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29121-2025</t>
        </is>
      </c>
      <c r="B139" s="1" t="n">
        <v>45821</v>
      </c>
      <c r="C139" s="1" t="n">
        <v>46033</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46033</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48741-2025</t>
        </is>
      </c>
      <c r="B141" s="1" t="n">
        <v>45936</v>
      </c>
      <c r="C141" s="1" t="n">
        <v>46033</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29317-2023</t>
        </is>
      </c>
      <c r="B142" s="1" t="n">
        <v>45105</v>
      </c>
      <c r="C142" s="1" t="n">
        <v>46033</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34730-2024</t>
        </is>
      </c>
      <c r="B143" s="1" t="n">
        <v>45526</v>
      </c>
      <c r="C143" s="1" t="n">
        <v>46033</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46033</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66924-2021</t>
        </is>
      </c>
      <c r="B145" s="1" t="n">
        <v>44522</v>
      </c>
      <c r="C145" s="1" t="n">
        <v>46033</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46033</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38929-2025</t>
        </is>
      </c>
      <c r="B147" s="1" t="n">
        <v>45887</v>
      </c>
      <c r="C147" s="1" t="n">
        <v>46033</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13523-2025</t>
        </is>
      </c>
      <c r="B148" s="1" t="n">
        <v>45736</v>
      </c>
      <c r="C148" s="1" t="n">
        <v>46033</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29434-2025</t>
        </is>
      </c>
      <c r="B149" s="1" t="n">
        <v>45824</v>
      </c>
      <c r="C149" s="1" t="n">
        <v>46033</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74395-2021</t>
        </is>
      </c>
      <c r="B150" s="1" t="n">
        <v>44560</v>
      </c>
      <c r="C150" s="1" t="n">
        <v>46033</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59664-2023</t>
        </is>
      </c>
      <c r="B151" s="1" t="n">
        <v>45254</v>
      </c>
      <c r="C151" s="1" t="n">
        <v>46033</v>
      </c>
      <c r="D151" t="inlineStr">
        <is>
          <t>VÄSTERBOTTENS LÄN</t>
        </is>
      </c>
      <c r="E151" t="inlineStr">
        <is>
          <t>VILHELMINA</t>
        </is>
      </c>
      <c r="F151" t="inlineStr">
        <is>
          <t>SCA</t>
        </is>
      </c>
      <c r="G151" t="n">
        <v>3.3</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59664-2023 artfynd.xlsx", "A 59664-2023")</f>
        <v/>
      </c>
      <c r="T151">
        <f>HYPERLINK("https://klasma.github.io/Logging_2462/kartor/A 59664-2023 karta.png", "A 59664-2023")</f>
        <v/>
      </c>
      <c r="V151">
        <f>HYPERLINK("https://klasma.github.io/Logging_2462/klagomål/A 59664-2023 FSC-klagomål.docx", "A 59664-2023")</f>
        <v/>
      </c>
      <c r="W151">
        <f>HYPERLINK("https://klasma.github.io/Logging_2462/klagomålsmail/A 59664-2023 FSC-klagomål mail.docx", "A 59664-2023")</f>
        <v/>
      </c>
      <c r="X151">
        <f>HYPERLINK("https://klasma.github.io/Logging_2462/tillsyn/A 59664-2023 tillsynsbegäran.docx", "A 59664-2023")</f>
        <v/>
      </c>
      <c r="Y151">
        <f>HYPERLINK("https://klasma.github.io/Logging_2462/tillsynsmail/A 59664-2023 tillsynsbegäran mail.docx", "A 59664-2023")</f>
        <v/>
      </c>
      <c r="Z151">
        <f>HYPERLINK("https://klasma.github.io/Logging_2462/fåglar/A 59664-2023 prioriterade fågelarter.docx", "A 59664-2023")</f>
        <v/>
      </c>
    </row>
    <row r="152" ht="15" customHeight="1">
      <c r="A152" t="inlineStr">
        <is>
          <t>A 25374-2024</t>
        </is>
      </c>
      <c r="B152" s="1" t="n">
        <v>45462.96118055555</v>
      </c>
      <c r="C152" s="1" t="n">
        <v>46033</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32677-2021</t>
        </is>
      </c>
      <c r="B153" s="1" t="n">
        <v>44371</v>
      </c>
      <c r="C153" s="1" t="n">
        <v>46033</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38282-2024</t>
        </is>
      </c>
      <c r="B154" s="1" t="n">
        <v>45545</v>
      </c>
      <c r="C154" s="1" t="n">
        <v>46033</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11832-2023</t>
        </is>
      </c>
      <c r="B155" s="1" t="n">
        <v>44994</v>
      </c>
      <c r="C155" s="1" t="n">
        <v>46033</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60369-2021</t>
        </is>
      </c>
      <c r="B156" s="1" t="n">
        <v>44494</v>
      </c>
      <c r="C156" s="1" t="n">
        <v>46033</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46033</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46033</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46033</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46033</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46033</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46033</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46033</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38416-2022</t>
        </is>
      </c>
      <c r="B164" s="1" t="n">
        <v>44812</v>
      </c>
      <c r="C164" s="1" t="n">
        <v>46033</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46033</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46033</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46033</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46033</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46033</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46033</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46033</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46033</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46033</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46033</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46033</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46033</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46033</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46033</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46033</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46033</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46033</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46033</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46033</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18950-2021</t>
        </is>
      </c>
      <c r="B184" s="1" t="n">
        <v>44307</v>
      </c>
      <c r="C184" s="1" t="n">
        <v>46033</v>
      </c>
      <c r="D184" t="inlineStr">
        <is>
          <t>VÄSTERBOTTENS LÄN</t>
        </is>
      </c>
      <c r="E184" t="inlineStr">
        <is>
          <t>VILHELMINA</t>
        </is>
      </c>
      <c r="G184" t="n">
        <v>1.9</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46033</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46033</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46033</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46033</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46033</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46033</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46033</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46033</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46033</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46033</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46033</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46033</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46033</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46033</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46033</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46033</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46033</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46033</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46033</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46033</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46033</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46033</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46033</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46033</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46033</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46033</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46033</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46033</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46033</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46033</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46033</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46033</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46033</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46033</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46033</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46033</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46033</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46033</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46033</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46033</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46033</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46033</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46033</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46033</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46033</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46033</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46033</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2189-2021</t>
        </is>
      </c>
      <c r="B232" s="1" t="n">
        <v>44211</v>
      </c>
      <c r="C232" s="1" t="n">
        <v>46033</v>
      </c>
      <c r="D232" t="inlineStr">
        <is>
          <t>VÄSTERBOTTENS LÄN</t>
        </is>
      </c>
      <c r="E232" t="inlineStr">
        <is>
          <t>VILHELMINA</t>
        </is>
      </c>
      <c r="F232" t="inlineStr">
        <is>
          <t>Allmännings- och besparingsskogar</t>
        </is>
      </c>
      <c r="G232" t="n">
        <v>20.1</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46033</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46033</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46033</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60317-2021</t>
        </is>
      </c>
      <c r="B236" s="1" t="n">
        <v>44495.94003472223</v>
      </c>
      <c r="C236" s="1" t="n">
        <v>46033</v>
      </c>
      <c r="D236" t="inlineStr">
        <is>
          <t>VÄSTERBOTTENS LÄN</t>
        </is>
      </c>
      <c r="E236" t="inlineStr">
        <is>
          <t>VILHELMINA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46033</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46033</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46033</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46033</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46033</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46033</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44442.94226851852</v>
      </c>
      <c r="C243" s="1" t="n">
        <v>46033</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46033</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50635-2021</t>
        </is>
      </c>
      <c r="B245" s="1" t="n">
        <v>44459.71978009259</v>
      </c>
      <c r="C245" s="1" t="n">
        <v>46033</v>
      </c>
      <c r="D245" t="inlineStr">
        <is>
          <t>VÄSTERBOTTENS LÄN</t>
        </is>
      </c>
      <c r="E245" t="inlineStr">
        <is>
          <t>VILHELMINA</t>
        </is>
      </c>
      <c r="F245" t="inlineStr">
        <is>
          <t>Kommuner</t>
        </is>
      </c>
      <c r="G245" t="n">
        <v>11</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46033</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46033</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46033</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72494-2021</t>
        </is>
      </c>
      <c r="B249" s="1" t="n">
        <v>44545.92059027778</v>
      </c>
      <c r="C249" s="1" t="n">
        <v>46033</v>
      </c>
      <c r="D249" t="inlineStr">
        <is>
          <t>VÄSTERBOTTENS LÄN</t>
        </is>
      </c>
      <c r="E249" t="inlineStr">
        <is>
          <t>VILHELMINA</t>
        </is>
      </c>
      <c r="G249" t="n">
        <v>4.2</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46033</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26947-2024</t>
        </is>
      </c>
      <c r="B251" s="1" t="n">
        <v>45470.9693287037</v>
      </c>
      <c r="C251" s="1" t="n">
        <v>46033</v>
      </c>
      <c r="D251" t="inlineStr">
        <is>
          <t>VÄSTERBOTTENS LÄN</t>
        </is>
      </c>
      <c r="E251" t="inlineStr">
        <is>
          <t>VILHELMINA</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248-2025</t>
        </is>
      </c>
      <c r="B252" s="1" t="n">
        <v>45660.419375</v>
      </c>
      <c r="C252" s="1" t="n">
        <v>46033</v>
      </c>
      <c r="D252" t="inlineStr">
        <is>
          <t>VÄSTERBOTTENS LÄN</t>
        </is>
      </c>
      <c r="E252" t="inlineStr">
        <is>
          <t>VILHELMINA</t>
        </is>
      </c>
      <c r="G252" t="n">
        <v>11</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46033</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46033</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46033</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60377-2024</t>
        </is>
      </c>
      <c r="B256" s="1" t="n">
        <v>45643</v>
      </c>
      <c r="C256" s="1" t="n">
        <v>46033</v>
      </c>
      <c r="D256" t="inlineStr">
        <is>
          <t>VÄSTERBOTTENS LÄN</t>
        </is>
      </c>
      <c r="E256" t="inlineStr">
        <is>
          <t>VILHELMINA</t>
        </is>
      </c>
      <c r="F256" t="inlineStr">
        <is>
          <t>SCA</t>
        </is>
      </c>
      <c r="G256" t="n">
        <v>16.2</v>
      </c>
      <c r="H256" t="n">
        <v>0</v>
      </c>
      <c r="I256" t="n">
        <v>0</v>
      </c>
      <c r="J256" t="n">
        <v>0</v>
      </c>
      <c r="K256" t="n">
        <v>0</v>
      </c>
      <c r="L256" t="n">
        <v>0</v>
      </c>
      <c r="M256" t="n">
        <v>0</v>
      </c>
      <c r="N256" t="n">
        <v>0</v>
      </c>
      <c r="O256" t="n">
        <v>0</v>
      </c>
      <c r="P256" t="n">
        <v>0</v>
      </c>
      <c r="Q256" t="n">
        <v>0</v>
      </c>
      <c r="R256" s="2" t="inlineStr"/>
    </row>
    <row r="257" ht="15" customHeight="1">
      <c r="A257" t="inlineStr">
        <is>
          <t>A 4869-2023</t>
        </is>
      </c>
      <c r="B257" s="1" t="n">
        <v>44957</v>
      </c>
      <c r="C257" s="1" t="n">
        <v>46033</v>
      </c>
      <c r="D257" t="inlineStr">
        <is>
          <t>VÄSTERBOTTENS LÄN</t>
        </is>
      </c>
      <c r="E257" t="inlineStr">
        <is>
          <t>VILHELMINA</t>
        </is>
      </c>
      <c r="G257" t="n">
        <v>5.7</v>
      </c>
      <c r="H257" t="n">
        <v>0</v>
      </c>
      <c r="I257" t="n">
        <v>0</v>
      </c>
      <c r="J257" t="n">
        <v>0</v>
      </c>
      <c r="K257" t="n">
        <v>0</v>
      </c>
      <c r="L257" t="n">
        <v>0</v>
      </c>
      <c r="M257" t="n">
        <v>0</v>
      </c>
      <c r="N257" t="n">
        <v>0</v>
      </c>
      <c r="O257" t="n">
        <v>0</v>
      </c>
      <c r="P257" t="n">
        <v>0</v>
      </c>
      <c r="Q257" t="n">
        <v>0</v>
      </c>
      <c r="R257" s="2" t="inlineStr"/>
    </row>
    <row r="258" ht="15" customHeight="1">
      <c r="A258" t="inlineStr">
        <is>
          <t>A 33321-2024</t>
        </is>
      </c>
      <c r="B258" s="1" t="n">
        <v>45518.97256944444</v>
      </c>
      <c r="C258" s="1" t="n">
        <v>46033</v>
      </c>
      <c r="D258" t="inlineStr">
        <is>
          <t>VÄSTERBOTTENS LÄN</t>
        </is>
      </c>
      <c r="E258" t="inlineStr">
        <is>
          <t>VILHELMINA</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34799-2023</t>
        </is>
      </c>
      <c r="B259" s="1" t="n">
        <v>45140</v>
      </c>
      <c r="C259" s="1" t="n">
        <v>46033</v>
      </c>
      <c r="D259" t="inlineStr">
        <is>
          <t>VÄSTERBOTTENS LÄN</t>
        </is>
      </c>
      <c r="E259" t="inlineStr">
        <is>
          <t>VILHELMINA</t>
        </is>
      </c>
      <c r="G259" t="n">
        <v>17.4</v>
      </c>
      <c r="H259" t="n">
        <v>0</v>
      </c>
      <c r="I259" t="n">
        <v>0</v>
      </c>
      <c r="J259" t="n">
        <v>0</v>
      </c>
      <c r="K259" t="n">
        <v>0</v>
      </c>
      <c r="L259" t="n">
        <v>0</v>
      </c>
      <c r="M259" t="n">
        <v>0</v>
      </c>
      <c r="N259" t="n">
        <v>0</v>
      </c>
      <c r="O259" t="n">
        <v>0</v>
      </c>
      <c r="P259" t="n">
        <v>0</v>
      </c>
      <c r="Q259" t="n">
        <v>0</v>
      </c>
      <c r="R259" s="2" t="inlineStr"/>
    </row>
    <row r="260" ht="15" customHeight="1">
      <c r="A260" t="inlineStr">
        <is>
          <t>A 21623-2025</t>
        </is>
      </c>
      <c r="B260" s="1" t="n">
        <v>45783</v>
      </c>
      <c r="C260" s="1" t="n">
        <v>46033</v>
      </c>
      <c r="D260" t="inlineStr">
        <is>
          <t>VÄSTERBOTTENS LÄN</t>
        </is>
      </c>
      <c r="E260" t="inlineStr">
        <is>
          <t>VILHELMINA</t>
        </is>
      </c>
      <c r="F260" t="inlineStr">
        <is>
          <t>SCA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21670-2025</t>
        </is>
      </c>
      <c r="B261" s="1" t="n">
        <v>45783.46917824074</v>
      </c>
      <c r="C261" s="1" t="n">
        <v>46033</v>
      </c>
      <c r="D261" t="inlineStr">
        <is>
          <t>VÄSTERBOTTENS LÄN</t>
        </is>
      </c>
      <c r="E261" t="inlineStr">
        <is>
          <t>VILHELMINA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27194-2024</t>
        </is>
      </c>
      <c r="B262" s="1" t="n">
        <v>45471</v>
      </c>
      <c r="C262" s="1" t="n">
        <v>46033</v>
      </c>
      <c r="D262" t="inlineStr">
        <is>
          <t>VÄSTERBOTTENS LÄN</t>
        </is>
      </c>
      <c r="E262" t="inlineStr">
        <is>
          <t>VILHELMINA</t>
        </is>
      </c>
      <c r="G262" t="n">
        <v>8.5</v>
      </c>
      <c r="H262" t="n">
        <v>0</v>
      </c>
      <c r="I262" t="n">
        <v>0</v>
      </c>
      <c r="J262" t="n">
        <v>0</v>
      </c>
      <c r="K262" t="n">
        <v>0</v>
      </c>
      <c r="L262" t="n">
        <v>0</v>
      </c>
      <c r="M262" t="n">
        <v>0</v>
      </c>
      <c r="N262" t="n">
        <v>0</v>
      </c>
      <c r="O262" t="n">
        <v>0</v>
      </c>
      <c r="P262" t="n">
        <v>0</v>
      </c>
      <c r="Q262" t="n">
        <v>0</v>
      </c>
      <c r="R262" s="2" t="inlineStr"/>
    </row>
    <row r="263" ht="15" customHeight="1">
      <c r="A263" t="inlineStr">
        <is>
          <t>A 14961-2022</t>
        </is>
      </c>
      <c r="B263" s="1" t="n">
        <v>44657</v>
      </c>
      <c r="C263" s="1" t="n">
        <v>46033</v>
      </c>
      <c r="D263" t="inlineStr">
        <is>
          <t>VÄSTERBOTTENS LÄN</t>
        </is>
      </c>
      <c r="E263" t="inlineStr">
        <is>
          <t>VILHELMINA</t>
        </is>
      </c>
      <c r="G263" t="n">
        <v>19.9</v>
      </c>
      <c r="H263" t="n">
        <v>0</v>
      </c>
      <c r="I263" t="n">
        <v>0</v>
      </c>
      <c r="J263" t="n">
        <v>0</v>
      </c>
      <c r="K263" t="n">
        <v>0</v>
      </c>
      <c r="L263" t="n">
        <v>0</v>
      </c>
      <c r="M263" t="n">
        <v>0</v>
      </c>
      <c r="N263" t="n">
        <v>0</v>
      </c>
      <c r="O263" t="n">
        <v>0</v>
      </c>
      <c r="P263" t="n">
        <v>0</v>
      </c>
      <c r="Q263" t="n">
        <v>0</v>
      </c>
      <c r="R263" s="2" t="inlineStr"/>
    </row>
    <row r="264" ht="15" customHeight="1">
      <c r="A264" t="inlineStr">
        <is>
          <t>A 38580-2025</t>
        </is>
      </c>
      <c r="B264" s="1" t="n">
        <v>45884.46951388889</v>
      </c>
      <c r="C264" s="1" t="n">
        <v>46033</v>
      </c>
      <c r="D264" t="inlineStr">
        <is>
          <t>VÄSTERBOTTENS LÄN</t>
        </is>
      </c>
      <c r="E264" t="inlineStr">
        <is>
          <t>VILHELMINA</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38674-2023</t>
        </is>
      </c>
      <c r="B265" s="1" t="n">
        <v>45162.94335648148</v>
      </c>
      <c r="C265" s="1" t="n">
        <v>46033</v>
      </c>
      <c r="D265" t="inlineStr">
        <is>
          <t>VÄSTERBOTTENS LÄN</t>
        </is>
      </c>
      <c r="E265" t="inlineStr">
        <is>
          <t>VILHELMINA</t>
        </is>
      </c>
      <c r="F265" t="inlineStr">
        <is>
          <t>SCA</t>
        </is>
      </c>
      <c r="G265" t="n">
        <v>4.7</v>
      </c>
      <c r="H265" t="n">
        <v>0</v>
      </c>
      <c r="I265" t="n">
        <v>0</v>
      </c>
      <c r="J265" t="n">
        <v>0</v>
      </c>
      <c r="K265" t="n">
        <v>0</v>
      </c>
      <c r="L265" t="n">
        <v>0</v>
      </c>
      <c r="M265" t="n">
        <v>0</v>
      </c>
      <c r="N265" t="n">
        <v>0</v>
      </c>
      <c r="O265" t="n">
        <v>0</v>
      </c>
      <c r="P265" t="n">
        <v>0</v>
      </c>
      <c r="Q265" t="n">
        <v>0</v>
      </c>
      <c r="R265" s="2" t="inlineStr"/>
    </row>
    <row r="266" ht="15" customHeight="1">
      <c r="A266" t="inlineStr">
        <is>
          <t>A 29104-2024</t>
        </is>
      </c>
      <c r="B266" s="1" t="n">
        <v>45481.95178240741</v>
      </c>
      <c r="C266" s="1" t="n">
        <v>46033</v>
      </c>
      <c r="D266" t="inlineStr">
        <is>
          <t>VÄSTERBOTTENS LÄN</t>
        </is>
      </c>
      <c r="E266" t="inlineStr">
        <is>
          <t>VILHELMINA</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21950-2025</t>
        </is>
      </c>
      <c r="B267" s="1" t="n">
        <v>45784.59418981482</v>
      </c>
      <c r="C267" s="1" t="n">
        <v>46033</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40462-2024</t>
        </is>
      </c>
      <c r="B268" s="1" t="n">
        <v>45555.51084490741</v>
      </c>
      <c r="C268" s="1" t="n">
        <v>46033</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50482-2023</t>
        </is>
      </c>
      <c r="B269" s="1" t="n">
        <v>45216</v>
      </c>
      <c r="C269" s="1" t="n">
        <v>46033</v>
      </c>
      <c r="D269" t="inlineStr">
        <is>
          <t>VÄSTERBOTTENS LÄN</t>
        </is>
      </c>
      <c r="E269" t="inlineStr">
        <is>
          <t>VILHELMINA</t>
        </is>
      </c>
      <c r="G269" t="n">
        <v>3.5</v>
      </c>
      <c r="H269" t="n">
        <v>0</v>
      </c>
      <c r="I269" t="n">
        <v>0</v>
      </c>
      <c r="J269" t="n">
        <v>0</v>
      </c>
      <c r="K269" t="n">
        <v>0</v>
      </c>
      <c r="L269" t="n">
        <v>0</v>
      </c>
      <c r="M269" t="n">
        <v>0</v>
      </c>
      <c r="N269" t="n">
        <v>0</v>
      </c>
      <c r="O269" t="n">
        <v>0</v>
      </c>
      <c r="P269" t="n">
        <v>0</v>
      </c>
      <c r="Q269" t="n">
        <v>0</v>
      </c>
      <c r="R269" s="2" t="inlineStr"/>
    </row>
    <row r="270" ht="15" customHeight="1">
      <c r="A270" t="inlineStr">
        <is>
          <t>A 22048-2025</t>
        </is>
      </c>
      <c r="B270" s="1" t="n">
        <v>45785.3443287037</v>
      </c>
      <c r="C270" s="1" t="n">
        <v>46033</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21972-2025</t>
        </is>
      </c>
      <c r="B271" s="1" t="n">
        <v>45784.63592592593</v>
      </c>
      <c r="C271" s="1" t="n">
        <v>46033</v>
      </c>
      <c r="D271" t="inlineStr">
        <is>
          <t>VÄSTERBOTTENS LÄN</t>
        </is>
      </c>
      <c r="E271" t="inlineStr">
        <is>
          <t>VILHELMINA</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34809-2023</t>
        </is>
      </c>
      <c r="B272" s="1" t="n">
        <v>45140</v>
      </c>
      <c r="C272" s="1" t="n">
        <v>46033</v>
      </c>
      <c r="D272" t="inlineStr">
        <is>
          <t>VÄSTERBOTTENS LÄN</t>
        </is>
      </c>
      <c r="E272" t="inlineStr">
        <is>
          <t>VILHELMINA</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38620-2025</t>
        </is>
      </c>
      <c r="B273" s="1" t="n">
        <v>45884.55297453704</v>
      </c>
      <c r="C273" s="1" t="n">
        <v>46033</v>
      </c>
      <c r="D273" t="inlineStr">
        <is>
          <t>VÄSTERBOTTENS LÄN</t>
        </is>
      </c>
      <c r="E273" t="inlineStr">
        <is>
          <t>VILHELMINA</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21999-2025</t>
        </is>
      </c>
      <c r="B274" s="1" t="n">
        <v>45784</v>
      </c>
      <c r="C274" s="1" t="n">
        <v>46033</v>
      </c>
      <c r="D274" t="inlineStr">
        <is>
          <t>VÄSTERBOTTENS LÄN</t>
        </is>
      </c>
      <c r="E274" t="inlineStr">
        <is>
          <t>VILHELMINA</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21924-2025</t>
        </is>
      </c>
      <c r="B275" s="1" t="n">
        <v>45784</v>
      </c>
      <c r="C275" s="1" t="n">
        <v>46033</v>
      </c>
      <c r="D275" t="inlineStr">
        <is>
          <t>VÄSTERBOTTENS LÄN</t>
        </is>
      </c>
      <c r="E275" t="inlineStr">
        <is>
          <t>VILHELMINA</t>
        </is>
      </c>
      <c r="G275" t="n">
        <v>10.2</v>
      </c>
      <c r="H275" t="n">
        <v>0</v>
      </c>
      <c r="I275" t="n">
        <v>0</v>
      </c>
      <c r="J275" t="n">
        <v>0</v>
      </c>
      <c r="K275" t="n">
        <v>0</v>
      </c>
      <c r="L275" t="n">
        <v>0</v>
      </c>
      <c r="M275" t="n">
        <v>0</v>
      </c>
      <c r="N275" t="n">
        <v>0</v>
      </c>
      <c r="O275" t="n">
        <v>0</v>
      </c>
      <c r="P275" t="n">
        <v>0</v>
      </c>
      <c r="Q275" t="n">
        <v>0</v>
      </c>
      <c r="R275" s="2" t="inlineStr"/>
    </row>
    <row r="276" ht="15" customHeight="1">
      <c r="A276" t="inlineStr">
        <is>
          <t>A 50922-2025</t>
        </is>
      </c>
      <c r="B276" s="1" t="n">
        <v>45946.67149305555</v>
      </c>
      <c r="C276" s="1" t="n">
        <v>46033</v>
      </c>
      <c r="D276" t="inlineStr">
        <is>
          <t>VÄSTERBOTTENS LÄN</t>
        </is>
      </c>
      <c r="E276" t="inlineStr">
        <is>
          <t>VILHELMINA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29954-2023</t>
        </is>
      </c>
      <c r="B277" s="1" t="n">
        <v>45107</v>
      </c>
      <c r="C277" s="1" t="n">
        <v>46033</v>
      </c>
      <c r="D277" t="inlineStr">
        <is>
          <t>VÄSTERBOTTENS LÄN</t>
        </is>
      </c>
      <c r="E277" t="inlineStr">
        <is>
          <t>VILHELMINA</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15884-2025</t>
        </is>
      </c>
      <c r="B278" s="1" t="n">
        <v>45749</v>
      </c>
      <c r="C278" s="1" t="n">
        <v>46033</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38543-2025</t>
        </is>
      </c>
      <c r="B279" s="1" t="n">
        <v>45884.42813657408</v>
      </c>
      <c r="C279" s="1" t="n">
        <v>46033</v>
      </c>
      <c r="D279" t="inlineStr">
        <is>
          <t>VÄSTERBOTTENS LÄN</t>
        </is>
      </c>
      <c r="E279" t="inlineStr">
        <is>
          <t>VILHELMINA</t>
        </is>
      </c>
      <c r="G279" t="n">
        <v>2.4</v>
      </c>
      <c r="H279" t="n">
        <v>0</v>
      </c>
      <c r="I279" t="n">
        <v>0</v>
      </c>
      <c r="J279" t="n">
        <v>0</v>
      </c>
      <c r="K279" t="n">
        <v>0</v>
      </c>
      <c r="L279" t="n">
        <v>0</v>
      </c>
      <c r="M279" t="n">
        <v>0</v>
      </c>
      <c r="N279" t="n">
        <v>0</v>
      </c>
      <c r="O279" t="n">
        <v>0</v>
      </c>
      <c r="P279" t="n">
        <v>0</v>
      </c>
      <c r="Q279" t="n">
        <v>0</v>
      </c>
      <c r="R279" s="2" t="inlineStr"/>
    </row>
    <row r="280" ht="15" customHeight="1">
      <c r="A280" t="inlineStr">
        <is>
          <t>A 38597-2025</t>
        </is>
      </c>
      <c r="B280" s="1" t="n">
        <v>45884.49061342593</v>
      </c>
      <c r="C280" s="1" t="n">
        <v>46033</v>
      </c>
      <c r="D280" t="inlineStr">
        <is>
          <t>VÄSTERBOTTENS LÄN</t>
        </is>
      </c>
      <c r="E280" t="inlineStr">
        <is>
          <t>VILHELMINA</t>
        </is>
      </c>
      <c r="F280" t="inlineStr">
        <is>
          <t>SCA</t>
        </is>
      </c>
      <c r="G280" t="n">
        <v>7.5</v>
      </c>
      <c r="H280" t="n">
        <v>0</v>
      </c>
      <c r="I280" t="n">
        <v>0</v>
      </c>
      <c r="J280" t="n">
        <v>0</v>
      </c>
      <c r="K280" t="n">
        <v>0</v>
      </c>
      <c r="L280" t="n">
        <v>0</v>
      </c>
      <c r="M280" t="n">
        <v>0</v>
      </c>
      <c r="N280" t="n">
        <v>0</v>
      </c>
      <c r="O280" t="n">
        <v>0</v>
      </c>
      <c r="P280" t="n">
        <v>0</v>
      </c>
      <c r="Q280" t="n">
        <v>0</v>
      </c>
      <c r="R280" s="2" t="inlineStr"/>
    </row>
    <row r="281" ht="15" customHeight="1">
      <c r="A281" t="inlineStr">
        <is>
          <t>A 51134-2024</t>
        </is>
      </c>
      <c r="B281" s="1" t="n">
        <v>45603</v>
      </c>
      <c r="C281" s="1" t="n">
        <v>46033</v>
      </c>
      <c r="D281" t="inlineStr">
        <is>
          <t>VÄSTERBOTTENS LÄN</t>
        </is>
      </c>
      <c r="E281" t="inlineStr">
        <is>
          <t>VILHELMINA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51042-2025</t>
        </is>
      </c>
      <c r="B282" s="1" t="n">
        <v>45947.42334490741</v>
      </c>
      <c r="C282" s="1" t="n">
        <v>46033</v>
      </c>
      <c r="D282" t="inlineStr">
        <is>
          <t>VÄSTERBOTTENS LÄN</t>
        </is>
      </c>
      <c r="E282" t="inlineStr">
        <is>
          <t>VILHELMINA</t>
        </is>
      </c>
      <c r="G282" t="n">
        <v>12.6</v>
      </c>
      <c r="H282" t="n">
        <v>0</v>
      </c>
      <c r="I282" t="n">
        <v>0</v>
      </c>
      <c r="J282" t="n">
        <v>0</v>
      </c>
      <c r="K282" t="n">
        <v>0</v>
      </c>
      <c r="L282" t="n">
        <v>0</v>
      </c>
      <c r="M282" t="n">
        <v>0</v>
      </c>
      <c r="N282" t="n">
        <v>0</v>
      </c>
      <c r="O282" t="n">
        <v>0</v>
      </c>
      <c r="P282" t="n">
        <v>0</v>
      </c>
      <c r="Q282" t="n">
        <v>0</v>
      </c>
      <c r="R282" s="2" t="inlineStr"/>
    </row>
    <row r="283" ht="15" customHeight="1">
      <c r="A283" t="inlineStr">
        <is>
          <t>A 46164-2023</t>
        </is>
      </c>
      <c r="B283" s="1" t="n">
        <v>45190</v>
      </c>
      <c r="C283" s="1" t="n">
        <v>46033</v>
      </c>
      <c r="D283" t="inlineStr">
        <is>
          <t>VÄSTERBOTTENS LÄN</t>
        </is>
      </c>
      <c r="E283" t="inlineStr">
        <is>
          <t>VILHELMINA</t>
        </is>
      </c>
      <c r="G283" t="n">
        <v>6.3</v>
      </c>
      <c r="H283" t="n">
        <v>0</v>
      </c>
      <c r="I283" t="n">
        <v>0</v>
      </c>
      <c r="J283" t="n">
        <v>0</v>
      </c>
      <c r="K283" t="n">
        <v>0</v>
      </c>
      <c r="L283" t="n">
        <v>0</v>
      </c>
      <c r="M283" t="n">
        <v>0</v>
      </c>
      <c r="N283" t="n">
        <v>0</v>
      </c>
      <c r="O283" t="n">
        <v>0</v>
      </c>
      <c r="P283" t="n">
        <v>0</v>
      </c>
      <c r="Q283" t="n">
        <v>0</v>
      </c>
      <c r="R283" s="2" t="inlineStr"/>
    </row>
    <row r="284" ht="15" customHeight="1">
      <c r="A284" t="inlineStr">
        <is>
          <t>A 23281-2025</t>
        </is>
      </c>
      <c r="B284" s="1" t="n">
        <v>45791.57324074074</v>
      </c>
      <c r="C284" s="1" t="n">
        <v>46033</v>
      </c>
      <c r="D284" t="inlineStr">
        <is>
          <t>VÄSTERBOTTENS LÄN</t>
        </is>
      </c>
      <c r="E284" t="inlineStr">
        <is>
          <t>VILHELMINA</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60035-2023</t>
        </is>
      </c>
      <c r="B285" s="1" t="n">
        <v>45254</v>
      </c>
      <c r="C285" s="1" t="n">
        <v>46033</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37714-2024</t>
        </is>
      </c>
      <c r="B286" s="1" t="n">
        <v>45541.63569444444</v>
      </c>
      <c r="C286" s="1" t="n">
        <v>46033</v>
      </c>
      <c r="D286" t="inlineStr">
        <is>
          <t>VÄSTERBOTTENS LÄN</t>
        </is>
      </c>
      <c r="E286" t="inlineStr">
        <is>
          <t>VILHELMINA</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37715-2024</t>
        </is>
      </c>
      <c r="B287" s="1" t="n">
        <v>45541.63581018519</v>
      </c>
      <c r="C287" s="1" t="n">
        <v>46033</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19873-2024</t>
        </is>
      </c>
      <c r="B288" s="1" t="n">
        <v>45433</v>
      </c>
      <c r="C288" s="1" t="n">
        <v>46033</v>
      </c>
      <c r="D288" t="inlineStr">
        <is>
          <t>VÄSTERBOTTENS LÄN</t>
        </is>
      </c>
      <c r="E288" t="inlineStr">
        <is>
          <t>VILHELMINA</t>
        </is>
      </c>
      <c r="G288" t="n">
        <v>8.6</v>
      </c>
      <c r="H288" t="n">
        <v>0</v>
      </c>
      <c r="I288" t="n">
        <v>0</v>
      </c>
      <c r="J288" t="n">
        <v>0</v>
      </c>
      <c r="K288" t="n">
        <v>0</v>
      </c>
      <c r="L288" t="n">
        <v>0</v>
      </c>
      <c r="M288" t="n">
        <v>0</v>
      </c>
      <c r="N288" t="n">
        <v>0</v>
      </c>
      <c r="O288" t="n">
        <v>0</v>
      </c>
      <c r="P288" t="n">
        <v>0</v>
      </c>
      <c r="Q288" t="n">
        <v>0</v>
      </c>
      <c r="R288" s="2" t="inlineStr"/>
    </row>
    <row r="289" ht="15" customHeight="1">
      <c r="A289" t="inlineStr">
        <is>
          <t>A 57470-2024</t>
        </is>
      </c>
      <c r="B289" s="1" t="n">
        <v>45630</v>
      </c>
      <c r="C289" s="1" t="n">
        <v>46033</v>
      </c>
      <c r="D289" t="inlineStr">
        <is>
          <t>VÄSTERBOTTENS LÄN</t>
        </is>
      </c>
      <c r="E289" t="inlineStr">
        <is>
          <t>VILHELMINA</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39320-2025</t>
        </is>
      </c>
      <c r="B290" s="1" t="n">
        <v>45889.46940972222</v>
      </c>
      <c r="C290" s="1" t="n">
        <v>46033</v>
      </c>
      <c r="D290" t="inlineStr">
        <is>
          <t>VÄSTERBOTTENS LÄN</t>
        </is>
      </c>
      <c r="E290" t="inlineStr">
        <is>
          <t>VILHELMINA</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47242-2024</t>
        </is>
      </c>
      <c r="B291" s="1" t="n">
        <v>45586</v>
      </c>
      <c r="C291" s="1" t="n">
        <v>46033</v>
      </c>
      <c r="D291" t="inlineStr">
        <is>
          <t>VÄSTERBOTTENS LÄN</t>
        </is>
      </c>
      <c r="E291" t="inlineStr">
        <is>
          <t>VILHELMINA</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39138-2025</t>
        </is>
      </c>
      <c r="B292" s="1" t="n">
        <v>45888.59435185185</v>
      </c>
      <c r="C292" s="1" t="n">
        <v>46033</v>
      </c>
      <c r="D292" t="inlineStr">
        <is>
          <t>VÄSTERBOTTENS LÄN</t>
        </is>
      </c>
      <c r="E292" t="inlineStr">
        <is>
          <t>VILHELMINA</t>
        </is>
      </c>
      <c r="G292" t="n">
        <v>6.7</v>
      </c>
      <c r="H292" t="n">
        <v>0</v>
      </c>
      <c r="I292" t="n">
        <v>0</v>
      </c>
      <c r="J292" t="n">
        <v>0</v>
      </c>
      <c r="K292" t="n">
        <v>0</v>
      </c>
      <c r="L292" t="n">
        <v>0</v>
      </c>
      <c r="M292" t="n">
        <v>0</v>
      </c>
      <c r="N292" t="n">
        <v>0</v>
      </c>
      <c r="O292" t="n">
        <v>0</v>
      </c>
      <c r="P292" t="n">
        <v>0</v>
      </c>
      <c r="Q292" t="n">
        <v>0</v>
      </c>
      <c r="R292" s="2" t="inlineStr"/>
    </row>
    <row r="293" ht="15" customHeight="1">
      <c r="A293" t="inlineStr">
        <is>
          <t>A 23826-2025</t>
        </is>
      </c>
      <c r="B293" s="1" t="n">
        <v>45793.59461805555</v>
      </c>
      <c r="C293" s="1" t="n">
        <v>46033</v>
      </c>
      <c r="D293" t="inlineStr">
        <is>
          <t>VÄSTERBOTTENS LÄN</t>
        </is>
      </c>
      <c r="E293" t="inlineStr">
        <is>
          <t>VILHELMINA</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23686-2025</t>
        </is>
      </c>
      <c r="B294" s="1" t="n">
        <v>45793</v>
      </c>
      <c r="C294" s="1" t="n">
        <v>46033</v>
      </c>
      <c r="D294" t="inlineStr">
        <is>
          <t>VÄSTERBOTTENS LÄN</t>
        </is>
      </c>
      <c r="E294" t="inlineStr">
        <is>
          <t>VILHELMINA</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47440-2024</t>
        </is>
      </c>
      <c r="B295" s="1" t="n">
        <v>45587</v>
      </c>
      <c r="C295" s="1" t="n">
        <v>46033</v>
      </c>
      <c r="D295" t="inlineStr">
        <is>
          <t>VÄSTERBOTTENS LÄN</t>
        </is>
      </c>
      <c r="E295" t="inlineStr">
        <is>
          <t>VILHELMINA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23764-2025</t>
        </is>
      </c>
      <c r="B296" s="1" t="n">
        <v>45793</v>
      </c>
      <c r="C296" s="1" t="n">
        <v>46033</v>
      </c>
      <c r="D296" t="inlineStr">
        <is>
          <t>VÄSTERBOTTENS LÄN</t>
        </is>
      </c>
      <c r="E296" t="inlineStr">
        <is>
          <t>VILHELMINA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39378-2025</t>
        </is>
      </c>
      <c r="B297" s="1" t="n">
        <v>45889.59453703704</v>
      </c>
      <c r="C297" s="1" t="n">
        <v>46033</v>
      </c>
      <c r="D297" t="inlineStr">
        <is>
          <t>VÄSTERBOTTENS LÄN</t>
        </is>
      </c>
      <c r="E297" t="inlineStr">
        <is>
          <t>VILHELMINA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146-2025</t>
        </is>
      </c>
      <c r="B298" s="1" t="n">
        <v>45659</v>
      </c>
      <c r="C298" s="1" t="n">
        <v>46033</v>
      </c>
      <c r="D298" t="inlineStr">
        <is>
          <t>VÄSTERBOTTENS LÄN</t>
        </is>
      </c>
      <c r="E298" t="inlineStr">
        <is>
          <t>VILHELMINA</t>
        </is>
      </c>
      <c r="F298" t="inlineStr">
        <is>
          <t>SCA</t>
        </is>
      </c>
      <c r="G298" t="n">
        <v>9.1</v>
      </c>
      <c r="H298" t="n">
        <v>0</v>
      </c>
      <c r="I298" t="n">
        <v>0</v>
      </c>
      <c r="J298" t="n">
        <v>0</v>
      </c>
      <c r="K298" t="n">
        <v>0</v>
      </c>
      <c r="L298" t="n">
        <v>0</v>
      </c>
      <c r="M298" t="n">
        <v>0</v>
      </c>
      <c r="N298" t="n">
        <v>0</v>
      </c>
      <c r="O298" t="n">
        <v>0</v>
      </c>
      <c r="P298" t="n">
        <v>0</v>
      </c>
      <c r="Q298" t="n">
        <v>0</v>
      </c>
      <c r="R298" s="2" t="inlineStr"/>
    </row>
    <row r="299" ht="15" customHeight="1">
      <c r="A299" t="inlineStr">
        <is>
          <t>A 60057-2025</t>
        </is>
      </c>
      <c r="B299" s="1" t="n">
        <v>45993.65197916667</v>
      </c>
      <c r="C299" s="1" t="n">
        <v>46033</v>
      </c>
      <c r="D299" t="inlineStr">
        <is>
          <t>VÄSTERBOTTENS LÄN</t>
        </is>
      </c>
      <c r="E299" t="inlineStr">
        <is>
          <t>VILHELMINA</t>
        </is>
      </c>
      <c r="G299" t="n">
        <v>0.6</v>
      </c>
      <c r="H299" t="n">
        <v>0</v>
      </c>
      <c r="I299" t="n">
        <v>0</v>
      </c>
      <c r="J299" t="n">
        <v>0</v>
      </c>
      <c r="K299" t="n">
        <v>0</v>
      </c>
      <c r="L299" t="n">
        <v>0</v>
      </c>
      <c r="M299" t="n">
        <v>0</v>
      </c>
      <c r="N299" t="n">
        <v>0</v>
      </c>
      <c r="O299" t="n">
        <v>0</v>
      </c>
      <c r="P299" t="n">
        <v>0</v>
      </c>
      <c r="Q299" t="n">
        <v>0</v>
      </c>
      <c r="R299" s="2" t="inlineStr"/>
    </row>
    <row r="300" ht="15" customHeight="1">
      <c r="A300" t="inlineStr">
        <is>
          <t>A 25308-2025</t>
        </is>
      </c>
      <c r="B300" s="1" t="n">
        <v>45800</v>
      </c>
      <c r="C300" s="1" t="n">
        <v>46033</v>
      </c>
      <c r="D300" t="inlineStr">
        <is>
          <t>VÄSTERBOTTENS LÄN</t>
        </is>
      </c>
      <c r="E300" t="inlineStr">
        <is>
          <t>VILHELMINA</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60065-2025</t>
        </is>
      </c>
      <c r="B301" s="1" t="n">
        <v>45993.65892361111</v>
      </c>
      <c r="C301" s="1" t="n">
        <v>46033</v>
      </c>
      <c r="D301" t="inlineStr">
        <is>
          <t>VÄSTERBOTTENS LÄN</t>
        </is>
      </c>
      <c r="E301" t="inlineStr">
        <is>
          <t>VILHELMINA</t>
        </is>
      </c>
      <c r="G301" t="n">
        <v>5.8</v>
      </c>
      <c r="H301" t="n">
        <v>0</v>
      </c>
      <c r="I301" t="n">
        <v>0</v>
      </c>
      <c r="J301" t="n">
        <v>0</v>
      </c>
      <c r="K301" t="n">
        <v>0</v>
      </c>
      <c r="L301" t="n">
        <v>0</v>
      </c>
      <c r="M301" t="n">
        <v>0</v>
      </c>
      <c r="N301" t="n">
        <v>0</v>
      </c>
      <c r="O301" t="n">
        <v>0</v>
      </c>
      <c r="P301" t="n">
        <v>0</v>
      </c>
      <c r="Q301" t="n">
        <v>0</v>
      </c>
      <c r="R301" s="2" t="inlineStr"/>
    </row>
    <row r="302" ht="15" customHeight="1">
      <c r="A302" t="inlineStr">
        <is>
          <t>A 48088-2024</t>
        </is>
      </c>
      <c r="B302" s="1" t="n">
        <v>45589</v>
      </c>
      <c r="C302" s="1" t="n">
        <v>46033</v>
      </c>
      <c r="D302" t="inlineStr">
        <is>
          <t>VÄSTERBOTTENS LÄN</t>
        </is>
      </c>
      <c r="E302" t="inlineStr">
        <is>
          <t>VILHELMINA</t>
        </is>
      </c>
      <c r="F302" t="inlineStr">
        <is>
          <t>SCA</t>
        </is>
      </c>
      <c r="G302" t="n">
        <v>6.9</v>
      </c>
      <c r="H302" t="n">
        <v>0</v>
      </c>
      <c r="I302" t="n">
        <v>0</v>
      </c>
      <c r="J302" t="n">
        <v>0</v>
      </c>
      <c r="K302" t="n">
        <v>0</v>
      </c>
      <c r="L302" t="n">
        <v>0</v>
      </c>
      <c r="M302" t="n">
        <v>0</v>
      </c>
      <c r="N302" t="n">
        <v>0</v>
      </c>
      <c r="O302" t="n">
        <v>0</v>
      </c>
      <c r="P302" t="n">
        <v>0</v>
      </c>
      <c r="Q302" t="n">
        <v>0</v>
      </c>
      <c r="R302" s="2" t="inlineStr"/>
    </row>
    <row r="303" ht="15" customHeight="1">
      <c r="A303" t="inlineStr">
        <is>
          <t>A 39035-2024</t>
        </is>
      </c>
      <c r="B303" s="1" t="n">
        <v>45548.46918981482</v>
      </c>
      <c r="C303" s="1" t="n">
        <v>46033</v>
      </c>
      <c r="D303" t="inlineStr">
        <is>
          <t>VÄSTERBOTTENS LÄN</t>
        </is>
      </c>
      <c r="E303" t="inlineStr">
        <is>
          <t>VILHELMINA</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32658-2021</t>
        </is>
      </c>
      <c r="B304" s="1" t="n">
        <v>44371</v>
      </c>
      <c r="C304" s="1" t="n">
        <v>46033</v>
      </c>
      <c r="D304" t="inlineStr">
        <is>
          <t>VÄSTERBOTTENS LÄN</t>
        </is>
      </c>
      <c r="E304" t="inlineStr">
        <is>
          <t>VILHELMINA</t>
        </is>
      </c>
      <c r="G304" t="n">
        <v>2.2</v>
      </c>
      <c r="H304" t="n">
        <v>0</v>
      </c>
      <c r="I304" t="n">
        <v>0</v>
      </c>
      <c r="J304" t="n">
        <v>0</v>
      </c>
      <c r="K304" t="n">
        <v>0</v>
      </c>
      <c r="L304" t="n">
        <v>0</v>
      </c>
      <c r="M304" t="n">
        <v>0</v>
      </c>
      <c r="N304" t="n">
        <v>0</v>
      </c>
      <c r="O304" t="n">
        <v>0</v>
      </c>
      <c r="P304" t="n">
        <v>0</v>
      </c>
      <c r="Q304" t="n">
        <v>0</v>
      </c>
      <c r="R304" s="2" t="inlineStr"/>
    </row>
    <row r="305" ht="15" customHeight="1">
      <c r="A305" t="inlineStr">
        <is>
          <t>A 17467-2025</t>
        </is>
      </c>
      <c r="B305" s="1" t="n">
        <v>45757</v>
      </c>
      <c r="C305" s="1" t="n">
        <v>46033</v>
      </c>
      <c r="D305" t="inlineStr">
        <is>
          <t>VÄSTERBOTTENS LÄN</t>
        </is>
      </c>
      <c r="E305" t="inlineStr">
        <is>
          <t>VILHELMINA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23415-2025</t>
        </is>
      </c>
      <c r="B306" s="1" t="n">
        <v>45792.34643518519</v>
      </c>
      <c r="C306" s="1" t="n">
        <v>46033</v>
      </c>
      <c r="D306" t="inlineStr">
        <is>
          <t>VÄSTERBOTTENS LÄN</t>
        </is>
      </c>
      <c r="E306" t="inlineStr">
        <is>
          <t>VILHELMINA</t>
        </is>
      </c>
      <c r="F306" t="inlineStr">
        <is>
          <t>SCA</t>
        </is>
      </c>
      <c r="G306" t="n">
        <v>36.9</v>
      </c>
      <c r="H306" t="n">
        <v>0</v>
      </c>
      <c r="I306" t="n">
        <v>0</v>
      </c>
      <c r="J306" t="n">
        <v>0</v>
      </c>
      <c r="K306" t="n">
        <v>0</v>
      </c>
      <c r="L306" t="n">
        <v>0</v>
      </c>
      <c r="M306" t="n">
        <v>0</v>
      </c>
      <c r="N306" t="n">
        <v>0</v>
      </c>
      <c r="O306" t="n">
        <v>0</v>
      </c>
      <c r="P306" t="n">
        <v>0</v>
      </c>
      <c r="Q306" t="n">
        <v>0</v>
      </c>
      <c r="R306" s="2" t="inlineStr"/>
    </row>
    <row r="307" ht="15" customHeight="1">
      <c r="A307" t="inlineStr">
        <is>
          <t>A 12784-2023</t>
        </is>
      </c>
      <c r="B307" s="1" t="n">
        <v>45000</v>
      </c>
      <c r="C307" s="1" t="n">
        <v>46033</v>
      </c>
      <c r="D307" t="inlineStr">
        <is>
          <t>VÄSTERBOTTENS LÄN</t>
        </is>
      </c>
      <c r="E307" t="inlineStr">
        <is>
          <t>VILHELMINA</t>
        </is>
      </c>
      <c r="G307" t="n">
        <v>18.6</v>
      </c>
      <c r="H307" t="n">
        <v>0</v>
      </c>
      <c r="I307" t="n">
        <v>0</v>
      </c>
      <c r="J307" t="n">
        <v>0</v>
      </c>
      <c r="K307" t="n">
        <v>0</v>
      </c>
      <c r="L307" t="n">
        <v>0</v>
      </c>
      <c r="M307" t="n">
        <v>0</v>
      </c>
      <c r="N307" t="n">
        <v>0</v>
      </c>
      <c r="O307" t="n">
        <v>0</v>
      </c>
      <c r="P307" t="n">
        <v>0</v>
      </c>
      <c r="Q307" t="n">
        <v>0</v>
      </c>
      <c r="R307" s="2" t="inlineStr"/>
    </row>
    <row r="308" ht="15" customHeight="1">
      <c r="A308" t="inlineStr">
        <is>
          <t>A 23406-2025</t>
        </is>
      </c>
      <c r="B308" s="1" t="n">
        <v>45792.34540509259</v>
      </c>
      <c r="C308" s="1" t="n">
        <v>46033</v>
      </c>
      <c r="D308" t="inlineStr">
        <is>
          <t>VÄSTERBOTTENS LÄN</t>
        </is>
      </c>
      <c r="E308" t="inlineStr">
        <is>
          <t>VILHELMINA</t>
        </is>
      </c>
      <c r="F308" t="inlineStr">
        <is>
          <t>SCA</t>
        </is>
      </c>
      <c r="G308" t="n">
        <v>15.4</v>
      </c>
      <c r="H308" t="n">
        <v>0</v>
      </c>
      <c r="I308" t="n">
        <v>0</v>
      </c>
      <c r="J308" t="n">
        <v>0</v>
      </c>
      <c r="K308" t="n">
        <v>0</v>
      </c>
      <c r="L308" t="n">
        <v>0</v>
      </c>
      <c r="M308" t="n">
        <v>0</v>
      </c>
      <c r="N308" t="n">
        <v>0</v>
      </c>
      <c r="O308" t="n">
        <v>0</v>
      </c>
      <c r="P308" t="n">
        <v>0</v>
      </c>
      <c r="Q308" t="n">
        <v>0</v>
      </c>
      <c r="R308" s="2" t="inlineStr"/>
    </row>
    <row r="309" ht="15" customHeight="1">
      <c r="A309" t="inlineStr">
        <is>
          <t>A 23459-2025</t>
        </is>
      </c>
      <c r="B309" s="1" t="n">
        <v>45792</v>
      </c>
      <c r="C309" s="1" t="n">
        <v>46033</v>
      </c>
      <c r="D309" t="inlineStr">
        <is>
          <t>VÄSTERBOTTENS LÄN</t>
        </is>
      </c>
      <c r="E309" t="inlineStr">
        <is>
          <t>VILHELMINA</t>
        </is>
      </c>
      <c r="F309" t="inlineStr">
        <is>
          <t>SCA</t>
        </is>
      </c>
      <c r="G309" t="n">
        <v>7.4</v>
      </c>
      <c r="H309" t="n">
        <v>0</v>
      </c>
      <c r="I309" t="n">
        <v>0</v>
      </c>
      <c r="J309" t="n">
        <v>0</v>
      </c>
      <c r="K309" t="n">
        <v>0</v>
      </c>
      <c r="L309" t="n">
        <v>0</v>
      </c>
      <c r="M309" t="n">
        <v>0</v>
      </c>
      <c r="N309" t="n">
        <v>0</v>
      </c>
      <c r="O309" t="n">
        <v>0</v>
      </c>
      <c r="P309" t="n">
        <v>0</v>
      </c>
      <c r="Q309" t="n">
        <v>0</v>
      </c>
      <c r="R309" s="2" t="inlineStr"/>
    </row>
    <row r="310" ht="15" customHeight="1">
      <c r="A310" t="inlineStr">
        <is>
          <t>A 23461-2025</t>
        </is>
      </c>
      <c r="B310" s="1" t="n">
        <v>45792</v>
      </c>
      <c r="C310" s="1" t="n">
        <v>46033</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48062-2024</t>
        </is>
      </c>
      <c r="B311" s="1" t="n">
        <v>45589</v>
      </c>
      <c r="C311" s="1" t="n">
        <v>46033</v>
      </c>
      <c r="D311" t="inlineStr">
        <is>
          <t>VÄSTERBOTTENS LÄN</t>
        </is>
      </c>
      <c r="E311" t="inlineStr">
        <is>
          <t>VILHELMINA</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47548-2024</t>
        </is>
      </c>
      <c r="B312" s="1" t="n">
        <v>45587</v>
      </c>
      <c r="C312" s="1" t="n">
        <v>46033</v>
      </c>
      <c r="D312" t="inlineStr">
        <is>
          <t>VÄSTERBOTTENS LÄN</t>
        </is>
      </c>
      <c r="E312" t="inlineStr">
        <is>
          <t>VILHELMINA</t>
        </is>
      </c>
      <c r="F312" t="inlineStr">
        <is>
          <t>SCA</t>
        </is>
      </c>
      <c r="G312" t="n">
        <v>7.7</v>
      </c>
      <c r="H312" t="n">
        <v>0</v>
      </c>
      <c r="I312" t="n">
        <v>0</v>
      </c>
      <c r="J312" t="n">
        <v>0</v>
      </c>
      <c r="K312" t="n">
        <v>0</v>
      </c>
      <c r="L312" t="n">
        <v>0</v>
      </c>
      <c r="M312" t="n">
        <v>0</v>
      </c>
      <c r="N312" t="n">
        <v>0</v>
      </c>
      <c r="O312" t="n">
        <v>0</v>
      </c>
      <c r="P312" t="n">
        <v>0</v>
      </c>
      <c r="Q312" t="n">
        <v>0</v>
      </c>
      <c r="R312" s="2" t="inlineStr"/>
    </row>
    <row r="313" ht="15" customHeight="1">
      <c r="A313" t="inlineStr">
        <is>
          <t>A 39571-2025</t>
        </is>
      </c>
      <c r="B313" s="1" t="n">
        <v>45890.49021990741</v>
      </c>
      <c r="C313" s="1" t="n">
        <v>46033</v>
      </c>
      <c r="D313" t="inlineStr">
        <is>
          <t>VÄSTERBOTTENS LÄN</t>
        </is>
      </c>
      <c r="E313" t="inlineStr">
        <is>
          <t>VILHELMINA</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39558-2025</t>
        </is>
      </c>
      <c r="B314" s="1" t="n">
        <v>45890.46978009259</v>
      </c>
      <c r="C314" s="1" t="n">
        <v>46033</v>
      </c>
      <c r="D314" t="inlineStr">
        <is>
          <t>VÄSTERBOTTENS LÄN</t>
        </is>
      </c>
      <c r="E314" t="inlineStr">
        <is>
          <t>VILHELMINA</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39533-2025</t>
        </is>
      </c>
      <c r="B315" s="1" t="n">
        <v>45890.44863425926</v>
      </c>
      <c r="C315" s="1" t="n">
        <v>46033</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57324-2022</t>
        </is>
      </c>
      <c r="B316" s="1" t="n">
        <v>44889</v>
      </c>
      <c r="C316" s="1" t="n">
        <v>46033</v>
      </c>
      <c r="D316" t="inlineStr">
        <is>
          <t>VÄSTERBOTTENS LÄN</t>
        </is>
      </c>
      <c r="E316" t="inlineStr">
        <is>
          <t>VILHELMINA</t>
        </is>
      </c>
      <c r="G316" t="n">
        <v>1.7</v>
      </c>
      <c r="H316" t="n">
        <v>0</v>
      </c>
      <c r="I316" t="n">
        <v>0</v>
      </c>
      <c r="J316" t="n">
        <v>0</v>
      </c>
      <c r="K316" t="n">
        <v>0</v>
      </c>
      <c r="L316" t="n">
        <v>0</v>
      </c>
      <c r="M316" t="n">
        <v>0</v>
      </c>
      <c r="N316" t="n">
        <v>0</v>
      </c>
      <c r="O316" t="n">
        <v>0</v>
      </c>
      <c r="P316" t="n">
        <v>0</v>
      </c>
      <c r="Q316" t="n">
        <v>0</v>
      </c>
      <c r="R316" s="2" t="inlineStr"/>
    </row>
    <row r="317" ht="15" customHeight="1">
      <c r="A317" t="inlineStr">
        <is>
          <t>A 39534-2025</t>
        </is>
      </c>
      <c r="B317" s="1" t="n">
        <v>45890.44875</v>
      </c>
      <c r="C317" s="1" t="n">
        <v>46033</v>
      </c>
      <c r="D317" t="inlineStr">
        <is>
          <t>VÄSTERBOTTENS LÄN</t>
        </is>
      </c>
      <c r="E317" t="inlineStr">
        <is>
          <t>VILHELMINA</t>
        </is>
      </c>
      <c r="F317" t="inlineStr">
        <is>
          <t>SCA</t>
        </is>
      </c>
      <c r="G317" t="n">
        <v>0.7</v>
      </c>
      <c r="H317" t="n">
        <v>0</v>
      </c>
      <c r="I317" t="n">
        <v>0</v>
      </c>
      <c r="J317" t="n">
        <v>0</v>
      </c>
      <c r="K317" t="n">
        <v>0</v>
      </c>
      <c r="L317" t="n">
        <v>0</v>
      </c>
      <c r="M317" t="n">
        <v>0</v>
      </c>
      <c r="N317" t="n">
        <v>0</v>
      </c>
      <c r="O317" t="n">
        <v>0</v>
      </c>
      <c r="P317" t="n">
        <v>0</v>
      </c>
      <c r="Q317" t="n">
        <v>0</v>
      </c>
      <c r="R317" s="2" t="inlineStr"/>
    </row>
    <row r="318" ht="15" customHeight="1">
      <c r="A318" t="inlineStr">
        <is>
          <t>A 55326-2023</t>
        </is>
      </c>
      <c r="B318" s="1" t="n">
        <v>45237.97364583334</v>
      </c>
      <c r="C318" s="1" t="n">
        <v>46033</v>
      </c>
      <c r="D318" t="inlineStr">
        <is>
          <t>VÄSTERBOTTENS LÄN</t>
        </is>
      </c>
      <c r="E318" t="inlineStr">
        <is>
          <t>VILHELMINA</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10548-2022</t>
        </is>
      </c>
      <c r="B319" s="1" t="n">
        <v>44623</v>
      </c>
      <c r="C319" s="1" t="n">
        <v>46033</v>
      </c>
      <c r="D319" t="inlineStr">
        <is>
          <t>VÄSTERBOTTENS LÄN</t>
        </is>
      </c>
      <c r="E319" t="inlineStr">
        <is>
          <t>VILHELMINA</t>
        </is>
      </c>
      <c r="F319" t="inlineStr">
        <is>
          <t>SCA</t>
        </is>
      </c>
      <c r="G319" t="n">
        <v>11.5</v>
      </c>
      <c r="H319" t="n">
        <v>0</v>
      </c>
      <c r="I319" t="n">
        <v>0</v>
      </c>
      <c r="J319" t="n">
        <v>0</v>
      </c>
      <c r="K319" t="n">
        <v>0</v>
      </c>
      <c r="L319" t="n">
        <v>0</v>
      </c>
      <c r="M319" t="n">
        <v>0</v>
      </c>
      <c r="N319" t="n">
        <v>0</v>
      </c>
      <c r="O319" t="n">
        <v>0</v>
      </c>
      <c r="P319" t="n">
        <v>0</v>
      </c>
      <c r="Q319" t="n">
        <v>0</v>
      </c>
      <c r="R319" s="2" t="inlineStr"/>
    </row>
    <row r="320" ht="15" customHeight="1">
      <c r="A320" t="inlineStr">
        <is>
          <t>A 40220-2025</t>
        </is>
      </c>
      <c r="B320" s="1" t="n">
        <v>45894</v>
      </c>
      <c r="C320" s="1" t="n">
        <v>46033</v>
      </c>
      <c r="D320" t="inlineStr">
        <is>
          <t>VÄSTERBOTTENS LÄN</t>
        </is>
      </c>
      <c r="E320" t="inlineStr">
        <is>
          <t>VILHELMINA</t>
        </is>
      </c>
      <c r="G320" t="n">
        <v>4.6</v>
      </c>
      <c r="H320" t="n">
        <v>0</v>
      </c>
      <c r="I320" t="n">
        <v>0</v>
      </c>
      <c r="J320" t="n">
        <v>0</v>
      </c>
      <c r="K320" t="n">
        <v>0</v>
      </c>
      <c r="L320" t="n">
        <v>0</v>
      </c>
      <c r="M320" t="n">
        <v>0</v>
      </c>
      <c r="N320" t="n">
        <v>0</v>
      </c>
      <c r="O320" t="n">
        <v>0</v>
      </c>
      <c r="P320" t="n">
        <v>0</v>
      </c>
      <c r="Q320" t="n">
        <v>0</v>
      </c>
      <c r="R320" s="2" t="inlineStr"/>
    </row>
    <row r="321" ht="15" customHeight="1">
      <c r="A321" t="inlineStr">
        <is>
          <t>A 40196-2025</t>
        </is>
      </c>
      <c r="B321" s="1" t="n">
        <v>45894.65951388889</v>
      </c>
      <c r="C321" s="1" t="n">
        <v>46033</v>
      </c>
      <c r="D321" t="inlineStr">
        <is>
          <t>VÄSTERBOTTENS LÄN</t>
        </is>
      </c>
      <c r="E321" t="inlineStr">
        <is>
          <t>VILHELMINA</t>
        </is>
      </c>
      <c r="G321" t="n">
        <v>23.3</v>
      </c>
      <c r="H321" t="n">
        <v>0</v>
      </c>
      <c r="I321" t="n">
        <v>0</v>
      </c>
      <c r="J321" t="n">
        <v>0</v>
      </c>
      <c r="K321" t="n">
        <v>0</v>
      </c>
      <c r="L321" t="n">
        <v>0</v>
      </c>
      <c r="M321" t="n">
        <v>0</v>
      </c>
      <c r="N321" t="n">
        <v>0</v>
      </c>
      <c r="O321" t="n">
        <v>0</v>
      </c>
      <c r="P321" t="n">
        <v>0</v>
      </c>
      <c r="Q321" t="n">
        <v>0</v>
      </c>
      <c r="R321" s="2" t="inlineStr"/>
    </row>
    <row r="322" ht="15" customHeight="1">
      <c r="A322" t="inlineStr">
        <is>
          <t>A 42976-2024</t>
        </is>
      </c>
      <c r="B322" s="1" t="n">
        <v>45567.37387731481</v>
      </c>
      <c r="C322" s="1" t="n">
        <v>46033</v>
      </c>
      <c r="D322" t="inlineStr">
        <is>
          <t>VÄSTERBOTTENS LÄN</t>
        </is>
      </c>
      <c r="E322" t="inlineStr">
        <is>
          <t>VILHELMINA</t>
        </is>
      </c>
      <c r="F322" t="inlineStr">
        <is>
          <t>SCA</t>
        </is>
      </c>
      <c r="G322" t="n">
        <v>20.6</v>
      </c>
      <c r="H322" t="n">
        <v>0</v>
      </c>
      <c r="I322" t="n">
        <v>0</v>
      </c>
      <c r="J322" t="n">
        <v>0</v>
      </c>
      <c r="K322" t="n">
        <v>0</v>
      </c>
      <c r="L322" t="n">
        <v>0</v>
      </c>
      <c r="M322" t="n">
        <v>0</v>
      </c>
      <c r="N322" t="n">
        <v>0</v>
      </c>
      <c r="O322" t="n">
        <v>0</v>
      </c>
      <c r="P322" t="n">
        <v>0</v>
      </c>
      <c r="Q322" t="n">
        <v>0</v>
      </c>
      <c r="R322" s="2" t="inlineStr"/>
    </row>
    <row r="323" ht="15" customHeight="1">
      <c r="A323" t="inlineStr">
        <is>
          <t>A 24224-2025</t>
        </is>
      </c>
      <c r="B323" s="1" t="n">
        <v>45797</v>
      </c>
      <c r="C323" s="1" t="n">
        <v>46033</v>
      </c>
      <c r="D323" t="inlineStr">
        <is>
          <t>VÄSTERBOTTENS LÄN</t>
        </is>
      </c>
      <c r="E323" t="inlineStr">
        <is>
          <t>VILHELMINA</t>
        </is>
      </c>
      <c r="G323" t="n">
        <v>27.2</v>
      </c>
      <c r="H323" t="n">
        <v>0</v>
      </c>
      <c r="I323" t="n">
        <v>0</v>
      </c>
      <c r="J323" t="n">
        <v>0</v>
      </c>
      <c r="K323" t="n">
        <v>0</v>
      </c>
      <c r="L323" t="n">
        <v>0</v>
      </c>
      <c r="M323" t="n">
        <v>0</v>
      </c>
      <c r="N323" t="n">
        <v>0</v>
      </c>
      <c r="O323" t="n">
        <v>0</v>
      </c>
      <c r="P323" t="n">
        <v>0</v>
      </c>
      <c r="Q323" t="n">
        <v>0</v>
      </c>
      <c r="R323" s="2" t="inlineStr"/>
    </row>
    <row r="324" ht="15" customHeight="1">
      <c r="A324" t="inlineStr">
        <is>
          <t>A 33319-2024</t>
        </is>
      </c>
      <c r="B324" s="1" t="n">
        <v>45518</v>
      </c>
      <c r="C324" s="1" t="n">
        <v>46033</v>
      </c>
      <c r="D324" t="inlineStr">
        <is>
          <t>VÄSTERBOTTENS LÄN</t>
        </is>
      </c>
      <c r="E324" t="inlineStr">
        <is>
          <t>VILHELMINA</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35760-2023</t>
        </is>
      </c>
      <c r="B325" s="1" t="n">
        <v>45147</v>
      </c>
      <c r="C325" s="1" t="n">
        <v>46033</v>
      </c>
      <c r="D325" t="inlineStr">
        <is>
          <t>VÄSTERBOTTENS LÄN</t>
        </is>
      </c>
      <c r="E325" t="inlineStr">
        <is>
          <t>VILHELMINA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10833-2022</t>
        </is>
      </c>
      <c r="B326" s="1" t="n">
        <v>44627</v>
      </c>
      <c r="C326" s="1" t="n">
        <v>46033</v>
      </c>
      <c r="D326" t="inlineStr">
        <is>
          <t>VÄSTERBOTTENS LÄN</t>
        </is>
      </c>
      <c r="E326" t="inlineStr">
        <is>
          <t>VILHELMINA</t>
        </is>
      </c>
      <c r="G326" t="n">
        <v>5.4</v>
      </c>
      <c r="H326" t="n">
        <v>0</v>
      </c>
      <c r="I326" t="n">
        <v>0</v>
      </c>
      <c r="J326" t="n">
        <v>0</v>
      </c>
      <c r="K326" t="n">
        <v>0</v>
      </c>
      <c r="L326" t="n">
        <v>0</v>
      </c>
      <c r="M326" t="n">
        <v>0</v>
      </c>
      <c r="N326" t="n">
        <v>0</v>
      </c>
      <c r="O326" t="n">
        <v>0</v>
      </c>
      <c r="P326" t="n">
        <v>0</v>
      </c>
      <c r="Q326" t="n">
        <v>0</v>
      </c>
      <c r="R326" s="2" t="inlineStr"/>
    </row>
    <row r="327" ht="15" customHeight="1">
      <c r="A327" t="inlineStr">
        <is>
          <t>A 28656-2024</t>
        </is>
      </c>
      <c r="B327" s="1" t="n">
        <v>45478</v>
      </c>
      <c r="C327" s="1" t="n">
        <v>46033</v>
      </c>
      <c r="D327" t="inlineStr">
        <is>
          <t>VÄSTERBOTTENS LÄN</t>
        </is>
      </c>
      <c r="E327" t="inlineStr">
        <is>
          <t>VILHELMINA</t>
        </is>
      </c>
      <c r="F327" t="inlineStr">
        <is>
          <t>Allmännings- och besparingsskogar</t>
        </is>
      </c>
      <c r="G327" t="n">
        <v>1.6</v>
      </c>
      <c r="H327" t="n">
        <v>0</v>
      </c>
      <c r="I327" t="n">
        <v>0</v>
      </c>
      <c r="J327" t="n">
        <v>0</v>
      </c>
      <c r="K327" t="n">
        <v>0</v>
      </c>
      <c r="L327" t="n">
        <v>0</v>
      </c>
      <c r="M327" t="n">
        <v>0</v>
      </c>
      <c r="N327" t="n">
        <v>0</v>
      </c>
      <c r="O327" t="n">
        <v>0</v>
      </c>
      <c r="P327" t="n">
        <v>0</v>
      </c>
      <c r="Q327" t="n">
        <v>0</v>
      </c>
      <c r="R327" s="2" t="inlineStr"/>
    </row>
    <row r="328" ht="15" customHeight="1">
      <c r="A328" t="inlineStr">
        <is>
          <t>A 43791-2024</t>
        </is>
      </c>
      <c r="B328" s="1" t="n">
        <v>45571</v>
      </c>
      <c r="C328" s="1" t="n">
        <v>46033</v>
      </c>
      <c r="D328" t="inlineStr">
        <is>
          <t>VÄSTERBOTTENS LÄN</t>
        </is>
      </c>
      <c r="E328" t="inlineStr">
        <is>
          <t>VILHELMINA</t>
        </is>
      </c>
      <c r="G328" t="n">
        <v>30.3</v>
      </c>
      <c r="H328" t="n">
        <v>0</v>
      </c>
      <c r="I328" t="n">
        <v>0</v>
      </c>
      <c r="J328" t="n">
        <v>0</v>
      </c>
      <c r="K328" t="n">
        <v>0</v>
      </c>
      <c r="L328" t="n">
        <v>0</v>
      </c>
      <c r="M328" t="n">
        <v>0</v>
      </c>
      <c r="N328" t="n">
        <v>0</v>
      </c>
      <c r="O328" t="n">
        <v>0</v>
      </c>
      <c r="P328" t="n">
        <v>0</v>
      </c>
      <c r="Q328" t="n">
        <v>0</v>
      </c>
      <c r="R328" s="2" t="inlineStr"/>
    </row>
    <row r="329" ht="15" customHeight="1">
      <c r="A329" t="inlineStr">
        <is>
          <t>A 43792-2024</t>
        </is>
      </c>
      <c r="B329" s="1" t="n">
        <v>45571</v>
      </c>
      <c r="C329" s="1" t="n">
        <v>46033</v>
      </c>
      <c r="D329" t="inlineStr">
        <is>
          <t>VÄSTERBOTTENS LÄN</t>
        </is>
      </c>
      <c r="E329" t="inlineStr">
        <is>
          <t>VILHELMINA</t>
        </is>
      </c>
      <c r="G329" t="n">
        <v>25.3</v>
      </c>
      <c r="H329" t="n">
        <v>0</v>
      </c>
      <c r="I329" t="n">
        <v>0</v>
      </c>
      <c r="J329" t="n">
        <v>0</v>
      </c>
      <c r="K329" t="n">
        <v>0</v>
      </c>
      <c r="L329" t="n">
        <v>0</v>
      </c>
      <c r="M329" t="n">
        <v>0</v>
      </c>
      <c r="N329" t="n">
        <v>0</v>
      </c>
      <c r="O329" t="n">
        <v>0</v>
      </c>
      <c r="P329" t="n">
        <v>0</v>
      </c>
      <c r="Q329" t="n">
        <v>0</v>
      </c>
      <c r="R329" s="2" t="inlineStr"/>
    </row>
    <row r="330" ht="15" customHeight="1">
      <c r="A330" t="inlineStr">
        <is>
          <t>A 25062-2025</t>
        </is>
      </c>
      <c r="B330" s="1" t="n">
        <v>45799.69844907407</v>
      </c>
      <c r="C330" s="1" t="n">
        <v>46033</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46033</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8718-2025</t>
        </is>
      </c>
      <c r="B332" s="1" t="n">
        <v>45712</v>
      </c>
      <c r="C332" s="1" t="n">
        <v>46033</v>
      </c>
      <c r="D332" t="inlineStr">
        <is>
          <t>VÄSTERBOTTENS LÄN</t>
        </is>
      </c>
      <c r="E332" t="inlineStr">
        <is>
          <t>VILHELMINA</t>
        </is>
      </c>
      <c r="G332" t="n">
        <v>21.3</v>
      </c>
      <c r="H332" t="n">
        <v>0</v>
      </c>
      <c r="I332" t="n">
        <v>0</v>
      </c>
      <c r="J332" t="n">
        <v>0</v>
      </c>
      <c r="K332" t="n">
        <v>0</v>
      </c>
      <c r="L332" t="n">
        <v>0</v>
      </c>
      <c r="M332" t="n">
        <v>0</v>
      </c>
      <c r="N332" t="n">
        <v>0</v>
      </c>
      <c r="O332" t="n">
        <v>0</v>
      </c>
      <c r="P332" t="n">
        <v>0</v>
      </c>
      <c r="Q332" t="n">
        <v>0</v>
      </c>
      <c r="R332" s="2" t="inlineStr"/>
    </row>
    <row r="333" ht="15" customHeight="1">
      <c r="A333" t="inlineStr">
        <is>
          <t>A 36215-2023</t>
        </is>
      </c>
      <c r="B333" s="1" t="n">
        <v>45149.95266203704</v>
      </c>
      <c r="C333" s="1" t="n">
        <v>46033</v>
      </c>
      <c r="D333" t="inlineStr">
        <is>
          <t>VÄSTERBOTTENS LÄN</t>
        </is>
      </c>
      <c r="E333" t="inlineStr">
        <is>
          <t>VILHELMINA</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24871-2025</t>
        </is>
      </c>
      <c r="B334" s="1" t="n">
        <v>45799.49028935185</v>
      </c>
      <c r="C334" s="1" t="n">
        <v>46033</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13557-2024</t>
        </is>
      </c>
      <c r="B335" s="1" t="n">
        <v>45388</v>
      </c>
      <c r="C335" s="1" t="n">
        <v>46033</v>
      </c>
      <c r="D335" t="inlineStr">
        <is>
          <t>VÄSTERBOTTENS LÄN</t>
        </is>
      </c>
      <c r="E335" t="inlineStr">
        <is>
          <t>VILHELMINA</t>
        </is>
      </c>
      <c r="G335" t="n">
        <v>11.2</v>
      </c>
      <c r="H335" t="n">
        <v>0</v>
      </c>
      <c r="I335" t="n">
        <v>0</v>
      </c>
      <c r="J335" t="n">
        <v>0</v>
      </c>
      <c r="K335" t="n">
        <v>0</v>
      </c>
      <c r="L335" t="n">
        <v>0</v>
      </c>
      <c r="M335" t="n">
        <v>0</v>
      </c>
      <c r="N335" t="n">
        <v>0</v>
      </c>
      <c r="O335" t="n">
        <v>0</v>
      </c>
      <c r="P335" t="n">
        <v>0</v>
      </c>
      <c r="Q335" t="n">
        <v>0</v>
      </c>
      <c r="R335" s="2" t="inlineStr"/>
    </row>
    <row r="336" ht="15" customHeight="1">
      <c r="A336" t="inlineStr">
        <is>
          <t>A 56396-2022</t>
        </is>
      </c>
      <c r="B336" s="1" t="n">
        <v>44890</v>
      </c>
      <c r="C336" s="1" t="n">
        <v>46033</v>
      </c>
      <c r="D336" t="inlineStr">
        <is>
          <t>VÄSTERBOTTENS LÄN</t>
        </is>
      </c>
      <c r="E336" t="inlineStr">
        <is>
          <t>VILHELMINA</t>
        </is>
      </c>
      <c r="G336" t="n">
        <v>1.6</v>
      </c>
      <c r="H336" t="n">
        <v>0</v>
      </c>
      <c r="I336" t="n">
        <v>0</v>
      </c>
      <c r="J336" t="n">
        <v>0</v>
      </c>
      <c r="K336" t="n">
        <v>0</v>
      </c>
      <c r="L336" t="n">
        <v>0</v>
      </c>
      <c r="M336" t="n">
        <v>0</v>
      </c>
      <c r="N336" t="n">
        <v>0</v>
      </c>
      <c r="O336" t="n">
        <v>0</v>
      </c>
      <c r="P336" t="n">
        <v>0</v>
      </c>
      <c r="Q336" t="n">
        <v>0</v>
      </c>
      <c r="R336" s="2" t="inlineStr"/>
    </row>
    <row r="337" ht="15" customHeight="1">
      <c r="A337" t="inlineStr">
        <is>
          <t>A 24870-2025</t>
        </is>
      </c>
      <c r="B337" s="1" t="n">
        <v>45799.49025462963</v>
      </c>
      <c r="C337" s="1" t="n">
        <v>46033</v>
      </c>
      <c r="D337" t="inlineStr">
        <is>
          <t>VÄSTERBOTTENS LÄN</t>
        </is>
      </c>
      <c r="E337" t="inlineStr">
        <is>
          <t>VILHELMINA</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56847-2023</t>
        </is>
      </c>
      <c r="B338" s="1" t="n">
        <v>45238</v>
      </c>
      <c r="C338" s="1" t="n">
        <v>46033</v>
      </c>
      <c r="D338" t="inlineStr">
        <is>
          <t>VÄSTERBOTTENS LÄN</t>
        </is>
      </c>
      <c r="E338" t="inlineStr">
        <is>
          <t>VILHELMINA</t>
        </is>
      </c>
      <c r="F338" t="inlineStr">
        <is>
          <t>Allmännings- och besparingsskogar</t>
        </is>
      </c>
      <c r="G338" t="n">
        <v>41</v>
      </c>
      <c r="H338" t="n">
        <v>0</v>
      </c>
      <c r="I338" t="n">
        <v>0</v>
      </c>
      <c r="J338" t="n">
        <v>0</v>
      </c>
      <c r="K338" t="n">
        <v>0</v>
      </c>
      <c r="L338" t="n">
        <v>0</v>
      </c>
      <c r="M338" t="n">
        <v>0</v>
      </c>
      <c r="N338" t="n">
        <v>0</v>
      </c>
      <c r="O338" t="n">
        <v>0</v>
      </c>
      <c r="P338" t="n">
        <v>0</v>
      </c>
      <c r="Q338" t="n">
        <v>0</v>
      </c>
      <c r="R338" s="2" t="inlineStr"/>
    </row>
    <row r="339" ht="15" customHeight="1">
      <c r="A339" t="inlineStr">
        <is>
          <t>A 58207-2022</t>
        </is>
      </c>
      <c r="B339" s="1" t="n">
        <v>44901</v>
      </c>
      <c r="C339" s="1" t="n">
        <v>46033</v>
      </c>
      <c r="D339" t="inlineStr">
        <is>
          <t>VÄSTERBOTTENS LÄN</t>
        </is>
      </c>
      <c r="E339" t="inlineStr">
        <is>
          <t>VILHELMINA</t>
        </is>
      </c>
      <c r="G339" t="n">
        <v>143.2</v>
      </c>
      <c r="H339" t="n">
        <v>0</v>
      </c>
      <c r="I339" t="n">
        <v>0</v>
      </c>
      <c r="J339" t="n">
        <v>0</v>
      </c>
      <c r="K339" t="n">
        <v>0</v>
      </c>
      <c r="L339" t="n">
        <v>0</v>
      </c>
      <c r="M339" t="n">
        <v>0</v>
      </c>
      <c r="N339" t="n">
        <v>0</v>
      </c>
      <c r="O339" t="n">
        <v>0</v>
      </c>
      <c r="P339" t="n">
        <v>0</v>
      </c>
      <c r="Q339" t="n">
        <v>0</v>
      </c>
      <c r="R339" s="2" t="inlineStr"/>
    </row>
    <row r="340" ht="15" customHeight="1">
      <c r="A340" t="inlineStr">
        <is>
          <t>A 51704-2025</t>
        </is>
      </c>
      <c r="B340" s="1" t="n">
        <v>45951.55436342592</v>
      </c>
      <c r="C340" s="1" t="n">
        <v>46033</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60069-2025</t>
        </is>
      </c>
      <c r="B341" s="1" t="n">
        <v>45993.66409722222</v>
      </c>
      <c r="C341" s="1" t="n">
        <v>46033</v>
      </c>
      <c r="D341" t="inlineStr">
        <is>
          <t>VÄSTERBOTTENS LÄN</t>
        </is>
      </c>
      <c r="E341" t="inlineStr">
        <is>
          <t>VILHELMINA</t>
        </is>
      </c>
      <c r="G341" t="n">
        <v>2.6</v>
      </c>
      <c r="H341" t="n">
        <v>0</v>
      </c>
      <c r="I341" t="n">
        <v>0</v>
      </c>
      <c r="J341" t="n">
        <v>0</v>
      </c>
      <c r="K341" t="n">
        <v>0</v>
      </c>
      <c r="L341" t="n">
        <v>0</v>
      </c>
      <c r="M341" t="n">
        <v>0</v>
      </c>
      <c r="N341" t="n">
        <v>0</v>
      </c>
      <c r="O341" t="n">
        <v>0</v>
      </c>
      <c r="P341" t="n">
        <v>0</v>
      </c>
      <c r="Q341" t="n">
        <v>0</v>
      </c>
      <c r="R341" s="2" t="inlineStr"/>
    </row>
    <row r="342" ht="15" customHeight="1">
      <c r="A342" t="inlineStr">
        <is>
          <t>A 41171-2025</t>
        </is>
      </c>
      <c r="B342" s="1" t="n">
        <v>45898</v>
      </c>
      <c r="C342" s="1" t="n">
        <v>46033</v>
      </c>
      <c r="D342" t="inlineStr">
        <is>
          <t>VÄSTERBOTTENS LÄN</t>
        </is>
      </c>
      <c r="E342" t="inlineStr">
        <is>
          <t>VILHELMINA</t>
        </is>
      </c>
      <c r="F342" t="inlineStr">
        <is>
          <t>Övriga Aktiebolag</t>
        </is>
      </c>
      <c r="G342" t="n">
        <v>5.6</v>
      </c>
      <c r="H342" t="n">
        <v>0</v>
      </c>
      <c r="I342" t="n">
        <v>0</v>
      </c>
      <c r="J342" t="n">
        <v>0</v>
      </c>
      <c r="K342" t="n">
        <v>0</v>
      </c>
      <c r="L342" t="n">
        <v>0</v>
      </c>
      <c r="M342" t="n">
        <v>0</v>
      </c>
      <c r="N342" t="n">
        <v>0</v>
      </c>
      <c r="O342" t="n">
        <v>0</v>
      </c>
      <c r="P342" t="n">
        <v>0</v>
      </c>
      <c r="Q342" t="n">
        <v>0</v>
      </c>
      <c r="R342" s="2" t="inlineStr"/>
    </row>
    <row r="343" ht="15" customHeight="1">
      <c r="A343" t="inlineStr">
        <is>
          <t>A 60075-2025</t>
        </is>
      </c>
      <c r="B343" s="1" t="n">
        <v>45993.67761574074</v>
      </c>
      <c r="C343" s="1" t="n">
        <v>46033</v>
      </c>
      <c r="D343" t="inlineStr">
        <is>
          <t>VÄSTERBOTTENS LÄN</t>
        </is>
      </c>
      <c r="E343" t="inlineStr">
        <is>
          <t>VILHELMINA</t>
        </is>
      </c>
      <c r="G343" t="n">
        <v>36.9</v>
      </c>
      <c r="H343" t="n">
        <v>0</v>
      </c>
      <c r="I343" t="n">
        <v>0</v>
      </c>
      <c r="J343" t="n">
        <v>0</v>
      </c>
      <c r="K343" t="n">
        <v>0</v>
      </c>
      <c r="L343" t="n">
        <v>0</v>
      </c>
      <c r="M343" t="n">
        <v>0</v>
      </c>
      <c r="N343" t="n">
        <v>0</v>
      </c>
      <c r="O343" t="n">
        <v>0</v>
      </c>
      <c r="P343" t="n">
        <v>0</v>
      </c>
      <c r="Q343" t="n">
        <v>0</v>
      </c>
      <c r="R343" s="2" t="inlineStr"/>
    </row>
    <row r="344" ht="15" customHeight="1">
      <c r="A344" t="inlineStr">
        <is>
          <t>A 402-2023</t>
        </is>
      </c>
      <c r="B344" s="1" t="n">
        <v>44923</v>
      </c>
      <c r="C344" s="1" t="n">
        <v>46033</v>
      </c>
      <c r="D344" t="inlineStr">
        <is>
          <t>VÄSTERBOTTENS LÄN</t>
        </is>
      </c>
      <c r="E344" t="inlineStr">
        <is>
          <t>VILHELMINA</t>
        </is>
      </c>
      <c r="G344" t="n">
        <v>14.7</v>
      </c>
      <c r="H344" t="n">
        <v>0</v>
      </c>
      <c r="I344" t="n">
        <v>0</v>
      </c>
      <c r="J344" t="n">
        <v>0</v>
      </c>
      <c r="K344" t="n">
        <v>0</v>
      </c>
      <c r="L344" t="n">
        <v>0</v>
      </c>
      <c r="M344" t="n">
        <v>0</v>
      </c>
      <c r="N344" t="n">
        <v>0</v>
      </c>
      <c r="O344" t="n">
        <v>0</v>
      </c>
      <c r="P344" t="n">
        <v>0</v>
      </c>
      <c r="Q344" t="n">
        <v>0</v>
      </c>
      <c r="R344" s="2" t="inlineStr"/>
    </row>
    <row r="345" ht="15" customHeight="1">
      <c r="A345" t="inlineStr">
        <is>
          <t>A 2382-2023</t>
        </is>
      </c>
      <c r="B345" s="1" t="n">
        <v>44942</v>
      </c>
      <c r="C345" s="1" t="n">
        <v>46033</v>
      </c>
      <c r="D345" t="inlineStr">
        <is>
          <t>VÄSTERBOTTENS LÄN</t>
        </is>
      </c>
      <c r="E345" t="inlineStr">
        <is>
          <t>VILHELMINA</t>
        </is>
      </c>
      <c r="G345" t="n">
        <v>29.7</v>
      </c>
      <c r="H345" t="n">
        <v>0</v>
      </c>
      <c r="I345" t="n">
        <v>0</v>
      </c>
      <c r="J345" t="n">
        <v>0</v>
      </c>
      <c r="K345" t="n">
        <v>0</v>
      </c>
      <c r="L345" t="n">
        <v>0</v>
      </c>
      <c r="M345" t="n">
        <v>0</v>
      </c>
      <c r="N345" t="n">
        <v>0</v>
      </c>
      <c r="O345" t="n">
        <v>0</v>
      </c>
      <c r="P345" t="n">
        <v>0</v>
      </c>
      <c r="Q345" t="n">
        <v>0</v>
      </c>
      <c r="R345" s="2" t="inlineStr"/>
    </row>
    <row r="346" ht="15" customHeight="1">
      <c r="A346" t="inlineStr">
        <is>
          <t>A 8578-2025</t>
        </is>
      </c>
      <c r="B346" s="1" t="n">
        <v>45709</v>
      </c>
      <c r="C346" s="1" t="n">
        <v>46033</v>
      </c>
      <c r="D346" t="inlineStr">
        <is>
          <t>VÄSTERBOTTENS LÄN</t>
        </is>
      </c>
      <c r="E346" t="inlineStr">
        <is>
          <t>VILHELMINA</t>
        </is>
      </c>
      <c r="G346" t="n">
        <v>3.5</v>
      </c>
      <c r="H346" t="n">
        <v>0</v>
      </c>
      <c r="I346" t="n">
        <v>0</v>
      </c>
      <c r="J346" t="n">
        <v>0</v>
      </c>
      <c r="K346" t="n">
        <v>0</v>
      </c>
      <c r="L346" t="n">
        <v>0</v>
      </c>
      <c r="M346" t="n">
        <v>0</v>
      </c>
      <c r="N346" t="n">
        <v>0</v>
      </c>
      <c r="O346" t="n">
        <v>0</v>
      </c>
      <c r="P346" t="n">
        <v>0</v>
      </c>
      <c r="Q346" t="n">
        <v>0</v>
      </c>
      <c r="R346" s="2" t="inlineStr"/>
    </row>
    <row r="347" ht="15" customHeight="1">
      <c r="A347" t="inlineStr">
        <is>
          <t>A 17587-2024</t>
        </is>
      </c>
      <c r="B347" s="1" t="n">
        <v>45415.94033564815</v>
      </c>
      <c r="C347" s="1" t="n">
        <v>46033</v>
      </c>
      <c r="D347" t="inlineStr">
        <is>
          <t>VÄSTERBOTTENS LÄN</t>
        </is>
      </c>
      <c r="E347" t="inlineStr">
        <is>
          <t>VILHELMINA</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5575-2025</t>
        </is>
      </c>
      <c r="B348" s="1" t="n">
        <v>45693.53200231482</v>
      </c>
      <c r="C348" s="1" t="n">
        <v>46033</v>
      </c>
      <c r="D348" t="inlineStr">
        <is>
          <t>VÄSTERBOTTENS LÄN</t>
        </is>
      </c>
      <c r="E348" t="inlineStr">
        <is>
          <t>VILHELMINA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25524-2025</t>
        </is>
      </c>
      <c r="B349" s="1" t="n">
        <v>45803.38644675926</v>
      </c>
      <c r="C349" s="1" t="n">
        <v>46033</v>
      </c>
      <c r="D349" t="inlineStr">
        <is>
          <t>VÄSTERBOTTENS LÄN</t>
        </is>
      </c>
      <c r="E349" t="inlineStr">
        <is>
          <t>VILHELMINA</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31095-2024</t>
        </is>
      </c>
      <c r="B350" s="1" t="n">
        <v>45502</v>
      </c>
      <c r="C350" s="1" t="n">
        <v>46033</v>
      </c>
      <c r="D350" t="inlineStr">
        <is>
          <t>VÄSTERBOTTENS LÄN</t>
        </is>
      </c>
      <c r="E350" t="inlineStr">
        <is>
          <t>VILHELMINA</t>
        </is>
      </c>
      <c r="G350" t="n">
        <v>4.7</v>
      </c>
      <c r="H350" t="n">
        <v>0</v>
      </c>
      <c r="I350" t="n">
        <v>0</v>
      </c>
      <c r="J350" t="n">
        <v>0</v>
      </c>
      <c r="K350" t="n">
        <v>0</v>
      </c>
      <c r="L350" t="n">
        <v>0</v>
      </c>
      <c r="M350" t="n">
        <v>0</v>
      </c>
      <c r="N350" t="n">
        <v>0</v>
      </c>
      <c r="O350" t="n">
        <v>0</v>
      </c>
      <c r="P350" t="n">
        <v>0</v>
      </c>
      <c r="Q350" t="n">
        <v>0</v>
      </c>
      <c r="R350" s="2" t="inlineStr"/>
    </row>
    <row r="351" ht="15" customHeight="1">
      <c r="A351" t="inlineStr">
        <is>
          <t>A 25180-2025</t>
        </is>
      </c>
      <c r="B351" s="1" t="n">
        <v>45800.44892361111</v>
      </c>
      <c r="C351" s="1" t="n">
        <v>46033</v>
      </c>
      <c r="D351" t="inlineStr">
        <is>
          <t>VÄSTERBOTTENS LÄN</t>
        </is>
      </c>
      <c r="E351" t="inlineStr">
        <is>
          <t>VILHELMINA</t>
        </is>
      </c>
      <c r="F351" t="inlineStr">
        <is>
          <t>SCA</t>
        </is>
      </c>
      <c r="G351" t="n">
        <v>10.8</v>
      </c>
      <c r="H351" t="n">
        <v>0</v>
      </c>
      <c r="I351" t="n">
        <v>0</v>
      </c>
      <c r="J351" t="n">
        <v>0</v>
      </c>
      <c r="K351" t="n">
        <v>0</v>
      </c>
      <c r="L351" t="n">
        <v>0</v>
      </c>
      <c r="M351" t="n">
        <v>0</v>
      </c>
      <c r="N351" t="n">
        <v>0</v>
      </c>
      <c r="O351" t="n">
        <v>0</v>
      </c>
      <c r="P351" t="n">
        <v>0</v>
      </c>
      <c r="Q351" t="n">
        <v>0</v>
      </c>
      <c r="R351" s="2" t="inlineStr"/>
    </row>
    <row r="352" ht="15" customHeight="1">
      <c r="A352" t="inlineStr">
        <is>
          <t>A 25176-2025</t>
        </is>
      </c>
      <c r="B352" s="1" t="n">
        <v>45800.44840277778</v>
      </c>
      <c r="C352" s="1" t="n">
        <v>46033</v>
      </c>
      <c r="D352" t="inlineStr">
        <is>
          <t>VÄSTERBOTTENS LÄN</t>
        </is>
      </c>
      <c r="E352" t="inlineStr">
        <is>
          <t>VILHELMINA</t>
        </is>
      </c>
      <c r="F352" t="inlineStr">
        <is>
          <t>SCA</t>
        </is>
      </c>
      <c r="G352" t="n">
        <v>3.5</v>
      </c>
      <c r="H352" t="n">
        <v>0</v>
      </c>
      <c r="I352" t="n">
        <v>0</v>
      </c>
      <c r="J352" t="n">
        <v>0</v>
      </c>
      <c r="K352" t="n">
        <v>0</v>
      </c>
      <c r="L352" t="n">
        <v>0</v>
      </c>
      <c r="M352" t="n">
        <v>0</v>
      </c>
      <c r="N352" t="n">
        <v>0</v>
      </c>
      <c r="O352" t="n">
        <v>0</v>
      </c>
      <c r="P352" t="n">
        <v>0</v>
      </c>
      <c r="Q352" t="n">
        <v>0</v>
      </c>
      <c r="R352" s="2" t="inlineStr"/>
    </row>
    <row r="353" ht="15" customHeight="1">
      <c r="A353" t="inlineStr">
        <is>
          <t>A 46318-2022</t>
        </is>
      </c>
      <c r="B353" s="1" t="n">
        <v>44847</v>
      </c>
      <c r="C353" s="1" t="n">
        <v>46033</v>
      </c>
      <c r="D353" t="inlineStr">
        <is>
          <t>VÄSTERBOTTENS LÄN</t>
        </is>
      </c>
      <c r="E353" t="inlineStr">
        <is>
          <t>VILHELMINA</t>
        </is>
      </c>
      <c r="G353" t="n">
        <v>11.7</v>
      </c>
      <c r="H353" t="n">
        <v>0</v>
      </c>
      <c r="I353" t="n">
        <v>0</v>
      </c>
      <c r="J353" t="n">
        <v>0</v>
      </c>
      <c r="K353" t="n">
        <v>0</v>
      </c>
      <c r="L353" t="n">
        <v>0</v>
      </c>
      <c r="M353" t="n">
        <v>0</v>
      </c>
      <c r="N353" t="n">
        <v>0</v>
      </c>
      <c r="O353" t="n">
        <v>0</v>
      </c>
      <c r="P353" t="n">
        <v>0</v>
      </c>
      <c r="Q353" t="n">
        <v>0</v>
      </c>
      <c r="R353" s="2" t="inlineStr"/>
    </row>
    <row r="354" ht="15" customHeight="1">
      <c r="A354" t="inlineStr">
        <is>
          <t>A 45672-2023</t>
        </is>
      </c>
      <c r="B354" s="1" t="n">
        <v>45194</v>
      </c>
      <c r="C354" s="1" t="n">
        <v>46033</v>
      </c>
      <c r="D354" t="inlineStr">
        <is>
          <t>VÄSTERBOTTENS LÄN</t>
        </is>
      </c>
      <c r="E354" t="inlineStr">
        <is>
          <t>VILHELMINA</t>
        </is>
      </c>
      <c r="G354" t="n">
        <v>1.5</v>
      </c>
      <c r="H354" t="n">
        <v>0</v>
      </c>
      <c r="I354" t="n">
        <v>0</v>
      </c>
      <c r="J354" t="n">
        <v>0</v>
      </c>
      <c r="K354" t="n">
        <v>0</v>
      </c>
      <c r="L354" t="n">
        <v>0</v>
      </c>
      <c r="M354" t="n">
        <v>0</v>
      </c>
      <c r="N354" t="n">
        <v>0</v>
      </c>
      <c r="O354" t="n">
        <v>0</v>
      </c>
      <c r="P354" t="n">
        <v>0</v>
      </c>
      <c r="Q354" t="n">
        <v>0</v>
      </c>
      <c r="R354" s="2" t="inlineStr"/>
    </row>
    <row r="355" ht="15" customHeight="1">
      <c r="A355" t="inlineStr">
        <is>
          <t>A 25309-2025</t>
        </is>
      </c>
      <c r="B355" s="1" t="n">
        <v>45800.57380787037</v>
      </c>
      <c r="C355" s="1" t="n">
        <v>46033</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25239-2025</t>
        </is>
      </c>
      <c r="B356" s="1" t="n">
        <v>45800</v>
      </c>
      <c r="C356" s="1" t="n">
        <v>46033</v>
      </c>
      <c r="D356" t="inlineStr">
        <is>
          <t>VÄSTERBOTTENS LÄN</t>
        </is>
      </c>
      <c r="E356" t="inlineStr">
        <is>
          <t>VILHELMINA</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25770-2025</t>
        </is>
      </c>
      <c r="B357" s="1" t="n">
        <v>45804.3449537037</v>
      </c>
      <c r="C357" s="1" t="n">
        <v>46033</v>
      </c>
      <c r="D357" t="inlineStr">
        <is>
          <t>VÄSTERBOTTENS LÄN</t>
        </is>
      </c>
      <c r="E357" t="inlineStr">
        <is>
          <t>VILHELMINA</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27355-2023</t>
        </is>
      </c>
      <c r="B358" s="1" t="n">
        <v>45096</v>
      </c>
      <c r="C358" s="1" t="n">
        <v>46033</v>
      </c>
      <c r="D358" t="inlineStr">
        <is>
          <t>VÄSTERBOTTENS LÄN</t>
        </is>
      </c>
      <c r="E358" t="inlineStr">
        <is>
          <t>VILHELMINA</t>
        </is>
      </c>
      <c r="G358" t="n">
        <v>2.6</v>
      </c>
      <c r="H358" t="n">
        <v>0</v>
      </c>
      <c r="I358" t="n">
        <v>0</v>
      </c>
      <c r="J358" t="n">
        <v>0</v>
      </c>
      <c r="K358" t="n">
        <v>0</v>
      </c>
      <c r="L358" t="n">
        <v>0</v>
      </c>
      <c r="M358" t="n">
        <v>0</v>
      </c>
      <c r="N358" t="n">
        <v>0</v>
      </c>
      <c r="O358" t="n">
        <v>0</v>
      </c>
      <c r="P358" t="n">
        <v>0</v>
      </c>
      <c r="Q358" t="n">
        <v>0</v>
      </c>
      <c r="R358" s="2" t="inlineStr"/>
    </row>
    <row r="359" ht="15" customHeight="1">
      <c r="A359" t="inlineStr">
        <is>
          <t>A 51651-2025</t>
        </is>
      </c>
      <c r="B359" s="1" t="n">
        <v>45951.46043981481</v>
      </c>
      <c r="C359" s="1" t="n">
        <v>46033</v>
      </c>
      <c r="D359" t="inlineStr">
        <is>
          <t>VÄSTERBOTTENS LÄN</t>
        </is>
      </c>
      <c r="E359" t="inlineStr">
        <is>
          <t>VILHELMINA</t>
        </is>
      </c>
      <c r="G359" t="n">
        <v>6.9</v>
      </c>
      <c r="H359" t="n">
        <v>0</v>
      </c>
      <c r="I359" t="n">
        <v>0</v>
      </c>
      <c r="J359" t="n">
        <v>0</v>
      </c>
      <c r="K359" t="n">
        <v>0</v>
      </c>
      <c r="L359" t="n">
        <v>0</v>
      </c>
      <c r="M359" t="n">
        <v>0</v>
      </c>
      <c r="N359" t="n">
        <v>0</v>
      </c>
      <c r="O359" t="n">
        <v>0</v>
      </c>
      <c r="P359" t="n">
        <v>0</v>
      </c>
      <c r="Q359" t="n">
        <v>0</v>
      </c>
      <c r="R359" s="2" t="inlineStr"/>
    </row>
    <row r="360" ht="15" customHeight="1">
      <c r="A360" t="inlineStr">
        <is>
          <t>A 51657-2025</t>
        </is>
      </c>
      <c r="B360" s="1" t="n">
        <v>45951.47362268518</v>
      </c>
      <c r="C360" s="1" t="n">
        <v>46033</v>
      </c>
      <c r="D360" t="inlineStr">
        <is>
          <t>VÄSTERBOTTENS LÄN</t>
        </is>
      </c>
      <c r="E360" t="inlineStr">
        <is>
          <t>VILHELMINA</t>
        </is>
      </c>
      <c r="G360" t="n">
        <v>14.4</v>
      </c>
      <c r="H360" t="n">
        <v>0</v>
      </c>
      <c r="I360" t="n">
        <v>0</v>
      </c>
      <c r="J360" t="n">
        <v>0</v>
      </c>
      <c r="K360" t="n">
        <v>0</v>
      </c>
      <c r="L360" t="n">
        <v>0</v>
      </c>
      <c r="M360" t="n">
        <v>0</v>
      </c>
      <c r="N360" t="n">
        <v>0</v>
      </c>
      <c r="O360" t="n">
        <v>0</v>
      </c>
      <c r="P360" t="n">
        <v>0</v>
      </c>
      <c r="Q360" t="n">
        <v>0</v>
      </c>
      <c r="R360" s="2" t="inlineStr"/>
    </row>
    <row r="361" ht="15" customHeight="1">
      <c r="A361" t="inlineStr">
        <is>
          <t>A 41704-2025</t>
        </is>
      </c>
      <c r="B361" s="1" t="n">
        <v>45902</v>
      </c>
      <c r="C361" s="1" t="n">
        <v>46033</v>
      </c>
      <c r="D361" t="inlineStr">
        <is>
          <t>VÄSTERBOTTENS LÄN</t>
        </is>
      </c>
      <c r="E361" t="inlineStr">
        <is>
          <t>VILHELMINA</t>
        </is>
      </c>
      <c r="G361" t="n">
        <v>3.3</v>
      </c>
      <c r="H361" t="n">
        <v>0</v>
      </c>
      <c r="I361" t="n">
        <v>0</v>
      </c>
      <c r="J361" t="n">
        <v>0</v>
      </c>
      <c r="K361" t="n">
        <v>0</v>
      </c>
      <c r="L361" t="n">
        <v>0</v>
      </c>
      <c r="M361" t="n">
        <v>0</v>
      </c>
      <c r="N361" t="n">
        <v>0</v>
      </c>
      <c r="O361" t="n">
        <v>0</v>
      </c>
      <c r="P361" t="n">
        <v>0</v>
      </c>
      <c r="Q361" t="n">
        <v>0</v>
      </c>
      <c r="R361" s="2" t="inlineStr"/>
    </row>
    <row r="362" ht="15" customHeight="1">
      <c r="A362" t="inlineStr">
        <is>
          <t>A 47253-2022</t>
        </is>
      </c>
      <c r="B362" s="1" t="n">
        <v>44852</v>
      </c>
      <c r="C362" s="1" t="n">
        <v>46033</v>
      </c>
      <c r="D362" t="inlineStr">
        <is>
          <t>VÄSTERBOTTENS LÄN</t>
        </is>
      </c>
      <c r="E362" t="inlineStr">
        <is>
          <t>VILHELMINA</t>
        </is>
      </c>
      <c r="F362" t="inlineStr">
        <is>
          <t>SCA</t>
        </is>
      </c>
      <c r="G362" t="n">
        <v>0.3</v>
      </c>
      <c r="H362" t="n">
        <v>0</v>
      </c>
      <c r="I362" t="n">
        <v>0</v>
      </c>
      <c r="J362" t="n">
        <v>0</v>
      </c>
      <c r="K362" t="n">
        <v>0</v>
      </c>
      <c r="L362" t="n">
        <v>0</v>
      </c>
      <c r="M362" t="n">
        <v>0</v>
      </c>
      <c r="N362" t="n">
        <v>0</v>
      </c>
      <c r="O362" t="n">
        <v>0</v>
      </c>
      <c r="P362" t="n">
        <v>0</v>
      </c>
      <c r="Q362" t="n">
        <v>0</v>
      </c>
      <c r="R362" s="2" t="inlineStr"/>
    </row>
    <row r="363" ht="15" customHeight="1">
      <c r="A363" t="inlineStr">
        <is>
          <t>A 58946-2024</t>
        </is>
      </c>
      <c r="B363" s="1" t="n">
        <v>45636.55063657407</v>
      </c>
      <c r="C363" s="1" t="n">
        <v>46033</v>
      </c>
      <c r="D363" t="inlineStr">
        <is>
          <t>VÄSTERBOTTENS LÄN</t>
        </is>
      </c>
      <c r="E363" t="inlineStr">
        <is>
          <t>VILHELMINA</t>
        </is>
      </c>
      <c r="F363" t="inlineStr">
        <is>
          <t>Kommuner</t>
        </is>
      </c>
      <c r="G363" t="n">
        <v>4.9</v>
      </c>
      <c r="H363" t="n">
        <v>0</v>
      </c>
      <c r="I363" t="n">
        <v>0</v>
      </c>
      <c r="J363" t="n">
        <v>0</v>
      </c>
      <c r="K363" t="n">
        <v>0</v>
      </c>
      <c r="L363" t="n">
        <v>0</v>
      </c>
      <c r="M363" t="n">
        <v>0</v>
      </c>
      <c r="N363" t="n">
        <v>0</v>
      </c>
      <c r="O363" t="n">
        <v>0</v>
      </c>
      <c r="P363" t="n">
        <v>0</v>
      </c>
      <c r="Q363" t="n">
        <v>0</v>
      </c>
      <c r="R363" s="2" t="inlineStr"/>
    </row>
    <row r="364" ht="15" customHeight="1">
      <c r="A364" t="inlineStr">
        <is>
          <t>A 66917-2021</t>
        </is>
      </c>
      <c r="B364" s="1" t="n">
        <v>44522</v>
      </c>
      <c r="C364" s="1" t="n">
        <v>46033</v>
      </c>
      <c r="D364" t="inlineStr">
        <is>
          <t>VÄSTERBOTTENS LÄN</t>
        </is>
      </c>
      <c r="E364" t="inlineStr">
        <is>
          <t>VILHELMINA</t>
        </is>
      </c>
      <c r="F364" t="inlineStr">
        <is>
          <t>Allmännings- och besparingsskogar</t>
        </is>
      </c>
      <c r="G364" t="n">
        <v>11.7</v>
      </c>
      <c r="H364" t="n">
        <v>0</v>
      </c>
      <c r="I364" t="n">
        <v>0</v>
      </c>
      <c r="J364" t="n">
        <v>0</v>
      </c>
      <c r="K364" t="n">
        <v>0</v>
      </c>
      <c r="L364" t="n">
        <v>0</v>
      </c>
      <c r="M364" t="n">
        <v>0</v>
      </c>
      <c r="N364" t="n">
        <v>0</v>
      </c>
      <c r="O364" t="n">
        <v>0</v>
      </c>
      <c r="P364" t="n">
        <v>0</v>
      </c>
      <c r="Q364" t="n">
        <v>0</v>
      </c>
      <c r="R364" s="2" t="inlineStr"/>
    </row>
    <row r="365" ht="15" customHeight="1">
      <c r="A365" t="inlineStr">
        <is>
          <t>A 47589-2025</t>
        </is>
      </c>
      <c r="B365" s="1" t="n">
        <v>45931</v>
      </c>
      <c r="C365" s="1" t="n">
        <v>46033</v>
      </c>
      <c r="D365" t="inlineStr">
        <is>
          <t>VÄSTERBOTTENS LÄN</t>
        </is>
      </c>
      <c r="E365" t="inlineStr">
        <is>
          <t>VILHELMINA</t>
        </is>
      </c>
      <c r="G365" t="n">
        <v>24.8</v>
      </c>
      <c r="H365" t="n">
        <v>0</v>
      </c>
      <c r="I365" t="n">
        <v>0</v>
      </c>
      <c r="J365" t="n">
        <v>0</v>
      </c>
      <c r="K365" t="n">
        <v>0</v>
      </c>
      <c r="L365" t="n">
        <v>0</v>
      </c>
      <c r="M365" t="n">
        <v>0</v>
      </c>
      <c r="N365" t="n">
        <v>0</v>
      </c>
      <c r="O365" t="n">
        <v>0</v>
      </c>
      <c r="P365" t="n">
        <v>0</v>
      </c>
      <c r="Q365" t="n">
        <v>0</v>
      </c>
      <c r="R365" s="2" t="inlineStr"/>
    </row>
    <row r="366" ht="15" customHeight="1">
      <c r="A366" t="inlineStr">
        <is>
          <t>A 60549-2022</t>
        </is>
      </c>
      <c r="B366" s="1" t="n">
        <v>44911.51318287037</v>
      </c>
      <c r="C366" s="1" t="n">
        <v>46033</v>
      </c>
      <c r="D366" t="inlineStr">
        <is>
          <t>VÄSTERBOTTENS LÄN</t>
        </is>
      </c>
      <c r="E366" t="inlineStr">
        <is>
          <t>VILHELMINA</t>
        </is>
      </c>
      <c r="G366" t="n">
        <v>3.8</v>
      </c>
      <c r="H366" t="n">
        <v>0</v>
      </c>
      <c r="I366" t="n">
        <v>0</v>
      </c>
      <c r="J366" t="n">
        <v>0</v>
      </c>
      <c r="K366" t="n">
        <v>0</v>
      </c>
      <c r="L366" t="n">
        <v>0</v>
      </c>
      <c r="M366" t="n">
        <v>0</v>
      </c>
      <c r="N366" t="n">
        <v>0</v>
      </c>
      <c r="O366" t="n">
        <v>0</v>
      </c>
      <c r="P366" t="n">
        <v>0</v>
      </c>
      <c r="Q366" t="n">
        <v>0</v>
      </c>
      <c r="R366" s="2" t="inlineStr"/>
    </row>
    <row r="367" ht="15" customHeight="1">
      <c r="A367" t="inlineStr">
        <is>
          <t>A 25942-2025</t>
        </is>
      </c>
      <c r="B367" s="1" t="n">
        <v>45804.59461805555</v>
      </c>
      <c r="C367" s="1" t="n">
        <v>46033</v>
      </c>
      <c r="D367" t="inlineStr">
        <is>
          <t>VÄSTERBOTTENS LÄN</t>
        </is>
      </c>
      <c r="E367" t="inlineStr">
        <is>
          <t>VILHELMINA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15792-2025</t>
        </is>
      </c>
      <c r="B368" s="1" t="n">
        <v>45748.63356481482</v>
      </c>
      <c r="C368" s="1" t="n">
        <v>46033</v>
      </c>
      <c r="D368" t="inlineStr">
        <is>
          <t>VÄSTERBOTTENS LÄN</t>
        </is>
      </c>
      <c r="E368" t="inlineStr">
        <is>
          <t>VILHELMINA</t>
        </is>
      </c>
      <c r="G368" t="n">
        <v>5.5</v>
      </c>
      <c r="H368" t="n">
        <v>0</v>
      </c>
      <c r="I368" t="n">
        <v>0</v>
      </c>
      <c r="J368" t="n">
        <v>0</v>
      </c>
      <c r="K368" t="n">
        <v>0</v>
      </c>
      <c r="L368" t="n">
        <v>0</v>
      </c>
      <c r="M368" t="n">
        <v>0</v>
      </c>
      <c r="N368" t="n">
        <v>0</v>
      </c>
      <c r="O368" t="n">
        <v>0</v>
      </c>
      <c r="P368" t="n">
        <v>0</v>
      </c>
      <c r="Q368" t="n">
        <v>0</v>
      </c>
      <c r="R368" s="2" t="inlineStr"/>
    </row>
    <row r="369" ht="15" customHeight="1">
      <c r="A369" t="inlineStr">
        <is>
          <t>A 42360-2025</t>
        </is>
      </c>
      <c r="B369" s="1" t="n">
        <v>45904</v>
      </c>
      <c r="C369" s="1" t="n">
        <v>46033</v>
      </c>
      <c r="D369" t="inlineStr">
        <is>
          <t>VÄSTERBOTTENS LÄN</t>
        </is>
      </c>
      <c r="E369" t="inlineStr">
        <is>
          <t>VILHELMINA</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59629-2025</t>
        </is>
      </c>
      <c r="B370" s="1" t="n">
        <v>45992.39248842592</v>
      </c>
      <c r="C370" s="1" t="n">
        <v>46033</v>
      </c>
      <c r="D370" t="inlineStr">
        <is>
          <t>VÄSTERBOTTENS LÄN</t>
        </is>
      </c>
      <c r="E370" t="inlineStr">
        <is>
          <t>VILHELMINA</t>
        </is>
      </c>
      <c r="G370" t="n">
        <v>12.6</v>
      </c>
      <c r="H370" t="n">
        <v>0</v>
      </c>
      <c r="I370" t="n">
        <v>0</v>
      </c>
      <c r="J370" t="n">
        <v>0</v>
      </c>
      <c r="K370" t="n">
        <v>0</v>
      </c>
      <c r="L370" t="n">
        <v>0</v>
      </c>
      <c r="M370" t="n">
        <v>0</v>
      </c>
      <c r="N370" t="n">
        <v>0</v>
      </c>
      <c r="O370" t="n">
        <v>0</v>
      </c>
      <c r="P370" t="n">
        <v>0</v>
      </c>
      <c r="Q370" t="n">
        <v>0</v>
      </c>
      <c r="R370" s="2" t="inlineStr"/>
    </row>
    <row r="371" ht="15" customHeight="1">
      <c r="A371" t="inlineStr">
        <is>
          <t>A 21345-2024</t>
        </is>
      </c>
      <c r="B371" s="1" t="n">
        <v>45440.92866898148</v>
      </c>
      <c r="C371" s="1" t="n">
        <v>46033</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61778-2023</t>
        </is>
      </c>
      <c r="B372" s="1" t="n">
        <v>45265.95667824074</v>
      </c>
      <c r="C372" s="1" t="n">
        <v>46033</v>
      </c>
      <c r="D372" t="inlineStr">
        <is>
          <t>VÄSTERBOTTENS LÄN</t>
        </is>
      </c>
      <c r="E372" t="inlineStr">
        <is>
          <t>VILHELMINA</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26098-2025</t>
        </is>
      </c>
      <c r="B373" s="1" t="n">
        <v>45805</v>
      </c>
      <c r="C373" s="1" t="n">
        <v>46033</v>
      </c>
      <c r="D373" t="inlineStr">
        <is>
          <t>VÄSTERBOTTENS LÄN</t>
        </is>
      </c>
      <c r="E373" t="inlineStr">
        <is>
          <t>VILHELMINA</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42382-2025</t>
        </is>
      </c>
      <c r="B374" s="1" t="n">
        <v>45904</v>
      </c>
      <c r="C374" s="1" t="n">
        <v>46033</v>
      </c>
      <c r="D374" t="inlineStr">
        <is>
          <t>VÄSTERBOTTENS LÄN</t>
        </is>
      </c>
      <c r="E374" t="inlineStr">
        <is>
          <t>VILHELMINA</t>
        </is>
      </c>
      <c r="F374" t="inlineStr">
        <is>
          <t>Övriga Aktiebolag</t>
        </is>
      </c>
      <c r="G374" t="n">
        <v>6.2</v>
      </c>
      <c r="H374" t="n">
        <v>0</v>
      </c>
      <c r="I374" t="n">
        <v>0</v>
      </c>
      <c r="J374" t="n">
        <v>0</v>
      </c>
      <c r="K374" t="n">
        <v>0</v>
      </c>
      <c r="L374" t="n">
        <v>0</v>
      </c>
      <c r="M374" t="n">
        <v>0</v>
      </c>
      <c r="N374" t="n">
        <v>0</v>
      </c>
      <c r="O374" t="n">
        <v>0</v>
      </c>
      <c r="P374" t="n">
        <v>0</v>
      </c>
      <c r="Q374" t="n">
        <v>0</v>
      </c>
      <c r="R374" s="2" t="inlineStr"/>
    </row>
    <row r="375" ht="15" customHeight="1">
      <c r="A375" t="inlineStr">
        <is>
          <t>A 65133-2021</t>
        </is>
      </c>
      <c r="B375" s="1" t="n">
        <v>44515</v>
      </c>
      <c r="C375" s="1" t="n">
        <v>46033</v>
      </c>
      <c r="D375" t="inlineStr">
        <is>
          <t>VÄSTERBOTTENS LÄN</t>
        </is>
      </c>
      <c r="E375" t="inlineStr">
        <is>
          <t>VILHELMINA</t>
        </is>
      </c>
      <c r="G375" t="n">
        <v>16.4</v>
      </c>
      <c r="H375" t="n">
        <v>0</v>
      </c>
      <c r="I375" t="n">
        <v>0</v>
      </c>
      <c r="J375" t="n">
        <v>0</v>
      </c>
      <c r="K375" t="n">
        <v>0</v>
      </c>
      <c r="L375" t="n">
        <v>0</v>
      </c>
      <c r="M375" t="n">
        <v>0</v>
      </c>
      <c r="N375" t="n">
        <v>0</v>
      </c>
      <c r="O375" t="n">
        <v>0</v>
      </c>
      <c r="P375" t="n">
        <v>0</v>
      </c>
      <c r="Q375" t="n">
        <v>0</v>
      </c>
      <c r="R375" s="2" t="inlineStr"/>
    </row>
    <row r="376" ht="15" customHeight="1">
      <c r="A376" t="inlineStr">
        <is>
          <t>A 46908-2024</t>
        </is>
      </c>
      <c r="B376" s="1" t="n">
        <v>45583</v>
      </c>
      <c r="C376" s="1" t="n">
        <v>46033</v>
      </c>
      <c r="D376" t="inlineStr">
        <is>
          <t>VÄSTERBOTTENS LÄN</t>
        </is>
      </c>
      <c r="E376" t="inlineStr">
        <is>
          <t>VILHELMINA</t>
        </is>
      </c>
      <c r="F376" t="inlineStr">
        <is>
          <t>SCA</t>
        </is>
      </c>
      <c r="G376" t="n">
        <v>7.5</v>
      </c>
      <c r="H376" t="n">
        <v>0</v>
      </c>
      <c r="I376" t="n">
        <v>0</v>
      </c>
      <c r="J376" t="n">
        <v>0</v>
      </c>
      <c r="K376" t="n">
        <v>0</v>
      </c>
      <c r="L376" t="n">
        <v>0</v>
      </c>
      <c r="M376" t="n">
        <v>0</v>
      </c>
      <c r="N376" t="n">
        <v>0</v>
      </c>
      <c r="O376" t="n">
        <v>0</v>
      </c>
      <c r="P376" t="n">
        <v>0</v>
      </c>
      <c r="Q376" t="n">
        <v>0</v>
      </c>
      <c r="R376" s="2" t="inlineStr"/>
    </row>
    <row r="377" ht="15" customHeight="1">
      <c r="A377" t="inlineStr">
        <is>
          <t>A 51701-2025</t>
        </is>
      </c>
      <c r="B377" s="1" t="n">
        <v>45951.55298611111</v>
      </c>
      <c r="C377" s="1" t="n">
        <v>46033</v>
      </c>
      <c r="D377" t="inlineStr">
        <is>
          <t>VÄSTERBOTTENS LÄN</t>
        </is>
      </c>
      <c r="E377" t="inlineStr">
        <is>
          <t>VILHELMINA</t>
        </is>
      </c>
      <c r="G377" t="n">
        <v>4.1</v>
      </c>
      <c r="H377" t="n">
        <v>0</v>
      </c>
      <c r="I377" t="n">
        <v>0</v>
      </c>
      <c r="J377" t="n">
        <v>0</v>
      </c>
      <c r="K377" t="n">
        <v>0</v>
      </c>
      <c r="L377" t="n">
        <v>0</v>
      </c>
      <c r="M377" t="n">
        <v>0</v>
      </c>
      <c r="N377" t="n">
        <v>0</v>
      </c>
      <c r="O377" t="n">
        <v>0</v>
      </c>
      <c r="P377" t="n">
        <v>0</v>
      </c>
      <c r="Q377" t="n">
        <v>0</v>
      </c>
      <c r="R377" s="2" t="inlineStr"/>
    </row>
    <row r="378" ht="15" customHeight="1">
      <c r="A378" t="inlineStr">
        <is>
          <t>A 33636-2021</t>
        </is>
      </c>
      <c r="B378" s="1" t="n">
        <v>44378</v>
      </c>
      <c r="C378" s="1" t="n">
        <v>46033</v>
      </c>
      <c r="D378" t="inlineStr">
        <is>
          <t>VÄSTERBOTTENS LÄN</t>
        </is>
      </c>
      <c r="E378" t="inlineStr">
        <is>
          <t>VILHELMINA</t>
        </is>
      </c>
      <c r="G378" t="n">
        <v>1.6</v>
      </c>
      <c r="H378" t="n">
        <v>0</v>
      </c>
      <c r="I378" t="n">
        <v>0</v>
      </c>
      <c r="J378" t="n">
        <v>0</v>
      </c>
      <c r="K378" t="n">
        <v>0</v>
      </c>
      <c r="L378" t="n">
        <v>0</v>
      </c>
      <c r="M378" t="n">
        <v>0</v>
      </c>
      <c r="N378" t="n">
        <v>0</v>
      </c>
      <c r="O378" t="n">
        <v>0</v>
      </c>
      <c r="P378" t="n">
        <v>0</v>
      </c>
      <c r="Q378" t="n">
        <v>0</v>
      </c>
      <c r="R378" s="2" t="inlineStr"/>
    </row>
    <row r="379" ht="15" customHeight="1">
      <c r="A379" t="inlineStr">
        <is>
          <t>A 23261-2021</t>
        </is>
      </c>
      <c r="B379" s="1" t="n">
        <v>44330</v>
      </c>
      <c r="C379" s="1" t="n">
        <v>46033</v>
      </c>
      <c r="D379" t="inlineStr">
        <is>
          <t>VÄSTERBOTTENS LÄN</t>
        </is>
      </c>
      <c r="E379" t="inlineStr">
        <is>
          <t>VILHELMINA</t>
        </is>
      </c>
      <c r="G379" t="n">
        <v>4.5</v>
      </c>
      <c r="H379" t="n">
        <v>0</v>
      </c>
      <c r="I379" t="n">
        <v>0</v>
      </c>
      <c r="J379" t="n">
        <v>0</v>
      </c>
      <c r="K379" t="n">
        <v>0</v>
      </c>
      <c r="L379" t="n">
        <v>0</v>
      </c>
      <c r="M379" t="n">
        <v>0</v>
      </c>
      <c r="N379" t="n">
        <v>0</v>
      </c>
      <c r="O379" t="n">
        <v>0</v>
      </c>
      <c r="P379" t="n">
        <v>0</v>
      </c>
      <c r="Q379" t="n">
        <v>0</v>
      </c>
      <c r="R379" s="2" t="inlineStr"/>
    </row>
    <row r="380" ht="15" customHeight="1">
      <c r="A380" t="inlineStr">
        <is>
          <t>A 30746-2025</t>
        </is>
      </c>
      <c r="B380" s="1" t="n">
        <v>45831.58256944444</v>
      </c>
      <c r="C380" s="1" t="n">
        <v>46033</v>
      </c>
      <c r="D380" t="inlineStr">
        <is>
          <t>VÄSTERBOTTENS LÄN</t>
        </is>
      </c>
      <c r="E380" t="inlineStr">
        <is>
          <t>VILHELMINA</t>
        </is>
      </c>
      <c r="G380" t="n">
        <v>5.7</v>
      </c>
      <c r="H380" t="n">
        <v>0</v>
      </c>
      <c r="I380" t="n">
        <v>0</v>
      </c>
      <c r="J380" t="n">
        <v>0</v>
      </c>
      <c r="K380" t="n">
        <v>0</v>
      </c>
      <c r="L380" t="n">
        <v>0</v>
      </c>
      <c r="M380" t="n">
        <v>0</v>
      </c>
      <c r="N380" t="n">
        <v>0</v>
      </c>
      <c r="O380" t="n">
        <v>0</v>
      </c>
      <c r="P380" t="n">
        <v>0</v>
      </c>
      <c r="Q380" t="n">
        <v>0</v>
      </c>
      <c r="R380" s="2" t="inlineStr"/>
    </row>
    <row r="381" ht="15" customHeight="1">
      <c r="A381" t="inlineStr">
        <is>
          <t>A 26744-2025</t>
        </is>
      </c>
      <c r="B381" s="1" t="n">
        <v>45810.53185185185</v>
      </c>
      <c r="C381" s="1" t="n">
        <v>46033</v>
      </c>
      <c r="D381" t="inlineStr">
        <is>
          <t>VÄSTERBOTTENS LÄN</t>
        </is>
      </c>
      <c r="E381" t="inlineStr">
        <is>
          <t>VILHELMINA</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47011-2024</t>
        </is>
      </c>
      <c r="B382" s="1" t="n">
        <v>45586.38592592593</v>
      </c>
      <c r="C382" s="1" t="n">
        <v>46033</v>
      </c>
      <c r="D382" t="inlineStr">
        <is>
          <t>VÄSTERBOTTENS LÄN</t>
        </is>
      </c>
      <c r="E382" t="inlineStr">
        <is>
          <t>VILHELMINA</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35409-2024</t>
        </is>
      </c>
      <c r="B383" s="1" t="n">
        <v>45531</v>
      </c>
      <c r="C383" s="1" t="n">
        <v>46033</v>
      </c>
      <c r="D383" t="inlineStr">
        <is>
          <t>VÄSTERBOTTENS LÄN</t>
        </is>
      </c>
      <c r="E383" t="inlineStr">
        <is>
          <t>VILHELMINA</t>
        </is>
      </c>
      <c r="F383" t="inlineStr">
        <is>
          <t>SCA</t>
        </is>
      </c>
      <c r="G383" t="n">
        <v>13.1</v>
      </c>
      <c r="H383" t="n">
        <v>0</v>
      </c>
      <c r="I383" t="n">
        <v>0</v>
      </c>
      <c r="J383" t="n">
        <v>0</v>
      </c>
      <c r="K383" t="n">
        <v>0</v>
      </c>
      <c r="L383" t="n">
        <v>0</v>
      </c>
      <c r="M383" t="n">
        <v>0</v>
      </c>
      <c r="N383" t="n">
        <v>0</v>
      </c>
      <c r="O383" t="n">
        <v>0</v>
      </c>
      <c r="P383" t="n">
        <v>0</v>
      </c>
      <c r="Q383" t="n">
        <v>0</v>
      </c>
      <c r="R383" s="2" t="inlineStr"/>
    </row>
    <row r="384" ht="15" customHeight="1">
      <c r="A384" t="inlineStr">
        <is>
          <t>A 24988-2025</t>
        </is>
      </c>
      <c r="B384" s="1" t="n">
        <v>45799</v>
      </c>
      <c r="C384" s="1" t="n">
        <v>46033</v>
      </c>
      <c r="D384" t="inlineStr">
        <is>
          <t>VÄSTERBOTTENS LÄN</t>
        </is>
      </c>
      <c r="E384" t="inlineStr">
        <is>
          <t>VILHELMINA</t>
        </is>
      </c>
      <c r="G384" t="n">
        <v>8.9</v>
      </c>
      <c r="H384" t="n">
        <v>0</v>
      </c>
      <c r="I384" t="n">
        <v>0</v>
      </c>
      <c r="J384" t="n">
        <v>0</v>
      </c>
      <c r="K384" t="n">
        <v>0</v>
      </c>
      <c r="L384" t="n">
        <v>0</v>
      </c>
      <c r="M384" t="n">
        <v>0</v>
      </c>
      <c r="N384" t="n">
        <v>0</v>
      </c>
      <c r="O384" t="n">
        <v>0</v>
      </c>
      <c r="P384" t="n">
        <v>0</v>
      </c>
      <c r="Q384" t="n">
        <v>0</v>
      </c>
      <c r="R384" s="2" t="inlineStr"/>
    </row>
    <row r="385" ht="15" customHeight="1">
      <c r="A385" t="inlineStr">
        <is>
          <t>A 26790-2025</t>
        </is>
      </c>
      <c r="B385" s="1" t="n">
        <v>45810.59417824074</v>
      </c>
      <c r="C385" s="1" t="n">
        <v>46033</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26722-2025</t>
        </is>
      </c>
      <c r="B386" s="1" t="n">
        <v>45810</v>
      </c>
      <c r="C386" s="1" t="n">
        <v>46033</v>
      </c>
      <c r="D386" t="inlineStr">
        <is>
          <t>VÄSTERBOTTENS LÄN</t>
        </is>
      </c>
      <c r="E386" t="inlineStr">
        <is>
          <t>VILHELMINA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26745-2025</t>
        </is>
      </c>
      <c r="B387" s="1" t="n">
        <v>45810.53188657408</v>
      </c>
      <c r="C387" s="1" t="n">
        <v>46033</v>
      </c>
      <c r="D387" t="inlineStr">
        <is>
          <t>VÄSTERBOTTENS LÄN</t>
        </is>
      </c>
      <c r="E387" t="inlineStr">
        <is>
          <t>VILHELMINA</t>
        </is>
      </c>
      <c r="F387" t="inlineStr">
        <is>
          <t>SCA</t>
        </is>
      </c>
      <c r="G387" t="n">
        <v>0.3</v>
      </c>
      <c r="H387" t="n">
        <v>0</v>
      </c>
      <c r="I387" t="n">
        <v>0</v>
      </c>
      <c r="J387" t="n">
        <v>0</v>
      </c>
      <c r="K387" t="n">
        <v>0</v>
      </c>
      <c r="L387" t="n">
        <v>0</v>
      </c>
      <c r="M387" t="n">
        <v>0</v>
      </c>
      <c r="N387" t="n">
        <v>0</v>
      </c>
      <c r="O387" t="n">
        <v>0</v>
      </c>
      <c r="P387" t="n">
        <v>0</v>
      </c>
      <c r="Q387" t="n">
        <v>0</v>
      </c>
      <c r="R387" s="2" t="inlineStr"/>
    </row>
    <row r="388" ht="15" customHeight="1">
      <c r="A388" t="inlineStr">
        <is>
          <t>A 8859-2023</t>
        </is>
      </c>
      <c r="B388" s="1" t="n">
        <v>44978</v>
      </c>
      <c r="C388" s="1" t="n">
        <v>46033</v>
      </c>
      <c r="D388" t="inlineStr">
        <is>
          <t>VÄSTERBOTTENS LÄN</t>
        </is>
      </c>
      <c r="E388" t="inlineStr">
        <is>
          <t>VILHELMINA</t>
        </is>
      </c>
      <c r="G388" t="n">
        <v>6.3</v>
      </c>
      <c r="H388" t="n">
        <v>0</v>
      </c>
      <c r="I388" t="n">
        <v>0</v>
      </c>
      <c r="J388" t="n">
        <v>0</v>
      </c>
      <c r="K388" t="n">
        <v>0</v>
      </c>
      <c r="L388" t="n">
        <v>0</v>
      </c>
      <c r="M388" t="n">
        <v>0</v>
      </c>
      <c r="N388" t="n">
        <v>0</v>
      </c>
      <c r="O388" t="n">
        <v>0</v>
      </c>
      <c r="P388" t="n">
        <v>0</v>
      </c>
      <c r="Q388" t="n">
        <v>0</v>
      </c>
      <c r="R388" s="2" t="inlineStr"/>
    </row>
    <row r="389" ht="15" customHeight="1">
      <c r="A389" t="inlineStr">
        <is>
          <t>A 22617-2025</t>
        </is>
      </c>
      <c r="B389" s="1" t="n">
        <v>45789</v>
      </c>
      <c r="C389" s="1" t="n">
        <v>46033</v>
      </c>
      <c r="D389" t="inlineStr">
        <is>
          <t>VÄSTERBOTTENS LÄN</t>
        </is>
      </c>
      <c r="E389" t="inlineStr">
        <is>
          <t>VILHELMINA</t>
        </is>
      </c>
      <c r="F389" t="inlineStr">
        <is>
          <t>SCA</t>
        </is>
      </c>
      <c r="G389" t="n">
        <v>7.3</v>
      </c>
      <c r="H389" t="n">
        <v>0</v>
      </c>
      <c r="I389" t="n">
        <v>0</v>
      </c>
      <c r="J389" t="n">
        <v>0</v>
      </c>
      <c r="K389" t="n">
        <v>0</v>
      </c>
      <c r="L389" t="n">
        <v>0</v>
      </c>
      <c r="M389" t="n">
        <v>0</v>
      </c>
      <c r="N389" t="n">
        <v>0</v>
      </c>
      <c r="O389" t="n">
        <v>0</v>
      </c>
      <c r="P389" t="n">
        <v>0</v>
      </c>
      <c r="Q389" t="n">
        <v>0</v>
      </c>
      <c r="R389" s="2" t="inlineStr"/>
    </row>
    <row r="390" ht="15" customHeight="1">
      <c r="A390" t="inlineStr">
        <is>
          <t>A 36320-2024</t>
        </is>
      </c>
      <c r="B390" s="1" t="n">
        <v>45534.63586805556</v>
      </c>
      <c r="C390" s="1" t="n">
        <v>46033</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15639-2024</t>
        </is>
      </c>
      <c r="B391" s="1" t="n">
        <v>45403</v>
      </c>
      <c r="C391" s="1" t="n">
        <v>46033</v>
      </c>
      <c r="D391" t="inlineStr">
        <is>
          <t>VÄSTERBOTTENS LÄN</t>
        </is>
      </c>
      <c r="E391" t="inlineStr">
        <is>
          <t>VILHELMINA</t>
        </is>
      </c>
      <c r="G391" t="n">
        <v>81.90000000000001</v>
      </c>
      <c r="H391" t="n">
        <v>0</v>
      </c>
      <c r="I391" t="n">
        <v>0</v>
      </c>
      <c r="J391" t="n">
        <v>0</v>
      </c>
      <c r="K391" t="n">
        <v>0</v>
      </c>
      <c r="L391" t="n">
        <v>0</v>
      </c>
      <c r="M391" t="n">
        <v>0</v>
      </c>
      <c r="N391" t="n">
        <v>0</v>
      </c>
      <c r="O391" t="n">
        <v>0</v>
      </c>
      <c r="P391" t="n">
        <v>0</v>
      </c>
      <c r="Q391" t="n">
        <v>0</v>
      </c>
      <c r="R391" s="2" t="inlineStr"/>
    </row>
    <row r="392" ht="15" customHeight="1">
      <c r="A392" t="inlineStr">
        <is>
          <t>A 27601-2025</t>
        </is>
      </c>
      <c r="B392" s="1" t="n">
        <v>45813.52791666667</v>
      </c>
      <c r="C392" s="1" t="n">
        <v>46033</v>
      </c>
      <c r="D392" t="inlineStr">
        <is>
          <t>VÄSTERBOTTENS LÄN</t>
        </is>
      </c>
      <c r="E392" t="inlineStr">
        <is>
          <t>VILHELMINA</t>
        </is>
      </c>
      <c r="F392" t="inlineStr">
        <is>
          <t>Övriga statliga verk och myndigheter</t>
        </is>
      </c>
      <c r="G392" t="n">
        <v>36.5</v>
      </c>
      <c r="H392" t="n">
        <v>0</v>
      </c>
      <c r="I392" t="n">
        <v>0</v>
      </c>
      <c r="J392" t="n">
        <v>0</v>
      </c>
      <c r="K392" t="n">
        <v>0</v>
      </c>
      <c r="L392" t="n">
        <v>0</v>
      </c>
      <c r="M392" t="n">
        <v>0</v>
      </c>
      <c r="N392" t="n">
        <v>0</v>
      </c>
      <c r="O392" t="n">
        <v>0</v>
      </c>
      <c r="P392" t="n">
        <v>0</v>
      </c>
      <c r="Q392" t="n">
        <v>0</v>
      </c>
      <c r="R392" s="2" t="inlineStr"/>
    </row>
    <row r="393" ht="15" customHeight="1">
      <c r="A393" t="inlineStr">
        <is>
          <t>A 35757-2023</t>
        </is>
      </c>
      <c r="B393" s="1" t="n">
        <v>45147.95444444445</v>
      </c>
      <c r="C393" s="1" t="n">
        <v>46033</v>
      </c>
      <c r="D393" t="inlineStr">
        <is>
          <t>VÄSTERBOTTENS LÄN</t>
        </is>
      </c>
      <c r="E393" t="inlineStr">
        <is>
          <t>VILHELMINA</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46033</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12765-2025</t>
        </is>
      </c>
      <c r="B395" s="1" t="n">
        <v>45733</v>
      </c>
      <c r="C395" s="1" t="n">
        <v>46033</v>
      </c>
      <c r="D395" t="inlineStr">
        <is>
          <t>VÄSTERBOTTENS LÄN</t>
        </is>
      </c>
      <c r="E395" t="inlineStr">
        <is>
          <t>VILHELMINA</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31496-2023</t>
        </is>
      </c>
      <c r="B396" s="1" t="n">
        <v>45114.94138888889</v>
      </c>
      <c r="C396" s="1" t="n">
        <v>46033</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44017-2025</t>
        </is>
      </c>
      <c r="B397" s="1" t="n">
        <v>45915</v>
      </c>
      <c r="C397" s="1" t="n">
        <v>46033</v>
      </c>
      <c r="D397" t="inlineStr">
        <is>
          <t>VÄSTERBOTTENS LÄN</t>
        </is>
      </c>
      <c r="E397" t="inlineStr">
        <is>
          <t>VILHELMINA</t>
        </is>
      </c>
      <c r="G397" t="n">
        <v>1.5</v>
      </c>
      <c r="H397" t="n">
        <v>0</v>
      </c>
      <c r="I397" t="n">
        <v>0</v>
      </c>
      <c r="J397" t="n">
        <v>0</v>
      </c>
      <c r="K397" t="n">
        <v>0</v>
      </c>
      <c r="L397" t="n">
        <v>0</v>
      </c>
      <c r="M397" t="n">
        <v>0</v>
      </c>
      <c r="N397" t="n">
        <v>0</v>
      </c>
      <c r="O397" t="n">
        <v>0</v>
      </c>
      <c r="P397" t="n">
        <v>0</v>
      </c>
      <c r="Q397" t="n">
        <v>0</v>
      </c>
      <c r="R397" s="2" t="inlineStr"/>
    </row>
    <row r="398" ht="15" customHeight="1">
      <c r="A398" t="inlineStr">
        <is>
          <t>A 28722-2022</t>
        </is>
      </c>
      <c r="B398" s="1" t="n">
        <v>44748</v>
      </c>
      <c r="C398" s="1" t="n">
        <v>46033</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44015-2025</t>
        </is>
      </c>
      <c r="B399" s="1" t="n">
        <v>45915</v>
      </c>
      <c r="C399" s="1" t="n">
        <v>46033</v>
      </c>
      <c r="D399" t="inlineStr">
        <is>
          <t>VÄSTERBOTTENS LÄN</t>
        </is>
      </c>
      <c r="E399" t="inlineStr">
        <is>
          <t>VILHELMINA</t>
        </is>
      </c>
      <c r="G399" t="n">
        <v>1</v>
      </c>
      <c r="H399" t="n">
        <v>0</v>
      </c>
      <c r="I399" t="n">
        <v>0</v>
      </c>
      <c r="J399" t="n">
        <v>0</v>
      </c>
      <c r="K399" t="n">
        <v>0</v>
      </c>
      <c r="L399" t="n">
        <v>0</v>
      </c>
      <c r="M399" t="n">
        <v>0</v>
      </c>
      <c r="N399" t="n">
        <v>0</v>
      </c>
      <c r="O399" t="n">
        <v>0</v>
      </c>
      <c r="P399" t="n">
        <v>0</v>
      </c>
      <c r="Q399" t="n">
        <v>0</v>
      </c>
      <c r="R399" s="2" t="inlineStr"/>
    </row>
    <row r="400" ht="15" customHeight="1">
      <c r="A400" t="inlineStr">
        <is>
          <t>A 27943-2025</t>
        </is>
      </c>
      <c r="B400" s="1" t="n">
        <v>45817.51078703703</v>
      </c>
      <c r="C400" s="1" t="n">
        <v>46033</v>
      </c>
      <c r="D400" t="inlineStr">
        <is>
          <t>VÄSTERBOTTENS LÄN</t>
        </is>
      </c>
      <c r="E400" t="inlineStr">
        <is>
          <t>VILHELMINA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27952-2025</t>
        </is>
      </c>
      <c r="B401" s="1" t="n">
        <v>45817.53157407408</v>
      </c>
      <c r="C401" s="1" t="n">
        <v>46033</v>
      </c>
      <c r="D401" t="inlineStr">
        <is>
          <t>VÄSTERBOTTENS LÄN</t>
        </is>
      </c>
      <c r="E401" t="inlineStr">
        <is>
          <t>VILHELMINA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28016-2025</t>
        </is>
      </c>
      <c r="B402" s="1" t="n">
        <v>45817.61506944444</v>
      </c>
      <c r="C402" s="1" t="n">
        <v>46033</v>
      </c>
      <c r="D402" t="inlineStr">
        <is>
          <t>VÄSTERBOTTENS LÄN</t>
        </is>
      </c>
      <c r="E402" t="inlineStr">
        <is>
          <t>VILHELMINA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39914-2023</t>
        </is>
      </c>
      <c r="B403" s="1" t="n">
        <v>45166</v>
      </c>
      <c r="C403" s="1" t="n">
        <v>46033</v>
      </c>
      <c r="D403" t="inlineStr">
        <is>
          <t>VÄSTERBOTTENS LÄN</t>
        </is>
      </c>
      <c r="E403" t="inlineStr">
        <is>
          <t>VILHELMINA</t>
        </is>
      </c>
      <c r="G403" t="n">
        <v>27.5</v>
      </c>
      <c r="H403" t="n">
        <v>0</v>
      </c>
      <c r="I403" t="n">
        <v>0</v>
      </c>
      <c r="J403" t="n">
        <v>0</v>
      </c>
      <c r="K403" t="n">
        <v>0</v>
      </c>
      <c r="L403" t="n">
        <v>0</v>
      </c>
      <c r="M403" t="n">
        <v>0</v>
      </c>
      <c r="N403" t="n">
        <v>0</v>
      </c>
      <c r="O403" t="n">
        <v>0</v>
      </c>
      <c r="P403" t="n">
        <v>0</v>
      </c>
      <c r="Q403" t="n">
        <v>0</v>
      </c>
      <c r="R403" s="2" t="inlineStr"/>
    </row>
    <row r="404" ht="15" customHeight="1">
      <c r="A404" t="inlineStr">
        <is>
          <t>A 27945-2025</t>
        </is>
      </c>
      <c r="B404" s="1" t="n">
        <v>45817</v>
      </c>
      <c r="C404" s="1" t="n">
        <v>46033</v>
      </c>
      <c r="D404" t="inlineStr">
        <is>
          <t>VÄSTERBOTTENS LÄN</t>
        </is>
      </c>
      <c r="E404" t="inlineStr">
        <is>
          <t>VILHELMINA</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28071-2025</t>
        </is>
      </c>
      <c r="B405" s="1" t="n">
        <v>45817.67755787037</v>
      </c>
      <c r="C405" s="1" t="n">
        <v>46033</v>
      </c>
      <c r="D405" t="inlineStr">
        <is>
          <t>VÄSTERBOTTENS LÄN</t>
        </is>
      </c>
      <c r="E405" t="inlineStr">
        <is>
          <t>VILHELMINA</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28019-2025</t>
        </is>
      </c>
      <c r="B406" s="1" t="n">
        <v>45817.61545138889</v>
      </c>
      <c r="C406" s="1" t="n">
        <v>46033</v>
      </c>
      <c r="D406" t="inlineStr">
        <is>
          <t>VÄSTERBOTTENS LÄN</t>
        </is>
      </c>
      <c r="E406" t="inlineStr">
        <is>
          <t>VILHELMINA</t>
        </is>
      </c>
      <c r="F406" t="inlineStr">
        <is>
          <t>SCA</t>
        </is>
      </c>
      <c r="G406" t="n">
        <v>5</v>
      </c>
      <c r="H406" t="n">
        <v>0</v>
      </c>
      <c r="I406" t="n">
        <v>0</v>
      </c>
      <c r="J406" t="n">
        <v>0</v>
      </c>
      <c r="K406" t="n">
        <v>0</v>
      </c>
      <c r="L406" t="n">
        <v>0</v>
      </c>
      <c r="M406" t="n">
        <v>0</v>
      </c>
      <c r="N406" t="n">
        <v>0</v>
      </c>
      <c r="O406" t="n">
        <v>0</v>
      </c>
      <c r="P406" t="n">
        <v>0</v>
      </c>
      <c r="Q406" t="n">
        <v>0</v>
      </c>
      <c r="R406" s="2" t="inlineStr"/>
    </row>
    <row r="407" ht="15" customHeight="1">
      <c r="A407" t="inlineStr">
        <is>
          <t>A 28050-2025</t>
        </is>
      </c>
      <c r="B407" s="1" t="n">
        <v>45817.65658564815</v>
      </c>
      <c r="C407" s="1" t="n">
        <v>46033</v>
      </c>
      <c r="D407" t="inlineStr">
        <is>
          <t>VÄSTERBOTTENS LÄN</t>
        </is>
      </c>
      <c r="E407" t="inlineStr">
        <is>
          <t>VILHELMINA</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47483-2023</t>
        </is>
      </c>
      <c r="B408" s="1" t="n">
        <v>45202.9413425926</v>
      </c>
      <c r="C408" s="1" t="n">
        <v>46033</v>
      </c>
      <c r="D408" t="inlineStr">
        <is>
          <t>VÄSTERBOTTENS LÄN</t>
        </is>
      </c>
      <c r="E408" t="inlineStr">
        <is>
          <t>VILHELMINA</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18564-2022</t>
        </is>
      </c>
      <c r="B409" s="1" t="n">
        <v>44686</v>
      </c>
      <c r="C409" s="1" t="n">
        <v>46033</v>
      </c>
      <c r="D409" t="inlineStr">
        <is>
          <t>VÄSTERBOTTENS LÄN</t>
        </is>
      </c>
      <c r="E409" t="inlineStr">
        <is>
          <t>VILHELMINA</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52034-2025</t>
        </is>
      </c>
      <c r="B410" s="1" t="n">
        <v>45952.61252314815</v>
      </c>
      <c r="C410" s="1" t="n">
        <v>46033</v>
      </c>
      <c r="D410" t="inlineStr">
        <is>
          <t>VÄSTERBOTTENS LÄN</t>
        </is>
      </c>
      <c r="E410" t="inlineStr">
        <is>
          <t>VILHELMINA</t>
        </is>
      </c>
      <c r="G410" t="n">
        <v>9.6</v>
      </c>
      <c r="H410" t="n">
        <v>0</v>
      </c>
      <c r="I410" t="n">
        <v>0</v>
      </c>
      <c r="J410" t="n">
        <v>0</v>
      </c>
      <c r="K410" t="n">
        <v>0</v>
      </c>
      <c r="L410" t="n">
        <v>0</v>
      </c>
      <c r="M410" t="n">
        <v>0</v>
      </c>
      <c r="N410" t="n">
        <v>0</v>
      </c>
      <c r="O410" t="n">
        <v>0</v>
      </c>
      <c r="P410" t="n">
        <v>0</v>
      </c>
      <c r="Q410" t="n">
        <v>0</v>
      </c>
      <c r="R410" s="2" t="inlineStr"/>
    </row>
    <row r="411" ht="15" customHeight="1">
      <c r="A411" t="inlineStr">
        <is>
          <t>A 21965-2025</t>
        </is>
      </c>
      <c r="B411" s="1" t="n">
        <v>45784</v>
      </c>
      <c r="C411" s="1" t="n">
        <v>46033</v>
      </c>
      <c r="D411" t="inlineStr">
        <is>
          <t>VÄSTERBOTTENS LÄN</t>
        </is>
      </c>
      <c r="E411" t="inlineStr">
        <is>
          <t>VILHELMINA</t>
        </is>
      </c>
      <c r="G411" t="n">
        <v>7.4</v>
      </c>
      <c r="H411" t="n">
        <v>0</v>
      </c>
      <c r="I411" t="n">
        <v>0</v>
      </c>
      <c r="J411" t="n">
        <v>0</v>
      </c>
      <c r="K411" t="n">
        <v>0</v>
      </c>
      <c r="L411" t="n">
        <v>0</v>
      </c>
      <c r="M411" t="n">
        <v>0</v>
      </c>
      <c r="N411" t="n">
        <v>0</v>
      </c>
      <c r="O411" t="n">
        <v>0</v>
      </c>
      <c r="P411" t="n">
        <v>0</v>
      </c>
      <c r="Q411" t="n">
        <v>0</v>
      </c>
      <c r="R411" s="2" t="inlineStr"/>
    </row>
    <row r="412" ht="15" customHeight="1">
      <c r="A412" t="inlineStr">
        <is>
          <t>A 40732-2024</t>
        </is>
      </c>
      <c r="B412" s="1" t="n">
        <v>45558</v>
      </c>
      <c r="C412" s="1" t="n">
        <v>46033</v>
      </c>
      <c r="D412" t="inlineStr">
        <is>
          <t>VÄSTERBOTTENS LÄN</t>
        </is>
      </c>
      <c r="E412" t="inlineStr">
        <is>
          <t>VILHELMINA</t>
        </is>
      </c>
      <c r="F412" t="inlineStr">
        <is>
          <t>Allmännings- och besparingsskogar</t>
        </is>
      </c>
      <c r="G412" t="n">
        <v>90</v>
      </c>
      <c r="H412" t="n">
        <v>0</v>
      </c>
      <c r="I412" t="n">
        <v>0</v>
      </c>
      <c r="J412" t="n">
        <v>0</v>
      </c>
      <c r="K412" t="n">
        <v>0</v>
      </c>
      <c r="L412" t="n">
        <v>0</v>
      </c>
      <c r="M412" t="n">
        <v>0</v>
      </c>
      <c r="N412" t="n">
        <v>0</v>
      </c>
      <c r="O412" t="n">
        <v>0</v>
      </c>
      <c r="P412" t="n">
        <v>0</v>
      </c>
      <c r="Q412" t="n">
        <v>0</v>
      </c>
      <c r="R412" s="2" t="inlineStr"/>
    </row>
    <row r="413" ht="15" customHeight="1">
      <c r="A413" t="inlineStr">
        <is>
          <t>A 59031-2024</t>
        </is>
      </c>
      <c r="B413" s="1" t="n">
        <v>45636</v>
      </c>
      <c r="C413" s="1" t="n">
        <v>46033</v>
      </c>
      <c r="D413" t="inlineStr">
        <is>
          <t>VÄSTERBOTTENS LÄN</t>
        </is>
      </c>
      <c r="E413" t="inlineStr">
        <is>
          <t>VILHELMINA</t>
        </is>
      </c>
      <c r="G413" t="n">
        <v>40</v>
      </c>
      <c r="H413" t="n">
        <v>0</v>
      </c>
      <c r="I413" t="n">
        <v>0</v>
      </c>
      <c r="J413" t="n">
        <v>0</v>
      </c>
      <c r="K413" t="n">
        <v>0</v>
      </c>
      <c r="L413" t="n">
        <v>0</v>
      </c>
      <c r="M413" t="n">
        <v>0</v>
      </c>
      <c r="N413" t="n">
        <v>0</v>
      </c>
      <c r="O413" t="n">
        <v>0</v>
      </c>
      <c r="P413" t="n">
        <v>0</v>
      </c>
      <c r="Q413" t="n">
        <v>0</v>
      </c>
      <c r="R413" s="2" t="inlineStr"/>
    </row>
    <row r="414" ht="15" customHeight="1">
      <c r="A414" t="inlineStr">
        <is>
          <t>A 52334-2025</t>
        </is>
      </c>
      <c r="B414" s="1" t="n">
        <v>45953.68225694444</v>
      </c>
      <c r="C414" s="1" t="n">
        <v>46033</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44626-2025</t>
        </is>
      </c>
      <c r="B415" s="1" t="n">
        <v>45917</v>
      </c>
      <c r="C415" s="1" t="n">
        <v>46033</v>
      </c>
      <c r="D415" t="inlineStr">
        <is>
          <t>VÄSTERBOTTENS LÄN</t>
        </is>
      </c>
      <c r="E415" t="inlineStr">
        <is>
          <t>VILHELMINA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28897-2025</t>
        </is>
      </c>
      <c r="B416" s="1" t="n">
        <v>45820.6360300926</v>
      </c>
      <c r="C416" s="1" t="n">
        <v>46033</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32455-2024</t>
        </is>
      </c>
      <c r="B417" s="1" t="n">
        <v>45512.95870370371</v>
      </c>
      <c r="C417" s="1" t="n">
        <v>46033</v>
      </c>
      <c r="D417" t="inlineStr">
        <is>
          <t>VÄSTERBOTTENS LÄN</t>
        </is>
      </c>
      <c r="E417" t="inlineStr">
        <is>
          <t>VILHELMINA</t>
        </is>
      </c>
      <c r="F417" t="inlineStr">
        <is>
          <t>SCA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29120-2025</t>
        </is>
      </c>
      <c r="B418" s="1" t="n">
        <v>45821</v>
      </c>
      <c r="C418" s="1" t="n">
        <v>46033</v>
      </c>
      <c r="D418" t="inlineStr">
        <is>
          <t>VÄSTERBOTTENS LÄN</t>
        </is>
      </c>
      <c r="E418" t="inlineStr">
        <is>
          <t>VILHELMINA</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55327-2023</t>
        </is>
      </c>
      <c r="B419" s="1" t="n">
        <v>45237.97375</v>
      </c>
      <c r="C419" s="1" t="n">
        <v>46033</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45027-2025</t>
        </is>
      </c>
      <c r="B420" s="1" t="n">
        <v>45918</v>
      </c>
      <c r="C420" s="1" t="n">
        <v>46033</v>
      </c>
      <c r="D420" t="inlineStr">
        <is>
          <t>VÄSTERBOTTENS LÄN</t>
        </is>
      </c>
      <c r="E420" t="inlineStr">
        <is>
          <t>VILHELMINA</t>
        </is>
      </c>
      <c r="G420" t="n">
        <v>14.3</v>
      </c>
      <c r="H420" t="n">
        <v>0</v>
      </c>
      <c r="I420" t="n">
        <v>0</v>
      </c>
      <c r="J420" t="n">
        <v>0</v>
      </c>
      <c r="K420" t="n">
        <v>0</v>
      </c>
      <c r="L420" t="n">
        <v>0</v>
      </c>
      <c r="M420" t="n">
        <v>0</v>
      </c>
      <c r="N420" t="n">
        <v>0</v>
      </c>
      <c r="O420" t="n">
        <v>0</v>
      </c>
      <c r="P420" t="n">
        <v>0</v>
      </c>
      <c r="Q420" t="n">
        <v>0</v>
      </c>
      <c r="R420" s="2" t="inlineStr"/>
    </row>
    <row r="421" ht="15" customHeight="1">
      <c r="A421" t="inlineStr">
        <is>
          <t>A 29466-2025</t>
        </is>
      </c>
      <c r="B421" s="1" t="n">
        <v>45824.69865740741</v>
      </c>
      <c r="C421" s="1" t="n">
        <v>46033</v>
      </c>
      <c r="D421" t="inlineStr">
        <is>
          <t>VÄSTERBOTTENS LÄN</t>
        </is>
      </c>
      <c r="E421" t="inlineStr">
        <is>
          <t>VILHELMINA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29203-2025</t>
        </is>
      </c>
      <c r="B422" s="1" t="n">
        <v>45823</v>
      </c>
      <c r="C422" s="1" t="n">
        <v>46033</v>
      </c>
      <c r="D422" t="inlineStr">
        <is>
          <t>VÄSTERBOTTENS LÄN</t>
        </is>
      </c>
      <c r="E422" t="inlineStr">
        <is>
          <t>VILHELMINA</t>
        </is>
      </c>
      <c r="G422" t="n">
        <v>2.3</v>
      </c>
      <c r="H422" t="n">
        <v>0</v>
      </c>
      <c r="I422" t="n">
        <v>0</v>
      </c>
      <c r="J422" t="n">
        <v>0</v>
      </c>
      <c r="K422" t="n">
        <v>0</v>
      </c>
      <c r="L422" t="n">
        <v>0</v>
      </c>
      <c r="M422" t="n">
        <v>0</v>
      </c>
      <c r="N422" t="n">
        <v>0</v>
      </c>
      <c r="O422" t="n">
        <v>0</v>
      </c>
      <c r="P422" t="n">
        <v>0</v>
      </c>
      <c r="Q422" t="n">
        <v>0</v>
      </c>
      <c r="R422" s="2" t="inlineStr"/>
    </row>
    <row r="423" ht="15" customHeight="1">
      <c r="A423" t="inlineStr">
        <is>
          <t>A 29234-2025</t>
        </is>
      </c>
      <c r="B423" s="1" t="n">
        <v>45824.34478009259</v>
      </c>
      <c r="C423" s="1" t="n">
        <v>46033</v>
      </c>
      <c r="D423" t="inlineStr">
        <is>
          <t>VÄSTERBOTTENS LÄN</t>
        </is>
      </c>
      <c r="E423" t="inlineStr">
        <is>
          <t>VILHELMINA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38187-2024</t>
        </is>
      </c>
      <c r="B424" s="1" t="n">
        <v>45545.49028935185</v>
      </c>
      <c r="C424" s="1" t="n">
        <v>46033</v>
      </c>
      <c r="D424" t="inlineStr">
        <is>
          <t>VÄSTERBOTTENS LÄN</t>
        </is>
      </c>
      <c r="E424" t="inlineStr">
        <is>
          <t>VILHELMINA</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40505-2024</t>
        </is>
      </c>
      <c r="B425" s="1" t="n">
        <v>45555.57373842593</v>
      </c>
      <c r="C425" s="1" t="n">
        <v>46033</v>
      </c>
      <c r="D425" t="inlineStr">
        <is>
          <t>VÄSTERBOTTENS LÄN</t>
        </is>
      </c>
      <c r="E425" t="inlineStr">
        <is>
          <t>VILHELMINA</t>
        </is>
      </c>
      <c r="G425" t="n">
        <v>0.3</v>
      </c>
      <c r="H425" t="n">
        <v>0</v>
      </c>
      <c r="I425" t="n">
        <v>0</v>
      </c>
      <c r="J425" t="n">
        <v>0</v>
      </c>
      <c r="K425" t="n">
        <v>0</v>
      </c>
      <c r="L425" t="n">
        <v>0</v>
      </c>
      <c r="M425" t="n">
        <v>0</v>
      </c>
      <c r="N425" t="n">
        <v>0</v>
      </c>
      <c r="O425" t="n">
        <v>0</v>
      </c>
      <c r="P425" t="n">
        <v>0</v>
      </c>
      <c r="Q425" t="n">
        <v>0</v>
      </c>
      <c r="R425" s="2" t="inlineStr"/>
    </row>
    <row r="426" ht="15" customHeight="1">
      <c r="A426" t="inlineStr">
        <is>
          <t>A 45749-2025</t>
        </is>
      </c>
      <c r="B426" s="1" t="n">
        <v>45923.48195601852</v>
      </c>
      <c r="C426" s="1" t="n">
        <v>46033</v>
      </c>
      <c r="D426" t="inlineStr">
        <is>
          <t>VÄSTERBOTTENS LÄN</t>
        </is>
      </c>
      <c r="E426" t="inlineStr">
        <is>
          <t>VILHELMINA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29468-2025</t>
        </is>
      </c>
      <c r="B427" s="1" t="n">
        <v>45824.69888888889</v>
      </c>
      <c r="C427" s="1" t="n">
        <v>46033</v>
      </c>
      <c r="D427" t="inlineStr">
        <is>
          <t>VÄSTERBOTTENS LÄN</t>
        </is>
      </c>
      <c r="E427" t="inlineStr">
        <is>
          <t>VILHELMINA</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35412-2024</t>
        </is>
      </c>
      <c r="B428" s="1" t="n">
        <v>45531.4075</v>
      </c>
      <c r="C428" s="1" t="n">
        <v>46033</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45435-2025</t>
        </is>
      </c>
      <c r="B429" s="1" t="n">
        <v>45922.46759259259</v>
      </c>
      <c r="C429" s="1" t="n">
        <v>46033</v>
      </c>
      <c r="D429" t="inlineStr">
        <is>
          <t>VÄSTERBOTTENS LÄN</t>
        </is>
      </c>
      <c r="E429" t="inlineStr">
        <is>
          <t>VILHELMINA</t>
        </is>
      </c>
      <c r="G429" t="n">
        <v>4.6</v>
      </c>
      <c r="H429" t="n">
        <v>0</v>
      </c>
      <c r="I429" t="n">
        <v>0</v>
      </c>
      <c r="J429" t="n">
        <v>0</v>
      </c>
      <c r="K429" t="n">
        <v>0</v>
      </c>
      <c r="L429" t="n">
        <v>0</v>
      </c>
      <c r="M429" t="n">
        <v>0</v>
      </c>
      <c r="N429" t="n">
        <v>0</v>
      </c>
      <c r="O429" t="n">
        <v>0</v>
      </c>
      <c r="P429" t="n">
        <v>0</v>
      </c>
      <c r="Q429" t="n">
        <v>0</v>
      </c>
      <c r="R429" s="2" t="inlineStr"/>
    </row>
    <row r="430" ht="15" customHeight="1">
      <c r="A430" t="inlineStr">
        <is>
          <t>A 55978-2024</t>
        </is>
      </c>
      <c r="B430" s="1" t="n">
        <v>45623</v>
      </c>
      <c r="C430" s="1" t="n">
        <v>46033</v>
      </c>
      <c r="D430" t="inlineStr">
        <is>
          <t>VÄSTERBOTTENS LÄN</t>
        </is>
      </c>
      <c r="E430" t="inlineStr">
        <is>
          <t>VILHELMINA</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45271-2025</t>
        </is>
      </c>
      <c r="B431" s="1" t="n">
        <v>45919</v>
      </c>
      <c r="C431" s="1" t="n">
        <v>46033</v>
      </c>
      <c r="D431" t="inlineStr">
        <is>
          <t>VÄSTERBOTTENS LÄN</t>
        </is>
      </c>
      <c r="E431" t="inlineStr">
        <is>
          <t>VILHELMINA</t>
        </is>
      </c>
      <c r="G431" t="n">
        <v>8.6</v>
      </c>
      <c r="H431" t="n">
        <v>0</v>
      </c>
      <c r="I431" t="n">
        <v>0</v>
      </c>
      <c r="J431" t="n">
        <v>0</v>
      </c>
      <c r="K431" t="n">
        <v>0</v>
      </c>
      <c r="L431" t="n">
        <v>0</v>
      </c>
      <c r="M431" t="n">
        <v>0</v>
      </c>
      <c r="N431" t="n">
        <v>0</v>
      </c>
      <c r="O431" t="n">
        <v>0</v>
      </c>
      <c r="P431" t="n">
        <v>0</v>
      </c>
      <c r="Q431" t="n">
        <v>0</v>
      </c>
      <c r="R431" s="2" t="inlineStr"/>
    </row>
    <row r="432" ht="15" customHeight="1">
      <c r="A432" t="inlineStr">
        <is>
          <t>A 60518-2025</t>
        </is>
      </c>
      <c r="B432" s="1" t="n">
        <v>45994</v>
      </c>
      <c r="C432" s="1" t="n">
        <v>46033</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29940-2025</t>
        </is>
      </c>
      <c r="B433" s="1" t="n">
        <v>45826.45104166667</v>
      </c>
      <c r="C433" s="1" t="n">
        <v>46033</v>
      </c>
      <c r="D433" t="inlineStr">
        <is>
          <t>VÄSTERBOTTENS LÄN</t>
        </is>
      </c>
      <c r="E433" t="inlineStr">
        <is>
          <t>VILHELMINA</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29942-2025</t>
        </is>
      </c>
      <c r="B434" s="1" t="n">
        <v>45826.45702546297</v>
      </c>
      <c r="C434" s="1" t="n">
        <v>46033</v>
      </c>
      <c r="D434" t="inlineStr">
        <is>
          <t>VÄSTERBOTTENS LÄN</t>
        </is>
      </c>
      <c r="E434" t="inlineStr">
        <is>
          <t>VILHELMINA</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56891-2023</t>
        </is>
      </c>
      <c r="B435" s="1" t="n">
        <v>45239</v>
      </c>
      <c r="C435" s="1" t="n">
        <v>46033</v>
      </c>
      <c r="D435" t="inlineStr">
        <is>
          <t>VÄSTERBOTTENS LÄN</t>
        </is>
      </c>
      <c r="E435" t="inlineStr">
        <is>
          <t>VILHELMINA</t>
        </is>
      </c>
      <c r="G435" t="n">
        <v>1.1</v>
      </c>
      <c r="H435" t="n">
        <v>0</v>
      </c>
      <c r="I435" t="n">
        <v>0</v>
      </c>
      <c r="J435" t="n">
        <v>0</v>
      </c>
      <c r="K435" t="n">
        <v>0</v>
      </c>
      <c r="L435" t="n">
        <v>0</v>
      </c>
      <c r="M435" t="n">
        <v>0</v>
      </c>
      <c r="N435" t="n">
        <v>0</v>
      </c>
      <c r="O435" t="n">
        <v>0</v>
      </c>
      <c r="P435" t="n">
        <v>0</v>
      </c>
      <c r="Q435" t="n">
        <v>0</v>
      </c>
      <c r="R435" s="2" t="inlineStr"/>
    </row>
    <row r="436" ht="15" customHeight="1">
      <c r="A436" t="inlineStr">
        <is>
          <t>A 36082-2022</t>
        </is>
      </c>
      <c r="B436" s="1" t="n">
        <v>44802</v>
      </c>
      <c r="C436" s="1" t="n">
        <v>46033</v>
      </c>
      <c r="D436" t="inlineStr">
        <is>
          <t>VÄSTERBOTTENS LÄN</t>
        </is>
      </c>
      <c r="E436" t="inlineStr">
        <is>
          <t>VILHELMINA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30553-2025</t>
        </is>
      </c>
      <c r="B437" s="1" t="n">
        <v>45831.38579861111</v>
      </c>
      <c r="C437" s="1" t="n">
        <v>46033</v>
      </c>
      <c r="D437" t="inlineStr">
        <is>
          <t>VÄSTERBOTTENS LÄN</t>
        </is>
      </c>
      <c r="E437" t="inlineStr">
        <is>
          <t>VILHELMINA</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38569-2024</t>
        </is>
      </c>
      <c r="B438" s="1" t="n">
        <v>45546.63689814815</v>
      </c>
      <c r="C438" s="1" t="n">
        <v>46033</v>
      </c>
      <c r="D438" t="inlineStr">
        <is>
          <t>VÄSTERBOTTENS LÄN</t>
        </is>
      </c>
      <c r="E438" t="inlineStr">
        <is>
          <t>VILHELMINA</t>
        </is>
      </c>
      <c r="G438" t="n">
        <v>31.5</v>
      </c>
      <c r="H438" t="n">
        <v>0</v>
      </c>
      <c r="I438" t="n">
        <v>0</v>
      </c>
      <c r="J438" t="n">
        <v>0</v>
      </c>
      <c r="K438" t="n">
        <v>0</v>
      </c>
      <c r="L438" t="n">
        <v>0</v>
      </c>
      <c r="M438" t="n">
        <v>0</v>
      </c>
      <c r="N438" t="n">
        <v>0</v>
      </c>
      <c r="O438" t="n">
        <v>0</v>
      </c>
      <c r="P438" t="n">
        <v>0</v>
      </c>
      <c r="Q438" t="n">
        <v>0</v>
      </c>
      <c r="R438" s="2" t="inlineStr"/>
    </row>
    <row r="439" ht="15" customHeight="1">
      <c r="A439" t="inlineStr">
        <is>
          <t>A 60549-2025</t>
        </is>
      </c>
      <c r="B439" s="1" t="n">
        <v>45995.71637731481</v>
      </c>
      <c r="C439" s="1" t="n">
        <v>46033</v>
      </c>
      <c r="D439" t="inlineStr">
        <is>
          <t>VÄSTERBOTTENS LÄN</t>
        </is>
      </c>
      <c r="E439" t="inlineStr">
        <is>
          <t>VILHELMINA</t>
        </is>
      </c>
      <c r="G439" t="n">
        <v>19.6</v>
      </c>
      <c r="H439" t="n">
        <v>0</v>
      </c>
      <c r="I439" t="n">
        <v>0</v>
      </c>
      <c r="J439" t="n">
        <v>0</v>
      </c>
      <c r="K439" t="n">
        <v>0</v>
      </c>
      <c r="L439" t="n">
        <v>0</v>
      </c>
      <c r="M439" t="n">
        <v>0</v>
      </c>
      <c r="N439" t="n">
        <v>0</v>
      </c>
      <c r="O439" t="n">
        <v>0</v>
      </c>
      <c r="P439" t="n">
        <v>0</v>
      </c>
      <c r="Q439" t="n">
        <v>0</v>
      </c>
      <c r="R439" s="2" t="inlineStr"/>
    </row>
    <row r="440" ht="15" customHeight="1">
      <c r="A440" t="inlineStr">
        <is>
          <t>A 44285-2024</t>
        </is>
      </c>
      <c r="B440" s="1" t="n">
        <v>45573</v>
      </c>
      <c r="C440" s="1" t="n">
        <v>46033</v>
      </c>
      <c r="D440" t="inlineStr">
        <is>
          <t>VÄSTERBOTTENS LÄN</t>
        </is>
      </c>
      <c r="E440" t="inlineStr">
        <is>
          <t>VILHELMINA</t>
        </is>
      </c>
      <c r="G440" t="n">
        <v>30.9</v>
      </c>
      <c r="H440" t="n">
        <v>0</v>
      </c>
      <c r="I440" t="n">
        <v>0</v>
      </c>
      <c r="J440" t="n">
        <v>0</v>
      </c>
      <c r="K440" t="n">
        <v>0</v>
      </c>
      <c r="L440" t="n">
        <v>0</v>
      </c>
      <c r="M440" t="n">
        <v>0</v>
      </c>
      <c r="N440" t="n">
        <v>0</v>
      </c>
      <c r="O440" t="n">
        <v>0</v>
      </c>
      <c r="P440" t="n">
        <v>0</v>
      </c>
      <c r="Q440" t="n">
        <v>0</v>
      </c>
      <c r="R440" s="2" t="inlineStr"/>
    </row>
    <row r="441" ht="15" customHeight="1">
      <c r="A441" t="inlineStr">
        <is>
          <t>A 47035-2025</t>
        </is>
      </c>
      <c r="B441" s="1" t="n">
        <v>45929.59428240741</v>
      </c>
      <c r="C441" s="1" t="n">
        <v>46033</v>
      </c>
      <c r="D441" t="inlineStr">
        <is>
          <t>VÄSTERBOTTENS LÄN</t>
        </is>
      </c>
      <c r="E441" t="inlineStr">
        <is>
          <t>VILHELMINA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46934-2025</t>
        </is>
      </c>
      <c r="B442" s="1" t="n">
        <v>45929</v>
      </c>
      <c r="C442" s="1" t="n">
        <v>46033</v>
      </c>
      <c r="D442" t="inlineStr">
        <is>
          <t>VÄSTERBOTTENS LÄN</t>
        </is>
      </c>
      <c r="E442" t="inlineStr">
        <is>
          <t>VILHELMINA</t>
        </is>
      </c>
      <c r="F442" t="inlineStr">
        <is>
          <t>SCA</t>
        </is>
      </c>
      <c r="G442" t="n">
        <v>20</v>
      </c>
      <c r="H442" t="n">
        <v>0</v>
      </c>
      <c r="I442" t="n">
        <v>0</v>
      </c>
      <c r="J442" t="n">
        <v>0</v>
      </c>
      <c r="K442" t="n">
        <v>0</v>
      </c>
      <c r="L442" t="n">
        <v>0</v>
      </c>
      <c r="M442" t="n">
        <v>0</v>
      </c>
      <c r="N442" t="n">
        <v>0</v>
      </c>
      <c r="O442" t="n">
        <v>0</v>
      </c>
      <c r="P442" t="n">
        <v>0</v>
      </c>
      <c r="Q442" t="n">
        <v>0</v>
      </c>
      <c r="R442" s="2" t="inlineStr"/>
    </row>
    <row r="443" ht="15" customHeight="1">
      <c r="A443" t="inlineStr">
        <is>
          <t>A 46970-2025</t>
        </is>
      </c>
      <c r="B443" s="1" t="n">
        <v>45929.50732638889</v>
      </c>
      <c r="C443" s="1" t="n">
        <v>46033</v>
      </c>
      <c r="D443" t="inlineStr">
        <is>
          <t>VÄSTERBOTTENS LÄN</t>
        </is>
      </c>
      <c r="E443" t="inlineStr">
        <is>
          <t>VILHELMINA</t>
        </is>
      </c>
      <c r="G443" t="n">
        <v>6.4</v>
      </c>
      <c r="H443" t="n">
        <v>0</v>
      </c>
      <c r="I443" t="n">
        <v>0</v>
      </c>
      <c r="J443" t="n">
        <v>0</v>
      </c>
      <c r="K443" t="n">
        <v>0</v>
      </c>
      <c r="L443" t="n">
        <v>0</v>
      </c>
      <c r="M443" t="n">
        <v>0</v>
      </c>
      <c r="N443" t="n">
        <v>0</v>
      </c>
      <c r="O443" t="n">
        <v>0</v>
      </c>
      <c r="P443" t="n">
        <v>0</v>
      </c>
      <c r="Q443" t="n">
        <v>0</v>
      </c>
      <c r="R443" s="2" t="inlineStr"/>
    </row>
    <row r="444" ht="15" customHeight="1">
      <c r="A444" t="inlineStr">
        <is>
          <t>A 5435-2024</t>
        </is>
      </c>
      <c r="B444" s="1" t="n">
        <v>45331</v>
      </c>
      <c r="C444" s="1" t="n">
        <v>46033</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12368-2025</t>
        </is>
      </c>
      <c r="B445" s="1" t="n">
        <v>45730.37633101852</v>
      </c>
      <c r="C445" s="1" t="n">
        <v>46033</v>
      </c>
      <c r="D445" t="inlineStr">
        <is>
          <t>VÄSTERBOTTENS LÄN</t>
        </is>
      </c>
      <c r="E445" t="inlineStr">
        <is>
          <t>VILHELMINA</t>
        </is>
      </c>
      <c r="F445" t="inlineStr">
        <is>
          <t>Övriga statliga verk och myndigheter</t>
        </is>
      </c>
      <c r="G445" t="n">
        <v>14.8</v>
      </c>
      <c r="H445" t="n">
        <v>0</v>
      </c>
      <c r="I445" t="n">
        <v>0</v>
      </c>
      <c r="J445" t="n">
        <v>0</v>
      </c>
      <c r="K445" t="n">
        <v>0</v>
      </c>
      <c r="L445" t="n">
        <v>0</v>
      </c>
      <c r="M445" t="n">
        <v>0</v>
      </c>
      <c r="N445" t="n">
        <v>0</v>
      </c>
      <c r="O445" t="n">
        <v>0</v>
      </c>
      <c r="P445" t="n">
        <v>0</v>
      </c>
      <c r="Q445" t="n">
        <v>0</v>
      </c>
      <c r="R445" s="2" t="inlineStr"/>
    </row>
    <row r="446" ht="15" customHeight="1">
      <c r="A446" t="inlineStr">
        <is>
          <t>A 12373-2025</t>
        </is>
      </c>
      <c r="B446" s="1" t="n">
        <v>45730</v>
      </c>
      <c r="C446" s="1" t="n">
        <v>46033</v>
      </c>
      <c r="D446" t="inlineStr">
        <is>
          <t>VÄSTERBOTTENS LÄN</t>
        </is>
      </c>
      <c r="E446" t="inlineStr">
        <is>
          <t>VILHELMINA</t>
        </is>
      </c>
      <c r="F446" t="inlineStr">
        <is>
          <t>Övriga statliga verk och myndigheter</t>
        </is>
      </c>
      <c r="G446" t="n">
        <v>25.5</v>
      </c>
      <c r="H446" t="n">
        <v>0</v>
      </c>
      <c r="I446" t="n">
        <v>0</v>
      </c>
      <c r="J446" t="n">
        <v>0</v>
      </c>
      <c r="K446" t="n">
        <v>0</v>
      </c>
      <c r="L446" t="n">
        <v>0</v>
      </c>
      <c r="M446" t="n">
        <v>0</v>
      </c>
      <c r="N446" t="n">
        <v>0</v>
      </c>
      <c r="O446" t="n">
        <v>0</v>
      </c>
      <c r="P446" t="n">
        <v>0</v>
      </c>
      <c r="Q446" t="n">
        <v>0</v>
      </c>
      <c r="R446" s="2" t="inlineStr"/>
    </row>
    <row r="447" ht="15" customHeight="1">
      <c r="A447" t="inlineStr">
        <is>
          <t>A 31307-2025</t>
        </is>
      </c>
      <c r="B447" s="1" t="n">
        <v>45833</v>
      </c>
      <c r="C447" s="1" t="n">
        <v>46033</v>
      </c>
      <c r="D447" t="inlineStr">
        <is>
          <t>VÄSTERBOTTENS LÄN</t>
        </is>
      </c>
      <c r="E447" t="inlineStr">
        <is>
          <t>VILHELMINA</t>
        </is>
      </c>
      <c r="G447" t="n">
        <v>9.9</v>
      </c>
      <c r="H447" t="n">
        <v>0</v>
      </c>
      <c r="I447" t="n">
        <v>0</v>
      </c>
      <c r="J447" t="n">
        <v>0</v>
      </c>
      <c r="K447" t="n">
        <v>0</v>
      </c>
      <c r="L447" t="n">
        <v>0</v>
      </c>
      <c r="M447" t="n">
        <v>0</v>
      </c>
      <c r="N447" t="n">
        <v>0</v>
      </c>
      <c r="O447" t="n">
        <v>0</v>
      </c>
      <c r="P447" t="n">
        <v>0</v>
      </c>
      <c r="Q447" t="n">
        <v>0</v>
      </c>
      <c r="R447" s="2" t="inlineStr"/>
    </row>
    <row r="448" ht="15" customHeight="1">
      <c r="A448" t="inlineStr">
        <is>
          <t>A 15617-2024</t>
        </is>
      </c>
      <c r="B448" s="1" t="n">
        <v>45401.94358796296</v>
      </c>
      <c r="C448" s="1" t="n">
        <v>46033</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58934-2024</t>
        </is>
      </c>
      <c r="B449" s="1" t="n">
        <v>45636</v>
      </c>
      <c r="C449" s="1" t="n">
        <v>46033</v>
      </c>
      <c r="D449" t="inlineStr">
        <is>
          <t>VÄSTERBOTTENS LÄN</t>
        </is>
      </c>
      <c r="E449" t="inlineStr">
        <is>
          <t>VILHELMINA</t>
        </is>
      </c>
      <c r="F449" t="inlineStr">
        <is>
          <t>Allmännings- och besparingsskogar</t>
        </is>
      </c>
      <c r="G449" t="n">
        <v>45.6</v>
      </c>
      <c r="H449" t="n">
        <v>0</v>
      </c>
      <c r="I449" t="n">
        <v>0</v>
      </c>
      <c r="J449" t="n">
        <v>0</v>
      </c>
      <c r="K449" t="n">
        <v>0</v>
      </c>
      <c r="L449" t="n">
        <v>0</v>
      </c>
      <c r="M449" t="n">
        <v>0</v>
      </c>
      <c r="N449" t="n">
        <v>0</v>
      </c>
      <c r="O449" t="n">
        <v>0</v>
      </c>
      <c r="P449" t="n">
        <v>0</v>
      </c>
      <c r="Q449" t="n">
        <v>0</v>
      </c>
      <c r="R449" s="2" t="inlineStr"/>
    </row>
    <row r="450" ht="15" customHeight="1">
      <c r="A450" t="inlineStr">
        <is>
          <t>A 55736-2025</t>
        </is>
      </c>
      <c r="B450" s="1" t="n">
        <v>45972</v>
      </c>
      <c r="C450" s="1" t="n">
        <v>46033</v>
      </c>
      <c r="D450" t="inlineStr">
        <is>
          <t>VÄSTERBOTTENS LÄN</t>
        </is>
      </c>
      <c r="E450" t="inlineStr">
        <is>
          <t>VILHELMINA</t>
        </is>
      </c>
      <c r="G450" t="n">
        <v>22.9</v>
      </c>
      <c r="H450" t="n">
        <v>0</v>
      </c>
      <c r="I450" t="n">
        <v>0</v>
      </c>
      <c r="J450" t="n">
        <v>0</v>
      </c>
      <c r="K450" t="n">
        <v>0</v>
      </c>
      <c r="L450" t="n">
        <v>0</v>
      </c>
      <c r="M450" t="n">
        <v>0</v>
      </c>
      <c r="N450" t="n">
        <v>0</v>
      </c>
      <c r="O450" t="n">
        <v>0</v>
      </c>
      <c r="P450" t="n">
        <v>0</v>
      </c>
      <c r="Q450" t="n">
        <v>0</v>
      </c>
      <c r="R450" s="2" t="inlineStr"/>
    </row>
    <row r="451" ht="15" customHeight="1">
      <c r="A451" t="inlineStr">
        <is>
          <t>A 31308-2025</t>
        </is>
      </c>
      <c r="B451" s="1" t="n">
        <v>45833</v>
      </c>
      <c r="C451" s="1" t="n">
        <v>46033</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31730-2025</t>
        </is>
      </c>
      <c r="B452" s="1" t="n">
        <v>45834</v>
      </c>
      <c r="C452" s="1" t="n">
        <v>46033</v>
      </c>
      <c r="D452" t="inlineStr">
        <is>
          <t>VÄSTERBOTTENS LÄN</t>
        </is>
      </c>
      <c r="E452" t="inlineStr">
        <is>
          <t>VILHELMINA</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55742-2025</t>
        </is>
      </c>
      <c r="B453" s="1" t="n">
        <v>45972</v>
      </c>
      <c r="C453" s="1" t="n">
        <v>46033</v>
      </c>
      <c r="D453" t="inlineStr">
        <is>
          <t>VÄSTERBOTTENS LÄN</t>
        </is>
      </c>
      <c r="E453" t="inlineStr">
        <is>
          <t>VILHELMINA</t>
        </is>
      </c>
      <c r="G453" t="n">
        <v>36.2</v>
      </c>
      <c r="H453" t="n">
        <v>0</v>
      </c>
      <c r="I453" t="n">
        <v>0</v>
      </c>
      <c r="J453" t="n">
        <v>0</v>
      </c>
      <c r="K453" t="n">
        <v>0</v>
      </c>
      <c r="L453" t="n">
        <v>0</v>
      </c>
      <c r="M453" t="n">
        <v>0</v>
      </c>
      <c r="N453" t="n">
        <v>0</v>
      </c>
      <c r="O453" t="n">
        <v>0</v>
      </c>
      <c r="P453" t="n">
        <v>0</v>
      </c>
      <c r="Q453" t="n">
        <v>0</v>
      </c>
      <c r="R453" s="2" t="inlineStr"/>
    </row>
    <row r="454" ht="15" customHeight="1">
      <c r="A454" t="inlineStr">
        <is>
          <t>A 8215-2023</t>
        </is>
      </c>
      <c r="B454" s="1" t="n">
        <v>44971</v>
      </c>
      <c r="C454" s="1" t="n">
        <v>46033</v>
      </c>
      <c r="D454" t="inlineStr">
        <is>
          <t>VÄSTERBOTTENS LÄN</t>
        </is>
      </c>
      <c r="E454" t="inlineStr">
        <is>
          <t>VILHELMINA</t>
        </is>
      </c>
      <c r="G454" t="n">
        <v>0.8</v>
      </c>
      <c r="H454" t="n">
        <v>0</v>
      </c>
      <c r="I454" t="n">
        <v>0</v>
      </c>
      <c r="J454" t="n">
        <v>0</v>
      </c>
      <c r="K454" t="n">
        <v>0</v>
      </c>
      <c r="L454" t="n">
        <v>0</v>
      </c>
      <c r="M454" t="n">
        <v>0</v>
      </c>
      <c r="N454" t="n">
        <v>0</v>
      </c>
      <c r="O454" t="n">
        <v>0</v>
      </c>
      <c r="P454" t="n">
        <v>0</v>
      </c>
      <c r="Q454" t="n">
        <v>0</v>
      </c>
      <c r="R454" s="2" t="inlineStr"/>
    </row>
    <row r="455" ht="15" customHeight="1">
      <c r="A455" t="inlineStr">
        <is>
          <t>A 8556-2025</t>
        </is>
      </c>
      <c r="B455" s="1" t="n">
        <v>45709</v>
      </c>
      <c r="C455" s="1" t="n">
        <v>46033</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26499-2024</t>
        </is>
      </c>
      <c r="B456" s="1" t="n">
        <v>45469</v>
      </c>
      <c r="C456" s="1" t="n">
        <v>46033</v>
      </c>
      <c r="D456" t="inlineStr">
        <is>
          <t>VÄSTERBOTTENS LÄN</t>
        </is>
      </c>
      <c r="E456" t="inlineStr">
        <is>
          <t>VILHELMINA</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33661-2023</t>
        </is>
      </c>
      <c r="B457" s="1" t="n">
        <v>45119</v>
      </c>
      <c r="C457" s="1" t="n">
        <v>46033</v>
      </c>
      <c r="D457" t="inlineStr">
        <is>
          <t>VÄSTERBOTTENS LÄN</t>
        </is>
      </c>
      <c r="E457" t="inlineStr">
        <is>
          <t>VILHELMINA</t>
        </is>
      </c>
      <c r="G457" t="n">
        <v>1.8</v>
      </c>
      <c r="H457" t="n">
        <v>0</v>
      </c>
      <c r="I457" t="n">
        <v>0</v>
      </c>
      <c r="J457" t="n">
        <v>0</v>
      </c>
      <c r="K457" t="n">
        <v>0</v>
      </c>
      <c r="L457" t="n">
        <v>0</v>
      </c>
      <c r="M457" t="n">
        <v>0</v>
      </c>
      <c r="N457" t="n">
        <v>0</v>
      </c>
      <c r="O457" t="n">
        <v>0</v>
      </c>
      <c r="P457" t="n">
        <v>0</v>
      </c>
      <c r="Q457" t="n">
        <v>0</v>
      </c>
      <c r="R457" s="2" t="inlineStr"/>
    </row>
    <row r="458" ht="15" customHeight="1">
      <c r="A458" t="inlineStr">
        <is>
          <t>A 55714-2023</t>
        </is>
      </c>
      <c r="B458" s="1" t="n">
        <v>45232</v>
      </c>
      <c r="C458" s="1" t="n">
        <v>46033</v>
      </c>
      <c r="D458" t="inlineStr">
        <is>
          <t>VÄSTERBOTTENS LÄN</t>
        </is>
      </c>
      <c r="E458" t="inlineStr">
        <is>
          <t>VILHELMINA</t>
        </is>
      </c>
      <c r="G458" t="n">
        <v>1.8</v>
      </c>
      <c r="H458" t="n">
        <v>0</v>
      </c>
      <c r="I458" t="n">
        <v>0</v>
      </c>
      <c r="J458" t="n">
        <v>0</v>
      </c>
      <c r="K458" t="n">
        <v>0</v>
      </c>
      <c r="L458" t="n">
        <v>0</v>
      </c>
      <c r="M458" t="n">
        <v>0</v>
      </c>
      <c r="N458" t="n">
        <v>0</v>
      </c>
      <c r="O458" t="n">
        <v>0</v>
      </c>
      <c r="P458" t="n">
        <v>0</v>
      </c>
      <c r="Q458" t="n">
        <v>0</v>
      </c>
      <c r="R458" s="2" t="inlineStr"/>
    </row>
    <row r="459" ht="15" customHeight="1">
      <c r="A459" t="inlineStr">
        <is>
          <t>A 22457-2025</t>
        </is>
      </c>
      <c r="B459" s="1" t="n">
        <v>45786</v>
      </c>
      <c r="C459" s="1" t="n">
        <v>46033</v>
      </c>
      <c r="D459" t="inlineStr">
        <is>
          <t>VÄSTERBOTTENS LÄN</t>
        </is>
      </c>
      <c r="E459" t="inlineStr">
        <is>
          <t>VILHELMINA</t>
        </is>
      </c>
      <c r="G459" t="n">
        <v>10.8</v>
      </c>
      <c r="H459" t="n">
        <v>0</v>
      </c>
      <c r="I459" t="n">
        <v>0</v>
      </c>
      <c r="J459" t="n">
        <v>0</v>
      </c>
      <c r="K459" t="n">
        <v>0</v>
      </c>
      <c r="L459" t="n">
        <v>0</v>
      </c>
      <c r="M459" t="n">
        <v>0</v>
      </c>
      <c r="N459" t="n">
        <v>0</v>
      </c>
      <c r="O459" t="n">
        <v>0</v>
      </c>
      <c r="P459" t="n">
        <v>0</v>
      </c>
      <c r="Q459" t="n">
        <v>0</v>
      </c>
      <c r="R459" s="2" t="inlineStr"/>
    </row>
    <row r="460" ht="15" customHeight="1">
      <c r="A460" t="inlineStr">
        <is>
          <t>A 56624-2024</t>
        </is>
      </c>
      <c r="B460" s="1" t="n">
        <v>45625</v>
      </c>
      <c r="C460" s="1" t="n">
        <v>46033</v>
      </c>
      <c r="D460" t="inlineStr">
        <is>
          <t>VÄSTERBOTTENS LÄN</t>
        </is>
      </c>
      <c r="E460" t="inlineStr">
        <is>
          <t>VILHELMINA</t>
        </is>
      </c>
      <c r="F460" t="inlineStr">
        <is>
          <t>Allmännings- och besparingsskogar</t>
        </is>
      </c>
      <c r="G460" t="n">
        <v>17.8</v>
      </c>
      <c r="H460" t="n">
        <v>0</v>
      </c>
      <c r="I460" t="n">
        <v>0</v>
      </c>
      <c r="J460" t="n">
        <v>0</v>
      </c>
      <c r="K460" t="n">
        <v>0</v>
      </c>
      <c r="L460" t="n">
        <v>0</v>
      </c>
      <c r="M460" t="n">
        <v>0</v>
      </c>
      <c r="N460" t="n">
        <v>0</v>
      </c>
      <c r="O460" t="n">
        <v>0</v>
      </c>
      <c r="P460" t="n">
        <v>0</v>
      </c>
      <c r="Q460" t="n">
        <v>0</v>
      </c>
      <c r="R460" s="2" t="inlineStr"/>
    </row>
    <row r="461" ht="15" customHeight="1">
      <c r="A461" t="inlineStr">
        <is>
          <t>A 31724-2025</t>
        </is>
      </c>
      <c r="B461" s="1" t="n">
        <v>45834</v>
      </c>
      <c r="C461" s="1" t="n">
        <v>46033</v>
      </c>
      <c r="D461" t="inlineStr">
        <is>
          <t>VÄSTERBOTTENS LÄN</t>
        </is>
      </c>
      <c r="E461" t="inlineStr">
        <is>
          <t>VILHELMINA</t>
        </is>
      </c>
      <c r="G461" t="n">
        <v>19.7</v>
      </c>
      <c r="H461" t="n">
        <v>0</v>
      </c>
      <c r="I461" t="n">
        <v>0</v>
      </c>
      <c r="J461" t="n">
        <v>0</v>
      </c>
      <c r="K461" t="n">
        <v>0</v>
      </c>
      <c r="L461" t="n">
        <v>0</v>
      </c>
      <c r="M461" t="n">
        <v>0</v>
      </c>
      <c r="N461" t="n">
        <v>0</v>
      </c>
      <c r="O461" t="n">
        <v>0</v>
      </c>
      <c r="P461" t="n">
        <v>0</v>
      </c>
      <c r="Q461" t="n">
        <v>0</v>
      </c>
      <c r="R461" s="2" t="inlineStr"/>
    </row>
    <row r="462" ht="15" customHeight="1">
      <c r="A462" t="inlineStr">
        <is>
          <t>A 20846-2025</t>
        </is>
      </c>
      <c r="B462" s="1" t="n">
        <v>45777</v>
      </c>
      <c r="C462" s="1" t="n">
        <v>46033</v>
      </c>
      <c r="D462" t="inlineStr">
        <is>
          <t>VÄSTERBOTTENS LÄN</t>
        </is>
      </c>
      <c r="E462" t="inlineStr">
        <is>
          <t>VILHELMINA</t>
        </is>
      </c>
      <c r="G462" t="n">
        <v>19.1</v>
      </c>
      <c r="H462" t="n">
        <v>0</v>
      </c>
      <c r="I462" t="n">
        <v>0</v>
      </c>
      <c r="J462" t="n">
        <v>0</v>
      </c>
      <c r="K462" t="n">
        <v>0</v>
      </c>
      <c r="L462" t="n">
        <v>0</v>
      </c>
      <c r="M462" t="n">
        <v>0</v>
      </c>
      <c r="N462" t="n">
        <v>0</v>
      </c>
      <c r="O462" t="n">
        <v>0</v>
      </c>
      <c r="P462" t="n">
        <v>0</v>
      </c>
      <c r="Q462" t="n">
        <v>0</v>
      </c>
      <c r="R462" s="2" t="inlineStr"/>
    </row>
    <row r="463" ht="15" customHeight="1">
      <c r="A463" t="inlineStr">
        <is>
          <t>A 34763-2024</t>
        </is>
      </c>
      <c r="B463" s="1" t="n">
        <v>45526.61646990741</v>
      </c>
      <c r="C463" s="1" t="n">
        <v>46033</v>
      </c>
      <c r="D463" t="inlineStr">
        <is>
          <t>VÄSTERBOTTENS LÄN</t>
        </is>
      </c>
      <c r="E463" t="inlineStr">
        <is>
          <t>VILHELMINA</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34764-2024</t>
        </is>
      </c>
      <c r="B464" s="1" t="n">
        <v>45526.61664351852</v>
      </c>
      <c r="C464" s="1" t="n">
        <v>46033</v>
      </c>
      <c r="D464" t="inlineStr">
        <is>
          <t>VÄSTERBOTTENS LÄN</t>
        </is>
      </c>
      <c r="E464" t="inlineStr">
        <is>
          <t>VILHELMINA</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31733-2025</t>
        </is>
      </c>
      <c r="B465" s="1" t="n">
        <v>45834.47035879629</v>
      </c>
      <c r="C465" s="1" t="n">
        <v>46033</v>
      </c>
      <c r="D465" t="inlineStr">
        <is>
          <t>VÄSTERBOTTENS LÄN</t>
        </is>
      </c>
      <c r="E465" t="inlineStr">
        <is>
          <t>VILHELMINA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62101-2024</t>
        </is>
      </c>
      <c r="B466" s="1" t="n">
        <v>45656.51119212963</v>
      </c>
      <c r="C466" s="1" t="n">
        <v>46033</v>
      </c>
      <c r="D466" t="inlineStr">
        <is>
          <t>VÄSTERBOTTENS LÄN</t>
        </is>
      </c>
      <c r="E466" t="inlineStr">
        <is>
          <t>VILHELMINA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52398-2025</t>
        </is>
      </c>
      <c r="B467" s="1" t="n">
        <v>45954.34572916666</v>
      </c>
      <c r="C467" s="1" t="n">
        <v>46033</v>
      </c>
      <c r="D467" t="inlineStr">
        <is>
          <t>VÄSTERBOTTENS LÄN</t>
        </is>
      </c>
      <c r="E467" t="inlineStr">
        <is>
          <t>VILHELMINA</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43987-2024</t>
        </is>
      </c>
      <c r="B468" s="1" t="n">
        <v>45572.51092592593</v>
      </c>
      <c r="C468" s="1" t="n">
        <v>46033</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23360-2025</t>
        </is>
      </c>
      <c r="B469" s="1" t="n">
        <v>45791</v>
      </c>
      <c r="C469" s="1" t="n">
        <v>46033</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22440-2025</t>
        </is>
      </c>
      <c r="B470" s="1" t="n">
        <v>45786</v>
      </c>
      <c r="C470" s="1" t="n">
        <v>46033</v>
      </c>
      <c r="D470" t="inlineStr">
        <is>
          <t>VÄSTERBOTTENS LÄN</t>
        </is>
      </c>
      <c r="E470" t="inlineStr">
        <is>
          <t>VILHELMINA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664-2022</t>
        </is>
      </c>
      <c r="B471" s="1" t="n">
        <v>44568</v>
      </c>
      <c r="C471" s="1" t="n">
        <v>46033</v>
      </c>
      <c r="D471" t="inlineStr">
        <is>
          <t>VÄSTERBOTTENS LÄN</t>
        </is>
      </c>
      <c r="E471" t="inlineStr">
        <is>
          <t>VILHELMINA</t>
        </is>
      </c>
      <c r="G471" t="n">
        <v>1.8</v>
      </c>
      <c r="H471" t="n">
        <v>0</v>
      </c>
      <c r="I471" t="n">
        <v>0</v>
      </c>
      <c r="J471" t="n">
        <v>0</v>
      </c>
      <c r="K471" t="n">
        <v>0</v>
      </c>
      <c r="L471" t="n">
        <v>0</v>
      </c>
      <c r="M471" t="n">
        <v>0</v>
      </c>
      <c r="N471" t="n">
        <v>0</v>
      </c>
      <c r="O471" t="n">
        <v>0</v>
      </c>
      <c r="P471" t="n">
        <v>0</v>
      </c>
      <c r="Q471" t="n">
        <v>0</v>
      </c>
      <c r="R471" s="2" t="inlineStr"/>
    </row>
    <row r="472" ht="15" customHeight="1">
      <c r="A472" t="inlineStr">
        <is>
          <t>A 52565-2025</t>
        </is>
      </c>
      <c r="B472" s="1" t="n">
        <v>45954.59429398148</v>
      </c>
      <c r="C472" s="1" t="n">
        <v>46033</v>
      </c>
      <c r="D472" t="inlineStr">
        <is>
          <t>VÄSTERBOTTENS LÄN</t>
        </is>
      </c>
      <c r="E472" t="inlineStr">
        <is>
          <t>VILHELMINA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12990-2025</t>
        </is>
      </c>
      <c r="B473" s="1" t="n">
        <v>45734</v>
      </c>
      <c r="C473" s="1" t="n">
        <v>46033</v>
      </c>
      <c r="D473" t="inlineStr">
        <is>
          <t>VÄSTERBOTTENS LÄN</t>
        </is>
      </c>
      <c r="E473" t="inlineStr">
        <is>
          <t>VILHELMINA</t>
        </is>
      </c>
      <c r="G473" t="n">
        <v>11.2</v>
      </c>
      <c r="H473" t="n">
        <v>0</v>
      </c>
      <c r="I473" t="n">
        <v>0</v>
      </c>
      <c r="J473" t="n">
        <v>0</v>
      </c>
      <c r="K473" t="n">
        <v>0</v>
      </c>
      <c r="L473" t="n">
        <v>0</v>
      </c>
      <c r="M473" t="n">
        <v>0</v>
      </c>
      <c r="N473" t="n">
        <v>0</v>
      </c>
      <c r="O473" t="n">
        <v>0</v>
      </c>
      <c r="P473" t="n">
        <v>0</v>
      </c>
      <c r="Q473" t="n">
        <v>0</v>
      </c>
      <c r="R473" s="2" t="inlineStr"/>
    </row>
    <row r="474" ht="15" customHeight="1">
      <c r="A474" t="inlineStr">
        <is>
          <t>A 6369-2024</t>
        </is>
      </c>
      <c r="B474" s="1" t="n">
        <v>45338</v>
      </c>
      <c r="C474" s="1" t="n">
        <v>46033</v>
      </c>
      <c r="D474" t="inlineStr">
        <is>
          <t>VÄSTERBOTTENS LÄN</t>
        </is>
      </c>
      <c r="E474" t="inlineStr">
        <is>
          <t>VILHELMINA</t>
        </is>
      </c>
      <c r="G474" t="n">
        <v>3.6</v>
      </c>
      <c r="H474" t="n">
        <v>0</v>
      </c>
      <c r="I474" t="n">
        <v>0</v>
      </c>
      <c r="J474" t="n">
        <v>0</v>
      </c>
      <c r="K474" t="n">
        <v>0</v>
      </c>
      <c r="L474" t="n">
        <v>0</v>
      </c>
      <c r="M474" t="n">
        <v>0</v>
      </c>
      <c r="N474" t="n">
        <v>0</v>
      </c>
      <c r="O474" t="n">
        <v>0</v>
      </c>
      <c r="P474" t="n">
        <v>0</v>
      </c>
      <c r="Q474" t="n">
        <v>0</v>
      </c>
      <c r="R474" s="2" t="inlineStr"/>
    </row>
    <row r="475" ht="15" customHeight="1">
      <c r="A475" t="inlineStr">
        <is>
          <t>A 34805-2023</t>
        </is>
      </c>
      <c r="B475" s="1" t="n">
        <v>45140</v>
      </c>
      <c r="C475" s="1" t="n">
        <v>46033</v>
      </c>
      <c r="D475" t="inlineStr">
        <is>
          <t>VÄSTERBOTTENS LÄN</t>
        </is>
      </c>
      <c r="E475" t="inlineStr">
        <is>
          <t>VILHELMINA</t>
        </is>
      </c>
      <c r="G475" t="n">
        <v>4.3</v>
      </c>
      <c r="H475" t="n">
        <v>0</v>
      </c>
      <c r="I475" t="n">
        <v>0</v>
      </c>
      <c r="J475" t="n">
        <v>0</v>
      </c>
      <c r="K475" t="n">
        <v>0</v>
      </c>
      <c r="L475" t="n">
        <v>0</v>
      </c>
      <c r="M475" t="n">
        <v>0</v>
      </c>
      <c r="N475" t="n">
        <v>0</v>
      </c>
      <c r="O475" t="n">
        <v>0</v>
      </c>
      <c r="P475" t="n">
        <v>0</v>
      </c>
      <c r="Q475" t="n">
        <v>0</v>
      </c>
      <c r="R475" s="2" t="inlineStr"/>
    </row>
    <row r="476" ht="15" customHeight="1">
      <c r="A476" t="inlineStr">
        <is>
          <t>A 48651-2025</t>
        </is>
      </c>
      <c r="B476" s="1" t="n">
        <v>45936.55251157407</v>
      </c>
      <c r="C476" s="1" t="n">
        <v>46033</v>
      </c>
      <c r="D476" t="inlineStr">
        <is>
          <t>VÄSTERBOTTENS LÄN</t>
        </is>
      </c>
      <c r="E476" t="inlineStr">
        <is>
          <t>VILHELMINA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21370-2024</t>
        </is>
      </c>
      <c r="B477" s="1" t="n">
        <v>45440.95310185185</v>
      </c>
      <c r="C477" s="1" t="n">
        <v>46033</v>
      </c>
      <c r="D477" t="inlineStr">
        <is>
          <t>VÄSTERBOTTENS LÄN</t>
        </is>
      </c>
      <c r="E477" t="inlineStr">
        <is>
          <t>VILHELMINA</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57023-2025</t>
        </is>
      </c>
      <c r="B478" s="1" t="n">
        <v>45979.25059027778</v>
      </c>
      <c r="C478" s="1" t="n">
        <v>46033</v>
      </c>
      <c r="D478" t="inlineStr">
        <is>
          <t>VÄSTERBOTTENS LÄN</t>
        </is>
      </c>
      <c r="E478" t="inlineStr">
        <is>
          <t>VILHELMINA</t>
        </is>
      </c>
      <c r="G478" t="n">
        <v>37.7</v>
      </c>
      <c r="H478" t="n">
        <v>0</v>
      </c>
      <c r="I478" t="n">
        <v>0</v>
      </c>
      <c r="J478" t="n">
        <v>0</v>
      </c>
      <c r="K478" t="n">
        <v>0</v>
      </c>
      <c r="L478" t="n">
        <v>0</v>
      </c>
      <c r="M478" t="n">
        <v>0</v>
      </c>
      <c r="N478" t="n">
        <v>0</v>
      </c>
      <c r="O478" t="n">
        <v>0</v>
      </c>
      <c r="P478" t="n">
        <v>0</v>
      </c>
      <c r="Q478" t="n">
        <v>0</v>
      </c>
      <c r="R478" s="2" t="inlineStr"/>
    </row>
    <row r="479" ht="15" customHeight="1">
      <c r="A479" t="inlineStr">
        <is>
          <t>A 32947-2025</t>
        </is>
      </c>
      <c r="B479" s="1" t="n">
        <v>45839</v>
      </c>
      <c r="C479" s="1" t="n">
        <v>46033</v>
      </c>
      <c r="D479" t="inlineStr">
        <is>
          <t>VÄSTERBOTTENS LÄN</t>
        </is>
      </c>
      <c r="E479" t="inlineStr">
        <is>
          <t>VILHELMINA</t>
        </is>
      </c>
      <c r="G479" t="n">
        <v>19.1</v>
      </c>
      <c r="H479" t="n">
        <v>0</v>
      </c>
      <c r="I479" t="n">
        <v>0</v>
      </c>
      <c r="J479" t="n">
        <v>0</v>
      </c>
      <c r="K479" t="n">
        <v>0</v>
      </c>
      <c r="L479" t="n">
        <v>0</v>
      </c>
      <c r="M479" t="n">
        <v>0</v>
      </c>
      <c r="N479" t="n">
        <v>0</v>
      </c>
      <c r="O479" t="n">
        <v>0</v>
      </c>
      <c r="P479" t="n">
        <v>0</v>
      </c>
      <c r="Q479" t="n">
        <v>0</v>
      </c>
      <c r="R479" s="2" t="inlineStr"/>
    </row>
    <row r="480" ht="15" customHeight="1">
      <c r="A480" t="inlineStr">
        <is>
          <t>A 45972-2023</t>
        </is>
      </c>
      <c r="B480" s="1" t="n">
        <v>45195</v>
      </c>
      <c r="C480" s="1" t="n">
        <v>46033</v>
      </c>
      <c r="D480" t="inlineStr">
        <is>
          <t>VÄSTERBOTTENS LÄN</t>
        </is>
      </c>
      <c r="E480" t="inlineStr">
        <is>
          <t>VILHELMINA</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56823-2023</t>
        </is>
      </c>
      <c r="B481" s="1" t="n">
        <v>45238</v>
      </c>
      <c r="C481" s="1" t="n">
        <v>46033</v>
      </c>
      <c r="D481" t="inlineStr">
        <is>
          <t>VÄSTERBOTTENS LÄN</t>
        </is>
      </c>
      <c r="E481" t="inlineStr">
        <is>
          <t>VILHELMINA</t>
        </is>
      </c>
      <c r="F481" t="inlineStr">
        <is>
          <t>Allmännings- och besparingsskogar</t>
        </is>
      </c>
      <c r="G481" t="n">
        <v>82</v>
      </c>
      <c r="H481" t="n">
        <v>0</v>
      </c>
      <c r="I481" t="n">
        <v>0</v>
      </c>
      <c r="J481" t="n">
        <v>0</v>
      </c>
      <c r="K481" t="n">
        <v>0</v>
      </c>
      <c r="L481" t="n">
        <v>0</v>
      </c>
      <c r="M481" t="n">
        <v>0</v>
      </c>
      <c r="N481" t="n">
        <v>0</v>
      </c>
      <c r="O481" t="n">
        <v>0</v>
      </c>
      <c r="P481" t="n">
        <v>0</v>
      </c>
      <c r="Q481" t="n">
        <v>0</v>
      </c>
      <c r="R481" s="2" t="inlineStr"/>
    </row>
    <row r="482" ht="15" customHeight="1">
      <c r="A482" t="inlineStr">
        <is>
          <t>A 56830-2023</t>
        </is>
      </c>
      <c r="B482" s="1" t="n">
        <v>45238</v>
      </c>
      <c r="C482" s="1" t="n">
        <v>46033</v>
      </c>
      <c r="D482" t="inlineStr">
        <is>
          <t>VÄSTERBOTTENS LÄN</t>
        </is>
      </c>
      <c r="E482" t="inlineStr">
        <is>
          <t>VILHELMINA</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8750-2021</t>
        </is>
      </c>
      <c r="B483" s="1" t="n">
        <v>44246</v>
      </c>
      <c r="C483" s="1" t="n">
        <v>46033</v>
      </c>
      <c r="D483" t="inlineStr">
        <is>
          <t>VÄSTERBOTTENS LÄN</t>
        </is>
      </c>
      <c r="E483" t="inlineStr">
        <is>
          <t>VILHELMINA</t>
        </is>
      </c>
      <c r="G483" t="n">
        <v>5.2</v>
      </c>
      <c r="H483" t="n">
        <v>0</v>
      </c>
      <c r="I483" t="n">
        <v>0</v>
      </c>
      <c r="J483" t="n">
        <v>0</v>
      </c>
      <c r="K483" t="n">
        <v>0</v>
      </c>
      <c r="L483" t="n">
        <v>0</v>
      </c>
      <c r="M483" t="n">
        <v>0</v>
      </c>
      <c r="N483" t="n">
        <v>0</v>
      </c>
      <c r="O483" t="n">
        <v>0</v>
      </c>
      <c r="P483" t="n">
        <v>0</v>
      </c>
      <c r="Q483" t="n">
        <v>0</v>
      </c>
      <c r="R483" s="2" t="inlineStr"/>
    </row>
    <row r="484" ht="15" customHeight="1">
      <c r="A484" t="inlineStr">
        <is>
          <t>A 55695-2024</t>
        </is>
      </c>
      <c r="B484" s="1" t="n">
        <v>45622</v>
      </c>
      <c r="C484" s="1" t="n">
        <v>46033</v>
      </c>
      <c r="D484" t="inlineStr">
        <is>
          <t>VÄSTERBOTTENS LÄN</t>
        </is>
      </c>
      <c r="E484" t="inlineStr">
        <is>
          <t>VILHELMINA</t>
        </is>
      </c>
      <c r="G484" t="n">
        <v>7</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46033</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33319-2025</t>
        </is>
      </c>
      <c r="B486" s="1" t="n">
        <v>45841</v>
      </c>
      <c r="C486" s="1" t="n">
        <v>46033</v>
      </c>
      <c r="D486" t="inlineStr">
        <is>
          <t>VÄSTERBOTTENS LÄN</t>
        </is>
      </c>
      <c r="E486" t="inlineStr">
        <is>
          <t>VILHELMINA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33641-2025</t>
        </is>
      </c>
      <c r="B487" s="1" t="n">
        <v>45841.65045138889</v>
      </c>
      <c r="C487" s="1" t="n">
        <v>46033</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49221-2024</t>
        </is>
      </c>
      <c r="B488" s="1" t="n">
        <v>45595.41166666667</v>
      </c>
      <c r="C488" s="1" t="n">
        <v>46033</v>
      </c>
      <c r="D488" t="inlineStr">
        <is>
          <t>VÄSTERBOTTENS LÄN</t>
        </is>
      </c>
      <c r="E488" t="inlineStr">
        <is>
          <t>VILHELMINA</t>
        </is>
      </c>
      <c r="G488" t="n">
        <v>11.4</v>
      </c>
      <c r="H488" t="n">
        <v>0</v>
      </c>
      <c r="I488" t="n">
        <v>0</v>
      </c>
      <c r="J488" t="n">
        <v>0</v>
      </c>
      <c r="K488" t="n">
        <v>0</v>
      </c>
      <c r="L488" t="n">
        <v>0</v>
      </c>
      <c r="M488" t="n">
        <v>0</v>
      </c>
      <c r="N488" t="n">
        <v>0</v>
      </c>
      <c r="O488" t="n">
        <v>0</v>
      </c>
      <c r="P488" t="n">
        <v>0</v>
      </c>
      <c r="Q488" t="n">
        <v>0</v>
      </c>
      <c r="R488" s="2" t="inlineStr"/>
    </row>
    <row r="489" ht="15" customHeight="1">
      <c r="A489" t="inlineStr">
        <is>
          <t>A 48816-2025</t>
        </is>
      </c>
      <c r="B489" s="1" t="n">
        <v>45937.36527777778</v>
      </c>
      <c r="C489" s="1" t="n">
        <v>46033</v>
      </c>
      <c r="D489" t="inlineStr">
        <is>
          <t>VÄSTERBOTTENS LÄN</t>
        </is>
      </c>
      <c r="E489" t="inlineStr">
        <is>
          <t>VILHELMINA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49886-2024</t>
        </is>
      </c>
      <c r="B490" s="1" t="n">
        <v>45597</v>
      </c>
      <c r="C490" s="1" t="n">
        <v>46033</v>
      </c>
      <c r="D490" t="inlineStr">
        <is>
          <t>VÄSTERBOTTENS LÄN</t>
        </is>
      </c>
      <c r="E490" t="inlineStr">
        <is>
          <t>VILHELMINA</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47254-2022</t>
        </is>
      </c>
      <c r="B491" s="1" t="n">
        <v>44852.94685185186</v>
      </c>
      <c r="C491" s="1" t="n">
        <v>46033</v>
      </c>
      <c r="D491" t="inlineStr">
        <is>
          <t>VÄSTERBOTTENS LÄN</t>
        </is>
      </c>
      <c r="E491" t="inlineStr">
        <is>
          <t>VILHELMINA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33320-2025</t>
        </is>
      </c>
      <c r="B492" s="1" t="n">
        <v>45841.34461805555</v>
      </c>
      <c r="C492" s="1" t="n">
        <v>46033</v>
      </c>
      <c r="D492" t="inlineStr">
        <is>
          <t>VÄSTERBOTTENS LÄN</t>
        </is>
      </c>
      <c r="E492" t="inlineStr">
        <is>
          <t>VILHELMINA</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37320-2021</t>
        </is>
      </c>
      <c r="B493" s="1" t="n">
        <v>44397</v>
      </c>
      <c r="C493" s="1" t="n">
        <v>46033</v>
      </c>
      <c r="D493" t="inlineStr">
        <is>
          <t>VÄSTERBOTTENS LÄN</t>
        </is>
      </c>
      <c r="E493" t="inlineStr">
        <is>
          <t>VILHELMINA</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57246-2023</t>
        </is>
      </c>
      <c r="B494" s="1" t="n">
        <v>45239</v>
      </c>
      <c r="C494" s="1" t="n">
        <v>46033</v>
      </c>
      <c r="D494" t="inlineStr">
        <is>
          <t>VÄSTERBOTTENS LÄN</t>
        </is>
      </c>
      <c r="E494" t="inlineStr">
        <is>
          <t>VILHELMINA</t>
        </is>
      </c>
      <c r="G494" t="n">
        <v>15.3</v>
      </c>
      <c r="H494" t="n">
        <v>0</v>
      </c>
      <c r="I494" t="n">
        <v>0</v>
      </c>
      <c r="J494" t="n">
        <v>0</v>
      </c>
      <c r="K494" t="n">
        <v>0</v>
      </c>
      <c r="L494" t="n">
        <v>0</v>
      </c>
      <c r="M494" t="n">
        <v>0</v>
      </c>
      <c r="N494" t="n">
        <v>0</v>
      </c>
      <c r="O494" t="n">
        <v>0</v>
      </c>
      <c r="P494" t="n">
        <v>0</v>
      </c>
      <c r="Q494" t="n">
        <v>0</v>
      </c>
      <c r="R494" s="2" t="inlineStr"/>
    </row>
    <row r="495" ht="15" customHeight="1">
      <c r="A495" t="inlineStr">
        <is>
          <t>A 49680-2025</t>
        </is>
      </c>
      <c r="B495" s="1" t="n">
        <v>45939.65079861111</v>
      </c>
      <c r="C495" s="1" t="n">
        <v>46033</v>
      </c>
      <c r="D495" t="inlineStr">
        <is>
          <t>VÄSTERBOTTENS LÄN</t>
        </is>
      </c>
      <c r="E495" t="inlineStr">
        <is>
          <t>VILHELMINA</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33142-2025</t>
        </is>
      </c>
      <c r="B496" s="1" t="n">
        <v>45840</v>
      </c>
      <c r="C496" s="1" t="n">
        <v>46033</v>
      </c>
      <c r="D496" t="inlineStr">
        <is>
          <t>VÄSTERBOTTENS LÄN</t>
        </is>
      </c>
      <c r="E496" t="inlineStr">
        <is>
          <t>VILHELMINA</t>
        </is>
      </c>
      <c r="G496" t="n">
        <v>15.2</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46033</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52811-2025</t>
        </is>
      </c>
      <c r="B498" s="1" t="n">
        <v>45957.44878472222</v>
      </c>
      <c r="C498" s="1" t="n">
        <v>46033</v>
      </c>
      <c r="D498" t="inlineStr">
        <is>
          <t>VÄSTERBOTTENS LÄN</t>
        </is>
      </c>
      <c r="E498" t="inlineStr">
        <is>
          <t>VILHELMINA</t>
        </is>
      </c>
      <c r="G498" t="n">
        <v>1.8</v>
      </c>
      <c r="H498" t="n">
        <v>0</v>
      </c>
      <c r="I498" t="n">
        <v>0</v>
      </c>
      <c r="J498" t="n">
        <v>0</v>
      </c>
      <c r="K498" t="n">
        <v>0</v>
      </c>
      <c r="L498" t="n">
        <v>0</v>
      </c>
      <c r="M498" t="n">
        <v>0</v>
      </c>
      <c r="N498" t="n">
        <v>0</v>
      </c>
      <c r="O498" t="n">
        <v>0</v>
      </c>
      <c r="P498" t="n">
        <v>0</v>
      </c>
      <c r="Q498" t="n">
        <v>0</v>
      </c>
      <c r="R498" s="2" t="inlineStr"/>
    </row>
    <row r="499" ht="15" customHeight="1">
      <c r="A499" t="inlineStr">
        <is>
          <t>A 50148-2025</t>
        </is>
      </c>
      <c r="B499" s="1" t="n">
        <v>45943.57296296296</v>
      </c>
      <c r="C499" s="1" t="n">
        <v>46033</v>
      </c>
      <c r="D499" t="inlineStr">
        <is>
          <t>VÄSTERBOTTENS LÄN</t>
        </is>
      </c>
      <c r="E499" t="inlineStr">
        <is>
          <t>VILHELMINA</t>
        </is>
      </c>
      <c r="G499" t="n">
        <v>18.9</v>
      </c>
      <c r="H499" t="n">
        <v>0</v>
      </c>
      <c r="I499" t="n">
        <v>0</v>
      </c>
      <c r="J499" t="n">
        <v>0</v>
      </c>
      <c r="K499" t="n">
        <v>0</v>
      </c>
      <c r="L499" t="n">
        <v>0</v>
      </c>
      <c r="M499" t="n">
        <v>0</v>
      </c>
      <c r="N499" t="n">
        <v>0</v>
      </c>
      <c r="O499" t="n">
        <v>0</v>
      </c>
      <c r="P499" t="n">
        <v>0</v>
      </c>
      <c r="Q499" t="n">
        <v>0</v>
      </c>
      <c r="R499" s="2" t="inlineStr"/>
    </row>
    <row r="500" ht="15" customHeight="1">
      <c r="A500" t="inlineStr">
        <is>
          <t>A 72-2025</t>
        </is>
      </c>
      <c r="B500" s="1" t="n">
        <v>45659</v>
      </c>
      <c r="C500" s="1" t="n">
        <v>46033</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34253-2025</t>
        </is>
      </c>
      <c r="B501" s="1" t="n">
        <v>45845</v>
      </c>
      <c r="C501" s="1" t="n">
        <v>46033</v>
      </c>
      <c r="D501" t="inlineStr">
        <is>
          <t>VÄSTERBOTTENS LÄN</t>
        </is>
      </c>
      <c r="E501" t="inlineStr">
        <is>
          <t>VILHELMINA</t>
        </is>
      </c>
      <c r="G501" t="n">
        <v>14.3</v>
      </c>
      <c r="H501" t="n">
        <v>0</v>
      </c>
      <c r="I501" t="n">
        <v>0</v>
      </c>
      <c r="J501" t="n">
        <v>0</v>
      </c>
      <c r="K501" t="n">
        <v>0</v>
      </c>
      <c r="L501" t="n">
        <v>0</v>
      </c>
      <c r="M501" t="n">
        <v>0</v>
      </c>
      <c r="N501" t="n">
        <v>0</v>
      </c>
      <c r="O501" t="n">
        <v>0</v>
      </c>
      <c r="P501" t="n">
        <v>0</v>
      </c>
      <c r="Q501" t="n">
        <v>0</v>
      </c>
      <c r="R501" s="2" t="inlineStr"/>
    </row>
    <row r="502" ht="15" customHeight="1">
      <c r="A502" t="inlineStr">
        <is>
          <t>A 59011-2024</t>
        </is>
      </c>
      <c r="B502" s="1" t="n">
        <v>45636</v>
      </c>
      <c r="C502" s="1" t="n">
        <v>46033</v>
      </c>
      <c r="D502" t="inlineStr">
        <is>
          <t>VÄSTERBOTTENS LÄN</t>
        </is>
      </c>
      <c r="E502" t="inlineStr">
        <is>
          <t>VILHELMINA</t>
        </is>
      </c>
      <c r="F502" t="inlineStr">
        <is>
          <t>Allmännings- och besparingsskogar</t>
        </is>
      </c>
      <c r="G502" t="n">
        <v>36</v>
      </c>
      <c r="H502" t="n">
        <v>0</v>
      </c>
      <c r="I502" t="n">
        <v>0</v>
      </c>
      <c r="J502" t="n">
        <v>0</v>
      </c>
      <c r="K502" t="n">
        <v>0</v>
      </c>
      <c r="L502" t="n">
        <v>0</v>
      </c>
      <c r="M502" t="n">
        <v>0</v>
      </c>
      <c r="N502" t="n">
        <v>0</v>
      </c>
      <c r="O502" t="n">
        <v>0</v>
      </c>
      <c r="P502" t="n">
        <v>0</v>
      </c>
      <c r="Q502" t="n">
        <v>0</v>
      </c>
      <c r="R502" s="2" t="inlineStr"/>
    </row>
    <row r="503" ht="15" customHeight="1">
      <c r="A503" t="inlineStr">
        <is>
          <t>A 34413-2025</t>
        </is>
      </c>
      <c r="B503" s="1" t="n">
        <v>45845</v>
      </c>
      <c r="C503" s="1" t="n">
        <v>46033</v>
      </c>
      <c r="D503" t="inlineStr">
        <is>
          <t>VÄSTERBOTTENS LÄN</t>
        </is>
      </c>
      <c r="E503" t="inlineStr">
        <is>
          <t>VILHELMINA</t>
        </is>
      </c>
      <c r="G503" t="n">
        <v>6.8</v>
      </c>
      <c r="H503" t="n">
        <v>0</v>
      </c>
      <c r="I503" t="n">
        <v>0</v>
      </c>
      <c r="J503" t="n">
        <v>0</v>
      </c>
      <c r="K503" t="n">
        <v>0</v>
      </c>
      <c r="L503" t="n">
        <v>0</v>
      </c>
      <c r="M503" t="n">
        <v>0</v>
      </c>
      <c r="N503" t="n">
        <v>0</v>
      </c>
      <c r="O503" t="n">
        <v>0</v>
      </c>
      <c r="P503" t="n">
        <v>0</v>
      </c>
      <c r="Q503" t="n">
        <v>0</v>
      </c>
      <c r="R503" s="2" t="inlineStr"/>
    </row>
    <row r="504" ht="15" customHeight="1">
      <c r="A504" t="inlineStr">
        <is>
          <t>A 7982-2025</t>
        </is>
      </c>
      <c r="B504" s="1" t="n">
        <v>45707.46905092592</v>
      </c>
      <c r="C504" s="1" t="n">
        <v>46033</v>
      </c>
      <c r="D504" t="inlineStr">
        <is>
          <t>VÄSTERBOTTENS LÄN</t>
        </is>
      </c>
      <c r="E504" t="inlineStr">
        <is>
          <t>VILHELMINA</t>
        </is>
      </c>
      <c r="G504" t="n">
        <v>6</v>
      </c>
      <c r="H504" t="n">
        <v>0</v>
      </c>
      <c r="I504" t="n">
        <v>0</v>
      </c>
      <c r="J504" t="n">
        <v>0</v>
      </c>
      <c r="K504" t="n">
        <v>0</v>
      </c>
      <c r="L504" t="n">
        <v>0</v>
      </c>
      <c r="M504" t="n">
        <v>0</v>
      </c>
      <c r="N504" t="n">
        <v>0</v>
      </c>
      <c r="O504" t="n">
        <v>0</v>
      </c>
      <c r="P504" t="n">
        <v>0</v>
      </c>
      <c r="Q504" t="n">
        <v>0</v>
      </c>
      <c r="R504" s="2" t="inlineStr"/>
    </row>
    <row r="505" ht="15" customHeight="1">
      <c r="A505" t="inlineStr">
        <is>
          <t>A 56629-2024</t>
        </is>
      </c>
      <c r="B505" s="1" t="n">
        <v>45625</v>
      </c>
      <c r="C505" s="1" t="n">
        <v>46033</v>
      </c>
      <c r="D505" t="inlineStr">
        <is>
          <t>VÄSTERBOTTENS LÄN</t>
        </is>
      </c>
      <c r="E505" t="inlineStr">
        <is>
          <t>VILHELMINA</t>
        </is>
      </c>
      <c r="F505" t="inlineStr">
        <is>
          <t>Allmännings- och besparingsskogar</t>
        </is>
      </c>
      <c r="G505" t="n">
        <v>20</v>
      </c>
      <c r="H505" t="n">
        <v>0</v>
      </c>
      <c r="I505" t="n">
        <v>0</v>
      </c>
      <c r="J505" t="n">
        <v>0</v>
      </c>
      <c r="K505" t="n">
        <v>0</v>
      </c>
      <c r="L505" t="n">
        <v>0</v>
      </c>
      <c r="M505" t="n">
        <v>0</v>
      </c>
      <c r="N505" t="n">
        <v>0</v>
      </c>
      <c r="O505" t="n">
        <v>0</v>
      </c>
      <c r="P505" t="n">
        <v>0</v>
      </c>
      <c r="Q505" t="n">
        <v>0</v>
      </c>
      <c r="R505" s="2" t="inlineStr"/>
    </row>
    <row r="506" ht="15" customHeight="1">
      <c r="A506" t="inlineStr">
        <is>
          <t>A 60991-2025</t>
        </is>
      </c>
      <c r="B506" s="1" t="n">
        <v>45999.72875</v>
      </c>
      <c r="C506" s="1" t="n">
        <v>46033</v>
      </c>
      <c r="D506" t="inlineStr">
        <is>
          <t>VÄSTERBOTTENS LÄN</t>
        </is>
      </c>
      <c r="E506" t="inlineStr">
        <is>
          <t>VILHELMINA</t>
        </is>
      </c>
      <c r="G506" t="n">
        <v>4.6</v>
      </c>
      <c r="H506" t="n">
        <v>0</v>
      </c>
      <c r="I506" t="n">
        <v>0</v>
      </c>
      <c r="J506" t="n">
        <v>0</v>
      </c>
      <c r="K506" t="n">
        <v>0</v>
      </c>
      <c r="L506" t="n">
        <v>0</v>
      </c>
      <c r="M506" t="n">
        <v>0</v>
      </c>
      <c r="N506" t="n">
        <v>0</v>
      </c>
      <c r="O506" t="n">
        <v>0</v>
      </c>
      <c r="P506" t="n">
        <v>0</v>
      </c>
      <c r="Q506" t="n">
        <v>0</v>
      </c>
      <c r="R506" s="2" t="inlineStr"/>
    </row>
    <row r="507" ht="15" customHeight="1">
      <c r="A507" t="inlineStr">
        <is>
          <t>A 60998-2025</t>
        </is>
      </c>
      <c r="B507" s="1" t="n">
        <v>45999.74972222222</v>
      </c>
      <c r="C507" s="1" t="n">
        <v>46033</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61003-2025</t>
        </is>
      </c>
      <c r="B508" s="1" t="n">
        <v>45999.77453703704</v>
      </c>
      <c r="C508" s="1" t="n">
        <v>46033</v>
      </c>
      <c r="D508" t="inlineStr">
        <is>
          <t>VÄSTERBOTTENS LÄN</t>
        </is>
      </c>
      <c r="E508" t="inlineStr">
        <is>
          <t>VILHELMINA</t>
        </is>
      </c>
      <c r="G508" t="n">
        <v>3</v>
      </c>
      <c r="H508" t="n">
        <v>0</v>
      </c>
      <c r="I508" t="n">
        <v>0</v>
      </c>
      <c r="J508" t="n">
        <v>0</v>
      </c>
      <c r="K508" t="n">
        <v>0</v>
      </c>
      <c r="L508" t="n">
        <v>0</v>
      </c>
      <c r="M508" t="n">
        <v>0</v>
      </c>
      <c r="N508" t="n">
        <v>0</v>
      </c>
      <c r="O508" t="n">
        <v>0</v>
      </c>
      <c r="P508" t="n">
        <v>0</v>
      </c>
      <c r="Q508" t="n">
        <v>0</v>
      </c>
      <c r="R508" s="2" t="inlineStr"/>
    </row>
    <row r="509" ht="15" customHeight="1">
      <c r="A509" t="inlineStr">
        <is>
          <t>A 59022-2024</t>
        </is>
      </c>
      <c r="B509" s="1" t="n">
        <v>45636</v>
      </c>
      <c r="C509" s="1" t="n">
        <v>46033</v>
      </c>
      <c r="D509" t="inlineStr">
        <is>
          <t>VÄSTERBOTTENS LÄN</t>
        </is>
      </c>
      <c r="E509" t="inlineStr">
        <is>
          <t>VILHELMINA</t>
        </is>
      </c>
      <c r="F509" t="inlineStr">
        <is>
          <t>Allmännings- och besparingsskogar</t>
        </is>
      </c>
      <c r="G509" t="n">
        <v>35</v>
      </c>
      <c r="H509" t="n">
        <v>0</v>
      </c>
      <c r="I509" t="n">
        <v>0</v>
      </c>
      <c r="J509" t="n">
        <v>0</v>
      </c>
      <c r="K509" t="n">
        <v>0</v>
      </c>
      <c r="L509" t="n">
        <v>0</v>
      </c>
      <c r="M509" t="n">
        <v>0</v>
      </c>
      <c r="N509" t="n">
        <v>0</v>
      </c>
      <c r="O509" t="n">
        <v>0</v>
      </c>
      <c r="P509" t="n">
        <v>0</v>
      </c>
      <c r="Q509" t="n">
        <v>0</v>
      </c>
      <c r="R509" s="2" t="inlineStr"/>
    </row>
    <row r="510" ht="15" customHeight="1">
      <c r="A510" t="inlineStr">
        <is>
          <t>A 11538-2024</t>
        </is>
      </c>
      <c r="B510" s="1" t="n">
        <v>45372</v>
      </c>
      <c r="C510" s="1" t="n">
        <v>46033</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60996-2025</t>
        </is>
      </c>
      <c r="B511" s="1" t="n">
        <v>45999.74579861111</v>
      </c>
      <c r="C511" s="1" t="n">
        <v>46033</v>
      </c>
      <c r="D511" t="inlineStr">
        <is>
          <t>VÄSTERBOTTENS LÄN</t>
        </is>
      </c>
      <c r="E511" t="inlineStr">
        <is>
          <t>VILHELMINA</t>
        </is>
      </c>
      <c r="G511" t="n">
        <v>4.6</v>
      </c>
      <c r="H511" t="n">
        <v>0</v>
      </c>
      <c r="I511" t="n">
        <v>0</v>
      </c>
      <c r="J511" t="n">
        <v>0</v>
      </c>
      <c r="K511" t="n">
        <v>0</v>
      </c>
      <c r="L511" t="n">
        <v>0</v>
      </c>
      <c r="M511" t="n">
        <v>0</v>
      </c>
      <c r="N511" t="n">
        <v>0</v>
      </c>
      <c r="O511" t="n">
        <v>0</v>
      </c>
      <c r="P511" t="n">
        <v>0</v>
      </c>
      <c r="Q511" t="n">
        <v>0</v>
      </c>
      <c r="R511" s="2" t="inlineStr"/>
    </row>
    <row r="512" ht="15" customHeight="1">
      <c r="A512" t="inlineStr">
        <is>
          <t>A 60999-2025</t>
        </is>
      </c>
      <c r="B512" s="1" t="n">
        <v>45999.76028935185</v>
      </c>
      <c r="C512" s="1" t="n">
        <v>46033</v>
      </c>
      <c r="D512" t="inlineStr">
        <is>
          <t>VÄSTERBOTTENS LÄN</t>
        </is>
      </c>
      <c r="E512" t="inlineStr">
        <is>
          <t>VILHELMINA</t>
        </is>
      </c>
      <c r="G512" t="n">
        <v>1.9</v>
      </c>
      <c r="H512" t="n">
        <v>0</v>
      </c>
      <c r="I512" t="n">
        <v>0</v>
      </c>
      <c r="J512" t="n">
        <v>0</v>
      </c>
      <c r="K512" t="n">
        <v>0</v>
      </c>
      <c r="L512" t="n">
        <v>0</v>
      </c>
      <c r="M512" t="n">
        <v>0</v>
      </c>
      <c r="N512" t="n">
        <v>0</v>
      </c>
      <c r="O512" t="n">
        <v>0</v>
      </c>
      <c r="P512" t="n">
        <v>0</v>
      </c>
      <c r="Q512" t="n">
        <v>0</v>
      </c>
      <c r="R512" s="2" t="inlineStr"/>
    </row>
    <row r="513" ht="15" customHeight="1">
      <c r="A513" t="inlineStr">
        <is>
          <t>A 39677-2024</t>
        </is>
      </c>
      <c r="B513" s="1" t="n">
        <v>45552</v>
      </c>
      <c r="C513" s="1" t="n">
        <v>46033</v>
      </c>
      <c r="D513" t="inlineStr">
        <is>
          <t>VÄSTERBOTTENS LÄN</t>
        </is>
      </c>
      <c r="E513" t="inlineStr">
        <is>
          <t>VILHELMINA</t>
        </is>
      </c>
      <c r="F513" t="inlineStr">
        <is>
          <t>SCA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59003-2024</t>
        </is>
      </c>
      <c r="B514" s="1" t="n">
        <v>45636</v>
      </c>
      <c r="C514" s="1" t="n">
        <v>46033</v>
      </c>
      <c r="D514" t="inlineStr">
        <is>
          <t>VÄSTERBOTTENS LÄN</t>
        </is>
      </c>
      <c r="E514" t="inlineStr">
        <is>
          <t>VILHELMINA</t>
        </is>
      </c>
      <c r="F514" t="inlineStr">
        <is>
          <t>Allmännings- och besparingsskogar</t>
        </is>
      </c>
      <c r="G514" t="n">
        <v>22</v>
      </c>
      <c r="H514" t="n">
        <v>0</v>
      </c>
      <c r="I514" t="n">
        <v>0</v>
      </c>
      <c r="J514" t="n">
        <v>0</v>
      </c>
      <c r="K514" t="n">
        <v>0</v>
      </c>
      <c r="L514" t="n">
        <v>0</v>
      </c>
      <c r="M514" t="n">
        <v>0</v>
      </c>
      <c r="N514" t="n">
        <v>0</v>
      </c>
      <c r="O514" t="n">
        <v>0</v>
      </c>
      <c r="P514" t="n">
        <v>0</v>
      </c>
      <c r="Q514" t="n">
        <v>0</v>
      </c>
      <c r="R514" s="2" t="inlineStr"/>
    </row>
    <row r="515" ht="15" customHeight="1">
      <c r="A515" t="inlineStr">
        <is>
          <t>A 31485-2025</t>
        </is>
      </c>
      <c r="B515" s="1" t="n">
        <v>45833</v>
      </c>
      <c r="C515" s="1" t="n">
        <v>46033</v>
      </c>
      <c r="D515" t="inlineStr">
        <is>
          <t>VÄSTERBOTTENS LÄN</t>
        </is>
      </c>
      <c r="E515" t="inlineStr">
        <is>
          <t>VILHELMINA</t>
        </is>
      </c>
      <c r="G515" t="n">
        <v>2.8</v>
      </c>
      <c r="H515" t="n">
        <v>0</v>
      </c>
      <c r="I515" t="n">
        <v>0</v>
      </c>
      <c r="J515" t="n">
        <v>0</v>
      </c>
      <c r="K515" t="n">
        <v>0</v>
      </c>
      <c r="L515" t="n">
        <v>0</v>
      </c>
      <c r="M515" t="n">
        <v>0</v>
      </c>
      <c r="N515" t="n">
        <v>0</v>
      </c>
      <c r="O515" t="n">
        <v>0</v>
      </c>
      <c r="P515" t="n">
        <v>0</v>
      </c>
      <c r="Q515" t="n">
        <v>0</v>
      </c>
      <c r="R515" s="2" t="inlineStr"/>
    </row>
    <row r="516" ht="15" customHeight="1">
      <c r="A516" t="inlineStr">
        <is>
          <t>A 60701-2025</t>
        </is>
      </c>
      <c r="B516" s="1" t="n">
        <v>45996.60284722222</v>
      </c>
      <c r="C516" s="1" t="n">
        <v>46033</v>
      </c>
      <c r="D516" t="inlineStr">
        <is>
          <t>VÄSTERBOTTENS LÄN</t>
        </is>
      </c>
      <c r="E516" t="inlineStr">
        <is>
          <t>VILHELMINA</t>
        </is>
      </c>
      <c r="G516" t="n">
        <v>6.2</v>
      </c>
      <c r="H516" t="n">
        <v>0</v>
      </c>
      <c r="I516" t="n">
        <v>0</v>
      </c>
      <c r="J516" t="n">
        <v>0</v>
      </c>
      <c r="K516" t="n">
        <v>0</v>
      </c>
      <c r="L516" t="n">
        <v>0</v>
      </c>
      <c r="M516" t="n">
        <v>0</v>
      </c>
      <c r="N516" t="n">
        <v>0</v>
      </c>
      <c r="O516" t="n">
        <v>0</v>
      </c>
      <c r="P516" t="n">
        <v>0</v>
      </c>
      <c r="Q516" t="n">
        <v>0</v>
      </c>
      <c r="R516" s="2" t="inlineStr"/>
    </row>
    <row r="517" ht="15" customHeight="1">
      <c r="A517" t="inlineStr">
        <is>
          <t>A 2022-2024</t>
        </is>
      </c>
      <c r="B517" s="1" t="n">
        <v>45308</v>
      </c>
      <c r="C517" s="1" t="n">
        <v>46033</v>
      </c>
      <c r="D517" t="inlineStr">
        <is>
          <t>VÄSTERBOTTENS LÄN</t>
        </is>
      </c>
      <c r="E517" t="inlineStr">
        <is>
          <t>VILHELMINA</t>
        </is>
      </c>
      <c r="G517" t="n">
        <v>8.5</v>
      </c>
      <c r="H517" t="n">
        <v>0</v>
      </c>
      <c r="I517" t="n">
        <v>0</v>
      </c>
      <c r="J517" t="n">
        <v>0</v>
      </c>
      <c r="K517" t="n">
        <v>0</v>
      </c>
      <c r="L517" t="n">
        <v>0</v>
      </c>
      <c r="M517" t="n">
        <v>0</v>
      </c>
      <c r="N517" t="n">
        <v>0</v>
      </c>
      <c r="O517" t="n">
        <v>0</v>
      </c>
      <c r="P517" t="n">
        <v>0</v>
      </c>
      <c r="Q517" t="n">
        <v>0</v>
      </c>
      <c r="R517" s="2" t="inlineStr"/>
    </row>
    <row r="518" ht="15" customHeight="1">
      <c r="A518" t="inlineStr">
        <is>
          <t>A 50305-2025</t>
        </is>
      </c>
      <c r="B518" s="1" t="n">
        <v>45944.42415509259</v>
      </c>
      <c r="C518" s="1" t="n">
        <v>46033</v>
      </c>
      <c r="D518" t="inlineStr">
        <is>
          <t>VÄSTERBOTTENS LÄN</t>
        </is>
      </c>
      <c r="E518" t="inlineStr">
        <is>
          <t>VILHELMINA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58456-2023</t>
        </is>
      </c>
      <c r="B519" s="1" t="n">
        <v>45250.96092592592</v>
      </c>
      <c r="C519" s="1" t="n">
        <v>46033</v>
      </c>
      <c r="D519" t="inlineStr">
        <is>
          <t>VÄSTERBOTTENS LÄN</t>
        </is>
      </c>
      <c r="E519" t="inlineStr">
        <is>
          <t>VILHELMINA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60782-2023</t>
        </is>
      </c>
      <c r="B520" s="1" t="n">
        <v>45259</v>
      </c>
      <c r="C520" s="1" t="n">
        <v>46033</v>
      </c>
      <c r="D520" t="inlineStr">
        <is>
          <t>VÄSTERBOTTENS LÄN</t>
        </is>
      </c>
      <c r="E520" t="inlineStr">
        <is>
          <t>VILHELMINA</t>
        </is>
      </c>
      <c r="G520" t="n">
        <v>12.7</v>
      </c>
      <c r="H520" t="n">
        <v>0</v>
      </c>
      <c r="I520" t="n">
        <v>0</v>
      </c>
      <c r="J520" t="n">
        <v>0</v>
      </c>
      <c r="K520" t="n">
        <v>0</v>
      </c>
      <c r="L520" t="n">
        <v>0</v>
      </c>
      <c r="M520" t="n">
        <v>0</v>
      </c>
      <c r="N520" t="n">
        <v>0</v>
      </c>
      <c r="O520" t="n">
        <v>0</v>
      </c>
      <c r="P520" t="n">
        <v>0</v>
      </c>
      <c r="Q520" t="n">
        <v>0</v>
      </c>
      <c r="R520" s="2" t="inlineStr"/>
    </row>
    <row r="521" ht="15" customHeight="1">
      <c r="A521" t="inlineStr">
        <is>
          <t>A 50282-2025</t>
        </is>
      </c>
      <c r="B521" s="1" t="n">
        <v>45944.3862037037</v>
      </c>
      <c r="C521" s="1" t="n">
        <v>46033</v>
      </c>
      <c r="D521" t="inlineStr">
        <is>
          <t>VÄSTERBOTTENS LÄN</t>
        </is>
      </c>
      <c r="E521" t="inlineStr">
        <is>
          <t>VILHELMINA</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46033</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65159-2021</t>
        </is>
      </c>
      <c r="B523" s="1" t="n">
        <v>44515</v>
      </c>
      <c r="C523" s="1" t="n">
        <v>46033</v>
      </c>
      <c r="D523" t="inlineStr">
        <is>
          <t>VÄSTERBOTTENS LÄN</t>
        </is>
      </c>
      <c r="E523" t="inlineStr">
        <is>
          <t>VILHELMINA</t>
        </is>
      </c>
      <c r="G523" t="n">
        <v>5</v>
      </c>
      <c r="H523" t="n">
        <v>0</v>
      </c>
      <c r="I523" t="n">
        <v>0</v>
      </c>
      <c r="J523" t="n">
        <v>0</v>
      </c>
      <c r="K523" t="n">
        <v>0</v>
      </c>
      <c r="L523" t="n">
        <v>0</v>
      </c>
      <c r="M523" t="n">
        <v>0</v>
      </c>
      <c r="N523" t="n">
        <v>0</v>
      </c>
      <c r="O523" t="n">
        <v>0</v>
      </c>
      <c r="P523" t="n">
        <v>0</v>
      </c>
      <c r="Q523" t="n">
        <v>0</v>
      </c>
      <c r="R523" s="2" t="inlineStr"/>
    </row>
    <row r="524" ht="15" customHeight="1">
      <c r="A524" t="inlineStr">
        <is>
          <t>A 45593-2024</t>
        </is>
      </c>
      <c r="B524" s="1" t="n">
        <v>45579</v>
      </c>
      <c r="C524" s="1" t="n">
        <v>46033</v>
      </c>
      <c r="D524" t="inlineStr">
        <is>
          <t>VÄSTERBOTTENS LÄN</t>
        </is>
      </c>
      <c r="E524" t="inlineStr">
        <is>
          <t>VILHELMINA</t>
        </is>
      </c>
      <c r="G524" t="n">
        <v>0.9</v>
      </c>
      <c r="H524" t="n">
        <v>0</v>
      </c>
      <c r="I524" t="n">
        <v>0</v>
      </c>
      <c r="J524" t="n">
        <v>0</v>
      </c>
      <c r="K524" t="n">
        <v>0</v>
      </c>
      <c r="L524" t="n">
        <v>0</v>
      </c>
      <c r="M524" t="n">
        <v>0</v>
      </c>
      <c r="N524" t="n">
        <v>0</v>
      </c>
      <c r="O524" t="n">
        <v>0</v>
      </c>
      <c r="P524" t="n">
        <v>0</v>
      </c>
      <c r="Q524" t="n">
        <v>0</v>
      </c>
      <c r="R524" s="2" t="inlineStr"/>
    </row>
    <row r="525" ht="15" customHeight="1">
      <c r="A525" t="inlineStr">
        <is>
          <t>A 52789-2025</t>
        </is>
      </c>
      <c r="B525" s="1" t="n">
        <v>45957.42777777778</v>
      </c>
      <c r="C525" s="1" t="n">
        <v>46033</v>
      </c>
      <c r="D525" t="inlineStr">
        <is>
          <t>VÄSTERBOTTENS LÄN</t>
        </is>
      </c>
      <c r="E525" t="inlineStr">
        <is>
          <t>VILHELMINA</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60697-2025</t>
        </is>
      </c>
      <c r="B526" s="1" t="n">
        <v>45996.59995370371</v>
      </c>
      <c r="C526" s="1" t="n">
        <v>46033</v>
      </c>
      <c r="D526" t="inlineStr">
        <is>
          <t>VÄSTERBOTTENS LÄN</t>
        </is>
      </c>
      <c r="E526" t="inlineStr">
        <is>
          <t>VILHELMINA</t>
        </is>
      </c>
      <c r="G526" t="n">
        <v>2.1</v>
      </c>
      <c r="H526" t="n">
        <v>0</v>
      </c>
      <c r="I526" t="n">
        <v>0</v>
      </c>
      <c r="J526" t="n">
        <v>0</v>
      </c>
      <c r="K526" t="n">
        <v>0</v>
      </c>
      <c r="L526" t="n">
        <v>0</v>
      </c>
      <c r="M526" t="n">
        <v>0</v>
      </c>
      <c r="N526" t="n">
        <v>0</v>
      </c>
      <c r="O526" t="n">
        <v>0</v>
      </c>
      <c r="P526" t="n">
        <v>0</v>
      </c>
      <c r="Q526" t="n">
        <v>0</v>
      </c>
      <c r="R526" s="2" t="inlineStr"/>
    </row>
    <row r="527" ht="15" customHeight="1">
      <c r="A527" t="inlineStr">
        <is>
          <t>A 60713-2025</t>
        </is>
      </c>
      <c r="B527" s="1" t="n">
        <v>45996.63483796296</v>
      </c>
      <c r="C527" s="1" t="n">
        <v>46033</v>
      </c>
      <c r="D527" t="inlineStr">
        <is>
          <t>VÄSTERBOTTENS LÄN</t>
        </is>
      </c>
      <c r="E527" t="inlineStr">
        <is>
          <t>VILHELMINA</t>
        </is>
      </c>
      <c r="G527" t="n">
        <v>2.4</v>
      </c>
      <c r="H527" t="n">
        <v>0</v>
      </c>
      <c r="I527" t="n">
        <v>0</v>
      </c>
      <c r="J527" t="n">
        <v>0</v>
      </c>
      <c r="K527" t="n">
        <v>0</v>
      </c>
      <c r="L527" t="n">
        <v>0</v>
      </c>
      <c r="M527" t="n">
        <v>0</v>
      </c>
      <c r="N527" t="n">
        <v>0</v>
      </c>
      <c r="O527" t="n">
        <v>0</v>
      </c>
      <c r="P527" t="n">
        <v>0</v>
      </c>
      <c r="Q527" t="n">
        <v>0</v>
      </c>
      <c r="R527" s="2" t="inlineStr"/>
    </row>
    <row r="528" ht="15" customHeight="1">
      <c r="A528" t="inlineStr">
        <is>
          <t>A 34563-2025</t>
        </is>
      </c>
      <c r="B528" s="1" t="n">
        <v>45847.57950231482</v>
      </c>
      <c r="C528" s="1" t="n">
        <v>46033</v>
      </c>
      <c r="D528" t="inlineStr">
        <is>
          <t>VÄSTERBOTTENS LÄN</t>
        </is>
      </c>
      <c r="E528" t="inlineStr">
        <is>
          <t>VILHELMINA</t>
        </is>
      </c>
      <c r="G528" t="n">
        <v>20.6</v>
      </c>
      <c r="H528" t="n">
        <v>0</v>
      </c>
      <c r="I528" t="n">
        <v>0</v>
      </c>
      <c r="J528" t="n">
        <v>0</v>
      </c>
      <c r="K528" t="n">
        <v>0</v>
      </c>
      <c r="L528" t="n">
        <v>0</v>
      </c>
      <c r="M528" t="n">
        <v>0</v>
      </c>
      <c r="N528" t="n">
        <v>0</v>
      </c>
      <c r="O528" t="n">
        <v>0</v>
      </c>
      <c r="P528" t="n">
        <v>0</v>
      </c>
      <c r="Q528" t="n">
        <v>0</v>
      </c>
      <c r="R528" s="2" t="inlineStr"/>
    </row>
    <row r="529" ht="15" customHeight="1">
      <c r="A529" t="inlineStr">
        <is>
          <t>A 34569-2025</t>
        </is>
      </c>
      <c r="B529" s="1" t="n">
        <v>45847.58480324074</v>
      </c>
      <c r="C529" s="1" t="n">
        <v>46033</v>
      </c>
      <c r="D529" t="inlineStr">
        <is>
          <t>VÄSTERBOTTENS LÄN</t>
        </is>
      </c>
      <c r="E529" t="inlineStr">
        <is>
          <t>VILHELMINA</t>
        </is>
      </c>
      <c r="G529" t="n">
        <v>5.3</v>
      </c>
      <c r="H529" t="n">
        <v>0</v>
      </c>
      <c r="I529" t="n">
        <v>0</v>
      </c>
      <c r="J529" t="n">
        <v>0</v>
      </c>
      <c r="K529" t="n">
        <v>0</v>
      </c>
      <c r="L529" t="n">
        <v>0</v>
      </c>
      <c r="M529" t="n">
        <v>0</v>
      </c>
      <c r="N529" t="n">
        <v>0</v>
      </c>
      <c r="O529" t="n">
        <v>0</v>
      </c>
      <c r="P529" t="n">
        <v>0</v>
      </c>
      <c r="Q529" t="n">
        <v>0</v>
      </c>
      <c r="R529" s="2" t="inlineStr"/>
    </row>
    <row r="530" ht="15" customHeight="1">
      <c r="A530" t="inlineStr">
        <is>
          <t>A 34542-2025</t>
        </is>
      </c>
      <c r="B530" s="1" t="n">
        <v>45847.53211805555</v>
      </c>
      <c r="C530" s="1" t="n">
        <v>46033</v>
      </c>
      <c r="D530" t="inlineStr">
        <is>
          <t>VÄSTERBOTTENS LÄN</t>
        </is>
      </c>
      <c r="E530" t="inlineStr">
        <is>
          <t>VILHELMINA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60993-2025</t>
        </is>
      </c>
      <c r="B531" s="1" t="n">
        <v>45999.7365162037</v>
      </c>
      <c r="C531" s="1" t="n">
        <v>46033</v>
      </c>
      <c r="D531" t="inlineStr">
        <is>
          <t>VÄSTERBOTTENS LÄN</t>
        </is>
      </c>
      <c r="E531" t="inlineStr">
        <is>
          <t>VILHELMINA</t>
        </is>
      </c>
      <c r="G531" t="n">
        <v>7.9</v>
      </c>
      <c r="H531" t="n">
        <v>0</v>
      </c>
      <c r="I531" t="n">
        <v>0</v>
      </c>
      <c r="J531" t="n">
        <v>0</v>
      </c>
      <c r="K531" t="n">
        <v>0</v>
      </c>
      <c r="L531" t="n">
        <v>0</v>
      </c>
      <c r="M531" t="n">
        <v>0</v>
      </c>
      <c r="N531" t="n">
        <v>0</v>
      </c>
      <c r="O531" t="n">
        <v>0</v>
      </c>
      <c r="P531" t="n">
        <v>0</v>
      </c>
      <c r="Q531" t="n">
        <v>0</v>
      </c>
      <c r="R531" s="2" t="inlineStr"/>
    </row>
    <row r="532" ht="15" customHeight="1">
      <c r="A532" t="inlineStr">
        <is>
          <t>A 60994-2025</t>
        </is>
      </c>
      <c r="B532" s="1" t="n">
        <v>45999.74017361111</v>
      </c>
      <c r="C532" s="1" t="n">
        <v>46033</v>
      </c>
      <c r="D532" t="inlineStr">
        <is>
          <t>VÄSTERBOTTENS LÄN</t>
        </is>
      </c>
      <c r="E532" t="inlineStr">
        <is>
          <t>VILHELMINA</t>
        </is>
      </c>
      <c r="G532" t="n">
        <v>5.4</v>
      </c>
      <c r="H532" t="n">
        <v>0</v>
      </c>
      <c r="I532" t="n">
        <v>0</v>
      </c>
      <c r="J532" t="n">
        <v>0</v>
      </c>
      <c r="K532" t="n">
        <v>0</v>
      </c>
      <c r="L532" t="n">
        <v>0</v>
      </c>
      <c r="M532" t="n">
        <v>0</v>
      </c>
      <c r="N532" t="n">
        <v>0</v>
      </c>
      <c r="O532" t="n">
        <v>0</v>
      </c>
      <c r="P532" t="n">
        <v>0</v>
      </c>
      <c r="Q532" t="n">
        <v>0</v>
      </c>
      <c r="R532" s="2" t="inlineStr"/>
    </row>
    <row r="533" ht="15" customHeight="1">
      <c r="A533" t="inlineStr">
        <is>
          <t>A 2008-2025</t>
        </is>
      </c>
      <c r="B533" s="1" t="n">
        <v>45672.45302083333</v>
      </c>
      <c r="C533" s="1" t="n">
        <v>46033</v>
      </c>
      <c r="D533" t="inlineStr">
        <is>
          <t>VÄSTERBOTTENS LÄN</t>
        </is>
      </c>
      <c r="E533" t="inlineStr">
        <is>
          <t>VILHELMINA</t>
        </is>
      </c>
      <c r="G533" t="n">
        <v>0.7</v>
      </c>
      <c r="H533" t="n">
        <v>0</v>
      </c>
      <c r="I533" t="n">
        <v>0</v>
      </c>
      <c r="J533" t="n">
        <v>0</v>
      </c>
      <c r="K533" t="n">
        <v>0</v>
      </c>
      <c r="L533" t="n">
        <v>0</v>
      </c>
      <c r="M533" t="n">
        <v>0</v>
      </c>
      <c r="N533" t="n">
        <v>0</v>
      </c>
      <c r="O533" t="n">
        <v>0</v>
      </c>
      <c r="P533" t="n">
        <v>0</v>
      </c>
      <c r="Q533" t="n">
        <v>0</v>
      </c>
      <c r="R533" s="2" t="inlineStr"/>
    </row>
    <row r="534" ht="15" customHeight="1">
      <c r="A534" t="inlineStr">
        <is>
          <t>A 61517-2025</t>
        </is>
      </c>
      <c r="B534" s="1" t="n">
        <v>46001.68586805555</v>
      </c>
      <c r="C534" s="1" t="n">
        <v>46033</v>
      </c>
      <c r="D534" t="inlineStr">
        <is>
          <t>VÄSTERBOTTENS LÄN</t>
        </is>
      </c>
      <c r="E534" t="inlineStr">
        <is>
          <t>VILHELMINA</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41484-2022</t>
        </is>
      </c>
      <c r="B535" s="1" t="n">
        <v>44826</v>
      </c>
      <c r="C535" s="1" t="n">
        <v>46033</v>
      </c>
      <c r="D535" t="inlineStr">
        <is>
          <t>VÄSTERBOTTENS LÄN</t>
        </is>
      </c>
      <c r="E535" t="inlineStr">
        <is>
          <t>VILHELMINA</t>
        </is>
      </c>
      <c r="F535" t="inlineStr">
        <is>
          <t>SCA</t>
        </is>
      </c>
      <c r="G535" t="n">
        <v>18.1</v>
      </c>
      <c r="H535" t="n">
        <v>0</v>
      </c>
      <c r="I535" t="n">
        <v>0</v>
      </c>
      <c r="J535" t="n">
        <v>0</v>
      </c>
      <c r="K535" t="n">
        <v>0</v>
      </c>
      <c r="L535" t="n">
        <v>0</v>
      </c>
      <c r="M535" t="n">
        <v>0</v>
      </c>
      <c r="N535" t="n">
        <v>0</v>
      </c>
      <c r="O535" t="n">
        <v>0</v>
      </c>
      <c r="P535" t="n">
        <v>0</v>
      </c>
      <c r="Q535" t="n">
        <v>0</v>
      </c>
      <c r="R535" s="2" t="inlineStr"/>
    </row>
    <row r="536" ht="15" customHeight="1">
      <c r="A536" t="inlineStr">
        <is>
          <t>A 46316-2022</t>
        </is>
      </c>
      <c r="B536" s="1" t="n">
        <v>44847</v>
      </c>
      <c r="C536" s="1" t="n">
        <v>46033</v>
      </c>
      <c r="D536" t="inlineStr">
        <is>
          <t>VÄSTERBOTTENS LÄN</t>
        </is>
      </c>
      <c r="E536" t="inlineStr">
        <is>
          <t>VILHELMINA</t>
        </is>
      </c>
      <c r="G536" t="n">
        <v>2.1</v>
      </c>
      <c r="H536" t="n">
        <v>0</v>
      </c>
      <c r="I536" t="n">
        <v>0</v>
      </c>
      <c r="J536" t="n">
        <v>0</v>
      </c>
      <c r="K536" t="n">
        <v>0</v>
      </c>
      <c r="L536" t="n">
        <v>0</v>
      </c>
      <c r="M536" t="n">
        <v>0</v>
      </c>
      <c r="N536" t="n">
        <v>0</v>
      </c>
      <c r="O536" t="n">
        <v>0</v>
      </c>
      <c r="P536" t="n">
        <v>0</v>
      </c>
      <c r="Q536" t="n">
        <v>0</v>
      </c>
      <c r="R536" s="2" t="inlineStr"/>
    </row>
    <row r="537" ht="15" customHeight="1">
      <c r="A537" t="inlineStr">
        <is>
          <t>A 35230-2025</t>
        </is>
      </c>
      <c r="B537" s="1" t="n">
        <v>45853.59447916667</v>
      </c>
      <c r="C537" s="1" t="n">
        <v>46033</v>
      </c>
      <c r="D537" t="inlineStr">
        <is>
          <t>VÄSTERBOTTENS LÄN</t>
        </is>
      </c>
      <c r="E537" t="inlineStr">
        <is>
          <t>VILHELMINA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35231-2025</t>
        </is>
      </c>
      <c r="B538" s="1" t="n">
        <v>45853.59453703704</v>
      </c>
      <c r="C538" s="1" t="n">
        <v>46033</v>
      </c>
      <c r="D538" t="inlineStr">
        <is>
          <t>VÄSTERBOTTENS LÄN</t>
        </is>
      </c>
      <c r="E538" t="inlineStr">
        <is>
          <t>VILHELMINA</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25551-2024</t>
        </is>
      </c>
      <c r="B539" s="1" t="n">
        <v>45463</v>
      </c>
      <c r="C539" s="1" t="n">
        <v>46033</v>
      </c>
      <c r="D539" t="inlineStr">
        <is>
          <t>VÄSTERBOTTENS LÄN</t>
        </is>
      </c>
      <c r="E539" t="inlineStr">
        <is>
          <t>VILHELMINA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12374-2025</t>
        </is>
      </c>
      <c r="B540" s="1" t="n">
        <v>45730</v>
      </c>
      <c r="C540" s="1" t="n">
        <v>46033</v>
      </c>
      <c r="D540" t="inlineStr">
        <is>
          <t>VÄSTERBOTTENS LÄN</t>
        </is>
      </c>
      <c r="E540" t="inlineStr">
        <is>
          <t>VILHELMINA</t>
        </is>
      </c>
      <c r="F540" t="inlineStr">
        <is>
          <t>Övriga statliga verk och myndigheter</t>
        </is>
      </c>
      <c r="G540" t="n">
        <v>18.7</v>
      </c>
      <c r="H540" t="n">
        <v>0</v>
      </c>
      <c r="I540" t="n">
        <v>0</v>
      </c>
      <c r="J540" t="n">
        <v>0</v>
      </c>
      <c r="K540" t="n">
        <v>0</v>
      </c>
      <c r="L540" t="n">
        <v>0</v>
      </c>
      <c r="M540" t="n">
        <v>0</v>
      </c>
      <c r="N540" t="n">
        <v>0</v>
      </c>
      <c r="O540" t="n">
        <v>0</v>
      </c>
      <c r="P540" t="n">
        <v>0</v>
      </c>
      <c r="Q540" t="n">
        <v>0</v>
      </c>
      <c r="R540" s="2" t="inlineStr"/>
    </row>
    <row r="541" ht="15" customHeight="1">
      <c r="A541" t="inlineStr">
        <is>
          <t>A 12375-2025</t>
        </is>
      </c>
      <c r="B541" s="1" t="n">
        <v>45730</v>
      </c>
      <c r="C541" s="1" t="n">
        <v>46033</v>
      </c>
      <c r="D541" t="inlineStr">
        <is>
          <t>VÄSTERBOTTENS LÄN</t>
        </is>
      </c>
      <c r="E541" t="inlineStr">
        <is>
          <t>VILHELMINA</t>
        </is>
      </c>
      <c r="F541" t="inlineStr">
        <is>
          <t>Övriga statliga verk och myndigheter</t>
        </is>
      </c>
      <c r="G541" t="n">
        <v>22.3</v>
      </c>
      <c r="H541" t="n">
        <v>0</v>
      </c>
      <c r="I541" t="n">
        <v>0</v>
      </c>
      <c r="J541" t="n">
        <v>0</v>
      </c>
      <c r="K541" t="n">
        <v>0</v>
      </c>
      <c r="L541" t="n">
        <v>0</v>
      </c>
      <c r="M541" t="n">
        <v>0</v>
      </c>
      <c r="N541" t="n">
        <v>0</v>
      </c>
      <c r="O541" t="n">
        <v>0</v>
      </c>
      <c r="P541" t="n">
        <v>0</v>
      </c>
      <c r="Q541" t="n">
        <v>0</v>
      </c>
      <c r="R541" s="2" t="inlineStr"/>
    </row>
    <row r="542" ht="15" customHeight="1">
      <c r="A542" t="inlineStr">
        <is>
          <t>A 56246-2023</t>
        </is>
      </c>
      <c r="B542" s="1" t="n">
        <v>45240</v>
      </c>
      <c r="C542" s="1" t="n">
        <v>46033</v>
      </c>
      <c r="D542" t="inlineStr">
        <is>
          <t>VÄSTERBOTTENS LÄN</t>
        </is>
      </c>
      <c r="E542" t="inlineStr">
        <is>
          <t>VILHELMINA</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61426-2025</t>
        </is>
      </c>
      <c r="B543" s="1" t="n">
        <v>46001.54938657407</v>
      </c>
      <c r="C543" s="1" t="n">
        <v>46033</v>
      </c>
      <c r="D543" t="inlineStr">
        <is>
          <t>VÄSTERBOTTENS LÄN</t>
        </is>
      </c>
      <c r="E543" t="inlineStr">
        <is>
          <t>VILHELMINA</t>
        </is>
      </c>
      <c r="G543" t="n">
        <v>12.2</v>
      </c>
      <c r="H543" t="n">
        <v>0</v>
      </c>
      <c r="I543" t="n">
        <v>0</v>
      </c>
      <c r="J543" t="n">
        <v>0</v>
      </c>
      <c r="K543" t="n">
        <v>0</v>
      </c>
      <c r="L543" t="n">
        <v>0</v>
      </c>
      <c r="M543" t="n">
        <v>0</v>
      </c>
      <c r="N543" t="n">
        <v>0</v>
      </c>
      <c r="O543" t="n">
        <v>0</v>
      </c>
      <c r="P543" t="n">
        <v>0</v>
      </c>
      <c r="Q543" t="n">
        <v>0</v>
      </c>
      <c r="R543" s="2" t="inlineStr"/>
    </row>
    <row r="544" ht="15" customHeight="1">
      <c r="A544" t="inlineStr">
        <is>
          <t>A 35285-2025</t>
        </is>
      </c>
      <c r="B544" s="1" t="n">
        <v>45854</v>
      </c>
      <c r="C544" s="1" t="n">
        <v>46033</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35287-2025</t>
        </is>
      </c>
      <c r="B545" s="1" t="n">
        <v>45854.3653587963</v>
      </c>
      <c r="C545" s="1" t="n">
        <v>46033</v>
      </c>
      <c r="D545" t="inlineStr">
        <is>
          <t>VÄSTERBOTTENS LÄN</t>
        </is>
      </c>
      <c r="E545" t="inlineStr">
        <is>
          <t>VILHELMINA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35288-2025</t>
        </is>
      </c>
      <c r="B546" s="1" t="n">
        <v>45854.36543981481</v>
      </c>
      <c r="C546" s="1" t="n">
        <v>46033</v>
      </c>
      <c r="D546" t="inlineStr">
        <is>
          <t>VÄSTERBOTTENS LÄN</t>
        </is>
      </c>
      <c r="E546" t="inlineStr">
        <is>
          <t>VILHELMINA</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48470-2023</t>
        </is>
      </c>
      <c r="B547" s="1" t="n">
        <v>45206.95747685185</v>
      </c>
      <c r="C547" s="1" t="n">
        <v>46033</v>
      </c>
      <c r="D547" t="inlineStr">
        <is>
          <t>VÄSTERBOTTENS LÄN</t>
        </is>
      </c>
      <c r="E547" t="inlineStr">
        <is>
          <t>VILHELMINA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61464-2025</t>
        </is>
      </c>
      <c r="B548" s="1" t="n">
        <v>46001.60319444445</v>
      </c>
      <c r="C548" s="1" t="n">
        <v>46033</v>
      </c>
      <c r="D548" t="inlineStr">
        <is>
          <t>VÄSTERBOTTENS LÄN</t>
        </is>
      </c>
      <c r="E548" t="inlineStr">
        <is>
          <t>VILHELMINA</t>
        </is>
      </c>
      <c r="G548" t="n">
        <v>5.8</v>
      </c>
      <c r="H548" t="n">
        <v>0</v>
      </c>
      <c r="I548" t="n">
        <v>0</v>
      </c>
      <c r="J548" t="n">
        <v>0</v>
      </c>
      <c r="K548" t="n">
        <v>0</v>
      </c>
      <c r="L548" t="n">
        <v>0</v>
      </c>
      <c r="M548" t="n">
        <v>0</v>
      </c>
      <c r="N548" t="n">
        <v>0</v>
      </c>
      <c r="O548" t="n">
        <v>0</v>
      </c>
      <c r="P548" t="n">
        <v>0</v>
      </c>
      <c r="Q548" t="n">
        <v>0</v>
      </c>
      <c r="R548" s="2" t="inlineStr"/>
    </row>
    <row r="549" ht="15" customHeight="1">
      <c r="A549" t="inlineStr">
        <is>
          <t>A 63218-2021</t>
        </is>
      </c>
      <c r="B549" s="1" t="n">
        <v>44505</v>
      </c>
      <c r="C549" s="1" t="n">
        <v>46033</v>
      </c>
      <c r="D549" t="inlineStr">
        <is>
          <t>VÄSTERBOTTENS LÄN</t>
        </is>
      </c>
      <c r="E549" t="inlineStr">
        <is>
          <t>VILHELMINA</t>
        </is>
      </c>
      <c r="G549" t="n">
        <v>6.8</v>
      </c>
      <c r="H549" t="n">
        <v>0</v>
      </c>
      <c r="I549" t="n">
        <v>0</v>
      </c>
      <c r="J549" t="n">
        <v>0</v>
      </c>
      <c r="K549" t="n">
        <v>0</v>
      </c>
      <c r="L549" t="n">
        <v>0</v>
      </c>
      <c r="M549" t="n">
        <v>0</v>
      </c>
      <c r="N549" t="n">
        <v>0</v>
      </c>
      <c r="O549" t="n">
        <v>0</v>
      </c>
      <c r="P549" t="n">
        <v>0</v>
      </c>
      <c r="Q549" t="n">
        <v>0</v>
      </c>
      <c r="R549" s="2" t="inlineStr"/>
    </row>
    <row r="550" ht="15" customHeight="1">
      <c r="A550" t="inlineStr">
        <is>
          <t>A 48423-2023</t>
        </is>
      </c>
      <c r="B550" s="1" t="n">
        <v>45205</v>
      </c>
      <c r="C550" s="1" t="n">
        <v>46033</v>
      </c>
      <c r="D550" t="inlineStr">
        <is>
          <t>VÄSTERBOTTENS LÄN</t>
        </is>
      </c>
      <c r="E550" t="inlineStr">
        <is>
          <t>VILHELMINA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58824-2024</t>
        </is>
      </c>
      <c r="B551" s="1" t="n">
        <v>45636.36488425926</v>
      </c>
      <c r="C551" s="1" t="n">
        <v>46033</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59915-2025</t>
        </is>
      </c>
      <c r="B552" s="1" t="n">
        <v>45993</v>
      </c>
      <c r="C552" s="1" t="n">
        <v>46033</v>
      </c>
      <c r="D552" t="inlineStr">
        <is>
          <t>VÄSTERBOTTENS LÄN</t>
        </is>
      </c>
      <c r="E552" t="inlineStr">
        <is>
          <t>VILHELMINA</t>
        </is>
      </c>
      <c r="G552" t="n">
        <v>27.8</v>
      </c>
      <c r="H552" t="n">
        <v>0</v>
      </c>
      <c r="I552" t="n">
        <v>0</v>
      </c>
      <c r="J552" t="n">
        <v>0</v>
      </c>
      <c r="K552" t="n">
        <v>0</v>
      </c>
      <c r="L552" t="n">
        <v>0</v>
      </c>
      <c r="M552" t="n">
        <v>0</v>
      </c>
      <c r="N552" t="n">
        <v>0</v>
      </c>
      <c r="O552" t="n">
        <v>0</v>
      </c>
      <c r="P552" t="n">
        <v>0</v>
      </c>
      <c r="Q552" t="n">
        <v>0</v>
      </c>
      <c r="R552" s="2" t="inlineStr"/>
    </row>
    <row r="553" ht="15" customHeight="1">
      <c r="A553" t="inlineStr">
        <is>
          <t>A 12362-2025</t>
        </is>
      </c>
      <c r="B553" s="1" t="n">
        <v>45730</v>
      </c>
      <c r="C553" s="1" t="n">
        <v>46033</v>
      </c>
      <c r="D553" t="inlineStr">
        <is>
          <t>VÄSTERBOTTENS LÄN</t>
        </is>
      </c>
      <c r="E553" t="inlineStr">
        <is>
          <t>VILHELMINA</t>
        </is>
      </c>
      <c r="F553" t="inlineStr">
        <is>
          <t>Övriga statliga verk och myndigheter</t>
        </is>
      </c>
      <c r="G553" t="n">
        <v>6.1</v>
      </c>
      <c r="H553" t="n">
        <v>0</v>
      </c>
      <c r="I553" t="n">
        <v>0</v>
      </c>
      <c r="J553" t="n">
        <v>0</v>
      </c>
      <c r="K553" t="n">
        <v>0</v>
      </c>
      <c r="L553" t="n">
        <v>0</v>
      </c>
      <c r="M553" t="n">
        <v>0</v>
      </c>
      <c r="N553" t="n">
        <v>0</v>
      </c>
      <c r="O553" t="n">
        <v>0</v>
      </c>
      <c r="P553" t="n">
        <v>0</v>
      </c>
      <c r="Q553" t="n">
        <v>0</v>
      </c>
      <c r="R553" s="2" t="inlineStr"/>
    </row>
    <row r="554" ht="15" customHeight="1">
      <c r="A554" t="inlineStr">
        <is>
          <t>A 12364-2025</t>
        </is>
      </c>
      <c r="B554" s="1" t="n">
        <v>45730.37515046296</v>
      </c>
      <c r="C554" s="1" t="n">
        <v>46033</v>
      </c>
      <c r="D554" t="inlineStr">
        <is>
          <t>VÄSTERBOTTENS LÄN</t>
        </is>
      </c>
      <c r="E554" t="inlineStr">
        <is>
          <t>VILHELMINA</t>
        </is>
      </c>
      <c r="F554" t="inlineStr">
        <is>
          <t>Övriga statliga verk och myndigheter</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12377-2025</t>
        </is>
      </c>
      <c r="B555" s="1" t="n">
        <v>45730</v>
      </c>
      <c r="C555" s="1" t="n">
        <v>46033</v>
      </c>
      <c r="D555" t="inlineStr">
        <is>
          <t>VÄSTERBOTTENS LÄN</t>
        </is>
      </c>
      <c r="E555" t="inlineStr">
        <is>
          <t>VILHELMINA</t>
        </is>
      </c>
      <c r="F555" t="inlineStr">
        <is>
          <t>Övriga statliga verk och myndigheter</t>
        </is>
      </c>
      <c r="G555" t="n">
        <v>37.1</v>
      </c>
      <c r="H555" t="n">
        <v>0</v>
      </c>
      <c r="I555" t="n">
        <v>0</v>
      </c>
      <c r="J555" t="n">
        <v>0</v>
      </c>
      <c r="K555" t="n">
        <v>0</v>
      </c>
      <c r="L555" t="n">
        <v>0</v>
      </c>
      <c r="M555" t="n">
        <v>0</v>
      </c>
      <c r="N555" t="n">
        <v>0</v>
      </c>
      <c r="O555" t="n">
        <v>0</v>
      </c>
      <c r="P555" t="n">
        <v>0</v>
      </c>
      <c r="Q555" t="n">
        <v>0</v>
      </c>
      <c r="R555" s="2" t="inlineStr"/>
    </row>
    <row r="556" ht="15" customHeight="1">
      <c r="A556" t="inlineStr">
        <is>
          <t>A 46547-2023</t>
        </is>
      </c>
      <c r="B556" s="1" t="n">
        <v>45197.94158564815</v>
      </c>
      <c r="C556" s="1" t="n">
        <v>46033</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1470-2021</t>
        </is>
      </c>
      <c r="B557" s="1" t="n">
        <v>44208</v>
      </c>
      <c r="C557" s="1" t="n">
        <v>46033</v>
      </c>
      <c r="D557" t="inlineStr">
        <is>
          <t>VÄSTERBOTTENS LÄN</t>
        </is>
      </c>
      <c r="E557" t="inlineStr">
        <is>
          <t>VILHELMINA</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35886-2025</t>
        </is>
      </c>
      <c r="B558" s="1" t="n">
        <v>45862</v>
      </c>
      <c r="C558" s="1" t="n">
        <v>46033</v>
      </c>
      <c r="D558" t="inlineStr">
        <is>
          <t>VÄSTERBOTTENS LÄN</t>
        </is>
      </c>
      <c r="E558" t="inlineStr">
        <is>
          <t>VILHELMINA</t>
        </is>
      </c>
      <c r="G558" t="n">
        <v>7</v>
      </c>
      <c r="H558" t="n">
        <v>0</v>
      </c>
      <c r="I558" t="n">
        <v>0</v>
      </c>
      <c r="J558" t="n">
        <v>0</v>
      </c>
      <c r="K558" t="n">
        <v>0</v>
      </c>
      <c r="L558" t="n">
        <v>0</v>
      </c>
      <c r="M558" t="n">
        <v>0</v>
      </c>
      <c r="N558" t="n">
        <v>0</v>
      </c>
      <c r="O558" t="n">
        <v>0</v>
      </c>
      <c r="P558" t="n">
        <v>0</v>
      </c>
      <c r="Q558" t="n">
        <v>0</v>
      </c>
      <c r="R558" s="2" t="inlineStr"/>
    </row>
    <row r="559" ht="15" customHeight="1">
      <c r="A559" t="inlineStr">
        <is>
          <t>A 35888-2025</t>
        </is>
      </c>
      <c r="B559" s="1" t="n">
        <v>45862.44034722223</v>
      </c>
      <c r="C559" s="1" t="n">
        <v>46033</v>
      </c>
      <c r="D559" t="inlineStr">
        <is>
          <t>VÄSTERBOTTENS LÄN</t>
        </is>
      </c>
      <c r="E559" t="inlineStr">
        <is>
          <t>VILHELMINA</t>
        </is>
      </c>
      <c r="G559" t="n">
        <v>2.4</v>
      </c>
      <c r="H559" t="n">
        <v>0</v>
      </c>
      <c r="I559" t="n">
        <v>0</v>
      </c>
      <c r="J559" t="n">
        <v>0</v>
      </c>
      <c r="K559" t="n">
        <v>0</v>
      </c>
      <c r="L559" t="n">
        <v>0</v>
      </c>
      <c r="M559" t="n">
        <v>0</v>
      </c>
      <c r="N559" t="n">
        <v>0</v>
      </c>
      <c r="O559" t="n">
        <v>0</v>
      </c>
      <c r="P559" t="n">
        <v>0</v>
      </c>
      <c r="Q559" t="n">
        <v>0</v>
      </c>
      <c r="R559" s="2" t="inlineStr"/>
    </row>
    <row r="560" ht="15" customHeight="1">
      <c r="A560" t="inlineStr">
        <is>
          <t>A 62100-2024</t>
        </is>
      </c>
      <c r="B560" s="1" t="n">
        <v>45656</v>
      </c>
      <c r="C560" s="1" t="n">
        <v>46033</v>
      </c>
      <c r="D560" t="inlineStr">
        <is>
          <t>VÄSTERBOTTENS LÄN</t>
        </is>
      </c>
      <c r="E560" t="inlineStr">
        <is>
          <t>VILHELMINA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53015-2025</t>
        </is>
      </c>
      <c r="B561" s="1" t="n">
        <v>45957.82777777778</v>
      </c>
      <c r="C561" s="1" t="n">
        <v>46033</v>
      </c>
      <c r="D561" t="inlineStr">
        <is>
          <t>VÄSTERBOTTENS LÄN</t>
        </is>
      </c>
      <c r="E561" t="inlineStr">
        <is>
          <t>VILHELMINA</t>
        </is>
      </c>
      <c r="G561" t="n">
        <v>17.2</v>
      </c>
      <c r="H561" t="n">
        <v>0</v>
      </c>
      <c r="I561" t="n">
        <v>0</v>
      </c>
      <c r="J561" t="n">
        <v>0</v>
      </c>
      <c r="K561" t="n">
        <v>0</v>
      </c>
      <c r="L561" t="n">
        <v>0</v>
      </c>
      <c r="M561" t="n">
        <v>0</v>
      </c>
      <c r="N561" t="n">
        <v>0</v>
      </c>
      <c r="O561" t="n">
        <v>0</v>
      </c>
      <c r="P561" t="n">
        <v>0</v>
      </c>
      <c r="Q561" t="n">
        <v>0</v>
      </c>
      <c r="R561" s="2" t="inlineStr"/>
    </row>
    <row r="562" ht="15" customHeight="1">
      <c r="A562" t="inlineStr">
        <is>
          <t>A 46071-2022</t>
        </is>
      </c>
      <c r="B562" s="1" t="n">
        <v>44847</v>
      </c>
      <c r="C562" s="1" t="n">
        <v>46033</v>
      </c>
      <c r="D562" t="inlineStr">
        <is>
          <t>VÄSTERBOTTENS LÄN</t>
        </is>
      </c>
      <c r="E562" t="inlineStr">
        <is>
          <t>VILHELMINA</t>
        </is>
      </c>
      <c r="G562" t="n">
        <v>10.6</v>
      </c>
      <c r="H562" t="n">
        <v>0</v>
      </c>
      <c r="I562" t="n">
        <v>0</v>
      </c>
      <c r="J562" t="n">
        <v>0</v>
      </c>
      <c r="K562" t="n">
        <v>0</v>
      </c>
      <c r="L562" t="n">
        <v>0</v>
      </c>
      <c r="M562" t="n">
        <v>0</v>
      </c>
      <c r="N562" t="n">
        <v>0</v>
      </c>
      <c r="O562" t="n">
        <v>0</v>
      </c>
      <c r="P562" t="n">
        <v>0</v>
      </c>
      <c r="Q562" t="n">
        <v>0</v>
      </c>
      <c r="R562" s="2" t="inlineStr"/>
    </row>
    <row r="563" ht="15" customHeight="1">
      <c r="A563" t="inlineStr">
        <is>
          <t>A 25701-2024</t>
        </is>
      </c>
      <c r="B563" s="1" t="n">
        <v>45463.94247685185</v>
      </c>
      <c r="C563" s="1" t="n">
        <v>46033</v>
      </c>
      <c r="D563" t="inlineStr">
        <is>
          <t>VÄSTERBOTTENS LÄN</t>
        </is>
      </c>
      <c r="E563" t="inlineStr">
        <is>
          <t>VILHELMINA</t>
        </is>
      </c>
      <c r="F563" t="inlineStr">
        <is>
          <t>SCA</t>
        </is>
      </c>
      <c r="G563" t="n">
        <v>8.6</v>
      </c>
      <c r="H563" t="n">
        <v>0</v>
      </c>
      <c r="I563" t="n">
        <v>0</v>
      </c>
      <c r="J563" t="n">
        <v>0</v>
      </c>
      <c r="K563" t="n">
        <v>0</v>
      </c>
      <c r="L563" t="n">
        <v>0</v>
      </c>
      <c r="M563" t="n">
        <v>0</v>
      </c>
      <c r="N563" t="n">
        <v>0</v>
      </c>
      <c r="O563" t="n">
        <v>0</v>
      </c>
      <c r="P563" t="n">
        <v>0</v>
      </c>
      <c r="Q563" t="n">
        <v>0</v>
      </c>
      <c r="R563" s="2" t="inlineStr"/>
    </row>
    <row r="564" ht="15" customHeight="1">
      <c r="A564" t="inlineStr">
        <is>
          <t>A 38364-2023</t>
        </is>
      </c>
      <c r="B564" s="1" t="n">
        <v>45161</v>
      </c>
      <c r="C564" s="1" t="n">
        <v>46033</v>
      </c>
      <c r="D564" t="inlineStr">
        <is>
          <t>VÄSTERBOTTENS LÄN</t>
        </is>
      </c>
      <c r="E564" t="inlineStr">
        <is>
          <t>VILHELMINA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48229-2024</t>
        </is>
      </c>
      <c r="B565" s="1" t="n">
        <v>45590.37554398148</v>
      </c>
      <c r="C565" s="1" t="n">
        <v>46033</v>
      </c>
      <c r="D565" t="inlineStr">
        <is>
          <t>VÄSTERBOTTENS LÄN</t>
        </is>
      </c>
      <c r="E565" t="inlineStr">
        <is>
          <t>VILHELMINA</t>
        </is>
      </c>
      <c r="G565" t="n">
        <v>11.6</v>
      </c>
      <c r="H565" t="n">
        <v>0</v>
      </c>
      <c r="I565" t="n">
        <v>0</v>
      </c>
      <c r="J565" t="n">
        <v>0</v>
      </c>
      <c r="K565" t="n">
        <v>0</v>
      </c>
      <c r="L565" t="n">
        <v>0</v>
      </c>
      <c r="M565" t="n">
        <v>0</v>
      </c>
      <c r="N565" t="n">
        <v>0</v>
      </c>
      <c r="O565" t="n">
        <v>0</v>
      </c>
      <c r="P565" t="n">
        <v>0</v>
      </c>
      <c r="Q565" t="n">
        <v>0</v>
      </c>
      <c r="R565" s="2" t="inlineStr"/>
    </row>
    <row r="566" ht="15" customHeight="1">
      <c r="A566" t="inlineStr">
        <is>
          <t>A 23278-2021</t>
        </is>
      </c>
      <c r="B566" s="1" t="n">
        <v>44328</v>
      </c>
      <c r="C566" s="1" t="n">
        <v>46033</v>
      </c>
      <c r="D566" t="inlineStr">
        <is>
          <t>VÄSTERBOTTENS LÄN</t>
        </is>
      </c>
      <c r="E566" t="inlineStr">
        <is>
          <t>VILHELMINA</t>
        </is>
      </c>
      <c r="F566" t="inlineStr">
        <is>
          <t>Allmännings- och besparingsskogar</t>
        </is>
      </c>
      <c r="G566" t="n">
        <v>13.6</v>
      </c>
      <c r="H566" t="n">
        <v>0</v>
      </c>
      <c r="I566" t="n">
        <v>0</v>
      </c>
      <c r="J566" t="n">
        <v>0</v>
      </c>
      <c r="K566" t="n">
        <v>0</v>
      </c>
      <c r="L566" t="n">
        <v>0</v>
      </c>
      <c r="M566" t="n">
        <v>0</v>
      </c>
      <c r="N566" t="n">
        <v>0</v>
      </c>
      <c r="O566" t="n">
        <v>0</v>
      </c>
      <c r="P566" t="n">
        <v>0</v>
      </c>
      <c r="Q566" t="n">
        <v>0</v>
      </c>
      <c r="R566" s="2" t="inlineStr"/>
    </row>
    <row r="567" ht="15" customHeight="1">
      <c r="A567" t="inlineStr">
        <is>
          <t>A 64421-2023</t>
        </is>
      </c>
      <c r="B567" s="1" t="n">
        <v>45280</v>
      </c>
      <c r="C567" s="1" t="n">
        <v>46033</v>
      </c>
      <c r="D567" t="inlineStr">
        <is>
          <t>VÄSTERBOTTENS LÄN</t>
        </is>
      </c>
      <c r="E567" t="inlineStr">
        <is>
          <t>VILHELMINA</t>
        </is>
      </c>
      <c r="G567" t="n">
        <v>4.9</v>
      </c>
      <c r="H567" t="n">
        <v>0</v>
      </c>
      <c r="I567" t="n">
        <v>0</v>
      </c>
      <c r="J567" t="n">
        <v>0</v>
      </c>
      <c r="K567" t="n">
        <v>0</v>
      </c>
      <c r="L567" t="n">
        <v>0</v>
      </c>
      <c r="M567" t="n">
        <v>0</v>
      </c>
      <c r="N567" t="n">
        <v>0</v>
      </c>
      <c r="O567" t="n">
        <v>0</v>
      </c>
      <c r="P567" t="n">
        <v>0</v>
      </c>
      <c r="Q567" t="n">
        <v>0</v>
      </c>
      <c r="R567" s="2" t="inlineStr"/>
    </row>
    <row r="568" ht="15" customHeight="1">
      <c r="A568" t="inlineStr">
        <is>
          <t>A 53606-2024</t>
        </is>
      </c>
      <c r="B568" s="1" t="n">
        <v>45614</v>
      </c>
      <c r="C568" s="1" t="n">
        <v>46033</v>
      </c>
      <c r="D568" t="inlineStr">
        <is>
          <t>VÄSTERBOTTENS LÄN</t>
        </is>
      </c>
      <c r="E568" t="inlineStr">
        <is>
          <t>VILHELMINA</t>
        </is>
      </c>
      <c r="F568" t="inlineStr">
        <is>
          <t>SCA</t>
        </is>
      </c>
      <c r="G568" t="n">
        <v>10.1</v>
      </c>
      <c r="H568" t="n">
        <v>0</v>
      </c>
      <c r="I568" t="n">
        <v>0</v>
      </c>
      <c r="J568" t="n">
        <v>0</v>
      </c>
      <c r="K568" t="n">
        <v>0</v>
      </c>
      <c r="L568" t="n">
        <v>0</v>
      </c>
      <c r="M568" t="n">
        <v>0</v>
      </c>
      <c r="N568" t="n">
        <v>0</v>
      </c>
      <c r="O568" t="n">
        <v>0</v>
      </c>
      <c r="P568" t="n">
        <v>0</v>
      </c>
      <c r="Q568" t="n">
        <v>0</v>
      </c>
      <c r="R568" s="2" t="inlineStr"/>
    </row>
    <row r="569" ht="15" customHeight="1">
      <c r="A569" t="inlineStr">
        <is>
          <t>A 54804-2024</t>
        </is>
      </c>
      <c r="B569" s="1" t="n">
        <v>45618</v>
      </c>
      <c r="C569" s="1" t="n">
        <v>46033</v>
      </c>
      <c r="D569" t="inlineStr">
        <is>
          <t>VÄSTERBOTTENS LÄN</t>
        </is>
      </c>
      <c r="E569" t="inlineStr">
        <is>
          <t>VILHELMINA</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30681-2024</t>
        </is>
      </c>
      <c r="B570" s="1" t="n">
        <v>45495.9509837963</v>
      </c>
      <c r="C570" s="1" t="n">
        <v>46033</v>
      </c>
      <c r="D570" t="inlineStr">
        <is>
          <t>VÄSTERBOTTENS LÄN</t>
        </is>
      </c>
      <c r="E570" t="inlineStr">
        <is>
          <t>VILHELMINA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43817-2025</t>
        </is>
      </c>
      <c r="B571" s="1" t="n">
        <v>45912</v>
      </c>
      <c r="C571" s="1" t="n">
        <v>46033</v>
      </c>
      <c r="D571" t="inlineStr">
        <is>
          <t>VÄSTERBOTTENS LÄN</t>
        </is>
      </c>
      <c r="E571" t="inlineStr">
        <is>
          <t>VILHELMINA</t>
        </is>
      </c>
      <c r="G571" t="n">
        <v>23.1</v>
      </c>
      <c r="H571" t="n">
        <v>0</v>
      </c>
      <c r="I571" t="n">
        <v>0</v>
      </c>
      <c r="J571" t="n">
        <v>0</v>
      </c>
      <c r="K571" t="n">
        <v>0</v>
      </c>
      <c r="L571" t="n">
        <v>0</v>
      </c>
      <c r="M571" t="n">
        <v>0</v>
      </c>
      <c r="N571" t="n">
        <v>0</v>
      </c>
      <c r="O571" t="n">
        <v>0</v>
      </c>
      <c r="P571" t="n">
        <v>0</v>
      </c>
      <c r="Q571" t="n">
        <v>0</v>
      </c>
      <c r="R571" s="2" t="inlineStr"/>
    </row>
    <row r="572" ht="15" customHeight="1">
      <c r="A572" t="inlineStr">
        <is>
          <t>A 36669-2025</t>
        </is>
      </c>
      <c r="B572" s="1" t="n">
        <v>45873</v>
      </c>
      <c r="C572" s="1" t="n">
        <v>46033</v>
      </c>
      <c r="D572" t="inlineStr">
        <is>
          <t>VÄSTERBOTTENS LÄN</t>
        </is>
      </c>
      <c r="E572" t="inlineStr">
        <is>
          <t>VILHELMINA</t>
        </is>
      </c>
      <c r="G572" t="n">
        <v>12.5</v>
      </c>
      <c r="H572" t="n">
        <v>0</v>
      </c>
      <c r="I572" t="n">
        <v>0</v>
      </c>
      <c r="J572" t="n">
        <v>0</v>
      </c>
      <c r="K572" t="n">
        <v>0</v>
      </c>
      <c r="L572" t="n">
        <v>0</v>
      </c>
      <c r="M572" t="n">
        <v>0</v>
      </c>
      <c r="N572" t="n">
        <v>0</v>
      </c>
      <c r="O572" t="n">
        <v>0</v>
      </c>
      <c r="P572" t="n">
        <v>0</v>
      </c>
      <c r="Q572" t="n">
        <v>0</v>
      </c>
      <c r="R572" s="2" t="inlineStr"/>
    </row>
    <row r="573" ht="15" customHeight="1">
      <c r="A573" t="inlineStr">
        <is>
          <t>A 36569-2025</t>
        </is>
      </c>
      <c r="B573" s="1" t="n">
        <v>45870</v>
      </c>
      <c r="C573" s="1" t="n">
        <v>46033</v>
      </c>
      <c r="D573" t="inlineStr">
        <is>
          <t>VÄSTERBOTTENS LÄN</t>
        </is>
      </c>
      <c r="E573" t="inlineStr">
        <is>
          <t>VILHELMINA</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53034-2023</t>
        </is>
      </c>
      <c r="B574" s="1" t="n">
        <v>45226.96258101852</v>
      </c>
      <c r="C574" s="1" t="n">
        <v>46033</v>
      </c>
      <c r="D574" t="inlineStr">
        <is>
          <t>VÄSTERBOTTENS LÄN</t>
        </is>
      </c>
      <c r="E574" t="inlineStr">
        <is>
          <t>VILHELMINA</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48754-2021</t>
        </is>
      </c>
      <c r="B575" s="1" t="n">
        <v>44452</v>
      </c>
      <c r="C575" s="1" t="n">
        <v>46033</v>
      </c>
      <c r="D575" t="inlineStr">
        <is>
          <t>VÄSTERBOTTENS LÄN</t>
        </is>
      </c>
      <c r="E575" t="inlineStr">
        <is>
          <t>VILHELMINA</t>
        </is>
      </c>
      <c r="G575" t="n">
        <v>5.6</v>
      </c>
      <c r="H575" t="n">
        <v>0</v>
      </c>
      <c r="I575" t="n">
        <v>0</v>
      </c>
      <c r="J575" t="n">
        <v>0</v>
      </c>
      <c r="K575" t="n">
        <v>0</v>
      </c>
      <c r="L575" t="n">
        <v>0</v>
      </c>
      <c r="M575" t="n">
        <v>0</v>
      </c>
      <c r="N575" t="n">
        <v>0</v>
      </c>
      <c r="O575" t="n">
        <v>0</v>
      </c>
      <c r="P575" t="n">
        <v>0</v>
      </c>
      <c r="Q575" t="n">
        <v>0</v>
      </c>
      <c r="R575" s="2" t="inlineStr"/>
    </row>
    <row r="576" ht="15" customHeight="1">
      <c r="A576" t="inlineStr">
        <is>
          <t>A 48756-2021</t>
        </is>
      </c>
      <c r="B576" s="1" t="n">
        <v>44452</v>
      </c>
      <c r="C576" s="1" t="n">
        <v>46033</v>
      </c>
      <c r="D576" t="inlineStr">
        <is>
          <t>VÄSTERBOTTENS LÄN</t>
        </is>
      </c>
      <c r="E576" t="inlineStr">
        <is>
          <t>VILHELMINA</t>
        </is>
      </c>
      <c r="G576" t="n">
        <v>13.3</v>
      </c>
      <c r="H576" t="n">
        <v>0</v>
      </c>
      <c r="I576" t="n">
        <v>0</v>
      </c>
      <c r="J576" t="n">
        <v>0</v>
      </c>
      <c r="K576" t="n">
        <v>0</v>
      </c>
      <c r="L576" t="n">
        <v>0</v>
      </c>
      <c r="M576" t="n">
        <v>0</v>
      </c>
      <c r="N576" t="n">
        <v>0</v>
      </c>
      <c r="O576" t="n">
        <v>0</v>
      </c>
      <c r="P576" t="n">
        <v>0</v>
      </c>
      <c r="Q576" t="n">
        <v>0</v>
      </c>
      <c r="R576" s="2" t="inlineStr"/>
    </row>
    <row r="577" ht="15" customHeight="1">
      <c r="A577" t="inlineStr">
        <is>
          <t>A 7102-2024</t>
        </is>
      </c>
      <c r="B577" s="1" t="n">
        <v>45343</v>
      </c>
      <c r="C577" s="1" t="n">
        <v>46033</v>
      </c>
      <c r="D577" t="inlineStr">
        <is>
          <t>VÄSTERBOTTENS LÄN</t>
        </is>
      </c>
      <c r="E577" t="inlineStr">
        <is>
          <t>VILHELMINA</t>
        </is>
      </c>
      <c r="G577" t="n">
        <v>3.2</v>
      </c>
      <c r="H577" t="n">
        <v>0</v>
      </c>
      <c r="I577" t="n">
        <v>0</v>
      </c>
      <c r="J577" t="n">
        <v>0</v>
      </c>
      <c r="K577" t="n">
        <v>0</v>
      </c>
      <c r="L577" t="n">
        <v>0</v>
      </c>
      <c r="M577" t="n">
        <v>0</v>
      </c>
      <c r="N577" t="n">
        <v>0</v>
      </c>
      <c r="O577" t="n">
        <v>0</v>
      </c>
      <c r="P577" t="n">
        <v>0</v>
      </c>
      <c r="Q577" t="n">
        <v>0</v>
      </c>
      <c r="R577" s="2" t="inlineStr"/>
    </row>
    <row r="578" ht="15" customHeight="1">
      <c r="A578" t="inlineStr">
        <is>
          <t>A 36973-2025</t>
        </is>
      </c>
      <c r="B578" s="1" t="n">
        <v>45874.63747685185</v>
      </c>
      <c r="C578" s="1" t="n">
        <v>46033</v>
      </c>
      <c r="D578" t="inlineStr">
        <is>
          <t>VÄSTERBOTTENS LÄN</t>
        </is>
      </c>
      <c r="E578" t="inlineStr">
        <is>
          <t>VILHELMINA</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37015-2025</t>
        </is>
      </c>
      <c r="B579" s="1" t="n">
        <v>45874.71912037037</v>
      </c>
      <c r="C579" s="1" t="n">
        <v>46033</v>
      </c>
      <c r="D579" t="inlineStr">
        <is>
          <t>VÄSTERBOTTENS LÄN</t>
        </is>
      </c>
      <c r="E579" t="inlineStr">
        <is>
          <t>VILHELMINA</t>
        </is>
      </c>
      <c r="F579" t="inlineStr">
        <is>
          <t>SCA</t>
        </is>
      </c>
      <c r="G579" t="n">
        <v>7.9</v>
      </c>
      <c r="H579" t="n">
        <v>0</v>
      </c>
      <c r="I579" t="n">
        <v>0</v>
      </c>
      <c r="J579" t="n">
        <v>0</v>
      </c>
      <c r="K579" t="n">
        <v>0</v>
      </c>
      <c r="L579" t="n">
        <v>0</v>
      </c>
      <c r="M579" t="n">
        <v>0</v>
      </c>
      <c r="N579" t="n">
        <v>0</v>
      </c>
      <c r="O579" t="n">
        <v>0</v>
      </c>
      <c r="P579" t="n">
        <v>0</v>
      </c>
      <c r="Q579" t="n">
        <v>0</v>
      </c>
      <c r="R579" s="2" t="inlineStr"/>
    </row>
    <row r="580" ht="15" customHeight="1">
      <c r="A580" t="inlineStr">
        <is>
          <t>A 19223-2025</t>
        </is>
      </c>
      <c r="B580" s="1" t="n">
        <v>45769</v>
      </c>
      <c r="C580" s="1" t="n">
        <v>46033</v>
      </c>
      <c r="D580" t="inlineStr">
        <is>
          <t>VÄSTERBOTTENS LÄN</t>
        </is>
      </c>
      <c r="E580" t="inlineStr">
        <is>
          <t>VILHELMINA</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9534-2023</t>
        </is>
      </c>
      <c r="B581" s="1" t="n">
        <v>44981.72646990741</v>
      </c>
      <c r="C581" s="1" t="n">
        <v>46033</v>
      </c>
      <c r="D581" t="inlineStr">
        <is>
          <t>VÄSTERBOTTENS LÄN</t>
        </is>
      </c>
      <c r="E581" t="inlineStr">
        <is>
          <t>VILHELMINA</t>
        </is>
      </c>
      <c r="G581" t="n">
        <v>1.7</v>
      </c>
      <c r="H581" t="n">
        <v>0</v>
      </c>
      <c r="I581" t="n">
        <v>0</v>
      </c>
      <c r="J581" t="n">
        <v>0</v>
      </c>
      <c r="K581" t="n">
        <v>0</v>
      </c>
      <c r="L581" t="n">
        <v>0</v>
      </c>
      <c r="M581" t="n">
        <v>0</v>
      </c>
      <c r="N581" t="n">
        <v>0</v>
      </c>
      <c r="O581" t="n">
        <v>0</v>
      </c>
      <c r="P581" t="n">
        <v>0</v>
      </c>
      <c r="Q581" t="n">
        <v>0</v>
      </c>
      <c r="R581" s="2" t="inlineStr"/>
    </row>
    <row r="582" ht="15" customHeight="1">
      <c r="A582" t="inlineStr">
        <is>
          <t>A 36944-2025</t>
        </is>
      </c>
      <c r="B582" s="1" t="n">
        <v>45874.59450231482</v>
      </c>
      <c r="C582" s="1" t="n">
        <v>46033</v>
      </c>
      <c r="D582" t="inlineStr">
        <is>
          <t>VÄSTERBOTTENS LÄN</t>
        </is>
      </c>
      <c r="E582" t="inlineStr">
        <is>
          <t>VILHELMINA</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40781-2023</t>
        </is>
      </c>
      <c r="B583" s="1" t="n">
        <v>45170.95747685185</v>
      </c>
      <c r="C583" s="1" t="n">
        <v>46033</v>
      </c>
      <c r="D583" t="inlineStr">
        <is>
          <t>VÄSTERBOTTENS LÄN</t>
        </is>
      </c>
      <c r="E583" t="inlineStr">
        <is>
          <t>VILHELMINA</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37302-2025</t>
        </is>
      </c>
      <c r="B584" s="1" t="n">
        <v>45876</v>
      </c>
      <c r="C584" s="1" t="n">
        <v>46033</v>
      </c>
      <c r="D584" t="inlineStr">
        <is>
          <t>VÄSTERBOTTENS LÄN</t>
        </is>
      </c>
      <c r="E584" t="inlineStr">
        <is>
          <t>VILHELMINA</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37368-2025</t>
        </is>
      </c>
      <c r="B585" s="1" t="n">
        <v>45877.34436342592</v>
      </c>
      <c r="C585" s="1" t="n">
        <v>46033</v>
      </c>
      <c r="D585" t="inlineStr">
        <is>
          <t>VÄSTERBOTTENS LÄN</t>
        </is>
      </c>
      <c r="E585" t="inlineStr">
        <is>
          <t>VILHELMINA</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20653-2021</t>
        </is>
      </c>
      <c r="B586" s="1" t="n">
        <v>44316.41677083333</v>
      </c>
      <c r="C586" s="1" t="n">
        <v>46033</v>
      </c>
      <c r="D586" t="inlineStr">
        <is>
          <t>VÄSTERBOTTENS LÄN</t>
        </is>
      </c>
      <c r="E586" t="inlineStr">
        <is>
          <t>VILHELMINA</t>
        </is>
      </c>
      <c r="F586" t="inlineStr">
        <is>
          <t>Kommuner</t>
        </is>
      </c>
      <c r="G586" t="n">
        <v>2.5</v>
      </c>
      <c r="H586" t="n">
        <v>0</v>
      </c>
      <c r="I586" t="n">
        <v>0</v>
      </c>
      <c r="J586" t="n">
        <v>0</v>
      </c>
      <c r="K586" t="n">
        <v>0</v>
      </c>
      <c r="L586" t="n">
        <v>0</v>
      </c>
      <c r="M586" t="n">
        <v>0</v>
      </c>
      <c r="N586" t="n">
        <v>0</v>
      </c>
      <c r="O586" t="n">
        <v>0</v>
      </c>
      <c r="P586" t="n">
        <v>0</v>
      </c>
      <c r="Q586" t="n">
        <v>0</v>
      </c>
      <c r="R586" s="2" t="inlineStr"/>
    </row>
    <row r="587" ht="15" customHeight="1">
      <c r="A587" t="inlineStr">
        <is>
          <t>A 13200-2025</t>
        </is>
      </c>
      <c r="B587" s="1" t="n">
        <v>45735</v>
      </c>
      <c r="C587" s="1" t="n">
        <v>46033</v>
      </c>
      <c r="D587" t="inlineStr">
        <is>
          <t>VÄSTERBOTTENS LÄN</t>
        </is>
      </c>
      <c r="E587" t="inlineStr">
        <is>
          <t>VILHELMINA</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37369-2025</t>
        </is>
      </c>
      <c r="B588" s="1" t="n">
        <v>45877.34444444445</v>
      </c>
      <c r="C588" s="1" t="n">
        <v>46033</v>
      </c>
      <c r="D588" t="inlineStr">
        <is>
          <t>VÄSTERBOTTENS LÄN</t>
        </is>
      </c>
      <c r="E588" t="inlineStr">
        <is>
          <t>VILHELMINA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37269-2025</t>
        </is>
      </c>
      <c r="B589" s="1" t="n">
        <v>45876</v>
      </c>
      <c r="C589" s="1" t="n">
        <v>46033</v>
      </c>
      <c r="D589" t="inlineStr">
        <is>
          <t>VÄSTERBOTTENS LÄN</t>
        </is>
      </c>
      <c r="E589" t="inlineStr">
        <is>
          <t>VILHELMINA</t>
        </is>
      </c>
      <c r="G589" t="n">
        <v>2.5</v>
      </c>
      <c r="H589" t="n">
        <v>0</v>
      </c>
      <c r="I589" t="n">
        <v>0</v>
      </c>
      <c r="J589" t="n">
        <v>0</v>
      </c>
      <c r="K589" t="n">
        <v>0</v>
      </c>
      <c r="L589" t="n">
        <v>0</v>
      </c>
      <c r="M589" t="n">
        <v>0</v>
      </c>
      <c r="N589" t="n">
        <v>0</v>
      </c>
      <c r="O589" t="n">
        <v>0</v>
      </c>
      <c r="P589" t="n">
        <v>0</v>
      </c>
      <c r="Q589" t="n">
        <v>0</v>
      </c>
      <c r="R589" s="2" t="inlineStr"/>
    </row>
    <row r="590" ht="15" customHeight="1">
      <c r="A590" t="inlineStr">
        <is>
          <t>A 47010-2024</t>
        </is>
      </c>
      <c r="B590" s="1" t="n">
        <v>45586</v>
      </c>
      <c r="C590" s="1" t="n">
        <v>46033</v>
      </c>
      <c r="D590" t="inlineStr">
        <is>
          <t>VÄSTERBOTTENS LÄN</t>
        </is>
      </c>
      <c r="E590" t="inlineStr">
        <is>
          <t>VILHELMINA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37376-2025</t>
        </is>
      </c>
      <c r="B591" s="1" t="n">
        <v>45877.36513888889</v>
      </c>
      <c r="C591" s="1" t="n">
        <v>46033</v>
      </c>
      <c r="D591" t="inlineStr">
        <is>
          <t>VÄSTERBOTTENS LÄN</t>
        </is>
      </c>
      <c r="E591" t="inlineStr">
        <is>
          <t>VILHELMINA</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35753-2023</t>
        </is>
      </c>
      <c r="B592" s="1" t="n">
        <v>45147.95390046296</v>
      </c>
      <c r="C592" s="1" t="n">
        <v>46033</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50505-2023</t>
        </is>
      </c>
      <c r="B593" s="1" t="n">
        <v>45216.95800925926</v>
      </c>
      <c r="C593" s="1" t="n">
        <v>46033</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22108-2024</t>
        </is>
      </c>
      <c r="B594" s="1" t="n">
        <v>45443</v>
      </c>
      <c r="C594" s="1" t="n">
        <v>46033</v>
      </c>
      <c r="D594" t="inlineStr">
        <is>
          <t>VÄSTERBOTTENS LÄN</t>
        </is>
      </c>
      <c r="E594" t="inlineStr">
        <is>
          <t>VILHELMINA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29463-2024</t>
        </is>
      </c>
      <c r="B595" s="1" t="n">
        <v>45483.96994212963</v>
      </c>
      <c r="C595" s="1" t="n">
        <v>46033</v>
      </c>
      <c r="D595" t="inlineStr">
        <is>
          <t>VÄSTERBOTTENS LÄN</t>
        </is>
      </c>
      <c r="E595" t="inlineStr">
        <is>
          <t>VILHELMINA</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72153-2021</t>
        </is>
      </c>
      <c r="B596" s="1" t="n">
        <v>44543</v>
      </c>
      <c r="C596" s="1" t="n">
        <v>46033</v>
      </c>
      <c r="D596" t="inlineStr">
        <is>
          <t>VÄSTERBOTTENS LÄN</t>
        </is>
      </c>
      <c r="E596" t="inlineStr">
        <is>
          <t>VILHELMINA</t>
        </is>
      </c>
      <c r="G596" t="n">
        <v>6.7</v>
      </c>
      <c r="H596" t="n">
        <v>0</v>
      </c>
      <c r="I596" t="n">
        <v>0</v>
      </c>
      <c r="J596" t="n">
        <v>0</v>
      </c>
      <c r="K596" t="n">
        <v>0</v>
      </c>
      <c r="L596" t="n">
        <v>0</v>
      </c>
      <c r="M596" t="n">
        <v>0</v>
      </c>
      <c r="N596" t="n">
        <v>0</v>
      </c>
      <c r="O596" t="n">
        <v>0</v>
      </c>
      <c r="P596" t="n">
        <v>0</v>
      </c>
      <c r="Q596" t="n">
        <v>0</v>
      </c>
      <c r="R596" s="2" t="inlineStr"/>
    </row>
    <row r="597" ht="15" customHeight="1">
      <c r="A597" t="inlineStr">
        <is>
          <t>A 61821-2025</t>
        </is>
      </c>
      <c r="B597" s="1" t="n">
        <v>46003.33113425926</v>
      </c>
      <c r="C597" s="1" t="n">
        <v>46033</v>
      </c>
      <c r="D597" t="inlineStr">
        <is>
          <t>VÄSTERBOTTENS LÄN</t>
        </is>
      </c>
      <c r="E597" t="inlineStr">
        <is>
          <t>VILHELMINA</t>
        </is>
      </c>
      <c r="G597" t="n">
        <v>13.3</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44743.94145833333</v>
      </c>
      <c r="C598" s="1" t="n">
        <v>46033</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38430-2025</t>
        </is>
      </c>
      <c r="B599" s="1" t="n">
        <v>45883.6364699074</v>
      </c>
      <c r="C599" s="1" t="n">
        <v>46033</v>
      </c>
      <c r="D599" t="inlineStr">
        <is>
          <t>VÄSTERBOTTENS LÄN</t>
        </is>
      </c>
      <c r="E599" t="inlineStr">
        <is>
          <t>VILHELMINA</t>
        </is>
      </c>
      <c r="G599" t="n">
        <v>36.7</v>
      </c>
      <c r="H599" t="n">
        <v>0</v>
      </c>
      <c r="I599" t="n">
        <v>0</v>
      </c>
      <c r="J599" t="n">
        <v>0</v>
      </c>
      <c r="K599" t="n">
        <v>0</v>
      </c>
      <c r="L599" t="n">
        <v>0</v>
      </c>
      <c r="M599" t="n">
        <v>0</v>
      </c>
      <c r="N599" t="n">
        <v>0</v>
      </c>
      <c r="O599" t="n">
        <v>0</v>
      </c>
      <c r="P599" t="n">
        <v>0</v>
      </c>
      <c r="Q599" t="n">
        <v>0</v>
      </c>
      <c r="R599" s="2" t="inlineStr"/>
    </row>
    <row r="600" ht="15" customHeight="1">
      <c r="A600" t="inlineStr">
        <is>
          <t>A 38454-2025</t>
        </is>
      </c>
      <c r="B600" s="1" t="n">
        <v>45883.67839120371</v>
      </c>
      <c r="C600" s="1" t="n">
        <v>46033</v>
      </c>
      <c r="D600" t="inlineStr">
        <is>
          <t>VÄSTERBOTTENS LÄN</t>
        </is>
      </c>
      <c r="E600" t="inlineStr">
        <is>
          <t>VILHELMINA</t>
        </is>
      </c>
      <c r="G600" t="n">
        <v>4.8</v>
      </c>
      <c r="H600" t="n">
        <v>0</v>
      </c>
      <c r="I600" t="n">
        <v>0</v>
      </c>
      <c r="J600" t="n">
        <v>0</v>
      </c>
      <c r="K600" t="n">
        <v>0</v>
      </c>
      <c r="L600" t="n">
        <v>0</v>
      </c>
      <c r="M600" t="n">
        <v>0</v>
      </c>
      <c r="N600" t="n">
        <v>0</v>
      </c>
      <c r="O600" t="n">
        <v>0</v>
      </c>
      <c r="P600" t="n">
        <v>0</v>
      </c>
      <c r="Q600" t="n">
        <v>0</v>
      </c>
      <c r="R600" s="2" t="inlineStr"/>
    </row>
    <row r="601" ht="15" customHeight="1">
      <c r="A601" t="inlineStr">
        <is>
          <t>A 5955-2023</t>
        </is>
      </c>
      <c r="B601" s="1" t="n">
        <v>44963.93989583333</v>
      </c>
      <c r="C601" s="1" t="n">
        <v>46033</v>
      </c>
      <c r="D601" t="inlineStr">
        <is>
          <t>VÄSTERBOTTENS LÄN</t>
        </is>
      </c>
      <c r="E601" t="inlineStr">
        <is>
          <t>VILHELMINA</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40726-2024</t>
        </is>
      </c>
      <c r="B602" s="1" t="n">
        <v>45558</v>
      </c>
      <c r="C602" s="1" t="n">
        <v>46033</v>
      </c>
      <c r="D602" t="inlineStr">
        <is>
          <t>VÄSTERBOTTENS LÄN</t>
        </is>
      </c>
      <c r="E602" t="inlineStr">
        <is>
          <t>VILHELMINA</t>
        </is>
      </c>
      <c r="F602" t="inlineStr">
        <is>
          <t>Allmännings- och besparingsskogar</t>
        </is>
      </c>
      <c r="G602" t="n">
        <v>73.59999999999999</v>
      </c>
      <c r="H602" t="n">
        <v>0</v>
      </c>
      <c r="I602" t="n">
        <v>0</v>
      </c>
      <c r="J602" t="n">
        <v>0</v>
      </c>
      <c r="K602" t="n">
        <v>0</v>
      </c>
      <c r="L602" t="n">
        <v>0</v>
      </c>
      <c r="M602" t="n">
        <v>0</v>
      </c>
      <c r="N602" t="n">
        <v>0</v>
      </c>
      <c r="O602" t="n">
        <v>0</v>
      </c>
      <c r="P602" t="n">
        <v>0</v>
      </c>
      <c r="Q602" t="n">
        <v>0</v>
      </c>
      <c r="R602" s="2" t="inlineStr"/>
    </row>
    <row r="603" ht="15" customHeight="1">
      <c r="A603" t="inlineStr">
        <is>
          <t>A 60842-2023</t>
        </is>
      </c>
      <c r="B603" s="1" t="n">
        <v>45260.9258912037</v>
      </c>
      <c r="C603" s="1" t="n">
        <v>46033</v>
      </c>
      <c r="D603" t="inlineStr">
        <is>
          <t>VÄSTERBOTTENS LÄN</t>
        </is>
      </c>
      <c r="E603" t="inlineStr">
        <is>
          <t>VILHELMINA</t>
        </is>
      </c>
      <c r="G603" t="n">
        <v>2.9</v>
      </c>
      <c r="H603" t="n">
        <v>0</v>
      </c>
      <c r="I603" t="n">
        <v>0</v>
      </c>
      <c r="J603" t="n">
        <v>0</v>
      </c>
      <c r="K603" t="n">
        <v>0</v>
      </c>
      <c r="L603" t="n">
        <v>0</v>
      </c>
      <c r="M603" t="n">
        <v>0</v>
      </c>
      <c r="N603" t="n">
        <v>0</v>
      </c>
      <c r="O603" t="n">
        <v>0</v>
      </c>
      <c r="P603" t="n">
        <v>0</v>
      </c>
      <c r="Q603" t="n">
        <v>0</v>
      </c>
      <c r="R603" s="2" t="inlineStr"/>
    </row>
    <row r="604" ht="15" customHeight="1">
      <c r="A604" t="inlineStr">
        <is>
          <t>A 38427-2025</t>
        </is>
      </c>
      <c r="B604" s="1" t="n">
        <v>45883.63611111111</v>
      </c>
      <c r="C604" s="1" t="n">
        <v>46033</v>
      </c>
      <c r="D604" t="inlineStr">
        <is>
          <t>VÄSTERBOTTENS LÄN</t>
        </is>
      </c>
      <c r="E604" t="inlineStr">
        <is>
          <t>VILHELMINA</t>
        </is>
      </c>
      <c r="F604" t="inlineStr">
        <is>
          <t>SCA</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38387-2025</t>
        </is>
      </c>
      <c r="B605" s="1" t="n">
        <v>45883.57451388889</v>
      </c>
      <c r="C605" s="1" t="n">
        <v>46033</v>
      </c>
      <c r="D605" t="inlineStr">
        <is>
          <t>VÄSTERBOTTENS LÄN</t>
        </is>
      </c>
      <c r="E605" t="inlineStr">
        <is>
          <t>VILHELMINA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38360-2025</t>
        </is>
      </c>
      <c r="B606" s="1" t="n">
        <v>45883.53290509259</v>
      </c>
      <c r="C606" s="1" t="n">
        <v>46033</v>
      </c>
      <c r="D606" t="inlineStr">
        <is>
          <t>VÄSTERBOTTENS LÄN</t>
        </is>
      </c>
      <c r="E606" t="inlineStr">
        <is>
          <t>VILHELMINA</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38384-2025</t>
        </is>
      </c>
      <c r="B607" s="1" t="n">
        <v>45883</v>
      </c>
      <c r="C607" s="1" t="n">
        <v>46033</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38409-2025</t>
        </is>
      </c>
      <c r="B608" s="1" t="n">
        <v>45883.59429398148</v>
      </c>
      <c r="C608" s="1" t="n">
        <v>46033</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38242-2025</t>
        </is>
      </c>
      <c r="B609" s="1" t="n">
        <v>45883.36547453704</v>
      </c>
      <c r="C609" s="1" t="n">
        <v>46033</v>
      </c>
      <c r="D609" t="inlineStr">
        <is>
          <t>VÄSTERBOTTENS LÄN</t>
        </is>
      </c>
      <c r="E609" t="inlineStr">
        <is>
          <t>VILHELMINA</t>
        </is>
      </c>
      <c r="G609" t="n">
        <v>1.4</v>
      </c>
      <c r="H609" t="n">
        <v>0</v>
      </c>
      <c r="I609" t="n">
        <v>0</v>
      </c>
      <c r="J609" t="n">
        <v>0</v>
      </c>
      <c r="K609" t="n">
        <v>0</v>
      </c>
      <c r="L609" t="n">
        <v>0</v>
      </c>
      <c r="M609" t="n">
        <v>0</v>
      </c>
      <c r="N609" t="n">
        <v>0</v>
      </c>
      <c r="O609" t="n">
        <v>0</v>
      </c>
      <c r="P609" t="n">
        <v>0</v>
      </c>
      <c r="Q609" t="n">
        <v>0</v>
      </c>
      <c r="R609" s="2" t="inlineStr"/>
    </row>
    <row r="610" ht="15" customHeight="1">
      <c r="A610" t="inlineStr">
        <is>
          <t>A 38243-2025</t>
        </is>
      </c>
      <c r="B610" s="1" t="n">
        <v>45883.36553240741</v>
      </c>
      <c r="C610" s="1" t="n">
        <v>46033</v>
      </c>
      <c r="D610" t="inlineStr">
        <is>
          <t>VÄSTERBOTTENS LÄN</t>
        </is>
      </c>
      <c r="E610" t="inlineStr">
        <is>
          <t>VILHELMINA</t>
        </is>
      </c>
      <c r="G610" t="n">
        <v>4.7</v>
      </c>
      <c r="H610" t="n">
        <v>0</v>
      </c>
      <c r="I610" t="n">
        <v>0</v>
      </c>
      <c r="J610" t="n">
        <v>0</v>
      </c>
      <c r="K610" t="n">
        <v>0</v>
      </c>
      <c r="L610" t="n">
        <v>0</v>
      </c>
      <c r="M610" t="n">
        <v>0</v>
      </c>
      <c r="N610" t="n">
        <v>0</v>
      </c>
      <c r="O610" t="n">
        <v>0</v>
      </c>
      <c r="P610" t="n">
        <v>0</v>
      </c>
      <c r="Q610" t="n">
        <v>0</v>
      </c>
      <c r="R610" s="2" t="inlineStr"/>
    </row>
    <row r="611" ht="15" customHeight="1">
      <c r="A611" t="inlineStr">
        <is>
          <t>A 38356-2025</t>
        </is>
      </c>
      <c r="B611" s="1" t="n">
        <v>45883.53247685185</v>
      </c>
      <c r="C611" s="1" t="n">
        <v>46033</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48068-2022</t>
        </is>
      </c>
      <c r="B612" s="1" t="n">
        <v>44855</v>
      </c>
      <c r="C612" s="1" t="n">
        <v>46033</v>
      </c>
      <c r="D612" t="inlineStr">
        <is>
          <t>VÄSTERBOTTENS LÄN</t>
        </is>
      </c>
      <c r="E612" t="inlineStr">
        <is>
          <t>VILHELMINA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38429-2025</t>
        </is>
      </c>
      <c r="B613" s="1" t="n">
        <v>45883.63638888889</v>
      </c>
      <c r="C613" s="1" t="n">
        <v>46033</v>
      </c>
      <c r="D613" t="inlineStr">
        <is>
          <t>VÄSTERBOTTENS LÄN</t>
        </is>
      </c>
      <c r="E613" t="inlineStr">
        <is>
          <t>VILHELMINA</t>
        </is>
      </c>
      <c r="G613" t="n">
        <v>5.5</v>
      </c>
      <c r="H613" t="n">
        <v>0</v>
      </c>
      <c r="I613" t="n">
        <v>0</v>
      </c>
      <c r="J613" t="n">
        <v>0</v>
      </c>
      <c r="K613" t="n">
        <v>0</v>
      </c>
      <c r="L613" t="n">
        <v>0</v>
      </c>
      <c r="M613" t="n">
        <v>0</v>
      </c>
      <c r="N613" t="n">
        <v>0</v>
      </c>
      <c r="O613" t="n">
        <v>0</v>
      </c>
      <c r="P613" t="n">
        <v>0</v>
      </c>
      <c r="Q613" t="n">
        <v>0</v>
      </c>
      <c r="R613" s="2" t="inlineStr"/>
    </row>
    <row r="614" ht="15" customHeight="1">
      <c r="A614" t="inlineStr">
        <is>
          <t>A 33349-2023</t>
        </is>
      </c>
      <c r="B614" s="1" t="n">
        <v>45117</v>
      </c>
      <c r="C614" s="1" t="n">
        <v>46033</v>
      </c>
      <c r="D614" t="inlineStr">
        <is>
          <t>VÄSTERBOTTENS LÄN</t>
        </is>
      </c>
      <c r="E614" t="inlineStr">
        <is>
          <t>VILHELMINA</t>
        </is>
      </c>
      <c r="G614" t="n">
        <v>1.3</v>
      </c>
      <c r="H614" t="n">
        <v>0</v>
      </c>
      <c r="I614" t="n">
        <v>0</v>
      </c>
      <c r="J614" t="n">
        <v>0</v>
      </c>
      <c r="K614" t="n">
        <v>0</v>
      </c>
      <c r="L614" t="n">
        <v>0</v>
      </c>
      <c r="M614" t="n">
        <v>0</v>
      </c>
      <c r="N614" t="n">
        <v>0</v>
      </c>
      <c r="O614" t="n">
        <v>0</v>
      </c>
      <c r="P614" t="n">
        <v>0</v>
      </c>
      <c r="Q614" t="n">
        <v>0</v>
      </c>
      <c r="R614" s="2" t="inlineStr"/>
    </row>
    <row r="615" ht="15" customHeight="1">
      <c r="A615" t="inlineStr">
        <is>
          <t>A 38355-2025</t>
        </is>
      </c>
      <c r="B615" s="1" t="n">
        <v>45883.53228009259</v>
      </c>
      <c r="C615" s="1" t="n">
        <v>46033</v>
      </c>
      <c r="D615" t="inlineStr">
        <is>
          <t>VÄSTERBOTTENS LÄN</t>
        </is>
      </c>
      <c r="E615" t="inlineStr">
        <is>
          <t>VILHELMINA</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38357-2025</t>
        </is>
      </c>
      <c r="B616" s="1" t="n">
        <v>45883.53263888889</v>
      </c>
      <c r="C616" s="1" t="n">
        <v>46033</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38211-2025</t>
        </is>
      </c>
      <c r="B617" s="1" t="n">
        <v>45882.93524305556</v>
      </c>
      <c r="C617" s="1" t="n">
        <v>46033</v>
      </c>
      <c r="D617" t="inlineStr">
        <is>
          <t>VÄSTERBOTTENS LÄN</t>
        </is>
      </c>
      <c r="E617" t="inlineStr">
        <is>
          <t>VILHELMINA</t>
        </is>
      </c>
      <c r="G617" t="n">
        <v>13.8</v>
      </c>
      <c r="H617" t="n">
        <v>0</v>
      </c>
      <c r="I617" t="n">
        <v>0</v>
      </c>
      <c r="J617" t="n">
        <v>0</v>
      </c>
      <c r="K617" t="n">
        <v>0</v>
      </c>
      <c r="L617" t="n">
        <v>0</v>
      </c>
      <c r="M617" t="n">
        <v>0</v>
      </c>
      <c r="N617" t="n">
        <v>0</v>
      </c>
      <c r="O617" t="n">
        <v>0</v>
      </c>
      <c r="P617" t="n">
        <v>0</v>
      </c>
      <c r="Q617" t="n">
        <v>0</v>
      </c>
      <c r="R617" s="2" t="inlineStr"/>
    </row>
    <row r="618" ht="15" customHeight="1">
      <c r="A618" t="inlineStr">
        <is>
          <t>A 38212-2025</t>
        </is>
      </c>
      <c r="B618" s="1" t="n">
        <v>45882.95137731481</v>
      </c>
      <c r="C618" s="1" t="n">
        <v>46033</v>
      </c>
      <c r="D618" t="inlineStr">
        <is>
          <t>VÄSTERBOTTENS LÄN</t>
        </is>
      </c>
      <c r="E618" t="inlineStr">
        <is>
          <t>VILHELMINA</t>
        </is>
      </c>
      <c r="G618" t="n">
        <v>11.7</v>
      </c>
      <c r="H618" t="n">
        <v>0</v>
      </c>
      <c r="I618" t="n">
        <v>0</v>
      </c>
      <c r="J618" t="n">
        <v>0</v>
      </c>
      <c r="K618" t="n">
        <v>0</v>
      </c>
      <c r="L618" t="n">
        <v>0</v>
      </c>
      <c r="M618" t="n">
        <v>0</v>
      </c>
      <c r="N618" t="n">
        <v>0</v>
      </c>
      <c r="O618" t="n">
        <v>0</v>
      </c>
      <c r="P618" t="n">
        <v>0</v>
      </c>
      <c r="Q618" t="n">
        <v>0</v>
      </c>
      <c r="R618" s="2" t="inlineStr"/>
    </row>
    <row r="619" ht="15" customHeight="1">
      <c r="A619" t="inlineStr">
        <is>
          <t>A 58833-2023</t>
        </is>
      </c>
      <c r="B619" s="1" t="n">
        <v>45248</v>
      </c>
      <c r="C619" s="1" t="n">
        <v>46033</v>
      </c>
      <c r="D619" t="inlineStr">
        <is>
          <t>VÄSTERBOTTENS LÄN</t>
        </is>
      </c>
      <c r="E619" t="inlineStr">
        <is>
          <t>VILHELMINA</t>
        </is>
      </c>
      <c r="G619" t="n">
        <v>1.5</v>
      </c>
      <c r="H619" t="n">
        <v>0</v>
      </c>
      <c r="I619" t="n">
        <v>0</v>
      </c>
      <c r="J619" t="n">
        <v>0</v>
      </c>
      <c r="K619" t="n">
        <v>0</v>
      </c>
      <c r="L619" t="n">
        <v>0</v>
      </c>
      <c r="M619" t="n">
        <v>0</v>
      </c>
      <c r="N619" t="n">
        <v>0</v>
      </c>
      <c r="O619" t="n">
        <v>0</v>
      </c>
      <c r="P619" t="n">
        <v>0</v>
      </c>
      <c r="Q619" t="n">
        <v>0</v>
      </c>
      <c r="R619" s="2" t="inlineStr"/>
    </row>
    <row r="620" ht="15" customHeight="1">
      <c r="A620" t="inlineStr">
        <is>
          <t>A 58505-2024</t>
        </is>
      </c>
      <c r="B620" s="1" t="n">
        <v>45635</v>
      </c>
      <c r="C620" s="1" t="n">
        <v>46033</v>
      </c>
      <c r="D620" t="inlineStr">
        <is>
          <t>VÄSTERBOTTENS LÄN</t>
        </is>
      </c>
      <c r="E620" t="inlineStr">
        <is>
          <t>VILHELMINA</t>
        </is>
      </c>
      <c r="G620" t="n">
        <v>2.9</v>
      </c>
      <c r="H620" t="n">
        <v>0</v>
      </c>
      <c r="I620" t="n">
        <v>0</v>
      </c>
      <c r="J620" t="n">
        <v>0</v>
      </c>
      <c r="K620" t="n">
        <v>0</v>
      </c>
      <c r="L620" t="n">
        <v>0</v>
      </c>
      <c r="M620" t="n">
        <v>0</v>
      </c>
      <c r="N620" t="n">
        <v>0</v>
      </c>
      <c r="O620" t="n">
        <v>0</v>
      </c>
      <c r="P620" t="n">
        <v>0</v>
      </c>
      <c r="Q620" t="n">
        <v>0</v>
      </c>
      <c r="R620" s="2" t="inlineStr"/>
    </row>
    <row r="621" ht="15" customHeight="1">
      <c r="A621" t="inlineStr">
        <is>
          <t>A 19465-2025</t>
        </is>
      </c>
      <c r="B621" s="1" t="n">
        <v>45770</v>
      </c>
      <c r="C621" s="1" t="n">
        <v>46033</v>
      </c>
      <c r="D621" t="inlineStr">
        <is>
          <t>VÄSTERBOTTENS LÄN</t>
        </is>
      </c>
      <c r="E621" t="inlineStr">
        <is>
          <t>VILHELMINA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31696-2024</t>
        </is>
      </c>
      <c r="B622" s="1" t="n">
        <v>45508</v>
      </c>
      <c r="C622" s="1" t="n">
        <v>46033</v>
      </c>
      <c r="D622" t="inlineStr">
        <is>
          <t>VÄSTERBOTTENS LÄN</t>
        </is>
      </c>
      <c r="E622" t="inlineStr">
        <is>
          <t>VILHELMINA</t>
        </is>
      </c>
      <c r="G622" t="n">
        <v>12.4</v>
      </c>
      <c r="H622" t="n">
        <v>0</v>
      </c>
      <c r="I622" t="n">
        <v>0</v>
      </c>
      <c r="J622" t="n">
        <v>0</v>
      </c>
      <c r="K622" t="n">
        <v>0</v>
      </c>
      <c r="L622" t="n">
        <v>0</v>
      </c>
      <c r="M622" t="n">
        <v>0</v>
      </c>
      <c r="N622" t="n">
        <v>0</v>
      </c>
      <c r="O622" t="n">
        <v>0</v>
      </c>
      <c r="P622" t="n">
        <v>0</v>
      </c>
      <c r="Q622" t="n">
        <v>0</v>
      </c>
      <c r="R622" s="2" t="inlineStr"/>
    </row>
    <row r="623" ht="15" customHeight="1">
      <c r="A623" t="inlineStr">
        <is>
          <t>A 52815-2025</t>
        </is>
      </c>
      <c r="B623" s="1" t="n">
        <v>45957</v>
      </c>
      <c r="C623" s="1" t="n">
        <v>46033</v>
      </c>
      <c r="D623" t="inlineStr">
        <is>
          <t>VÄSTERBOTTENS LÄN</t>
        </is>
      </c>
      <c r="E623" t="inlineStr">
        <is>
          <t>VILHELMINA</t>
        </is>
      </c>
      <c r="G623" t="n">
        <v>2.3</v>
      </c>
      <c r="H623" t="n">
        <v>0</v>
      </c>
      <c r="I623" t="n">
        <v>0</v>
      </c>
      <c r="J623" t="n">
        <v>0</v>
      </c>
      <c r="K623" t="n">
        <v>0</v>
      </c>
      <c r="L623" t="n">
        <v>0</v>
      </c>
      <c r="M623" t="n">
        <v>0</v>
      </c>
      <c r="N623" t="n">
        <v>0</v>
      </c>
      <c r="O623" t="n">
        <v>0</v>
      </c>
      <c r="P623" t="n">
        <v>0</v>
      </c>
      <c r="Q623" t="n">
        <v>0</v>
      </c>
      <c r="R623" s="2" t="inlineStr"/>
    </row>
    <row r="624" ht="15" customHeight="1">
      <c r="A624" t="inlineStr">
        <is>
          <t>A 52827-2025</t>
        </is>
      </c>
      <c r="B624" s="1" t="n">
        <v>45957</v>
      </c>
      <c r="C624" s="1" t="n">
        <v>46033</v>
      </c>
      <c r="D624" t="inlineStr">
        <is>
          <t>VÄSTERBOTTENS LÄN</t>
        </is>
      </c>
      <c r="E624" t="inlineStr">
        <is>
          <t>VILHELMINA</t>
        </is>
      </c>
      <c r="G624" t="n">
        <v>6.3</v>
      </c>
      <c r="H624" t="n">
        <v>0</v>
      </c>
      <c r="I624" t="n">
        <v>0</v>
      </c>
      <c r="J624" t="n">
        <v>0</v>
      </c>
      <c r="K624" t="n">
        <v>0</v>
      </c>
      <c r="L624" t="n">
        <v>0</v>
      </c>
      <c r="M624" t="n">
        <v>0</v>
      </c>
      <c r="N624" t="n">
        <v>0</v>
      </c>
      <c r="O624" t="n">
        <v>0</v>
      </c>
      <c r="P624" t="n">
        <v>0</v>
      </c>
      <c r="Q624" t="n">
        <v>0</v>
      </c>
      <c r="R624" s="2" t="inlineStr"/>
    </row>
    <row r="625" ht="15" customHeight="1">
      <c r="A625" t="inlineStr">
        <is>
          <t>A 52830-2025</t>
        </is>
      </c>
      <c r="B625" s="1" t="n">
        <v>45957</v>
      </c>
      <c r="C625" s="1" t="n">
        <v>46033</v>
      </c>
      <c r="D625" t="inlineStr">
        <is>
          <t>VÄSTERBOTTENS LÄN</t>
        </is>
      </c>
      <c r="E625" t="inlineStr">
        <is>
          <t>VILHELMINA</t>
        </is>
      </c>
      <c r="G625" t="n">
        <v>8.6</v>
      </c>
      <c r="H625" t="n">
        <v>0</v>
      </c>
      <c r="I625" t="n">
        <v>0</v>
      </c>
      <c r="J625" t="n">
        <v>0</v>
      </c>
      <c r="K625" t="n">
        <v>0</v>
      </c>
      <c r="L625" t="n">
        <v>0</v>
      </c>
      <c r="M625" t="n">
        <v>0</v>
      </c>
      <c r="N625" t="n">
        <v>0</v>
      </c>
      <c r="O625" t="n">
        <v>0</v>
      </c>
      <c r="P625" t="n">
        <v>0</v>
      </c>
      <c r="Q625" t="n">
        <v>0</v>
      </c>
      <c r="R625" s="2" t="inlineStr"/>
    </row>
    <row r="626" ht="15" customHeight="1">
      <c r="A626" t="inlineStr">
        <is>
          <t>A 62319-2025</t>
        </is>
      </c>
      <c r="B626" s="1" t="n">
        <v>46006.69791666666</v>
      </c>
      <c r="C626" s="1" t="n">
        <v>46033</v>
      </c>
      <c r="D626" t="inlineStr">
        <is>
          <t>VÄSTERBOTTENS LÄN</t>
        </is>
      </c>
      <c r="E626" t="inlineStr">
        <is>
          <t>VILHELMINA</t>
        </is>
      </c>
      <c r="G626" t="n">
        <v>8.5</v>
      </c>
      <c r="H626" t="n">
        <v>0</v>
      </c>
      <c r="I626" t="n">
        <v>0</v>
      </c>
      <c r="J626" t="n">
        <v>0</v>
      </c>
      <c r="K626" t="n">
        <v>0</v>
      </c>
      <c r="L626" t="n">
        <v>0</v>
      </c>
      <c r="M626" t="n">
        <v>0</v>
      </c>
      <c r="N626" t="n">
        <v>0</v>
      </c>
      <c r="O626" t="n">
        <v>0</v>
      </c>
      <c r="P626" t="n">
        <v>0</v>
      </c>
      <c r="Q626" t="n">
        <v>0</v>
      </c>
      <c r="R626" s="2" t="inlineStr"/>
    </row>
    <row r="627" ht="15" customHeight="1">
      <c r="A627" t="inlineStr">
        <is>
          <t>A 52816-2025</t>
        </is>
      </c>
      <c r="B627" s="1" t="n">
        <v>45957</v>
      </c>
      <c r="C627" s="1" t="n">
        <v>46033</v>
      </c>
      <c r="D627" t="inlineStr">
        <is>
          <t>VÄSTERBOTTENS LÄN</t>
        </is>
      </c>
      <c r="E627" t="inlineStr">
        <is>
          <t>VILHELMINA</t>
        </is>
      </c>
      <c r="G627" t="n">
        <v>4.9</v>
      </c>
      <c r="H627" t="n">
        <v>0</v>
      </c>
      <c r="I627" t="n">
        <v>0</v>
      </c>
      <c r="J627" t="n">
        <v>0</v>
      </c>
      <c r="K627" t="n">
        <v>0</v>
      </c>
      <c r="L627" t="n">
        <v>0</v>
      </c>
      <c r="M627" t="n">
        <v>0</v>
      </c>
      <c r="N627" t="n">
        <v>0</v>
      </c>
      <c r="O627" t="n">
        <v>0</v>
      </c>
      <c r="P627" t="n">
        <v>0</v>
      </c>
      <c r="Q627" t="n">
        <v>0</v>
      </c>
      <c r="R627" s="2" t="inlineStr"/>
    </row>
    <row r="628" ht="15" customHeight="1">
      <c r="A628" t="inlineStr">
        <is>
          <t>A 52812-2025</t>
        </is>
      </c>
      <c r="B628" s="1" t="n">
        <v>45957</v>
      </c>
      <c r="C628" s="1" t="n">
        <v>46033</v>
      </c>
      <c r="D628" t="inlineStr">
        <is>
          <t>VÄSTERBOTTENS LÄN</t>
        </is>
      </c>
      <c r="E628" t="inlineStr">
        <is>
          <t>VILHELMINA</t>
        </is>
      </c>
      <c r="G628" t="n">
        <v>2.5</v>
      </c>
      <c r="H628" t="n">
        <v>0</v>
      </c>
      <c r="I628" t="n">
        <v>0</v>
      </c>
      <c r="J628" t="n">
        <v>0</v>
      </c>
      <c r="K628" t="n">
        <v>0</v>
      </c>
      <c r="L628" t="n">
        <v>0</v>
      </c>
      <c r="M628" t="n">
        <v>0</v>
      </c>
      <c r="N628" t="n">
        <v>0</v>
      </c>
      <c r="O628" t="n">
        <v>0</v>
      </c>
      <c r="P628" t="n">
        <v>0</v>
      </c>
      <c r="Q628" t="n">
        <v>0</v>
      </c>
      <c r="R628" s="2" t="inlineStr"/>
    </row>
    <row r="629" ht="15" customHeight="1">
      <c r="A629" t="inlineStr">
        <is>
          <t>A 52818-2025</t>
        </is>
      </c>
      <c r="B629" s="1" t="n">
        <v>45957</v>
      </c>
      <c r="C629" s="1" t="n">
        <v>46033</v>
      </c>
      <c r="D629" t="inlineStr">
        <is>
          <t>VÄSTERBOTTENS LÄN</t>
        </is>
      </c>
      <c r="E629" t="inlineStr">
        <is>
          <t>VILHELMINA</t>
        </is>
      </c>
      <c r="G629" t="n">
        <v>2.2</v>
      </c>
      <c r="H629" t="n">
        <v>0</v>
      </c>
      <c r="I629" t="n">
        <v>0</v>
      </c>
      <c r="J629" t="n">
        <v>0</v>
      </c>
      <c r="K629" t="n">
        <v>0</v>
      </c>
      <c r="L629" t="n">
        <v>0</v>
      </c>
      <c r="M629" t="n">
        <v>0</v>
      </c>
      <c r="N629" t="n">
        <v>0</v>
      </c>
      <c r="O629" t="n">
        <v>0</v>
      </c>
      <c r="P629" t="n">
        <v>0</v>
      </c>
      <c r="Q629" t="n">
        <v>0</v>
      </c>
      <c r="R629" s="2" t="inlineStr"/>
    </row>
    <row r="630" ht="15" customHeight="1">
      <c r="A630" t="inlineStr">
        <is>
          <t>A 52819-2025</t>
        </is>
      </c>
      <c r="B630" s="1" t="n">
        <v>45957</v>
      </c>
      <c r="C630" s="1" t="n">
        <v>46033</v>
      </c>
      <c r="D630" t="inlineStr">
        <is>
          <t>VÄSTERBOTTENS LÄN</t>
        </is>
      </c>
      <c r="E630" t="inlineStr">
        <is>
          <t>VILHELMINA</t>
        </is>
      </c>
      <c r="G630" t="n">
        <v>1.8</v>
      </c>
      <c r="H630" t="n">
        <v>0</v>
      </c>
      <c r="I630" t="n">
        <v>0</v>
      </c>
      <c r="J630" t="n">
        <v>0</v>
      </c>
      <c r="K630" t="n">
        <v>0</v>
      </c>
      <c r="L630" t="n">
        <v>0</v>
      </c>
      <c r="M630" t="n">
        <v>0</v>
      </c>
      <c r="N630" t="n">
        <v>0</v>
      </c>
      <c r="O630" t="n">
        <v>0</v>
      </c>
      <c r="P630" t="n">
        <v>0</v>
      </c>
      <c r="Q630" t="n">
        <v>0</v>
      </c>
      <c r="R630" s="2" t="inlineStr"/>
    </row>
    <row r="631" ht="15" customHeight="1">
      <c r="A631" t="inlineStr">
        <is>
          <t>A 58749-2023</t>
        </is>
      </c>
      <c r="B631" s="1" t="n">
        <v>45251.92947916667</v>
      </c>
      <c r="C631" s="1" t="n">
        <v>46033</v>
      </c>
      <c r="D631" t="inlineStr">
        <is>
          <t>VÄSTERBOTTENS LÄN</t>
        </is>
      </c>
      <c r="E631" t="inlineStr">
        <is>
          <t>VILHELMINA</t>
        </is>
      </c>
      <c r="G631" t="n">
        <v>2.8</v>
      </c>
      <c r="H631" t="n">
        <v>0</v>
      </c>
      <c r="I631" t="n">
        <v>0</v>
      </c>
      <c r="J631" t="n">
        <v>0</v>
      </c>
      <c r="K631" t="n">
        <v>0</v>
      </c>
      <c r="L631" t="n">
        <v>0</v>
      </c>
      <c r="M631" t="n">
        <v>0</v>
      </c>
      <c r="N631" t="n">
        <v>0</v>
      </c>
      <c r="O631" t="n">
        <v>0</v>
      </c>
      <c r="P631" t="n">
        <v>0</v>
      </c>
      <c r="Q631" t="n">
        <v>0</v>
      </c>
      <c r="R631" s="2" t="inlineStr"/>
    </row>
    <row r="632" ht="15" customHeight="1">
      <c r="A632" t="inlineStr">
        <is>
          <t>A 52813-2025</t>
        </is>
      </c>
      <c r="B632" s="1" t="n">
        <v>45957</v>
      </c>
      <c r="C632" s="1" t="n">
        <v>46033</v>
      </c>
      <c r="D632" t="inlineStr">
        <is>
          <t>VÄSTERBOTTENS LÄN</t>
        </is>
      </c>
      <c r="E632" t="inlineStr">
        <is>
          <t>VILHELMINA</t>
        </is>
      </c>
      <c r="G632" t="n">
        <v>3.1</v>
      </c>
      <c r="H632" t="n">
        <v>0</v>
      </c>
      <c r="I632" t="n">
        <v>0</v>
      </c>
      <c r="J632" t="n">
        <v>0</v>
      </c>
      <c r="K632" t="n">
        <v>0</v>
      </c>
      <c r="L632" t="n">
        <v>0</v>
      </c>
      <c r="M632" t="n">
        <v>0</v>
      </c>
      <c r="N632" t="n">
        <v>0</v>
      </c>
      <c r="O632" t="n">
        <v>0</v>
      </c>
      <c r="P632" t="n">
        <v>0</v>
      </c>
      <c r="Q632" t="n">
        <v>0</v>
      </c>
      <c r="R632" s="2" t="inlineStr"/>
    </row>
    <row r="633" ht="15" customHeight="1">
      <c r="A633" t="inlineStr">
        <is>
          <t>A 52814-2025</t>
        </is>
      </c>
      <c r="B633" s="1" t="n">
        <v>45957</v>
      </c>
      <c r="C633" s="1" t="n">
        <v>46033</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52828-2025</t>
        </is>
      </c>
      <c r="B634" s="1" t="n">
        <v>45957</v>
      </c>
      <c r="C634" s="1" t="n">
        <v>46033</v>
      </c>
      <c r="D634" t="inlineStr">
        <is>
          <t>VÄSTERBOTTENS LÄN</t>
        </is>
      </c>
      <c r="E634" t="inlineStr">
        <is>
          <t>VILHELMINA</t>
        </is>
      </c>
      <c r="G634" t="n">
        <v>1.2</v>
      </c>
      <c r="H634" t="n">
        <v>0</v>
      </c>
      <c r="I634" t="n">
        <v>0</v>
      </c>
      <c r="J634" t="n">
        <v>0</v>
      </c>
      <c r="K634" t="n">
        <v>0</v>
      </c>
      <c r="L634" t="n">
        <v>0</v>
      </c>
      <c r="M634" t="n">
        <v>0</v>
      </c>
      <c r="N634" t="n">
        <v>0</v>
      </c>
      <c r="O634" t="n">
        <v>0</v>
      </c>
      <c r="P634" t="n">
        <v>0</v>
      </c>
      <c r="Q634" t="n">
        <v>0</v>
      </c>
      <c r="R634" s="2" t="inlineStr"/>
    </row>
    <row r="635" ht="15" customHeight="1">
      <c r="A635" t="inlineStr">
        <is>
          <t>A 32683-2024</t>
        </is>
      </c>
      <c r="B635" s="1" t="n">
        <v>45515</v>
      </c>
      <c r="C635" s="1" t="n">
        <v>46033</v>
      </c>
      <c r="D635" t="inlineStr">
        <is>
          <t>VÄSTERBOTTENS LÄN</t>
        </is>
      </c>
      <c r="E635" t="inlineStr">
        <is>
          <t>VILHELMINA</t>
        </is>
      </c>
      <c r="G635" t="n">
        <v>6.1</v>
      </c>
      <c r="H635" t="n">
        <v>0</v>
      </c>
      <c r="I635" t="n">
        <v>0</v>
      </c>
      <c r="J635" t="n">
        <v>0</v>
      </c>
      <c r="K635" t="n">
        <v>0</v>
      </c>
      <c r="L635" t="n">
        <v>0</v>
      </c>
      <c r="M635" t="n">
        <v>0</v>
      </c>
      <c r="N635" t="n">
        <v>0</v>
      </c>
      <c r="O635" t="n">
        <v>0</v>
      </c>
      <c r="P635" t="n">
        <v>0</v>
      </c>
      <c r="Q635" t="n">
        <v>0</v>
      </c>
      <c r="R635" s="2" t="inlineStr"/>
    </row>
    <row r="636" ht="15" customHeight="1">
      <c r="A636" t="inlineStr">
        <is>
          <t>A 52829-2025</t>
        </is>
      </c>
      <c r="B636" s="1" t="n">
        <v>45957</v>
      </c>
      <c r="C636" s="1" t="n">
        <v>46033</v>
      </c>
      <c r="D636" t="inlineStr">
        <is>
          <t>VÄSTERBOTTENS LÄN</t>
        </is>
      </c>
      <c r="E636" t="inlineStr">
        <is>
          <t>VILHELMINA</t>
        </is>
      </c>
      <c r="G636" t="n">
        <v>4.3</v>
      </c>
      <c r="H636" t="n">
        <v>0</v>
      </c>
      <c r="I636" t="n">
        <v>0</v>
      </c>
      <c r="J636" t="n">
        <v>0</v>
      </c>
      <c r="K636" t="n">
        <v>0</v>
      </c>
      <c r="L636" t="n">
        <v>0</v>
      </c>
      <c r="M636" t="n">
        <v>0</v>
      </c>
      <c r="N636" t="n">
        <v>0</v>
      </c>
      <c r="O636" t="n">
        <v>0</v>
      </c>
      <c r="P636" t="n">
        <v>0</v>
      </c>
      <c r="Q636" t="n">
        <v>0</v>
      </c>
      <c r="R636" s="2" t="inlineStr"/>
    </row>
    <row r="637" ht="15" customHeight="1">
      <c r="A637" t="inlineStr">
        <is>
          <t>A 62325-2025</t>
        </is>
      </c>
      <c r="B637" s="1" t="n">
        <v>46006.7149074074</v>
      </c>
      <c r="C637" s="1" t="n">
        <v>46033</v>
      </c>
      <c r="D637" t="inlineStr">
        <is>
          <t>VÄSTERBOTTENS LÄN</t>
        </is>
      </c>
      <c r="E637" t="inlineStr">
        <is>
          <t>VILHELMINA</t>
        </is>
      </c>
      <c r="G637" t="n">
        <v>3.9</v>
      </c>
      <c r="H637" t="n">
        <v>0</v>
      </c>
      <c r="I637" t="n">
        <v>0</v>
      </c>
      <c r="J637" t="n">
        <v>0</v>
      </c>
      <c r="K637" t="n">
        <v>0</v>
      </c>
      <c r="L637" t="n">
        <v>0</v>
      </c>
      <c r="M637" t="n">
        <v>0</v>
      </c>
      <c r="N637" t="n">
        <v>0</v>
      </c>
      <c r="O637" t="n">
        <v>0</v>
      </c>
      <c r="P637" t="n">
        <v>0</v>
      </c>
      <c r="Q637" t="n">
        <v>0</v>
      </c>
      <c r="R637" s="2" t="inlineStr"/>
    </row>
    <row r="638" ht="15" customHeight="1">
      <c r="A638" t="inlineStr">
        <is>
          <t>A 59476-2025</t>
        </is>
      </c>
      <c r="B638" s="1" t="n">
        <v>45989</v>
      </c>
      <c r="C638" s="1" t="n">
        <v>46033</v>
      </c>
      <c r="D638" t="inlineStr">
        <is>
          <t>VÄSTERBOTTENS LÄN</t>
        </is>
      </c>
      <c r="E638" t="inlineStr">
        <is>
          <t>VILHELMINA</t>
        </is>
      </c>
      <c r="F638" t="inlineStr">
        <is>
          <t>Allmännings- och besparingsskogar</t>
        </is>
      </c>
      <c r="G638" t="n">
        <v>13.8</v>
      </c>
      <c r="H638" t="n">
        <v>0</v>
      </c>
      <c r="I638" t="n">
        <v>0</v>
      </c>
      <c r="J638" t="n">
        <v>0</v>
      </c>
      <c r="K638" t="n">
        <v>0</v>
      </c>
      <c r="L638" t="n">
        <v>0</v>
      </c>
      <c r="M638" t="n">
        <v>0</v>
      </c>
      <c r="N638" t="n">
        <v>0</v>
      </c>
      <c r="O638" t="n">
        <v>0</v>
      </c>
      <c r="P638" t="n">
        <v>0</v>
      </c>
      <c r="Q638" t="n">
        <v>0</v>
      </c>
      <c r="R638" s="2" t="inlineStr"/>
    </row>
    <row r="639" ht="15" customHeight="1">
      <c r="A639" t="inlineStr">
        <is>
          <t>A 59487-2025</t>
        </is>
      </c>
      <c r="B639" s="1" t="n">
        <v>45989</v>
      </c>
      <c r="C639" s="1" t="n">
        <v>46033</v>
      </c>
      <c r="D639" t="inlineStr">
        <is>
          <t>VÄSTERBOTTENS LÄN</t>
        </is>
      </c>
      <c r="E639" t="inlineStr">
        <is>
          <t>VILHELMINA</t>
        </is>
      </c>
      <c r="F639" t="inlineStr">
        <is>
          <t>Allmännings- och besparingsskogar</t>
        </is>
      </c>
      <c r="G639" t="n">
        <v>17</v>
      </c>
      <c r="H639" t="n">
        <v>0</v>
      </c>
      <c r="I639" t="n">
        <v>0</v>
      </c>
      <c r="J639" t="n">
        <v>0</v>
      </c>
      <c r="K639" t="n">
        <v>0</v>
      </c>
      <c r="L639" t="n">
        <v>0</v>
      </c>
      <c r="M639" t="n">
        <v>0</v>
      </c>
      <c r="N639" t="n">
        <v>0</v>
      </c>
      <c r="O639" t="n">
        <v>0</v>
      </c>
      <c r="P639" t="n">
        <v>0</v>
      </c>
      <c r="Q639" t="n">
        <v>0</v>
      </c>
      <c r="R639" s="2" t="inlineStr"/>
    </row>
    <row r="640" ht="15" customHeight="1">
      <c r="A640" t="inlineStr">
        <is>
          <t>A 59492-2025</t>
        </is>
      </c>
      <c r="B640" s="1" t="n">
        <v>45989</v>
      </c>
      <c r="C640" s="1" t="n">
        <v>46033</v>
      </c>
      <c r="D640" t="inlineStr">
        <is>
          <t>VÄSTERBOTTENS LÄN</t>
        </is>
      </c>
      <c r="E640" t="inlineStr">
        <is>
          <t>VILHELMINA</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72057-2021</t>
        </is>
      </c>
      <c r="B641" s="1" t="n">
        <v>44540</v>
      </c>
      <c r="C641" s="1" t="n">
        <v>46033</v>
      </c>
      <c r="D641" t="inlineStr">
        <is>
          <t>VÄSTERBOTTENS LÄN</t>
        </is>
      </c>
      <c r="E641" t="inlineStr">
        <is>
          <t>VILHELMINA</t>
        </is>
      </c>
      <c r="G641" t="n">
        <v>7</v>
      </c>
      <c r="H641" t="n">
        <v>0</v>
      </c>
      <c r="I641" t="n">
        <v>0</v>
      </c>
      <c r="J641" t="n">
        <v>0</v>
      </c>
      <c r="K641" t="n">
        <v>0</v>
      </c>
      <c r="L641" t="n">
        <v>0</v>
      </c>
      <c r="M641" t="n">
        <v>0</v>
      </c>
      <c r="N641" t="n">
        <v>0</v>
      </c>
      <c r="O641" t="n">
        <v>0</v>
      </c>
      <c r="P641" t="n">
        <v>0</v>
      </c>
      <c r="Q641" t="n">
        <v>0</v>
      </c>
      <c r="R641" s="2" t="inlineStr"/>
    </row>
    <row r="642" ht="15" customHeight="1">
      <c r="A642" t="inlineStr">
        <is>
          <t>A 55697-2024</t>
        </is>
      </c>
      <c r="B642" s="1" t="n">
        <v>45622</v>
      </c>
      <c r="C642" s="1" t="n">
        <v>46033</v>
      </c>
      <c r="D642" t="inlineStr">
        <is>
          <t>VÄSTERBOTTENS LÄN</t>
        </is>
      </c>
      <c r="E642" t="inlineStr">
        <is>
          <t>VILHELMINA</t>
        </is>
      </c>
      <c r="G642" t="n">
        <v>3.2</v>
      </c>
      <c r="H642" t="n">
        <v>0</v>
      </c>
      <c r="I642" t="n">
        <v>0</v>
      </c>
      <c r="J642" t="n">
        <v>0</v>
      </c>
      <c r="K642" t="n">
        <v>0</v>
      </c>
      <c r="L642" t="n">
        <v>0</v>
      </c>
      <c r="M642" t="n">
        <v>0</v>
      </c>
      <c r="N642" t="n">
        <v>0</v>
      </c>
      <c r="O642" t="n">
        <v>0</v>
      </c>
      <c r="P642" t="n">
        <v>0</v>
      </c>
      <c r="Q642" t="n">
        <v>0</v>
      </c>
      <c r="R642" s="2" t="inlineStr"/>
    </row>
    <row r="643" ht="15" customHeight="1">
      <c r="A643" t="inlineStr">
        <is>
          <t>A 62318-2025</t>
        </is>
      </c>
      <c r="B643" s="1" t="n">
        <v>46006</v>
      </c>
      <c r="C643" s="1" t="n">
        <v>46033</v>
      </c>
      <c r="D643" t="inlineStr">
        <is>
          <t>VÄSTERBOTTENS LÄN</t>
        </is>
      </c>
      <c r="E643" t="inlineStr">
        <is>
          <t>VILHELMINA</t>
        </is>
      </c>
      <c r="G643" t="n">
        <v>0.6</v>
      </c>
      <c r="H643" t="n">
        <v>0</v>
      </c>
      <c r="I643" t="n">
        <v>0</v>
      </c>
      <c r="J643" t="n">
        <v>0</v>
      </c>
      <c r="K643" t="n">
        <v>0</v>
      </c>
      <c r="L643" t="n">
        <v>0</v>
      </c>
      <c r="M643" t="n">
        <v>0</v>
      </c>
      <c r="N643" t="n">
        <v>0</v>
      </c>
      <c r="O643" t="n">
        <v>0</v>
      </c>
      <c r="P643" t="n">
        <v>0</v>
      </c>
      <c r="Q643" t="n">
        <v>0</v>
      </c>
      <c r="R643" s="2" t="inlineStr"/>
    </row>
    <row r="644" ht="15" customHeight="1">
      <c r="A644" t="inlineStr">
        <is>
          <t>A 54738-2025</t>
        </is>
      </c>
      <c r="B644" s="1" t="n">
        <v>45966</v>
      </c>
      <c r="C644" s="1" t="n">
        <v>46033</v>
      </c>
      <c r="D644" t="inlineStr">
        <is>
          <t>VÄSTERBOTTENS LÄN</t>
        </is>
      </c>
      <c r="E644" t="inlineStr">
        <is>
          <t>VILHELMINA</t>
        </is>
      </c>
      <c r="G644" t="n">
        <v>6.6</v>
      </c>
      <c r="H644" t="n">
        <v>0</v>
      </c>
      <c r="I644" t="n">
        <v>0</v>
      </c>
      <c r="J644" t="n">
        <v>0</v>
      </c>
      <c r="K644" t="n">
        <v>0</v>
      </c>
      <c r="L644" t="n">
        <v>0</v>
      </c>
      <c r="M644" t="n">
        <v>0</v>
      </c>
      <c r="N644" t="n">
        <v>0</v>
      </c>
      <c r="O644" t="n">
        <v>0</v>
      </c>
      <c r="P644" t="n">
        <v>0</v>
      </c>
      <c r="Q644" t="n">
        <v>0</v>
      </c>
      <c r="R644" s="2" t="inlineStr"/>
    </row>
    <row r="645" ht="15" customHeight="1">
      <c r="A645" t="inlineStr">
        <is>
          <t>A 38540-2025</t>
        </is>
      </c>
      <c r="B645" s="1" t="n">
        <v>45884.42768518518</v>
      </c>
      <c r="C645" s="1" t="n">
        <v>46033</v>
      </c>
      <c r="D645" t="inlineStr">
        <is>
          <t>VÄSTERBOTTENS LÄN</t>
        </is>
      </c>
      <c r="E645" t="inlineStr">
        <is>
          <t>VILHELMINA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59486-2025</t>
        </is>
      </c>
      <c r="B646" s="1" t="n">
        <v>45989</v>
      </c>
      <c r="C646" s="1" t="n">
        <v>46033</v>
      </c>
      <c r="D646" t="inlineStr">
        <is>
          <t>VÄSTERBOTTENS LÄN</t>
        </is>
      </c>
      <c r="E646" t="inlineStr">
        <is>
          <t>VILHELMINA</t>
        </is>
      </c>
      <c r="G646" t="n">
        <v>6.8</v>
      </c>
      <c r="H646" t="n">
        <v>0</v>
      </c>
      <c r="I646" t="n">
        <v>0</v>
      </c>
      <c r="J646" t="n">
        <v>0</v>
      </c>
      <c r="K646" t="n">
        <v>0</v>
      </c>
      <c r="L646" t="n">
        <v>0</v>
      </c>
      <c r="M646" t="n">
        <v>0</v>
      </c>
      <c r="N646" t="n">
        <v>0</v>
      </c>
      <c r="O646" t="n">
        <v>0</v>
      </c>
      <c r="P646" t="n">
        <v>0</v>
      </c>
      <c r="Q646" t="n">
        <v>0</v>
      </c>
      <c r="R646" s="2" t="inlineStr"/>
    </row>
    <row r="647" ht="15" customHeight="1">
      <c r="A647" t="inlineStr">
        <is>
          <t>A 59501-2025</t>
        </is>
      </c>
      <c r="B647" s="1" t="n">
        <v>45989</v>
      </c>
      <c r="C647" s="1" t="n">
        <v>46033</v>
      </c>
      <c r="D647" t="inlineStr">
        <is>
          <t>VÄSTERBOTTENS LÄN</t>
        </is>
      </c>
      <c r="E647" t="inlineStr">
        <is>
          <t>VILHELMINA</t>
        </is>
      </c>
      <c r="F647" t="inlineStr">
        <is>
          <t>Allmännings- och besparingsskogar</t>
        </is>
      </c>
      <c r="G647" t="n">
        <v>62.2</v>
      </c>
      <c r="H647" t="n">
        <v>0</v>
      </c>
      <c r="I647" t="n">
        <v>0</v>
      </c>
      <c r="J647" t="n">
        <v>0</v>
      </c>
      <c r="K647" t="n">
        <v>0</v>
      </c>
      <c r="L647" t="n">
        <v>0</v>
      </c>
      <c r="M647" t="n">
        <v>0</v>
      </c>
      <c r="N647" t="n">
        <v>0</v>
      </c>
      <c r="O647" t="n">
        <v>0</v>
      </c>
      <c r="P647" t="n">
        <v>0</v>
      </c>
      <c r="Q647" t="n">
        <v>0</v>
      </c>
      <c r="R647" s="2" t="inlineStr"/>
    </row>
    <row r="648" ht="15" customHeight="1">
      <c r="A648" t="inlineStr">
        <is>
          <t>A 59494-2025</t>
        </is>
      </c>
      <c r="B648" s="1" t="n">
        <v>45989</v>
      </c>
      <c r="C648" s="1" t="n">
        <v>46033</v>
      </c>
      <c r="D648" t="inlineStr">
        <is>
          <t>VÄSTERBOTTENS LÄN</t>
        </is>
      </c>
      <c r="E648" t="inlineStr">
        <is>
          <t>VILHELMINA</t>
        </is>
      </c>
      <c r="F648" t="inlineStr">
        <is>
          <t>Allmännings- och besparingsskogar</t>
        </is>
      </c>
      <c r="G648" t="n">
        <v>36.7</v>
      </c>
      <c r="H648" t="n">
        <v>0</v>
      </c>
      <c r="I648" t="n">
        <v>0</v>
      </c>
      <c r="J648" t="n">
        <v>0</v>
      </c>
      <c r="K648" t="n">
        <v>0</v>
      </c>
      <c r="L648" t="n">
        <v>0</v>
      </c>
      <c r="M648" t="n">
        <v>0</v>
      </c>
      <c r="N648" t="n">
        <v>0</v>
      </c>
      <c r="O648" t="n">
        <v>0</v>
      </c>
      <c r="P648" t="n">
        <v>0</v>
      </c>
      <c r="Q648" t="n">
        <v>0</v>
      </c>
      <c r="R648" s="2" t="inlineStr"/>
    </row>
    <row r="649" ht="15" customHeight="1">
      <c r="A649" t="inlineStr">
        <is>
          <t>A 34087-2023</t>
        </is>
      </c>
      <c r="B649" s="1" t="n">
        <v>45125</v>
      </c>
      <c r="C649" s="1" t="n">
        <v>46033</v>
      </c>
      <c r="D649" t="inlineStr">
        <is>
          <t>VÄSTERBOTTENS LÄN</t>
        </is>
      </c>
      <c r="E649" t="inlineStr">
        <is>
          <t>VILHELMINA</t>
        </is>
      </c>
      <c r="G649" t="n">
        <v>13.2</v>
      </c>
      <c r="H649" t="n">
        <v>0</v>
      </c>
      <c r="I649" t="n">
        <v>0</v>
      </c>
      <c r="J649" t="n">
        <v>0</v>
      </c>
      <c r="K649" t="n">
        <v>0</v>
      </c>
      <c r="L649" t="n">
        <v>0</v>
      </c>
      <c r="M649" t="n">
        <v>0</v>
      </c>
      <c r="N649" t="n">
        <v>0</v>
      </c>
      <c r="O649" t="n">
        <v>0</v>
      </c>
      <c r="P649" t="n">
        <v>0</v>
      </c>
      <c r="Q649" t="n">
        <v>0</v>
      </c>
      <c r="R649" s="2" t="inlineStr"/>
    </row>
    <row r="650" ht="15" customHeight="1">
      <c r="A650" t="inlineStr">
        <is>
          <t>A 38363-2023</t>
        </is>
      </c>
      <c r="B650" s="1" t="n">
        <v>45161</v>
      </c>
      <c r="C650" s="1" t="n">
        <v>46033</v>
      </c>
      <c r="D650" t="inlineStr">
        <is>
          <t>VÄSTERBOTTENS LÄN</t>
        </is>
      </c>
      <c r="E650" t="inlineStr">
        <is>
          <t>VILHELMINA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6665-2021</t>
        </is>
      </c>
      <c r="B651" s="1" t="n">
        <v>44235</v>
      </c>
      <c r="C651" s="1" t="n">
        <v>46033</v>
      </c>
      <c r="D651" t="inlineStr">
        <is>
          <t>VÄSTERBOTTENS LÄN</t>
        </is>
      </c>
      <c r="E651" t="inlineStr">
        <is>
          <t>VILHELMINA</t>
        </is>
      </c>
      <c r="G651" t="n">
        <v>20</v>
      </c>
      <c r="H651" t="n">
        <v>0</v>
      </c>
      <c r="I651" t="n">
        <v>0</v>
      </c>
      <c r="J651" t="n">
        <v>0</v>
      </c>
      <c r="K651" t="n">
        <v>0</v>
      </c>
      <c r="L651" t="n">
        <v>0</v>
      </c>
      <c r="M651" t="n">
        <v>0</v>
      </c>
      <c r="N651" t="n">
        <v>0</v>
      </c>
      <c r="O651" t="n">
        <v>0</v>
      </c>
      <c r="P651" t="n">
        <v>0</v>
      </c>
      <c r="Q651" t="n">
        <v>0</v>
      </c>
      <c r="R651" s="2" t="inlineStr"/>
    </row>
    <row r="652" ht="15" customHeight="1">
      <c r="A652" t="inlineStr">
        <is>
          <t>A 16608-2024</t>
        </is>
      </c>
      <c r="B652" s="1" t="n">
        <v>45408</v>
      </c>
      <c r="C652" s="1" t="n">
        <v>46033</v>
      </c>
      <c r="D652" t="inlineStr">
        <is>
          <t>VÄSTERBOTTENS LÄN</t>
        </is>
      </c>
      <c r="E652" t="inlineStr">
        <is>
          <t>VILHELMINA</t>
        </is>
      </c>
      <c r="G652" t="n">
        <v>17.5</v>
      </c>
      <c r="H652" t="n">
        <v>0</v>
      </c>
      <c r="I652" t="n">
        <v>0</v>
      </c>
      <c r="J652" t="n">
        <v>0</v>
      </c>
      <c r="K652" t="n">
        <v>0</v>
      </c>
      <c r="L652" t="n">
        <v>0</v>
      </c>
      <c r="M652" t="n">
        <v>0</v>
      </c>
      <c r="N652" t="n">
        <v>0</v>
      </c>
      <c r="O652" t="n">
        <v>0</v>
      </c>
      <c r="P652" t="n">
        <v>0</v>
      </c>
      <c r="Q652" t="n">
        <v>0</v>
      </c>
      <c r="R652" s="2" t="inlineStr"/>
    </row>
    <row r="653" ht="15" customHeight="1">
      <c r="A653" t="inlineStr">
        <is>
          <t>A 45258-2024</t>
        </is>
      </c>
      <c r="B653" s="1" t="n">
        <v>45576.34444444445</v>
      </c>
      <c r="C653" s="1" t="n">
        <v>46033</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54920-2025</t>
        </is>
      </c>
      <c r="B654" s="1" t="n">
        <v>45967.38887731481</v>
      </c>
      <c r="C654" s="1" t="n">
        <v>46033</v>
      </c>
      <c r="D654" t="inlineStr">
        <is>
          <t>VÄSTERBOTTENS LÄN</t>
        </is>
      </c>
      <c r="E654" t="inlineStr">
        <is>
          <t>VILHELMINA</t>
        </is>
      </c>
      <c r="G654" t="n">
        <v>28.1</v>
      </c>
      <c r="H654" t="n">
        <v>0</v>
      </c>
      <c r="I654" t="n">
        <v>0</v>
      </c>
      <c r="J654" t="n">
        <v>0</v>
      </c>
      <c r="K654" t="n">
        <v>0</v>
      </c>
      <c r="L654" t="n">
        <v>0</v>
      </c>
      <c r="M654" t="n">
        <v>0</v>
      </c>
      <c r="N654" t="n">
        <v>0</v>
      </c>
      <c r="O654" t="n">
        <v>0</v>
      </c>
      <c r="P654" t="n">
        <v>0</v>
      </c>
      <c r="Q654" t="n">
        <v>0</v>
      </c>
      <c r="R654" s="2" t="inlineStr"/>
    </row>
    <row r="655" ht="15" customHeight="1">
      <c r="A655" t="inlineStr">
        <is>
          <t>A 54955-2025</t>
        </is>
      </c>
      <c r="B655" s="1" t="n">
        <v>45967</v>
      </c>
      <c r="C655" s="1" t="n">
        <v>46033</v>
      </c>
      <c r="D655" t="inlineStr">
        <is>
          <t>VÄSTERBOTTENS LÄN</t>
        </is>
      </c>
      <c r="E655" t="inlineStr">
        <is>
          <t>VILHELMINA</t>
        </is>
      </c>
      <c r="G655" t="n">
        <v>15.6</v>
      </c>
      <c r="H655" t="n">
        <v>0</v>
      </c>
      <c r="I655" t="n">
        <v>0</v>
      </c>
      <c r="J655" t="n">
        <v>0</v>
      </c>
      <c r="K655" t="n">
        <v>0</v>
      </c>
      <c r="L655" t="n">
        <v>0</v>
      </c>
      <c r="M655" t="n">
        <v>0</v>
      </c>
      <c r="N655" t="n">
        <v>0</v>
      </c>
      <c r="O655" t="n">
        <v>0</v>
      </c>
      <c r="P655" t="n">
        <v>0</v>
      </c>
      <c r="Q655" t="n">
        <v>0</v>
      </c>
      <c r="R655" s="2" t="inlineStr"/>
    </row>
    <row r="656" ht="15" customHeight="1">
      <c r="A656" t="inlineStr">
        <is>
          <t>A 21726-2021</t>
        </is>
      </c>
      <c r="B656" s="1" t="n">
        <v>44322</v>
      </c>
      <c r="C656" s="1" t="n">
        <v>46033</v>
      </c>
      <c r="D656" t="inlineStr">
        <is>
          <t>VÄSTERBOTTENS LÄN</t>
        </is>
      </c>
      <c r="E656" t="inlineStr">
        <is>
          <t>VILHELMINA</t>
        </is>
      </c>
      <c r="G656" t="n">
        <v>19.6</v>
      </c>
      <c r="H656" t="n">
        <v>0</v>
      </c>
      <c r="I656" t="n">
        <v>0</v>
      </c>
      <c r="J656" t="n">
        <v>0</v>
      </c>
      <c r="K656" t="n">
        <v>0</v>
      </c>
      <c r="L656" t="n">
        <v>0</v>
      </c>
      <c r="M656" t="n">
        <v>0</v>
      </c>
      <c r="N656" t="n">
        <v>0</v>
      </c>
      <c r="O656" t="n">
        <v>0</v>
      </c>
      <c r="P656" t="n">
        <v>0</v>
      </c>
      <c r="Q656" t="n">
        <v>0</v>
      </c>
      <c r="R656" s="2" t="inlineStr"/>
    </row>
    <row r="657" ht="15" customHeight="1">
      <c r="A657" t="inlineStr">
        <is>
          <t>A 17432-2025</t>
        </is>
      </c>
      <c r="B657" s="1" t="n">
        <v>45757</v>
      </c>
      <c r="C657" s="1" t="n">
        <v>46033</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48483-2023</t>
        </is>
      </c>
      <c r="B658" s="1" t="n">
        <v>45206.95854166667</v>
      </c>
      <c r="C658" s="1" t="n">
        <v>46033</v>
      </c>
      <c r="D658" t="inlineStr">
        <is>
          <t>VÄSTERBOTTENS LÄN</t>
        </is>
      </c>
      <c r="E658" t="inlineStr">
        <is>
          <t>VILHELMINA</t>
        </is>
      </c>
      <c r="F658" t="inlineStr">
        <is>
          <t>SCA</t>
        </is>
      </c>
      <c r="G658" t="n">
        <v>7.6</v>
      </c>
      <c r="H658" t="n">
        <v>0</v>
      </c>
      <c r="I658" t="n">
        <v>0</v>
      </c>
      <c r="J658" t="n">
        <v>0</v>
      </c>
      <c r="K658" t="n">
        <v>0</v>
      </c>
      <c r="L658" t="n">
        <v>0</v>
      </c>
      <c r="M658" t="n">
        <v>0</v>
      </c>
      <c r="N658" t="n">
        <v>0</v>
      </c>
      <c r="O658" t="n">
        <v>0</v>
      </c>
      <c r="P658" t="n">
        <v>0</v>
      </c>
      <c r="Q658" t="n">
        <v>0</v>
      </c>
      <c r="R658" s="2" t="inlineStr"/>
    </row>
    <row r="659" ht="15" customHeight="1">
      <c r="A659" t="inlineStr">
        <is>
          <t>A 55095-2025</t>
        </is>
      </c>
      <c r="B659" s="1" t="n">
        <v>45968.34498842592</v>
      </c>
      <c r="C659" s="1" t="n">
        <v>46033</v>
      </c>
      <c r="D659" t="inlineStr">
        <is>
          <t>VÄSTERBOTTENS LÄN</t>
        </is>
      </c>
      <c r="E659" t="inlineStr">
        <is>
          <t>VILHELMINA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58999-2024</t>
        </is>
      </c>
      <c r="B660" s="1" t="n">
        <v>45636</v>
      </c>
      <c r="C660" s="1" t="n">
        <v>46033</v>
      </c>
      <c r="D660" t="inlineStr">
        <is>
          <t>VÄSTERBOTTENS LÄN</t>
        </is>
      </c>
      <c r="E660" t="inlineStr">
        <is>
          <t>VILHELMINA</t>
        </is>
      </c>
      <c r="F660" t="inlineStr">
        <is>
          <t>Allmännings- och besparingsskogar</t>
        </is>
      </c>
      <c r="G660" t="n">
        <v>12.3</v>
      </c>
      <c r="H660" t="n">
        <v>0</v>
      </c>
      <c r="I660" t="n">
        <v>0</v>
      </c>
      <c r="J660" t="n">
        <v>0</v>
      </c>
      <c r="K660" t="n">
        <v>0</v>
      </c>
      <c r="L660" t="n">
        <v>0</v>
      </c>
      <c r="M660" t="n">
        <v>0</v>
      </c>
      <c r="N660" t="n">
        <v>0</v>
      </c>
      <c r="O660" t="n">
        <v>0</v>
      </c>
      <c r="P660" t="n">
        <v>0</v>
      </c>
      <c r="Q660" t="n">
        <v>0</v>
      </c>
      <c r="R660" s="2" t="inlineStr"/>
    </row>
    <row r="661" ht="15" customHeight="1">
      <c r="A661" t="inlineStr">
        <is>
          <t>A 37717-2024</t>
        </is>
      </c>
      <c r="B661" s="1" t="n">
        <v>45541</v>
      </c>
      <c r="C661" s="1" t="n">
        <v>46033</v>
      </c>
      <c r="D661" t="inlineStr">
        <is>
          <t>VÄSTERBOTTENS LÄN</t>
        </is>
      </c>
      <c r="E661" t="inlineStr">
        <is>
          <t>VILHELMINA</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38297-2024</t>
        </is>
      </c>
      <c r="B662" s="1" t="n">
        <v>45545</v>
      </c>
      <c r="C662" s="1" t="n">
        <v>46033</v>
      </c>
      <c r="D662" t="inlineStr">
        <is>
          <t>VÄSTERBOTTENS LÄN</t>
        </is>
      </c>
      <c r="E662" t="inlineStr">
        <is>
          <t>VILHELMINA</t>
        </is>
      </c>
      <c r="G662" t="n">
        <v>139.8</v>
      </c>
      <c r="H662" t="n">
        <v>0</v>
      </c>
      <c r="I662" t="n">
        <v>0</v>
      </c>
      <c r="J662" t="n">
        <v>0</v>
      </c>
      <c r="K662" t="n">
        <v>0</v>
      </c>
      <c r="L662" t="n">
        <v>0</v>
      </c>
      <c r="M662" t="n">
        <v>0</v>
      </c>
      <c r="N662" t="n">
        <v>0</v>
      </c>
      <c r="O662" t="n">
        <v>0</v>
      </c>
      <c r="P662" t="n">
        <v>0</v>
      </c>
      <c r="Q662" t="n">
        <v>0</v>
      </c>
      <c r="R662" s="2" t="inlineStr"/>
    </row>
    <row r="663" ht="15" customHeight="1">
      <c r="A663" t="inlineStr">
        <is>
          <t>A 6638-2025</t>
        </is>
      </c>
      <c r="B663" s="1" t="n">
        <v>45700</v>
      </c>
      <c r="C663" s="1" t="n">
        <v>46033</v>
      </c>
      <c r="D663" t="inlineStr">
        <is>
          <t>VÄSTERBOTTENS LÄN</t>
        </is>
      </c>
      <c r="E663" t="inlineStr">
        <is>
          <t>VILHELMINA</t>
        </is>
      </c>
      <c r="G663" t="n">
        <v>21.5</v>
      </c>
      <c r="H663" t="n">
        <v>0</v>
      </c>
      <c r="I663" t="n">
        <v>0</v>
      </c>
      <c r="J663" t="n">
        <v>0</v>
      </c>
      <c r="K663" t="n">
        <v>0</v>
      </c>
      <c r="L663" t="n">
        <v>0</v>
      </c>
      <c r="M663" t="n">
        <v>0</v>
      </c>
      <c r="N663" t="n">
        <v>0</v>
      </c>
      <c r="O663" t="n">
        <v>0</v>
      </c>
      <c r="P663" t="n">
        <v>0</v>
      </c>
      <c r="Q663" t="n">
        <v>0</v>
      </c>
      <c r="R663" s="2" t="inlineStr"/>
    </row>
    <row r="664" ht="15" customHeight="1">
      <c r="A664" t="inlineStr">
        <is>
          <t>A 55092-2025</t>
        </is>
      </c>
      <c r="B664" s="1" t="n">
        <v>45968.34462962963</v>
      </c>
      <c r="C664" s="1" t="n">
        <v>46033</v>
      </c>
      <c r="D664" t="inlineStr">
        <is>
          <t>VÄSTERBOTTENS LÄN</t>
        </is>
      </c>
      <c r="E664" t="inlineStr">
        <is>
          <t>VILHELMINA</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63110-2025</t>
        </is>
      </c>
      <c r="B665" s="1" t="n">
        <v>46009</v>
      </c>
      <c r="C665" s="1" t="n">
        <v>46033</v>
      </c>
      <c r="D665" t="inlineStr">
        <is>
          <t>VÄSTERBOTTENS LÄN</t>
        </is>
      </c>
      <c r="E665" t="inlineStr">
        <is>
          <t>VILHELMINA</t>
        </is>
      </c>
      <c r="G665" t="n">
        <v>6.8</v>
      </c>
      <c r="H665" t="n">
        <v>0</v>
      </c>
      <c r="I665" t="n">
        <v>0</v>
      </c>
      <c r="J665" t="n">
        <v>0</v>
      </c>
      <c r="K665" t="n">
        <v>0</v>
      </c>
      <c r="L665" t="n">
        <v>0</v>
      </c>
      <c r="M665" t="n">
        <v>0</v>
      </c>
      <c r="N665" t="n">
        <v>0</v>
      </c>
      <c r="O665" t="n">
        <v>0</v>
      </c>
      <c r="P665" t="n">
        <v>0</v>
      </c>
      <c r="Q665" t="n">
        <v>0</v>
      </c>
      <c r="R665" s="2" t="inlineStr"/>
    </row>
    <row r="666" ht="15" customHeight="1">
      <c r="A666" t="inlineStr">
        <is>
          <t>A 55456-2025</t>
        </is>
      </c>
      <c r="B666" s="1" t="n">
        <v>45971.51086805556</v>
      </c>
      <c r="C666" s="1" t="n">
        <v>46033</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6669-2021</t>
        </is>
      </c>
      <c r="B667" s="1" t="n">
        <v>44235</v>
      </c>
      <c r="C667" s="1" t="n">
        <v>46033</v>
      </c>
      <c r="D667" t="inlineStr">
        <is>
          <t>VÄSTERBOTTENS LÄN</t>
        </is>
      </c>
      <c r="E667" t="inlineStr">
        <is>
          <t>VILHELMINA</t>
        </is>
      </c>
      <c r="G667" t="n">
        <v>19.8</v>
      </c>
      <c r="H667" t="n">
        <v>0</v>
      </c>
      <c r="I667" t="n">
        <v>0</v>
      </c>
      <c r="J667" t="n">
        <v>0</v>
      </c>
      <c r="K667" t="n">
        <v>0</v>
      </c>
      <c r="L667" t="n">
        <v>0</v>
      </c>
      <c r="M667" t="n">
        <v>0</v>
      </c>
      <c r="N667" t="n">
        <v>0</v>
      </c>
      <c r="O667" t="n">
        <v>0</v>
      </c>
      <c r="P667" t="n">
        <v>0</v>
      </c>
      <c r="Q667" t="n">
        <v>0</v>
      </c>
      <c r="R667" s="2" t="inlineStr"/>
    </row>
    <row r="668" ht="15" customHeight="1">
      <c r="A668" t="inlineStr">
        <is>
          <t>A 6706-2021</t>
        </is>
      </c>
      <c r="B668" s="1" t="n">
        <v>44235</v>
      </c>
      <c r="C668" s="1" t="n">
        <v>46033</v>
      </c>
      <c r="D668" t="inlineStr">
        <is>
          <t>VÄSTERBOTTENS LÄN</t>
        </is>
      </c>
      <c r="E668" t="inlineStr">
        <is>
          <t>VILHELMINA</t>
        </is>
      </c>
      <c r="G668" t="n">
        <v>3.8</v>
      </c>
      <c r="H668" t="n">
        <v>0</v>
      </c>
      <c r="I668" t="n">
        <v>0</v>
      </c>
      <c r="J668" t="n">
        <v>0</v>
      </c>
      <c r="K668" t="n">
        <v>0</v>
      </c>
      <c r="L668" t="n">
        <v>0</v>
      </c>
      <c r="M668" t="n">
        <v>0</v>
      </c>
      <c r="N668" t="n">
        <v>0</v>
      </c>
      <c r="O668" t="n">
        <v>0</v>
      </c>
      <c r="P668" t="n">
        <v>0</v>
      </c>
      <c r="Q668" t="n">
        <v>0</v>
      </c>
      <c r="R668" s="2" t="inlineStr"/>
    </row>
    <row r="669" ht="15" customHeight="1">
      <c r="A669" t="inlineStr">
        <is>
          <t>A 58377-2021</t>
        </is>
      </c>
      <c r="B669" s="1" t="n">
        <v>44488</v>
      </c>
      <c r="C669" s="1" t="n">
        <v>46033</v>
      </c>
      <c r="D669" t="inlineStr">
        <is>
          <t>VÄSTERBOTTENS LÄN</t>
        </is>
      </c>
      <c r="E669" t="inlineStr">
        <is>
          <t>VILHELMINA</t>
        </is>
      </c>
      <c r="G669" t="n">
        <v>1.5</v>
      </c>
      <c r="H669" t="n">
        <v>0</v>
      </c>
      <c r="I669" t="n">
        <v>0</v>
      </c>
      <c r="J669" t="n">
        <v>0</v>
      </c>
      <c r="K669" t="n">
        <v>0</v>
      </c>
      <c r="L669" t="n">
        <v>0</v>
      </c>
      <c r="M669" t="n">
        <v>0</v>
      </c>
      <c r="N669" t="n">
        <v>0</v>
      </c>
      <c r="O669" t="n">
        <v>0</v>
      </c>
      <c r="P669" t="n">
        <v>0</v>
      </c>
      <c r="Q669" t="n">
        <v>0</v>
      </c>
      <c r="R669" s="2" t="inlineStr"/>
    </row>
    <row r="670" ht="15" customHeight="1">
      <c r="A670" t="inlineStr">
        <is>
          <t>A 475-2024</t>
        </is>
      </c>
      <c r="B670" s="1" t="n">
        <v>45297.83246527778</v>
      </c>
      <c r="C670" s="1" t="n">
        <v>46033</v>
      </c>
      <c r="D670" t="inlineStr">
        <is>
          <t>VÄSTERBOTTENS LÄN</t>
        </is>
      </c>
      <c r="E670" t="inlineStr">
        <is>
          <t>VILHELMINA</t>
        </is>
      </c>
      <c r="G670" t="n">
        <v>6.1</v>
      </c>
      <c r="H670" t="n">
        <v>0</v>
      </c>
      <c r="I670" t="n">
        <v>0</v>
      </c>
      <c r="J670" t="n">
        <v>0</v>
      </c>
      <c r="K670" t="n">
        <v>0</v>
      </c>
      <c r="L670" t="n">
        <v>0</v>
      </c>
      <c r="M670" t="n">
        <v>0</v>
      </c>
      <c r="N670" t="n">
        <v>0</v>
      </c>
      <c r="O670" t="n">
        <v>0</v>
      </c>
      <c r="P670" t="n">
        <v>0</v>
      </c>
      <c r="Q670" t="n">
        <v>0</v>
      </c>
      <c r="R670" s="2" t="inlineStr"/>
    </row>
    <row r="671" ht="15" customHeight="1">
      <c r="A671" t="inlineStr">
        <is>
          <t>A 14254-2025</t>
        </is>
      </c>
      <c r="B671" s="1" t="n">
        <v>45740.61644675926</v>
      </c>
      <c r="C671" s="1" t="n">
        <v>46033</v>
      </c>
      <c r="D671" t="inlineStr">
        <is>
          <t>VÄSTERBOTTENS LÄN</t>
        </is>
      </c>
      <c r="E671" t="inlineStr">
        <is>
          <t>VILHELMINA</t>
        </is>
      </c>
      <c r="G671" t="n">
        <v>2</v>
      </c>
      <c r="H671" t="n">
        <v>0</v>
      </c>
      <c r="I671" t="n">
        <v>0</v>
      </c>
      <c r="J671" t="n">
        <v>0</v>
      </c>
      <c r="K671" t="n">
        <v>0</v>
      </c>
      <c r="L671" t="n">
        <v>0</v>
      </c>
      <c r="M671" t="n">
        <v>0</v>
      </c>
      <c r="N671" t="n">
        <v>0</v>
      </c>
      <c r="O671" t="n">
        <v>0</v>
      </c>
      <c r="P671" t="n">
        <v>0</v>
      </c>
      <c r="Q671" t="n">
        <v>0</v>
      </c>
      <c r="R671" s="2" t="inlineStr"/>
    </row>
    <row r="672" ht="15" customHeight="1">
      <c r="A672" t="inlineStr">
        <is>
          <t>A 19909-2025</t>
        </is>
      </c>
      <c r="B672" s="1" t="n">
        <v>45771.60482638889</v>
      </c>
      <c r="C672" s="1" t="n">
        <v>46033</v>
      </c>
      <c r="D672" t="inlineStr">
        <is>
          <t>VÄSTERBOTTENS LÄN</t>
        </is>
      </c>
      <c r="E672" t="inlineStr">
        <is>
          <t>VILHELMINA</t>
        </is>
      </c>
      <c r="G672" t="n">
        <v>12.4</v>
      </c>
      <c r="H672" t="n">
        <v>0</v>
      </c>
      <c r="I672" t="n">
        <v>0</v>
      </c>
      <c r="J672" t="n">
        <v>0</v>
      </c>
      <c r="K672" t="n">
        <v>0</v>
      </c>
      <c r="L672" t="n">
        <v>0</v>
      </c>
      <c r="M672" t="n">
        <v>0</v>
      </c>
      <c r="N672" t="n">
        <v>0</v>
      </c>
      <c r="O672" t="n">
        <v>0</v>
      </c>
      <c r="P672" t="n">
        <v>0</v>
      </c>
      <c r="Q672" t="n">
        <v>0</v>
      </c>
      <c r="R672" s="2" t="inlineStr"/>
    </row>
    <row r="673" ht="15" customHeight="1">
      <c r="A673" t="inlineStr">
        <is>
          <t>A 8916-2023</t>
        </is>
      </c>
      <c r="B673" s="1" t="n">
        <v>44972</v>
      </c>
      <c r="C673" s="1" t="n">
        <v>46033</v>
      </c>
      <c r="D673" t="inlineStr">
        <is>
          <t>VÄSTERBOTTENS LÄN</t>
        </is>
      </c>
      <c r="E673" t="inlineStr">
        <is>
          <t>VILHELMINA</t>
        </is>
      </c>
      <c r="F673" t="inlineStr">
        <is>
          <t>Allmännings- och besparingsskogar</t>
        </is>
      </c>
      <c r="G673" t="n">
        <v>22.1</v>
      </c>
      <c r="H673" t="n">
        <v>0</v>
      </c>
      <c r="I673" t="n">
        <v>0</v>
      </c>
      <c r="J673" t="n">
        <v>0</v>
      </c>
      <c r="K673" t="n">
        <v>0</v>
      </c>
      <c r="L673" t="n">
        <v>0</v>
      </c>
      <c r="M673" t="n">
        <v>0</v>
      </c>
      <c r="N673" t="n">
        <v>0</v>
      </c>
      <c r="O673" t="n">
        <v>0</v>
      </c>
      <c r="P673" t="n">
        <v>0</v>
      </c>
      <c r="Q673" t="n">
        <v>0</v>
      </c>
      <c r="R673" s="2" t="inlineStr"/>
    </row>
    <row r="674" ht="15" customHeight="1">
      <c r="A674" t="inlineStr">
        <is>
          <t>A 15805-2025</t>
        </is>
      </c>
      <c r="B674" s="1" t="n">
        <v>45748</v>
      </c>
      <c r="C674" s="1" t="n">
        <v>46033</v>
      </c>
      <c r="D674" t="inlineStr">
        <is>
          <t>VÄSTERBOTTENS LÄN</t>
        </is>
      </c>
      <c r="E674" t="inlineStr">
        <is>
          <t>VILHELMINA</t>
        </is>
      </c>
      <c r="G674" t="n">
        <v>1.4</v>
      </c>
      <c r="H674" t="n">
        <v>0</v>
      </c>
      <c r="I674" t="n">
        <v>0</v>
      </c>
      <c r="J674" t="n">
        <v>0</v>
      </c>
      <c r="K674" t="n">
        <v>0</v>
      </c>
      <c r="L674" t="n">
        <v>0</v>
      </c>
      <c r="M674" t="n">
        <v>0</v>
      </c>
      <c r="N674" t="n">
        <v>0</v>
      </c>
      <c r="O674" t="n">
        <v>0</v>
      </c>
      <c r="P674" t="n">
        <v>0</v>
      </c>
      <c r="Q674" t="n">
        <v>0</v>
      </c>
      <c r="R674" s="2" t="inlineStr"/>
    </row>
    <row r="675" ht="15" customHeight="1">
      <c r="A675" t="inlineStr">
        <is>
          <t>A 51947-2025</t>
        </is>
      </c>
      <c r="B675" s="1" t="n">
        <v>45952</v>
      </c>
      <c r="C675" s="1" t="n">
        <v>46033</v>
      </c>
      <c r="D675" t="inlineStr">
        <is>
          <t>VÄSTERBOTTENS LÄN</t>
        </is>
      </c>
      <c r="E675" t="inlineStr">
        <is>
          <t>VILHELMINA</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55634-2025</t>
        </is>
      </c>
      <c r="B676" s="1" t="n">
        <v>45972.34466435185</v>
      </c>
      <c r="C676" s="1" t="n">
        <v>46033</v>
      </c>
      <c r="D676" t="inlineStr">
        <is>
          <t>VÄSTERBOTTENS LÄN</t>
        </is>
      </c>
      <c r="E676" t="inlineStr">
        <is>
          <t>VILHELMINA</t>
        </is>
      </c>
      <c r="F676" t="inlineStr">
        <is>
          <t>SCA</t>
        </is>
      </c>
      <c r="G676" t="n">
        <v>7.2</v>
      </c>
      <c r="H676" t="n">
        <v>0</v>
      </c>
      <c r="I676" t="n">
        <v>0</v>
      </c>
      <c r="J676" t="n">
        <v>0</v>
      </c>
      <c r="K676" t="n">
        <v>0</v>
      </c>
      <c r="L676" t="n">
        <v>0</v>
      </c>
      <c r="M676" t="n">
        <v>0</v>
      </c>
      <c r="N676" t="n">
        <v>0</v>
      </c>
      <c r="O676" t="n">
        <v>0</v>
      </c>
      <c r="P676" t="n">
        <v>0</v>
      </c>
      <c r="Q676" t="n">
        <v>0</v>
      </c>
      <c r="R676" s="2" t="inlineStr"/>
    </row>
    <row r="677" ht="15" customHeight="1">
      <c r="A677" t="inlineStr">
        <is>
          <t>A 2187-2021</t>
        </is>
      </c>
      <c r="B677" s="1" t="n">
        <v>44211</v>
      </c>
      <c r="C677" s="1" t="n">
        <v>46033</v>
      </c>
      <c r="D677" t="inlineStr">
        <is>
          <t>VÄSTERBOTTENS LÄN</t>
        </is>
      </c>
      <c r="E677" t="inlineStr">
        <is>
          <t>VILHELMINA</t>
        </is>
      </c>
      <c r="F677" t="inlineStr">
        <is>
          <t>Allmännings- och besparingsskogar</t>
        </is>
      </c>
      <c r="G677" t="n">
        <v>21.3</v>
      </c>
      <c r="H677" t="n">
        <v>0</v>
      </c>
      <c r="I677" t="n">
        <v>0</v>
      </c>
      <c r="J677" t="n">
        <v>0</v>
      </c>
      <c r="K677" t="n">
        <v>0</v>
      </c>
      <c r="L677" t="n">
        <v>0</v>
      </c>
      <c r="M677" t="n">
        <v>0</v>
      </c>
      <c r="N677" t="n">
        <v>0</v>
      </c>
      <c r="O677" t="n">
        <v>0</v>
      </c>
      <c r="P677" t="n">
        <v>0</v>
      </c>
      <c r="Q677" t="n">
        <v>0</v>
      </c>
      <c r="R677" s="2" t="inlineStr"/>
    </row>
    <row r="678" ht="15" customHeight="1">
      <c r="A678" t="inlineStr">
        <is>
          <t>A 44634-2024</t>
        </is>
      </c>
      <c r="B678" s="1" t="n">
        <v>45574</v>
      </c>
      <c r="C678" s="1" t="n">
        <v>46033</v>
      </c>
      <c r="D678" t="inlineStr">
        <is>
          <t>VÄSTERBOTTENS LÄN</t>
        </is>
      </c>
      <c r="E678" t="inlineStr">
        <is>
          <t>VILHELMINA</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61780-2023</t>
        </is>
      </c>
      <c r="B679" s="1" t="n">
        <v>45265.95685185185</v>
      </c>
      <c r="C679" s="1" t="n">
        <v>46033</v>
      </c>
      <c r="D679" t="inlineStr">
        <is>
          <t>VÄSTERBOTTENS LÄN</t>
        </is>
      </c>
      <c r="E679" t="inlineStr">
        <is>
          <t>VILHELMINA</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59693-2024</t>
        </is>
      </c>
      <c r="B680" s="1" t="n">
        <v>45639</v>
      </c>
      <c r="C680" s="1" t="n">
        <v>46033</v>
      </c>
      <c r="D680" t="inlineStr">
        <is>
          <t>VÄSTERBOTTENS LÄN</t>
        </is>
      </c>
      <c r="E680" t="inlineStr">
        <is>
          <t>VILHELMINA</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20324-2025</t>
        </is>
      </c>
      <c r="B681" s="1" t="n">
        <v>45775</v>
      </c>
      <c r="C681" s="1" t="n">
        <v>46033</v>
      </c>
      <c r="D681" t="inlineStr">
        <is>
          <t>VÄSTERBOTTENS LÄN</t>
        </is>
      </c>
      <c r="E681" t="inlineStr">
        <is>
          <t>VILHELMINA</t>
        </is>
      </c>
      <c r="G681" t="n">
        <v>3.5</v>
      </c>
      <c r="H681" t="n">
        <v>0</v>
      </c>
      <c r="I681" t="n">
        <v>0</v>
      </c>
      <c r="J681" t="n">
        <v>0</v>
      </c>
      <c r="K681" t="n">
        <v>0</v>
      </c>
      <c r="L681" t="n">
        <v>0</v>
      </c>
      <c r="M681" t="n">
        <v>0</v>
      </c>
      <c r="N681" t="n">
        <v>0</v>
      </c>
      <c r="O681" t="n">
        <v>0</v>
      </c>
      <c r="P681" t="n">
        <v>0</v>
      </c>
      <c r="Q681" t="n">
        <v>0</v>
      </c>
      <c r="R681" s="2" t="inlineStr"/>
    </row>
    <row r="682" ht="15" customHeight="1">
      <c r="A682" t="inlineStr">
        <is>
          <t>A 56627-2024</t>
        </is>
      </c>
      <c r="B682" s="1" t="n">
        <v>45625</v>
      </c>
      <c r="C682" s="1" t="n">
        <v>46033</v>
      </c>
      <c r="D682" t="inlineStr">
        <is>
          <t>VÄSTERBOTTENS LÄN</t>
        </is>
      </c>
      <c r="E682" t="inlineStr">
        <is>
          <t>VILHELMINA</t>
        </is>
      </c>
      <c r="F682" t="inlineStr">
        <is>
          <t>Allmännings- och besparingsskogar</t>
        </is>
      </c>
      <c r="G682" t="n">
        <v>21.5</v>
      </c>
      <c r="H682" t="n">
        <v>0</v>
      </c>
      <c r="I682" t="n">
        <v>0</v>
      </c>
      <c r="J682" t="n">
        <v>0</v>
      </c>
      <c r="K682" t="n">
        <v>0</v>
      </c>
      <c r="L682" t="n">
        <v>0</v>
      </c>
      <c r="M682" t="n">
        <v>0</v>
      </c>
      <c r="N682" t="n">
        <v>0</v>
      </c>
      <c r="O682" t="n">
        <v>0</v>
      </c>
      <c r="P682" t="n">
        <v>0</v>
      </c>
      <c r="Q682" t="n">
        <v>0</v>
      </c>
      <c r="R682" s="2" t="inlineStr"/>
    </row>
    <row r="683" ht="15" customHeight="1">
      <c r="A683" t="inlineStr">
        <is>
          <t>A 38555-2024</t>
        </is>
      </c>
      <c r="B683" s="1" t="n">
        <v>45546</v>
      </c>
      <c r="C683" s="1" t="n">
        <v>46033</v>
      </c>
      <c r="D683" t="inlineStr">
        <is>
          <t>VÄSTERBOTTENS LÄN</t>
        </is>
      </c>
      <c r="E683" t="inlineStr">
        <is>
          <t>VILHELMINA</t>
        </is>
      </c>
      <c r="G683" t="n">
        <v>7.8</v>
      </c>
      <c r="H683" t="n">
        <v>0</v>
      </c>
      <c r="I683" t="n">
        <v>0</v>
      </c>
      <c r="J683" t="n">
        <v>0</v>
      </c>
      <c r="K683" t="n">
        <v>0</v>
      </c>
      <c r="L683" t="n">
        <v>0</v>
      </c>
      <c r="M683" t="n">
        <v>0</v>
      </c>
      <c r="N683" t="n">
        <v>0</v>
      </c>
      <c r="O683" t="n">
        <v>0</v>
      </c>
      <c r="P683" t="n">
        <v>0</v>
      </c>
      <c r="Q683" t="n">
        <v>0</v>
      </c>
      <c r="R683" s="2" t="inlineStr"/>
    </row>
    <row r="684" ht="15" customHeight="1">
      <c r="A684" t="inlineStr">
        <is>
          <t>A 56754-2023</t>
        </is>
      </c>
      <c r="B684" s="1" t="n">
        <v>45238</v>
      </c>
      <c r="C684" s="1" t="n">
        <v>46033</v>
      </c>
      <c r="D684" t="inlineStr">
        <is>
          <t>VÄSTERBOTTENS LÄN</t>
        </is>
      </c>
      <c r="E684" t="inlineStr">
        <is>
          <t>VILHELMINA</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60151-2024</t>
        </is>
      </c>
      <c r="B685" s="1" t="n">
        <v>45642.61490740741</v>
      </c>
      <c r="C685" s="1" t="n">
        <v>46033</v>
      </c>
      <c r="D685" t="inlineStr">
        <is>
          <t>VÄSTERBOTTENS LÄN</t>
        </is>
      </c>
      <c r="E685" t="inlineStr">
        <is>
          <t>VILHELMINA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26553-2023</t>
        </is>
      </c>
      <c r="B686" s="1" t="n">
        <v>45089</v>
      </c>
      <c r="C686" s="1" t="n">
        <v>46033</v>
      </c>
      <c r="D686" t="inlineStr">
        <is>
          <t>VÄSTERBOTTENS LÄN</t>
        </is>
      </c>
      <c r="E686" t="inlineStr">
        <is>
          <t>VILHELMINA</t>
        </is>
      </c>
      <c r="G686" t="n">
        <v>5.5</v>
      </c>
      <c r="H686" t="n">
        <v>0</v>
      </c>
      <c r="I686" t="n">
        <v>0</v>
      </c>
      <c r="J686" t="n">
        <v>0</v>
      </c>
      <c r="K686" t="n">
        <v>0</v>
      </c>
      <c r="L686" t="n">
        <v>0</v>
      </c>
      <c r="M686" t="n">
        <v>0</v>
      </c>
      <c r="N686" t="n">
        <v>0</v>
      </c>
      <c r="O686" t="n">
        <v>0</v>
      </c>
      <c r="P686" t="n">
        <v>0</v>
      </c>
      <c r="Q686" t="n">
        <v>0</v>
      </c>
      <c r="R686" s="2" t="inlineStr"/>
    </row>
    <row r="687" ht="15" customHeight="1">
      <c r="A687" t="inlineStr">
        <is>
          <t>A 30572-2024</t>
        </is>
      </c>
      <c r="B687" s="1" t="n">
        <v>45492.95777777778</v>
      </c>
      <c r="C687" s="1" t="n">
        <v>46033</v>
      </c>
      <c r="D687" t="inlineStr">
        <is>
          <t>VÄSTERBOTTENS LÄN</t>
        </is>
      </c>
      <c r="E687" t="inlineStr">
        <is>
          <t>VILHELMINA</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15062-2024</t>
        </is>
      </c>
      <c r="B688" s="1" t="n">
        <v>45399</v>
      </c>
      <c r="C688" s="1" t="n">
        <v>46033</v>
      </c>
      <c r="D688" t="inlineStr">
        <is>
          <t>VÄSTERBOTTENS LÄN</t>
        </is>
      </c>
      <c r="E688" t="inlineStr">
        <is>
          <t>VILHELMINA</t>
        </is>
      </c>
      <c r="G688" t="n">
        <v>1.7</v>
      </c>
      <c r="H688" t="n">
        <v>0</v>
      </c>
      <c r="I688" t="n">
        <v>0</v>
      </c>
      <c r="J688" t="n">
        <v>0</v>
      </c>
      <c r="K688" t="n">
        <v>0</v>
      </c>
      <c r="L688" t="n">
        <v>0</v>
      </c>
      <c r="M688" t="n">
        <v>0</v>
      </c>
      <c r="N688" t="n">
        <v>0</v>
      </c>
      <c r="O688" t="n">
        <v>0</v>
      </c>
      <c r="P688" t="n">
        <v>0</v>
      </c>
      <c r="Q688" t="n">
        <v>0</v>
      </c>
      <c r="R688" s="2" t="inlineStr"/>
    </row>
    <row r="689" ht="15" customHeight="1">
      <c r="A689" t="inlineStr">
        <is>
          <t>A 15066-2024</t>
        </is>
      </c>
      <c r="B689" s="1" t="n">
        <v>45399</v>
      </c>
      <c r="C689" s="1" t="n">
        <v>46033</v>
      </c>
      <c r="D689" t="inlineStr">
        <is>
          <t>VÄSTERBOTTENS LÄN</t>
        </is>
      </c>
      <c r="E689" t="inlineStr">
        <is>
          <t>VILHELMINA</t>
        </is>
      </c>
      <c r="G689" t="n">
        <v>4.6</v>
      </c>
      <c r="H689" t="n">
        <v>0</v>
      </c>
      <c r="I689" t="n">
        <v>0</v>
      </c>
      <c r="J689" t="n">
        <v>0</v>
      </c>
      <c r="K689" t="n">
        <v>0</v>
      </c>
      <c r="L689" t="n">
        <v>0</v>
      </c>
      <c r="M689" t="n">
        <v>0</v>
      </c>
      <c r="N689" t="n">
        <v>0</v>
      </c>
      <c r="O689" t="n">
        <v>0</v>
      </c>
      <c r="P689" t="n">
        <v>0</v>
      </c>
      <c r="Q689" t="n">
        <v>0</v>
      </c>
      <c r="R689" s="2" t="inlineStr"/>
    </row>
    <row r="690" ht="15" customHeight="1">
      <c r="A690" t="inlineStr">
        <is>
          <t>A 57207-2025</t>
        </is>
      </c>
      <c r="B690" s="1" t="n">
        <v>45979.59443287037</v>
      </c>
      <c r="C690" s="1" t="n">
        <v>46033</v>
      </c>
      <c r="D690" t="inlineStr">
        <is>
          <t>VÄSTERBOTTENS LÄN</t>
        </is>
      </c>
      <c r="E690" t="inlineStr">
        <is>
          <t>VILHELMINA</t>
        </is>
      </c>
      <c r="G690" t="n">
        <v>2.3</v>
      </c>
      <c r="H690" t="n">
        <v>0</v>
      </c>
      <c r="I690" t="n">
        <v>0</v>
      </c>
      <c r="J690" t="n">
        <v>0</v>
      </c>
      <c r="K690" t="n">
        <v>0</v>
      </c>
      <c r="L690" t="n">
        <v>0</v>
      </c>
      <c r="M690" t="n">
        <v>0</v>
      </c>
      <c r="N690" t="n">
        <v>0</v>
      </c>
      <c r="O690" t="n">
        <v>0</v>
      </c>
      <c r="P690" t="n">
        <v>0</v>
      </c>
      <c r="Q690" t="n">
        <v>0</v>
      </c>
      <c r="R690" s="2" t="inlineStr"/>
    </row>
    <row r="691" ht="15" customHeight="1">
      <c r="A691" t="inlineStr">
        <is>
          <t>A 9197-2023</t>
        </is>
      </c>
      <c r="B691" s="1" t="n">
        <v>44977</v>
      </c>
      <c r="C691" s="1" t="n">
        <v>46033</v>
      </c>
      <c r="D691" t="inlineStr">
        <is>
          <t>VÄSTERBOTTENS LÄN</t>
        </is>
      </c>
      <c r="E691" t="inlineStr">
        <is>
          <t>VILHELMINA</t>
        </is>
      </c>
      <c r="G691" t="n">
        <v>8.9</v>
      </c>
      <c r="H691" t="n">
        <v>0</v>
      </c>
      <c r="I691" t="n">
        <v>0</v>
      </c>
      <c r="J691" t="n">
        <v>0</v>
      </c>
      <c r="K691" t="n">
        <v>0</v>
      </c>
      <c r="L691" t="n">
        <v>0</v>
      </c>
      <c r="M691" t="n">
        <v>0</v>
      </c>
      <c r="N691" t="n">
        <v>0</v>
      </c>
      <c r="O691" t="n">
        <v>0</v>
      </c>
      <c r="P691" t="n">
        <v>0</v>
      </c>
      <c r="Q691" t="n">
        <v>0</v>
      </c>
      <c r="R691" s="2" t="inlineStr"/>
    </row>
    <row r="692" ht="15" customHeight="1">
      <c r="A692" t="inlineStr">
        <is>
          <t>A 57565-2025</t>
        </is>
      </c>
      <c r="B692" s="1" t="n">
        <v>45980.71736111111</v>
      </c>
      <c r="C692" s="1" t="n">
        <v>46033</v>
      </c>
      <c r="D692" t="inlineStr">
        <is>
          <t>VÄSTERBOTTENS LÄN</t>
        </is>
      </c>
      <c r="E692" t="inlineStr">
        <is>
          <t>VILHELMINA</t>
        </is>
      </c>
      <c r="G692" t="n">
        <v>22.9</v>
      </c>
      <c r="H692" t="n">
        <v>0</v>
      </c>
      <c r="I692" t="n">
        <v>0</v>
      </c>
      <c r="J692" t="n">
        <v>0</v>
      </c>
      <c r="K692" t="n">
        <v>0</v>
      </c>
      <c r="L692" t="n">
        <v>0</v>
      </c>
      <c r="M692" t="n">
        <v>0</v>
      </c>
      <c r="N692" t="n">
        <v>0</v>
      </c>
      <c r="O692" t="n">
        <v>0</v>
      </c>
      <c r="P692" t="n">
        <v>0</v>
      </c>
      <c r="Q692" t="n">
        <v>0</v>
      </c>
      <c r="R692" s="2" t="inlineStr"/>
    </row>
    <row r="693" ht="15" customHeight="1">
      <c r="A693" t="inlineStr">
        <is>
          <t>A 57812-2025</t>
        </is>
      </c>
      <c r="B693" s="1" t="n">
        <v>45981</v>
      </c>
      <c r="C693" s="1" t="n">
        <v>46033</v>
      </c>
      <c r="D693" t="inlineStr">
        <is>
          <t>VÄSTERBOTTENS LÄN</t>
        </is>
      </c>
      <c r="E693" t="inlineStr">
        <is>
          <t>VILHELMINA</t>
        </is>
      </c>
      <c r="G693" t="n">
        <v>5.9</v>
      </c>
      <c r="H693" t="n">
        <v>0</v>
      </c>
      <c r="I693" t="n">
        <v>0</v>
      </c>
      <c r="J693" t="n">
        <v>0</v>
      </c>
      <c r="K693" t="n">
        <v>0</v>
      </c>
      <c r="L693" t="n">
        <v>0</v>
      </c>
      <c r="M693" t="n">
        <v>0</v>
      </c>
      <c r="N693" t="n">
        <v>0</v>
      </c>
      <c r="O693" t="n">
        <v>0</v>
      </c>
      <c r="P693" t="n">
        <v>0</v>
      </c>
      <c r="Q693" t="n">
        <v>0</v>
      </c>
      <c r="R693" s="2" t="inlineStr"/>
    </row>
    <row r="694" ht="15" customHeight="1">
      <c r="A694" t="inlineStr">
        <is>
          <t>A 57792-2025</t>
        </is>
      </c>
      <c r="B694" s="1" t="n">
        <v>45981.57957175926</v>
      </c>
      <c r="C694" s="1" t="n">
        <v>46033</v>
      </c>
      <c r="D694" t="inlineStr">
        <is>
          <t>VÄSTERBOTTENS LÄN</t>
        </is>
      </c>
      <c r="E694" t="inlineStr">
        <is>
          <t>VILHELMINA</t>
        </is>
      </c>
      <c r="G694" t="n">
        <v>1.3</v>
      </c>
      <c r="H694" t="n">
        <v>0</v>
      </c>
      <c r="I694" t="n">
        <v>0</v>
      </c>
      <c r="J694" t="n">
        <v>0</v>
      </c>
      <c r="K694" t="n">
        <v>0</v>
      </c>
      <c r="L694" t="n">
        <v>0</v>
      </c>
      <c r="M694" t="n">
        <v>0</v>
      </c>
      <c r="N694" t="n">
        <v>0</v>
      </c>
      <c r="O694" t="n">
        <v>0</v>
      </c>
      <c r="P694" t="n">
        <v>0</v>
      </c>
      <c r="Q694" t="n">
        <v>0</v>
      </c>
      <c r="R694" s="2" t="inlineStr"/>
    </row>
    <row r="695" ht="15" customHeight="1">
      <c r="A695" t="inlineStr">
        <is>
          <t>A 17732-2024</t>
        </is>
      </c>
      <c r="B695" s="1" t="n">
        <v>45415</v>
      </c>
      <c r="C695" s="1" t="n">
        <v>46033</v>
      </c>
      <c r="D695" t="inlineStr">
        <is>
          <t>VÄSTERBOTTENS LÄN</t>
        </is>
      </c>
      <c r="E695" t="inlineStr">
        <is>
          <t>VILHELMINA</t>
        </is>
      </c>
      <c r="G695" t="n">
        <v>0.6</v>
      </c>
      <c r="H695" t="n">
        <v>0</v>
      </c>
      <c r="I695" t="n">
        <v>0</v>
      </c>
      <c r="J695" t="n">
        <v>0</v>
      </c>
      <c r="K695" t="n">
        <v>0</v>
      </c>
      <c r="L695" t="n">
        <v>0</v>
      </c>
      <c r="M695" t="n">
        <v>0</v>
      </c>
      <c r="N695" t="n">
        <v>0</v>
      </c>
      <c r="O695" t="n">
        <v>0</v>
      </c>
      <c r="P695" t="n">
        <v>0</v>
      </c>
      <c r="Q695" t="n">
        <v>0</v>
      </c>
      <c r="R695" s="2" t="inlineStr"/>
    </row>
    <row r="696" ht="15" customHeight="1">
      <c r="A696" t="inlineStr">
        <is>
          <t>A 19464-2025</t>
        </is>
      </c>
      <c r="B696" s="1" t="n">
        <v>45770</v>
      </c>
      <c r="C696" s="1" t="n">
        <v>46033</v>
      </c>
      <c r="D696" t="inlineStr">
        <is>
          <t>VÄSTERBOTTENS LÄN</t>
        </is>
      </c>
      <c r="E696" t="inlineStr">
        <is>
          <t>VILHELMINA</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54931-2023</t>
        </is>
      </c>
      <c r="B697" s="1" t="n">
        <v>45229</v>
      </c>
      <c r="C697" s="1" t="n">
        <v>46033</v>
      </c>
      <c r="D697" t="inlineStr">
        <is>
          <t>VÄSTERBOTTENS LÄN</t>
        </is>
      </c>
      <c r="E697" t="inlineStr">
        <is>
          <t>VILHELMINA</t>
        </is>
      </c>
      <c r="G697" t="n">
        <v>14.5</v>
      </c>
      <c r="H697" t="n">
        <v>0</v>
      </c>
      <c r="I697" t="n">
        <v>0</v>
      </c>
      <c r="J697" t="n">
        <v>0</v>
      </c>
      <c r="K697" t="n">
        <v>0</v>
      </c>
      <c r="L697" t="n">
        <v>0</v>
      </c>
      <c r="M697" t="n">
        <v>0</v>
      </c>
      <c r="N697" t="n">
        <v>0</v>
      </c>
      <c r="O697" t="n">
        <v>0</v>
      </c>
      <c r="P697" t="n">
        <v>0</v>
      </c>
      <c r="Q697" t="n">
        <v>0</v>
      </c>
      <c r="R697" s="2" t="inlineStr"/>
    </row>
    <row r="698" ht="15" customHeight="1">
      <c r="A698" t="inlineStr">
        <is>
          <t>A 65179-2021</t>
        </is>
      </c>
      <c r="B698" s="1" t="n">
        <v>44515</v>
      </c>
      <c r="C698" s="1" t="n">
        <v>46033</v>
      </c>
      <c r="D698" t="inlineStr">
        <is>
          <t>VÄSTERBOTTENS LÄN</t>
        </is>
      </c>
      <c r="E698" t="inlineStr">
        <is>
          <t>VILHELMINA</t>
        </is>
      </c>
      <c r="G698" t="n">
        <v>8</v>
      </c>
      <c r="H698" t="n">
        <v>0</v>
      </c>
      <c r="I698" t="n">
        <v>0</v>
      </c>
      <c r="J698" t="n">
        <v>0</v>
      </c>
      <c r="K698" t="n">
        <v>0</v>
      </c>
      <c r="L698" t="n">
        <v>0</v>
      </c>
      <c r="M698" t="n">
        <v>0</v>
      </c>
      <c r="N698" t="n">
        <v>0</v>
      </c>
      <c r="O698" t="n">
        <v>0</v>
      </c>
      <c r="P698" t="n">
        <v>0</v>
      </c>
      <c r="Q698" t="n">
        <v>0</v>
      </c>
      <c r="R698" s="2" t="inlineStr"/>
    </row>
    <row r="699" ht="15" customHeight="1">
      <c r="A699" t="inlineStr">
        <is>
          <t>A 8585-2025</t>
        </is>
      </c>
      <c r="B699" s="1" t="n">
        <v>45709</v>
      </c>
      <c r="C699" s="1" t="n">
        <v>46033</v>
      </c>
      <c r="D699" t="inlineStr">
        <is>
          <t>VÄSTERBOTTENS LÄN</t>
        </is>
      </c>
      <c r="E699" t="inlineStr">
        <is>
          <t>VILHELMINA</t>
        </is>
      </c>
      <c r="G699" t="n">
        <v>3.4</v>
      </c>
      <c r="H699" t="n">
        <v>0</v>
      </c>
      <c r="I699" t="n">
        <v>0</v>
      </c>
      <c r="J699" t="n">
        <v>0</v>
      </c>
      <c r="K699" t="n">
        <v>0</v>
      </c>
      <c r="L699" t="n">
        <v>0</v>
      </c>
      <c r="M699" t="n">
        <v>0</v>
      </c>
      <c r="N699" t="n">
        <v>0</v>
      </c>
      <c r="O699" t="n">
        <v>0</v>
      </c>
      <c r="P699" t="n">
        <v>0</v>
      </c>
      <c r="Q699" t="n">
        <v>0</v>
      </c>
      <c r="R699" s="2" t="inlineStr"/>
    </row>
    <row r="700" ht="15" customHeight="1">
      <c r="A700" t="inlineStr">
        <is>
          <t>A 58420-2025</t>
        </is>
      </c>
      <c r="B700" s="1" t="n">
        <v>45985.58819444444</v>
      </c>
      <c r="C700" s="1" t="n">
        <v>46033</v>
      </c>
      <c r="D700" t="inlineStr">
        <is>
          <t>VÄSTERBOTTENS LÄN</t>
        </is>
      </c>
      <c r="E700" t="inlineStr">
        <is>
          <t>VILHELMINA</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58471-2025</t>
        </is>
      </c>
      <c r="B701" s="1" t="n">
        <v>45985</v>
      </c>
      <c r="C701" s="1" t="n">
        <v>46033</v>
      </c>
      <c r="D701" t="inlineStr">
        <is>
          <t>VÄSTERBOTTENS LÄN</t>
        </is>
      </c>
      <c r="E701" t="inlineStr">
        <is>
          <t>VILHELMINA</t>
        </is>
      </c>
      <c r="G701" t="n">
        <v>4.5</v>
      </c>
      <c r="H701" t="n">
        <v>0</v>
      </c>
      <c r="I701" t="n">
        <v>0</v>
      </c>
      <c r="J701" t="n">
        <v>0</v>
      </c>
      <c r="K701" t="n">
        <v>0</v>
      </c>
      <c r="L701" t="n">
        <v>0</v>
      </c>
      <c r="M701" t="n">
        <v>0</v>
      </c>
      <c r="N701" t="n">
        <v>0</v>
      </c>
      <c r="O701" t="n">
        <v>0</v>
      </c>
      <c r="P701" t="n">
        <v>0</v>
      </c>
      <c r="Q701" t="n">
        <v>0</v>
      </c>
      <c r="R701" s="2" t="inlineStr"/>
    </row>
    <row r="702" ht="15" customHeight="1">
      <c r="A702" t="inlineStr">
        <is>
          <t>A 58074-2025</t>
        </is>
      </c>
      <c r="B702" s="1" t="n">
        <v>45982.55253472222</v>
      </c>
      <c r="C702" s="1" t="n">
        <v>46033</v>
      </c>
      <c r="D702" t="inlineStr">
        <is>
          <t>VÄSTERBOTTENS LÄN</t>
        </is>
      </c>
      <c r="E702" t="inlineStr">
        <is>
          <t>VILHELMINA</t>
        </is>
      </c>
      <c r="F702" t="inlineStr">
        <is>
          <t>SCA</t>
        </is>
      </c>
      <c r="G702" t="n">
        <v>12.4</v>
      </c>
      <c r="H702" t="n">
        <v>0</v>
      </c>
      <c r="I702" t="n">
        <v>0</v>
      </c>
      <c r="J702" t="n">
        <v>0</v>
      </c>
      <c r="K702" t="n">
        <v>0</v>
      </c>
      <c r="L702" t="n">
        <v>0</v>
      </c>
      <c r="M702" t="n">
        <v>0</v>
      </c>
      <c r="N702" t="n">
        <v>0</v>
      </c>
      <c r="O702" t="n">
        <v>0</v>
      </c>
      <c r="P702" t="n">
        <v>0</v>
      </c>
      <c r="Q702" t="n">
        <v>0</v>
      </c>
      <c r="R702" s="2" t="inlineStr"/>
    </row>
    <row r="703" ht="15" customHeight="1">
      <c r="A703" t="inlineStr">
        <is>
          <t>A 36909-2024</t>
        </is>
      </c>
      <c r="B703" s="1" t="n">
        <v>45538.63577546296</v>
      </c>
      <c r="C703" s="1" t="n">
        <v>46033</v>
      </c>
      <c r="D703" t="inlineStr">
        <is>
          <t>VÄSTERBOTTENS LÄN</t>
        </is>
      </c>
      <c r="E703" t="inlineStr">
        <is>
          <t>VILHELMINA</t>
        </is>
      </c>
      <c r="F703" t="inlineStr">
        <is>
          <t>SCA</t>
        </is>
      </c>
      <c r="G703" t="n">
        <v>16.8</v>
      </c>
      <c r="H703" t="n">
        <v>0</v>
      </c>
      <c r="I703" t="n">
        <v>0</v>
      </c>
      <c r="J703" t="n">
        <v>0</v>
      </c>
      <c r="K703" t="n">
        <v>0</v>
      </c>
      <c r="L703" t="n">
        <v>0</v>
      </c>
      <c r="M703" t="n">
        <v>0</v>
      </c>
      <c r="N703" t="n">
        <v>0</v>
      </c>
      <c r="O703" t="n">
        <v>0</v>
      </c>
      <c r="P703" t="n">
        <v>0</v>
      </c>
      <c r="Q703" t="n">
        <v>0</v>
      </c>
      <c r="R703" s="2" t="inlineStr"/>
    </row>
    <row r="704" ht="15" customHeight="1">
      <c r="A704" t="inlineStr">
        <is>
          <t>A 58300-2025</t>
        </is>
      </c>
      <c r="B704" s="1" t="n">
        <v>45985</v>
      </c>
      <c r="C704" s="1" t="n">
        <v>46033</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61777-2023</t>
        </is>
      </c>
      <c r="B705" s="1" t="n">
        <v>45265</v>
      </c>
      <c r="C705" s="1" t="n">
        <v>46033</v>
      </c>
      <c r="D705" t="inlineStr">
        <is>
          <t>VÄSTERBOTTENS LÄN</t>
        </is>
      </c>
      <c r="E705" t="inlineStr">
        <is>
          <t>VILHELMINA</t>
        </is>
      </c>
      <c r="F705" t="inlineStr">
        <is>
          <t>SCA</t>
        </is>
      </c>
      <c r="G705" t="n">
        <v>20.6</v>
      </c>
      <c r="H705" t="n">
        <v>0</v>
      </c>
      <c r="I705" t="n">
        <v>0</v>
      </c>
      <c r="J705" t="n">
        <v>0</v>
      </c>
      <c r="K705" t="n">
        <v>0</v>
      </c>
      <c r="L705" t="n">
        <v>0</v>
      </c>
      <c r="M705" t="n">
        <v>0</v>
      </c>
      <c r="N705" t="n">
        <v>0</v>
      </c>
      <c r="O705" t="n">
        <v>0</v>
      </c>
      <c r="P705" t="n">
        <v>0</v>
      </c>
      <c r="Q705" t="n">
        <v>0</v>
      </c>
      <c r="R705" s="2" t="inlineStr"/>
    </row>
    <row r="706" ht="15" customHeight="1">
      <c r="A706" t="inlineStr">
        <is>
          <t>A 23176-2024</t>
        </is>
      </c>
      <c r="B706" s="1" t="n">
        <v>45450.94366898148</v>
      </c>
      <c r="C706" s="1" t="n">
        <v>46033</v>
      </c>
      <c r="D706" t="inlineStr">
        <is>
          <t>VÄSTERBOTTENS LÄN</t>
        </is>
      </c>
      <c r="E706" t="inlineStr">
        <is>
          <t>VILHELMINA</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60376-2024</t>
        </is>
      </c>
      <c r="B707" s="1" t="n">
        <v>45643</v>
      </c>
      <c r="C707" s="1" t="n">
        <v>46033</v>
      </c>
      <c r="D707" t="inlineStr">
        <is>
          <t>VÄSTERBOTTENS LÄN</t>
        </is>
      </c>
      <c r="E707" t="inlineStr">
        <is>
          <t>VILHELMINA</t>
        </is>
      </c>
      <c r="F707" t="inlineStr">
        <is>
          <t>SCA</t>
        </is>
      </c>
      <c r="G707" t="n">
        <v>11.5</v>
      </c>
      <c r="H707" t="n">
        <v>0</v>
      </c>
      <c r="I707" t="n">
        <v>0</v>
      </c>
      <c r="J707" t="n">
        <v>0</v>
      </c>
      <c r="K707" t="n">
        <v>0</v>
      </c>
      <c r="L707" t="n">
        <v>0</v>
      </c>
      <c r="M707" t="n">
        <v>0</v>
      </c>
      <c r="N707" t="n">
        <v>0</v>
      </c>
      <c r="O707" t="n">
        <v>0</v>
      </c>
      <c r="P707" t="n">
        <v>0</v>
      </c>
      <c r="Q707" t="n">
        <v>0</v>
      </c>
      <c r="R707" s="2" t="inlineStr"/>
    </row>
    <row r="708" ht="15" customHeight="1">
      <c r="A708" t="inlineStr">
        <is>
          <t>A 11544-2023</t>
        </is>
      </c>
      <c r="B708" s="1" t="n">
        <v>44993.94818287037</v>
      </c>
      <c r="C708" s="1" t="n">
        <v>46033</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35006-2023</t>
        </is>
      </c>
      <c r="B709" s="1" t="n">
        <v>45142.95103009259</v>
      </c>
      <c r="C709" s="1" t="n">
        <v>46033</v>
      </c>
      <c r="D709" t="inlineStr">
        <is>
          <t>VÄSTERBOTTENS LÄN</t>
        </is>
      </c>
      <c r="E709" t="inlineStr">
        <is>
          <t>VILHELMINA</t>
        </is>
      </c>
      <c r="F709" t="inlineStr">
        <is>
          <t>SCA</t>
        </is>
      </c>
      <c r="G709" t="n">
        <v>11.6</v>
      </c>
      <c r="H709" t="n">
        <v>0</v>
      </c>
      <c r="I709" t="n">
        <v>0</v>
      </c>
      <c r="J709" t="n">
        <v>0</v>
      </c>
      <c r="K709" t="n">
        <v>0</v>
      </c>
      <c r="L709" t="n">
        <v>0</v>
      </c>
      <c r="M709" t="n">
        <v>0</v>
      </c>
      <c r="N709" t="n">
        <v>0</v>
      </c>
      <c r="O709" t="n">
        <v>0</v>
      </c>
      <c r="P709" t="n">
        <v>0</v>
      </c>
      <c r="Q709" t="n">
        <v>0</v>
      </c>
      <c r="R709" s="2" t="inlineStr"/>
    </row>
    <row r="710" ht="15" customHeight="1">
      <c r="A710" t="inlineStr">
        <is>
          <t>A 20524-2024</t>
        </is>
      </c>
      <c r="B710" s="1" t="n">
        <v>45435.94567129629</v>
      </c>
      <c r="C710" s="1" t="n">
        <v>46033</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50489-2023</t>
        </is>
      </c>
      <c r="B711" s="1" t="n">
        <v>45216.95556712963</v>
      </c>
      <c r="C711" s="1" t="n">
        <v>46033</v>
      </c>
      <c r="D711" t="inlineStr">
        <is>
          <t>VÄSTERBOTTENS LÄN</t>
        </is>
      </c>
      <c r="E711" t="inlineStr">
        <is>
          <t>VILHELMINA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61911-2025</t>
        </is>
      </c>
      <c r="B712" s="1" t="n">
        <v>46003</v>
      </c>
      <c r="C712" s="1" t="n">
        <v>46033</v>
      </c>
      <c r="D712" t="inlineStr">
        <is>
          <t>VÄSTERBOTTENS LÄN</t>
        </is>
      </c>
      <c r="E712" t="inlineStr">
        <is>
          <t>VILHELMINA</t>
        </is>
      </c>
      <c r="G712" t="n">
        <v>23.1</v>
      </c>
      <c r="H712" t="n">
        <v>0</v>
      </c>
      <c r="I712" t="n">
        <v>0</v>
      </c>
      <c r="J712" t="n">
        <v>0</v>
      </c>
      <c r="K712" t="n">
        <v>0</v>
      </c>
      <c r="L712" t="n">
        <v>0</v>
      </c>
      <c r="M712" t="n">
        <v>0</v>
      </c>
      <c r="N712" t="n">
        <v>0</v>
      </c>
      <c r="O712" t="n">
        <v>0</v>
      </c>
      <c r="P712" t="n">
        <v>0</v>
      </c>
      <c r="Q712" t="n">
        <v>0</v>
      </c>
      <c r="R712" s="2" t="inlineStr"/>
    </row>
    <row r="713" ht="15" customHeight="1">
      <c r="A713" t="inlineStr">
        <is>
          <t>A 8555-2023</t>
        </is>
      </c>
      <c r="B713" s="1" t="n">
        <v>44972</v>
      </c>
      <c r="C713" s="1" t="n">
        <v>46033</v>
      </c>
      <c r="D713" t="inlineStr">
        <is>
          <t>VÄSTERBOTTENS LÄN</t>
        </is>
      </c>
      <c r="E713" t="inlineStr">
        <is>
          <t>VILHELMINA</t>
        </is>
      </c>
      <c r="F713" t="inlineStr">
        <is>
          <t>Allmännings- och besparingsskogar</t>
        </is>
      </c>
      <c r="G713" t="n">
        <v>39</v>
      </c>
      <c r="H713" t="n">
        <v>0</v>
      </c>
      <c r="I713" t="n">
        <v>0</v>
      </c>
      <c r="J713" t="n">
        <v>0</v>
      </c>
      <c r="K713" t="n">
        <v>0</v>
      </c>
      <c r="L713" t="n">
        <v>0</v>
      </c>
      <c r="M713" t="n">
        <v>0</v>
      </c>
      <c r="N713" t="n">
        <v>0</v>
      </c>
      <c r="O713" t="n">
        <v>0</v>
      </c>
      <c r="P713" t="n">
        <v>0</v>
      </c>
      <c r="Q713" t="n">
        <v>0</v>
      </c>
      <c r="R713" s="2" t="inlineStr"/>
    </row>
    <row r="714" ht="15" customHeight="1">
      <c r="A714" t="inlineStr">
        <is>
          <t>A 38361-2023</t>
        </is>
      </c>
      <c r="B714" s="1" t="n">
        <v>45161.94315972222</v>
      </c>
      <c r="C714" s="1" t="n">
        <v>46033</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9497-2025</t>
        </is>
      </c>
      <c r="B715" s="1" t="n">
        <v>45715.51086805556</v>
      </c>
      <c r="C715" s="1" t="n">
        <v>46033</v>
      </c>
      <c r="D715" t="inlineStr">
        <is>
          <t>VÄSTERBOTTENS LÄN</t>
        </is>
      </c>
      <c r="E715" t="inlineStr">
        <is>
          <t>VILHELMINA</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15176-2022</t>
        </is>
      </c>
      <c r="B716" s="1" t="n">
        <v>44658</v>
      </c>
      <c r="C716" s="1" t="n">
        <v>46033</v>
      </c>
      <c r="D716" t="inlineStr">
        <is>
          <t>VÄSTERBOTTENS LÄN</t>
        </is>
      </c>
      <c r="E716" t="inlineStr">
        <is>
          <t>VILHELMINA</t>
        </is>
      </c>
      <c r="G716" t="n">
        <v>1.6</v>
      </c>
      <c r="H716" t="n">
        <v>0</v>
      </c>
      <c r="I716" t="n">
        <v>0</v>
      </c>
      <c r="J716" t="n">
        <v>0</v>
      </c>
      <c r="K716" t="n">
        <v>0</v>
      </c>
      <c r="L716" t="n">
        <v>0</v>
      </c>
      <c r="M716" t="n">
        <v>0</v>
      </c>
      <c r="N716" t="n">
        <v>0</v>
      </c>
      <c r="O716" t="n">
        <v>0</v>
      </c>
      <c r="P716" t="n">
        <v>0</v>
      </c>
      <c r="Q716" t="n">
        <v>0</v>
      </c>
      <c r="R716" s="2" t="inlineStr"/>
    </row>
    <row r="717" ht="15" customHeight="1">
      <c r="A717" t="inlineStr">
        <is>
          <t>A 58943-2024</t>
        </is>
      </c>
      <c r="B717" s="1" t="n">
        <v>45636.5433449074</v>
      </c>
      <c r="C717" s="1" t="n">
        <v>46033</v>
      </c>
      <c r="D717" t="inlineStr">
        <is>
          <t>VÄSTERBOTTENS LÄN</t>
        </is>
      </c>
      <c r="E717" t="inlineStr">
        <is>
          <t>VILHELMINA</t>
        </is>
      </c>
      <c r="F717" t="inlineStr">
        <is>
          <t>Kommuner</t>
        </is>
      </c>
      <c r="G717" t="n">
        <v>4.1</v>
      </c>
      <c r="H717" t="n">
        <v>0</v>
      </c>
      <c r="I717" t="n">
        <v>0</v>
      </c>
      <c r="J717" t="n">
        <v>0</v>
      </c>
      <c r="K717" t="n">
        <v>0</v>
      </c>
      <c r="L717" t="n">
        <v>0</v>
      </c>
      <c r="M717" t="n">
        <v>0</v>
      </c>
      <c r="N717" t="n">
        <v>0</v>
      </c>
      <c r="O717" t="n">
        <v>0</v>
      </c>
      <c r="P717" t="n">
        <v>0</v>
      </c>
      <c r="Q717" t="n">
        <v>0</v>
      </c>
      <c r="R717" s="2" t="inlineStr"/>
    </row>
    <row r="718" ht="15" customHeight="1">
      <c r="A718" t="inlineStr">
        <is>
          <t>A 59505-2025</t>
        </is>
      </c>
      <c r="B718" s="1" t="n">
        <v>45989</v>
      </c>
      <c r="C718" s="1" t="n">
        <v>46033</v>
      </c>
      <c r="D718" t="inlineStr">
        <is>
          <t>VÄSTERBOTTENS LÄN</t>
        </is>
      </c>
      <c r="E718" t="inlineStr">
        <is>
          <t>VILHELMINA</t>
        </is>
      </c>
      <c r="G718" t="n">
        <v>5.9</v>
      </c>
      <c r="H718" t="n">
        <v>0</v>
      </c>
      <c r="I718" t="n">
        <v>0</v>
      </c>
      <c r="J718" t="n">
        <v>0</v>
      </c>
      <c r="K718" t="n">
        <v>0</v>
      </c>
      <c r="L718" t="n">
        <v>0</v>
      </c>
      <c r="M718" t="n">
        <v>0</v>
      </c>
      <c r="N718" t="n">
        <v>0</v>
      </c>
      <c r="O718" t="n">
        <v>0</v>
      </c>
      <c r="P718" t="n">
        <v>0</v>
      </c>
      <c r="Q718" t="n">
        <v>0</v>
      </c>
      <c r="R718" s="2" t="inlineStr"/>
    </row>
    <row r="719" ht="15" customHeight="1">
      <c r="A719" t="inlineStr">
        <is>
          <t>A 59506-2025</t>
        </is>
      </c>
      <c r="B719" s="1" t="n">
        <v>45989</v>
      </c>
      <c r="C719" s="1" t="n">
        <v>46033</v>
      </c>
      <c r="D719" t="inlineStr">
        <is>
          <t>VÄSTERBOTTENS LÄN</t>
        </is>
      </c>
      <c r="E719" t="inlineStr">
        <is>
          <t>VILHELMINA</t>
        </is>
      </c>
      <c r="G719" t="n">
        <v>4.9</v>
      </c>
      <c r="H719" t="n">
        <v>0</v>
      </c>
      <c r="I719" t="n">
        <v>0</v>
      </c>
      <c r="J719" t="n">
        <v>0</v>
      </c>
      <c r="K719" t="n">
        <v>0</v>
      </c>
      <c r="L719" t="n">
        <v>0</v>
      </c>
      <c r="M719" t="n">
        <v>0</v>
      </c>
      <c r="N719" t="n">
        <v>0</v>
      </c>
      <c r="O719" t="n">
        <v>0</v>
      </c>
      <c r="P719" t="n">
        <v>0</v>
      </c>
      <c r="Q719" t="n">
        <v>0</v>
      </c>
      <c r="R719" s="2" t="inlineStr"/>
    </row>
    <row r="720" ht="15" customHeight="1">
      <c r="A720" t="inlineStr">
        <is>
          <t>A 46119-2022</t>
        </is>
      </c>
      <c r="B720" s="1" t="n">
        <v>44847</v>
      </c>
      <c r="C720" s="1" t="n">
        <v>46033</v>
      </c>
      <c r="D720" t="inlineStr">
        <is>
          <t>VÄSTERBOTTENS LÄN</t>
        </is>
      </c>
      <c r="E720" t="inlineStr">
        <is>
          <t>VILHELMINA</t>
        </is>
      </c>
      <c r="G720" t="n">
        <v>12.1</v>
      </c>
      <c r="H720" t="n">
        <v>0</v>
      </c>
      <c r="I720" t="n">
        <v>0</v>
      </c>
      <c r="J720" t="n">
        <v>0</v>
      </c>
      <c r="K720" t="n">
        <v>0</v>
      </c>
      <c r="L720" t="n">
        <v>0</v>
      </c>
      <c r="M720" t="n">
        <v>0</v>
      </c>
      <c r="N720" t="n">
        <v>0</v>
      </c>
      <c r="O720" t="n">
        <v>0</v>
      </c>
      <c r="P720" t="n">
        <v>0</v>
      </c>
      <c r="Q720" t="n">
        <v>0</v>
      </c>
      <c r="R720" s="2" t="inlineStr"/>
    </row>
    <row r="721" ht="15" customHeight="1">
      <c r="A721" t="inlineStr">
        <is>
          <t>A 46121-2022</t>
        </is>
      </c>
      <c r="B721" s="1" t="n">
        <v>44847</v>
      </c>
      <c r="C721" s="1" t="n">
        <v>46033</v>
      </c>
      <c r="D721" t="inlineStr">
        <is>
          <t>VÄSTERBOTTENS LÄN</t>
        </is>
      </c>
      <c r="E721" t="inlineStr">
        <is>
          <t>VILHELMINA</t>
        </is>
      </c>
      <c r="G721" t="n">
        <v>2.6</v>
      </c>
      <c r="H721" t="n">
        <v>0</v>
      </c>
      <c r="I721" t="n">
        <v>0</v>
      </c>
      <c r="J721" t="n">
        <v>0</v>
      </c>
      <c r="K721" t="n">
        <v>0</v>
      </c>
      <c r="L721" t="n">
        <v>0</v>
      </c>
      <c r="M721" t="n">
        <v>0</v>
      </c>
      <c r="N721" t="n">
        <v>0</v>
      </c>
      <c r="O721" t="n">
        <v>0</v>
      </c>
      <c r="P721" t="n">
        <v>0</v>
      </c>
      <c r="Q721" t="n">
        <v>0</v>
      </c>
      <c r="R721" s="2" t="inlineStr"/>
    </row>
    <row r="722" ht="15" customHeight="1">
      <c r="A722" t="inlineStr">
        <is>
          <t>A 30582-2024</t>
        </is>
      </c>
      <c r="B722" s="1" t="n">
        <v>45492</v>
      </c>
      <c r="C722" s="1" t="n">
        <v>46033</v>
      </c>
      <c r="D722" t="inlineStr">
        <is>
          <t>VÄSTERBOTTENS LÄN</t>
        </is>
      </c>
      <c r="E722" t="inlineStr">
        <is>
          <t>VILHELMINA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37346-2024</t>
        </is>
      </c>
      <c r="B723" s="1" t="n">
        <v>45540</v>
      </c>
      <c r="C723" s="1" t="n">
        <v>46033</v>
      </c>
      <c r="D723" t="inlineStr">
        <is>
          <t>VÄSTERBOTTENS LÄN</t>
        </is>
      </c>
      <c r="E723" t="inlineStr">
        <is>
          <t>VILHELMINA</t>
        </is>
      </c>
      <c r="G723" t="n">
        <v>96.3</v>
      </c>
      <c r="H723" t="n">
        <v>0</v>
      </c>
      <c r="I723" t="n">
        <v>0</v>
      </c>
      <c r="J723" t="n">
        <v>0</v>
      </c>
      <c r="K723" t="n">
        <v>0</v>
      </c>
      <c r="L723" t="n">
        <v>0</v>
      </c>
      <c r="M723" t="n">
        <v>0</v>
      </c>
      <c r="N723" t="n">
        <v>0</v>
      </c>
      <c r="O723" t="n">
        <v>0</v>
      </c>
      <c r="P723" t="n">
        <v>0</v>
      </c>
      <c r="Q723" t="n">
        <v>0</v>
      </c>
      <c r="R723" s="2" t="inlineStr"/>
    </row>
    <row r="724" ht="15" customHeight="1">
      <c r="A724" t="inlineStr">
        <is>
          <t>A 18398-2025</t>
        </is>
      </c>
      <c r="B724" s="1" t="n">
        <v>45762.59491898148</v>
      </c>
      <c r="C724" s="1" t="n">
        <v>46033</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25102-2021</t>
        </is>
      </c>
      <c r="B725" s="1" t="n">
        <v>44341</v>
      </c>
      <c r="C725" s="1" t="n">
        <v>46033</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16720-2025</t>
        </is>
      </c>
      <c r="B726" s="1" t="n">
        <v>45754.49039351852</v>
      </c>
      <c r="C726" s="1" t="n">
        <v>46033</v>
      </c>
      <c r="D726" t="inlineStr">
        <is>
          <t>VÄSTERBOTTENS LÄN</t>
        </is>
      </c>
      <c r="E726" t="inlineStr">
        <is>
          <t>VILHELMINA</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12866-2023</t>
        </is>
      </c>
      <c r="B727" s="1" t="n">
        <v>45000</v>
      </c>
      <c r="C727" s="1" t="n">
        <v>46033</v>
      </c>
      <c r="D727" t="inlineStr">
        <is>
          <t>VÄSTERBOTTENS LÄN</t>
        </is>
      </c>
      <c r="E727" t="inlineStr">
        <is>
          <t>VILHELMINA</t>
        </is>
      </c>
      <c r="G727" t="n">
        <v>2.6</v>
      </c>
      <c r="H727" t="n">
        <v>0</v>
      </c>
      <c r="I727" t="n">
        <v>0</v>
      </c>
      <c r="J727" t="n">
        <v>0</v>
      </c>
      <c r="K727" t="n">
        <v>0</v>
      </c>
      <c r="L727" t="n">
        <v>0</v>
      </c>
      <c r="M727" t="n">
        <v>0</v>
      </c>
      <c r="N727" t="n">
        <v>0</v>
      </c>
      <c r="O727" t="n">
        <v>0</v>
      </c>
      <c r="P727" t="n">
        <v>0</v>
      </c>
      <c r="Q727" t="n">
        <v>0</v>
      </c>
      <c r="R727" s="2" t="inlineStr"/>
    </row>
    <row r="728" ht="15" customHeight="1">
      <c r="A728" t="inlineStr">
        <is>
          <t>A 62630-2022</t>
        </is>
      </c>
      <c r="B728" s="1" t="n">
        <v>44917</v>
      </c>
      <c r="C728" s="1" t="n">
        <v>46033</v>
      </c>
      <c r="D728" t="inlineStr">
        <is>
          <t>VÄSTERBOTTENS LÄN</t>
        </is>
      </c>
      <c r="E728" t="inlineStr">
        <is>
          <t>VILHELMINA</t>
        </is>
      </c>
      <c r="G728" t="n">
        <v>0.9</v>
      </c>
      <c r="H728" t="n">
        <v>0</v>
      </c>
      <c r="I728" t="n">
        <v>0</v>
      </c>
      <c r="J728" t="n">
        <v>0</v>
      </c>
      <c r="K728" t="n">
        <v>0</v>
      </c>
      <c r="L728" t="n">
        <v>0</v>
      </c>
      <c r="M728" t="n">
        <v>0</v>
      </c>
      <c r="N728" t="n">
        <v>0</v>
      </c>
      <c r="O728" t="n">
        <v>0</v>
      </c>
      <c r="P728" t="n">
        <v>0</v>
      </c>
      <c r="Q728" t="n">
        <v>0</v>
      </c>
      <c r="R728" s="2" t="inlineStr"/>
    </row>
    <row r="729" ht="15" customHeight="1">
      <c r="A729" t="inlineStr">
        <is>
          <t>A 28695-2024</t>
        </is>
      </c>
      <c r="B729" s="1" t="n">
        <v>45478</v>
      </c>
      <c r="C729" s="1" t="n">
        <v>46033</v>
      </c>
      <c r="D729" t="inlineStr">
        <is>
          <t>VÄSTERBOTTENS LÄN</t>
        </is>
      </c>
      <c r="E729" t="inlineStr">
        <is>
          <t>VILHELMINA</t>
        </is>
      </c>
      <c r="F729" t="inlineStr">
        <is>
          <t>Allmännings- och besparingsskogar</t>
        </is>
      </c>
      <c r="G729" t="n">
        <v>3.1</v>
      </c>
      <c r="H729" t="n">
        <v>0</v>
      </c>
      <c r="I729" t="n">
        <v>0</v>
      </c>
      <c r="J729" t="n">
        <v>0</v>
      </c>
      <c r="K729" t="n">
        <v>0</v>
      </c>
      <c r="L729" t="n">
        <v>0</v>
      </c>
      <c r="M729" t="n">
        <v>0</v>
      </c>
      <c r="N729" t="n">
        <v>0</v>
      </c>
      <c r="O729" t="n">
        <v>0</v>
      </c>
      <c r="P729" t="n">
        <v>0</v>
      </c>
      <c r="Q729" t="n">
        <v>0</v>
      </c>
      <c r="R729" s="2" t="inlineStr"/>
    </row>
    <row r="730" ht="15" customHeight="1">
      <c r="A730" t="inlineStr">
        <is>
          <t>A 40468-2021</t>
        </is>
      </c>
      <c r="B730" s="1" t="n">
        <v>44419.94174768519</v>
      </c>
      <c r="C730" s="1" t="n">
        <v>46033</v>
      </c>
      <c r="D730" t="inlineStr">
        <is>
          <t>VÄSTERBOTTENS LÄN</t>
        </is>
      </c>
      <c r="E730" t="inlineStr">
        <is>
          <t>VILHELMINA</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52746-2023</t>
        </is>
      </c>
      <c r="B731" s="1" t="n">
        <v>45225.96753472222</v>
      </c>
      <c r="C731" s="1" t="n">
        <v>46033</v>
      </c>
      <c r="D731" t="inlineStr">
        <is>
          <t>VÄSTERBOTTENS LÄN</t>
        </is>
      </c>
      <c r="E731" t="inlineStr">
        <is>
          <t>VILHELMINA</t>
        </is>
      </c>
      <c r="F731" t="inlineStr">
        <is>
          <t>SCA</t>
        </is>
      </c>
      <c r="G731" t="n">
        <v>10.4</v>
      </c>
      <c r="H731" t="n">
        <v>0</v>
      </c>
      <c r="I731" t="n">
        <v>0</v>
      </c>
      <c r="J731" t="n">
        <v>0</v>
      </c>
      <c r="K731" t="n">
        <v>0</v>
      </c>
      <c r="L731" t="n">
        <v>0</v>
      </c>
      <c r="M731" t="n">
        <v>0</v>
      </c>
      <c r="N731" t="n">
        <v>0</v>
      </c>
      <c r="O731" t="n">
        <v>0</v>
      </c>
      <c r="P731" t="n">
        <v>0</v>
      </c>
      <c r="Q731" t="n">
        <v>0</v>
      </c>
      <c r="R731" s="2" t="inlineStr"/>
    </row>
    <row r="732" ht="15" customHeight="1">
      <c r="A732" t="inlineStr">
        <is>
          <t>A 23270-2021</t>
        </is>
      </c>
      <c r="B732" s="1" t="n">
        <v>44328</v>
      </c>
      <c r="C732" s="1" t="n">
        <v>46033</v>
      </c>
      <c r="D732" t="inlineStr">
        <is>
          <t>VÄSTERBOTTENS LÄN</t>
        </is>
      </c>
      <c r="E732" t="inlineStr">
        <is>
          <t>VILHELMINA</t>
        </is>
      </c>
      <c r="F732" t="inlineStr">
        <is>
          <t>Allmännings- och besparingsskogar</t>
        </is>
      </c>
      <c r="G732" t="n">
        <v>14.7</v>
      </c>
      <c r="H732" t="n">
        <v>0</v>
      </c>
      <c r="I732" t="n">
        <v>0</v>
      </c>
      <c r="J732" t="n">
        <v>0</v>
      </c>
      <c r="K732" t="n">
        <v>0</v>
      </c>
      <c r="L732" t="n">
        <v>0</v>
      </c>
      <c r="M732" t="n">
        <v>0</v>
      </c>
      <c r="N732" t="n">
        <v>0</v>
      </c>
      <c r="O732" t="n">
        <v>0</v>
      </c>
      <c r="P732" t="n">
        <v>0</v>
      </c>
      <c r="Q732" t="n">
        <v>0</v>
      </c>
      <c r="R732" s="2" t="inlineStr"/>
    </row>
    <row r="733" ht="15" customHeight="1">
      <c r="A733" t="inlineStr">
        <is>
          <t>A 49241-2024</t>
        </is>
      </c>
      <c r="B733" s="1" t="n">
        <v>45595</v>
      </c>
      <c r="C733" s="1" t="n">
        <v>46033</v>
      </c>
      <c r="D733" t="inlineStr">
        <is>
          <t>VÄSTERBOTTENS LÄN</t>
        </is>
      </c>
      <c r="E733" t="inlineStr">
        <is>
          <t>VILHELMINA</t>
        </is>
      </c>
      <c r="G733" t="n">
        <v>1.4</v>
      </c>
      <c r="H733" t="n">
        <v>0</v>
      </c>
      <c r="I733" t="n">
        <v>0</v>
      </c>
      <c r="J733" t="n">
        <v>0</v>
      </c>
      <c r="K733" t="n">
        <v>0</v>
      </c>
      <c r="L733" t="n">
        <v>0</v>
      </c>
      <c r="M733" t="n">
        <v>0</v>
      </c>
      <c r="N733" t="n">
        <v>0</v>
      </c>
      <c r="O733" t="n">
        <v>0</v>
      </c>
      <c r="P733" t="n">
        <v>0</v>
      </c>
      <c r="Q733" t="n">
        <v>0</v>
      </c>
      <c r="R733" s="2" t="inlineStr"/>
    </row>
    <row r="734" ht="15" customHeight="1">
      <c r="A734" t="inlineStr">
        <is>
          <t>A 10418-2023</t>
        </is>
      </c>
      <c r="B734" s="1" t="n">
        <v>44987</v>
      </c>
      <c r="C734" s="1" t="n">
        <v>46033</v>
      </c>
      <c r="D734" t="inlineStr">
        <is>
          <t>VÄSTERBOTTENS LÄN</t>
        </is>
      </c>
      <c r="E734" t="inlineStr">
        <is>
          <t>VILHELMINA</t>
        </is>
      </c>
      <c r="G734" t="n">
        <v>3.2</v>
      </c>
      <c r="H734" t="n">
        <v>0</v>
      </c>
      <c r="I734" t="n">
        <v>0</v>
      </c>
      <c r="J734" t="n">
        <v>0</v>
      </c>
      <c r="K734" t="n">
        <v>0</v>
      </c>
      <c r="L734" t="n">
        <v>0</v>
      </c>
      <c r="M734" t="n">
        <v>0</v>
      </c>
      <c r="N734" t="n">
        <v>0</v>
      </c>
      <c r="O734" t="n">
        <v>0</v>
      </c>
      <c r="P734" t="n">
        <v>0</v>
      </c>
      <c r="Q734" t="n">
        <v>0</v>
      </c>
      <c r="R734" s="2" t="inlineStr"/>
    </row>
    <row r="735" ht="15" customHeight="1">
      <c r="A735" t="inlineStr">
        <is>
          <t>A 61953-2024</t>
        </is>
      </c>
      <c r="B735" s="1" t="n">
        <v>45653.5150462963</v>
      </c>
      <c r="C735" s="1" t="n">
        <v>46033</v>
      </c>
      <c r="D735" t="inlineStr">
        <is>
          <t>VÄSTERBOTTENS LÄN</t>
        </is>
      </c>
      <c r="E735" t="inlineStr">
        <is>
          <t>VILHELMINA</t>
        </is>
      </c>
      <c r="F735" t="inlineStr">
        <is>
          <t>Kommuner</t>
        </is>
      </c>
      <c r="G735" t="n">
        <v>10.2</v>
      </c>
      <c r="H735" t="n">
        <v>0</v>
      </c>
      <c r="I735" t="n">
        <v>0</v>
      </c>
      <c r="J735" t="n">
        <v>0</v>
      </c>
      <c r="K735" t="n">
        <v>0</v>
      </c>
      <c r="L735" t="n">
        <v>0</v>
      </c>
      <c r="M735" t="n">
        <v>0</v>
      </c>
      <c r="N735" t="n">
        <v>0</v>
      </c>
      <c r="O735" t="n">
        <v>0</v>
      </c>
      <c r="P735" t="n">
        <v>0</v>
      </c>
      <c r="Q735" t="n">
        <v>0</v>
      </c>
      <c r="R735" s="2" t="inlineStr"/>
    </row>
    <row r="736" ht="15" customHeight="1">
      <c r="A736" t="inlineStr">
        <is>
          <t>A 3435-2021</t>
        </is>
      </c>
      <c r="B736" s="1" t="n">
        <v>44216</v>
      </c>
      <c r="C736" s="1" t="n">
        <v>46033</v>
      </c>
      <c r="D736" t="inlineStr">
        <is>
          <t>VÄSTERBOTTENS LÄN</t>
        </is>
      </c>
      <c r="E736" t="inlineStr">
        <is>
          <t>VILHELMINA</t>
        </is>
      </c>
      <c r="G736" t="n">
        <v>20.5</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44911.94</v>
      </c>
      <c r="C737" s="1" t="n">
        <v>46033</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23536-2024</t>
        </is>
      </c>
      <c r="B738" s="1" t="n">
        <v>45453.95199074074</v>
      </c>
      <c r="C738" s="1" t="n">
        <v>46033</v>
      </c>
      <c r="D738" t="inlineStr">
        <is>
          <t>VÄSTERBOTTENS LÄN</t>
        </is>
      </c>
      <c r="E738" t="inlineStr">
        <is>
          <t>VILHELMINA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5403-2025</t>
        </is>
      </c>
      <c r="B739" s="1" t="n">
        <v>45692.64475694444</v>
      </c>
      <c r="C739" s="1" t="n">
        <v>46033</v>
      </c>
      <c r="D739" t="inlineStr">
        <is>
          <t>VÄSTERBOTTENS LÄN</t>
        </is>
      </c>
      <c r="E739" t="inlineStr">
        <is>
          <t>VILHELMINA</t>
        </is>
      </c>
      <c r="F739" t="inlineStr">
        <is>
          <t>Kommuner</t>
        </is>
      </c>
      <c r="G739" t="n">
        <v>14.9</v>
      </c>
      <c r="H739" t="n">
        <v>0</v>
      </c>
      <c r="I739" t="n">
        <v>0</v>
      </c>
      <c r="J739" t="n">
        <v>0</v>
      </c>
      <c r="K739" t="n">
        <v>0</v>
      </c>
      <c r="L739" t="n">
        <v>0</v>
      </c>
      <c r="M739" t="n">
        <v>0</v>
      </c>
      <c r="N739" t="n">
        <v>0</v>
      </c>
      <c r="O739" t="n">
        <v>0</v>
      </c>
      <c r="P739" t="n">
        <v>0</v>
      </c>
      <c r="Q739" t="n">
        <v>0</v>
      </c>
      <c r="R739" s="2" t="inlineStr"/>
    </row>
    <row r="740" ht="15" customHeight="1">
      <c r="A740" t="inlineStr">
        <is>
          <t>A 45965-2023</t>
        </is>
      </c>
      <c r="B740" s="1" t="n">
        <v>45195.94755787037</v>
      </c>
      <c r="C740" s="1" t="n">
        <v>46033</v>
      </c>
      <c r="D740" t="inlineStr">
        <is>
          <t>VÄSTERBOTTENS LÄN</t>
        </is>
      </c>
      <c r="E740" t="inlineStr">
        <is>
          <t>VILHELMINA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31449-2024</t>
        </is>
      </c>
      <c r="B741" s="1" t="n">
        <v>45505.9299537037</v>
      </c>
      <c r="C741" s="1" t="n">
        <v>46033</v>
      </c>
      <c r="D741" t="inlineStr">
        <is>
          <t>VÄSTERBOTTENS LÄN</t>
        </is>
      </c>
      <c r="E741" t="inlineStr">
        <is>
          <t>VILHELMINA</t>
        </is>
      </c>
      <c r="G741" t="n">
        <v>3.5</v>
      </c>
      <c r="H741" t="n">
        <v>0</v>
      </c>
      <c r="I741" t="n">
        <v>0</v>
      </c>
      <c r="J741" t="n">
        <v>0</v>
      </c>
      <c r="K741" t="n">
        <v>0</v>
      </c>
      <c r="L741" t="n">
        <v>0</v>
      </c>
      <c r="M741" t="n">
        <v>0</v>
      </c>
      <c r="N741" t="n">
        <v>0</v>
      </c>
      <c r="O741" t="n">
        <v>0</v>
      </c>
      <c r="P741" t="n">
        <v>0</v>
      </c>
      <c r="Q741" t="n">
        <v>0</v>
      </c>
      <c r="R741" s="2" t="inlineStr"/>
    </row>
    <row r="742" ht="15" customHeight="1">
      <c r="A742" t="inlineStr">
        <is>
          <t>A 8733-2023</t>
        </is>
      </c>
      <c r="B742" s="1" t="n">
        <v>44972</v>
      </c>
      <c r="C742" s="1" t="n">
        <v>46033</v>
      </c>
      <c r="D742" t="inlineStr">
        <is>
          <t>VÄSTERBOTTENS LÄN</t>
        </is>
      </c>
      <c r="E742" t="inlineStr">
        <is>
          <t>VILHELMINA</t>
        </is>
      </c>
      <c r="F742" t="inlineStr">
        <is>
          <t>Allmännings- och besparingsskogar</t>
        </is>
      </c>
      <c r="G742" t="n">
        <v>20</v>
      </c>
      <c r="H742" t="n">
        <v>0</v>
      </c>
      <c r="I742" t="n">
        <v>0</v>
      </c>
      <c r="J742" t="n">
        <v>0</v>
      </c>
      <c r="K742" t="n">
        <v>0</v>
      </c>
      <c r="L742" t="n">
        <v>0</v>
      </c>
      <c r="M742" t="n">
        <v>0</v>
      </c>
      <c r="N742" t="n">
        <v>0</v>
      </c>
      <c r="O742" t="n">
        <v>0</v>
      </c>
      <c r="P742" t="n">
        <v>0</v>
      </c>
      <c r="Q742" t="n">
        <v>0</v>
      </c>
      <c r="R742" s="2" t="inlineStr"/>
    </row>
    <row r="743" ht="15" customHeight="1">
      <c r="A743" t="inlineStr">
        <is>
          <t>A 28869-2024</t>
        </is>
      </c>
      <c r="B743" s="1" t="n">
        <v>45478.94722222222</v>
      </c>
      <c r="C743" s="1" t="n">
        <v>46033</v>
      </c>
      <c r="D743" t="inlineStr">
        <is>
          <t>VÄSTERBOTTENS LÄN</t>
        </is>
      </c>
      <c r="E743" t="inlineStr">
        <is>
          <t>VILHELMINA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32655-2021</t>
        </is>
      </c>
      <c r="B744" s="1" t="n">
        <v>44371</v>
      </c>
      <c r="C744" s="1" t="n">
        <v>46033</v>
      </c>
      <c r="D744" t="inlineStr">
        <is>
          <t>VÄSTERBOTTENS LÄN</t>
        </is>
      </c>
      <c r="E744" t="inlineStr">
        <is>
          <t>VILHELMINA</t>
        </is>
      </c>
      <c r="G744" t="n">
        <v>0.2</v>
      </c>
      <c r="H744" t="n">
        <v>0</v>
      </c>
      <c r="I744" t="n">
        <v>0</v>
      </c>
      <c r="J744" t="n">
        <v>0</v>
      </c>
      <c r="K744" t="n">
        <v>0</v>
      </c>
      <c r="L744" t="n">
        <v>0</v>
      </c>
      <c r="M744" t="n">
        <v>0</v>
      </c>
      <c r="N744" t="n">
        <v>0</v>
      </c>
      <c r="O744" t="n">
        <v>0</v>
      </c>
      <c r="P744" t="n">
        <v>0</v>
      </c>
      <c r="Q744" t="n">
        <v>0</v>
      </c>
      <c r="R744" s="2" t="inlineStr"/>
    </row>
    <row r="745" ht="15" customHeight="1">
      <c r="A745" t="inlineStr">
        <is>
          <t>A 2742-2023</t>
        </is>
      </c>
      <c r="B745" s="1" t="n">
        <v>44943</v>
      </c>
      <c r="C745" s="1" t="n">
        <v>46033</v>
      </c>
      <c r="D745" t="inlineStr">
        <is>
          <t>VÄSTERBOTTENS LÄN</t>
        </is>
      </c>
      <c r="E745" t="inlineStr">
        <is>
          <t>VILHELMINA</t>
        </is>
      </c>
      <c r="G745" t="n">
        <v>34.8</v>
      </c>
      <c r="H745" t="n">
        <v>0</v>
      </c>
      <c r="I745" t="n">
        <v>0</v>
      </c>
      <c r="J745" t="n">
        <v>0</v>
      </c>
      <c r="K745" t="n">
        <v>0</v>
      </c>
      <c r="L745" t="n">
        <v>0</v>
      </c>
      <c r="M745" t="n">
        <v>0</v>
      </c>
      <c r="N745" t="n">
        <v>0</v>
      </c>
      <c r="O745" t="n">
        <v>0</v>
      </c>
      <c r="P745" t="n">
        <v>0</v>
      </c>
      <c r="Q745" t="n">
        <v>0</v>
      </c>
      <c r="R745" s="2" t="inlineStr"/>
    </row>
    <row r="746" ht="15" customHeight="1">
      <c r="A746" t="inlineStr">
        <is>
          <t>A 55688-2023</t>
        </is>
      </c>
      <c r="B746" s="1" t="n">
        <v>45232</v>
      </c>
      <c r="C746" s="1" t="n">
        <v>46033</v>
      </c>
      <c r="D746" t="inlineStr">
        <is>
          <t>VÄSTERBOTTENS LÄN</t>
        </is>
      </c>
      <c r="E746" t="inlineStr">
        <is>
          <t>VILHELMINA</t>
        </is>
      </c>
      <c r="G746" t="n">
        <v>6.4</v>
      </c>
      <c r="H746" t="n">
        <v>0</v>
      </c>
      <c r="I746" t="n">
        <v>0</v>
      </c>
      <c r="J746" t="n">
        <v>0</v>
      </c>
      <c r="K746" t="n">
        <v>0</v>
      </c>
      <c r="L746" t="n">
        <v>0</v>
      </c>
      <c r="M746" t="n">
        <v>0</v>
      </c>
      <c r="N746" t="n">
        <v>0</v>
      </c>
      <c r="O746" t="n">
        <v>0</v>
      </c>
      <c r="P746" t="n">
        <v>0</v>
      </c>
      <c r="Q746" t="n">
        <v>0</v>
      </c>
      <c r="R746" s="2" t="inlineStr"/>
    </row>
    <row r="747" ht="15" customHeight="1">
      <c r="A747" t="inlineStr">
        <is>
          <t>A 14959-2022</t>
        </is>
      </c>
      <c r="B747" s="1" t="n">
        <v>44657</v>
      </c>
      <c r="C747" s="1" t="n">
        <v>46033</v>
      </c>
      <c r="D747" t="inlineStr">
        <is>
          <t>VÄSTERBOTTENS LÄN</t>
        </is>
      </c>
      <c r="E747" t="inlineStr">
        <is>
          <t>VILHELMINA</t>
        </is>
      </c>
      <c r="G747" t="n">
        <v>71.8</v>
      </c>
      <c r="H747" t="n">
        <v>0</v>
      </c>
      <c r="I747" t="n">
        <v>0</v>
      </c>
      <c r="J747" t="n">
        <v>0</v>
      </c>
      <c r="K747" t="n">
        <v>0</v>
      </c>
      <c r="L747" t="n">
        <v>0</v>
      </c>
      <c r="M747" t="n">
        <v>0</v>
      </c>
      <c r="N747" t="n">
        <v>0</v>
      </c>
      <c r="O747" t="n">
        <v>0</v>
      </c>
      <c r="P747" t="n">
        <v>0</v>
      </c>
      <c r="Q747" t="n">
        <v>0</v>
      </c>
      <c r="R747" s="2" t="inlineStr"/>
    </row>
    <row r="748" ht="15" customHeight="1">
      <c r="A748" t="inlineStr">
        <is>
          <t>A 20769-2024</t>
        </is>
      </c>
      <c r="B748" s="1" t="n">
        <v>45436.94604166667</v>
      </c>
      <c r="C748" s="1" t="n">
        <v>46033</v>
      </c>
      <c r="D748" t="inlineStr">
        <is>
          <t>VÄSTERBOTTENS LÄN</t>
        </is>
      </c>
      <c r="E748" t="inlineStr">
        <is>
          <t>VILHELMINA</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26557-2023</t>
        </is>
      </c>
      <c r="B749" s="1" t="n">
        <v>45089</v>
      </c>
      <c r="C749" s="1" t="n">
        <v>46033</v>
      </c>
      <c r="D749" t="inlineStr">
        <is>
          <t>VÄSTERBOTTENS LÄN</t>
        </is>
      </c>
      <c r="E749" t="inlineStr">
        <is>
          <t>VILHELMINA</t>
        </is>
      </c>
      <c r="G749" t="n">
        <v>0.5</v>
      </c>
      <c r="H749" t="n">
        <v>0</v>
      </c>
      <c r="I749" t="n">
        <v>0</v>
      </c>
      <c r="J749" t="n">
        <v>0</v>
      </c>
      <c r="K749" t="n">
        <v>0</v>
      </c>
      <c r="L749" t="n">
        <v>0</v>
      </c>
      <c r="M749" t="n">
        <v>0</v>
      </c>
      <c r="N749" t="n">
        <v>0</v>
      </c>
      <c r="O749" t="n">
        <v>0</v>
      </c>
      <c r="P749" t="n">
        <v>0</v>
      </c>
      <c r="Q749" t="n">
        <v>0</v>
      </c>
      <c r="R749" s="2" t="inlineStr"/>
    </row>
    <row r="750" ht="15" customHeight="1">
      <c r="A750" t="inlineStr">
        <is>
          <t>A 21844-2024</t>
        </is>
      </c>
      <c r="B750" s="1" t="n">
        <v>45442</v>
      </c>
      <c r="C750" s="1" t="n">
        <v>46033</v>
      </c>
      <c r="D750" t="inlineStr">
        <is>
          <t>VÄSTERBOTTENS LÄN</t>
        </is>
      </c>
      <c r="E750" t="inlineStr">
        <is>
          <t>VILHELMINA</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50494-2023</t>
        </is>
      </c>
      <c r="B751" s="1" t="n">
        <v>45216.95604166666</v>
      </c>
      <c r="C751" s="1" t="n">
        <v>46033</v>
      </c>
      <c r="D751" t="inlineStr">
        <is>
          <t>VÄSTERBOTTENS LÄN</t>
        </is>
      </c>
      <c r="E751" t="inlineStr">
        <is>
          <t>VILHELMINA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33828-2024</t>
        </is>
      </c>
      <c r="B752" s="1" t="n">
        <v>45520.61695601852</v>
      </c>
      <c r="C752" s="1" t="n">
        <v>46033</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28870-2024</t>
        </is>
      </c>
      <c r="B753" s="1" t="n">
        <v>45478.94733796296</v>
      </c>
      <c r="C753" s="1" t="n">
        <v>46033</v>
      </c>
      <c r="D753" t="inlineStr">
        <is>
          <t>VÄSTERBOTTENS LÄN</t>
        </is>
      </c>
      <c r="E753" t="inlineStr">
        <is>
          <t>VILHELMINA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20523-2024</t>
        </is>
      </c>
      <c r="B754" s="1" t="n">
        <v>45435.94553240741</v>
      </c>
      <c r="C754" s="1" t="n">
        <v>46033</v>
      </c>
      <c r="D754" t="inlineStr">
        <is>
          <t>VÄSTERBOTTENS LÄN</t>
        </is>
      </c>
      <c r="E754" t="inlineStr">
        <is>
          <t>VILHELMINA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15059-2024</t>
        </is>
      </c>
      <c r="B755" s="1" t="n">
        <v>45399</v>
      </c>
      <c r="C755" s="1" t="n">
        <v>46033</v>
      </c>
      <c r="D755" t="inlineStr">
        <is>
          <t>VÄSTERBOTTENS LÄN</t>
        </is>
      </c>
      <c r="E755" t="inlineStr">
        <is>
          <t>VILHELMINA</t>
        </is>
      </c>
      <c r="G755" t="n">
        <v>0.8</v>
      </c>
      <c r="H755" t="n">
        <v>0</v>
      </c>
      <c r="I755" t="n">
        <v>0</v>
      </c>
      <c r="J755" t="n">
        <v>0</v>
      </c>
      <c r="K755" t="n">
        <v>0</v>
      </c>
      <c r="L755" t="n">
        <v>0</v>
      </c>
      <c r="M755" t="n">
        <v>0</v>
      </c>
      <c r="N755" t="n">
        <v>0</v>
      </c>
      <c r="O755" t="n">
        <v>0</v>
      </c>
      <c r="P755" t="n">
        <v>0</v>
      </c>
      <c r="Q755" t="n">
        <v>0</v>
      </c>
      <c r="R755" s="2" t="inlineStr"/>
    </row>
    <row r="756" ht="15" customHeight="1">
      <c r="A756" t="inlineStr">
        <is>
          <t>A 55620-2024</t>
        </is>
      </c>
      <c r="B756" s="1" t="n">
        <v>45622</v>
      </c>
      <c r="C756" s="1" t="n">
        <v>46033</v>
      </c>
      <c r="D756" t="inlineStr">
        <is>
          <t>VÄSTERBOTTENS LÄN</t>
        </is>
      </c>
      <c r="E756" t="inlineStr">
        <is>
          <t>VILHELMINA</t>
        </is>
      </c>
      <c r="F756" t="inlineStr">
        <is>
          <t>SCA</t>
        </is>
      </c>
      <c r="G756" t="n">
        <v>21.4</v>
      </c>
      <c r="H756" t="n">
        <v>0</v>
      </c>
      <c r="I756" t="n">
        <v>0</v>
      </c>
      <c r="J756" t="n">
        <v>0</v>
      </c>
      <c r="K756" t="n">
        <v>0</v>
      </c>
      <c r="L756" t="n">
        <v>0</v>
      </c>
      <c r="M756" t="n">
        <v>0</v>
      </c>
      <c r="N756" t="n">
        <v>0</v>
      </c>
      <c r="O756" t="n">
        <v>0</v>
      </c>
      <c r="P756" t="n">
        <v>0</v>
      </c>
      <c r="Q756" t="n">
        <v>0</v>
      </c>
      <c r="R756" s="2" t="inlineStr"/>
    </row>
    <row r="757" ht="15" customHeight="1">
      <c r="A757" t="inlineStr">
        <is>
          <t>A 30574-2024</t>
        </is>
      </c>
      <c r="B757" s="1" t="n">
        <v>45492.9580324074</v>
      </c>
      <c r="C757" s="1" t="n">
        <v>46033</v>
      </c>
      <c r="D757" t="inlineStr">
        <is>
          <t>VÄSTERBOTTENS LÄN</t>
        </is>
      </c>
      <c r="E757" t="inlineStr">
        <is>
          <t>VILHELMINA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55722-2023</t>
        </is>
      </c>
      <c r="B758" s="1" t="n">
        <v>45232</v>
      </c>
      <c r="C758" s="1" t="n">
        <v>46033</v>
      </c>
      <c r="D758" t="inlineStr">
        <is>
          <t>VÄSTERBOTTENS LÄN</t>
        </is>
      </c>
      <c r="E758" t="inlineStr">
        <is>
          <t>VILHELMINA</t>
        </is>
      </c>
      <c r="G758" t="n">
        <v>5.8</v>
      </c>
      <c r="H758" t="n">
        <v>0</v>
      </c>
      <c r="I758" t="n">
        <v>0</v>
      </c>
      <c r="J758" t="n">
        <v>0</v>
      </c>
      <c r="K758" t="n">
        <v>0</v>
      </c>
      <c r="L758" t="n">
        <v>0</v>
      </c>
      <c r="M758" t="n">
        <v>0</v>
      </c>
      <c r="N758" t="n">
        <v>0</v>
      </c>
      <c r="O758" t="n">
        <v>0</v>
      </c>
      <c r="P758" t="n">
        <v>0</v>
      </c>
      <c r="Q758" t="n">
        <v>0</v>
      </c>
      <c r="R758" s="2" t="inlineStr"/>
    </row>
    <row r="759" ht="15" customHeight="1">
      <c r="A759" t="inlineStr">
        <is>
          <t>A 44371-2023</t>
        </is>
      </c>
      <c r="B759" s="1" t="n">
        <v>45188</v>
      </c>
      <c r="C759" s="1" t="n">
        <v>46033</v>
      </c>
      <c r="D759" t="inlineStr">
        <is>
          <t>VÄSTERBOTTENS LÄN</t>
        </is>
      </c>
      <c r="E759" t="inlineStr">
        <is>
          <t>VILHELMINA</t>
        </is>
      </c>
      <c r="G759" t="n">
        <v>11</v>
      </c>
      <c r="H759" t="n">
        <v>0</v>
      </c>
      <c r="I759" t="n">
        <v>0</v>
      </c>
      <c r="J759" t="n">
        <v>0</v>
      </c>
      <c r="K759" t="n">
        <v>0</v>
      </c>
      <c r="L759" t="n">
        <v>0</v>
      </c>
      <c r="M759" t="n">
        <v>0</v>
      </c>
      <c r="N759" t="n">
        <v>0</v>
      </c>
      <c r="O759" t="n">
        <v>0</v>
      </c>
      <c r="P759" t="n">
        <v>0</v>
      </c>
      <c r="Q759" t="n">
        <v>0</v>
      </c>
      <c r="R759" s="2" t="inlineStr"/>
    </row>
    <row r="760" ht="15" customHeight="1">
      <c r="A760" t="inlineStr">
        <is>
          <t>A 19349-2024</t>
        </is>
      </c>
      <c r="B760" s="1" t="n">
        <v>45428.97231481481</v>
      </c>
      <c r="C760" s="1" t="n">
        <v>46033</v>
      </c>
      <c r="D760" t="inlineStr">
        <is>
          <t>VÄSTERBOTTENS LÄN</t>
        </is>
      </c>
      <c r="E760" t="inlineStr">
        <is>
          <t>VILHELMINA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44516-2024</t>
        </is>
      </c>
      <c r="B761" s="1" t="n">
        <v>45574</v>
      </c>
      <c r="C761" s="1" t="n">
        <v>46033</v>
      </c>
      <c r="D761" t="inlineStr">
        <is>
          <t>VÄSTERBOTTENS LÄN</t>
        </is>
      </c>
      <c r="E761" t="inlineStr">
        <is>
          <t>VILHELMINA</t>
        </is>
      </c>
      <c r="G761" t="n">
        <v>2.9</v>
      </c>
      <c r="H761" t="n">
        <v>0</v>
      </c>
      <c r="I761" t="n">
        <v>0</v>
      </c>
      <c r="J761" t="n">
        <v>0</v>
      </c>
      <c r="K761" t="n">
        <v>0</v>
      </c>
      <c r="L761" t="n">
        <v>0</v>
      </c>
      <c r="M761" t="n">
        <v>0</v>
      </c>
      <c r="N761" t="n">
        <v>0</v>
      </c>
      <c r="O761" t="n">
        <v>0</v>
      </c>
      <c r="P761" t="n">
        <v>0</v>
      </c>
      <c r="Q761" t="n">
        <v>0</v>
      </c>
      <c r="R761" s="2" t="inlineStr"/>
    </row>
    <row r="762" ht="15" customHeight="1">
      <c r="A762" t="inlineStr">
        <is>
          <t>A 24457-2024</t>
        </is>
      </c>
      <c r="B762" s="1" t="n">
        <v>45457.96708333334</v>
      </c>
      <c r="C762" s="1" t="n">
        <v>46033</v>
      </c>
      <c r="D762" t="inlineStr">
        <is>
          <t>VÄSTERBOTTENS LÄN</t>
        </is>
      </c>
      <c r="E762" t="inlineStr">
        <is>
          <t>VILHELMINA</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46392-2024</t>
        </is>
      </c>
      <c r="B763" s="1" t="n">
        <v>45582</v>
      </c>
      <c r="C763" s="1" t="n">
        <v>46033</v>
      </c>
      <c r="D763" t="inlineStr">
        <is>
          <t>VÄSTERBOTTENS LÄN</t>
        </is>
      </c>
      <c r="E763" t="inlineStr">
        <is>
          <t>VILHELMINA</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16626-2024</t>
        </is>
      </c>
      <c r="B764" s="1" t="n">
        <v>45408</v>
      </c>
      <c r="C764" s="1" t="n">
        <v>46033</v>
      </c>
      <c r="D764" t="inlineStr">
        <is>
          <t>VÄSTERBOTTENS LÄN</t>
        </is>
      </c>
      <c r="E764" t="inlineStr">
        <is>
          <t>VILHELMINA</t>
        </is>
      </c>
      <c r="G764" t="n">
        <v>15.5</v>
      </c>
      <c r="H764" t="n">
        <v>0</v>
      </c>
      <c r="I764" t="n">
        <v>0</v>
      </c>
      <c r="J764" t="n">
        <v>0</v>
      </c>
      <c r="K764" t="n">
        <v>0</v>
      </c>
      <c r="L764" t="n">
        <v>0</v>
      </c>
      <c r="M764" t="n">
        <v>0</v>
      </c>
      <c r="N764" t="n">
        <v>0</v>
      </c>
      <c r="O764" t="n">
        <v>0</v>
      </c>
      <c r="P764" t="n">
        <v>0</v>
      </c>
      <c r="Q764" t="n">
        <v>0</v>
      </c>
      <c r="R764" s="2" t="inlineStr"/>
    </row>
    <row r="765" ht="15" customHeight="1">
      <c r="A765" t="inlineStr">
        <is>
          <t>A 10268-2025</t>
        </is>
      </c>
      <c r="B765" s="1" t="n">
        <v>45720</v>
      </c>
      <c r="C765" s="1" t="n">
        <v>46033</v>
      </c>
      <c r="D765" t="inlineStr">
        <is>
          <t>VÄSTERBOTTENS LÄN</t>
        </is>
      </c>
      <c r="E765" t="inlineStr">
        <is>
          <t>VILHELMINA</t>
        </is>
      </c>
      <c r="G765" t="n">
        <v>1.9</v>
      </c>
      <c r="H765" t="n">
        <v>0</v>
      </c>
      <c r="I765" t="n">
        <v>0</v>
      </c>
      <c r="J765" t="n">
        <v>0</v>
      </c>
      <c r="K765" t="n">
        <v>0</v>
      </c>
      <c r="L765" t="n">
        <v>0</v>
      </c>
      <c r="M765" t="n">
        <v>0</v>
      </c>
      <c r="N765" t="n">
        <v>0</v>
      </c>
      <c r="O765" t="n">
        <v>0</v>
      </c>
      <c r="P765" t="n">
        <v>0</v>
      </c>
      <c r="Q765" t="n">
        <v>0</v>
      </c>
      <c r="R765" s="2" t="inlineStr"/>
    </row>
    <row r="766" ht="15" customHeight="1">
      <c r="A766" t="inlineStr">
        <is>
          <t>A 23543-2024</t>
        </is>
      </c>
      <c r="B766" s="1" t="n">
        <v>45453</v>
      </c>
      <c r="C766" s="1" t="n">
        <v>46033</v>
      </c>
      <c r="D766" t="inlineStr">
        <is>
          <t>VÄSTERBOTTENS LÄN</t>
        </is>
      </c>
      <c r="E766" t="inlineStr">
        <is>
          <t>VILHELMINA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22107-2024</t>
        </is>
      </c>
      <c r="B767" s="1" t="n">
        <v>45443</v>
      </c>
      <c r="C767" s="1" t="n">
        <v>46033</v>
      </c>
      <c r="D767" t="inlineStr">
        <is>
          <t>VÄSTERBOTTENS LÄN</t>
        </is>
      </c>
      <c r="E767" t="inlineStr">
        <is>
          <t>VILHELMINA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54729-2022</t>
        </is>
      </c>
      <c r="B768" s="1" t="n">
        <v>44881</v>
      </c>
      <c r="C768" s="1" t="n">
        <v>46033</v>
      </c>
      <c r="D768" t="inlineStr">
        <is>
          <t>VÄSTERBOTTENS LÄN</t>
        </is>
      </c>
      <c r="E768" t="inlineStr">
        <is>
          <t>VILHELMINA</t>
        </is>
      </c>
      <c r="G768" t="n">
        <v>19.2</v>
      </c>
      <c r="H768" t="n">
        <v>0</v>
      </c>
      <c r="I768" t="n">
        <v>0</v>
      </c>
      <c r="J768" t="n">
        <v>0</v>
      </c>
      <c r="K768" t="n">
        <v>0</v>
      </c>
      <c r="L768" t="n">
        <v>0</v>
      </c>
      <c r="M768" t="n">
        <v>0</v>
      </c>
      <c r="N768" t="n">
        <v>0</v>
      </c>
      <c r="O768" t="n">
        <v>0</v>
      </c>
      <c r="P768" t="n">
        <v>0</v>
      </c>
      <c r="Q768" t="n">
        <v>0</v>
      </c>
      <c r="R768" s="2" t="inlineStr"/>
    </row>
    <row r="769" ht="15" customHeight="1">
      <c r="A769" t="inlineStr">
        <is>
          <t>A 13829-2025</t>
        </is>
      </c>
      <c r="B769" s="1" t="n">
        <v>45737</v>
      </c>
      <c r="C769" s="1" t="n">
        <v>46033</v>
      </c>
      <c r="D769" t="inlineStr">
        <is>
          <t>VÄSTERBOTTENS LÄN</t>
        </is>
      </c>
      <c r="E769" t="inlineStr">
        <is>
          <t>VILHELMINA</t>
        </is>
      </c>
      <c r="F769" t="inlineStr">
        <is>
          <t>Övriga statliga verk och myndigheter</t>
        </is>
      </c>
      <c r="G769" t="n">
        <v>39.7</v>
      </c>
      <c r="H769" t="n">
        <v>0</v>
      </c>
      <c r="I769" t="n">
        <v>0</v>
      </c>
      <c r="J769" t="n">
        <v>0</v>
      </c>
      <c r="K769" t="n">
        <v>0</v>
      </c>
      <c r="L769" t="n">
        <v>0</v>
      </c>
      <c r="M769" t="n">
        <v>0</v>
      </c>
      <c r="N769" t="n">
        <v>0</v>
      </c>
      <c r="O769" t="n">
        <v>0</v>
      </c>
      <c r="P769" t="n">
        <v>0</v>
      </c>
      <c r="Q769" t="n">
        <v>0</v>
      </c>
      <c r="R769" s="2" t="inlineStr"/>
    </row>
    <row r="770" ht="15" customHeight="1">
      <c r="A770" t="inlineStr">
        <is>
          <t>A 39670-2024</t>
        </is>
      </c>
      <c r="B770" s="1" t="n">
        <v>45552.5315162037</v>
      </c>
      <c r="C770" s="1" t="n">
        <v>46033</v>
      </c>
      <c r="D770" t="inlineStr">
        <is>
          <t>VÄSTERBOTTENS LÄN</t>
        </is>
      </c>
      <c r="E770" t="inlineStr">
        <is>
          <t>VILHELMINA</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17186-2025</t>
        </is>
      </c>
      <c r="B771" s="1" t="n">
        <v>45756</v>
      </c>
      <c r="C771" s="1" t="n">
        <v>46033</v>
      </c>
      <c r="D771" t="inlineStr">
        <is>
          <t>VÄSTERBOTTENS LÄN</t>
        </is>
      </c>
      <c r="E771" t="inlineStr">
        <is>
          <t>VILHELMINA</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48505-2023</t>
        </is>
      </c>
      <c r="B772" s="1" t="n">
        <v>45207.93900462963</v>
      </c>
      <c r="C772" s="1" t="n">
        <v>46033</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52749-2023</t>
        </is>
      </c>
      <c r="B773" s="1" t="n">
        <v>45225.9678587963</v>
      </c>
      <c r="C773" s="1" t="n">
        <v>46033</v>
      </c>
      <c r="D773" t="inlineStr">
        <is>
          <t>VÄSTERBOTTENS LÄN</t>
        </is>
      </c>
      <c r="E773" t="inlineStr">
        <is>
          <t>VILHELMINA</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35984-2023</t>
        </is>
      </c>
      <c r="B774" s="1" t="n">
        <v>45148.96195601852</v>
      </c>
      <c r="C774" s="1" t="n">
        <v>46033</v>
      </c>
      <c r="D774" t="inlineStr">
        <is>
          <t>VÄSTERBOTTENS LÄN</t>
        </is>
      </c>
      <c r="E774" t="inlineStr">
        <is>
          <t>VILHELMINA</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48422-2023</t>
        </is>
      </c>
      <c r="B775" s="1" t="n">
        <v>45205</v>
      </c>
      <c r="C775" s="1" t="n">
        <v>46033</v>
      </c>
      <c r="D775" t="inlineStr">
        <is>
          <t>VÄSTERBOTTENS LÄN</t>
        </is>
      </c>
      <c r="E775" t="inlineStr">
        <is>
          <t>VILHELMINA</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53987-2021</t>
        </is>
      </c>
      <c r="B776" s="1" t="n">
        <v>44470.31884259259</v>
      </c>
      <c r="C776" s="1" t="n">
        <v>46033</v>
      </c>
      <c r="D776" t="inlineStr">
        <is>
          <t>VÄSTERBOTTENS LÄN</t>
        </is>
      </c>
      <c r="E776" t="inlineStr">
        <is>
          <t>VILHELMINA</t>
        </is>
      </c>
      <c r="F776" t="inlineStr">
        <is>
          <t>Kommuner</t>
        </is>
      </c>
      <c r="G776" t="n">
        <v>10</v>
      </c>
      <c r="H776" t="n">
        <v>0</v>
      </c>
      <c r="I776" t="n">
        <v>0</v>
      </c>
      <c r="J776" t="n">
        <v>0</v>
      </c>
      <c r="K776" t="n">
        <v>0</v>
      </c>
      <c r="L776" t="n">
        <v>0</v>
      </c>
      <c r="M776" t="n">
        <v>0</v>
      </c>
      <c r="N776" t="n">
        <v>0</v>
      </c>
      <c r="O776" t="n">
        <v>0</v>
      </c>
      <c r="P776" t="n">
        <v>0</v>
      </c>
      <c r="Q776" t="n">
        <v>0</v>
      </c>
      <c r="R776" s="2" t="inlineStr"/>
    </row>
    <row r="777" ht="15" customHeight="1">
      <c r="A777" t="inlineStr">
        <is>
          <t>A 54985-2023</t>
        </is>
      </c>
      <c r="B777" s="1" t="n">
        <v>45236</v>
      </c>
      <c r="C777" s="1" t="n">
        <v>46033</v>
      </c>
      <c r="D777" t="inlineStr">
        <is>
          <t>VÄSTERBOTTENS LÄN</t>
        </is>
      </c>
      <c r="E777" t="inlineStr">
        <is>
          <t>VILHELMINA</t>
        </is>
      </c>
      <c r="F777" t="inlineStr">
        <is>
          <t>SCA</t>
        </is>
      </c>
      <c r="G777" t="n">
        <v>7.5</v>
      </c>
      <c r="H777" t="n">
        <v>0</v>
      </c>
      <c r="I777" t="n">
        <v>0</v>
      </c>
      <c r="J777" t="n">
        <v>0</v>
      </c>
      <c r="K777" t="n">
        <v>0</v>
      </c>
      <c r="L777" t="n">
        <v>0</v>
      </c>
      <c r="M777" t="n">
        <v>0</v>
      </c>
      <c r="N777" t="n">
        <v>0</v>
      </c>
      <c r="O777" t="n">
        <v>0</v>
      </c>
      <c r="P777" t="n">
        <v>0</v>
      </c>
      <c r="Q777" t="n">
        <v>0</v>
      </c>
      <c r="R777" s="2" t="inlineStr"/>
    </row>
    <row r="778" ht="15" customHeight="1">
      <c r="A778" t="inlineStr">
        <is>
          <t>A 59030-2022</t>
        </is>
      </c>
      <c r="B778" s="1" t="n">
        <v>44903</v>
      </c>
      <c r="C778" s="1" t="n">
        <v>46033</v>
      </c>
      <c r="D778" t="inlineStr">
        <is>
          <t>VÄSTERBOTTENS LÄN</t>
        </is>
      </c>
      <c r="E778" t="inlineStr">
        <is>
          <t>VILHELMINA</t>
        </is>
      </c>
      <c r="G778" t="n">
        <v>17.8</v>
      </c>
      <c r="H778" t="n">
        <v>0</v>
      </c>
      <c r="I778" t="n">
        <v>0</v>
      </c>
      <c r="J778" t="n">
        <v>0</v>
      </c>
      <c r="K778" t="n">
        <v>0</v>
      </c>
      <c r="L778" t="n">
        <v>0</v>
      </c>
      <c r="M778" t="n">
        <v>0</v>
      </c>
      <c r="N778" t="n">
        <v>0</v>
      </c>
      <c r="O778" t="n">
        <v>0</v>
      </c>
      <c r="P778" t="n">
        <v>0</v>
      </c>
      <c r="Q778" t="n">
        <v>0</v>
      </c>
      <c r="R778" s="2" t="inlineStr"/>
    </row>
    <row r="779" ht="15" customHeight="1">
      <c r="A779" t="inlineStr">
        <is>
          <t>A 9916-2021</t>
        </is>
      </c>
      <c r="B779" s="1" t="n">
        <v>44253</v>
      </c>
      <c r="C779" s="1" t="n">
        <v>46033</v>
      </c>
      <c r="D779" t="inlineStr">
        <is>
          <t>VÄSTERBOTTENS LÄN</t>
        </is>
      </c>
      <c r="E779" t="inlineStr">
        <is>
          <t>VILHELMINA</t>
        </is>
      </c>
      <c r="G779" t="n">
        <v>1</v>
      </c>
      <c r="H779" t="n">
        <v>0</v>
      </c>
      <c r="I779" t="n">
        <v>0</v>
      </c>
      <c r="J779" t="n">
        <v>0</v>
      </c>
      <c r="K779" t="n">
        <v>0</v>
      </c>
      <c r="L779" t="n">
        <v>0</v>
      </c>
      <c r="M779" t="n">
        <v>0</v>
      </c>
      <c r="N779" t="n">
        <v>0</v>
      </c>
      <c r="O779" t="n">
        <v>0</v>
      </c>
      <c r="P779" t="n">
        <v>0</v>
      </c>
      <c r="Q779" t="n">
        <v>0</v>
      </c>
      <c r="R779" s="2" t="inlineStr"/>
    </row>
    <row r="780" ht="15" customHeight="1">
      <c r="A780" t="inlineStr">
        <is>
          <t>A 51825-2023</t>
        </is>
      </c>
      <c r="B780" s="1" t="n">
        <v>45222</v>
      </c>
      <c r="C780" s="1" t="n">
        <v>46033</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19585-2024</t>
        </is>
      </c>
      <c r="B781" s="1" t="n">
        <v>45429</v>
      </c>
      <c r="C781" s="1" t="n">
        <v>46033</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54459-2024</t>
        </is>
      </c>
      <c r="B782" s="1" t="n">
        <v>45617</v>
      </c>
      <c r="C782" s="1" t="n">
        <v>46033</v>
      </c>
      <c r="D782" t="inlineStr">
        <is>
          <t>VÄSTERBOTTENS LÄN</t>
        </is>
      </c>
      <c r="E782" t="inlineStr">
        <is>
          <t>VILHELMINA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12229-2022</t>
        </is>
      </c>
      <c r="B783" s="1" t="n">
        <v>44637</v>
      </c>
      <c r="C783" s="1" t="n">
        <v>46033</v>
      </c>
      <c r="D783" t="inlineStr">
        <is>
          <t>VÄSTERBOTTENS LÄN</t>
        </is>
      </c>
      <c r="E783" t="inlineStr">
        <is>
          <t>VILHELMINA</t>
        </is>
      </c>
      <c r="G783" t="n">
        <v>5</v>
      </c>
      <c r="H783" t="n">
        <v>0</v>
      </c>
      <c r="I783" t="n">
        <v>0</v>
      </c>
      <c r="J783" t="n">
        <v>0</v>
      </c>
      <c r="K783" t="n">
        <v>0</v>
      </c>
      <c r="L783" t="n">
        <v>0</v>
      </c>
      <c r="M783" t="n">
        <v>0</v>
      </c>
      <c r="N783" t="n">
        <v>0</v>
      </c>
      <c r="O783" t="n">
        <v>0</v>
      </c>
      <c r="P783" t="n">
        <v>0</v>
      </c>
      <c r="Q783" t="n">
        <v>0</v>
      </c>
      <c r="R783" s="2" t="inlineStr"/>
    </row>
    <row r="784" ht="15" customHeight="1">
      <c r="A784" t="inlineStr">
        <is>
          <t>A 27917-2024</t>
        </is>
      </c>
      <c r="B784" s="1" t="n">
        <v>45475.94844907407</v>
      </c>
      <c r="C784" s="1" t="n">
        <v>46033</v>
      </c>
      <c r="D784" t="inlineStr">
        <is>
          <t>VÄSTERBOTTENS LÄN</t>
        </is>
      </c>
      <c r="E784" t="inlineStr">
        <is>
          <t>VILHELMINA</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19600-2025</t>
        </is>
      </c>
      <c r="B785" s="1" t="n">
        <v>45770</v>
      </c>
      <c r="C785" s="1" t="n">
        <v>46033</v>
      </c>
      <c r="D785" t="inlineStr">
        <is>
          <t>VÄSTERBOTTENS LÄN</t>
        </is>
      </c>
      <c r="E785" t="inlineStr">
        <is>
          <t>VILHELMINA</t>
        </is>
      </c>
      <c r="G785" t="n">
        <v>3.7</v>
      </c>
      <c r="H785" t="n">
        <v>0</v>
      </c>
      <c r="I785" t="n">
        <v>0</v>
      </c>
      <c r="J785" t="n">
        <v>0</v>
      </c>
      <c r="K785" t="n">
        <v>0</v>
      </c>
      <c r="L785" t="n">
        <v>0</v>
      </c>
      <c r="M785" t="n">
        <v>0</v>
      </c>
      <c r="N785" t="n">
        <v>0</v>
      </c>
      <c r="O785" t="n">
        <v>0</v>
      </c>
      <c r="P785" t="n">
        <v>0</v>
      </c>
      <c r="Q785" t="n">
        <v>0</v>
      </c>
      <c r="R785" s="2" t="inlineStr"/>
    </row>
    <row r="786" ht="15" customHeight="1">
      <c r="A786" t="inlineStr">
        <is>
          <t>A 34819-2024</t>
        </is>
      </c>
      <c r="B786" s="1" t="n">
        <v>45526.71134259259</v>
      </c>
      <c r="C786" s="1" t="n">
        <v>46033</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57795-2023</t>
        </is>
      </c>
      <c r="B787" s="1" t="n">
        <v>45246.96861111111</v>
      </c>
      <c r="C787" s="1" t="n">
        <v>46033</v>
      </c>
      <c r="D787" t="inlineStr">
        <is>
          <t>VÄSTERBOTTENS LÄN</t>
        </is>
      </c>
      <c r="E787" t="inlineStr">
        <is>
          <t>VILHELMINA</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36214-2023</t>
        </is>
      </c>
      <c r="B788" s="1" t="n">
        <v>45149.95256944445</v>
      </c>
      <c r="C788" s="1" t="n">
        <v>46033</v>
      </c>
      <c r="D788" t="inlineStr">
        <is>
          <t>VÄSTERBOTTENS LÄN</t>
        </is>
      </c>
      <c r="E788" t="inlineStr">
        <is>
          <t>VILHELMINA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43637-2023</t>
        </is>
      </c>
      <c r="B789" s="1" t="n">
        <v>45186.51590277778</v>
      </c>
      <c r="C789" s="1" t="n">
        <v>46033</v>
      </c>
      <c r="D789" t="inlineStr">
        <is>
          <t>VÄSTERBOTTENS LÄN</t>
        </is>
      </c>
      <c r="E789" t="inlineStr">
        <is>
          <t>VILHELMINA</t>
        </is>
      </c>
      <c r="G789" t="n">
        <v>3.3</v>
      </c>
      <c r="H789" t="n">
        <v>0</v>
      </c>
      <c r="I789" t="n">
        <v>0</v>
      </c>
      <c r="J789" t="n">
        <v>0</v>
      </c>
      <c r="K789" t="n">
        <v>0</v>
      </c>
      <c r="L789" t="n">
        <v>0</v>
      </c>
      <c r="M789" t="n">
        <v>0</v>
      </c>
      <c r="N789" t="n">
        <v>0</v>
      </c>
      <c r="O789" t="n">
        <v>0</v>
      </c>
      <c r="P789" t="n">
        <v>0</v>
      </c>
      <c r="Q789" t="n">
        <v>0</v>
      </c>
      <c r="R789" s="2" t="inlineStr"/>
    </row>
    <row r="790" ht="15" customHeight="1">
      <c r="A790" t="inlineStr">
        <is>
          <t>A 36408-2023</t>
        </is>
      </c>
      <c r="B790" s="1" t="n">
        <v>45152</v>
      </c>
      <c r="C790" s="1" t="n">
        <v>46033</v>
      </c>
      <c r="D790" t="inlineStr">
        <is>
          <t>VÄSTERBOTTENS LÄN</t>
        </is>
      </c>
      <c r="E790" t="inlineStr">
        <is>
          <t>VILHELMINA</t>
        </is>
      </c>
      <c r="G790" t="n">
        <v>4.4</v>
      </c>
      <c r="H790" t="n">
        <v>0</v>
      </c>
      <c r="I790" t="n">
        <v>0</v>
      </c>
      <c r="J790" t="n">
        <v>0</v>
      </c>
      <c r="K790" t="n">
        <v>0</v>
      </c>
      <c r="L790" t="n">
        <v>0</v>
      </c>
      <c r="M790" t="n">
        <v>0</v>
      </c>
      <c r="N790" t="n">
        <v>0</v>
      </c>
      <c r="O790" t="n">
        <v>0</v>
      </c>
      <c r="P790" t="n">
        <v>0</v>
      </c>
      <c r="Q790" t="n">
        <v>0</v>
      </c>
      <c r="R790" s="2" t="inlineStr"/>
    </row>
    <row r="791" ht="15" customHeight="1">
      <c r="A791" t="inlineStr">
        <is>
          <t>A 35983-2023</t>
        </is>
      </c>
      <c r="B791" s="1" t="n">
        <v>45148.96185185185</v>
      </c>
      <c r="C791" s="1" t="n">
        <v>46033</v>
      </c>
      <c r="D791" t="inlineStr">
        <is>
          <t>VÄSTERBOTTENS LÄN</t>
        </is>
      </c>
      <c r="E791" t="inlineStr">
        <is>
          <t>VILHELMINA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32253-2024</t>
        </is>
      </c>
      <c r="B792" s="1" t="n">
        <v>45511.95214120371</v>
      </c>
      <c r="C792" s="1" t="n">
        <v>46033</v>
      </c>
      <c r="D792" t="inlineStr">
        <is>
          <t>VÄSTERBOTTENS LÄN</t>
        </is>
      </c>
      <c r="E792" t="inlineStr">
        <is>
          <t>VILHELMINA</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20534-2025</t>
        </is>
      </c>
      <c r="B793" s="1" t="n">
        <v>45775.61550925926</v>
      </c>
      <c r="C793" s="1" t="n">
        <v>46033</v>
      </c>
      <c r="D793" t="inlineStr">
        <is>
          <t>VÄSTERBOTTENS LÄN</t>
        </is>
      </c>
      <c r="E793" t="inlineStr">
        <is>
          <t>VILHELMINA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34762-2024</t>
        </is>
      </c>
      <c r="B794" s="1" t="n">
        <v>45526.61637731481</v>
      </c>
      <c r="C794" s="1" t="n">
        <v>46033</v>
      </c>
      <c r="D794" t="inlineStr">
        <is>
          <t>VÄSTERBOTTENS LÄN</t>
        </is>
      </c>
      <c r="E794" t="inlineStr">
        <is>
          <t>VILHELMINA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31851-2024</t>
        </is>
      </c>
      <c r="B795" s="1" t="n">
        <v>45509</v>
      </c>
      <c r="C795" s="1" t="n">
        <v>46033</v>
      </c>
      <c r="D795" t="inlineStr">
        <is>
          <t>VÄSTERBOTTENS LÄN</t>
        </is>
      </c>
      <c r="E795" t="inlineStr">
        <is>
          <t>VILHELMINA</t>
        </is>
      </c>
      <c r="G795" t="n">
        <v>5.1</v>
      </c>
      <c r="H795" t="n">
        <v>0</v>
      </c>
      <c r="I795" t="n">
        <v>0</v>
      </c>
      <c r="J795" t="n">
        <v>0</v>
      </c>
      <c r="K795" t="n">
        <v>0</v>
      </c>
      <c r="L795" t="n">
        <v>0</v>
      </c>
      <c r="M795" t="n">
        <v>0</v>
      </c>
      <c r="N795" t="n">
        <v>0</v>
      </c>
      <c r="O795" t="n">
        <v>0</v>
      </c>
      <c r="P795" t="n">
        <v>0</v>
      </c>
      <c r="Q795" t="n">
        <v>0</v>
      </c>
      <c r="R795" s="2" t="inlineStr"/>
    </row>
    <row r="796" ht="15" customHeight="1">
      <c r="A796" t="inlineStr">
        <is>
          <t>A 31896-2024</t>
        </is>
      </c>
      <c r="B796" s="1" t="n">
        <v>45509</v>
      </c>
      <c r="C796" s="1" t="n">
        <v>46033</v>
      </c>
      <c r="D796" t="inlineStr">
        <is>
          <t>VÄSTERBOTTENS LÄN</t>
        </is>
      </c>
      <c r="E796" t="inlineStr">
        <is>
          <t>VILHELMINA</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43251-2024</t>
        </is>
      </c>
      <c r="B797" s="1" t="n">
        <v>45568.34429398148</v>
      </c>
      <c r="C797" s="1" t="n">
        <v>46033</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70849-2021</t>
        </is>
      </c>
      <c r="B798" s="1" t="n">
        <v>44532</v>
      </c>
      <c r="C798" s="1" t="n">
        <v>46033</v>
      </c>
      <c r="D798" t="inlineStr">
        <is>
          <t>VÄSTERBOTTENS LÄN</t>
        </is>
      </c>
      <c r="E798" t="inlineStr">
        <is>
          <t>VILHELMINA</t>
        </is>
      </c>
      <c r="G798" t="n">
        <v>21.4</v>
      </c>
      <c r="H798" t="n">
        <v>0</v>
      </c>
      <c r="I798" t="n">
        <v>0</v>
      </c>
      <c r="J798" t="n">
        <v>0</v>
      </c>
      <c r="K798" t="n">
        <v>0</v>
      </c>
      <c r="L798" t="n">
        <v>0</v>
      </c>
      <c r="M798" t="n">
        <v>0</v>
      </c>
      <c r="N798" t="n">
        <v>0</v>
      </c>
      <c r="O798" t="n">
        <v>0</v>
      </c>
      <c r="P798" t="n">
        <v>0</v>
      </c>
      <c r="Q798" t="n">
        <v>0</v>
      </c>
      <c r="R798" s="2" t="inlineStr"/>
    </row>
    <row r="799" ht="15" customHeight="1">
      <c r="A799" t="inlineStr">
        <is>
          <t>A 12043-2023</t>
        </is>
      </c>
      <c r="B799" s="1" t="n">
        <v>44995</v>
      </c>
      <c r="C799" s="1" t="n">
        <v>46033</v>
      </c>
      <c r="D799" t="inlineStr">
        <is>
          <t>VÄSTERBOTTENS LÄN</t>
        </is>
      </c>
      <c r="E799" t="inlineStr">
        <is>
          <t>VILHELMINA</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57108-2023</t>
        </is>
      </c>
      <c r="B800" s="1" t="n">
        <v>45239</v>
      </c>
      <c r="C800" s="1" t="n">
        <v>46033</v>
      </c>
      <c r="D800" t="inlineStr">
        <is>
          <t>VÄSTERBOTTENS LÄN</t>
        </is>
      </c>
      <c r="E800" t="inlineStr">
        <is>
          <t>VILHELMINA</t>
        </is>
      </c>
      <c r="G800" t="n">
        <v>0.6</v>
      </c>
      <c r="H800" t="n">
        <v>0</v>
      </c>
      <c r="I800" t="n">
        <v>0</v>
      </c>
      <c r="J800" t="n">
        <v>0</v>
      </c>
      <c r="K800" t="n">
        <v>0</v>
      </c>
      <c r="L800" t="n">
        <v>0</v>
      </c>
      <c r="M800" t="n">
        <v>0</v>
      </c>
      <c r="N800" t="n">
        <v>0</v>
      </c>
      <c r="O800" t="n">
        <v>0</v>
      </c>
      <c r="P800" t="n">
        <v>0</v>
      </c>
      <c r="Q800" t="n">
        <v>0</v>
      </c>
      <c r="R800" s="2" t="inlineStr"/>
    </row>
    <row r="801" ht="15" customHeight="1">
      <c r="A801" t="inlineStr">
        <is>
          <t>A 54727-2022</t>
        </is>
      </c>
      <c r="B801" s="1" t="n">
        <v>44881</v>
      </c>
      <c r="C801" s="1" t="n">
        <v>46033</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50506-2023</t>
        </is>
      </c>
      <c r="B802" s="1" t="n">
        <v>45216.9580787037</v>
      </c>
      <c r="C802" s="1" t="n">
        <v>46033</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29922-2024</t>
        </is>
      </c>
      <c r="B803" s="1" t="n">
        <v>45487.9563425926</v>
      </c>
      <c r="C803" s="1" t="n">
        <v>46033</v>
      </c>
      <c r="D803" t="inlineStr">
        <is>
          <t>VÄSTERBOTTENS LÄN</t>
        </is>
      </c>
      <c r="E803" t="inlineStr">
        <is>
          <t>VILHELMINA</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17302-2025</t>
        </is>
      </c>
      <c r="B804" s="1" t="n">
        <v>45756</v>
      </c>
      <c r="C804" s="1" t="n">
        <v>46033</v>
      </c>
      <c r="D804" t="inlineStr">
        <is>
          <t>VÄSTERBOTTENS LÄN</t>
        </is>
      </c>
      <c r="E804" t="inlineStr">
        <is>
          <t>VILHELMINA</t>
        </is>
      </c>
      <c r="G804" t="n">
        <v>6.6</v>
      </c>
      <c r="H804" t="n">
        <v>0</v>
      </c>
      <c r="I804" t="n">
        <v>0</v>
      </c>
      <c r="J804" t="n">
        <v>0</v>
      </c>
      <c r="K804" t="n">
        <v>0</v>
      </c>
      <c r="L804" t="n">
        <v>0</v>
      </c>
      <c r="M804" t="n">
        <v>0</v>
      </c>
      <c r="N804" t="n">
        <v>0</v>
      </c>
      <c r="O804" t="n">
        <v>0</v>
      </c>
      <c r="P804" t="n">
        <v>0</v>
      </c>
      <c r="Q804" t="n">
        <v>0</v>
      </c>
      <c r="R804" s="2" t="inlineStr"/>
    </row>
    <row r="805" ht="15" customHeight="1">
      <c r="A805" t="inlineStr">
        <is>
          <t>A 17307-2025</t>
        </is>
      </c>
      <c r="B805" s="1" t="n">
        <v>45756</v>
      </c>
      <c r="C805" s="1" t="n">
        <v>46033</v>
      </c>
      <c r="D805" t="inlineStr">
        <is>
          <t>VÄSTERBOTTENS LÄN</t>
        </is>
      </c>
      <c r="E805" t="inlineStr">
        <is>
          <t>VILHELMINA</t>
        </is>
      </c>
      <c r="G805" t="n">
        <v>11.2</v>
      </c>
      <c r="H805" t="n">
        <v>0</v>
      </c>
      <c r="I805" t="n">
        <v>0</v>
      </c>
      <c r="J805" t="n">
        <v>0</v>
      </c>
      <c r="K805" t="n">
        <v>0</v>
      </c>
      <c r="L805" t="n">
        <v>0</v>
      </c>
      <c r="M805" t="n">
        <v>0</v>
      </c>
      <c r="N805" t="n">
        <v>0</v>
      </c>
      <c r="O805" t="n">
        <v>0</v>
      </c>
      <c r="P805" t="n">
        <v>0</v>
      </c>
      <c r="Q805" t="n">
        <v>0</v>
      </c>
      <c r="R805" s="2" t="inlineStr"/>
    </row>
    <row r="806" ht="15" customHeight="1">
      <c r="A806" t="inlineStr">
        <is>
          <t>A 17314-2025</t>
        </is>
      </c>
      <c r="B806" s="1" t="n">
        <v>45756</v>
      </c>
      <c r="C806" s="1" t="n">
        <v>46033</v>
      </c>
      <c r="D806" t="inlineStr">
        <is>
          <t>VÄSTERBOTTENS LÄN</t>
        </is>
      </c>
      <c r="E806" t="inlineStr">
        <is>
          <t>VILHELMINA</t>
        </is>
      </c>
      <c r="G806" t="n">
        <v>3.4</v>
      </c>
      <c r="H806" t="n">
        <v>0</v>
      </c>
      <c r="I806" t="n">
        <v>0</v>
      </c>
      <c r="J806" t="n">
        <v>0</v>
      </c>
      <c r="K806" t="n">
        <v>0</v>
      </c>
      <c r="L806" t="n">
        <v>0</v>
      </c>
      <c r="M806" t="n">
        <v>0</v>
      </c>
      <c r="N806" t="n">
        <v>0</v>
      </c>
      <c r="O806" t="n">
        <v>0</v>
      </c>
      <c r="P806" t="n">
        <v>0</v>
      </c>
      <c r="Q806" t="n">
        <v>0</v>
      </c>
      <c r="R806" s="2" t="inlineStr"/>
    </row>
    <row r="807" ht="15" customHeight="1">
      <c r="A807" t="inlineStr">
        <is>
          <t>A 8745-2023</t>
        </is>
      </c>
      <c r="B807" s="1" t="n">
        <v>44972</v>
      </c>
      <c r="C807" s="1" t="n">
        <v>46033</v>
      </c>
      <c r="D807" t="inlineStr">
        <is>
          <t>VÄSTERBOTTENS LÄN</t>
        </is>
      </c>
      <c r="E807" t="inlineStr">
        <is>
          <t>VILHELMINA</t>
        </is>
      </c>
      <c r="F807" t="inlineStr">
        <is>
          <t>Allmännings- och besparingsskogar</t>
        </is>
      </c>
      <c r="G807" t="n">
        <v>41</v>
      </c>
      <c r="H807" t="n">
        <v>0</v>
      </c>
      <c r="I807" t="n">
        <v>0</v>
      </c>
      <c r="J807" t="n">
        <v>0</v>
      </c>
      <c r="K807" t="n">
        <v>0</v>
      </c>
      <c r="L807" t="n">
        <v>0</v>
      </c>
      <c r="M807" t="n">
        <v>0</v>
      </c>
      <c r="N807" t="n">
        <v>0</v>
      </c>
      <c r="O807" t="n">
        <v>0</v>
      </c>
      <c r="P807" t="n">
        <v>0</v>
      </c>
      <c r="Q807" t="n">
        <v>0</v>
      </c>
      <c r="R807" s="2" t="inlineStr"/>
    </row>
    <row r="808" ht="15" customHeight="1">
      <c r="A808" t="inlineStr">
        <is>
          <t>A 8229-2022</t>
        </is>
      </c>
      <c r="B808" s="1" t="n">
        <v>44609</v>
      </c>
      <c r="C808" s="1" t="n">
        <v>46033</v>
      </c>
      <c r="D808" t="inlineStr">
        <is>
          <t>VÄSTERBOTTENS LÄN</t>
        </is>
      </c>
      <c r="E808" t="inlineStr">
        <is>
          <t>VILHELMINA</t>
        </is>
      </c>
      <c r="F808" t="inlineStr">
        <is>
          <t>SCA</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252-2025</t>
        </is>
      </c>
      <c r="B809" s="1" t="n">
        <v>45660.42734953704</v>
      </c>
      <c r="C809" s="1" t="n">
        <v>46033</v>
      </c>
      <c r="D809" t="inlineStr">
        <is>
          <t>VÄSTERBOTTENS LÄN</t>
        </is>
      </c>
      <c r="E809" t="inlineStr">
        <is>
          <t>VILHELMINA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296-2025</t>
        </is>
      </c>
      <c r="B810" s="1" t="n">
        <v>45660.53215277778</v>
      </c>
      <c r="C810" s="1" t="n">
        <v>46033</v>
      </c>
      <c r="D810" t="inlineStr">
        <is>
          <t>VÄSTERBOTTENS LÄN</t>
        </is>
      </c>
      <c r="E810" t="inlineStr">
        <is>
          <t>VILHELMINA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45149.95310185185</v>
      </c>
      <c r="C811" s="1" t="n">
        <v>46033</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54727-2024</t>
        </is>
      </c>
      <c r="B812" s="1" t="n">
        <v>45618.43804398148</v>
      </c>
      <c r="C812" s="1" t="n">
        <v>46033</v>
      </c>
      <c r="D812" t="inlineStr">
        <is>
          <t>VÄSTERBOTTENS LÄN</t>
        </is>
      </c>
      <c r="E812" t="inlineStr">
        <is>
          <t>VILHELMINA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74-2025</t>
        </is>
      </c>
      <c r="B813" s="1" t="n">
        <v>45659</v>
      </c>
      <c r="C813" s="1" t="n">
        <v>46033</v>
      </c>
      <c r="D813" t="inlineStr">
        <is>
          <t>VÄSTERBOTTENS LÄN</t>
        </is>
      </c>
      <c r="E813" t="inlineStr">
        <is>
          <t>VILHELMINA</t>
        </is>
      </c>
      <c r="G813" t="n">
        <v>5.9</v>
      </c>
      <c r="H813" t="n">
        <v>0</v>
      </c>
      <c r="I813" t="n">
        <v>0</v>
      </c>
      <c r="J813" t="n">
        <v>0</v>
      </c>
      <c r="K813" t="n">
        <v>0</v>
      </c>
      <c r="L813" t="n">
        <v>0</v>
      </c>
      <c r="M813" t="n">
        <v>0</v>
      </c>
      <c r="N813" t="n">
        <v>0</v>
      </c>
      <c r="O813" t="n">
        <v>0</v>
      </c>
      <c r="P813" t="n">
        <v>0</v>
      </c>
      <c r="Q813" t="n">
        <v>0</v>
      </c>
      <c r="R813" s="2" t="inlineStr"/>
    </row>
    <row r="814" ht="15" customHeight="1">
      <c r="A814" t="inlineStr">
        <is>
          <t>A 78-2025</t>
        </is>
      </c>
      <c r="B814" s="1" t="n">
        <v>45659</v>
      </c>
      <c r="C814" s="1" t="n">
        <v>46033</v>
      </c>
      <c r="D814" t="inlineStr">
        <is>
          <t>VÄSTERBOTTENS LÄN</t>
        </is>
      </c>
      <c r="E814" t="inlineStr">
        <is>
          <t>VILHELMINA</t>
        </is>
      </c>
      <c r="G814" t="n">
        <v>7.3</v>
      </c>
      <c r="H814" t="n">
        <v>0</v>
      </c>
      <c r="I814" t="n">
        <v>0</v>
      </c>
      <c r="J814" t="n">
        <v>0</v>
      </c>
      <c r="K814" t="n">
        <v>0</v>
      </c>
      <c r="L814" t="n">
        <v>0</v>
      </c>
      <c r="M814" t="n">
        <v>0</v>
      </c>
      <c r="N814" t="n">
        <v>0</v>
      </c>
      <c r="O814" t="n">
        <v>0</v>
      </c>
      <c r="P814" t="n">
        <v>0</v>
      </c>
      <c r="Q814" t="n">
        <v>0</v>
      </c>
      <c r="R814" s="2" t="inlineStr"/>
    </row>
    <row r="815" ht="15" customHeight="1">
      <c r="A815" t="inlineStr">
        <is>
          <t>A 37937-2023</t>
        </is>
      </c>
      <c r="B815" s="1" t="n">
        <v>45159</v>
      </c>
      <c r="C815" s="1" t="n">
        <v>46033</v>
      </c>
      <c r="D815" t="inlineStr">
        <is>
          <t>VÄSTERBOTTENS LÄN</t>
        </is>
      </c>
      <c r="E815" t="inlineStr">
        <is>
          <t>VILHELMINA</t>
        </is>
      </c>
      <c r="G815" t="n">
        <v>2.2</v>
      </c>
      <c r="H815" t="n">
        <v>0</v>
      </c>
      <c r="I815" t="n">
        <v>0</v>
      </c>
      <c r="J815" t="n">
        <v>0</v>
      </c>
      <c r="K815" t="n">
        <v>0</v>
      </c>
      <c r="L815" t="n">
        <v>0</v>
      </c>
      <c r="M815" t="n">
        <v>0</v>
      </c>
      <c r="N815" t="n">
        <v>0</v>
      </c>
      <c r="O815" t="n">
        <v>0</v>
      </c>
      <c r="P815" t="n">
        <v>0</v>
      </c>
      <c r="Q815" t="n">
        <v>0</v>
      </c>
      <c r="R815" s="2" t="inlineStr"/>
    </row>
    <row r="816" ht="15" customHeight="1">
      <c r="A816" t="inlineStr">
        <is>
          <t>A 46177-2023</t>
        </is>
      </c>
      <c r="B816" s="1" t="n">
        <v>45190</v>
      </c>
      <c r="C816" s="1" t="n">
        <v>46033</v>
      </c>
      <c r="D816" t="inlineStr">
        <is>
          <t>VÄSTERBOTTENS LÄN</t>
        </is>
      </c>
      <c r="E816" t="inlineStr">
        <is>
          <t>VILHELMINA</t>
        </is>
      </c>
      <c r="F816" t="inlineStr">
        <is>
          <t>Övriga Aktiebolag</t>
        </is>
      </c>
      <c r="G816" t="n">
        <v>7.7</v>
      </c>
      <c r="H816" t="n">
        <v>0</v>
      </c>
      <c r="I816" t="n">
        <v>0</v>
      </c>
      <c r="J816" t="n">
        <v>0</v>
      </c>
      <c r="K816" t="n">
        <v>0</v>
      </c>
      <c r="L816" t="n">
        <v>0</v>
      </c>
      <c r="M816" t="n">
        <v>0</v>
      </c>
      <c r="N816" t="n">
        <v>0</v>
      </c>
      <c r="O816" t="n">
        <v>0</v>
      </c>
      <c r="P816" t="n">
        <v>0</v>
      </c>
      <c r="Q816" t="n">
        <v>0</v>
      </c>
      <c r="R816" s="2" t="inlineStr"/>
    </row>
    <row r="817" ht="15" customHeight="1">
      <c r="A817" t="inlineStr">
        <is>
          <t>A 468-2024</t>
        </is>
      </c>
      <c r="B817" s="1" t="n">
        <v>45297</v>
      </c>
      <c r="C817" s="1" t="n">
        <v>46033</v>
      </c>
      <c r="D817" t="inlineStr">
        <is>
          <t>VÄSTERBOTTENS LÄN</t>
        </is>
      </c>
      <c r="E817" t="inlineStr">
        <is>
          <t>VILHELMINA</t>
        </is>
      </c>
      <c r="G817" t="n">
        <v>6.7</v>
      </c>
      <c r="H817" t="n">
        <v>0</v>
      </c>
      <c r="I817" t="n">
        <v>0</v>
      </c>
      <c r="J817" t="n">
        <v>0</v>
      </c>
      <c r="K817" t="n">
        <v>0</v>
      </c>
      <c r="L817" t="n">
        <v>0</v>
      </c>
      <c r="M817" t="n">
        <v>0</v>
      </c>
      <c r="N817" t="n">
        <v>0</v>
      </c>
      <c r="O817" t="n">
        <v>0</v>
      </c>
      <c r="P817" t="n">
        <v>0</v>
      </c>
      <c r="Q817" t="n">
        <v>0</v>
      </c>
      <c r="R817" s="2" t="inlineStr"/>
    </row>
    <row r="818" ht="15" customHeight="1">
      <c r="A818" t="inlineStr">
        <is>
          <t>A 9181-2023</t>
        </is>
      </c>
      <c r="B818" s="1" t="n">
        <v>44972</v>
      </c>
      <c r="C818" s="1" t="n">
        <v>46033</v>
      </c>
      <c r="D818" t="inlineStr">
        <is>
          <t>VÄSTERBOTTENS LÄN</t>
        </is>
      </c>
      <c r="E818" t="inlineStr">
        <is>
          <t>VILHELMINA</t>
        </is>
      </c>
      <c r="F818" t="inlineStr">
        <is>
          <t>Allmännings- och besparingsskogar</t>
        </is>
      </c>
      <c r="G818" t="n">
        <v>220.1</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46033</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11139-2022</t>
        </is>
      </c>
      <c r="B820" s="1" t="n">
        <v>44628</v>
      </c>
      <c r="C820" s="1" t="n">
        <v>46033</v>
      </c>
      <c r="D820" t="inlineStr">
        <is>
          <t>VÄSTERBOTTENS LÄN</t>
        </is>
      </c>
      <c r="E820" t="inlineStr">
        <is>
          <t>VILHELMINA</t>
        </is>
      </c>
      <c r="G820" t="n">
        <v>13.6</v>
      </c>
      <c r="H820" t="n">
        <v>0</v>
      </c>
      <c r="I820" t="n">
        <v>0</v>
      </c>
      <c r="J820" t="n">
        <v>0</v>
      </c>
      <c r="K820" t="n">
        <v>0</v>
      </c>
      <c r="L820" t="n">
        <v>0</v>
      </c>
      <c r="M820" t="n">
        <v>0</v>
      </c>
      <c r="N820" t="n">
        <v>0</v>
      </c>
      <c r="O820" t="n">
        <v>0</v>
      </c>
      <c r="P820" t="n">
        <v>0</v>
      </c>
      <c r="Q820" t="n">
        <v>0</v>
      </c>
      <c r="R820" s="2" t="inlineStr"/>
    </row>
    <row r="821" ht="15" customHeight="1">
      <c r="A821" t="inlineStr">
        <is>
          <t>A 29347-2021</t>
        </is>
      </c>
      <c r="B821" s="1" t="n">
        <v>44361</v>
      </c>
      <c r="C821" s="1" t="n">
        <v>46033</v>
      </c>
      <c r="D821" t="inlineStr">
        <is>
          <t>VÄSTERBOTTENS LÄN</t>
        </is>
      </c>
      <c r="E821" t="inlineStr">
        <is>
          <t>VILHELMINA</t>
        </is>
      </c>
      <c r="F821" t="inlineStr">
        <is>
          <t>Allmännings- och besparingsskogar</t>
        </is>
      </c>
      <c r="G821" t="n">
        <v>52</v>
      </c>
      <c r="H821" t="n">
        <v>0</v>
      </c>
      <c r="I821" t="n">
        <v>0</v>
      </c>
      <c r="J821" t="n">
        <v>0</v>
      </c>
      <c r="K821" t="n">
        <v>0</v>
      </c>
      <c r="L821" t="n">
        <v>0</v>
      </c>
      <c r="M821" t="n">
        <v>0</v>
      </c>
      <c r="N821" t="n">
        <v>0</v>
      </c>
      <c r="O821" t="n">
        <v>0</v>
      </c>
      <c r="P821" t="n">
        <v>0</v>
      </c>
      <c r="Q821" t="n">
        <v>0</v>
      </c>
      <c r="R821" s="2" t="inlineStr"/>
    </row>
    <row r="822" ht="15" customHeight="1">
      <c r="A822" t="inlineStr">
        <is>
          <t>A 29722-2024</t>
        </is>
      </c>
      <c r="B822" s="1" t="n">
        <v>45485</v>
      </c>
      <c r="C822" s="1" t="n">
        <v>46033</v>
      </c>
      <c r="D822" t="inlineStr">
        <is>
          <t>VÄSTERBOTTENS LÄN</t>
        </is>
      </c>
      <c r="E822" t="inlineStr">
        <is>
          <t>VILHELMINA</t>
        </is>
      </c>
      <c r="G822" t="n">
        <v>2.5</v>
      </c>
      <c r="H822" t="n">
        <v>0</v>
      </c>
      <c r="I822" t="n">
        <v>0</v>
      </c>
      <c r="J822" t="n">
        <v>0</v>
      </c>
      <c r="K822" t="n">
        <v>0</v>
      </c>
      <c r="L822" t="n">
        <v>0</v>
      </c>
      <c r="M822" t="n">
        <v>0</v>
      </c>
      <c r="N822" t="n">
        <v>0</v>
      </c>
      <c r="O822" t="n">
        <v>0</v>
      </c>
      <c r="P822" t="n">
        <v>0</v>
      </c>
      <c r="Q822" t="n">
        <v>0</v>
      </c>
      <c r="R822" s="2" t="inlineStr"/>
    </row>
    <row r="823" ht="15" customHeight="1">
      <c r="A823" t="inlineStr">
        <is>
          <t>A 33318-2024</t>
        </is>
      </c>
      <c r="B823" s="1" t="n">
        <v>45518.97211805556</v>
      </c>
      <c r="C823" s="1" t="n">
        <v>46033</v>
      </c>
      <c r="D823" t="inlineStr">
        <is>
          <t>VÄSTERBOTTENS LÄN</t>
        </is>
      </c>
      <c r="E823" t="inlineStr">
        <is>
          <t>VILHELMINA</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34807-2023</t>
        </is>
      </c>
      <c r="B824" s="1" t="n">
        <v>45140</v>
      </c>
      <c r="C824" s="1" t="n">
        <v>46033</v>
      </c>
      <c r="D824" t="inlineStr">
        <is>
          <t>VÄSTERBOTTENS LÄN</t>
        </is>
      </c>
      <c r="E824" t="inlineStr">
        <is>
          <t>VILHELMINA</t>
        </is>
      </c>
      <c r="G824" t="n">
        <v>8.1</v>
      </c>
      <c r="H824" t="n">
        <v>0</v>
      </c>
      <c r="I824" t="n">
        <v>0</v>
      </c>
      <c r="J824" t="n">
        <v>0</v>
      </c>
      <c r="K824" t="n">
        <v>0</v>
      </c>
      <c r="L824" t="n">
        <v>0</v>
      </c>
      <c r="M824" t="n">
        <v>0</v>
      </c>
      <c r="N824" t="n">
        <v>0</v>
      </c>
      <c r="O824" t="n">
        <v>0</v>
      </c>
      <c r="P824" t="n">
        <v>0</v>
      </c>
      <c r="Q824" t="n">
        <v>0</v>
      </c>
      <c r="R824" s="2" t="inlineStr"/>
    </row>
    <row r="825" ht="15" customHeight="1">
      <c r="A825" t="inlineStr">
        <is>
          <t>A 26663-2023</t>
        </is>
      </c>
      <c r="B825" s="1" t="n">
        <v>45092.94042824074</v>
      </c>
      <c r="C825" s="1" t="n">
        <v>46033</v>
      </c>
      <c r="D825" t="inlineStr">
        <is>
          <t>VÄSTERBOTTENS LÄN</t>
        </is>
      </c>
      <c r="E825" t="inlineStr">
        <is>
          <t>VILHELMINA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20322-2022</t>
        </is>
      </c>
      <c r="B826" s="1" t="n">
        <v>44698</v>
      </c>
      <c r="C826" s="1" t="n">
        <v>46033</v>
      </c>
      <c r="D826" t="inlineStr">
        <is>
          <t>VÄSTERBOTTENS LÄN</t>
        </is>
      </c>
      <c r="E826" t="inlineStr">
        <is>
          <t>VILHELMINA</t>
        </is>
      </c>
      <c r="G826" t="n">
        <v>10.5</v>
      </c>
      <c r="H826" t="n">
        <v>0</v>
      </c>
      <c r="I826" t="n">
        <v>0</v>
      </c>
      <c r="J826" t="n">
        <v>0</v>
      </c>
      <c r="K826" t="n">
        <v>0</v>
      </c>
      <c r="L826" t="n">
        <v>0</v>
      </c>
      <c r="M826" t="n">
        <v>0</v>
      </c>
      <c r="N826" t="n">
        <v>0</v>
      </c>
      <c r="O826" t="n">
        <v>0</v>
      </c>
      <c r="P826" t="n">
        <v>0</v>
      </c>
      <c r="Q826" t="n">
        <v>0</v>
      </c>
      <c r="R826" s="2" t="inlineStr"/>
    </row>
    <row r="827" ht="15" customHeight="1">
      <c r="A827" t="inlineStr">
        <is>
          <t>A 38222-2024</t>
        </is>
      </c>
      <c r="B827" s="1" t="n">
        <v>45545.53619212963</v>
      </c>
      <c r="C827" s="1" t="n">
        <v>46033</v>
      </c>
      <c r="D827" t="inlineStr">
        <is>
          <t>VÄSTERBOTTENS LÄN</t>
        </is>
      </c>
      <c r="E827" t="inlineStr">
        <is>
          <t>VILHELMINA</t>
        </is>
      </c>
      <c r="F827" t="inlineStr">
        <is>
          <t>Sveaskog</t>
        </is>
      </c>
      <c r="G827" t="n">
        <v>6</v>
      </c>
      <c r="H827" t="n">
        <v>0</v>
      </c>
      <c r="I827" t="n">
        <v>0</v>
      </c>
      <c r="J827" t="n">
        <v>0</v>
      </c>
      <c r="K827" t="n">
        <v>0</v>
      </c>
      <c r="L827" t="n">
        <v>0</v>
      </c>
      <c r="M827" t="n">
        <v>0</v>
      </c>
      <c r="N827" t="n">
        <v>0</v>
      </c>
      <c r="O827" t="n">
        <v>0</v>
      </c>
      <c r="P827" t="n">
        <v>0</v>
      </c>
      <c r="Q827" t="n">
        <v>0</v>
      </c>
      <c r="R827" s="2" t="inlineStr"/>
    </row>
    <row r="828" ht="15" customHeight="1">
      <c r="A828" t="inlineStr">
        <is>
          <t>A 56747-2023</t>
        </is>
      </c>
      <c r="B828" s="1" t="n">
        <v>45238</v>
      </c>
      <c r="C828" s="1" t="n">
        <v>46033</v>
      </c>
      <c r="D828" t="inlineStr">
        <is>
          <t>VÄSTERBOTTENS LÄN</t>
        </is>
      </c>
      <c r="E828" t="inlineStr">
        <is>
          <t>VILHELMINA</t>
        </is>
      </c>
      <c r="F828" t="inlineStr">
        <is>
          <t>Allmännings- och besparingsskogar</t>
        </is>
      </c>
      <c r="G828" t="n">
        <v>16.2</v>
      </c>
      <c r="H828" t="n">
        <v>0</v>
      </c>
      <c r="I828" t="n">
        <v>0</v>
      </c>
      <c r="J828" t="n">
        <v>0</v>
      </c>
      <c r="K828" t="n">
        <v>0</v>
      </c>
      <c r="L828" t="n">
        <v>0</v>
      </c>
      <c r="M828" t="n">
        <v>0</v>
      </c>
      <c r="N828" t="n">
        <v>0</v>
      </c>
      <c r="O828" t="n">
        <v>0</v>
      </c>
      <c r="P828" t="n">
        <v>0</v>
      </c>
      <c r="Q828" t="n">
        <v>0</v>
      </c>
      <c r="R828" s="2" t="inlineStr"/>
    </row>
    <row r="829" ht="15" customHeight="1">
      <c r="A829" t="inlineStr">
        <is>
          <t>A 56758-2023</t>
        </is>
      </c>
      <c r="B829" s="1" t="n">
        <v>45238</v>
      </c>
      <c r="C829" s="1" t="n">
        <v>46033</v>
      </c>
      <c r="D829" t="inlineStr">
        <is>
          <t>VÄSTERBOTTENS LÄN</t>
        </is>
      </c>
      <c r="E829" t="inlineStr">
        <is>
          <t>VILHELMINA</t>
        </is>
      </c>
      <c r="F829" t="inlineStr">
        <is>
          <t>Allmännings- och besparingsskogar</t>
        </is>
      </c>
      <c r="G829" t="n">
        <v>371.4</v>
      </c>
      <c r="H829" t="n">
        <v>0</v>
      </c>
      <c r="I829" t="n">
        <v>0</v>
      </c>
      <c r="J829" t="n">
        <v>0</v>
      </c>
      <c r="K829" t="n">
        <v>0</v>
      </c>
      <c r="L829" t="n">
        <v>0</v>
      </c>
      <c r="M829" t="n">
        <v>0</v>
      </c>
      <c r="N829" t="n">
        <v>0</v>
      </c>
      <c r="O829" t="n">
        <v>0</v>
      </c>
      <c r="P829" t="n">
        <v>0</v>
      </c>
      <c r="Q829" t="n">
        <v>0</v>
      </c>
      <c r="R829" s="2" t="inlineStr"/>
    </row>
    <row r="830" ht="15" customHeight="1">
      <c r="A830" t="inlineStr">
        <is>
          <t>A 12118-2024</t>
        </is>
      </c>
      <c r="B830" s="1" t="n">
        <v>45376</v>
      </c>
      <c r="C830" s="1" t="n">
        <v>46033</v>
      </c>
      <c r="D830" t="inlineStr">
        <is>
          <t>VÄSTERBOTTENS LÄN</t>
        </is>
      </c>
      <c r="E830" t="inlineStr">
        <is>
          <t>VILHELMINA</t>
        </is>
      </c>
      <c r="G830" t="n">
        <v>3.6</v>
      </c>
      <c r="H830" t="n">
        <v>0</v>
      </c>
      <c r="I830" t="n">
        <v>0</v>
      </c>
      <c r="J830" t="n">
        <v>0</v>
      </c>
      <c r="K830" t="n">
        <v>0</v>
      </c>
      <c r="L830" t="n">
        <v>0</v>
      </c>
      <c r="M830" t="n">
        <v>0</v>
      </c>
      <c r="N830" t="n">
        <v>0</v>
      </c>
      <c r="O830" t="n">
        <v>0</v>
      </c>
      <c r="P830" t="n">
        <v>0</v>
      </c>
      <c r="Q830" t="n">
        <v>0</v>
      </c>
      <c r="R830" s="2" t="inlineStr"/>
    </row>
    <row r="831" ht="15" customHeight="1">
      <c r="A831" t="inlineStr">
        <is>
          <t>A 15326-2024</t>
        </is>
      </c>
      <c r="B831" s="1" t="n">
        <v>45400</v>
      </c>
      <c r="C831" s="1" t="n">
        <v>46033</v>
      </c>
      <c r="D831" t="inlineStr">
        <is>
          <t>VÄSTERBOTTENS LÄN</t>
        </is>
      </c>
      <c r="E831" t="inlineStr">
        <is>
          <t>VILHELMINA</t>
        </is>
      </c>
      <c r="G831" t="n">
        <v>4.7</v>
      </c>
      <c r="H831" t="n">
        <v>0</v>
      </c>
      <c r="I831" t="n">
        <v>0</v>
      </c>
      <c r="J831" t="n">
        <v>0</v>
      </c>
      <c r="K831" t="n">
        <v>0</v>
      </c>
      <c r="L831" t="n">
        <v>0</v>
      </c>
      <c r="M831" t="n">
        <v>0</v>
      </c>
      <c r="N831" t="n">
        <v>0</v>
      </c>
      <c r="O831" t="n">
        <v>0</v>
      </c>
      <c r="P831" t="n">
        <v>0</v>
      </c>
      <c r="Q831" t="n">
        <v>0</v>
      </c>
      <c r="R831" s="2" t="inlineStr"/>
    </row>
    <row r="832" ht="15" customHeight="1">
      <c r="A832" t="inlineStr">
        <is>
          <t>A 48472-2023</t>
        </is>
      </c>
      <c r="B832" s="1" t="n">
        <v>45206.95761574074</v>
      </c>
      <c r="C832" s="1" t="n">
        <v>46033</v>
      </c>
      <c r="D832" t="inlineStr">
        <is>
          <t>VÄSTERBOTTENS LÄN</t>
        </is>
      </c>
      <c r="E832" t="inlineStr">
        <is>
          <t>VILHELMINA</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52740-2023</t>
        </is>
      </c>
      <c r="B833" s="1" t="n">
        <v>45225</v>
      </c>
      <c r="C833" s="1" t="n">
        <v>46033</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66952-2021</t>
        </is>
      </c>
      <c r="B834" s="1" t="n">
        <v>44522</v>
      </c>
      <c r="C834" s="1" t="n">
        <v>46033</v>
      </c>
      <c r="D834" t="inlineStr">
        <is>
          <t>VÄSTERBOTTENS LÄN</t>
        </is>
      </c>
      <c r="E834" t="inlineStr">
        <is>
          <t>VILHELMINA</t>
        </is>
      </c>
      <c r="F834" t="inlineStr">
        <is>
          <t>Allmännings- och besparingsskogar</t>
        </is>
      </c>
      <c r="G834" t="n">
        <v>70</v>
      </c>
      <c r="H834" t="n">
        <v>0</v>
      </c>
      <c r="I834" t="n">
        <v>0</v>
      </c>
      <c r="J834" t="n">
        <v>0</v>
      </c>
      <c r="K834" t="n">
        <v>0</v>
      </c>
      <c r="L834" t="n">
        <v>0</v>
      </c>
      <c r="M834" t="n">
        <v>0</v>
      </c>
      <c r="N834" t="n">
        <v>0</v>
      </c>
      <c r="O834" t="n">
        <v>0</v>
      </c>
      <c r="P834" t="n">
        <v>0</v>
      </c>
      <c r="Q834" t="n">
        <v>0</v>
      </c>
      <c r="R834" s="2" t="inlineStr"/>
    </row>
    <row r="835" ht="15" customHeight="1">
      <c r="A835" t="inlineStr">
        <is>
          <t>A 24828-2023</t>
        </is>
      </c>
      <c r="B835" s="1" t="n">
        <v>45084</v>
      </c>
      <c r="C835" s="1" t="n">
        <v>46033</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36972-2023</t>
        </is>
      </c>
      <c r="B836" s="1" t="n">
        <v>45154</v>
      </c>
      <c r="C836" s="1" t="n">
        <v>46033</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30575-2024</t>
        </is>
      </c>
      <c r="B837" s="1" t="n">
        <v>45492.95818287037</v>
      </c>
      <c r="C837" s="1" t="n">
        <v>46033</v>
      </c>
      <c r="D837" t="inlineStr">
        <is>
          <t>VÄSTERBOTTENS LÄN</t>
        </is>
      </c>
      <c r="E837" t="inlineStr">
        <is>
          <t>VILHELMINA</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30578-2024</t>
        </is>
      </c>
      <c r="B838" s="1" t="n">
        <v>45492.95939814814</v>
      </c>
      <c r="C838" s="1" t="n">
        <v>46033</v>
      </c>
      <c r="D838" t="inlineStr">
        <is>
          <t>VÄSTERBOTTENS LÄN</t>
        </is>
      </c>
      <c r="E838" t="inlineStr">
        <is>
          <t>VILHELMINA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30580-2024</t>
        </is>
      </c>
      <c r="B839" s="1" t="n">
        <v>45492.95981481481</v>
      </c>
      <c r="C839" s="1" t="n">
        <v>46033</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26381-2024</t>
        </is>
      </c>
      <c r="B840" s="1" t="n">
        <v>45469</v>
      </c>
      <c r="C840" s="1" t="n">
        <v>46033</v>
      </c>
      <c r="D840" t="inlineStr">
        <is>
          <t>VÄSTERBOTTENS LÄN</t>
        </is>
      </c>
      <c r="E840" t="inlineStr">
        <is>
          <t>VILHELMINA</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36288-2021</t>
        </is>
      </c>
      <c r="B841" s="1" t="n">
        <v>44389</v>
      </c>
      <c r="C841" s="1" t="n">
        <v>46033</v>
      </c>
      <c r="D841" t="inlineStr">
        <is>
          <t>VÄSTERBOTTENS LÄN</t>
        </is>
      </c>
      <c r="E841" t="inlineStr">
        <is>
          <t>VILHELMINA</t>
        </is>
      </c>
      <c r="G841" t="n">
        <v>20.5</v>
      </c>
      <c r="H841" t="n">
        <v>0</v>
      </c>
      <c r="I841" t="n">
        <v>0</v>
      </c>
      <c r="J841" t="n">
        <v>0</v>
      </c>
      <c r="K841" t="n">
        <v>0</v>
      </c>
      <c r="L841" t="n">
        <v>0</v>
      </c>
      <c r="M841" t="n">
        <v>0</v>
      </c>
      <c r="N841" t="n">
        <v>0</v>
      </c>
      <c r="O841" t="n">
        <v>0</v>
      </c>
      <c r="P841" t="n">
        <v>0</v>
      </c>
      <c r="Q841" t="n">
        <v>0</v>
      </c>
      <c r="R841" s="2" t="inlineStr"/>
    </row>
    <row r="842" ht="15" customHeight="1">
      <c r="A842" t="inlineStr">
        <is>
          <t>A 16719-2025</t>
        </is>
      </c>
      <c r="B842" s="1" t="n">
        <v>45754.49008101852</v>
      </c>
      <c r="C842" s="1" t="n">
        <v>46033</v>
      </c>
      <c r="D842" t="inlineStr">
        <is>
          <t>VÄSTERBOTTENS LÄN</t>
        </is>
      </c>
      <c r="E842" t="inlineStr">
        <is>
          <t>VILHELMINA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54457-2024</t>
        </is>
      </c>
      <c r="B843" s="1" t="n">
        <v>45617</v>
      </c>
      <c r="C843" s="1" t="n">
        <v>46033</v>
      </c>
      <c r="D843" t="inlineStr">
        <is>
          <t>VÄSTERBOTTENS LÄN</t>
        </is>
      </c>
      <c r="E843" t="inlineStr">
        <is>
          <t>VILHELMINA</t>
        </is>
      </c>
      <c r="F843" t="inlineStr">
        <is>
          <t>SCA</t>
        </is>
      </c>
      <c r="G843" t="n">
        <v>8</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46033</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37716-2024</t>
        </is>
      </c>
      <c r="B845" s="1" t="n">
        <v>45541.63592592593</v>
      </c>
      <c r="C845" s="1" t="n">
        <v>46033</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36376-2023</t>
        </is>
      </c>
      <c r="B846" s="1" t="n">
        <v>45152</v>
      </c>
      <c r="C846" s="1" t="n">
        <v>46033</v>
      </c>
      <c r="D846" t="inlineStr">
        <is>
          <t>VÄSTERBOTTENS LÄN</t>
        </is>
      </c>
      <c r="E846" t="inlineStr">
        <is>
          <t>VILHELMINA</t>
        </is>
      </c>
      <c r="G846" t="n">
        <v>12.7</v>
      </c>
      <c r="H846" t="n">
        <v>0</v>
      </c>
      <c r="I846" t="n">
        <v>0</v>
      </c>
      <c r="J846" t="n">
        <v>0</v>
      </c>
      <c r="K846" t="n">
        <v>0</v>
      </c>
      <c r="L846" t="n">
        <v>0</v>
      </c>
      <c r="M846" t="n">
        <v>0</v>
      </c>
      <c r="N846" t="n">
        <v>0</v>
      </c>
      <c r="O846" t="n">
        <v>0</v>
      </c>
      <c r="P846" t="n">
        <v>0</v>
      </c>
      <c r="Q846" t="n">
        <v>0</v>
      </c>
      <c r="R846" s="2" t="inlineStr"/>
    </row>
    <row r="847" ht="15" customHeight="1">
      <c r="A847" t="inlineStr">
        <is>
          <t>A 54984-2023</t>
        </is>
      </c>
      <c r="B847" s="1" t="n">
        <v>45236</v>
      </c>
      <c r="C847" s="1" t="n">
        <v>46033</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10956-2023</t>
        </is>
      </c>
      <c r="B848" s="1" t="n">
        <v>44985</v>
      </c>
      <c r="C848" s="1" t="n">
        <v>46033</v>
      </c>
      <c r="D848" t="inlineStr">
        <is>
          <t>VÄSTERBOTTENS LÄN</t>
        </is>
      </c>
      <c r="E848" t="inlineStr">
        <is>
          <t>VILHELMINA</t>
        </is>
      </c>
      <c r="G848" t="n">
        <v>3.3</v>
      </c>
      <c r="H848" t="n">
        <v>0</v>
      </c>
      <c r="I848" t="n">
        <v>0</v>
      </c>
      <c r="J848" t="n">
        <v>0</v>
      </c>
      <c r="K848" t="n">
        <v>0</v>
      </c>
      <c r="L848" t="n">
        <v>0</v>
      </c>
      <c r="M848" t="n">
        <v>0</v>
      </c>
      <c r="N848" t="n">
        <v>0</v>
      </c>
      <c r="O848" t="n">
        <v>0</v>
      </c>
      <c r="P848" t="n">
        <v>0</v>
      </c>
      <c r="Q848" t="n">
        <v>0</v>
      </c>
      <c r="R848" s="2" t="inlineStr"/>
    </row>
    <row r="849" ht="15" customHeight="1">
      <c r="A849" t="inlineStr">
        <is>
          <t>A 2054-2023</t>
        </is>
      </c>
      <c r="B849" s="1" t="n">
        <v>44939</v>
      </c>
      <c r="C849" s="1" t="n">
        <v>46033</v>
      </c>
      <c r="D849" t="inlineStr">
        <is>
          <t>VÄSTERBOTTENS LÄN</t>
        </is>
      </c>
      <c r="E849" t="inlineStr">
        <is>
          <t>VILHELMINA</t>
        </is>
      </c>
      <c r="F849" t="inlineStr">
        <is>
          <t>Sveaskog</t>
        </is>
      </c>
      <c r="G849" t="n">
        <v>19.2</v>
      </c>
      <c r="H849" t="n">
        <v>0</v>
      </c>
      <c r="I849" t="n">
        <v>0</v>
      </c>
      <c r="J849" t="n">
        <v>0</v>
      </c>
      <c r="K849" t="n">
        <v>0</v>
      </c>
      <c r="L849" t="n">
        <v>0</v>
      </c>
      <c r="M849" t="n">
        <v>0</v>
      </c>
      <c r="N849" t="n">
        <v>0</v>
      </c>
      <c r="O849" t="n">
        <v>0</v>
      </c>
      <c r="P849" t="n">
        <v>0</v>
      </c>
      <c r="Q849" t="n">
        <v>0</v>
      </c>
      <c r="R849" s="2" t="inlineStr"/>
    </row>
    <row r="850" ht="15" customHeight="1">
      <c r="A850" t="inlineStr">
        <is>
          <t>A 44505-2024</t>
        </is>
      </c>
      <c r="B850" s="1" t="n">
        <v>45574.40974537037</v>
      </c>
      <c r="C850" s="1" t="n">
        <v>46033</v>
      </c>
      <c r="D850" t="inlineStr">
        <is>
          <t>VÄSTERBOTTENS LÄN</t>
        </is>
      </c>
      <c r="E850" t="inlineStr">
        <is>
          <t>VILHELMINA</t>
        </is>
      </c>
      <c r="G850" t="n">
        <v>15.5</v>
      </c>
      <c r="H850" t="n">
        <v>0</v>
      </c>
      <c r="I850" t="n">
        <v>0</v>
      </c>
      <c r="J850" t="n">
        <v>0</v>
      </c>
      <c r="K850" t="n">
        <v>0</v>
      </c>
      <c r="L850" t="n">
        <v>0</v>
      </c>
      <c r="M850" t="n">
        <v>0</v>
      </c>
      <c r="N850" t="n">
        <v>0</v>
      </c>
      <c r="O850" t="n">
        <v>0</v>
      </c>
      <c r="P850" t="n">
        <v>0</v>
      </c>
      <c r="Q850" t="n">
        <v>0</v>
      </c>
      <c r="R850" s="2" t="inlineStr"/>
    </row>
    <row r="851" ht="15" customHeight="1">
      <c r="A851" t="inlineStr">
        <is>
          <t>A 23180-2024</t>
        </is>
      </c>
      <c r="B851" s="1" t="n">
        <v>45450.9444212963</v>
      </c>
      <c r="C851" s="1" t="n">
        <v>46033</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63877-2023</t>
        </is>
      </c>
      <c r="B852" s="1" t="n">
        <v>45278</v>
      </c>
      <c r="C852" s="1" t="n">
        <v>46033</v>
      </c>
      <c r="D852" t="inlineStr">
        <is>
          <t>VÄSTERBOTTENS LÄN</t>
        </is>
      </c>
      <c r="E852" t="inlineStr">
        <is>
          <t>VILHELMINA</t>
        </is>
      </c>
      <c r="G852" t="n">
        <v>1.2</v>
      </c>
      <c r="H852" t="n">
        <v>0</v>
      </c>
      <c r="I852" t="n">
        <v>0</v>
      </c>
      <c r="J852" t="n">
        <v>0</v>
      </c>
      <c r="K852" t="n">
        <v>0</v>
      </c>
      <c r="L852" t="n">
        <v>0</v>
      </c>
      <c r="M852" t="n">
        <v>0</v>
      </c>
      <c r="N852" t="n">
        <v>0</v>
      </c>
      <c r="O852" t="n">
        <v>0</v>
      </c>
      <c r="P852" t="n">
        <v>0</v>
      </c>
      <c r="Q852" t="n">
        <v>0</v>
      </c>
      <c r="R852" s="2" t="inlineStr"/>
    </row>
    <row r="853" ht="15" customHeight="1">
      <c r="A853" t="inlineStr">
        <is>
          <t>A 3096-2021</t>
        </is>
      </c>
      <c r="B853" s="1" t="n">
        <v>44216.93865740741</v>
      </c>
      <c r="C853" s="1" t="n">
        <v>46033</v>
      </c>
      <c r="D853" t="inlineStr">
        <is>
          <t>VÄSTERBOTTENS LÄN</t>
        </is>
      </c>
      <c r="E853" t="inlineStr">
        <is>
          <t>VILHELMINA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8003-2021</t>
        </is>
      </c>
      <c r="B854" s="1" t="n">
        <v>44243</v>
      </c>
      <c r="C854" s="1" t="n">
        <v>46033</v>
      </c>
      <c r="D854" t="inlineStr">
        <is>
          <t>VÄSTERBOTTENS LÄN</t>
        </is>
      </c>
      <c r="E854" t="inlineStr">
        <is>
          <t>VILHELMINA</t>
        </is>
      </c>
      <c r="G854" t="n">
        <v>5.1</v>
      </c>
      <c r="H854" t="n">
        <v>0</v>
      </c>
      <c r="I854" t="n">
        <v>0</v>
      </c>
      <c r="J854" t="n">
        <v>0</v>
      </c>
      <c r="K854" t="n">
        <v>0</v>
      </c>
      <c r="L854" t="n">
        <v>0</v>
      </c>
      <c r="M854" t="n">
        <v>0</v>
      </c>
      <c r="N854" t="n">
        <v>0</v>
      </c>
      <c r="O854" t="n">
        <v>0</v>
      </c>
      <c r="P854" t="n">
        <v>0</v>
      </c>
      <c r="Q854" t="n">
        <v>0</v>
      </c>
      <c r="R854" s="2" t="inlineStr"/>
    </row>
    <row r="855" ht="15" customHeight="1">
      <c r="A855" t="inlineStr">
        <is>
          <t>A 15782-2025</t>
        </is>
      </c>
      <c r="B855" s="1" t="n">
        <v>45748</v>
      </c>
      <c r="C855" s="1" t="n">
        <v>46033</v>
      </c>
      <c r="D855" t="inlineStr">
        <is>
          <t>VÄSTERBOTTENS LÄN</t>
        </is>
      </c>
      <c r="E855" t="inlineStr">
        <is>
          <t>VILHELMINA</t>
        </is>
      </c>
      <c r="G855" t="n">
        <v>2.5</v>
      </c>
      <c r="H855" t="n">
        <v>0</v>
      </c>
      <c r="I855" t="n">
        <v>0</v>
      </c>
      <c r="J855" t="n">
        <v>0</v>
      </c>
      <c r="K855" t="n">
        <v>0</v>
      </c>
      <c r="L855" t="n">
        <v>0</v>
      </c>
      <c r="M855" t="n">
        <v>0</v>
      </c>
      <c r="N855" t="n">
        <v>0</v>
      </c>
      <c r="O855" t="n">
        <v>0</v>
      </c>
      <c r="P855" t="n">
        <v>0</v>
      </c>
      <c r="Q855" t="n">
        <v>0</v>
      </c>
      <c r="R855" s="2" t="inlineStr"/>
    </row>
    <row r="856" ht="15" customHeight="1">
      <c r="A856" t="inlineStr">
        <is>
          <t>A 42478-2024</t>
        </is>
      </c>
      <c r="B856" s="1" t="n">
        <v>45565.4912962963</v>
      </c>
      <c r="C856" s="1" t="n">
        <v>46033</v>
      </c>
      <c r="D856" t="inlineStr">
        <is>
          <t>VÄSTERBOTTENS LÄN</t>
        </is>
      </c>
      <c r="E856" t="inlineStr">
        <is>
          <t>VILHELMINA</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27881-2022</t>
        </is>
      </c>
      <c r="B857" s="1" t="n">
        <v>44743</v>
      </c>
      <c r="C857" s="1" t="n">
        <v>46033</v>
      </c>
      <c r="D857" t="inlineStr">
        <is>
          <t>VÄSTERBOTTENS LÄN</t>
        </is>
      </c>
      <c r="E857" t="inlineStr">
        <is>
          <t>VILHELMINA</t>
        </is>
      </c>
      <c r="F857" t="inlineStr">
        <is>
          <t>Sveaskog</t>
        </is>
      </c>
      <c r="G857" t="n">
        <v>14.3</v>
      </c>
      <c r="H857" t="n">
        <v>0</v>
      </c>
      <c r="I857" t="n">
        <v>0</v>
      </c>
      <c r="J857" t="n">
        <v>0</v>
      </c>
      <c r="K857" t="n">
        <v>0</v>
      </c>
      <c r="L857" t="n">
        <v>0</v>
      </c>
      <c r="M857" t="n">
        <v>0</v>
      </c>
      <c r="N857" t="n">
        <v>0</v>
      </c>
      <c r="O857" t="n">
        <v>0</v>
      </c>
      <c r="P857" t="n">
        <v>0</v>
      </c>
      <c r="Q857" t="n">
        <v>0</v>
      </c>
      <c r="R857" s="2" t="inlineStr"/>
    </row>
    <row r="858" ht="15" customHeight="1">
      <c r="A858" t="inlineStr">
        <is>
          <t>A 45673-2023</t>
        </is>
      </c>
      <c r="B858" s="1" t="n">
        <v>45194</v>
      </c>
      <c r="C858" s="1" t="n">
        <v>46033</v>
      </c>
      <c r="D858" t="inlineStr">
        <is>
          <t>VÄSTERBOTTENS LÄN</t>
        </is>
      </c>
      <c r="E858" t="inlineStr">
        <is>
          <t>VILHELMINA</t>
        </is>
      </c>
      <c r="G858" t="n">
        <v>13.4</v>
      </c>
      <c r="H858" t="n">
        <v>0</v>
      </c>
      <c r="I858" t="n">
        <v>0</v>
      </c>
      <c r="J858" t="n">
        <v>0</v>
      </c>
      <c r="K858" t="n">
        <v>0</v>
      </c>
      <c r="L858" t="n">
        <v>0</v>
      </c>
      <c r="M858" t="n">
        <v>0</v>
      </c>
      <c r="N858" t="n">
        <v>0</v>
      </c>
      <c r="O858" t="n">
        <v>0</v>
      </c>
      <c r="P858" t="n">
        <v>0</v>
      </c>
      <c r="Q858" t="n">
        <v>0</v>
      </c>
      <c r="R858" s="2" t="inlineStr"/>
    </row>
    <row r="859" ht="15" customHeight="1">
      <c r="A859" t="inlineStr">
        <is>
          <t>A 367-2024</t>
        </is>
      </c>
      <c r="B859" s="1" t="n">
        <v>45295</v>
      </c>
      <c r="C859" s="1" t="n">
        <v>46033</v>
      </c>
      <c r="D859" t="inlineStr">
        <is>
          <t>VÄSTERBOTTENS LÄN</t>
        </is>
      </c>
      <c r="E859" t="inlineStr">
        <is>
          <t>VILHELMINA</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8726-2023</t>
        </is>
      </c>
      <c r="B860" s="1" t="n">
        <v>44972</v>
      </c>
      <c r="C860" s="1" t="n">
        <v>46033</v>
      </c>
      <c r="D860" t="inlineStr">
        <is>
          <t>VÄSTERBOTTENS LÄN</t>
        </is>
      </c>
      <c r="E860" t="inlineStr">
        <is>
          <t>VILHELMINA</t>
        </is>
      </c>
      <c r="F860" t="inlineStr">
        <is>
          <t>Allmännings- och besparingsskogar</t>
        </is>
      </c>
      <c r="G860" t="n">
        <v>50</v>
      </c>
      <c r="H860" t="n">
        <v>0</v>
      </c>
      <c r="I860" t="n">
        <v>0</v>
      </c>
      <c r="J860" t="n">
        <v>0</v>
      </c>
      <c r="K860" t="n">
        <v>0</v>
      </c>
      <c r="L860" t="n">
        <v>0</v>
      </c>
      <c r="M860" t="n">
        <v>0</v>
      </c>
      <c r="N860" t="n">
        <v>0</v>
      </c>
      <c r="O860" t="n">
        <v>0</v>
      </c>
      <c r="P860" t="n">
        <v>0</v>
      </c>
      <c r="Q860" t="n">
        <v>0</v>
      </c>
      <c r="R860" s="2" t="inlineStr"/>
    </row>
    <row r="861" ht="15" customHeight="1">
      <c r="A861" t="inlineStr">
        <is>
          <t>A 38125-2024</t>
        </is>
      </c>
      <c r="B861" s="1" t="n">
        <v>45545.40717592592</v>
      </c>
      <c r="C861" s="1" t="n">
        <v>46033</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38126-2024</t>
        </is>
      </c>
      <c r="B862" s="1" t="n">
        <v>45545</v>
      </c>
      <c r="C862" s="1" t="n">
        <v>46033</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38130-2024</t>
        </is>
      </c>
      <c r="B863" s="1" t="n">
        <v>45545</v>
      </c>
      <c r="C863" s="1" t="n">
        <v>46033</v>
      </c>
      <c r="D863" t="inlineStr">
        <is>
          <t>VÄSTERBOTTENS LÄN</t>
        </is>
      </c>
      <c r="E863" t="inlineStr">
        <is>
          <t>VILHELMINA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41330-2022</t>
        </is>
      </c>
      <c r="B864" s="1" t="n">
        <v>44826</v>
      </c>
      <c r="C864" s="1" t="n">
        <v>46033</v>
      </c>
      <c r="D864" t="inlineStr">
        <is>
          <t>VÄSTERBOTTENS LÄN</t>
        </is>
      </c>
      <c r="E864" t="inlineStr">
        <is>
          <t>VILHELMINA</t>
        </is>
      </c>
      <c r="G864" t="n">
        <v>3.4</v>
      </c>
      <c r="H864" t="n">
        <v>0</v>
      </c>
      <c r="I864" t="n">
        <v>0</v>
      </c>
      <c r="J864" t="n">
        <v>0</v>
      </c>
      <c r="K864" t="n">
        <v>0</v>
      </c>
      <c r="L864" t="n">
        <v>0</v>
      </c>
      <c r="M864" t="n">
        <v>0</v>
      </c>
      <c r="N864" t="n">
        <v>0</v>
      </c>
      <c r="O864" t="n">
        <v>0</v>
      </c>
      <c r="P864" t="n">
        <v>0</v>
      </c>
      <c r="Q864" t="n">
        <v>0</v>
      </c>
      <c r="R864" s="2" t="inlineStr"/>
    </row>
    <row r="865" ht="15" customHeight="1">
      <c r="A865" t="inlineStr">
        <is>
          <t>A 12825-2023</t>
        </is>
      </c>
      <c r="B865" s="1" t="n">
        <v>45000</v>
      </c>
      <c r="C865" s="1" t="n">
        <v>46033</v>
      </c>
      <c r="D865" t="inlineStr">
        <is>
          <t>VÄSTERBOTTENS LÄN</t>
        </is>
      </c>
      <c r="E865" t="inlineStr">
        <is>
          <t>VILHELMINA</t>
        </is>
      </c>
      <c r="G865" t="n">
        <v>22.4</v>
      </c>
      <c r="H865" t="n">
        <v>0</v>
      </c>
      <c r="I865" t="n">
        <v>0</v>
      </c>
      <c r="J865" t="n">
        <v>0</v>
      </c>
      <c r="K865" t="n">
        <v>0</v>
      </c>
      <c r="L865" t="n">
        <v>0</v>
      </c>
      <c r="M865" t="n">
        <v>0</v>
      </c>
      <c r="N865" t="n">
        <v>0</v>
      </c>
      <c r="O865" t="n">
        <v>0</v>
      </c>
      <c r="P865" t="n">
        <v>0</v>
      </c>
      <c r="Q865" t="n">
        <v>0</v>
      </c>
      <c r="R865" s="2" t="inlineStr"/>
    </row>
    <row r="866" ht="15" customHeight="1">
      <c r="A866" t="inlineStr">
        <is>
          <t>A 20510-2024</t>
        </is>
      </c>
      <c r="B866" s="1" t="n">
        <v>45435.94324074074</v>
      </c>
      <c r="C866" s="1" t="n">
        <v>46033</v>
      </c>
      <c r="D866" t="inlineStr">
        <is>
          <t>VÄSTERBOTTENS LÄN</t>
        </is>
      </c>
      <c r="E866" t="inlineStr">
        <is>
          <t>VILHELMINA</t>
        </is>
      </c>
      <c r="F866" t="inlineStr">
        <is>
          <t>SCA</t>
        </is>
      </c>
      <c r="G866" t="n">
        <v>7.7</v>
      </c>
      <c r="H866" t="n">
        <v>0</v>
      </c>
      <c r="I866" t="n">
        <v>0</v>
      </c>
      <c r="J866" t="n">
        <v>0</v>
      </c>
      <c r="K866" t="n">
        <v>0</v>
      </c>
      <c r="L866" t="n">
        <v>0</v>
      </c>
      <c r="M866" t="n">
        <v>0</v>
      </c>
      <c r="N866" t="n">
        <v>0</v>
      </c>
      <c r="O866" t="n">
        <v>0</v>
      </c>
      <c r="P866" t="n">
        <v>0</v>
      </c>
      <c r="Q866" t="n">
        <v>0</v>
      </c>
      <c r="R866" s="2" t="inlineStr"/>
    </row>
    <row r="867" ht="15" customHeight="1">
      <c r="A867" t="inlineStr">
        <is>
          <t>A 2488-2023</t>
        </is>
      </c>
      <c r="B867" s="1" t="n">
        <v>44943</v>
      </c>
      <c r="C867" s="1" t="n">
        <v>46033</v>
      </c>
      <c r="D867" t="inlineStr">
        <is>
          <t>VÄSTERBOTTENS LÄN</t>
        </is>
      </c>
      <c r="E867" t="inlineStr">
        <is>
          <t>VILHELMINA</t>
        </is>
      </c>
      <c r="G867" t="n">
        <v>69.3</v>
      </c>
      <c r="H867" t="n">
        <v>0</v>
      </c>
      <c r="I867" t="n">
        <v>0</v>
      </c>
      <c r="J867" t="n">
        <v>0</v>
      </c>
      <c r="K867" t="n">
        <v>0</v>
      </c>
      <c r="L867" t="n">
        <v>0</v>
      </c>
      <c r="M867" t="n">
        <v>0</v>
      </c>
      <c r="N867" t="n">
        <v>0</v>
      </c>
      <c r="O867" t="n">
        <v>0</v>
      </c>
      <c r="P867" t="n">
        <v>0</v>
      </c>
      <c r="Q867" t="n">
        <v>0</v>
      </c>
      <c r="R867" s="2" t="inlineStr"/>
    </row>
    <row r="868" ht="15" customHeight="1">
      <c r="A868" t="inlineStr">
        <is>
          <t>A 6653-2021</t>
        </is>
      </c>
      <c r="B868" s="1" t="n">
        <v>44235</v>
      </c>
      <c r="C868" s="1" t="n">
        <v>46033</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706-2024</t>
        </is>
      </c>
      <c r="B869" s="1" t="n">
        <v>45300</v>
      </c>
      <c r="C869" s="1" t="n">
        <v>46033</v>
      </c>
      <c r="D869" t="inlineStr">
        <is>
          <t>VÄSTERBOTTENS LÄN</t>
        </is>
      </c>
      <c r="E869" t="inlineStr">
        <is>
          <t>VILHELMINA</t>
        </is>
      </c>
      <c r="G869" t="n">
        <v>2.8</v>
      </c>
      <c r="H869" t="n">
        <v>0</v>
      </c>
      <c r="I869" t="n">
        <v>0</v>
      </c>
      <c r="J869" t="n">
        <v>0</v>
      </c>
      <c r="K869" t="n">
        <v>0</v>
      </c>
      <c r="L869" t="n">
        <v>0</v>
      </c>
      <c r="M869" t="n">
        <v>0</v>
      </c>
      <c r="N869" t="n">
        <v>0</v>
      </c>
      <c r="O869" t="n">
        <v>0</v>
      </c>
      <c r="P869" t="n">
        <v>0</v>
      </c>
      <c r="Q869" t="n">
        <v>0</v>
      </c>
      <c r="R869" s="2" t="inlineStr"/>
    </row>
    <row r="870" ht="15" customHeight="1">
      <c r="A870" t="inlineStr">
        <is>
          <t>A 11114-2022</t>
        </is>
      </c>
      <c r="B870" s="1" t="n">
        <v>44628.925625</v>
      </c>
      <c r="C870" s="1" t="n">
        <v>46033</v>
      </c>
      <c r="D870" t="inlineStr">
        <is>
          <t>VÄSTERBOTTENS LÄN</t>
        </is>
      </c>
      <c r="E870" t="inlineStr">
        <is>
          <t>VILHELMINA</t>
        </is>
      </c>
      <c r="G870" t="n">
        <v>8.6</v>
      </c>
      <c r="H870" t="n">
        <v>0</v>
      </c>
      <c r="I870" t="n">
        <v>0</v>
      </c>
      <c r="J870" t="n">
        <v>0</v>
      </c>
      <c r="K870" t="n">
        <v>0</v>
      </c>
      <c r="L870" t="n">
        <v>0</v>
      </c>
      <c r="M870" t="n">
        <v>0</v>
      </c>
      <c r="N870" t="n">
        <v>0</v>
      </c>
      <c r="O870" t="n">
        <v>0</v>
      </c>
      <c r="P870" t="n">
        <v>0</v>
      </c>
      <c r="Q870" t="n">
        <v>0</v>
      </c>
      <c r="R870" s="2" t="inlineStr"/>
    </row>
    <row r="871" ht="15" customHeight="1">
      <c r="A871" t="inlineStr">
        <is>
          <t>A 18692-2023</t>
        </is>
      </c>
      <c r="B871" s="1" t="n">
        <v>45042</v>
      </c>
      <c r="C871" s="1" t="n">
        <v>46033</v>
      </c>
      <c r="D871" t="inlineStr">
        <is>
          <t>VÄSTERBOTTENS LÄN</t>
        </is>
      </c>
      <c r="E871" t="inlineStr">
        <is>
          <t>VILHELMINA</t>
        </is>
      </c>
      <c r="F871" t="inlineStr">
        <is>
          <t>Allmännings- och besparingsskogar</t>
        </is>
      </c>
      <c r="G871" t="n">
        <v>0.6</v>
      </c>
      <c r="H871" t="n">
        <v>0</v>
      </c>
      <c r="I871" t="n">
        <v>0</v>
      </c>
      <c r="J871" t="n">
        <v>0</v>
      </c>
      <c r="K871" t="n">
        <v>0</v>
      </c>
      <c r="L871" t="n">
        <v>0</v>
      </c>
      <c r="M871" t="n">
        <v>0</v>
      </c>
      <c r="N871" t="n">
        <v>0</v>
      </c>
      <c r="O871" t="n">
        <v>0</v>
      </c>
      <c r="P871" t="n">
        <v>0</v>
      </c>
      <c r="Q871" t="n">
        <v>0</v>
      </c>
      <c r="R871" s="2" t="inlineStr"/>
    </row>
    <row r="872" ht="15" customHeight="1">
      <c r="A872" t="inlineStr">
        <is>
          <t>A 51826-2023</t>
        </is>
      </c>
      <c r="B872" s="1" t="n">
        <v>45222.9678125</v>
      </c>
      <c r="C872" s="1" t="n">
        <v>46033</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6664-2021</t>
        </is>
      </c>
      <c r="B873" s="1" t="n">
        <v>44235</v>
      </c>
      <c r="C873" s="1" t="n">
        <v>46033</v>
      </c>
      <c r="D873" t="inlineStr">
        <is>
          <t>VÄSTERBOTTENS LÄN</t>
        </is>
      </c>
      <c r="E873" t="inlineStr">
        <is>
          <t>VILHELMINA</t>
        </is>
      </c>
      <c r="G873" t="n">
        <v>2.5</v>
      </c>
      <c r="H873" t="n">
        <v>0</v>
      </c>
      <c r="I873" t="n">
        <v>0</v>
      </c>
      <c r="J873" t="n">
        <v>0</v>
      </c>
      <c r="K873" t="n">
        <v>0</v>
      </c>
      <c r="L873" t="n">
        <v>0</v>
      </c>
      <c r="M873" t="n">
        <v>0</v>
      </c>
      <c r="N873" t="n">
        <v>0</v>
      </c>
      <c r="O873" t="n">
        <v>0</v>
      </c>
      <c r="P873" t="n">
        <v>0</v>
      </c>
      <c r="Q873" t="n">
        <v>0</v>
      </c>
      <c r="R873" s="2" t="inlineStr"/>
    </row>
    <row r="874" ht="15" customHeight="1">
      <c r="A874" t="inlineStr">
        <is>
          <t>A 62405-2022</t>
        </is>
      </c>
      <c r="B874" s="1" t="n">
        <v>44923</v>
      </c>
      <c r="C874" s="1" t="n">
        <v>46033</v>
      </c>
      <c r="D874" t="inlineStr">
        <is>
          <t>VÄSTERBOTTENS LÄN</t>
        </is>
      </c>
      <c r="E874" t="inlineStr">
        <is>
          <t>VILHELMINA</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48424-2023</t>
        </is>
      </c>
      <c r="B875" s="1" t="n">
        <v>45205</v>
      </c>
      <c r="C875" s="1" t="n">
        <v>46033</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17996-2024</t>
        </is>
      </c>
      <c r="B876" s="1" t="n">
        <v>45419</v>
      </c>
      <c r="C876" s="1" t="n">
        <v>46033</v>
      </c>
      <c r="D876" t="inlineStr">
        <is>
          <t>VÄSTERBOTTENS LÄN</t>
        </is>
      </c>
      <c r="E876" t="inlineStr">
        <is>
          <t>VILHELMINA</t>
        </is>
      </c>
      <c r="G876" t="n">
        <v>5.3</v>
      </c>
      <c r="H876" t="n">
        <v>0</v>
      </c>
      <c r="I876" t="n">
        <v>0</v>
      </c>
      <c r="J876" t="n">
        <v>0</v>
      </c>
      <c r="K876" t="n">
        <v>0</v>
      </c>
      <c r="L876" t="n">
        <v>0</v>
      </c>
      <c r="M876" t="n">
        <v>0</v>
      </c>
      <c r="N876" t="n">
        <v>0</v>
      </c>
      <c r="O876" t="n">
        <v>0</v>
      </c>
      <c r="P876" t="n">
        <v>0</v>
      </c>
      <c r="Q876" t="n">
        <v>0</v>
      </c>
      <c r="R876" s="2" t="inlineStr"/>
    </row>
    <row r="877" ht="15" customHeight="1">
      <c r="A877" t="inlineStr">
        <is>
          <t>A 54387-2024</t>
        </is>
      </c>
      <c r="B877" s="1" t="n">
        <v>45617</v>
      </c>
      <c r="C877" s="1" t="n">
        <v>46033</v>
      </c>
      <c r="D877" t="inlineStr">
        <is>
          <t>VÄSTERBOTTENS LÄN</t>
        </is>
      </c>
      <c r="E877" t="inlineStr">
        <is>
          <t>VILHELMINA</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34135-2024</t>
        </is>
      </c>
      <c r="B878" s="1" t="n">
        <v>45524.35605324074</v>
      </c>
      <c r="C878" s="1" t="n">
        <v>46033</v>
      </c>
      <c r="D878" t="inlineStr">
        <is>
          <t>VÄSTERBOTTENS LÄN</t>
        </is>
      </c>
      <c r="E878" t="inlineStr">
        <is>
          <t>VILHELMINA</t>
        </is>
      </c>
      <c r="F878" t="inlineStr">
        <is>
          <t>Sveaskog</t>
        </is>
      </c>
      <c r="G878" t="n">
        <v>5.7</v>
      </c>
      <c r="H878" t="n">
        <v>0</v>
      </c>
      <c r="I878" t="n">
        <v>0</v>
      </c>
      <c r="J878" t="n">
        <v>0</v>
      </c>
      <c r="K878" t="n">
        <v>0</v>
      </c>
      <c r="L878" t="n">
        <v>0</v>
      </c>
      <c r="M878" t="n">
        <v>0</v>
      </c>
      <c r="N878" t="n">
        <v>0</v>
      </c>
      <c r="O878" t="n">
        <v>0</v>
      </c>
      <c r="P878" t="n">
        <v>0</v>
      </c>
      <c r="Q878" t="n">
        <v>0</v>
      </c>
      <c r="R878" s="2" t="inlineStr"/>
    </row>
    <row r="879" ht="15" customHeight="1">
      <c r="A879" t="inlineStr">
        <is>
          <t>A 210-2022</t>
        </is>
      </c>
      <c r="B879" s="1" t="n">
        <v>44564.80189814815</v>
      </c>
      <c r="C879" s="1" t="n">
        <v>46033</v>
      </c>
      <c r="D879" t="inlineStr">
        <is>
          <t>VÄSTERBOTTENS LÄN</t>
        </is>
      </c>
      <c r="E879" t="inlineStr">
        <is>
          <t>VILHELMINA</t>
        </is>
      </c>
      <c r="G879" t="n">
        <v>2</v>
      </c>
      <c r="H879" t="n">
        <v>0</v>
      </c>
      <c r="I879" t="n">
        <v>0</v>
      </c>
      <c r="J879" t="n">
        <v>0</v>
      </c>
      <c r="K879" t="n">
        <v>0</v>
      </c>
      <c r="L879" t="n">
        <v>0</v>
      </c>
      <c r="M879" t="n">
        <v>0</v>
      </c>
      <c r="N879" t="n">
        <v>0</v>
      </c>
      <c r="O879" t="n">
        <v>0</v>
      </c>
      <c r="P879" t="n">
        <v>0</v>
      </c>
      <c r="Q879" t="n">
        <v>0</v>
      </c>
      <c r="R879" s="2" t="inlineStr"/>
    </row>
    <row r="880" ht="15" customHeight="1">
      <c r="A880" t="inlineStr">
        <is>
          <t>A 44714-2021</t>
        </is>
      </c>
      <c r="B880" s="1" t="n">
        <v>44435</v>
      </c>
      <c r="C880" s="1" t="n">
        <v>46033</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8652-2023</t>
        </is>
      </c>
      <c r="B881" s="1" t="n">
        <v>44977.98401620371</v>
      </c>
      <c r="C881" s="1" t="n">
        <v>46033</v>
      </c>
      <c r="D881" t="inlineStr">
        <is>
          <t>VÄSTERBOTTENS LÄN</t>
        </is>
      </c>
      <c r="E881" t="inlineStr">
        <is>
          <t>VILHELMINA</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8653-2023</t>
        </is>
      </c>
      <c r="B882" s="1" t="n">
        <v>44977</v>
      </c>
      <c r="C882" s="1" t="n">
        <v>46033</v>
      </c>
      <c r="D882" t="inlineStr">
        <is>
          <t>VÄSTERBOTTENS LÄN</t>
        </is>
      </c>
      <c r="E882" t="inlineStr">
        <is>
          <t>VILHELMINA</t>
        </is>
      </c>
      <c r="F882" t="inlineStr">
        <is>
          <t>SCA</t>
        </is>
      </c>
      <c r="G882" t="n">
        <v>7.9</v>
      </c>
      <c r="H882" t="n">
        <v>0</v>
      </c>
      <c r="I882" t="n">
        <v>0</v>
      </c>
      <c r="J882" t="n">
        <v>0</v>
      </c>
      <c r="K882" t="n">
        <v>0</v>
      </c>
      <c r="L882" t="n">
        <v>0</v>
      </c>
      <c r="M882" t="n">
        <v>0</v>
      </c>
      <c r="N882" t="n">
        <v>0</v>
      </c>
      <c r="O882" t="n">
        <v>0</v>
      </c>
      <c r="P882" t="n">
        <v>0</v>
      </c>
      <c r="Q882" t="n">
        <v>0</v>
      </c>
      <c r="R882" s="2" t="inlineStr"/>
    </row>
    <row r="883" ht="15" customHeight="1">
      <c r="A883" t="inlineStr">
        <is>
          <t>A 48117-2022</t>
        </is>
      </c>
      <c r="B883" s="1" t="n">
        <v>44857</v>
      </c>
      <c r="C883" s="1" t="n">
        <v>46033</v>
      </c>
      <c r="D883" t="inlineStr">
        <is>
          <t>VÄSTERBOTTENS LÄN</t>
        </is>
      </c>
      <c r="E883" t="inlineStr">
        <is>
          <t>VILHELMINA</t>
        </is>
      </c>
      <c r="G883" t="n">
        <v>5.6</v>
      </c>
      <c r="H883" t="n">
        <v>0</v>
      </c>
      <c r="I883" t="n">
        <v>0</v>
      </c>
      <c r="J883" t="n">
        <v>0</v>
      </c>
      <c r="K883" t="n">
        <v>0</v>
      </c>
      <c r="L883" t="n">
        <v>0</v>
      </c>
      <c r="M883" t="n">
        <v>0</v>
      </c>
      <c r="N883" t="n">
        <v>0</v>
      </c>
      <c r="O883" t="n">
        <v>0</v>
      </c>
      <c r="P883" t="n">
        <v>0</v>
      </c>
      <c r="Q883" t="n">
        <v>0</v>
      </c>
      <c r="R883" s="2" t="inlineStr"/>
    </row>
    <row r="884" ht="15" customHeight="1">
      <c r="A884" t="inlineStr">
        <is>
          <t>A 7777-2024</t>
        </is>
      </c>
      <c r="B884" s="1" t="n">
        <v>45349</v>
      </c>
      <c r="C884" s="1" t="n">
        <v>46033</v>
      </c>
      <c r="D884" t="inlineStr">
        <is>
          <t>VÄSTERBOTTENS LÄN</t>
        </is>
      </c>
      <c r="E884" t="inlineStr">
        <is>
          <t>VILHELMINA</t>
        </is>
      </c>
      <c r="G884" t="n">
        <v>7</v>
      </c>
      <c r="H884" t="n">
        <v>0</v>
      </c>
      <c r="I884" t="n">
        <v>0</v>
      </c>
      <c r="J884" t="n">
        <v>0</v>
      </c>
      <c r="K884" t="n">
        <v>0</v>
      </c>
      <c r="L884" t="n">
        <v>0</v>
      </c>
      <c r="M884" t="n">
        <v>0</v>
      </c>
      <c r="N884" t="n">
        <v>0</v>
      </c>
      <c r="O884" t="n">
        <v>0</v>
      </c>
      <c r="P884" t="n">
        <v>0</v>
      </c>
      <c r="Q884" t="n">
        <v>0</v>
      </c>
      <c r="R884" s="2" t="inlineStr"/>
    </row>
    <row r="885" ht="15" customHeight="1">
      <c r="A885" t="inlineStr">
        <is>
          <t>A 9162-2022</t>
        </is>
      </c>
      <c r="B885" s="1" t="n">
        <v>44615</v>
      </c>
      <c r="C885" s="1" t="n">
        <v>46033</v>
      </c>
      <c r="D885" t="inlineStr">
        <is>
          <t>VÄSTERBOTTENS LÄN</t>
        </is>
      </c>
      <c r="E885" t="inlineStr">
        <is>
          <t>VILHELMINA</t>
        </is>
      </c>
      <c r="G885" t="n">
        <v>7.2</v>
      </c>
      <c r="H885" t="n">
        <v>0</v>
      </c>
      <c r="I885" t="n">
        <v>0</v>
      </c>
      <c r="J885" t="n">
        <v>0</v>
      </c>
      <c r="K885" t="n">
        <v>0</v>
      </c>
      <c r="L885" t="n">
        <v>0</v>
      </c>
      <c r="M885" t="n">
        <v>0</v>
      </c>
      <c r="N885" t="n">
        <v>0</v>
      </c>
      <c r="O885" t="n">
        <v>0</v>
      </c>
      <c r="P885" t="n">
        <v>0</v>
      </c>
      <c r="Q885" t="n">
        <v>0</v>
      </c>
      <c r="R885" s="2" t="inlineStr"/>
    </row>
    <row r="886" ht="15" customHeight="1">
      <c r="A886" t="inlineStr">
        <is>
          <t>A 10941-2023</t>
        </is>
      </c>
      <c r="B886" s="1" t="n">
        <v>44985</v>
      </c>
      <c r="C886" s="1" t="n">
        <v>46033</v>
      </c>
      <c r="D886" t="inlineStr">
        <is>
          <t>VÄSTERBOTTENS LÄN</t>
        </is>
      </c>
      <c r="E886" t="inlineStr">
        <is>
          <t>VILHELMINA</t>
        </is>
      </c>
      <c r="G886" t="n">
        <v>16.7</v>
      </c>
      <c r="H886" t="n">
        <v>0</v>
      </c>
      <c r="I886" t="n">
        <v>0</v>
      </c>
      <c r="J886" t="n">
        <v>0</v>
      </c>
      <c r="K886" t="n">
        <v>0</v>
      </c>
      <c r="L886" t="n">
        <v>0</v>
      </c>
      <c r="M886" t="n">
        <v>0</v>
      </c>
      <c r="N886" t="n">
        <v>0</v>
      </c>
      <c r="O886" t="n">
        <v>0</v>
      </c>
      <c r="P886" t="n">
        <v>0</v>
      </c>
      <c r="Q886" t="n">
        <v>0</v>
      </c>
      <c r="R886" s="2" t="inlineStr"/>
    </row>
    <row r="887" ht="15" customHeight="1">
      <c r="A887" t="inlineStr">
        <is>
          <t>A 26401-2022</t>
        </is>
      </c>
      <c r="B887" s="1" t="n">
        <v>44735</v>
      </c>
      <c r="C887" s="1" t="n">
        <v>46033</v>
      </c>
      <c r="D887" t="inlineStr">
        <is>
          <t>VÄSTERBOTTENS LÄN</t>
        </is>
      </c>
      <c r="E887" t="inlineStr">
        <is>
          <t>VILHELMINA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58363-2021</t>
        </is>
      </c>
      <c r="B888" s="1" t="n">
        <v>44488</v>
      </c>
      <c r="C888" s="1" t="n">
        <v>46033</v>
      </c>
      <c r="D888" t="inlineStr">
        <is>
          <t>VÄSTERBOTTENS LÄN</t>
        </is>
      </c>
      <c r="E888" t="inlineStr">
        <is>
          <t>VILHELMINA</t>
        </is>
      </c>
      <c r="G888" t="n">
        <v>7.3</v>
      </c>
      <c r="H888" t="n">
        <v>0</v>
      </c>
      <c r="I888" t="n">
        <v>0</v>
      </c>
      <c r="J888" t="n">
        <v>0</v>
      </c>
      <c r="K888" t="n">
        <v>0</v>
      </c>
      <c r="L888" t="n">
        <v>0</v>
      </c>
      <c r="M888" t="n">
        <v>0</v>
      </c>
      <c r="N888" t="n">
        <v>0</v>
      </c>
      <c r="O888" t="n">
        <v>0</v>
      </c>
      <c r="P888" t="n">
        <v>0</v>
      </c>
      <c r="Q888" t="n">
        <v>0</v>
      </c>
      <c r="R888" s="2" t="inlineStr"/>
    </row>
    <row r="889" ht="15" customHeight="1">
      <c r="A889" t="inlineStr">
        <is>
          <t>A 23544-2024</t>
        </is>
      </c>
      <c r="B889" s="1" t="n">
        <v>45453.95314814815</v>
      </c>
      <c r="C889" s="1" t="n">
        <v>46033</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23545-2024</t>
        </is>
      </c>
      <c r="B890" s="1" t="n">
        <v>45453.95326388889</v>
      </c>
      <c r="C890" s="1" t="n">
        <v>46033</v>
      </c>
      <c r="D890" t="inlineStr">
        <is>
          <t>VÄSTERBOTTENS LÄN</t>
        </is>
      </c>
      <c r="E890" t="inlineStr">
        <is>
          <t>VILHELMINA</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12365-2025</t>
        </is>
      </c>
      <c r="B891" s="1" t="n">
        <v>45730.37549768519</v>
      </c>
      <c r="C891" s="1" t="n">
        <v>46033</v>
      </c>
      <c r="D891" t="inlineStr">
        <is>
          <t>VÄSTERBOTTENS LÄN</t>
        </is>
      </c>
      <c r="E891" t="inlineStr">
        <is>
          <t>VILHELMINA</t>
        </is>
      </c>
      <c r="F891" t="inlineStr">
        <is>
          <t>Övriga statliga verk och myndigheter</t>
        </is>
      </c>
      <c r="G891" t="n">
        <v>11.5</v>
      </c>
      <c r="H891" t="n">
        <v>0</v>
      </c>
      <c r="I891" t="n">
        <v>0</v>
      </c>
      <c r="J891" t="n">
        <v>0</v>
      </c>
      <c r="K891" t="n">
        <v>0</v>
      </c>
      <c r="L891" t="n">
        <v>0</v>
      </c>
      <c r="M891" t="n">
        <v>0</v>
      </c>
      <c r="N891" t="n">
        <v>0</v>
      </c>
      <c r="O891" t="n">
        <v>0</v>
      </c>
      <c r="P891" t="n">
        <v>0</v>
      </c>
      <c r="Q891" t="n">
        <v>0</v>
      </c>
      <c r="R891" s="2" t="inlineStr"/>
    </row>
    <row r="892" ht="15" customHeight="1">
      <c r="A892" t="inlineStr">
        <is>
          <t>A 12370-2025</t>
        </is>
      </c>
      <c r="B892" s="1" t="n">
        <v>45730.37681712963</v>
      </c>
      <c r="C892" s="1" t="n">
        <v>46033</v>
      </c>
      <c r="D892" t="inlineStr">
        <is>
          <t>VÄSTERBOTTENS LÄN</t>
        </is>
      </c>
      <c r="E892" t="inlineStr">
        <is>
          <t>VILHELMINA</t>
        </is>
      </c>
      <c r="F892" t="inlineStr">
        <is>
          <t>Övriga statliga verk och myndigheter</t>
        </is>
      </c>
      <c r="G892" t="n">
        <v>8.9</v>
      </c>
      <c r="H892" t="n">
        <v>0</v>
      </c>
      <c r="I892" t="n">
        <v>0</v>
      </c>
      <c r="J892" t="n">
        <v>0</v>
      </c>
      <c r="K892" t="n">
        <v>0</v>
      </c>
      <c r="L892" t="n">
        <v>0</v>
      </c>
      <c r="M892" t="n">
        <v>0</v>
      </c>
      <c r="N892" t="n">
        <v>0</v>
      </c>
      <c r="O892" t="n">
        <v>0</v>
      </c>
      <c r="P892" t="n">
        <v>0</v>
      </c>
      <c r="Q892" t="n">
        <v>0</v>
      </c>
      <c r="R892" s="2" t="inlineStr"/>
    </row>
    <row r="893" ht="15" customHeight="1">
      <c r="A893" t="inlineStr">
        <is>
          <t>A 19221-2025</t>
        </is>
      </c>
      <c r="B893" s="1" t="n">
        <v>45769</v>
      </c>
      <c r="C893" s="1" t="n">
        <v>46033</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34130-2024</t>
        </is>
      </c>
      <c r="B894" s="1" t="n">
        <v>45524.34668981482</v>
      </c>
      <c r="C894" s="1" t="n">
        <v>46033</v>
      </c>
      <c r="D894" t="inlineStr">
        <is>
          <t>VÄSTERBOTTENS LÄN</t>
        </is>
      </c>
      <c r="E894" t="inlineStr">
        <is>
          <t>VILHELMINA</t>
        </is>
      </c>
      <c r="F894" t="inlineStr">
        <is>
          <t>Sveaskog</t>
        </is>
      </c>
      <c r="G894" t="n">
        <v>3.7</v>
      </c>
      <c r="H894" t="n">
        <v>0</v>
      </c>
      <c r="I894" t="n">
        <v>0</v>
      </c>
      <c r="J894" t="n">
        <v>0</v>
      </c>
      <c r="K894" t="n">
        <v>0</v>
      </c>
      <c r="L894" t="n">
        <v>0</v>
      </c>
      <c r="M894" t="n">
        <v>0</v>
      </c>
      <c r="N894" t="n">
        <v>0</v>
      </c>
      <c r="O894" t="n">
        <v>0</v>
      </c>
      <c r="P894" t="n">
        <v>0</v>
      </c>
      <c r="Q894" t="n">
        <v>0</v>
      </c>
      <c r="R894" s="2" t="inlineStr"/>
    </row>
    <row r="895" ht="15" customHeight="1">
      <c r="A895" t="inlineStr">
        <is>
          <t>A 56763-2023</t>
        </is>
      </c>
      <c r="B895" s="1" t="n">
        <v>45238</v>
      </c>
      <c r="C895" s="1" t="n">
        <v>46033</v>
      </c>
      <c r="D895" t="inlineStr">
        <is>
          <t>VÄSTERBOTTENS LÄN</t>
        </is>
      </c>
      <c r="E895" t="inlineStr">
        <is>
          <t>VILHELMINA</t>
        </is>
      </c>
      <c r="F895" t="inlineStr">
        <is>
          <t>Allmännings- och besparingsskogar</t>
        </is>
      </c>
      <c r="G895" t="n">
        <v>77</v>
      </c>
      <c r="H895" t="n">
        <v>0</v>
      </c>
      <c r="I895" t="n">
        <v>0</v>
      </c>
      <c r="J895" t="n">
        <v>0</v>
      </c>
      <c r="K895" t="n">
        <v>0</v>
      </c>
      <c r="L895" t="n">
        <v>0</v>
      </c>
      <c r="M895" t="n">
        <v>0</v>
      </c>
      <c r="N895" t="n">
        <v>0</v>
      </c>
      <c r="O895" t="n">
        <v>0</v>
      </c>
      <c r="P895" t="n">
        <v>0</v>
      </c>
      <c r="Q895" t="n">
        <v>0</v>
      </c>
      <c r="R895" s="2" t="inlineStr"/>
    </row>
    <row r="896" ht="15" customHeight="1">
      <c r="A896" t="inlineStr">
        <is>
          <t>A 45007-2024</t>
        </is>
      </c>
      <c r="B896" s="1" t="n">
        <v>45575.49100694444</v>
      </c>
      <c r="C896" s="1" t="n">
        <v>46033</v>
      </c>
      <c r="D896" t="inlineStr">
        <is>
          <t>VÄSTERBOTTENS LÄN</t>
        </is>
      </c>
      <c r="E896" t="inlineStr">
        <is>
          <t>VILHELMINA</t>
        </is>
      </c>
      <c r="F896" t="inlineStr">
        <is>
          <t>SCA</t>
        </is>
      </c>
      <c r="G896" t="n">
        <v>14.8</v>
      </c>
      <c r="H896" t="n">
        <v>0</v>
      </c>
      <c r="I896" t="n">
        <v>0</v>
      </c>
      <c r="J896" t="n">
        <v>0</v>
      </c>
      <c r="K896" t="n">
        <v>0</v>
      </c>
      <c r="L896" t="n">
        <v>0</v>
      </c>
      <c r="M896" t="n">
        <v>0</v>
      </c>
      <c r="N896" t="n">
        <v>0</v>
      </c>
      <c r="O896" t="n">
        <v>0</v>
      </c>
      <c r="P896" t="n">
        <v>0</v>
      </c>
      <c r="Q896" t="n">
        <v>0</v>
      </c>
      <c r="R896" s="2" t="inlineStr"/>
    </row>
    <row r="897" ht="15" customHeight="1">
      <c r="A897" t="inlineStr">
        <is>
          <t>A 33786-2024</t>
        </is>
      </c>
      <c r="B897" s="1" t="n">
        <v>45520.58966435185</v>
      </c>
      <c r="C897" s="1" t="n">
        <v>46033</v>
      </c>
      <c r="D897" t="inlineStr">
        <is>
          <t>VÄSTERBOTTENS LÄN</t>
        </is>
      </c>
      <c r="E897" t="inlineStr">
        <is>
          <t>VILHELMINA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18781-2021</t>
        </is>
      </c>
      <c r="B898" s="1" t="n">
        <v>44307</v>
      </c>
      <c r="C898" s="1" t="n">
        <v>46033</v>
      </c>
      <c r="D898" t="inlineStr">
        <is>
          <t>VÄSTERBOTTENS LÄN</t>
        </is>
      </c>
      <c r="E898" t="inlineStr">
        <is>
          <t>VILHELMINA</t>
        </is>
      </c>
      <c r="G898" t="n">
        <v>3.5</v>
      </c>
      <c r="H898" t="n">
        <v>0</v>
      </c>
      <c r="I898" t="n">
        <v>0</v>
      </c>
      <c r="J898" t="n">
        <v>0</v>
      </c>
      <c r="K898" t="n">
        <v>0</v>
      </c>
      <c r="L898" t="n">
        <v>0</v>
      </c>
      <c r="M898" t="n">
        <v>0</v>
      </c>
      <c r="N898" t="n">
        <v>0</v>
      </c>
      <c r="O898" t="n">
        <v>0</v>
      </c>
      <c r="P898" t="n">
        <v>0</v>
      </c>
      <c r="Q898" t="n">
        <v>0</v>
      </c>
      <c r="R898" s="2" t="inlineStr"/>
    </row>
    <row r="899" ht="15" customHeight="1">
      <c r="A899" t="inlineStr">
        <is>
          <t>A 18790-2021</t>
        </is>
      </c>
      <c r="B899" s="1" t="n">
        <v>44307</v>
      </c>
      <c r="C899" s="1" t="n">
        <v>46033</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59671-2023</t>
        </is>
      </c>
      <c r="B900" s="1" t="n">
        <v>45254.96524305556</v>
      </c>
      <c r="C900" s="1" t="n">
        <v>46033</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14993-2025</t>
        </is>
      </c>
      <c r="B901" s="1" t="n">
        <v>45743</v>
      </c>
      <c r="C901" s="1" t="n">
        <v>46033</v>
      </c>
      <c r="D901" t="inlineStr">
        <is>
          <t>VÄSTERBOTTENS LÄN</t>
        </is>
      </c>
      <c r="E901" t="inlineStr">
        <is>
          <t>VILHELMINA</t>
        </is>
      </c>
      <c r="G901" t="n">
        <v>2.1</v>
      </c>
      <c r="H901" t="n">
        <v>0</v>
      </c>
      <c r="I901" t="n">
        <v>0</v>
      </c>
      <c r="J901" t="n">
        <v>0</v>
      </c>
      <c r="K901" t="n">
        <v>0</v>
      </c>
      <c r="L901" t="n">
        <v>0</v>
      </c>
      <c r="M901" t="n">
        <v>0</v>
      </c>
      <c r="N901" t="n">
        <v>0</v>
      </c>
      <c r="O901" t="n">
        <v>0</v>
      </c>
      <c r="P901" t="n">
        <v>0</v>
      </c>
      <c r="Q901" t="n">
        <v>0</v>
      </c>
      <c r="R901" s="2" t="inlineStr"/>
    </row>
    <row r="902" ht="15" customHeight="1">
      <c r="A902" t="inlineStr">
        <is>
          <t>A 60227-2022</t>
        </is>
      </c>
      <c r="B902" s="1" t="n">
        <v>44903</v>
      </c>
      <c r="C902" s="1" t="n">
        <v>46033</v>
      </c>
      <c r="D902" t="inlineStr">
        <is>
          <t>VÄSTERBOTTENS LÄN</t>
        </is>
      </c>
      <c r="E902" t="inlineStr">
        <is>
          <t>VILHELMINA</t>
        </is>
      </c>
      <c r="G902" t="n">
        <v>11</v>
      </c>
      <c r="H902" t="n">
        <v>0</v>
      </c>
      <c r="I902" t="n">
        <v>0</v>
      </c>
      <c r="J902" t="n">
        <v>0</v>
      </c>
      <c r="K902" t="n">
        <v>0</v>
      </c>
      <c r="L902" t="n">
        <v>0</v>
      </c>
      <c r="M902" t="n">
        <v>0</v>
      </c>
      <c r="N902" t="n">
        <v>0</v>
      </c>
      <c r="O902" t="n">
        <v>0</v>
      </c>
      <c r="P902" t="n">
        <v>0</v>
      </c>
      <c r="Q902" t="n">
        <v>0</v>
      </c>
      <c r="R902" s="2" t="inlineStr"/>
    </row>
    <row r="903" ht="15" customHeight="1">
      <c r="A903" t="inlineStr">
        <is>
          <t>A 20591-2025</t>
        </is>
      </c>
      <c r="B903" s="1" t="n">
        <v>45775</v>
      </c>
      <c r="C903" s="1" t="n">
        <v>46033</v>
      </c>
      <c r="D903" t="inlineStr">
        <is>
          <t>VÄSTERBOTTENS LÄN</t>
        </is>
      </c>
      <c r="E903" t="inlineStr">
        <is>
          <t>VILHELMINA</t>
        </is>
      </c>
      <c r="F903" t="inlineStr">
        <is>
          <t>SCA</t>
        </is>
      </c>
      <c r="G903" t="n">
        <v>27.4</v>
      </c>
      <c r="H903" t="n">
        <v>0</v>
      </c>
      <c r="I903" t="n">
        <v>0</v>
      </c>
      <c r="J903" t="n">
        <v>0</v>
      </c>
      <c r="K903" t="n">
        <v>0</v>
      </c>
      <c r="L903" t="n">
        <v>0</v>
      </c>
      <c r="M903" t="n">
        <v>0</v>
      </c>
      <c r="N903" t="n">
        <v>0</v>
      </c>
      <c r="O903" t="n">
        <v>0</v>
      </c>
      <c r="P903" t="n">
        <v>0</v>
      </c>
      <c r="Q903" t="n">
        <v>0</v>
      </c>
      <c r="R903" s="2" t="inlineStr"/>
    </row>
    <row r="904" ht="15" customHeight="1">
      <c r="A904" t="inlineStr">
        <is>
          <t>A 15786-2025</t>
        </is>
      </c>
      <c r="B904" s="1" t="n">
        <v>45748.62240740741</v>
      </c>
      <c r="C904" s="1" t="n">
        <v>46033</v>
      </c>
      <c r="D904" t="inlineStr">
        <is>
          <t>VÄSTERBOTTENS LÄN</t>
        </is>
      </c>
      <c r="E904" t="inlineStr">
        <is>
          <t>VILHELMINA</t>
        </is>
      </c>
      <c r="G904" t="n">
        <v>1.1</v>
      </c>
      <c r="H904" t="n">
        <v>0</v>
      </c>
      <c r="I904" t="n">
        <v>0</v>
      </c>
      <c r="J904" t="n">
        <v>0</v>
      </c>
      <c r="K904" t="n">
        <v>0</v>
      </c>
      <c r="L904" t="n">
        <v>0</v>
      </c>
      <c r="M904" t="n">
        <v>0</v>
      </c>
      <c r="N904" t="n">
        <v>0</v>
      </c>
      <c r="O904" t="n">
        <v>0</v>
      </c>
      <c r="P904" t="n">
        <v>0</v>
      </c>
      <c r="Q904" t="n">
        <v>0</v>
      </c>
      <c r="R904" s="2" t="inlineStr"/>
    </row>
    <row r="905" ht="15" customHeight="1">
      <c r="A905" t="inlineStr">
        <is>
          <t>A 49236-2024</t>
        </is>
      </c>
      <c r="B905" s="1" t="n">
        <v>45595</v>
      </c>
      <c r="C905" s="1" t="n">
        <v>46033</v>
      </c>
      <c r="D905" t="inlineStr">
        <is>
          <t>VÄSTERBOTTENS LÄN</t>
        </is>
      </c>
      <c r="E905" t="inlineStr">
        <is>
          <t>VILHELMINA</t>
        </is>
      </c>
      <c r="G905" t="n">
        <v>4.1</v>
      </c>
      <c r="H905" t="n">
        <v>0</v>
      </c>
      <c r="I905" t="n">
        <v>0</v>
      </c>
      <c r="J905" t="n">
        <v>0</v>
      </c>
      <c r="K905" t="n">
        <v>0</v>
      </c>
      <c r="L905" t="n">
        <v>0</v>
      </c>
      <c r="M905" t="n">
        <v>0</v>
      </c>
      <c r="N905" t="n">
        <v>0</v>
      </c>
      <c r="O905" t="n">
        <v>0</v>
      </c>
      <c r="P905" t="n">
        <v>0</v>
      </c>
      <c r="Q905" t="n">
        <v>0</v>
      </c>
      <c r="R905" s="2" t="inlineStr"/>
    </row>
    <row r="906" ht="15" customHeight="1">
      <c r="A906" t="inlineStr">
        <is>
          <t>A 49246-2024</t>
        </is>
      </c>
      <c r="B906" s="1" t="n">
        <v>45595.4618287037</v>
      </c>
      <c r="C906" s="1" t="n">
        <v>46033</v>
      </c>
      <c r="D906" t="inlineStr">
        <is>
          <t>VÄSTERBOTTENS LÄN</t>
        </is>
      </c>
      <c r="E906" t="inlineStr">
        <is>
          <t>VILHELMINA</t>
        </is>
      </c>
      <c r="G906" t="n">
        <v>0.9</v>
      </c>
      <c r="H906" t="n">
        <v>0</v>
      </c>
      <c r="I906" t="n">
        <v>0</v>
      </c>
      <c r="J906" t="n">
        <v>0</v>
      </c>
      <c r="K906" t="n">
        <v>0</v>
      </c>
      <c r="L906" t="n">
        <v>0</v>
      </c>
      <c r="M906" t="n">
        <v>0</v>
      </c>
      <c r="N906" t="n">
        <v>0</v>
      </c>
      <c r="O906" t="n">
        <v>0</v>
      </c>
      <c r="P906" t="n">
        <v>0</v>
      </c>
      <c r="Q906" t="n">
        <v>0</v>
      </c>
      <c r="R906" s="2" t="inlineStr"/>
    </row>
    <row r="907" ht="15" customHeight="1">
      <c r="A907" t="inlineStr">
        <is>
          <t>A 44368-2024</t>
        </is>
      </c>
      <c r="B907" s="1" t="n">
        <v>45573</v>
      </c>
      <c r="C907" s="1" t="n">
        <v>46033</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49599-2022</t>
        </is>
      </c>
      <c r="B908" s="1" t="n">
        <v>44859</v>
      </c>
      <c r="C908" s="1" t="n">
        <v>46033</v>
      </c>
      <c r="D908" t="inlineStr">
        <is>
          <t>VÄSTERBOTTENS LÄN</t>
        </is>
      </c>
      <c r="E908" t="inlineStr">
        <is>
          <t>VILHELMINA</t>
        </is>
      </c>
      <c r="G908" t="n">
        <v>3.6</v>
      </c>
      <c r="H908" t="n">
        <v>0</v>
      </c>
      <c r="I908" t="n">
        <v>0</v>
      </c>
      <c r="J908" t="n">
        <v>0</v>
      </c>
      <c r="K908" t="n">
        <v>0</v>
      </c>
      <c r="L908" t="n">
        <v>0</v>
      </c>
      <c r="M908" t="n">
        <v>0</v>
      </c>
      <c r="N908" t="n">
        <v>0</v>
      </c>
      <c r="O908" t="n">
        <v>0</v>
      </c>
      <c r="P908" t="n">
        <v>0</v>
      </c>
      <c r="Q908" t="n">
        <v>0</v>
      </c>
      <c r="R908" s="2" t="inlineStr"/>
    </row>
    <row r="909" ht="15" customHeight="1">
      <c r="A909" t="inlineStr">
        <is>
          <t>A 3237-2024</t>
        </is>
      </c>
      <c r="B909" s="1" t="n">
        <v>45316.9474537037</v>
      </c>
      <c r="C909" s="1" t="n">
        <v>46033</v>
      </c>
      <c r="D909" t="inlineStr">
        <is>
          <t>VÄSTERBOTTENS LÄN</t>
        </is>
      </c>
      <c r="E909" t="inlineStr">
        <is>
          <t>VILHELMINA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13768-2024</t>
        </is>
      </c>
      <c r="B910" s="1" t="n">
        <v>45390.95230324074</v>
      </c>
      <c r="C910" s="1" t="n">
        <v>46033</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12371-2025</t>
        </is>
      </c>
      <c r="B911" s="1" t="n">
        <v>45730</v>
      </c>
      <c r="C911" s="1" t="n">
        <v>46033</v>
      </c>
      <c r="D911" t="inlineStr">
        <is>
          <t>VÄSTERBOTTENS LÄN</t>
        </is>
      </c>
      <c r="E911" t="inlineStr">
        <is>
          <t>VILHELMINA</t>
        </is>
      </c>
      <c r="F911" t="inlineStr">
        <is>
          <t>Övriga statliga verk och myndigheter</t>
        </is>
      </c>
      <c r="G911" t="n">
        <v>37.1</v>
      </c>
      <c r="H911" t="n">
        <v>0</v>
      </c>
      <c r="I911" t="n">
        <v>0</v>
      </c>
      <c r="J911" t="n">
        <v>0</v>
      </c>
      <c r="K911" t="n">
        <v>0</v>
      </c>
      <c r="L911" t="n">
        <v>0</v>
      </c>
      <c r="M911" t="n">
        <v>0</v>
      </c>
      <c r="N911" t="n">
        <v>0</v>
      </c>
      <c r="O911" t="n">
        <v>0</v>
      </c>
      <c r="P911" t="n">
        <v>0</v>
      </c>
      <c r="Q911" t="n">
        <v>0</v>
      </c>
      <c r="R911" s="2" t="inlineStr"/>
    </row>
    <row r="912" ht="15" customHeight="1">
      <c r="A912" t="inlineStr">
        <is>
          <t>A 12593-2022</t>
        </is>
      </c>
      <c r="B912" s="1" t="n">
        <v>44640</v>
      </c>
      <c r="C912" s="1" t="n">
        <v>46033</v>
      </c>
      <c r="D912" t="inlineStr">
        <is>
          <t>VÄSTERBOTTENS LÄN</t>
        </is>
      </c>
      <c r="E912" t="inlineStr">
        <is>
          <t>VILHELMINA</t>
        </is>
      </c>
      <c r="G912" t="n">
        <v>10.4</v>
      </c>
      <c r="H912" t="n">
        <v>0</v>
      </c>
      <c r="I912" t="n">
        <v>0</v>
      </c>
      <c r="J912" t="n">
        <v>0</v>
      </c>
      <c r="K912" t="n">
        <v>0</v>
      </c>
      <c r="L912" t="n">
        <v>0</v>
      </c>
      <c r="M912" t="n">
        <v>0</v>
      </c>
      <c r="N912" t="n">
        <v>0</v>
      </c>
      <c r="O912" t="n">
        <v>0</v>
      </c>
      <c r="P912" t="n">
        <v>0</v>
      </c>
      <c r="Q912" t="n">
        <v>0</v>
      </c>
      <c r="R912" s="2" t="inlineStr"/>
    </row>
    <row r="913" ht="15" customHeight="1">
      <c r="A913" t="inlineStr">
        <is>
          <t>A 64028-2023</t>
        </is>
      </c>
      <c r="B913" s="1" t="n">
        <v>45278.94263888889</v>
      </c>
      <c r="C913" s="1" t="n">
        <v>46033</v>
      </c>
      <c r="D913" t="inlineStr">
        <is>
          <t>VÄSTERBOTTENS LÄN</t>
        </is>
      </c>
      <c r="E913" t="inlineStr">
        <is>
          <t>VILHELMINA</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35758-2023</t>
        </is>
      </c>
      <c r="B914" s="1" t="n">
        <v>45147.95452546296</v>
      </c>
      <c r="C914" s="1" t="n">
        <v>46033</v>
      </c>
      <c r="D914" t="inlineStr">
        <is>
          <t>VÄSTERBOTTENS LÄN</t>
        </is>
      </c>
      <c r="E914" t="inlineStr">
        <is>
          <t>VILHELMINA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36348-2024</t>
        </is>
      </c>
      <c r="B915" s="1" t="n">
        <v>45534.64422453703</v>
      </c>
      <c r="C915" s="1" t="n">
        <v>46033</v>
      </c>
      <c r="D915" t="inlineStr">
        <is>
          <t>VÄSTERBOTTENS LÄN</t>
        </is>
      </c>
      <c r="E915" t="inlineStr">
        <is>
          <t>VILHELMINA</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36355-2024</t>
        </is>
      </c>
      <c r="B916" s="1" t="n">
        <v>45534.64508101852</v>
      </c>
      <c r="C916" s="1" t="n">
        <v>46033</v>
      </c>
      <c r="D916" t="inlineStr">
        <is>
          <t>VÄSTERBOTTENS LÄN</t>
        </is>
      </c>
      <c r="E916" t="inlineStr">
        <is>
          <t>VILHELMINA</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6699-2021</t>
        </is>
      </c>
      <c r="B917" s="1" t="n">
        <v>44235</v>
      </c>
      <c r="C917" s="1" t="n">
        <v>46033</v>
      </c>
      <c r="D917" t="inlineStr">
        <is>
          <t>VÄSTERBOTTENS LÄN</t>
        </is>
      </c>
      <c r="E917" t="inlineStr">
        <is>
          <t>VILHELMINA</t>
        </is>
      </c>
      <c r="G917" t="n">
        <v>6.9</v>
      </c>
      <c r="H917" t="n">
        <v>0</v>
      </c>
      <c r="I917" t="n">
        <v>0</v>
      </c>
      <c r="J917" t="n">
        <v>0</v>
      </c>
      <c r="K917" t="n">
        <v>0</v>
      </c>
      <c r="L917" t="n">
        <v>0</v>
      </c>
      <c r="M917" t="n">
        <v>0</v>
      </c>
      <c r="N917" t="n">
        <v>0</v>
      </c>
      <c r="O917" t="n">
        <v>0</v>
      </c>
      <c r="P917" t="n">
        <v>0</v>
      </c>
      <c r="Q917" t="n">
        <v>0</v>
      </c>
      <c r="R917" s="2" t="inlineStr"/>
    </row>
    <row r="918" ht="15" customHeight="1">
      <c r="A918" t="inlineStr">
        <is>
          <t>A 8566-2025</t>
        </is>
      </c>
      <c r="B918" s="1" t="n">
        <v>45709</v>
      </c>
      <c r="C918" s="1" t="n">
        <v>46033</v>
      </c>
      <c r="D918" t="inlineStr">
        <is>
          <t>VÄSTERBOTTENS LÄN</t>
        </is>
      </c>
      <c r="E918" t="inlineStr">
        <is>
          <t>VILHELMINA</t>
        </is>
      </c>
      <c r="G918" t="n">
        <v>10.5</v>
      </c>
      <c r="H918" t="n">
        <v>0</v>
      </c>
      <c r="I918" t="n">
        <v>0</v>
      </c>
      <c r="J918" t="n">
        <v>0</v>
      </c>
      <c r="K918" t="n">
        <v>0</v>
      </c>
      <c r="L918" t="n">
        <v>0</v>
      </c>
      <c r="M918" t="n">
        <v>0</v>
      </c>
      <c r="N918" t="n">
        <v>0</v>
      </c>
      <c r="O918" t="n">
        <v>0</v>
      </c>
      <c r="P918" t="n">
        <v>0</v>
      </c>
      <c r="Q918" t="n">
        <v>0</v>
      </c>
      <c r="R918" s="2" t="inlineStr"/>
    </row>
    <row r="919" ht="15" customHeight="1">
      <c r="A919" t="inlineStr">
        <is>
          <t>A 37514-2024</t>
        </is>
      </c>
      <c r="B919" s="1" t="n">
        <v>45541.38586805556</v>
      </c>
      <c r="C919" s="1" t="n">
        <v>46033</v>
      </c>
      <c r="D919" t="inlineStr">
        <is>
          <t>VÄSTERBOTTENS LÄN</t>
        </is>
      </c>
      <c r="E919" t="inlineStr">
        <is>
          <t>VILHELMINA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9815-2024</t>
        </is>
      </c>
      <c r="B920" s="1" t="n">
        <v>45362.96927083333</v>
      </c>
      <c r="C920" s="1" t="n">
        <v>46033</v>
      </c>
      <c r="D920" t="inlineStr">
        <is>
          <t>VÄSTERBOTTENS LÄN</t>
        </is>
      </c>
      <c r="E920" t="inlineStr">
        <is>
          <t>VILHELMINA</t>
        </is>
      </c>
      <c r="G920" t="n">
        <v>1.3</v>
      </c>
      <c r="H920" t="n">
        <v>0</v>
      </c>
      <c r="I920" t="n">
        <v>0</v>
      </c>
      <c r="J920" t="n">
        <v>0</v>
      </c>
      <c r="K920" t="n">
        <v>0</v>
      </c>
      <c r="L920" t="n">
        <v>0</v>
      </c>
      <c r="M920" t="n">
        <v>0</v>
      </c>
      <c r="N920" t="n">
        <v>0</v>
      </c>
      <c r="O920" t="n">
        <v>0</v>
      </c>
      <c r="P920" t="n">
        <v>0</v>
      </c>
      <c r="Q920" t="n">
        <v>0</v>
      </c>
      <c r="R920" s="2" t="inlineStr"/>
    </row>
    <row r="921" ht="15" customHeight="1">
      <c r="A921" t="inlineStr">
        <is>
          <t>A 34630-2024</t>
        </is>
      </c>
      <c r="B921" s="1" t="n">
        <v>45526.46234953704</v>
      </c>
      <c r="C921" s="1" t="n">
        <v>46033</v>
      </c>
      <c r="D921" t="inlineStr">
        <is>
          <t>VÄSTERBOTTENS LÄN</t>
        </is>
      </c>
      <c r="E921" t="inlineStr">
        <is>
          <t>VILHELMINA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55720-2023</t>
        </is>
      </c>
      <c r="B922" s="1" t="n">
        <v>45232</v>
      </c>
      <c r="C922" s="1" t="n">
        <v>46033</v>
      </c>
      <c r="D922" t="inlineStr">
        <is>
          <t>VÄSTERBOTTENS LÄN</t>
        </is>
      </c>
      <c r="E922" t="inlineStr">
        <is>
          <t>VILHELMINA</t>
        </is>
      </c>
      <c r="G922" t="n">
        <v>0.8</v>
      </c>
      <c r="H922" t="n">
        <v>0</v>
      </c>
      <c r="I922" t="n">
        <v>0</v>
      </c>
      <c r="J922" t="n">
        <v>0</v>
      </c>
      <c r="K922" t="n">
        <v>0</v>
      </c>
      <c r="L922" t="n">
        <v>0</v>
      </c>
      <c r="M922" t="n">
        <v>0</v>
      </c>
      <c r="N922" t="n">
        <v>0</v>
      </c>
      <c r="O922" t="n">
        <v>0</v>
      </c>
      <c r="P922" t="n">
        <v>0</v>
      </c>
      <c r="Q922" t="n">
        <v>0</v>
      </c>
      <c r="R922" s="2" t="inlineStr"/>
    </row>
    <row r="923" ht="15" customHeight="1">
      <c r="A923" t="inlineStr">
        <is>
          <t>A 12189-2024</t>
        </is>
      </c>
      <c r="B923" s="1" t="n">
        <v>45377.94945601852</v>
      </c>
      <c r="C923" s="1" t="n">
        <v>46033</v>
      </c>
      <c r="D923" t="inlineStr">
        <is>
          <t>VÄSTERBOTTENS LÄN</t>
        </is>
      </c>
      <c r="E923" t="inlineStr">
        <is>
          <t>VILHELMINA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58450-2024</t>
        </is>
      </c>
      <c r="B924" s="1" t="n">
        <v>45635.34425925926</v>
      </c>
      <c r="C924" s="1" t="n">
        <v>46033</v>
      </c>
      <c r="D924" t="inlineStr">
        <is>
          <t>VÄSTERBOTTENS LÄN</t>
        </is>
      </c>
      <c r="E924" t="inlineStr">
        <is>
          <t>VILHELMINA</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8759-2023</t>
        </is>
      </c>
      <c r="B925" s="1" t="n">
        <v>44972</v>
      </c>
      <c r="C925" s="1" t="n">
        <v>46033</v>
      </c>
      <c r="D925" t="inlineStr">
        <is>
          <t>VÄSTERBOTTENS LÄN</t>
        </is>
      </c>
      <c r="E925" t="inlineStr">
        <is>
          <t>VILHELMINA</t>
        </is>
      </c>
      <c r="F925" t="inlineStr">
        <is>
          <t>Allmännings- och besparingsskogar</t>
        </is>
      </c>
      <c r="G925" t="n">
        <v>23.4</v>
      </c>
      <c r="H925" t="n">
        <v>0</v>
      </c>
      <c r="I925" t="n">
        <v>0</v>
      </c>
      <c r="J925" t="n">
        <v>0</v>
      </c>
      <c r="K925" t="n">
        <v>0</v>
      </c>
      <c r="L925" t="n">
        <v>0</v>
      </c>
      <c r="M925" t="n">
        <v>0</v>
      </c>
      <c r="N925" t="n">
        <v>0</v>
      </c>
      <c r="O925" t="n">
        <v>0</v>
      </c>
      <c r="P925" t="n">
        <v>0</v>
      </c>
      <c r="Q925" t="n">
        <v>0</v>
      </c>
      <c r="R925" s="2" t="inlineStr"/>
    </row>
    <row r="926" ht="15" customHeight="1">
      <c r="A926" t="inlineStr">
        <is>
          <t>A 32921-2024</t>
        </is>
      </c>
      <c r="B926" s="1" t="n">
        <v>45516.9525462963</v>
      </c>
      <c r="C926" s="1" t="n">
        <v>46033</v>
      </c>
      <c r="D926" t="inlineStr">
        <is>
          <t>VÄSTERBOTTENS LÄN</t>
        </is>
      </c>
      <c r="E926" t="inlineStr">
        <is>
          <t>VILHELMINA</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237-2025</t>
        </is>
      </c>
      <c r="B927" s="1" t="n">
        <v>45660.40270833333</v>
      </c>
      <c r="C927" s="1" t="n">
        <v>46033</v>
      </c>
      <c r="D927" t="inlineStr">
        <is>
          <t>VÄSTERBOTTENS LÄN</t>
        </is>
      </c>
      <c r="E927" t="inlineStr">
        <is>
          <t>VILHELMINA</t>
        </is>
      </c>
      <c r="G927" t="n">
        <v>4.6</v>
      </c>
      <c r="H927" t="n">
        <v>0</v>
      </c>
      <c r="I927" t="n">
        <v>0</v>
      </c>
      <c r="J927" t="n">
        <v>0</v>
      </c>
      <c r="K927" t="n">
        <v>0</v>
      </c>
      <c r="L927" t="n">
        <v>0</v>
      </c>
      <c r="M927" t="n">
        <v>0</v>
      </c>
      <c r="N927" t="n">
        <v>0</v>
      </c>
      <c r="O927" t="n">
        <v>0</v>
      </c>
      <c r="P927" t="n">
        <v>0</v>
      </c>
      <c r="Q927" t="n">
        <v>0</v>
      </c>
      <c r="R927" s="2" t="inlineStr"/>
    </row>
    <row r="928" ht="15" customHeight="1">
      <c r="A928" t="inlineStr">
        <is>
          <t>A 242-2025</t>
        </is>
      </c>
      <c r="B928" s="1" t="n">
        <v>45660.41033564815</v>
      </c>
      <c r="C928" s="1" t="n">
        <v>46033</v>
      </c>
      <c r="D928" t="inlineStr">
        <is>
          <t>VÄSTERBOTTENS LÄN</t>
        </is>
      </c>
      <c r="E928" t="inlineStr">
        <is>
          <t>VILHELMINA</t>
        </is>
      </c>
      <c r="G928" t="n">
        <v>2.7</v>
      </c>
      <c r="H928" t="n">
        <v>0</v>
      </c>
      <c r="I928" t="n">
        <v>0</v>
      </c>
      <c r="J928" t="n">
        <v>0</v>
      </c>
      <c r="K928" t="n">
        <v>0</v>
      </c>
      <c r="L928" t="n">
        <v>0</v>
      </c>
      <c r="M928" t="n">
        <v>0</v>
      </c>
      <c r="N928" t="n">
        <v>0</v>
      </c>
      <c r="O928" t="n">
        <v>0</v>
      </c>
      <c r="P928" t="n">
        <v>0</v>
      </c>
      <c r="Q928" t="n">
        <v>0</v>
      </c>
      <c r="R928" s="2" t="inlineStr"/>
    </row>
    <row r="929" ht="15" customHeight="1">
      <c r="A929" t="inlineStr">
        <is>
          <t>A 55870-2022</t>
        </is>
      </c>
      <c r="B929" s="1" t="n">
        <v>44888</v>
      </c>
      <c r="C929" s="1" t="n">
        <v>46033</v>
      </c>
      <c r="D929" t="inlineStr">
        <is>
          <t>VÄSTERBOTTENS LÄN</t>
        </is>
      </c>
      <c r="E929" t="inlineStr">
        <is>
          <t>VILHELMINA</t>
        </is>
      </c>
      <c r="G929" t="n">
        <v>13.6</v>
      </c>
      <c r="H929" t="n">
        <v>0</v>
      </c>
      <c r="I929" t="n">
        <v>0</v>
      </c>
      <c r="J929" t="n">
        <v>0</v>
      </c>
      <c r="K929" t="n">
        <v>0</v>
      </c>
      <c r="L929" t="n">
        <v>0</v>
      </c>
      <c r="M929" t="n">
        <v>0</v>
      </c>
      <c r="N929" t="n">
        <v>0</v>
      </c>
      <c r="O929" t="n">
        <v>0</v>
      </c>
      <c r="P929" t="n">
        <v>0</v>
      </c>
      <c r="Q929" t="n">
        <v>0</v>
      </c>
      <c r="R929" s="2" t="inlineStr"/>
    </row>
    <row r="930" ht="15" customHeight="1">
      <c r="A930" t="inlineStr">
        <is>
          <t>A 19401-2023</t>
        </is>
      </c>
      <c r="B930" s="1" t="n">
        <v>45048</v>
      </c>
      <c r="C930" s="1" t="n">
        <v>46033</v>
      </c>
      <c r="D930" t="inlineStr">
        <is>
          <t>VÄSTERBOTTENS LÄN</t>
        </is>
      </c>
      <c r="E930" t="inlineStr">
        <is>
          <t>VILHELMINA</t>
        </is>
      </c>
      <c r="G930" t="n">
        <v>5.4</v>
      </c>
      <c r="H930" t="n">
        <v>0</v>
      </c>
      <c r="I930" t="n">
        <v>0</v>
      </c>
      <c r="J930" t="n">
        <v>0</v>
      </c>
      <c r="K930" t="n">
        <v>0</v>
      </c>
      <c r="L930" t="n">
        <v>0</v>
      </c>
      <c r="M930" t="n">
        <v>0</v>
      </c>
      <c r="N930" t="n">
        <v>0</v>
      </c>
      <c r="O930" t="n">
        <v>0</v>
      </c>
      <c r="P930" t="n">
        <v>0</v>
      </c>
      <c r="Q930" t="n">
        <v>0</v>
      </c>
      <c r="R930" s="2" t="inlineStr"/>
    </row>
    <row r="931" ht="15" customHeight="1">
      <c r="A931" t="inlineStr">
        <is>
          <t>A 16721-2025</t>
        </is>
      </c>
      <c r="B931" s="1" t="n">
        <v>45754.49045138889</v>
      </c>
      <c r="C931" s="1" t="n">
        <v>46033</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28486-2022</t>
        </is>
      </c>
      <c r="B932" s="1" t="n">
        <v>44747</v>
      </c>
      <c r="C932" s="1" t="n">
        <v>46033</v>
      </c>
      <c r="D932" t="inlineStr">
        <is>
          <t>VÄSTERBOTTENS LÄN</t>
        </is>
      </c>
      <c r="E932" t="inlineStr">
        <is>
          <t>VILHELMINA</t>
        </is>
      </c>
      <c r="F932" t="inlineStr">
        <is>
          <t>SCA</t>
        </is>
      </c>
      <c r="G932" t="n">
        <v>7.9</v>
      </c>
      <c r="H932" t="n">
        <v>0</v>
      </c>
      <c r="I932" t="n">
        <v>0</v>
      </c>
      <c r="J932" t="n">
        <v>0</v>
      </c>
      <c r="K932" t="n">
        <v>0</v>
      </c>
      <c r="L932" t="n">
        <v>0</v>
      </c>
      <c r="M932" t="n">
        <v>0</v>
      </c>
      <c r="N932" t="n">
        <v>0</v>
      </c>
      <c r="O932" t="n">
        <v>0</v>
      </c>
      <c r="P932" t="n">
        <v>0</v>
      </c>
      <c r="Q932" t="n">
        <v>0</v>
      </c>
      <c r="R932" s="2" t="inlineStr"/>
    </row>
    <row r="933" ht="15" customHeight="1">
      <c r="A933" t="inlineStr">
        <is>
          <t>A 12763-2025</t>
        </is>
      </c>
      <c r="B933" s="1" t="n">
        <v>45733</v>
      </c>
      <c r="C933" s="1" t="n">
        <v>46033</v>
      </c>
      <c r="D933" t="inlineStr">
        <is>
          <t>VÄSTERBOTTENS LÄN</t>
        </is>
      </c>
      <c r="E933" t="inlineStr">
        <is>
          <t>VILHELMINA</t>
        </is>
      </c>
      <c r="F933" t="inlineStr">
        <is>
          <t>SCA</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32925-2024</t>
        </is>
      </c>
      <c r="B934" s="1" t="n">
        <v>45516.95302083333</v>
      </c>
      <c r="C934" s="1" t="n">
        <v>46033</v>
      </c>
      <c r="D934" t="inlineStr">
        <is>
          <t>VÄSTERBOTTENS LÄN</t>
        </is>
      </c>
      <c r="E934" t="inlineStr">
        <is>
          <t>VILHELMINA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32926-2024</t>
        </is>
      </c>
      <c r="B935" s="1" t="n">
        <v>45516.95311342592</v>
      </c>
      <c r="C935" s="1" t="n">
        <v>46033</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34719-2024</t>
        </is>
      </c>
      <c r="B936" s="1" t="n">
        <v>45526.56435185186</v>
      </c>
      <c r="C936" s="1" t="n">
        <v>46033</v>
      </c>
      <c r="D936" t="inlineStr">
        <is>
          <t>VÄSTERBOTTENS LÄN</t>
        </is>
      </c>
      <c r="E936" t="inlineStr">
        <is>
          <t>VILHELMINA</t>
        </is>
      </c>
      <c r="G936" t="n">
        <v>1.7</v>
      </c>
      <c r="H936" t="n">
        <v>0</v>
      </c>
      <c r="I936" t="n">
        <v>0</v>
      </c>
      <c r="J936" t="n">
        <v>0</v>
      </c>
      <c r="K936" t="n">
        <v>0</v>
      </c>
      <c r="L936" t="n">
        <v>0</v>
      </c>
      <c r="M936" t="n">
        <v>0</v>
      </c>
      <c r="N936" t="n">
        <v>0</v>
      </c>
      <c r="O936" t="n">
        <v>0</v>
      </c>
      <c r="P936" t="n">
        <v>0</v>
      </c>
      <c r="Q936" t="n">
        <v>0</v>
      </c>
      <c r="R936" s="2" t="inlineStr"/>
    </row>
    <row r="937" ht="15" customHeight="1">
      <c r="A937" t="inlineStr">
        <is>
          <t>A 18394-2025</t>
        </is>
      </c>
      <c r="B937" s="1" t="n">
        <v>45762</v>
      </c>
      <c r="C937" s="1" t="n">
        <v>46033</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35755-2023</t>
        </is>
      </c>
      <c r="B938" s="1" t="n">
        <v>45147.9540625</v>
      </c>
      <c r="C938" s="1" t="n">
        <v>46033</v>
      </c>
      <c r="D938" t="inlineStr">
        <is>
          <t>VÄSTERBOTTENS LÄN</t>
        </is>
      </c>
      <c r="E938" t="inlineStr">
        <is>
          <t>VILHELMINA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5947-2023</t>
        </is>
      </c>
      <c r="B939" s="1" t="n">
        <v>44963.92259259259</v>
      </c>
      <c r="C939" s="1" t="n">
        <v>46033</v>
      </c>
      <c r="D939" t="inlineStr">
        <is>
          <t>VÄSTERBOTTENS LÄN</t>
        </is>
      </c>
      <c r="E939" t="inlineStr">
        <is>
          <t>VILHELMINA</t>
        </is>
      </c>
      <c r="G939" t="n">
        <v>4.3</v>
      </c>
      <c r="H939" t="n">
        <v>0</v>
      </c>
      <c r="I939" t="n">
        <v>0</v>
      </c>
      <c r="J939" t="n">
        <v>0</v>
      </c>
      <c r="K939" t="n">
        <v>0</v>
      </c>
      <c r="L939" t="n">
        <v>0</v>
      </c>
      <c r="M939" t="n">
        <v>0</v>
      </c>
      <c r="N939" t="n">
        <v>0</v>
      </c>
      <c r="O939" t="n">
        <v>0</v>
      </c>
      <c r="P939" t="n">
        <v>0</v>
      </c>
      <c r="Q939" t="n">
        <v>0</v>
      </c>
      <c r="R939" s="2" t="inlineStr"/>
    </row>
    <row r="940" ht="15" customHeight="1">
      <c r="A940" t="inlineStr">
        <is>
          <t>A 15050-2024</t>
        </is>
      </c>
      <c r="B940" s="1" t="n">
        <v>45399</v>
      </c>
      <c r="C940" s="1" t="n">
        <v>46033</v>
      </c>
      <c r="D940" t="inlineStr">
        <is>
          <t>VÄSTERBOTTENS LÄN</t>
        </is>
      </c>
      <c r="E940" t="inlineStr">
        <is>
          <t>VILHELMINA</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28380-2023</t>
        </is>
      </c>
      <c r="B941" s="1" t="n">
        <v>45099</v>
      </c>
      <c r="C941" s="1" t="n">
        <v>46033</v>
      </c>
      <c r="D941" t="inlineStr">
        <is>
          <t>VÄSTERBOTTENS LÄN</t>
        </is>
      </c>
      <c r="E941" t="inlineStr">
        <is>
          <t>VILHELMINA</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36957-2023</t>
        </is>
      </c>
      <c r="B942" s="1" t="n">
        <v>45154.92628472222</v>
      </c>
      <c r="C942" s="1" t="n">
        <v>46033</v>
      </c>
      <c r="D942" t="inlineStr">
        <is>
          <t>VÄSTERBOTTENS LÄN</t>
        </is>
      </c>
      <c r="E942" t="inlineStr">
        <is>
          <t>VILHELMINA</t>
        </is>
      </c>
      <c r="G942" t="n">
        <v>0.5</v>
      </c>
      <c r="H942" t="n">
        <v>0</v>
      </c>
      <c r="I942" t="n">
        <v>0</v>
      </c>
      <c r="J942" t="n">
        <v>0</v>
      </c>
      <c r="K942" t="n">
        <v>0</v>
      </c>
      <c r="L942" t="n">
        <v>0</v>
      </c>
      <c r="M942" t="n">
        <v>0</v>
      </c>
      <c r="N942" t="n">
        <v>0</v>
      </c>
      <c r="O942" t="n">
        <v>0</v>
      </c>
      <c r="P942" t="n">
        <v>0</v>
      </c>
      <c r="Q942" t="n">
        <v>0</v>
      </c>
      <c r="R942" s="2" t="inlineStr"/>
    </row>
    <row r="943" ht="15" customHeight="1">
      <c r="A943" t="inlineStr">
        <is>
          <t>A 37505-2023</t>
        </is>
      </c>
      <c r="B943" s="1" t="n">
        <v>45158.31186342592</v>
      </c>
      <c r="C943" s="1" t="n">
        <v>46033</v>
      </c>
      <c r="D943" t="inlineStr">
        <is>
          <t>VÄSTERBOTTENS LÄN</t>
        </is>
      </c>
      <c r="E943" t="inlineStr">
        <is>
          <t>VILHELMINA</t>
        </is>
      </c>
      <c r="G943" t="n">
        <v>10.5</v>
      </c>
      <c r="H943" t="n">
        <v>0</v>
      </c>
      <c r="I943" t="n">
        <v>0</v>
      </c>
      <c r="J943" t="n">
        <v>0</v>
      </c>
      <c r="K943" t="n">
        <v>0</v>
      </c>
      <c r="L943" t="n">
        <v>0</v>
      </c>
      <c r="M943" t="n">
        <v>0</v>
      </c>
      <c r="N943" t="n">
        <v>0</v>
      </c>
      <c r="O943" t="n">
        <v>0</v>
      </c>
      <c r="P943" t="n">
        <v>0</v>
      </c>
      <c r="Q943" t="n">
        <v>0</v>
      </c>
      <c r="R943" s="2" t="inlineStr"/>
    </row>
    <row r="944" ht="15" customHeight="1">
      <c r="A944" t="inlineStr">
        <is>
          <t>A 61801-2024</t>
        </is>
      </c>
      <c r="B944" s="1" t="n">
        <v>45649.56392361111</v>
      </c>
      <c r="C944" s="1" t="n">
        <v>46033</v>
      </c>
      <c r="D944" t="inlineStr">
        <is>
          <t>VÄSTERBOTTENS LÄN</t>
        </is>
      </c>
      <c r="E944" t="inlineStr">
        <is>
          <t>VILHELMINA</t>
        </is>
      </c>
      <c r="G944" t="n">
        <v>2.5</v>
      </c>
      <c r="H944" t="n">
        <v>0</v>
      </c>
      <c r="I944" t="n">
        <v>0</v>
      </c>
      <c r="J944" t="n">
        <v>0</v>
      </c>
      <c r="K944" t="n">
        <v>0</v>
      </c>
      <c r="L944" t="n">
        <v>0</v>
      </c>
      <c r="M944" t="n">
        <v>0</v>
      </c>
      <c r="N944" t="n">
        <v>0</v>
      </c>
      <c r="O944" t="n">
        <v>0</v>
      </c>
      <c r="P944" t="n">
        <v>0</v>
      </c>
      <c r="Q944" t="n">
        <v>0</v>
      </c>
      <c r="R944" s="2" t="inlineStr"/>
    </row>
    <row r="945" ht="15" customHeight="1">
      <c r="A945" t="inlineStr">
        <is>
          <t>A 19423-2022</t>
        </is>
      </c>
      <c r="B945" s="1" t="n">
        <v>44693.32515046297</v>
      </c>
      <c r="C945" s="1" t="n">
        <v>46033</v>
      </c>
      <c r="D945" t="inlineStr">
        <is>
          <t>VÄSTERBOTTENS LÄN</t>
        </is>
      </c>
      <c r="E945" t="inlineStr">
        <is>
          <t>VILHELMINA</t>
        </is>
      </c>
      <c r="G945" t="n">
        <v>1.9</v>
      </c>
      <c r="H945" t="n">
        <v>0</v>
      </c>
      <c r="I945" t="n">
        <v>0</v>
      </c>
      <c r="J945" t="n">
        <v>0</v>
      </c>
      <c r="K945" t="n">
        <v>0</v>
      </c>
      <c r="L945" t="n">
        <v>0</v>
      </c>
      <c r="M945" t="n">
        <v>0</v>
      </c>
      <c r="N945" t="n">
        <v>0</v>
      </c>
      <c r="O945" t="n">
        <v>0</v>
      </c>
      <c r="P945" t="n">
        <v>0</v>
      </c>
      <c r="Q945" t="n">
        <v>0</v>
      </c>
      <c r="R945" s="2" t="inlineStr"/>
    </row>
    <row r="946" ht="15" customHeight="1">
      <c r="A946" t="inlineStr">
        <is>
          <t>A 12190-2024</t>
        </is>
      </c>
      <c r="B946" s="1" t="n">
        <v>45377.94954861111</v>
      </c>
      <c r="C946" s="1" t="n">
        <v>46033</v>
      </c>
      <c r="D946" t="inlineStr">
        <is>
          <t>VÄSTERBOTTENS LÄN</t>
        </is>
      </c>
      <c r="E946" t="inlineStr">
        <is>
          <t>VILHELMINA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61779-2023</t>
        </is>
      </c>
      <c r="B947" s="1" t="n">
        <v>45265.95677083333</v>
      </c>
      <c r="C947" s="1" t="n">
        <v>46033</v>
      </c>
      <c r="D947" t="inlineStr">
        <is>
          <t>VÄSTERBOTTENS LÄN</t>
        </is>
      </c>
      <c r="E947" t="inlineStr">
        <is>
          <t>VILHELMINA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61270-2022</t>
        </is>
      </c>
      <c r="B948" s="1" t="n">
        <v>44909</v>
      </c>
      <c r="C948" s="1" t="n">
        <v>46033</v>
      </c>
      <c r="D948" t="inlineStr">
        <is>
          <t>VÄSTERBOTTENS LÄN</t>
        </is>
      </c>
      <c r="E948" t="inlineStr">
        <is>
          <t>VILHELMINA</t>
        </is>
      </c>
      <c r="G948" t="n">
        <v>8.9</v>
      </c>
      <c r="H948" t="n">
        <v>0</v>
      </c>
      <c r="I948" t="n">
        <v>0</v>
      </c>
      <c r="J948" t="n">
        <v>0</v>
      </c>
      <c r="K948" t="n">
        <v>0</v>
      </c>
      <c r="L948" t="n">
        <v>0</v>
      </c>
      <c r="M948" t="n">
        <v>0</v>
      </c>
      <c r="N948" t="n">
        <v>0</v>
      </c>
      <c r="O948" t="n">
        <v>0</v>
      </c>
      <c r="P948" t="n">
        <v>0</v>
      </c>
      <c r="Q948" t="n">
        <v>0</v>
      </c>
      <c r="R948" s="2" t="inlineStr"/>
    </row>
    <row r="949" ht="15" customHeight="1">
      <c r="A949" t="inlineStr">
        <is>
          <t>A 12373-2024</t>
        </is>
      </c>
      <c r="B949" s="1" t="n">
        <v>45378</v>
      </c>
      <c r="C949" s="1" t="n">
        <v>46033</v>
      </c>
      <c r="D949" t="inlineStr">
        <is>
          <t>VÄSTERBOTTENS LÄN</t>
        </is>
      </c>
      <c r="E949" t="inlineStr">
        <is>
          <t>VILHELMINA</t>
        </is>
      </c>
      <c r="G949" t="n">
        <v>0.7</v>
      </c>
      <c r="H949" t="n">
        <v>0</v>
      </c>
      <c r="I949" t="n">
        <v>0</v>
      </c>
      <c r="J949" t="n">
        <v>0</v>
      </c>
      <c r="K949" t="n">
        <v>0</v>
      </c>
      <c r="L949" t="n">
        <v>0</v>
      </c>
      <c r="M949" t="n">
        <v>0</v>
      </c>
      <c r="N949" t="n">
        <v>0</v>
      </c>
      <c r="O949" t="n">
        <v>0</v>
      </c>
      <c r="P949" t="n">
        <v>0</v>
      </c>
      <c r="Q949" t="n">
        <v>0</v>
      </c>
      <c r="R949" s="2" t="inlineStr"/>
    </row>
    <row r="950" ht="15" customHeight="1">
      <c r="A950" t="inlineStr">
        <is>
          <t>A 21843-2024</t>
        </is>
      </c>
      <c r="B950" s="1" t="n">
        <v>45442.96064814815</v>
      </c>
      <c r="C950" s="1" t="n">
        <v>46033</v>
      </c>
      <c r="D950" t="inlineStr">
        <is>
          <t>VÄSTERBOTTENS LÄN</t>
        </is>
      </c>
      <c r="E950" t="inlineStr">
        <is>
          <t>VILHELMINA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21069-2025</t>
        </is>
      </c>
      <c r="B951" s="1" t="n">
        <v>45777.59427083333</v>
      </c>
      <c r="C951" s="1" t="n">
        <v>46033</v>
      </c>
      <c r="D951" t="inlineStr">
        <is>
          <t>VÄSTERBOTTENS LÄN</t>
        </is>
      </c>
      <c r="E951" t="inlineStr">
        <is>
          <t>VILHELMINA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21035-2025</t>
        </is>
      </c>
      <c r="B952" s="1" t="n">
        <v>45777.53157407408</v>
      </c>
      <c r="C952" s="1" t="n">
        <v>46033</v>
      </c>
      <c r="D952" t="inlineStr">
        <is>
          <t>VÄSTERBOTTENS LÄN</t>
        </is>
      </c>
      <c r="E952" t="inlineStr">
        <is>
          <t>VILHELMINA</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30583-2024</t>
        </is>
      </c>
      <c r="B953" s="1" t="n">
        <v>45492.96108796296</v>
      </c>
      <c r="C953" s="1" t="n">
        <v>46033</v>
      </c>
      <c r="D953" t="inlineStr">
        <is>
          <t>VÄSTERBOTTENS LÄN</t>
        </is>
      </c>
      <c r="E953" t="inlineStr">
        <is>
          <t>VILHELMINA</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21205-2025</t>
        </is>
      </c>
      <c r="B954" s="1" t="n">
        <v>45779</v>
      </c>
      <c r="C954" s="1" t="n">
        <v>46033</v>
      </c>
      <c r="D954" t="inlineStr">
        <is>
          <t>VÄSTERBOTTENS LÄN</t>
        </is>
      </c>
      <c r="E954" t="inlineStr">
        <is>
          <t>VILHELMINA</t>
        </is>
      </c>
      <c r="F954" t="inlineStr">
        <is>
          <t>Allmännings- och besparingsskogar</t>
        </is>
      </c>
      <c r="G954" t="n">
        <v>6.2</v>
      </c>
      <c r="H954" t="n">
        <v>0</v>
      </c>
      <c r="I954" t="n">
        <v>0</v>
      </c>
      <c r="J954" t="n">
        <v>0</v>
      </c>
      <c r="K954" t="n">
        <v>0</v>
      </c>
      <c r="L954" t="n">
        <v>0</v>
      </c>
      <c r="M954" t="n">
        <v>0</v>
      </c>
      <c r="N954" t="n">
        <v>0</v>
      </c>
      <c r="O954" t="n">
        <v>0</v>
      </c>
      <c r="P954" t="n">
        <v>0</v>
      </c>
      <c r="Q954" t="n">
        <v>0</v>
      </c>
      <c r="R954" s="2" t="inlineStr"/>
    </row>
    <row r="955" ht="15" customHeight="1">
      <c r="A955" t="inlineStr">
        <is>
          <t>A 3745-2023</t>
        </is>
      </c>
      <c r="B955" s="1" t="n">
        <v>44949</v>
      </c>
      <c r="C955" s="1" t="n">
        <v>46033</v>
      </c>
      <c r="D955" t="inlineStr">
        <is>
          <t>VÄSTERBOTTENS LÄN</t>
        </is>
      </c>
      <c r="E955" t="inlineStr">
        <is>
          <t>VILHELMINA</t>
        </is>
      </c>
      <c r="G955" t="n">
        <v>36.6</v>
      </c>
      <c r="H955" t="n">
        <v>0</v>
      </c>
      <c r="I955" t="n">
        <v>0</v>
      </c>
      <c r="J955" t="n">
        <v>0</v>
      </c>
      <c r="K955" t="n">
        <v>0</v>
      </c>
      <c r="L955" t="n">
        <v>0</v>
      </c>
      <c r="M955" t="n">
        <v>0</v>
      </c>
      <c r="N955" t="n">
        <v>0</v>
      </c>
      <c r="O955" t="n">
        <v>0</v>
      </c>
      <c r="P955" t="n">
        <v>0</v>
      </c>
      <c r="Q955" t="n">
        <v>0</v>
      </c>
      <c r="R955" s="2" t="inlineStr"/>
    </row>
    <row r="956" ht="15" customHeight="1">
      <c r="A956" t="inlineStr">
        <is>
          <t>A 21204-2025</t>
        </is>
      </c>
      <c r="B956" s="1" t="n">
        <v>45779</v>
      </c>
      <c r="C956" s="1" t="n">
        <v>46033</v>
      </c>
      <c r="D956" t="inlineStr">
        <is>
          <t>VÄSTERBOTTENS LÄN</t>
        </is>
      </c>
      <c r="E956" t="inlineStr">
        <is>
          <t>VILHELMINA</t>
        </is>
      </c>
      <c r="F956" t="inlineStr">
        <is>
          <t>Allmännings- och besparingsskogar</t>
        </is>
      </c>
      <c r="G956" t="n">
        <v>0.9</v>
      </c>
      <c r="H956" t="n">
        <v>0</v>
      </c>
      <c r="I956" t="n">
        <v>0</v>
      </c>
      <c r="J956" t="n">
        <v>0</v>
      </c>
      <c r="K956" t="n">
        <v>0</v>
      </c>
      <c r="L956" t="n">
        <v>0</v>
      </c>
      <c r="M956" t="n">
        <v>0</v>
      </c>
      <c r="N956" t="n">
        <v>0</v>
      </c>
      <c r="O956" t="n">
        <v>0</v>
      </c>
      <c r="P956" t="n">
        <v>0</v>
      </c>
      <c r="Q956" t="n">
        <v>0</v>
      </c>
      <c r="R956" s="2" t="inlineStr"/>
    </row>
    <row r="957" ht="15" customHeight="1">
      <c r="A957" t="inlineStr">
        <is>
          <t>A 21410-2025</t>
        </is>
      </c>
      <c r="B957" s="1" t="n">
        <v>45782</v>
      </c>
      <c r="C957" s="1" t="n">
        <v>46033</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c r="A958" t="inlineStr">
        <is>
          <t>A 21448-2025</t>
        </is>
      </c>
      <c r="B958" s="1" t="n">
        <v>45782.55241898148</v>
      </c>
      <c r="C958" s="1" t="n">
        <v>46033</v>
      </c>
      <c r="D958" t="inlineStr">
        <is>
          <t>VÄSTERBOTTENS LÄN</t>
        </is>
      </c>
      <c r="E958" t="inlineStr">
        <is>
          <t>VILHELMINA</t>
        </is>
      </c>
      <c r="F958" t="inlineStr">
        <is>
          <t>SCA</t>
        </is>
      </c>
      <c r="G958" t="n">
        <v>9.699999999999999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2026-01-11T10:52:00Z</dcterms:created>
  <dcterms:modified xmlns:dcterms="http://purl.org/dc/terms/" xmlns:xsi="http://www.w3.org/2001/XMLSchema-instance" xsi:type="dcterms:W3CDTF">2026-01-11T10:52:01Z</dcterms:modified>
</cp:coreProperties>
</file>