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45905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45905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45905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45905</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45905</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45905</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45905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45905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45905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45905</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45905</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54734-2022</t>
        </is>
      </c>
      <c r="B21" s="1" t="n">
        <v>44881</v>
      </c>
      <c r="C21" s="1" t="n">
        <v>45905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45905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45905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45905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45905</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45905</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42064-2024</t>
        </is>
      </c>
      <c r="B27" s="1" t="n">
        <v>45561</v>
      </c>
      <c r="C27" s="1" t="n">
        <v>45905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45905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45905</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45905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45905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45905</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45905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45905</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45905</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45905</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45905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45905</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45905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45905</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45905</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45905</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45905</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59039-2024</t>
        </is>
      </c>
      <c r="B44" s="1" t="n">
        <v>45636</v>
      </c>
      <c r="C44" s="1" t="n">
        <v>45905</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38930-2025</t>
        </is>
      </c>
      <c r="B45" s="1" t="n">
        <v>45887</v>
      </c>
      <c r="C45" s="1" t="n">
        <v>45905</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6658-2021</t>
        </is>
      </c>
      <c r="B46" s="1" t="n">
        <v>44235</v>
      </c>
      <c r="C46" s="1" t="n">
        <v>45905</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45905</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45905</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45905</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45905</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45905</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45905</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45905</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45905</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45905</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45905</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45905</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45905</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45905</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45905</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45905</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45905</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45905</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45905</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30345-2024</t>
        </is>
      </c>
      <c r="B65" s="1" t="n">
        <v>45490</v>
      </c>
      <c r="C65" s="1" t="n">
        <v>45905</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45905</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26191-2022</t>
        </is>
      </c>
      <c r="B67" s="1" t="n">
        <v>44735</v>
      </c>
      <c r="C67" s="1" t="n">
        <v>45905</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45905</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45905</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47932-2024</t>
        </is>
      </c>
      <c r="B70" s="1" t="n">
        <v>45589</v>
      </c>
      <c r="C70" s="1" t="n">
        <v>45905</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18873-2025</t>
        </is>
      </c>
      <c r="B71" s="1" t="n">
        <v>45764</v>
      </c>
      <c r="C71" s="1" t="n">
        <v>45905</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45905</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45905</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45905</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45905</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57099-2024</t>
        </is>
      </c>
      <c r="B76" s="1" t="n">
        <v>45629</v>
      </c>
      <c r="C76" s="1" t="n">
        <v>45905</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25040-2025</t>
        </is>
      </c>
      <c r="B77" s="1" t="n">
        <v>45799.65734953704</v>
      </c>
      <c r="C77" s="1" t="n">
        <v>45905</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45905</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45905</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45905</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45905</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45905</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45905</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45905</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45905</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45905</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45905</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45905</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45905</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45905</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45905</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45905</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45905</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45905</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45905</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56618-2024</t>
        </is>
      </c>
      <c r="B96" s="1" t="n">
        <v>45625</v>
      </c>
      <c r="C96" s="1" t="n">
        <v>45905</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32779-2025</t>
        </is>
      </c>
      <c r="B97" s="1" t="n">
        <v>45839.46946759259</v>
      </c>
      <c r="C97" s="1" t="n">
        <v>45905</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42063-2024</t>
        </is>
      </c>
      <c r="B98" s="1" t="n">
        <v>45561</v>
      </c>
      <c r="C98" s="1" t="n">
        <v>45905</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45905</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41646-2024</t>
        </is>
      </c>
      <c r="B100" s="1" t="n">
        <v>45560</v>
      </c>
      <c r="C100" s="1" t="n">
        <v>45905</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65382-2021</t>
        </is>
      </c>
      <c r="B101" s="1" t="n">
        <v>44515</v>
      </c>
      <c r="C101" s="1" t="n">
        <v>45905</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45905</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45905</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11980-2021</t>
        </is>
      </c>
      <c r="B104" s="1" t="n">
        <v>44266</v>
      </c>
      <c r="C104" s="1" t="n">
        <v>45905</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45905</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19234-2021</t>
        </is>
      </c>
      <c r="B106" s="1" t="n">
        <v>44309</v>
      </c>
      <c r="C106" s="1" t="n">
        <v>45905</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20983-2025</t>
        </is>
      </c>
      <c r="B107" s="1" t="n">
        <v>45777.46910879629</v>
      </c>
      <c r="C107" s="1" t="n">
        <v>45905</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64030-2023</t>
        </is>
      </c>
      <c r="B108" s="1" t="n">
        <v>45278</v>
      </c>
      <c r="C108" s="1" t="n">
        <v>45905</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45905</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54779-2024</t>
        </is>
      </c>
      <c r="B110" s="1" t="n">
        <v>45618</v>
      </c>
      <c r="C110" s="1" t="n">
        <v>45905</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45905</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30717-2023</t>
        </is>
      </c>
      <c r="B112" s="1" t="n">
        <v>45112</v>
      </c>
      <c r="C112" s="1" t="n">
        <v>45905</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28012-2023</t>
        </is>
      </c>
      <c r="B113" s="1" t="n">
        <v>45098</v>
      </c>
      <c r="C113" s="1" t="n">
        <v>45905</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45905</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69626-2020</t>
        </is>
      </c>
      <c r="B115" s="1" t="n">
        <v>44195</v>
      </c>
      <c r="C115" s="1" t="n">
        <v>45905</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25037-2024</t>
        </is>
      </c>
      <c r="B116" s="1" t="n">
        <v>45461</v>
      </c>
      <c r="C116" s="1" t="n">
        <v>45905</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29140-2025</t>
        </is>
      </c>
      <c r="B117" s="1" t="n">
        <v>45821</v>
      </c>
      <c r="C117" s="1" t="n">
        <v>45905</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31735-2025</t>
        </is>
      </c>
      <c r="B118" s="1" t="n">
        <v>45834.47067129629</v>
      </c>
      <c r="C118" s="1" t="n">
        <v>45905</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37785-2021</t>
        </is>
      </c>
      <c r="B119" s="1" t="n">
        <v>44401</v>
      </c>
      <c r="C119" s="1" t="n">
        <v>45905</v>
      </c>
      <c r="D119" t="inlineStr">
        <is>
          <t>VÄSTERBOTTENS LÄN</t>
        </is>
      </c>
      <c r="E119" t="inlineStr">
        <is>
          <t>VILHELMINA</t>
        </is>
      </c>
      <c r="G119" t="n">
        <v>51.5</v>
      </c>
      <c r="H119" t="n">
        <v>1</v>
      </c>
      <c r="I119" t="n">
        <v>0</v>
      </c>
      <c r="J119" t="n">
        <v>1</v>
      </c>
      <c r="K119" t="n">
        <v>0</v>
      </c>
      <c r="L119" t="n">
        <v>0</v>
      </c>
      <c r="M119" t="n">
        <v>0</v>
      </c>
      <c r="N119" t="n">
        <v>0</v>
      </c>
      <c r="O119" t="n">
        <v>1</v>
      </c>
      <c r="P119" t="n">
        <v>0</v>
      </c>
      <c r="Q119" t="n">
        <v>2</v>
      </c>
      <c r="R119" s="2" t="inlineStr">
        <is>
          <t>Ullticka
Fläcknycklar</t>
        </is>
      </c>
      <c r="S119">
        <f>HYPERLINK("https://klasma.github.io/Logging_2462/artfynd/A 37785-2021 artfynd.xlsx", "A 37785-2021")</f>
        <v/>
      </c>
      <c r="T119">
        <f>HYPERLINK("https://klasma.github.io/Logging_2462/kartor/A 37785-2021 karta.png", "A 37785-2021")</f>
        <v/>
      </c>
      <c r="V119">
        <f>HYPERLINK("https://klasma.github.io/Logging_2462/klagomål/A 37785-2021 FSC-klagomål.docx", "A 37785-2021")</f>
        <v/>
      </c>
      <c r="W119">
        <f>HYPERLINK("https://klasma.github.io/Logging_2462/klagomålsmail/A 37785-2021 FSC-klagomål mail.docx", "A 37785-2021")</f>
        <v/>
      </c>
      <c r="X119">
        <f>HYPERLINK("https://klasma.github.io/Logging_2462/tillsyn/A 37785-2021 tillsynsbegäran.docx", "A 37785-2021")</f>
        <v/>
      </c>
      <c r="Y119">
        <f>HYPERLINK("https://klasma.github.io/Logging_2462/tillsynsmail/A 37785-2021 tillsynsbegäran mail.docx", "A 37785-2021")</f>
        <v/>
      </c>
    </row>
    <row r="120" ht="15" customHeight="1">
      <c r="A120" t="inlineStr">
        <is>
          <t>A 41645-2024</t>
        </is>
      </c>
      <c r="B120" s="1" t="n">
        <v>45560</v>
      </c>
      <c r="C120" s="1" t="n">
        <v>45905</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65586-2021</t>
        </is>
      </c>
      <c r="B121" s="1" t="n">
        <v>44518</v>
      </c>
      <c r="C121" s="1" t="n">
        <v>45905</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36998-2025</t>
        </is>
      </c>
      <c r="B122" s="1" t="n">
        <v>45874</v>
      </c>
      <c r="C122" s="1" t="n">
        <v>45905</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60379-2024</t>
        </is>
      </c>
      <c r="B123" s="1" t="n">
        <v>45643</v>
      </c>
      <c r="C123" s="1" t="n">
        <v>45905</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6704-2021</t>
        </is>
      </c>
      <c r="B124" s="1" t="n">
        <v>44235</v>
      </c>
      <c r="C124" s="1" t="n">
        <v>45905</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69915-2021</t>
        </is>
      </c>
      <c r="B125" s="1" t="n">
        <v>44532</v>
      </c>
      <c r="C125" s="1" t="n">
        <v>45905</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65146-2021</t>
        </is>
      </c>
      <c r="B126" s="1" t="n">
        <v>44515</v>
      </c>
      <c r="C126" s="1" t="n">
        <v>45905</v>
      </c>
      <c r="D126" t="inlineStr">
        <is>
          <t>VÄSTERBOTTENS LÄN</t>
        </is>
      </c>
      <c r="E126" t="inlineStr">
        <is>
          <t>VILHELMINA</t>
        </is>
      </c>
      <c r="G126" t="n">
        <v>7.4</v>
      </c>
      <c r="H126" t="n">
        <v>0</v>
      </c>
      <c r="I126" t="n">
        <v>0</v>
      </c>
      <c r="J126" t="n">
        <v>1</v>
      </c>
      <c r="K126" t="n">
        <v>0</v>
      </c>
      <c r="L126" t="n">
        <v>0</v>
      </c>
      <c r="M126" t="n">
        <v>0</v>
      </c>
      <c r="N126" t="n">
        <v>0</v>
      </c>
      <c r="O126" t="n">
        <v>1</v>
      </c>
      <c r="P126" t="n">
        <v>0</v>
      </c>
      <c r="Q126" t="n">
        <v>1</v>
      </c>
      <c r="R126" s="2" t="inlineStr">
        <is>
          <t>Granticka</t>
        </is>
      </c>
      <c r="S126">
        <f>HYPERLINK("https://klasma.github.io/Logging_2462/artfynd/A 65146-2021 artfynd.xlsx", "A 65146-2021")</f>
        <v/>
      </c>
      <c r="T126">
        <f>HYPERLINK("https://klasma.github.io/Logging_2462/kartor/A 65146-2021 karta.png", "A 65146-2021")</f>
        <v/>
      </c>
      <c r="V126">
        <f>HYPERLINK("https://klasma.github.io/Logging_2462/klagomål/A 65146-2021 FSC-klagomål.docx", "A 65146-2021")</f>
        <v/>
      </c>
      <c r="W126">
        <f>HYPERLINK("https://klasma.github.io/Logging_2462/klagomålsmail/A 65146-2021 FSC-klagomål mail.docx", "A 65146-2021")</f>
        <v/>
      </c>
      <c r="X126">
        <f>HYPERLINK("https://klasma.github.io/Logging_2462/tillsyn/A 65146-2021 tillsynsbegäran.docx", "A 65146-2021")</f>
        <v/>
      </c>
      <c r="Y126">
        <f>HYPERLINK("https://klasma.github.io/Logging_2462/tillsynsmail/A 65146-2021 tillsynsbegäran mail.docx", "A 65146-2021")</f>
        <v/>
      </c>
    </row>
    <row r="127" ht="15" customHeight="1">
      <c r="A127" t="inlineStr">
        <is>
          <t>A 56247-2023</t>
        </is>
      </c>
      <c r="B127" s="1" t="n">
        <v>45240</v>
      </c>
      <c r="C127" s="1" t="n">
        <v>45905</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17253-2025</t>
        </is>
      </c>
      <c r="B128" s="1" t="n">
        <v>45756</v>
      </c>
      <c r="C128" s="1" t="n">
        <v>45905</v>
      </c>
      <c r="D128" t="inlineStr">
        <is>
          <t>VÄSTERBOTTENS LÄN</t>
        </is>
      </c>
      <c r="E128" t="inlineStr">
        <is>
          <t>VILHELMINA</t>
        </is>
      </c>
      <c r="F128" t="inlineStr">
        <is>
          <t>SCA</t>
        </is>
      </c>
      <c r="G128" t="n">
        <v>6.5</v>
      </c>
      <c r="H128" t="n">
        <v>0</v>
      </c>
      <c r="I128" t="n">
        <v>0</v>
      </c>
      <c r="J128" t="n">
        <v>1</v>
      </c>
      <c r="K128" t="n">
        <v>0</v>
      </c>
      <c r="L128" t="n">
        <v>0</v>
      </c>
      <c r="M128" t="n">
        <v>0</v>
      </c>
      <c r="N128" t="n">
        <v>0</v>
      </c>
      <c r="O128" t="n">
        <v>1</v>
      </c>
      <c r="P128" t="n">
        <v>0</v>
      </c>
      <c r="Q128" t="n">
        <v>1</v>
      </c>
      <c r="R128" s="2" t="inlineStr">
        <is>
          <t>Granticka</t>
        </is>
      </c>
      <c r="S128">
        <f>HYPERLINK("https://klasma.github.io/Logging_2462/artfynd/A 17253-2025 artfynd.xlsx", "A 17253-2025")</f>
        <v/>
      </c>
      <c r="T128">
        <f>HYPERLINK("https://klasma.github.io/Logging_2462/kartor/A 17253-2025 karta.png", "A 17253-2025")</f>
        <v/>
      </c>
      <c r="V128">
        <f>HYPERLINK("https://klasma.github.io/Logging_2462/klagomål/A 17253-2025 FSC-klagomål.docx", "A 17253-2025")</f>
        <v/>
      </c>
      <c r="W128">
        <f>HYPERLINK("https://klasma.github.io/Logging_2462/klagomålsmail/A 17253-2025 FSC-klagomål mail.docx", "A 17253-2025")</f>
        <v/>
      </c>
      <c r="X128">
        <f>HYPERLINK("https://klasma.github.io/Logging_2462/tillsyn/A 17253-2025 tillsynsbegäran.docx", "A 17253-2025")</f>
        <v/>
      </c>
      <c r="Y128">
        <f>HYPERLINK("https://klasma.github.io/Logging_2462/tillsynsmail/A 17253-2025 tillsynsbegäran mail.docx", "A 17253-2025")</f>
        <v/>
      </c>
    </row>
    <row r="129" ht="15" customHeight="1">
      <c r="A129" t="inlineStr">
        <is>
          <t>A 42489-2024</t>
        </is>
      </c>
      <c r="B129" s="1" t="n">
        <v>45565</v>
      </c>
      <c r="C129" s="1" t="n">
        <v>45905</v>
      </c>
      <c r="D129" t="inlineStr">
        <is>
          <t>VÄSTERBOTTENS LÄN</t>
        </is>
      </c>
      <c r="E129" t="inlineStr">
        <is>
          <t>VILHELMINA</t>
        </is>
      </c>
      <c r="F129" t="inlineStr">
        <is>
          <t>SCA</t>
        </is>
      </c>
      <c r="G129" t="n">
        <v>1.9</v>
      </c>
      <c r="H129" t="n">
        <v>0</v>
      </c>
      <c r="I129" t="n">
        <v>0</v>
      </c>
      <c r="J129" t="n">
        <v>1</v>
      </c>
      <c r="K129" t="n">
        <v>0</v>
      </c>
      <c r="L129" t="n">
        <v>0</v>
      </c>
      <c r="M129" t="n">
        <v>0</v>
      </c>
      <c r="N129" t="n">
        <v>0</v>
      </c>
      <c r="O129" t="n">
        <v>1</v>
      </c>
      <c r="P129" t="n">
        <v>0</v>
      </c>
      <c r="Q129" t="n">
        <v>1</v>
      </c>
      <c r="R129" s="2" t="inlineStr">
        <is>
          <t>Granticka</t>
        </is>
      </c>
      <c r="S129">
        <f>HYPERLINK("https://klasma.github.io/Logging_2462/artfynd/A 42489-2024 artfynd.xlsx", "A 42489-2024")</f>
        <v/>
      </c>
      <c r="T129">
        <f>HYPERLINK("https://klasma.github.io/Logging_2462/kartor/A 42489-2024 karta.png", "A 42489-2024")</f>
        <v/>
      </c>
      <c r="V129">
        <f>HYPERLINK("https://klasma.github.io/Logging_2462/klagomål/A 42489-2024 FSC-klagomål.docx", "A 42489-2024")</f>
        <v/>
      </c>
      <c r="W129">
        <f>HYPERLINK("https://klasma.github.io/Logging_2462/klagomålsmail/A 42489-2024 FSC-klagomål mail.docx", "A 42489-2024")</f>
        <v/>
      </c>
      <c r="X129">
        <f>HYPERLINK("https://klasma.github.io/Logging_2462/tillsyn/A 42489-2024 tillsynsbegäran.docx", "A 42489-2024")</f>
        <v/>
      </c>
      <c r="Y129">
        <f>HYPERLINK("https://klasma.github.io/Logging_2462/tillsynsmail/A 42489-2024 tillsynsbegäran mail.docx", "A 42489-2024")</f>
        <v/>
      </c>
    </row>
    <row r="130" ht="15" customHeight="1">
      <c r="A130" t="inlineStr">
        <is>
          <t>A 25368-2024</t>
        </is>
      </c>
      <c r="B130" s="1" t="n">
        <v>45462</v>
      </c>
      <c r="C130" s="1" t="n">
        <v>45905</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45905</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47248-2024</t>
        </is>
      </c>
      <c r="B132" s="1" t="n">
        <v>45586</v>
      </c>
      <c r="C132" s="1" t="n">
        <v>45905</v>
      </c>
      <c r="D132" t="inlineStr">
        <is>
          <t>VÄSTERBOTTENS LÄN</t>
        </is>
      </c>
      <c r="E132" t="inlineStr">
        <is>
          <t>VILHELMINA</t>
        </is>
      </c>
      <c r="F132" t="inlineStr">
        <is>
          <t>SCA</t>
        </is>
      </c>
      <c r="G132" t="n">
        <v>4</v>
      </c>
      <c r="H132" t="n">
        <v>0</v>
      </c>
      <c r="I132" t="n">
        <v>0</v>
      </c>
      <c r="J132" t="n">
        <v>1</v>
      </c>
      <c r="K132" t="n">
        <v>0</v>
      </c>
      <c r="L132" t="n">
        <v>0</v>
      </c>
      <c r="M132" t="n">
        <v>0</v>
      </c>
      <c r="N132" t="n">
        <v>0</v>
      </c>
      <c r="O132" t="n">
        <v>1</v>
      </c>
      <c r="P132" t="n">
        <v>0</v>
      </c>
      <c r="Q132" t="n">
        <v>1</v>
      </c>
      <c r="R132" s="2" t="inlineStr">
        <is>
          <t>Granticka</t>
        </is>
      </c>
      <c r="S132">
        <f>HYPERLINK("https://klasma.github.io/Logging_2462/artfynd/A 47248-2024 artfynd.xlsx", "A 47248-2024")</f>
        <v/>
      </c>
      <c r="T132">
        <f>HYPERLINK("https://klasma.github.io/Logging_2462/kartor/A 47248-2024 karta.png", "A 47248-2024")</f>
        <v/>
      </c>
      <c r="V132">
        <f>HYPERLINK("https://klasma.github.io/Logging_2462/klagomål/A 47248-2024 FSC-klagomål.docx", "A 47248-2024")</f>
        <v/>
      </c>
      <c r="W132">
        <f>HYPERLINK("https://klasma.github.io/Logging_2462/klagomålsmail/A 47248-2024 FSC-klagomål mail.docx", "A 47248-2024")</f>
        <v/>
      </c>
      <c r="X132">
        <f>HYPERLINK("https://klasma.github.io/Logging_2462/tillsyn/A 47248-2024 tillsynsbegäran.docx", "A 47248-2024")</f>
        <v/>
      </c>
      <c r="Y132">
        <f>HYPERLINK("https://klasma.github.io/Logging_2462/tillsynsmail/A 47248-2024 tillsynsbegäran mail.docx", "A 47248-2024")</f>
        <v/>
      </c>
    </row>
    <row r="133" ht="15" customHeight="1">
      <c r="A133" t="inlineStr">
        <is>
          <t>A 38282-2024</t>
        </is>
      </c>
      <c r="B133" s="1" t="n">
        <v>45545</v>
      </c>
      <c r="C133" s="1" t="n">
        <v>45905</v>
      </c>
      <c r="D133" t="inlineStr">
        <is>
          <t>VÄSTERBOTTENS LÄN</t>
        </is>
      </c>
      <c r="E133" t="inlineStr">
        <is>
          <t>VILHELMINA</t>
        </is>
      </c>
      <c r="F133" t="inlineStr">
        <is>
          <t>SCA</t>
        </is>
      </c>
      <c r="G133" t="n">
        <v>3.4</v>
      </c>
      <c r="H133" t="n">
        <v>0</v>
      </c>
      <c r="I133" t="n">
        <v>0</v>
      </c>
      <c r="J133" t="n">
        <v>1</v>
      </c>
      <c r="K133" t="n">
        <v>0</v>
      </c>
      <c r="L133" t="n">
        <v>0</v>
      </c>
      <c r="M133" t="n">
        <v>0</v>
      </c>
      <c r="N133" t="n">
        <v>0</v>
      </c>
      <c r="O133" t="n">
        <v>1</v>
      </c>
      <c r="P133" t="n">
        <v>0</v>
      </c>
      <c r="Q133" t="n">
        <v>1</v>
      </c>
      <c r="R133" s="2" t="inlineStr">
        <is>
          <t>Gränsticka</t>
        </is>
      </c>
      <c r="S133">
        <f>HYPERLINK("https://klasma.github.io/Logging_2462/artfynd/A 38282-2024 artfynd.xlsx", "A 38282-2024")</f>
        <v/>
      </c>
      <c r="T133">
        <f>HYPERLINK("https://klasma.github.io/Logging_2462/kartor/A 38282-2024 karta.png", "A 38282-2024")</f>
        <v/>
      </c>
      <c r="V133">
        <f>HYPERLINK("https://klasma.github.io/Logging_2462/klagomål/A 38282-2024 FSC-klagomål.docx", "A 38282-2024")</f>
        <v/>
      </c>
      <c r="W133">
        <f>HYPERLINK("https://klasma.github.io/Logging_2462/klagomålsmail/A 38282-2024 FSC-klagomål mail.docx", "A 38282-2024")</f>
        <v/>
      </c>
      <c r="X133">
        <f>HYPERLINK("https://klasma.github.io/Logging_2462/tillsyn/A 38282-2024 tillsynsbegäran.docx", "A 38282-2024")</f>
        <v/>
      </c>
      <c r="Y133">
        <f>HYPERLINK("https://klasma.github.io/Logging_2462/tillsynsmail/A 38282-2024 tillsynsbegäran mail.docx", "A 38282-2024")</f>
        <v/>
      </c>
    </row>
    <row r="134" ht="15" customHeight="1">
      <c r="A134" t="inlineStr">
        <is>
          <t>A 74395-2021</t>
        </is>
      </c>
      <c r="B134" s="1" t="n">
        <v>44560</v>
      </c>
      <c r="C134" s="1" t="n">
        <v>45905</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45905</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34730-2024</t>
        </is>
      </c>
      <c r="B136" s="1" t="n">
        <v>45526</v>
      </c>
      <c r="C136" s="1" t="n">
        <v>45905</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59001-2024</t>
        </is>
      </c>
      <c r="B137" s="1" t="n">
        <v>45636</v>
      </c>
      <c r="C137" s="1" t="n">
        <v>45905</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34769-2024</t>
        </is>
      </c>
      <c r="B138" s="1" t="n">
        <v>45526.62043981482</v>
      </c>
      <c r="C138" s="1" t="n">
        <v>45905</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29376-2021</t>
        </is>
      </c>
      <c r="B139" s="1" t="n">
        <v>44361</v>
      </c>
      <c r="C139" s="1" t="n">
        <v>45905</v>
      </c>
      <c r="D139" t="inlineStr">
        <is>
          <t>VÄSTERBOTTENS LÄN</t>
        </is>
      </c>
      <c r="E139" t="inlineStr">
        <is>
          <t>VILHELMINA</t>
        </is>
      </c>
      <c r="F139" t="inlineStr">
        <is>
          <t>Allmännings- och besparingsskogar</t>
        </is>
      </c>
      <c r="G139" t="n">
        <v>110.8</v>
      </c>
      <c r="H139" t="n">
        <v>1</v>
      </c>
      <c r="I139" t="n">
        <v>0</v>
      </c>
      <c r="J139" t="n">
        <v>0</v>
      </c>
      <c r="K139" t="n">
        <v>0</v>
      </c>
      <c r="L139" t="n">
        <v>0</v>
      </c>
      <c r="M139" t="n">
        <v>0</v>
      </c>
      <c r="N139" t="n">
        <v>0</v>
      </c>
      <c r="O139" t="n">
        <v>0</v>
      </c>
      <c r="P139" t="n">
        <v>0</v>
      </c>
      <c r="Q139" t="n">
        <v>1</v>
      </c>
      <c r="R139" s="2" t="inlineStr">
        <is>
          <t>Lavskrika</t>
        </is>
      </c>
      <c r="S139">
        <f>HYPERLINK("https://klasma.github.io/Logging_2462/artfynd/A 29376-2021 artfynd.xlsx", "A 29376-2021")</f>
        <v/>
      </c>
      <c r="T139">
        <f>HYPERLINK("https://klasma.github.io/Logging_2462/kartor/A 29376-2021 karta.png", "A 29376-2021")</f>
        <v/>
      </c>
      <c r="V139">
        <f>HYPERLINK("https://klasma.github.io/Logging_2462/klagomål/A 29376-2021 FSC-klagomål.docx", "A 29376-2021")</f>
        <v/>
      </c>
      <c r="W139">
        <f>HYPERLINK("https://klasma.github.io/Logging_2462/klagomålsmail/A 29376-2021 FSC-klagomål mail.docx", "A 29376-2021")</f>
        <v/>
      </c>
      <c r="X139">
        <f>HYPERLINK("https://klasma.github.io/Logging_2462/tillsyn/A 29376-2021 tillsynsbegäran.docx", "A 29376-2021")</f>
        <v/>
      </c>
      <c r="Y139">
        <f>HYPERLINK("https://klasma.github.io/Logging_2462/tillsynsmail/A 29376-2021 tillsynsbegäran mail.docx", "A 29376-2021")</f>
        <v/>
      </c>
      <c r="Z139">
        <f>HYPERLINK("https://klasma.github.io/Logging_2462/fåglar/A 29376-2021 prioriterade fågelarter.docx", "A 29376-2021")</f>
        <v/>
      </c>
    </row>
    <row r="140" ht="15" customHeight="1">
      <c r="A140" t="inlineStr">
        <is>
          <t>A 29317-2023</t>
        </is>
      </c>
      <c r="B140" s="1" t="n">
        <v>45105</v>
      </c>
      <c r="C140" s="1" t="n">
        <v>45905</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11832-2023</t>
        </is>
      </c>
      <c r="B141" s="1" t="n">
        <v>44994</v>
      </c>
      <c r="C141" s="1" t="n">
        <v>45905</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45905</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29121-2025</t>
        </is>
      </c>
      <c r="B143" s="1" t="n">
        <v>45821</v>
      </c>
      <c r="C143" s="1" t="n">
        <v>45905</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38131-2024</t>
        </is>
      </c>
      <c r="B144" s="1" t="n">
        <v>45545</v>
      </c>
      <c r="C144" s="1" t="n">
        <v>45905</v>
      </c>
      <c r="D144" t="inlineStr">
        <is>
          <t>VÄSTERBOTTENS LÄN</t>
        </is>
      </c>
      <c r="E144" t="inlineStr">
        <is>
          <t>VILHELMINA</t>
        </is>
      </c>
      <c r="F144" t="inlineStr">
        <is>
          <t>SCA</t>
        </is>
      </c>
      <c r="G144" t="n">
        <v>1.5</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38131-2024 artfynd.xlsx", "A 38131-2024")</f>
        <v/>
      </c>
      <c r="T144">
        <f>HYPERLINK("https://klasma.github.io/Logging_2462/kartor/A 38131-2024 karta.png", "A 38131-2024")</f>
        <v/>
      </c>
      <c r="V144">
        <f>HYPERLINK("https://klasma.github.io/Logging_2462/klagomål/A 38131-2024 FSC-klagomål.docx", "A 38131-2024")</f>
        <v/>
      </c>
      <c r="W144">
        <f>HYPERLINK("https://klasma.github.io/Logging_2462/klagomålsmail/A 38131-2024 FSC-klagomål mail.docx", "A 38131-2024")</f>
        <v/>
      </c>
      <c r="X144">
        <f>HYPERLINK("https://klasma.github.io/Logging_2462/tillsyn/A 38131-2024 tillsynsbegäran.docx", "A 38131-2024")</f>
        <v/>
      </c>
      <c r="Y144">
        <f>HYPERLINK("https://klasma.github.io/Logging_2462/tillsynsmail/A 38131-2024 tillsynsbegäran mail.docx", "A 38131-2024")</f>
        <v/>
      </c>
      <c r="Z144">
        <f>HYPERLINK("https://klasma.github.io/Logging_2462/fåglar/A 38131-2024 prioriterade fågelarter.docx", "A 38131-2024")</f>
        <v/>
      </c>
    </row>
    <row r="145" ht="15" customHeight="1">
      <c r="A145" t="inlineStr">
        <is>
          <t>A 29434-2025</t>
        </is>
      </c>
      <c r="B145" s="1" t="n">
        <v>45824</v>
      </c>
      <c r="C145" s="1" t="n">
        <v>45905</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44286-2024</t>
        </is>
      </c>
      <c r="B146" s="1" t="n">
        <v>45573</v>
      </c>
      <c r="C146" s="1" t="n">
        <v>45905</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13523-2025</t>
        </is>
      </c>
      <c r="B147" s="1" t="n">
        <v>45736</v>
      </c>
      <c r="C147" s="1" t="n">
        <v>45905</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38929-2025</t>
        </is>
      </c>
      <c r="B148" s="1" t="n">
        <v>45887</v>
      </c>
      <c r="C148" s="1" t="n">
        <v>45905</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66924-2021</t>
        </is>
      </c>
      <c r="B149" s="1" t="n">
        <v>44522</v>
      </c>
      <c r="C149" s="1" t="n">
        <v>45905</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32677-2021</t>
        </is>
      </c>
      <c r="B150" s="1" t="n">
        <v>44371</v>
      </c>
      <c r="C150" s="1" t="n">
        <v>45905</v>
      </c>
      <c r="D150" t="inlineStr">
        <is>
          <t>VÄSTERBOTTENS LÄN</t>
        </is>
      </c>
      <c r="E150" t="inlineStr">
        <is>
          <t>VILHELMINA</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32677-2021 artfynd.xlsx", "A 32677-2021")</f>
        <v/>
      </c>
      <c r="T150">
        <f>HYPERLINK("https://klasma.github.io/Logging_2462/kartor/A 32677-2021 karta.png", "A 32677-2021")</f>
        <v/>
      </c>
      <c r="V150">
        <f>HYPERLINK("https://klasma.github.io/Logging_2462/klagomål/A 32677-2021 FSC-klagomål.docx", "A 32677-2021")</f>
        <v/>
      </c>
      <c r="W150">
        <f>HYPERLINK("https://klasma.github.io/Logging_2462/klagomålsmail/A 32677-2021 FSC-klagomål mail.docx", "A 32677-2021")</f>
        <v/>
      </c>
      <c r="X150">
        <f>HYPERLINK("https://klasma.github.io/Logging_2462/tillsyn/A 32677-2021 tillsynsbegäran.docx", "A 32677-2021")</f>
        <v/>
      </c>
      <c r="Y150">
        <f>HYPERLINK("https://klasma.github.io/Logging_2462/tillsynsmail/A 32677-2021 tillsynsbegäran mail.docx", "A 32677-2021")</f>
        <v/>
      </c>
      <c r="Z150">
        <f>HYPERLINK("https://klasma.github.io/Logging_2462/fåglar/A 32677-2021 prioriterade fågelarter.docx", "A 32677-2021")</f>
        <v/>
      </c>
    </row>
    <row r="151" ht="15" customHeight="1">
      <c r="A151" t="inlineStr">
        <is>
          <t>A 60369-2021</t>
        </is>
      </c>
      <c r="B151" s="1" t="n">
        <v>44494</v>
      </c>
      <c r="C151" s="1" t="n">
        <v>45905</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33913-2024</t>
        </is>
      </c>
      <c r="B152" s="1" t="n">
        <v>45523.38783564815</v>
      </c>
      <c r="C152" s="1" t="n">
        <v>45905</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33913-2024 artfynd.xlsx", "A 33913-2024")</f>
        <v/>
      </c>
      <c r="T152">
        <f>HYPERLINK("https://klasma.github.io/Logging_2462/kartor/A 33913-2024 karta.png", "A 33913-2024")</f>
        <v/>
      </c>
      <c r="V152">
        <f>HYPERLINK("https://klasma.github.io/Logging_2462/klagomål/A 33913-2024 FSC-klagomål.docx", "A 33913-2024")</f>
        <v/>
      </c>
      <c r="W152">
        <f>HYPERLINK("https://klasma.github.io/Logging_2462/klagomålsmail/A 33913-2024 FSC-klagomål mail.docx", "A 33913-2024")</f>
        <v/>
      </c>
      <c r="X152">
        <f>HYPERLINK("https://klasma.github.io/Logging_2462/tillsyn/A 33913-2024 tillsynsbegäran.docx", "A 33913-2024")</f>
        <v/>
      </c>
      <c r="Y152">
        <f>HYPERLINK("https://klasma.github.io/Logging_2462/tillsynsmail/A 33913-2024 tillsynsbegäran mail.docx", "A 33913-2024")</f>
        <v/>
      </c>
    </row>
    <row r="153" ht="15" customHeight="1">
      <c r="A153" t="inlineStr">
        <is>
          <t>A 38416-2022</t>
        </is>
      </c>
      <c r="B153" s="1" t="n">
        <v>44812</v>
      </c>
      <c r="C153" s="1" t="n">
        <v>45905</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45905</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45905</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45905</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45905</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45905</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45905</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45905</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45905</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45905</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45905</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45905</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45905</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45905</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45905</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45905</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45905</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45905</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45905</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45905</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45905</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45905</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45905</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45905</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45905</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45905</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45905</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45905</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45905</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45905</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45905</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45905</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45905</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45905</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45905</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45905</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45905</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45905</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45905</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45905</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45905</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45905</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45905</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45905</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45905</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45905</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45905</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45905</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45905</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45905</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72487-2021</t>
        </is>
      </c>
      <c r="B203" s="1" t="n">
        <v>44545.92033564814</v>
      </c>
      <c r="C203" s="1" t="n">
        <v>45905</v>
      </c>
      <c r="D203" t="inlineStr">
        <is>
          <t>VÄSTERBOTTENS LÄN</t>
        </is>
      </c>
      <c r="E203" t="inlineStr">
        <is>
          <t>VILHELMINA</t>
        </is>
      </c>
      <c r="G203" t="n">
        <v>1.2</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45905</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31722-2021</t>
        </is>
      </c>
      <c r="B205" s="1" t="n">
        <v>44369.91984953704</v>
      </c>
      <c r="C205" s="1" t="n">
        <v>45905</v>
      </c>
      <c r="D205" t="inlineStr">
        <is>
          <t>VÄSTERBOTTENS LÄN</t>
        </is>
      </c>
      <c r="E205" t="inlineStr">
        <is>
          <t>VILHELMINA</t>
        </is>
      </c>
      <c r="G205" t="n">
        <v>2.8</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45905</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45905</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45905</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31656-2021</t>
        </is>
      </c>
      <c r="B209" s="1" t="n">
        <v>44377</v>
      </c>
      <c r="C209" s="1" t="n">
        <v>45905</v>
      </c>
      <c r="D209" t="inlineStr">
        <is>
          <t>VÄSTERBOTTENS LÄN</t>
        </is>
      </c>
      <c r="E209" t="inlineStr">
        <is>
          <t>VILHELMINA</t>
        </is>
      </c>
      <c r="G209" t="n">
        <v>0.9</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45905</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69850-2021</t>
        </is>
      </c>
      <c r="B211" s="1" t="n">
        <v>44532</v>
      </c>
      <c r="C211" s="1" t="n">
        <v>45905</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48600-2021</t>
        </is>
      </c>
      <c r="B212" s="1" t="n">
        <v>44452</v>
      </c>
      <c r="C212" s="1" t="n">
        <v>45905</v>
      </c>
      <c r="D212" t="inlineStr">
        <is>
          <t>VÄSTERBOTTENS LÄN</t>
        </is>
      </c>
      <c r="E212" t="inlineStr">
        <is>
          <t>VILHELMINA</t>
        </is>
      </c>
      <c r="F212" t="inlineStr">
        <is>
          <t>Allmännings- och besparingsskogar</t>
        </is>
      </c>
      <c r="G212" t="n">
        <v>48.6</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45905</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45905</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45905</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45905</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45905</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45905</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24983-2021</t>
        </is>
      </c>
      <c r="B219" s="1" t="n">
        <v>44341</v>
      </c>
      <c r="C219" s="1" t="n">
        <v>45905</v>
      </c>
      <c r="D219" t="inlineStr">
        <is>
          <t>VÄSTERBOTTENS LÄN</t>
        </is>
      </c>
      <c r="E219" t="inlineStr">
        <is>
          <t>VILHELMINA</t>
        </is>
      </c>
      <c r="G219" t="n">
        <v>12.9</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45905</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64759-2020</t>
        </is>
      </c>
      <c r="B221" s="1" t="n">
        <v>44169</v>
      </c>
      <c r="C221" s="1" t="n">
        <v>45905</v>
      </c>
      <c r="D221" t="inlineStr">
        <is>
          <t>VÄSTERBOTTENS LÄN</t>
        </is>
      </c>
      <c r="E221" t="inlineStr">
        <is>
          <t>VILHELMINA</t>
        </is>
      </c>
      <c r="G221" t="n">
        <v>24.6</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45905</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45905</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45905</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45905</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43741-2022</t>
        </is>
      </c>
      <c r="B226" s="1" t="n">
        <v>44837</v>
      </c>
      <c r="C226" s="1" t="n">
        <v>45905</v>
      </c>
      <c r="D226" t="inlineStr">
        <is>
          <t>VÄSTERBOTTENS LÄN</t>
        </is>
      </c>
      <c r="E226" t="inlineStr">
        <is>
          <t>VILHELMINA</t>
        </is>
      </c>
      <c r="G226" t="n">
        <v>54.2</v>
      </c>
      <c r="H226" t="n">
        <v>0</v>
      </c>
      <c r="I226" t="n">
        <v>0</v>
      </c>
      <c r="J226" t="n">
        <v>0</v>
      </c>
      <c r="K226" t="n">
        <v>0</v>
      </c>
      <c r="L226" t="n">
        <v>0</v>
      </c>
      <c r="M226" t="n">
        <v>0</v>
      </c>
      <c r="N226" t="n">
        <v>0</v>
      </c>
      <c r="O226" t="n">
        <v>0</v>
      </c>
      <c r="P226" t="n">
        <v>0</v>
      </c>
      <c r="Q226" t="n">
        <v>0</v>
      </c>
      <c r="R226" s="2" t="inlineStr"/>
    </row>
    <row r="227" ht="15" customHeight="1">
      <c r="A227" t="inlineStr">
        <is>
          <t>A 35686-2022</t>
        </is>
      </c>
      <c r="B227" s="1" t="n">
        <v>44799</v>
      </c>
      <c r="C227" s="1" t="n">
        <v>45905</v>
      </c>
      <c r="D227" t="inlineStr">
        <is>
          <t>VÄSTERBOTTENS LÄN</t>
        </is>
      </c>
      <c r="E227" t="inlineStr">
        <is>
          <t>VILHELMINA</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72488-2021</t>
        </is>
      </c>
      <c r="B228" s="1" t="n">
        <v>44545.9203587963</v>
      </c>
      <c r="C228" s="1" t="n">
        <v>45905</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72493-2021</t>
        </is>
      </c>
      <c r="B229" s="1" t="n">
        <v>44545</v>
      </c>
      <c r="C229" s="1" t="n">
        <v>45905</v>
      </c>
      <c r="D229" t="inlineStr">
        <is>
          <t>VÄSTERBOTTENS LÄN</t>
        </is>
      </c>
      <c r="E229" t="inlineStr">
        <is>
          <t>VILHELMINA</t>
        </is>
      </c>
      <c r="G229" t="n">
        <v>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45905</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45905</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45905</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45905</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57086-2021</t>
        </is>
      </c>
      <c r="B234" s="1" t="n">
        <v>44482</v>
      </c>
      <c r="C234" s="1" t="n">
        <v>45905</v>
      </c>
      <c r="D234" t="inlineStr">
        <is>
          <t>VÄSTERBOTTENS LÄN</t>
        </is>
      </c>
      <c r="E234" t="inlineStr">
        <is>
          <t>VILHELMINA</t>
        </is>
      </c>
      <c r="G234" t="n">
        <v>1.5</v>
      </c>
      <c r="H234" t="n">
        <v>0</v>
      </c>
      <c r="I234" t="n">
        <v>0</v>
      </c>
      <c r="J234" t="n">
        <v>0</v>
      </c>
      <c r="K234" t="n">
        <v>0</v>
      </c>
      <c r="L234" t="n">
        <v>0</v>
      </c>
      <c r="M234" t="n">
        <v>0</v>
      </c>
      <c r="N234" t="n">
        <v>0</v>
      </c>
      <c r="O234" t="n">
        <v>0</v>
      </c>
      <c r="P234" t="n">
        <v>0</v>
      </c>
      <c r="Q234" t="n">
        <v>0</v>
      </c>
      <c r="R234" s="2" t="inlineStr"/>
    </row>
    <row r="235" ht="15" customHeight="1">
      <c r="A235" t="inlineStr">
        <is>
          <t>A 29773-2022</t>
        </is>
      </c>
      <c r="B235" s="1" t="n">
        <v>44755.62866898148</v>
      </c>
      <c r="C235" s="1" t="n">
        <v>45905</v>
      </c>
      <c r="D235" t="inlineStr">
        <is>
          <t>VÄSTERBOTTENS LÄN</t>
        </is>
      </c>
      <c r="E235" t="inlineStr">
        <is>
          <t>VILHELMINA</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27194-2024</t>
        </is>
      </c>
      <c r="B236" s="1" t="n">
        <v>45471</v>
      </c>
      <c r="C236" s="1" t="n">
        <v>45905</v>
      </c>
      <c r="D236" t="inlineStr">
        <is>
          <t>VÄSTERBOTTENS LÄN</t>
        </is>
      </c>
      <c r="E236" t="inlineStr">
        <is>
          <t>VILHELMINA</t>
        </is>
      </c>
      <c r="G236" t="n">
        <v>8.5</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45905</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48574-2021</t>
        </is>
      </c>
      <c r="B238" s="1" t="n">
        <v>44452</v>
      </c>
      <c r="C238" s="1" t="n">
        <v>45905</v>
      </c>
      <c r="D238" t="inlineStr">
        <is>
          <t>VÄSTERBOTTENS LÄN</t>
        </is>
      </c>
      <c r="E238" t="inlineStr">
        <is>
          <t>VILHELMINA</t>
        </is>
      </c>
      <c r="F238" t="inlineStr">
        <is>
          <t>Allmännings- och besparingsskogar</t>
        </is>
      </c>
      <c r="G238" t="n">
        <v>85.09999999999999</v>
      </c>
      <c r="H238" t="n">
        <v>0</v>
      </c>
      <c r="I238" t="n">
        <v>0</v>
      </c>
      <c r="J238" t="n">
        <v>0</v>
      </c>
      <c r="K238" t="n">
        <v>0</v>
      </c>
      <c r="L238" t="n">
        <v>0</v>
      </c>
      <c r="M238" t="n">
        <v>0</v>
      </c>
      <c r="N238" t="n">
        <v>0</v>
      </c>
      <c r="O238" t="n">
        <v>0</v>
      </c>
      <c r="P238" t="n">
        <v>0</v>
      </c>
      <c r="Q238" t="n">
        <v>0</v>
      </c>
      <c r="R238" s="2" t="inlineStr"/>
    </row>
    <row r="239" ht="15" customHeight="1">
      <c r="A239" t="inlineStr">
        <is>
          <t>A 20324-2025</t>
        </is>
      </c>
      <c r="B239" s="1" t="n">
        <v>45775</v>
      </c>
      <c r="C239" s="1" t="n">
        <v>45905</v>
      </c>
      <c r="D239" t="inlineStr">
        <is>
          <t>VÄSTERBOTTENS LÄN</t>
        </is>
      </c>
      <c r="E239" t="inlineStr">
        <is>
          <t>VILHELMINA</t>
        </is>
      </c>
      <c r="G239" t="n">
        <v>3.5</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45905</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41330-2022</t>
        </is>
      </c>
      <c r="B241" s="1" t="n">
        <v>44826</v>
      </c>
      <c r="C241" s="1" t="n">
        <v>45905</v>
      </c>
      <c r="D241" t="inlineStr">
        <is>
          <t>VÄSTERBOTTENS LÄN</t>
        </is>
      </c>
      <c r="E241" t="inlineStr">
        <is>
          <t>VILHELMINA</t>
        </is>
      </c>
      <c r="G241" t="n">
        <v>3.4</v>
      </c>
      <c r="H241" t="n">
        <v>0</v>
      </c>
      <c r="I241" t="n">
        <v>0</v>
      </c>
      <c r="J241" t="n">
        <v>0</v>
      </c>
      <c r="K241" t="n">
        <v>0</v>
      </c>
      <c r="L241" t="n">
        <v>0</v>
      </c>
      <c r="M241" t="n">
        <v>0</v>
      </c>
      <c r="N241" t="n">
        <v>0</v>
      </c>
      <c r="O241" t="n">
        <v>0</v>
      </c>
      <c r="P241" t="n">
        <v>0</v>
      </c>
      <c r="Q241" t="n">
        <v>0</v>
      </c>
      <c r="R241" s="2" t="inlineStr"/>
    </row>
    <row r="242" ht="15" customHeight="1">
      <c r="A242" t="inlineStr">
        <is>
          <t>A 54727-2022</t>
        </is>
      </c>
      <c r="B242" s="1" t="n">
        <v>44881</v>
      </c>
      <c r="C242" s="1" t="n">
        <v>45905</v>
      </c>
      <c r="D242" t="inlineStr">
        <is>
          <t>VÄSTERBOTTENS LÄN</t>
        </is>
      </c>
      <c r="E242" t="inlineStr">
        <is>
          <t>VILHELMINA</t>
        </is>
      </c>
      <c r="G242" t="n">
        <v>4.3</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45905</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12190-2024</t>
        </is>
      </c>
      <c r="B244" s="1" t="n">
        <v>45377.94954861111</v>
      </c>
      <c r="C244" s="1" t="n">
        <v>45905</v>
      </c>
      <c r="D244" t="inlineStr">
        <is>
          <t>VÄSTERBOTTENS LÄN</t>
        </is>
      </c>
      <c r="E244" t="inlineStr">
        <is>
          <t>VILHELMINA</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33412-2023</t>
        </is>
      </c>
      <c r="B245" s="1" t="n">
        <v>45117</v>
      </c>
      <c r="C245" s="1" t="n">
        <v>45905</v>
      </c>
      <c r="D245" t="inlineStr">
        <is>
          <t>VÄSTERBOTTENS LÄN</t>
        </is>
      </c>
      <c r="E245" t="inlineStr">
        <is>
          <t>VILHELMINA</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57246-2023</t>
        </is>
      </c>
      <c r="B246" s="1" t="n">
        <v>45239</v>
      </c>
      <c r="C246" s="1" t="n">
        <v>45905</v>
      </c>
      <c r="D246" t="inlineStr">
        <is>
          <t>VÄSTERBOTTENS LÄN</t>
        </is>
      </c>
      <c r="E246" t="inlineStr">
        <is>
          <t>VILHELMINA</t>
        </is>
      </c>
      <c r="G246" t="n">
        <v>15.3</v>
      </c>
      <c r="H246" t="n">
        <v>0</v>
      </c>
      <c r="I246" t="n">
        <v>0</v>
      </c>
      <c r="J246" t="n">
        <v>0</v>
      </c>
      <c r="K246" t="n">
        <v>0</v>
      </c>
      <c r="L246" t="n">
        <v>0</v>
      </c>
      <c r="M246" t="n">
        <v>0</v>
      </c>
      <c r="N246" t="n">
        <v>0</v>
      </c>
      <c r="O246" t="n">
        <v>0</v>
      </c>
      <c r="P246" t="n">
        <v>0</v>
      </c>
      <c r="Q246" t="n">
        <v>0</v>
      </c>
      <c r="R246" s="2" t="inlineStr"/>
    </row>
    <row r="247" ht="15" customHeight="1">
      <c r="A247" t="inlineStr">
        <is>
          <t>A 27874-2022</t>
        </is>
      </c>
      <c r="B247" s="1" t="n">
        <v>44743</v>
      </c>
      <c r="C247" s="1" t="n">
        <v>45905</v>
      </c>
      <c r="D247" t="inlineStr">
        <is>
          <t>VÄSTERBOTTENS LÄN</t>
        </is>
      </c>
      <c r="E247" t="inlineStr">
        <is>
          <t>VILHELMINA</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27880-2022</t>
        </is>
      </c>
      <c r="B248" s="1" t="n">
        <v>44743</v>
      </c>
      <c r="C248" s="1" t="n">
        <v>45905</v>
      </c>
      <c r="D248" t="inlineStr">
        <is>
          <t>VÄSTERBOTTENS LÄN</t>
        </is>
      </c>
      <c r="E248" t="inlineStr">
        <is>
          <t>VILHELMINA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8718-2025</t>
        </is>
      </c>
      <c r="B249" s="1" t="n">
        <v>45712</v>
      </c>
      <c r="C249" s="1" t="n">
        <v>45905</v>
      </c>
      <c r="D249" t="inlineStr">
        <is>
          <t>VÄSTERBOTTENS LÄN</t>
        </is>
      </c>
      <c r="E249" t="inlineStr">
        <is>
          <t>VILHELMINA</t>
        </is>
      </c>
      <c r="G249" t="n">
        <v>21.3</v>
      </c>
      <c r="H249" t="n">
        <v>0</v>
      </c>
      <c r="I249" t="n">
        <v>0</v>
      </c>
      <c r="J249" t="n">
        <v>0</v>
      </c>
      <c r="K249" t="n">
        <v>0</v>
      </c>
      <c r="L249" t="n">
        <v>0</v>
      </c>
      <c r="M249" t="n">
        <v>0</v>
      </c>
      <c r="N249" t="n">
        <v>0</v>
      </c>
      <c r="O249" t="n">
        <v>0</v>
      </c>
      <c r="P249" t="n">
        <v>0</v>
      </c>
      <c r="Q249" t="n">
        <v>0</v>
      </c>
      <c r="R249" s="2" t="inlineStr"/>
    </row>
    <row r="250" ht="15" customHeight="1">
      <c r="A250" t="inlineStr">
        <is>
          <t>A 56246-2023</t>
        </is>
      </c>
      <c r="B250" s="1" t="n">
        <v>45240</v>
      </c>
      <c r="C250" s="1" t="n">
        <v>45905</v>
      </c>
      <c r="D250" t="inlineStr">
        <is>
          <t>VÄSTERBOTTENS LÄN</t>
        </is>
      </c>
      <c r="E250" t="inlineStr">
        <is>
          <t>VILHELMINA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12866-2023</t>
        </is>
      </c>
      <c r="B251" s="1" t="n">
        <v>45000</v>
      </c>
      <c r="C251" s="1" t="n">
        <v>45905</v>
      </c>
      <c r="D251" t="inlineStr">
        <is>
          <t>VÄSTERBOTTENS LÄN</t>
        </is>
      </c>
      <c r="E251" t="inlineStr">
        <is>
          <t>VILHELMINA</t>
        </is>
      </c>
      <c r="G251" t="n">
        <v>2.6</v>
      </c>
      <c r="H251" t="n">
        <v>0</v>
      </c>
      <c r="I251" t="n">
        <v>0</v>
      </c>
      <c r="J251" t="n">
        <v>0</v>
      </c>
      <c r="K251" t="n">
        <v>0</v>
      </c>
      <c r="L251" t="n">
        <v>0</v>
      </c>
      <c r="M251" t="n">
        <v>0</v>
      </c>
      <c r="N251" t="n">
        <v>0</v>
      </c>
      <c r="O251" t="n">
        <v>0</v>
      </c>
      <c r="P251" t="n">
        <v>0</v>
      </c>
      <c r="Q251" t="n">
        <v>0</v>
      </c>
      <c r="R251" s="2" t="inlineStr"/>
    </row>
    <row r="252" ht="15" customHeight="1">
      <c r="A252" t="inlineStr">
        <is>
          <t>A 15617-2024</t>
        </is>
      </c>
      <c r="B252" s="1" t="n">
        <v>45401.94358796296</v>
      </c>
      <c r="C252" s="1" t="n">
        <v>45905</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19909-2025</t>
        </is>
      </c>
      <c r="B253" s="1" t="n">
        <v>45771.60482638889</v>
      </c>
      <c r="C253" s="1" t="n">
        <v>45905</v>
      </c>
      <c r="D253" t="inlineStr">
        <is>
          <t>VÄSTERBOTTENS LÄN</t>
        </is>
      </c>
      <c r="E253" t="inlineStr">
        <is>
          <t>VILHELMINA</t>
        </is>
      </c>
      <c r="G253" t="n">
        <v>12.4</v>
      </c>
      <c r="H253" t="n">
        <v>0</v>
      </c>
      <c r="I253" t="n">
        <v>0</v>
      </c>
      <c r="J253" t="n">
        <v>0</v>
      </c>
      <c r="K253" t="n">
        <v>0</v>
      </c>
      <c r="L253" t="n">
        <v>0</v>
      </c>
      <c r="M253" t="n">
        <v>0</v>
      </c>
      <c r="N253" t="n">
        <v>0</v>
      </c>
      <c r="O253" t="n">
        <v>0</v>
      </c>
      <c r="P253" t="n">
        <v>0</v>
      </c>
      <c r="Q253" t="n">
        <v>0</v>
      </c>
      <c r="R253" s="2" t="inlineStr"/>
    </row>
    <row r="254" ht="15" customHeight="1">
      <c r="A254" t="inlineStr">
        <is>
          <t>A 17432-2025</t>
        </is>
      </c>
      <c r="B254" s="1" t="n">
        <v>45757</v>
      </c>
      <c r="C254" s="1" t="n">
        <v>45905</v>
      </c>
      <c r="D254" t="inlineStr">
        <is>
          <t>VÄSTERBOTTENS LÄN</t>
        </is>
      </c>
      <c r="E254" t="inlineStr">
        <is>
          <t>VILHELMINA</t>
        </is>
      </c>
      <c r="G254" t="n">
        <v>4.6</v>
      </c>
      <c r="H254" t="n">
        <v>0</v>
      </c>
      <c r="I254" t="n">
        <v>0</v>
      </c>
      <c r="J254" t="n">
        <v>0</v>
      </c>
      <c r="K254" t="n">
        <v>0</v>
      </c>
      <c r="L254" t="n">
        <v>0</v>
      </c>
      <c r="M254" t="n">
        <v>0</v>
      </c>
      <c r="N254" t="n">
        <v>0</v>
      </c>
      <c r="O254" t="n">
        <v>0</v>
      </c>
      <c r="P254" t="n">
        <v>0</v>
      </c>
      <c r="Q254" t="n">
        <v>0</v>
      </c>
      <c r="R254" s="2" t="inlineStr"/>
    </row>
    <row r="255" ht="15" customHeight="1">
      <c r="A255" t="inlineStr">
        <is>
          <t>A 45965-2023</t>
        </is>
      </c>
      <c r="B255" s="1" t="n">
        <v>45195.94755787037</v>
      </c>
      <c r="C255" s="1" t="n">
        <v>45905</v>
      </c>
      <c r="D255" t="inlineStr">
        <is>
          <t>VÄSTERBOTTENS LÄN</t>
        </is>
      </c>
      <c r="E255" t="inlineStr">
        <is>
          <t>VILHELMINA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47287-2022</t>
        </is>
      </c>
      <c r="B256" s="1" t="n">
        <v>44852.95145833334</v>
      </c>
      <c r="C256" s="1" t="n">
        <v>45905</v>
      </c>
      <c r="D256" t="inlineStr">
        <is>
          <t>VÄSTERBOTTENS LÄN</t>
        </is>
      </c>
      <c r="E256" t="inlineStr">
        <is>
          <t>VILHELMINA</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47288-2022</t>
        </is>
      </c>
      <c r="B257" s="1" t="n">
        <v>44852</v>
      </c>
      <c r="C257" s="1" t="n">
        <v>45905</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8003-2021</t>
        </is>
      </c>
      <c r="B258" s="1" t="n">
        <v>44243</v>
      </c>
      <c r="C258" s="1" t="n">
        <v>45905</v>
      </c>
      <c r="D258" t="inlineStr">
        <is>
          <t>VÄSTERBOTTENS LÄN</t>
        </is>
      </c>
      <c r="E258" t="inlineStr">
        <is>
          <t>VILHELMINA</t>
        </is>
      </c>
      <c r="G258" t="n">
        <v>5.1</v>
      </c>
      <c r="H258" t="n">
        <v>0</v>
      </c>
      <c r="I258" t="n">
        <v>0</v>
      </c>
      <c r="J258" t="n">
        <v>0</v>
      </c>
      <c r="K258" t="n">
        <v>0</v>
      </c>
      <c r="L258" t="n">
        <v>0</v>
      </c>
      <c r="M258" t="n">
        <v>0</v>
      </c>
      <c r="N258" t="n">
        <v>0</v>
      </c>
      <c r="O258" t="n">
        <v>0</v>
      </c>
      <c r="P258" t="n">
        <v>0</v>
      </c>
      <c r="Q258" t="n">
        <v>0</v>
      </c>
      <c r="R258" s="2" t="inlineStr"/>
    </row>
    <row r="259" ht="15" customHeight="1">
      <c r="A259" t="inlineStr">
        <is>
          <t>A 72494-2021</t>
        </is>
      </c>
      <c r="B259" s="1" t="n">
        <v>44545.92059027778</v>
      </c>
      <c r="C259" s="1" t="n">
        <v>45905</v>
      </c>
      <c r="D259" t="inlineStr">
        <is>
          <t>VÄSTERBOTTENS LÄN</t>
        </is>
      </c>
      <c r="E259" t="inlineStr">
        <is>
          <t>VILHELMINA</t>
        </is>
      </c>
      <c r="G259" t="n">
        <v>4.2</v>
      </c>
      <c r="H259" t="n">
        <v>0</v>
      </c>
      <c r="I259" t="n">
        <v>0</v>
      </c>
      <c r="J259" t="n">
        <v>0</v>
      </c>
      <c r="K259" t="n">
        <v>0</v>
      </c>
      <c r="L259" t="n">
        <v>0</v>
      </c>
      <c r="M259" t="n">
        <v>0</v>
      </c>
      <c r="N259" t="n">
        <v>0</v>
      </c>
      <c r="O259" t="n">
        <v>0</v>
      </c>
      <c r="P259" t="n">
        <v>0</v>
      </c>
      <c r="Q259" t="n">
        <v>0</v>
      </c>
      <c r="R259" s="2" t="inlineStr"/>
    </row>
    <row r="260" ht="15" customHeight="1">
      <c r="A260" t="inlineStr">
        <is>
          <t>A 58207-2022</t>
        </is>
      </c>
      <c r="B260" s="1" t="n">
        <v>44901</v>
      </c>
      <c r="C260" s="1" t="n">
        <v>45905</v>
      </c>
      <c r="D260" t="inlineStr">
        <is>
          <t>VÄSTERBOTTENS LÄN</t>
        </is>
      </c>
      <c r="E260" t="inlineStr">
        <is>
          <t>VILHELMINA</t>
        </is>
      </c>
      <c r="G260" t="n">
        <v>143.2</v>
      </c>
      <c r="H260" t="n">
        <v>0</v>
      </c>
      <c r="I260" t="n">
        <v>0</v>
      </c>
      <c r="J260" t="n">
        <v>0</v>
      </c>
      <c r="K260" t="n">
        <v>0</v>
      </c>
      <c r="L260" t="n">
        <v>0</v>
      </c>
      <c r="M260" t="n">
        <v>0</v>
      </c>
      <c r="N260" t="n">
        <v>0</v>
      </c>
      <c r="O260" t="n">
        <v>0</v>
      </c>
      <c r="P260" t="n">
        <v>0</v>
      </c>
      <c r="Q260" t="n">
        <v>0</v>
      </c>
      <c r="R260" s="2" t="inlineStr"/>
    </row>
    <row r="261" ht="15" customHeight="1">
      <c r="A261" t="inlineStr">
        <is>
          <t>A 248-2025</t>
        </is>
      </c>
      <c r="B261" s="1" t="n">
        <v>45660.419375</v>
      </c>
      <c r="C261" s="1" t="n">
        <v>45905</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54985-2023</t>
        </is>
      </c>
      <c r="B262" s="1" t="n">
        <v>45236</v>
      </c>
      <c r="C262" s="1" t="n">
        <v>45905</v>
      </c>
      <c r="D262" t="inlineStr">
        <is>
          <t>VÄSTERBOTTENS LÄN</t>
        </is>
      </c>
      <c r="E262" t="inlineStr">
        <is>
          <t>VILHELMINA</t>
        </is>
      </c>
      <c r="F262" t="inlineStr">
        <is>
          <t>SCA</t>
        </is>
      </c>
      <c r="G262" t="n">
        <v>7.5</v>
      </c>
      <c r="H262" t="n">
        <v>0</v>
      </c>
      <c r="I262" t="n">
        <v>0</v>
      </c>
      <c r="J262" t="n">
        <v>0</v>
      </c>
      <c r="K262" t="n">
        <v>0</v>
      </c>
      <c r="L262" t="n">
        <v>0</v>
      </c>
      <c r="M262" t="n">
        <v>0</v>
      </c>
      <c r="N262" t="n">
        <v>0</v>
      </c>
      <c r="O262" t="n">
        <v>0</v>
      </c>
      <c r="P262" t="n">
        <v>0</v>
      </c>
      <c r="Q262" t="n">
        <v>0</v>
      </c>
      <c r="R262" s="2" t="inlineStr"/>
    </row>
    <row r="263" ht="15" customHeight="1">
      <c r="A263" t="inlineStr">
        <is>
          <t>A 46119-2022</t>
        </is>
      </c>
      <c r="B263" s="1" t="n">
        <v>44847</v>
      </c>
      <c r="C263" s="1" t="n">
        <v>45905</v>
      </c>
      <c r="D263" t="inlineStr">
        <is>
          <t>VÄSTERBOTTENS LÄN</t>
        </is>
      </c>
      <c r="E263" t="inlineStr">
        <is>
          <t>VILHELMINA</t>
        </is>
      </c>
      <c r="G263" t="n">
        <v>12.1</v>
      </c>
      <c r="H263" t="n">
        <v>0</v>
      </c>
      <c r="I263" t="n">
        <v>0</v>
      </c>
      <c r="J263" t="n">
        <v>0</v>
      </c>
      <c r="K263" t="n">
        <v>0</v>
      </c>
      <c r="L263" t="n">
        <v>0</v>
      </c>
      <c r="M263" t="n">
        <v>0</v>
      </c>
      <c r="N263" t="n">
        <v>0</v>
      </c>
      <c r="O263" t="n">
        <v>0</v>
      </c>
      <c r="P263" t="n">
        <v>0</v>
      </c>
      <c r="Q263" t="n">
        <v>0</v>
      </c>
      <c r="R263" s="2" t="inlineStr"/>
    </row>
    <row r="264" ht="15" customHeight="1">
      <c r="A264" t="inlineStr">
        <is>
          <t>A 46121-2022</t>
        </is>
      </c>
      <c r="B264" s="1" t="n">
        <v>44847</v>
      </c>
      <c r="C264" s="1" t="n">
        <v>45905</v>
      </c>
      <c r="D264" t="inlineStr">
        <is>
          <t>VÄSTERBOTTENS LÄN</t>
        </is>
      </c>
      <c r="E264" t="inlineStr">
        <is>
          <t>VILHELMINA</t>
        </is>
      </c>
      <c r="G264" t="n">
        <v>2.6</v>
      </c>
      <c r="H264" t="n">
        <v>0</v>
      </c>
      <c r="I264" t="n">
        <v>0</v>
      </c>
      <c r="J264" t="n">
        <v>0</v>
      </c>
      <c r="K264" t="n">
        <v>0</v>
      </c>
      <c r="L264" t="n">
        <v>0</v>
      </c>
      <c r="M264" t="n">
        <v>0</v>
      </c>
      <c r="N264" t="n">
        <v>0</v>
      </c>
      <c r="O264" t="n">
        <v>0</v>
      </c>
      <c r="P264" t="n">
        <v>0</v>
      </c>
      <c r="Q264" t="n">
        <v>0</v>
      </c>
      <c r="R264" s="2" t="inlineStr"/>
    </row>
    <row r="265" ht="15" customHeight="1">
      <c r="A265" t="inlineStr">
        <is>
          <t>A 20769-2024</t>
        </is>
      </c>
      <c r="B265" s="1" t="n">
        <v>45436.94604166667</v>
      </c>
      <c r="C265" s="1" t="n">
        <v>45905</v>
      </c>
      <c r="D265" t="inlineStr">
        <is>
          <t>VÄSTERBOTTENS LÄN</t>
        </is>
      </c>
      <c r="E265" t="inlineStr">
        <is>
          <t>VILHELMINA</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49599-2022</t>
        </is>
      </c>
      <c r="B266" s="1" t="n">
        <v>44859</v>
      </c>
      <c r="C266" s="1" t="n">
        <v>45905</v>
      </c>
      <c r="D266" t="inlineStr">
        <is>
          <t>VÄSTERBOTTENS LÄN</t>
        </is>
      </c>
      <c r="E266" t="inlineStr">
        <is>
          <t>VILHELMINA</t>
        </is>
      </c>
      <c r="G266" t="n">
        <v>3.6</v>
      </c>
      <c r="H266" t="n">
        <v>0</v>
      </c>
      <c r="I266" t="n">
        <v>0</v>
      </c>
      <c r="J266" t="n">
        <v>0</v>
      </c>
      <c r="K266" t="n">
        <v>0</v>
      </c>
      <c r="L266" t="n">
        <v>0</v>
      </c>
      <c r="M266" t="n">
        <v>0</v>
      </c>
      <c r="N266" t="n">
        <v>0</v>
      </c>
      <c r="O266" t="n">
        <v>0</v>
      </c>
      <c r="P266" t="n">
        <v>0</v>
      </c>
      <c r="Q266" t="n">
        <v>0</v>
      </c>
      <c r="R266" s="2" t="inlineStr"/>
    </row>
    <row r="267" ht="15" customHeight="1">
      <c r="A267" t="inlineStr">
        <is>
          <t>A 23261-2021</t>
        </is>
      </c>
      <c r="B267" s="1" t="n">
        <v>44330</v>
      </c>
      <c r="C267" s="1" t="n">
        <v>45905</v>
      </c>
      <c r="D267" t="inlineStr">
        <is>
          <t>VÄSTERBOTTENS LÄN</t>
        </is>
      </c>
      <c r="E267" t="inlineStr">
        <is>
          <t>VILHELMINA</t>
        </is>
      </c>
      <c r="G267" t="n">
        <v>4.5</v>
      </c>
      <c r="H267" t="n">
        <v>0</v>
      </c>
      <c r="I267" t="n">
        <v>0</v>
      </c>
      <c r="J267" t="n">
        <v>0</v>
      </c>
      <c r="K267" t="n">
        <v>0</v>
      </c>
      <c r="L267" t="n">
        <v>0</v>
      </c>
      <c r="M267" t="n">
        <v>0</v>
      </c>
      <c r="N267" t="n">
        <v>0</v>
      </c>
      <c r="O267" t="n">
        <v>0</v>
      </c>
      <c r="P267" t="n">
        <v>0</v>
      </c>
      <c r="Q267" t="n">
        <v>0</v>
      </c>
      <c r="R267" s="2" t="inlineStr"/>
    </row>
    <row r="268" ht="15" customHeight="1">
      <c r="A268" t="inlineStr">
        <is>
          <t>A 31896-2024</t>
        </is>
      </c>
      <c r="B268" s="1" t="n">
        <v>45509</v>
      </c>
      <c r="C268" s="1" t="n">
        <v>45905</v>
      </c>
      <c r="D268" t="inlineStr">
        <is>
          <t>VÄSTERBOTTENS LÄN</t>
        </is>
      </c>
      <c r="E268" t="inlineStr">
        <is>
          <t>VILHELMINA</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46316-2022</t>
        </is>
      </c>
      <c r="B269" s="1" t="n">
        <v>44847</v>
      </c>
      <c r="C269" s="1" t="n">
        <v>45905</v>
      </c>
      <c r="D269" t="inlineStr">
        <is>
          <t>VÄSTERBOTTENS LÄN</t>
        </is>
      </c>
      <c r="E269" t="inlineStr">
        <is>
          <t>VILHELMINA</t>
        </is>
      </c>
      <c r="G269" t="n">
        <v>2.1</v>
      </c>
      <c r="H269" t="n">
        <v>0</v>
      </c>
      <c r="I269" t="n">
        <v>0</v>
      </c>
      <c r="J269" t="n">
        <v>0</v>
      </c>
      <c r="K269" t="n">
        <v>0</v>
      </c>
      <c r="L269" t="n">
        <v>0</v>
      </c>
      <c r="M269" t="n">
        <v>0</v>
      </c>
      <c r="N269" t="n">
        <v>0</v>
      </c>
      <c r="O269" t="n">
        <v>0</v>
      </c>
      <c r="P269" t="n">
        <v>0</v>
      </c>
      <c r="Q269" t="n">
        <v>0</v>
      </c>
      <c r="R269" s="2" t="inlineStr"/>
    </row>
    <row r="270" ht="15" customHeight="1">
      <c r="A270" t="inlineStr">
        <is>
          <t>A 15050-2024</t>
        </is>
      </c>
      <c r="B270" s="1" t="n">
        <v>45399</v>
      </c>
      <c r="C270" s="1" t="n">
        <v>45905</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15059-2024</t>
        </is>
      </c>
      <c r="B271" s="1" t="n">
        <v>45399</v>
      </c>
      <c r="C271" s="1" t="n">
        <v>45905</v>
      </c>
      <c r="D271" t="inlineStr">
        <is>
          <t>VÄSTERBOTTENS LÄN</t>
        </is>
      </c>
      <c r="E271" t="inlineStr">
        <is>
          <t>VILHELMINA</t>
        </is>
      </c>
      <c r="G271" t="n">
        <v>0.8</v>
      </c>
      <c r="H271" t="n">
        <v>0</v>
      </c>
      <c r="I271" t="n">
        <v>0</v>
      </c>
      <c r="J271" t="n">
        <v>0</v>
      </c>
      <c r="K271" t="n">
        <v>0</v>
      </c>
      <c r="L271" t="n">
        <v>0</v>
      </c>
      <c r="M271" t="n">
        <v>0</v>
      </c>
      <c r="N271" t="n">
        <v>0</v>
      </c>
      <c r="O271" t="n">
        <v>0</v>
      </c>
      <c r="P271" t="n">
        <v>0</v>
      </c>
      <c r="Q271" t="n">
        <v>0</v>
      </c>
      <c r="R271" s="2" t="inlineStr"/>
    </row>
    <row r="272" ht="15" customHeight="1">
      <c r="A272" t="inlineStr">
        <is>
          <t>A 18790-2021</t>
        </is>
      </c>
      <c r="B272" s="1" t="n">
        <v>44307</v>
      </c>
      <c r="C272" s="1" t="n">
        <v>45905</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39914-2023</t>
        </is>
      </c>
      <c r="B273" s="1" t="n">
        <v>45166</v>
      </c>
      <c r="C273" s="1" t="n">
        <v>45905</v>
      </c>
      <c r="D273" t="inlineStr">
        <is>
          <t>VÄSTERBOTTENS LÄN</t>
        </is>
      </c>
      <c r="E273" t="inlineStr">
        <is>
          <t>VILHELMINA</t>
        </is>
      </c>
      <c r="G273" t="n">
        <v>27.5</v>
      </c>
      <c r="H273" t="n">
        <v>0</v>
      </c>
      <c r="I273" t="n">
        <v>0</v>
      </c>
      <c r="J273" t="n">
        <v>0</v>
      </c>
      <c r="K273" t="n">
        <v>0</v>
      </c>
      <c r="L273" t="n">
        <v>0</v>
      </c>
      <c r="M273" t="n">
        <v>0</v>
      </c>
      <c r="N273" t="n">
        <v>0</v>
      </c>
      <c r="O273" t="n">
        <v>0</v>
      </c>
      <c r="P273" t="n">
        <v>0</v>
      </c>
      <c r="Q273" t="n">
        <v>0</v>
      </c>
      <c r="R273" s="2" t="inlineStr"/>
    </row>
    <row r="274" ht="15" customHeight="1">
      <c r="A274" t="inlineStr">
        <is>
          <t>A 36082-2022</t>
        </is>
      </c>
      <c r="B274" s="1" t="n">
        <v>44802</v>
      </c>
      <c r="C274" s="1" t="n">
        <v>45905</v>
      </c>
      <c r="D274" t="inlineStr">
        <is>
          <t>VÄSTERBOTTENS LÄN</t>
        </is>
      </c>
      <c r="E274" t="inlineStr">
        <is>
          <t>VILHELMINA</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46071-2022</t>
        </is>
      </c>
      <c r="B275" s="1" t="n">
        <v>44847</v>
      </c>
      <c r="C275" s="1" t="n">
        <v>45905</v>
      </c>
      <c r="D275" t="inlineStr">
        <is>
          <t>VÄSTERBOTTENS LÄN</t>
        </is>
      </c>
      <c r="E275" t="inlineStr">
        <is>
          <t>VILHELMINA</t>
        </is>
      </c>
      <c r="G275" t="n">
        <v>10.6</v>
      </c>
      <c r="H275" t="n">
        <v>0</v>
      </c>
      <c r="I275" t="n">
        <v>0</v>
      </c>
      <c r="J275" t="n">
        <v>0</v>
      </c>
      <c r="K275" t="n">
        <v>0</v>
      </c>
      <c r="L275" t="n">
        <v>0</v>
      </c>
      <c r="M275" t="n">
        <v>0</v>
      </c>
      <c r="N275" t="n">
        <v>0</v>
      </c>
      <c r="O275" t="n">
        <v>0</v>
      </c>
      <c r="P275" t="n">
        <v>0</v>
      </c>
      <c r="Q275" t="n">
        <v>0</v>
      </c>
      <c r="R275" s="2" t="inlineStr"/>
    </row>
    <row r="276" ht="15" customHeight="1">
      <c r="A276" t="inlineStr">
        <is>
          <t>A 58456-2023</t>
        </is>
      </c>
      <c r="B276" s="1" t="n">
        <v>45250.96092592592</v>
      </c>
      <c r="C276" s="1" t="n">
        <v>45905</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60549-2022</t>
        </is>
      </c>
      <c r="B277" s="1" t="n">
        <v>44911.51318287037</v>
      </c>
      <c r="C277" s="1" t="n">
        <v>45905</v>
      </c>
      <c r="D277" t="inlineStr">
        <is>
          <t>VÄSTERBOTTENS LÄN</t>
        </is>
      </c>
      <c r="E277" t="inlineStr">
        <is>
          <t>VILHELMINA</t>
        </is>
      </c>
      <c r="G277" t="n">
        <v>3.8</v>
      </c>
      <c r="H277" t="n">
        <v>0</v>
      </c>
      <c r="I277" t="n">
        <v>0</v>
      </c>
      <c r="J277" t="n">
        <v>0</v>
      </c>
      <c r="K277" t="n">
        <v>0</v>
      </c>
      <c r="L277" t="n">
        <v>0</v>
      </c>
      <c r="M277" t="n">
        <v>0</v>
      </c>
      <c r="N277" t="n">
        <v>0</v>
      </c>
      <c r="O277" t="n">
        <v>0</v>
      </c>
      <c r="P277" t="n">
        <v>0</v>
      </c>
      <c r="Q277" t="n">
        <v>0</v>
      </c>
      <c r="R277" s="2" t="inlineStr"/>
    </row>
    <row r="278" ht="15" customHeight="1">
      <c r="A278" t="inlineStr">
        <is>
          <t>A 2008-2025</t>
        </is>
      </c>
      <c r="B278" s="1" t="n">
        <v>45672.45302083333</v>
      </c>
      <c r="C278" s="1" t="n">
        <v>45905</v>
      </c>
      <c r="D278" t="inlineStr">
        <is>
          <t>VÄSTERBOTTENS LÄN</t>
        </is>
      </c>
      <c r="E278" t="inlineStr">
        <is>
          <t>VILHELMINA</t>
        </is>
      </c>
      <c r="G278" t="n">
        <v>0.7</v>
      </c>
      <c r="H278" t="n">
        <v>0</v>
      </c>
      <c r="I278" t="n">
        <v>0</v>
      </c>
      <c r="J278" t="n">
        <v>0</v>
      </c>
      <c r="K278" t="n">
        <v>0</v>
      </c>
      <c r="L278" t="n">
        <v>0</v>
      </c>
      <c r="M278" t="n">
        <v>0</v>
      </c>
      <c r="N278" t="n">
        <v>0</v>
      </c>
      <c r="O278" t="n">
        <v>0</v>
      </c>
      <c r="P278" t="n">
        <v>0</v>
      </c>
      <c r="Q278" t="n">
        <v>0</v>
      </c>
      <c r="R278" s="2" t="inlineStr"/>
    </row>
    <row r="279" ht="15" customHeight="1">
      <c r="A279" t="inlineStr">
        <is>
          <t>A 17996-2024</t>
        </is>
      </c>
      <c r="B279" s="1" t="n">
        <v>45419</v>
      </c>
      <c r="C279" s="1" t="n">
        <v>45905</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23180-2024</t>
        </is>
      </c>
      <c r="B280" s="1" t="n">
        <v>45450.9444212963</v>
      </c>
      <c r="C280" s="1" t="n">
        <v>45905</v>
      </c>
      <c r="D280" t="inlineStr">
        <is>
          <t>VÄSTERBOTTENS LÄN</t>
        </is>
      </c>
      <c r="E280" t="inlineStr">
        <is>
          <t>VILHELMINA</t>
        </is>
      </c>
      <c r="F280" t="inlineStr">
        <is>
          <t>SCA</t>
        </is>
      </c>
      <c r="G280" t="n">
        <v>5.6</v>
      </c>
      <c r="H280" t="n">
        <v>0</v>
      </c>
      <c r="I280" t="n">
        <v>0</v>
      </c>
      <c r="J280" t="n">
        <v>0</v>
      </c>
      <c r="K280" t="n">
        <v>0</v>
      </c>
      <c r="L280" t="n">
        <v>0</v>
      </c>
      <c r="M280" t="n">
        <v>0</v>
      </c>
      <c r="N280" t="n">
        <v>0</v>
      </c>
      <c r="O280" t="n">
        <v>0</v>
      </c>
      <c r="P280" t="n">
        <v>0</v>
      </c>
      <c r="Q280" t="n">
        <v>0</v>
      </c>
      <c r="R280" s="2" t="inlineStr"/>
    </row>
    <row r="281" ht="15" customHeight="1">
      <c r="A281" t="inlineStr">
        <is>
          <t>A 18398-2025</t>
        </is>
      </c>
      <c r="B281" s="1" t="n">
        <v>45762.59491898148</v>
      </c>
      <c r="C281" s="1" t="n">
        <v>45905</v>
      </c>
      <c r="D281" t="inlineStr">
        <is>
          <t>VÄSTERBOTTENS LÄN</t>
        </is>
      </c>
      <c r="E281" t="inlineStr">
        <is>
          <t>VILHELMINA</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48068-2022</t>
        </is>
      </c>
      <c r="B282" s="1" t="n">
        <v>44855</v>
      </c>
      <c r="C282" s="1" t="n">
        <v>45905</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61048-2022</t>
        </is>
      </c>
      <c r="B283" s="1" t="n">
        <v>44914</v>
      </c>
      <c r="C283" s="1" t="n">
        <v>45905</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36288-2021</t>
        </is>
      </c>
      <c r="B284" s="1" t="n">
        <v>44389</v>
      </c>
      <c r="C284" s="1" t="n">
        <v>45905</v>
      </c>
      <c r="D284" t="inlineStr">
        <is>
          <t>VÄSTERBOTTENS LÄN</t>
        </is>
      </c>
      <c r="E284" t="inlineStr">
        <is>
          <t>VILHELMINA</t>
        </is>
      </c>
      <c r="G284" t="n">
        <v>20.5</v>
      </c>
      <c r="H284" t="n">
        <v>0</v>
      </c>
      <c r="I284" t="n">
        <v>0</v>
      </c>
      <c r="J284" t="n">
        <v>0</v>
      </c>
      <c r="K284" t="n">
        <v>0</v>
      </c>
      <c r="L284" t="n">
        <v>0</v>
      </c>
      <c r="M284" t="n">
        <v>0</v>
      </c>
      <c r="N284" t="n">
        <v>0</v>
      </c>
      <c r="O284" t="n">
        <v>0</v>
      </c>
      <c r="P284" t="n">
        <v>0</v>
      </c>
      <c r="Q284" t="n">
        <v>0</v>
      </c>
      <c r="R284" s="2" t="inlineStr"/>
    </row>
    <row r="285" ht="15" customHeight="1">
      <c r="A285" t="inlineStr">
        <is>
          <t>A 12229-2022</t>
        </is>
      </c>
      <c r="B285" s="1" t="n">
        <v>44637</v>
      </c>
      <c r="C285" s="1" t="n">
        <v>45905</v>
      </c>
      <c r="D285" t="inlineStr">
        <is>
          <t>VÄSTERBOTTENS LÄN</t>
        </is>
      </c>
      <c r="E285" t="inlineStr">
        <is>
          <t>VILHELMINA</t>
        </is>
      </c>
      <c r="G285" t="n">
        <v>5</v>
      </c>
      <c r="H285" t="n">
        <v>0</v>
      </c>
      <c r="I285" t="n">
        <v>0</v>
      </c>
      <c r="J285" t="n">
        <v>0</v>
      </c>
      <c r="K285" t="n">
        <v>0</v>
      </c>
      <c r="L285" t="n">
        <v>0</v>
      </c>
      <c r="M285" t="n">
        <v>0</v>
      </c>
      <c r="N285" t="n">
        <v>0</v>
      </c>
      <c r="O285" t="n">
        <v>0</v>
      </c>
      <c r="P285" t="n">
        <v>0</v>
      </c>
      <c r="Q285" t="n">
        <v>0</v>
      </c>
      <c r="R285" s="2" t="inlineStr"/>
    </row>
    <row r="286" ht="15" customHeight="1">
      <c r="A286" t="inlineStr">
        <is>
          <t>A 45007-2024</t>
        </is>
      </c>
      <c r="B286" s="1" t="n">
        <v>45575.49100694444</v>
      </c>
      <c r="C286" s="1" t="n">
        <v>45905</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55722-2023</t>
        </is>
      </c>
      <c r="B287" s="1" t="n">
        <v>45232</v>
      </c>
      <c r="C287" s="1" t="n">
        <v>45905</v>
      </c>
      <c r="D287" t="inlineStr">
        <is>
          <t>VÄSTERBOTTENS LÄN</t>
        </is>
      </c>
      <c r="E287" t="inlineStr">
        <is>
          <t>VILHELMINA</t>
        </is>
      </c>
      <c r="G287" t="n">
        <v>5.8</v>
      </c>
      <c r="H287" t="n">
        <v>0</v>
      </c>
      <c r="I287" t="n">
        <v>0</v>
      </c>
      <c r="J287" t="n">
        <v>0</v>
      </c>
      <c r="K287" t="n">
        <v>0</v>
      </c>
      <c r="L287" t="n">
        <v>0</v>
      </c>
      <c r="M287" t="n">
        <v>0</v>
      </c>
      <c r="N287" t="n">
        <v>0</v>
      </c>
      <c r="O287" t="n">
        <v>0</v>
      </c>
      <c r="P287" t="n">
        <v>0</v>
      </c>
      <c r="Q287" t="n">
        <v>0</v>
      </c>
      <c r="R287" s="2" t="inlineStr"/>
    </row>
    <row r="288" ht="15" customHeight="1">
      <c r="A288" t="inlineStr">
        <is>
          <t>A 12189-2024</t>
        </is>
      </c>
      <c r="B288" s="1" t="n">
        <v>45377.94945601852</v>
      </c>
      <c r="C288" s="1" t="n">
        <v>45905</v>
      </c>
      <c r="D288" t="inlineStr">
        <is>
          <t>VÄSTERBOTTENS LÄN</t>
        </is>
      </c>
      <c r="E288" t="inlineStr">
        <is>
          <t>VILHELMINA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2382-2023</t>
        </is>
      </c>
      <c r="B289" s="1" t="n">
        <v>44942</v>
      </c>
      <c r="C289" s="1" t="n">
        <v>45905</v>
      </c>
      <c r="D289" t="inlineStr">
        <is>
          <t>VÄSTERBOTTENS LÄN</t>
        </is>
      </c>
      <c r="E289" t="inlineStr">
        <is>
          <t>VILHELMINA</t>
        </is>
      </c>
      <c r="G289" t="n">
        <v>29.7</v>
      </c>
      <c r="H289" t="n">
        <v>0</v>
      </c>
      <c r="I289" t="n">
        <v>0</v>
      </c>
      <c r="J289" t="n">
        <v>0</v>
      </c>
      <c r="K289" t="n">
        <v>0</v>
      </c>
      <c r="L289" t="n">
        <v>0</v>
      </c>
      <c r="M289" t="n">
        <v>0</v>
      </c>
      <c r="N289" t="n">
        <v>0</v>
      </c>
      <c r="O289" t="n">
        <v>0</v>
      </c>
      <c r="P289" t="n">
        <v>0</v>
      </c>
      <c r="Q289" t="n">
        <v>0</v>
      </c>
      <c r="R289" s="2" t="inlineStr"/>
    </row>
    <row r="290" ht="15" customHeight="1">
      <c r="A290" t="inlineStr">
        <is>
          <t>A 22107-2024</t>
        </is>
      </c>
      <c r="B290" s="1" t="n">
        <v>45443</v>
      </c>
      <c r="C290" s="1" t="n">
        <v>45905</v>
      </c>
      <c r="D290" t="inlineStr">
        <is>
          <t>VÄSTERBOTTENS LÄN</t>
        </is>
      </c>
      <c r="E290" t="inlineStr">
        <is>
          <t>VILHELMINA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70849-2021</t>
        </is>
      </c>
      <c r="B291" s="1" t="n">
        <v>44532</v>
      </c>
      <c r="C291" s="1" t="n">
        <v>45905</v>
      </c>
      <c r="D291" t="inlineStr">
        <is>
          <t>VÄSTERBOTTENS LÄN</t>
        </is>
      </c>
      <c r="E291" t="inlineStr">
        <is>
          <t>VILHELMINA</t>
        </is>
      </c>
      <c r="G291" t="n">
        <v>21.4</v>
      </c>
      <c r="H291" t="n">
        <v>0</v>
      </c>
      <c r="I291" t="n">
        <v>0</v>
      </c>
      <c r="J291" t="n">
        <v>0</v>
      </c>
      <c r="K291" t="n">
        <v>0</v>
      </c>
      <c r="L291" t="n">
        <v>0</v>
      </c>
      <c r="M291" t="n">
        <v>0</v>
      </c>
      <c r="N291" t="n">
        <v>0</v>
      </c>
      <c r="O291" t="n">
        <v>0</v>
      </c>
      <c r="P291" t="n">
        <v>0</v>
      </c>
      <c r="Q291" t="n">
        <v>0</v>
      </c>
      <c r="R291" s="2" t="inlineStr"/>
    </row>
    <row r="292" ht="15" customHeight="1">
      <c r="A292" t="inlineStr">
        <is>
          <t>A 16721-2025</t>
        </is>
      </c>
      <c r="B292" s="1" t="n">
        <v>45754.49045138889</v>
      </c>
      <c r="C292" s="1" t="n">
        <v>45905</v>
      </c>
      <c r="D292" t="inlineStr">
        <is>
          <t>VÄSTERBOTTENS LÄN</t>
        </is>
      </c>
      <c r="E292" t="inlineStr">
        <is>
          <t>VILHELMINA</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60376-2024</t>
        </is>
      </c>
      <c r="B293" s="1" t="n">
        <v>45643</v>
      </c>
      <c r="C293" s="1" t="n">
        <v>45905</v>
      </c>
      <c r="D293" t="inlineStr">
        <is>
          <t>VÄSTERBOTTENS LÄN</t>
        </is>
      </c>
      <c r="E293" t="inlineStr">
        <is>
          <t>VILHELMINA</t>
        </is>
      </c>
      <c r="F293" t="inlineStr">
        <is>
          <t>SCA</t>
        </is>
      </c>
      <c r="G293" t="n">
        <v>11.5</v>
      </c>
      <c r="H293" t="n">
        <v>0</v>
      </c>
      <c r="I293" t="n">
        <v>0</v>
      </c>
      <c r="J293" t="n">
        <v>0</v>
      </c>
      <c r="K293" t="n">
        <v>0</v>
      </c>
      <c r="L293" t="n">
        <v>0</v>
      </c>
      <c r="M293" t="n">
        <v>0</v>
      </c>
      <c r="N293" t="n">
        <v>0</v>
      </c>
      <c r="O293" t="n">
        <v>0</v>
      </c>
      <c r="P293" t="n">
        <v>0</v>
      </c>
      <c r="Q293" t="n">
        <v>0</v>
      </c>
      <c r="R293" s="2" t="inlineStr"/>
    </row>
    <row r="294" ht="15" customHeight="1">
      <c r="A294" t="inlineStr">
        <is>
          <t>A 19465-2025</t>
        </is>
      </c>
      <c r="B294" s="1" t="n">
        <v>45770</v>
      </c>
      <c r="C294" s="1" t="n">
        <v>45905</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52749-2023</t>
        </is>
      </c>
      <c r="B295" s="1" t="n">
        <v>45225.9678587963</v>
      </c>
      <c r="C295" s="1" t="n">
        <v>45905</v>
      </c>
      <c r="D295" t="inlineStr">
        <is>
          <t>VÄSTERBOTTENS LÄN</t>
        </is>
      </c>
      <c r="E295" t="inlineStr">
        <is>
          <t>VILHELMINA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23544-2024</t>
        </is>
      </c>
      <c r="B296" s="1" t="n">
        <v>45453.95314814815</v>
      </c>
      <c r="C296" s="1" t="n">
        <v>45905</v>
      </c>
      <c r="D296" t="inlineStr">
        <is>
          <t>VÄSTERBOTTENS LÄN</t>
        </is>
      </c>
      <c r="E296" t="inlineStr">
        <is>
          <t>VILHELMINA</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23545-2024</t>
        </is>
      </c>
      <c r="B297" s="1" t="n">
        <v>45453.95326388889</v>
      </c>
      <c r="C297" s="1" t="n">
        <v>45905</v>
      </c>
      <c r="D297" t="inlineStr">
        <is>
          <t>VÄSTERBOTTENS LÄN</t>
        </is>
      </c>
      <c r="E297" t="inlineStr">
        <is>
          <t>VILHELMINA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38674-2023</t>
        </is>
      </c>
      <c r="B298" s="1" t="n">
        <v>45162.94335648148</v>
      </c>
      <c r="C298" s="1" t="n">
        <v>45905</v>
      </c>
      <c r="D298" t="inlineStr">
        <is>
          <t>VÄSTERBOTTENS LÄN</t>
        </is>
      </c>
      <c r="E298" t="inlineStr">
        <is>
          <t>VILHELMINA</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63218-2021</t>
        </is>
      </c>
      <c r="B299" s="1" t="n">
        <v>44505</v>
      </c>
      <c r="C299" s="1" t="n">
        <v>45905</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11544-2023</t>
        </is>
      </c>
      <c r="B300" s="1" t="n">
        <v>44993.94818287037</v>
      </c>
      <c r="C300" s="1" t="n">
        <v>45905</v>
      </c>
      <c r="D300" t="inlineStr">
        <is>
          <t>VÄSTERBOTTENS LÄN</t>
        </is>
      </c>
      <c r="E300" t="inlineStr">
        <is>
          <t>VILHELMINA</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58377-2021</t>
        </is>
      </c>
      <c r="B301" s="1" t="n">
        <v>44488</v>
      </c>
      <c r="C301" s="1" t="n">
        <v>45905</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15326-2024</t>
        </is>
      </c>
      <c r="B302" s="1" t="n">
        <v>45400</v>
      </c>
      <c r="C302" s="1" t="n">
        <v>45905</v>
      </c>
      <c r="D302" t="inlineStr">
        <is>
          <t>VÄSTERBOTTENS LÄN</t>
        </is>
      </c>
      <c r="E302" t="inlineStr">
        <is>
          <t>VILHELMINA</t>
        </is>
      </c>
      <c r="G302" t="n">
        <v>4.7</v>
      </c>
      <c r="H302" t="n">
        <v>0</v>
      </c>
      <c r="I302" t="n">
        <v>0</v>
      </c>
      <c r="J302" t="n">
        <v>0</v>
      </c>
      <c r="K302" t="n">
        <v>0</v>
      </c>
      <c r="L302" t="n">
        <v>0</v>
      </c>
      <c r="M302" t="n">
        <v>0</v>
      </c>
      <c r="N302" t="n">
        <v>0</v>
      </c>
      <c r="O302" t="n">
        <v>0</v>
      </c>
      <c r="P302" t="n">
        <v>0</v>
      </c>
      <c r="Q302" t="n">
        <v>0</v>
      </c>
      <c r="R302" s="2" t="inlineStr"/>
    </row>
    <row r="303" ht="15" customHeight="1">
      <c r="A303" t="inlineStr">
        <is>
          <t>A 30583-2024</t>
        </is>
      </c>
      <c r="B303" s="1" t="n">
        <v>45492.96108796296</v>
      </c>
      <c r="C303" s="1" t="n">
        <v>45905</v>
      </c>
      <c r="D303" t="inlineStr">
        <is>
          <t>VÄSTERBOTTENS LÄN</t>
        </is>
      </c>
      <c r="E303" t="inlineStr">
        <is>
          <t>VILHELMINA</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43791-2024</t>
        </is>
      </c>
      <c r="B304" s="1" t="n">
        <v>45571</v>
      </c>
      <c r="C304" s="1" t="n">
        <v>45905</v>
      </c>
      <c r="D304" t="inlineStr">
        <is>
          <t>VÄSTERBOTTENS LÄN</t>
        </is>
      </c>
      <c r="E304" t="inlineStr">
        <is>
          <t>VILHELMINA</t>
        </is>
      </c>
      <c r="G304" t="n">
        <v>30.3</v>
      </c>
      <c r="H304" t="n">
        <v>0</v>
      </c>
      <c r="I304" t="n">
        <v>0</v>
      </c>
      <c r="J304" t="n">
        <v>0</v>
      </c>
      <c r="K304" t="n">
        <v>0</v>
      </c>
      <c r="L304" t="n">
        <v>0</v>
      </c>
      <c r="M304" t="n">
        <v>0</v>
      </c>
      <c r="N304" t="n">
        <v>0</v>
      </c>
      <c r="O304" t="n">
        <v>0</v>
      </c>
      <c r="P304" t="n">
        <v>0</v>
      </c>
      <c r="Q304" t="n">
        <v>0</v>
      </c>
      <c r="R304" s="2" t="inlineStr"/>
    </row>
    <row r="305" ht="15" customHeight="1">
      <c r="A305" t="inlineStr">
        <is>
          <t>A 43792-2024</t>
        </is>
      </c>
      <c r="B305" s="1" t="n">
        <v>45571</v>
      </c>
      <c r="C305" s="1" t="n">
        <v>45905</v>
      </c>
      <c r="D305" t="inlineStr">
        <is>
          <t>VÄSTERBOTTENS LÄN</t>
        </is>
      </c>
      <c r="E305" t="inlineStr">
        <is>
          <t>VILHELMINA</t>
        </is>
      </c>
      <c r="G305" t="n">
        <v>25.3</v>
      </c>
      <c r="H305" t="n">
        <v>0</v>
      </c>
      <c r="I305" t="n">
        <v>0</v>
      </c>
      <c r="J305" t="n">
        <v>0</v>
      </c>
      <c r="K305" t="n">
        <v>0</v>
      </c>
      <c r="L305" t="n">
        <v>0</v>
      </c>
      <c r="M305" t="n">
        <v>0</v>
      </c>
      <c r="N305" t="n">
        <v>0</v>
      </c>
      <c r="O305" t="n">
        <v>0</v>
      </c>
      <c r="P305" t="n">
        <v>0</v>
      </c>
      <c r="Q305" t="n">
        <v>0</v>
      </c>
      <c r="R305" s="2" t="inlineStr"/>
    </row>
    <row r="306" ht="15" customHeight="1">
      <c r="A306" t="inlineStr">
        <is>
          <t>A 21035-2025</t>
        </is>
      </c>
      <c r="B306" s="1" t="n">
        <v>45777.53157407408</v>
      </c>
      <c r="C306" s="1" t="n">
        <v>45905</v>
      </c>
      <c r="D306" t="inlineStr">
        <is>
          <t>VÄSTERBOTTENS LÄN</t>
        </is>
      </c>
      <c r="E306" t="inlineStr">
        <is>
          <t>VILHELMINA</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32655-2021</t>
        </is>
      </c>
      <c r="B307" s="1" t="n">
        <v>44371</v>
      </c>
      <c r="C307" s="1" t="n">
        <v>45905</v>
      </c>
      <c r="D307" t="inlineStr">
        <is>
          <t>VÄSTERBOTTENS LÄN</t>
        </is>
      </c>
      <c r="E307" t="inlineStr">
        <is>
          <t>VILHELMINA</t>
        </is>
      </c>
      <c r="G307" t="n">
        <v>0.2</v>
      </c>
      <c r="H307" t="n">
        <v>0</v>
      </c>
      <c r="I307" t="n">
        <v>0</v>
      </c>
      <c r="J307" t="n">
        <v>0</v>
      </c>
      <c r="K307" t="n">
        <v>0</v>
      </c>
      <c r="L307" t="n">
        <v>0</v>
      </c>
      <c r="M307" t="n">
        <v>0</v>
      </c>
      <c r="N307" t="n">
        <v>0</v>
      </c>
      <c r="O307" t="n">
        <v>0</v>
      </c>
      <c r="P307" t="n">
        <v>0</v>
      </c>
      <c r="Q307" t="n">
        <v>0</v>
      </c>
      <c r="R307" s="2" t="inlineStr"/>
    </row>
    <row r="308" ht="15" customHeight="1">
      <c r="A308" t="inlineStr">
        <is>
          <t>A 21069-2025</t>
        </is>
      </c>
      <c r="B308" s="1" t="n">
        <v>45777.59427083333</v>
      </c>
      <c r="C308" s="1" t="n">
        <v>45905</v>
      </c>
      <c r="D308" t="inlineStr">
        <is>
          <t>VÄSTERBOTTENS LÄN</t>
        </is>
      </c>
      <c r="E308" t="inlineStr">
        <is>
          <t>VILHELMINA</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26137-2024</t>
        </is>
      </c>
      <c r="B309" s="1" t="n">
        <v>45468</v>
      </c>
      <c r="C309" s="1" t="n">
        <v>45905</v>
      </c>
      <c r="D309" t="inlineStr">
        <is>
          <t>VÄSTERBOTTENS LÄN</t>
        </is>
      </c>
      <c r="E309" t="inlineStr">
        <is>
          <t>VILHELMINA</t>
        </is>
      </c>
      <c r="G309" t="n">
        <v>3.5</v>
      </c>
      <c r="H309" t="n">
        <v>0</v>
      </c>
      <c r="I309" t="n">
        <v>0</v>
      </c>
      <c r="J309" t="n">
        <v>0</v>
      </c>
      <c r="K309" t="n">
        <v>0</v>
      </c>
      <c r="L309" t="n">
        <v>0</v>
      </c>
      <c r="M309" t="n">
        <v>0</v>
      </c>
      <c r="N309" t="n">
        <v>0</v>
      </c>
      <c r="O309" t="n">
        <v>0</v>
      </c>
      <c r="P309" t="n">
        <v>0</v>
      </c>
      <c r="Q309" t="n">
        <v>0</v>
      </c>
      <c r="R309" s="2" t="inlineStr"/>
    </row>
    <row r="310" ht="15" customHeight="1">
      <c r="A310" t="inlineStr">
        <is>
          <t>A 36376-2023</t>
        </is>
      </c>
      <c r="B310" s="1" t="n">
        <v>45152</v>
      </c>
      <c r="C310" s="1" t="n">
        <v>45905</v>
      </c>
      <c r="D310" t="inlineStr">
        <is>
          <t>VÄSTERBOTTENS LÄN</t>
        </is>
      </c>
      <c r="E310" t="inlineStr">
        <is>
          <t>VILHELMINA</t>
        </is>
      </c>
      <c r="G310" t="n">
        <v>12.7</v>
      </c>
      <c r="H310" t="n">
        <v>0</v>
      </c>
      <c r="I310" t="n">
        <v>0</v>
      </c>
      <c r="J310" t="n">
        <v>0</v>
      </c>
      <c r="K310" t="n">
        <v>0</v>
      </c>
      <c r="L310" t="n">
        <v>0</v>
      </c>
      <c r="M310" t="n">
        <v>0</v>
      </c>
      <c r="N310" t="n">
        <v>0</v>
      </c>
      <c r="O310" t="n">
        <v>0</v>
      </c>
      <c r="P310" t="n">
        <v>0</v>
      </c>
      <c r="Q310" t="n">
        <v>0</v>
      </c>
      <c r="R310" s="2" t="inlineStr"/>
    </row>
    <row r="311" ht="15" customHeight="1">
      <c r="A311" t="inlineStr">
        <is>
          <t>A 5435-2024</t>
        </is>
      </c>
      <c r="B311" s="1" t="n">
        <v>45331</v>
      </c>
      <c r="C311" s="1" t="n">
        <v>45905</v>
      </c>
      <c r="D311" t="inlineStr">
        <is>
          <t>VÄSTERBOTTENS LÄN</t>
        </is>
      </c>
      <c r="E311" t="inlineStr">
        <is>
          <t>VILHELMINA</t>
        </is>
      </c>
      <c r="G311" t="n">
        <v>6</v>
      </c>
      <c r="H311" t="n">
        <v>0</v>
      </c>
      <c r="I311" t="n">
        <v>0</v>
      </c>
      <c r="J311" t="n">
        <v>0</v>
      </c>
      <c r="K311" t="n">
        <v>0</v>
      </c>
      <c r="L311" t="n">
        <v>0</v>
      </c>
      <c r="M311" t="n">
        <v>0</v>
      </c>
      <c r="N311" t="n">
        <v>0</v>
      </c>
      <c r="O311" t="n">
        <v>0</v>
      </c>
      <c r="P311" t="n">
        <v>0</v>
      </c>
      <c r="Q311" t="n">
        <v>0</v>
      </c>
      <c r="R311" s="2" t="inlineStr"/>
    </row>
    <row r="312" ht="15" customHeight="1">
      <c r="A312" t="inlineStr">
        <is>
          <t>A 30575-2024</t>
        </is>
      </c>
      <c r="B312" s="1" t="n">
        <v>45492.95818287037</v>
      </c>
      <c r="C312" s="1" t="n">
        <v>45905</v>
      </c>
      <c r="D312" t="inlineStr">
        <is>
          <t>VÄSTERBOTTENS LÄN</t>
        </is>
      </c>
      <c r="E312" t="inlineStr">
        <is>
          <t>VILHELMINA</t>
        </is>
      </c>
      <c r="F312" t="inlineStr">
        <is>
          <t>SCA</t>
        </is>
      </c>
      <c r="G312" t="n">
        <v>6.5</v>
      </c>
      <c r="H312" t="n">
        <v>0</v>
      </c>
      <c r="I312" t="n">
        <v>0</v>
      </c>
      <c r="J312" t="n">
        <v>0</v>
      </c>
      <c r="K312" t="n">
        <v>0</v>
      </c>
      <c r="L312" t="n">
        <v>0</v>
      </c>
      <c r="M312" t="n">
        <v>0</v>
      </c>
      <c r="N312" t="n">
        <v>0</v>
      </c>
      <c r="O312" t="n">
        <v>0</v>
      </c>
      <c r="P312" t="n">
        <v>0</v>
      </c>
      <c r="Q312" t="n">
        <v>0</v>
      </c>
      <c r="R312" s="2" t="inlineStr"/>
    </row>
    <row r="313" ht="15" customHeight="1">
      <c r="A313" t="inlineStr">
        <is>
          <t>A 30578-2024</t>
        </is>
      </c>
      <c r="B313" s="1" t="n">
        <v>45492.95939814814</v>
      </c>
      <c r="C313" s="1" t="n">
        <v>45905</v>
      </c>
      <c r="D313" t="inlineStr">
        <is>
          <t>VÄSTERBOTTENS LÄN</t>
        </is>
      </c>
      <c r="E313" t="inlineStr">
        <is>
          <t>VILHELMINA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30580-2024</t>
        </is>
      </c>
      <c r="B314" s="1" t="n">
        <v>45492.95981481481</v>
      </c>
      <c r="C314" s="1" t="n">
        <v>45905</v>
      </c>
      <c r="D314" t="inlineStr">
        <is>
          <t>VÄSTERBOTTENS LÄN</t>
        </is>
      </c>
      <c r="E314" t="inlineStr">
        <is>
          <t>VILHELMINA</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72153-2021</t>
        </is>
      </c>
      <c r="B315" s="1" t="n">
        <v>44543</v>
      </c>
      <c r="C315" s="1" t="n">
        <v>45905</v>
      </c>
      <c r="D315" t="inlineStr">
        <is>
          <t>VÄSTERBOTTENS LÄN</t>
        </is>
      </c>
      <c r="E315" t="inlineStr">
        <is>
          <t>VILHELMINA</t>
        </is>
      </c>
      <c r="G315" t="n">
        <v>6.7</v>
      </c>
      <c r="H315" t="n">
        <v>0</v>
      </c>
      <c r="I315" t="n">
        <v>0</v>
      </c>
      <c r="J315" t="n">
        <v>0</v>
      </c>
      <c r="K315" t="n">
        <v>0</v>
      </c>
      <c r="L315" t="n">
        <v>0</v>
      </c>
      <c r="M315" t="n">
        <v>0</v>
      </c>
      <c r="N315" t="n">
        <v>0</v>
      </c>
      <c r="O315" t="n">
        <v>0</v>
      </c>
      <c r="P315" t="n">
        <v>0</v>
      </c>
      <c r="Q315" t="n">
        <v>0</v>
      </c>
      <c r="R315" s="2" t="inlineStr"/>
    </row>
    <row r="316" ht="15" customHeight="1">
      <c r="A316" t="inlineStr">
        <is>
          <t>A 35983-2023</t>
        </is>
      </c>
      <c r="B316" s="1" t="n">
        <v>45148.96185185185</v>
      </c>
      <c r="C316" s="1" t="n">
        <v>45905</v>
      </c>
      <c r="D316" t="inlineStr">
        <is>
          <t>VÄSTERBOTTENS LÄN</t>
        </is>
      </c>
      <c r="E316" t="inlineStr">
        <is>
          <t>VILHELMINA</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21410-2025</t>
        </is>
      </c>
      <c r="B317" s="1" t="n">
        <v>45782</v>
      </c>
      <c r="C317" s="1" t="n">
        <v>45905</v>
      </c>
      <c r="D317" t="inlineStr">
        <is>
          <t>VÄSTERBOTTENS LÄN</t>
        </is>
      </c>
      <c r="E317" t="inlineStr">
        <is>
          <t>VILHELMINA</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23536-2024</t>
        </is>
      </c>
      <c r="B318" s="1" t="n">
        <v>45453.95199074074</v>
      </c>
      <c r="C318" s="1" t="n">
        <v>45905</v>
      </c>
      <c r="D318" t="inlineStr">
        <is>
          <t>VÄSTERBOTTENS LÄN</t>
        </is>
      </c>
      <c r="E318" t="inlineStr">
        <is>
          <t>VILHELMINA</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3745-2023</t>
        </is>
      </c>
      <c r="B319" s="1" t="n">
        <v>44949</v>
      </c>
      <c r="C319" s="1" t="n">
        <v>45905</v>
      </c>
      <c r="D319" t="inlineStr">
        <is>
          <t>VÄSTERBOTTENS LÄN</t>
        </is>
      </c>
      <c r="E319" t="inlineStr">
        <is>
          <t>VILHELMINA</t>
        </is>
      </c>
      <c r="G319" t="n">
        <v>36.6</v>
      </c>
      <c r="H319" t="n">
        <v>0</v>
      </c>
      <c r="I319" t="n">
        <v>0</v>
      </c>
      <c r="J319" t="n">
        <v>0</v>
      </c>
      <c r="K319" t="n">
        <v>0</v>
      </c>
      <c r="L319" t="n">
        <v>0</v>
      </c>
      <c r="M319" t="n">
        <v>0</v>
      </c>
      <c r="N319" t="n">
        <v>0</v>
      </c>
      <c r="O319" t="n">
        <v>0</v>
      </c>
      <c r="P319" t="n">
        <v>0</v>
      </c>
      <c r="Q319" t="n">
        <v>0</v>
      </c>
      <c r="R319" s="2" t="inlineStr"/>
    </row>
    <row r="320" ht="15" customHeight="1">
      <c r="A320" t="inlineStr">
        <is>
          <t>A 19506-2025</t>
        </is>
      </c>
      <c r="B320" s="1" t="n">
        <v>45770</v>
      </c>
      <c r="C320" s="1" t="n">
        <v>45905</v>
      </c>
      <c r="D320" t="inlineStr">
        <is>
          <t>VÄSTERBOTTENS LÄN</t>
        </is>
      </c>
      <c r="E320" t="inlineStr">
        <is>
          <t>VILHELMINA</t>
        </is>
      </c>
      <c r="G320" t="n">
        <v>22.4</v>
      </c>
      <c r="H320" t="n">
        <v>0</v>
      </c>
      <c r="I320" t="n">
        <v>0</v>
      </c>
      <c r="J320" t="n">
        <v>0</v>
      </c>
      <c r="K320" t="n">
        <v>0</v>
      </c>
      <c r="L320" t="n">
        <v>0</v>
      </c>
      <c r="M320" t="n">
        <v>0</v>
      </c>
      <c r="N320" t="n">
        <v>0</v>
      </c>
      <c r="O320" t="n">
        <v>0</v>
      </c>
      <c r="P320" t="n">
        <v>0</v>
      </c>
      <c r="Q320" t="n">
        <v>0</v>
      </c>
      <c r="R320" s="2" t="inlineStr"/>
    </row>
    <row r="321" ht="15" customHeight="1">
      <c r="A321" t="inlineStr">
        <is>
          <t>A 21205-2025</t>
        </is>
      </c>
      <c r="B321" s="1" t="n">
        <v>45779</v>
      </c>
      <c r="C321" s="1" t="n">
        <v>45905</v>
      </c>
      <c r="D321" t="inlineStr">
        <is>
          <t>VÄSTERBOTTENS LÄN</t>
        </is>
      </c>
      <c r="E321" t="inlineStr">
        <is>
          <t>VILHELMINA</t>
        </is>
      </c>
      <c r="F321" t="inlineStr">
        <is>
          <t>Allmännings- och besparingsskogar</t>
        </is>
      </c>
      <c r="G321" t="n">
        <v>6.2</v>
      </c>
      <c r="H321" t="n">
        <v>0</v>
      </c>
      <c r="I321" t="n">
        <v>0</v>
      </c>
      <c r="J321" t="n">
        <v>0</v>
      </c>
      <c r="K321" t="n">
        <v>0</v>
      </c>
      <c r="L321" t="n">
        <v>0</v>
      </c>
      <c r="M321" t="n">
        <v>0</v>
      </c>
      <c r="N321" t="n">
        <v>0</v>
      </c>
      <c r="O321" t="n">
        <v>0</v>
      </c>
      <c r="P321" t="n">
        <v>0</v>
      </c>
      <c r="Q321" t="n">
        <v>0</v>
      </c>
      <c r="R321" s="2" t="inlineStr"/>
    </row>
    <row r="322" ht="15" customHeight="1">
      <c r="A322" t="inlineStr">
        <is>
          <t>A 21448-2025</t>
        </is>
      </c>
      <c r="B322" s="1" t="n">
        <v>45782.55241898148</v>
      </c>
      <c r="C322" s="1" t="n">
        <v>45905</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44368-2024</t>
        </is>
      </c>
      <c r="B323" s="1" t="n">
        <v>45573</v>
      </c>
      <c r="C323" s="1" t="n">
        <v>45905</v>
      </c>
      <c r="D323" t="inlineStr">
        <is>
          <t>VÄSTERBOTTENS LÄN</t>
        </is>
      </c>
      <c r="E323" t="inlineStr">
        <is>
          <t>VILHELMINA</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21204-2025</t>
        </is>
      </c>
      <c r="B324" s="1" t="n">
        <v>45779</v>
      </c>
      <c r="C324" s="1" t="n">
        <v>45905</v>
      </c>
      <c r="D324" t="inlineStr">
        <is>
          <t>VÄSTERBOTTENS LÄN</t>
        </is>
      </c>
      <c r="E324" t="inlineStr">
        <is>
          <t>VILHELMINA</t>
        </is>
      </c>
      <c r="F324" t="inlineStr">
        <is>
          <t>Allmännings- och besparingsskogar</t>
        </is>
      </c>
      <c r="G324" t="n">
        <v>0.9</v>
      </c>
      <c r="H324" t="n">
        <v>0</v>
      </c>
      <c r="I324" t="n">
        <v>0</v>
      </c>
      <c r="J324" t="n">
        <v>0</v>
      </c>
      <c r="K324" t="n">
        <v>0</v>
      </c>
      <c r="L324" t="n">
        <v>0</v>
      </c>
      <c r="M324" t="n">
        <v>0</v>
      </c>
      <c r="N324" t="n">
        <v>0</v>
      </c>
      <c r="O324" t="n">
        <v>0</v>
      </c>
      <c r="P324" t="n">
        <v>0</v>
      </c>
      <c r="Q324" t="n">
        <v>0</v>
      </c>
      <c r="R324" s="2" t="inlineStr"/>
    </row>
    <row r="325" ht="15" customHeight="1">
      <c r="A325" t="inlineStr">
        <is>
          <t>A 32921-2024</t>
        </is>
      </c>
      <c r="B325" s="1" t="n">
        <v>45516.9525462963</v>
      </c>
      <c r="C325" s="1" t="n">
        <v>45905</v>
      </c>
      <c r="D325" t="inlineStr">
        <is>
          <t>VÄSTERBOTTENS LÄN</t>
        </is>
      </c>
      <c r="E325" t="inlineStr">
        <is>
          <t>VILHELMINA</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66917-2021</t>
        </is>
      </c>
      <c r="B326" s="1" t="n">
        <v>44522</v>
      </c>
      <c r="C326" s="1" t="n">
        <v>45905</v>
      </c>
      <c r="D326" t="inlineStr">
        <is>
          <t>VÄSTERBOTTENS LÄN</t>
        </is>
      </c>
      <c r="E326" t="inlineStr">
        <is>
          <t>VILHELMINA</t>
        </is>
      </c>
      <c r="F326" t="inlineStr">
        <is>
          <t>Allmännings- och besparingsskogar</t>
        </is>
      </c>
      <c r="G326" t="n">
        <v>11.7</v>
      </c>
      <c r="H326" t="n">
        <v>0</v>
      </c>
      <c r="I326" t="n">
        <v>0</v>
      </c>
      <c r="J326" t="n">
        <v>0</v>
      </c>
      <c r="K326" t="n">
        <v>0</v>
      </c>
      <c r="L326" t="n">
        <v>0</v>
      </c>
      <c r="M326" t="n">
        <v>0</v>
      </c>
      <c r="N326" t="n">
        <v>0</v>
      </c>
      <c r="O326" t="n">
        <v>0</v>
      </c>
      <c r="P326" t="n">
        <v>0</v>
      </c>
      <c r="Q326" t="n">
        <v>0</v>
      </c>
      <c r="R326" s="2" t="inlineStr"/>
    </row>
    <row r="327" ht="15" customHeight="1">
      <c r="A327" t="inlineStr">
        <is>
          <t>A 21924-2025</t>
        </is>
      </c>
      <c r="B327" s="1" t="n">
        <v>45784</v>
      </c>
      <c r="C327" s="1" t="n">
        <v>45905</v>
      </c>
      <c r="D327" t="inlineStr">
        <is>
          <t>VÄSTERBOTTENS LÄN</t>
        </is>
      </c>
      <c r="E327" t="inlineStr">
        <is>
          <t>VILHELMINA</t>
        </is>
      </c>
      <c r="G327" t="n">
        <v>10.2</v>
      </c>
      <c r="H327" t="n">
        <v>0</v>
      </c>
      <c r="I327" t="n">
        <v>0</v>
      </c>
      <c r="J327" t="n">
        <v>0</v>
      </c>
      <c r="K327" t="n">
        <v>0</v>
      </c>
      <c r="L327" t="n">
        <v>0</v>
      </c>
      <c r="M327" t="n">
        <v>0</v>
      </c>
      <c r="N327" t="n">
        <v>0</v>
      </c>
      <c r="O327" t="n">
        <v>0</v>
      </c>
      <c r="P327" t="n">
        <v>0</v>
      </c>
      <c r="Q327" t="n">
        <v>0</v>
      </c>
      <c r="R327" s="2" t="inlineStr"/>
    </row>
    <row r="328" ht="15" customHeight="1">
      <c r="A328" t="inlineStr">
        <is>
          <t>A 25701-2024</t>
        </is>
      </c>
      <c r="B328" s="1" t="n">
        <v>45463.94247685185</v>
      </c>
      <c r="C328" s="1" t="n">
        <v>45905</v>
      </c>
      <c r="D328" t="inlineStr">
        <is>
          <t>VÄSTERBOTTENS LÄN</t>
        </is>
      </c>
      <c r="E328" t="inlineStr">
        <is>
          <t>VILHELMINA</t>
        </is>
      </c>
      <c r="F328" t="inlineStr">
        <is>
          <t>SCA</t>
        </is>
      </c>
      <c r="G328" t="n">
        <v>8.6</v>
      </c>
      <c r="H328" t="n">
        <v>0</v>
      </c>
      <c r="I328" t="n">
        <v>0</v>
      </c>
      <c r="J328" t="n">
        <v>0</v>
      </c>
      <c r="K328" t="n">
        <v>0</v>
      </c>
      <c r="L328" t="n">
        <v>0</v>
      </c>
      <c r="M328" t="n">
        <v>0</v>
      </c>
      <c r="N328" t="n">
        <v>0</v>
      </c>
      <c r="O328" t="n">
        <v>0</v>
      </c>
      <c r="P328" t="n">
        <v>0</v>
      </c>
      <c r="Q328" t="n">
        <v>0</v>
      </c>
      <c r="R328" s="2" t="inlineStr"/>
    </row>
    <row r="329" ht="15" customHeight="1">
      <c r="A329" t="inlineStr">
        <is>
          <t>A 8652-2023</t>
        </is>
      </c>
      <c r="B329" s="1" t="n">
        <v>44977.98401620371</v>
      </c>
      <c r="C329" s="1" t="n">
        <v>45905</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8653-2023</t>
        </is>
      </c>
      <c r="B330" s="1" t="n">
        <v>44977</v>
      </c>
      <c r="C330" s="1" t="n">
        <v>45905</v>
      </c>
      <c r="D330" t="inlineStr">
        <is>
          <t>VÄSTERBOTTENS LÄN</t>
        </is>
      </c>
      <c r="E330" t="inlineStr">
        <is>
          <t>VILHELMINA</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5955-2023</t>
        </is>
      </c>
      <c r="B331" s="1" t="n">
        <v>44963.93989583333</v>
      </c>
      <c r="C331" s="1" t="n">
        <v>45905</v>
      </c>
      <c r="D331" t="inlineStr">
        <is>
          <t>VÄSTERBOTTENS LÄN</t>
        </is>
      </c>
      <c r="E331" t="inlineStr">
        <is>
          <t>VILHELMINA</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34135-2024</t>
        </is>
      </c>
      <c r="B332" s="1" t="n">
        <v>45524.35605324074</v>
      </c>
      <c r="C332" s="1" t="n">
        <v>45905</v>
      </c>
      <c r="D332" t="inlineStr">
        <is>
          <t>VÄSTERBOTTENS LÄN</t>
        </is>
      </c>
      <c r="E332" t="inlineStr">
        <is>
          <t>VILHELMINA</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6653-2021</t>
        </is>
      </c>
      <c r="B333" s="1" t="n">
        <v>44235</v>
      </c>
      <c r="C333" s="1" t="n">
        <v>45905</v>
      </c>
      <c r="D333" t="inlineStr">
        <is>
          <t>VÄSTERBOTTENS LÄN</t>
        </is>
      </c>
      <c r="E333" t="inlineStr">
        <is>
          <t>VILHELMINA</t>
        </is>
      </c>
      <c r="G333" t="n">
        <v>18</v>
      </c>
      <c r="H333" t="n">
        <v>0</v>
      </c>
      <c r="I333" t="n">
        <v>0</v>
      </c>
      <c r="J333" t="n">
        <v>0</v>
      </c>
      <c r="K333" t="n">
        <v>0</v>
      </c>
      <c r="L333" t="n">
        <v>0</v>
      </c>
      <c r="M333" t="n">
        <v>0</v>
      </c>
      <c r="N333" t="n">
        <v>0</v>
      </c>
      <c r="O333" t="n">
        <v>0</v>
      </c>
      <c r="P333" t="n">
        <v>0</v>
      </c>
      <c r="Q333" t="n">
        <v>0</v>
      </c>
      <c r="R333" s="2" t="inlineStr"/>
    </row>
    <row r="334" ht="15" customHeight="1">
      <c r="A334" t="inlineStr">
        <is>
          <t>A 6669-2021</t>
        </is>
      </c>
      <c r="B334" s="1" t="n">
        <v>44235</v>
      </c>
      <c r="C334" s="1" t="n">
        <v>45905</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34762-2024</t>
        </is>
      </c>
      <c r="B335" s="1" t="n">
        <v>45526.61637731481</v>
      </c>
      <c r="C335" s="1" t="n">
        <v>45905</v>
      </c>
      <c r="D335" t="inlineStr">
        <is>
          <t>VÄSTERBOTTENS LÄN</t>
        </is>
      </c>
      <c r="E335" t="inlineStr">
        <is>
          <t>VILHELMINA</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42478-2024</t>
        </is>
      </c>
      <c r="B336" s="1" t="n">
        <v>45565.4912962963</v>
      </c>
      <c r="C336" s="1" t="n">
        <v>45905</v>
      </c>
      <c r="D336" t="inlineStr">
        <is>
          <t>VÄSTERBOTTENS LÄN</t>
        </is>
      </c>
      <c r="E336" t="inlineStr">
        <is>
          <t>VILHELMINA</t>
        </is>
      </c>
      <c r="F336" t="inlineStr">
        <is>
          <t>SCA</t>
        </is>
      </c>
      <c r="G336" t="n">
        <v>6.6</v>
      </c>
      <c r="H336" t="n">
        <v>0</v>
      </c>
      <c r="I336" t="n">
        <v>0</v>
      </c>
      <c r="J336" t="n">
        <v>0</v>
      </c>
      <c r="K336" t="n">
        <v>0</v>
      </c>
      <c r="L336" t="n">
        <v>0</v>
      </c>
      <c r="M336" t="n">
        <v>0</v>
      </c>
      <c r="N336" t="n">
        <v>0</v>
      </c>
      <c r="O336" t="n">
        <v>0</v>
      </c>
      <c r="P336" t="n">
        <v>0</v>
      </c>
      <c r="Q336" t="n">
        <v>0</v>
      </c>
      <c r="R336" s="2" t="inlineStr"/>
    </row>
    <row r="337" ht="15" customHeight="1">
      <c r="A337" t="inlineStr">
        <is>
          <t>A 50482-2023</t>
        </is>
      </c>
      <c r="B337" s="1" t="n">
        <v>45216</v>
      </c>
      <c r="C337" s="1" t="n">
        <v>45905</v>
      </c>
      <c r="D337" t="inlineStr">
        <is>
          <t>VÄSTERBOTTENS LÄN</t>
        </is>
      </c>
      <c r="E337" t="inlineStr">
        <is>
          <t>VILHELMINA</t>
        </is>
      </c>
      <c r="G337" t="n">
        <v>3.5</v>
      </c>
      <c r="H337" t="n">
        <v>0</v>
      </c>
      <c r="I337" t="n">
        <v>0</v>
      </c>
      <c r="J337" t="n">
        <v>0</v>
      </c>
      <c r="K337" t="n">
        <v>0</v>
      </c>
      <c r="L337" t="n">
        <v>0</v>
      </c>
      <c r="M337" t="n">
        <v>0</v>
      </c>
      <c r="N337" t="n">
        <v>0</v>
      </c>
      <c r="O337" t="n">
        <v>0</v>
      </c>
      <c r="P337" t="n">
        <v>0</v>
      </c>
      <c r="Q337" t="n">
        <v>0</v>
      </c>
      <c r="R337" s="2" t="inlineStr"/>
    </row>
    <row r="338" ht="15" customHeight="1">
      <c r="A338" t="inlineStr">
        <is>
          <t>A 21999-2025</t>
        </is>
      </c>
      <c r="B338" s="1" t="n">
        <v>45784</v>
      </c>
      <c r="C338" s="1" t="n">
        <v>45905</v>
      </c>
      <c r="D338" t="inlineStr">
        <is>
          <t>VÄSTERBOTTENS LÄN</t>
        </is>
      </c>
      <c r="E338" t="inlineStr">
        <is>
          <t>VILHELMINA</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21950-2025</t>
        </is>
      </c>
      <c r="B339" s="1" t="n">
        <v>45784.59418981482</v>
      </c>
      <c r="C339" s="1" t="n">
        <v>45905</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21623-2025</t>
        </is>
      </c>
      <c r="B340" s="1" t="n">
        <v>45783</v>
      </c>
      <c r="C340" s="1" t="n">
        <v>45905</v>
      </c>
      <c r="D340" t="inlineStr">
        <is>
          <t>VÄSTERBOTTENS LÄN</t>
        </is>
      </c>
      <c r="E340" t="inlineStr">
        <is>
          <t>VILHELMINA</t>
        </is>
      </c>
      <c r="F340" t="inlineStr">
        <is>
          <t>SCA</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21670-2025</t>
        </is>
      </c>
      <c r="B341" s="1" t="n">
        <v>45783.46917824074</v>
      </c>
      <c r="C341" s="1" t="n">
        <v>45905</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8916-2023</t>
        </is>
      </c>
      <c r="B342" s="1" t="n">
        <v>44972</v>
      </c>
      <c r="C342" s="1" t="n">
        <v>45905</v>
      </c>
      <c r="D342" t="inlineStr">
        <is>
          <t>VÄSTERBOTTENS LÄN</t>
        </is>
      </c>
      <c r="E342" t="inlineStr">
        <is>
          <t>VILHELMINA</t>
        </is>
      </c>
      <c r="F342" t="inlineStr">
        <is>
          <t>Allmännings- och besparingsskogar</t>
        </is>
      </c>
      <c r="G342" t="n">
        <v>22.1</v>
      </c>
      <c r="H342" t="n">
        <v>0</v>
      </c>
      <c r="I342" t="n">
        <v>0</v>
      </c>
      <c r="J342" t="n">
        <v>0</v>
      </c>
      <c r="K342" t="n">
        <v>0</v>
      </c>
      <c r="L342" t="n">
        <v>0</v>
      </c>
      <c r="M342" t="n">
        <v>0</v>
      </c>
      <c r="N342" t="n">
        <v>0</v>
      </c>
      <c r="O342" t="n">
        <v>0</v>
      </c>
      <c r="P342" t="n">
        <v>0</v>
      </c>
      <c r="Q342" t="n">
        <v>0</v>
      </c>
      <c r="R342" s="2" t="inlineStr"/>
    </row>
    <row r="343" ht="15" customHeight="1">
      <c r="A343" t="inlineStr">
        <is>
          <t>A 21972-2025</t>
        </is>
      </c>
      <c r="B343" s="1" t="n">
        <v>45784.63592592593</v>
      </c>
      <c r="C343" s="1" t="n">
        <v>45905</v>
      </c>
      <c r="D343" t="inlineStr">
        <is>
          <t>VÄSTERBOTTENS LÄN</t>
        </is>
      </c>
      <c r="E343" t="inlineStr">
        <is>
          <t>VILHELMINA</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58749-2023</t>
        </is>
      </c>
      <c r="B344" s="1" t="n">
        <v>45251.92947916667</v>
      </c>
      <c r="C344" s="1" t="n">
        <v>45905</v>
      </c>
      <c r="D344" t="inlineStr">
        <is>
          <t>VÄSTERBOTTENS LÄN</t>
        </is>
      </c>
      <c r="E344" t="inlineStr">
        <is>
          <t>VILHELMINA</t>
        </is>
      </c>
      <c r="G344" t="n">
        <v>2.8</v>
      </c>
      <c r="H344" t="n">
        <v>0</v>
      </c>
      <c r="I344" t="n">
        <v>0</v>
      </c>
      <c r="J344" t="n">
        <v>0</v>
      </c>
      <c r="K344" t="n">
        <v>0</v>
      </c>
      <c r="L344" t="n">
        <v>0</v>
      </c>
      <c r="M344" t="n">
        <v>0</v>
      </c>
      <c r="N344" t="n">
        <v>0</v>
      </c>
      <c r="O344" t="n">
        <v>0</v>
      </c>
      <c r="P344" t="n">
        <v>0</v>
      </c>
      <c r="Q344" t="n">
        <v>0</v>
      </c>
      <c r="R344" s="2" t="inlineStr"/>
    </row>
    <row r="345" ht="15" customHeight="1">
      <c r="A345" t="inlineStr">
        <is>
          <t>A 34809-2023</t>
        </is>
      </c>
      <c r="B345" s="1" t="n">
        <v>45140</v>
      </c>
      <c r="C345" s="1" t="n">
        <v>45905</v>
      </c>
      <c r="D345" t="inlineStr">
        <is>
          <t>VÄSTERBOTTENS LÄN</t>
        </is>
      </c>
      <c r="E345" t="inlineStr">
        <is>
          <t>VILHELMINA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22048-2025</t>
        </is>
      </c>
      <c r="B346" s="1" t="n">
        <v>45785.3443287037</v>
      </c>
      <c r="C346" s="1" t="n">
        <v>45905</v>
      </c>
      <c r="D346" t="inlineStr">
        <is>
          <t>VÄSTERBOTTENS LÄN</t>
        </is>
      </c>
      <c r="E346" t="inlineStr">
        <is>
          <t>VILHELMINA</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38361-2023</t>
        </is>
      </c>
      <c r="B347" s="1" t="n">
        <v>45161.94315972222</v>
      </c>
      <c r="C347" s="1" t="n">
        <v>45905</v>
      </c>
      <c r="D347" t="inlineStr">
        <is>
          <t>VÄSTERBOTTENS LÄN</t>
        </is>
      </c>
      <c r="E347" t="inlineStr">
        <is>
          <t>VILHELMINA</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54729-2022</t>
        </is>
      </c>
      <c r="B348" s="1" t="n">
        <v>44881</v>
      </c>
      <c r="C348" s="1" t="n">
        <v>45905</v>
      </c>
      <c r="D348" t="inlineStr">
        <is>
          <t>VÄSTERBOTTENS LÄN</t>
        </is>
      </c>
      <c r="E348" t="inlineStr">
        <is>
          <t>VILHELMINA</t>
        </is>
      </c>
      <c r="G348" t="n">
        <v>19.2</v>
      </c>
      <c r="H348" t="n">
        <v>0</v>
      </c>
      <c r="I348" t="n">
        <v>0</v>
      </c>
      <c r="J348" t="n">
        <v>0</v>
      </c>
      <c r="K348" t="n">
        <v>0</v>
      </c>
      <c r="L348" t="n">
        <v>0</v>
      </c>
      <c r="M348" t="n">
        <v>0</v>
      </c>
      <c r="N348" t="n">
        <v>0</v>
      </c>
      <c r="O348" t="n">
        <v>0</v>
      </c>
      <c r="P348" t="n">
        <v>0</v>
      </c>
      <c r="Q348" t="n">
        <v>0</v>
      </c>
      <c r="R348" s="2" t="inlineStr"/>
    </row>
    <row r="349" ht="15" customHeight="1">
      <c r="A349" t="inlineStr">
        <is>
          <t>A 34807-2023</t>
        </is>
      </c>
      <c r="B349" s="1" t="n">
        <v>45140</v>
      </c>
      <c r="C349" s="1" t="n">
        <v>45905</v>
      </c>
      <c r="D349" t="inlineStr">
        <is>
          <t>VÄSTERBOTTENS LÄN</t>
        </is>
      </c>
      <c r="E349" t="inlineStr">
        <is>
          <t>VILHELMINA</t>
        </is>
      </c>
      <c r="G349" t="n">
        <v>8.1</v>
      </c>
      <c r="H349" t="n">
        <v>0</v>
      </c>
      <c r="I349" t="n">
        <v>0</v>
      </c>
      <c r="J349" t="n">
        <v>0</v>
      </c>
      <c r="K349" t="n">
        <v>0</v>
      </c>
      <c r="L349" t="n">
        <v>0</v>
      </c>
      <c r="M349" t="n">
        <v>0</v>
      </c>
      <c r="N349" t="n">
        <v>0</v>
      </c>
      <c r="O349" t="n">
        <v>0</v>
      </c>
      <c r="P349" t="n">
        <v>0</v>
      </c>
      <c r="Q349" t="n">
        <v>0</v>
      </c>
      <c r="R349" s="2" t="inlineStr"/>
    </row>
    <row r="350" ht="15" customHeight="1">
      <c r="A350" t="inlineStr">
        <is>
          <t>A 64028-2023</t>
        </is>
      </c>
      <c r="B350" s="1" t="n">
        <v>45278.94263888889</v>
      </c>
      <c r="C350" s="1" t="n">
        <v>45905</v>
      </c>
      <c r="D350" t="inlineStr">
        <is>
          <t>VÄSTERBOTTENS LÄN</t>
        </is>
      </c>
      <c r="E350" t="inlineStr">
        <is>
          <t>VILHELMINA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58824-2024</t>
        </is>
      </c>
      <c r="B351" s="1" t="n">
        <v>45636.36488425926</v>
      </c>
      <c r="C351" s="1" t="n">
        <v>45905</v>
      </c>
      <c r="D351" t="inlineStr">
        <is>
          <t>VÄSTERBOTTENS LÄN</t>
        </is>
      </c>
      <c r="E351" t="inlineStr">
        <is>
          <t>VILHELMINA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60377-2024</t>
        </is>
      </c>
      <c r="B352" s="1" t="n">
        <v>45643</v>
      </c>
      <c r="C352" s="1" t="n">
        <v>45905</v>
      </c>
      <c r="D352" t="inlineStr">
        <is>
          <t>VÄSTERBOTTENS LÄN</t>
        </is>
      </c>
      <c r="E352" t="inlineStr">
        <is>
          <t>VILHELMINA</t>
        </is>
      </c>
      <c r="F352" t="inlineStr">
        <is>
          <t>SCA</t>
        </is>
      </c>
      <c r="G352" t="n">
        <v>16.2</v>
      </c>
      <c r="H352" t="n">
        <v>0</v>
      </c>
      <c r="I352" t="n">
        <v>0</v>
      </c>
      <c r="J352" t="n">
        <v>0</v>
      </c>
      <c r="K352" t="n">
        <v>0</v>
      </c>
      <c r="L352" t="n">
        <v>0</v>
      </c>
      <c r="M352" t="n">
        <v>0</v>
      </c>
      <c r="N352" t="n">
        <v>0</v>
      </c>
      <c r="O352" t="n">
        <v>0</v>
      </c>
      <c r="P352" t="n">
        <v>0</v>
      </c>
      <c r="Q352" t="n">
        <v>0</v>
      </c>
      <c r="R352" s="2" t="inlineStr"/>
    </row>
    <row r="353" ht="15" customHeight="1">
      <c r="A353" t="inlineStr">
        <is>
          <t>A 61953-2024</t>
        </is>
      </c>
      <c r="B353" s="1" t="n">
        <v>45653.5150462963</v>
      </c>
      <c r="C353" s="1" t="n">
        <v>45905</v>
      </c>
      <c r="D353" t="inlineStr">
        <is>
          <t>VÄSTERBOTTENS LÄN</t>
        </is>
      </c>
      <c r="E353" t="inlineStr">
        <is>
          <t>VILHELMINA</t>
        </is>
      </c>
      <c r="F353" t="inlineStr">
        <is>
          <t>Kommuner</t>
        </is>
      </c>
      <c r="G353" t="n">
        <v>10.2</v>
      </c>
      <c r="H353" t="n">
        <v>0</v>
      </c>
      <c r="I353" t="n">
        <v>0</v>
      </c>
      <c r="J353" t="n">
        <v>0</v>
      </c>
      <c r="K353" t="n">
        <v>0</v>
      </c>
      <c r="L353" t="n">
        <v>0</v>
      </c>
      <c r="M353" t="n">
        <v>0</v>
      </c>
      <c r="N353" t="n">
        <v>0</v>
      </c>
      <c r="O353" t="n">
        <v>0</v>
      </c>
      <c r="P353" t="n">
        <v>0</v>
      </c>
      <c r="Q353" t="n">
        <v>0</v>
      </c>
      <c r="R353" s="2" t="inlineStr"/>
    </row>
    <row r="354" ht="15" customHeight="1">
      <c r="A354" t="inlineStr">
        <is>
          <t>A 62100-2024</t>
        </is>
      </c>
      <c r="B354" s="1" t="n">
        <v>45656</v>
      </c>
      <c r="C354" s="1" t="n">
        <v>45905</v>
      </c>
      <c r="D354" t="inlineStr">
        <is>
          <t>VÄSTERBOTTENS LÄN</t>
        </is>
      </c>
      <c r="E354" t="inlineStr">
        <is>
          <t>VILHELMINA</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28656-2024</t>
        </is>
      </c>
      <c r="B355" s="1" t="n">
        <v>45478</v>
      </c>
      <c r="C355" s="1" t="n">
        <v>45905</v>
      </c>
      <c r="D355" t="inlineStr">
        <is>
          <t>VÄSTERBOTTENS LÄN</t>
        </is>
      </c>
      <c r="E355" t="inlineStr">
        <is>
          <t>VILHELMINA</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15062-2024</t>
        </is>
      </c>
      <c r="B356" s="1" t="n">
        <v>45399</v>
      </c>
      <c r="C356" s="1" t="n">
        <v>45905</v>
      </c>
      <c r="D356" t="inlineStr">
        <is>
          <t>VÄSTERBOTTENS LÄN</t>
        </is>
      </c>
      <c r="E356" t="inlineStr">
        <is>
          <t>VILHELMINA</t>
        </is>
      </c>
      <c r="G356" t="n">
        <v>1.7</v>
      </c>
      <c r="H356" t="n">
        <v>0</v>
      </c>
      <c r="I356" t="n">
        <v>0</v>
      </c>
      <c r="J356" t="n">
        <v>0</v>
      </c>
      <c r="K356" t="n">
        <v>0</v>
      </c>
      <c r="L356" t="n">
        <v>0</v>
      </c>
      <c r="M356" t="n">
        <v>0</v>
      </c>
      <c r="N356" t="n">
        <v>0</v>
      </c>
      <c r="O356" t="n">
        <v>0</v>
      </c>
      <c r="P356" t="n">
        <v>0</v>
      </c>
      <c r="Q356" t="n">
        <v>0</v>
      </c>
      <c r="R356" s="2" t="inlineStr"/>
    </row>
    <row r="357" ht="15" customHeight="1">
      <c r="A357" t="inlineStr">
        <is>
          <t>A 15066-2024</t>
        </is>
      </c>
      <c r="B357" s="1" t="n">
        <v>45399</v>
      </c>
      <c r="C357" s="1" t="n">
        <v>45905</v>
      </c>
      <c r="D357" t="inlineStr">
        <is>
          <t>VÄSTERBOTTENS LÄN</t>
        </is>
      </c>
      <c r="E357" t="inlineStr">
        <is>
          <t>VILHELMINA</t>
        </is>
      </c>
      <c r="G357" t="n">
        <v>4.6</v>
      </c>
      <c r="H357" t="n">
        <v>0</v>
      </c>
      <c r="I357" t="n">
        <v>0</v>
      </c>
      <c r="J357" t="n">
        <v>0</v>
      </c>
      <c r="K357" t="n">
        <v>0</v>
      </c>
      <c r="L357" t="n">
        <v>0</v>
      </c>
      <c r="M357" t="n">
        <v>0</v>
      </c>
      <c r="N357" t="n">
        <v>0</v>
      </c>
      <c r="O357" t="n">
        <v>0</v>
      </c>
      <c r="P357" t="n">
        <v>0</v>
      </c>
      <c r="Q357" t="n">
        <v>0</v>
      </c>
      <c r="R357" s="2" t="inlineStr"/>
    </row>
    <row r="358" ht="15" customHeight="1">
      <c r="A358" t="inlineStr">
        <is>
          <t>A 47254-2022</t>
        </is>
      </c>
      <c r="B358" s="1" t="n">
        <v>44852.94685185186</v>
      </c>
      <c r="C358" s="1" t="n">
        <v>45905</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8229-2022</t>
        </is>
      </c>
      <c r="B359" s="1" t="n">
        <v>44609</v>
      </c>
      <c r="C359" s="1" t="n">
        <v>45905</v>
      </c>
      <c r="D359" t="inlineStr">
        <is>
          <t>VÄSTERBOTTENS LÄN</t>
        </is>
      </c>
      <c r="E359" t="inlineStr">
        <is>
          <t>VILHELMINA</t>
        </is>
      </c>
      <c r="F359" t="inlineStr">
        <is>
          <t>SCA</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22109-2024</t>
        </is>
      </c>
      <c r="B360" s="1" t="n">
        <v>45443</v>
      </c>
      <c r="C360" s="1" t="n">
        <v>45905</v>
      </c>
      <c r="D360" t="inlineStr">
        <is>
          <t>VÄSTERBOTTENS LÄN</t>
        </is>
      </c>
      <c r="E360" t="inlineStr">
        <is>
          <t>VILHELMINA</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31496-2023</t>
        </is>
      </c>
      <c r="B361" s="1" t="n">
        <v>45114.94138888889</v>
      </c>
      <c r="C361" s="1" t="n">
        <v>45905</v>
      </c>
      <c r="D361" t="inlineStr">
        <is>
          <t>VÄSTERBOTTENS LÄN</t>
        </is>
      </c>
      <c r="E361" t="inlineStr">
        <is>
          <t>VILHELMINA</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38187-2024</t>
        </is>
      </c>
      <c r="B362" s="1" t="n">
        <v>45545.49028935185</v>
      </c>
      <c r="C362" s="1" t="n">
        <v>45905</v>
      </c>
      <c r="D362" t="inlineStr">
        <is>
          <t>VÄSTERBOTTENS LÄN</t>
        </is>
      </c>
      <c r="E362" t="inlineStr">
        <is>
          <t>VILHELMINA</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15786-2025</t>
        </is>
      </c>
      <c r="B363" s="1" t="n">
        <v>45748.62240740741</v>
      </c>
      <c r="C363" s="1" t="n">
        <v>45905</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45593-2024</t>
        </is>
      </c>
      <c r="B364" s="1" t="n">
        <v>45579</v>
      </c>
      <c r="C364" s="1" t="n">
        <v>45905</v>
      </c>
      <c r="D364" t="inlineStr">
        <is>
          <t>VÄSTERBOTTENS LÄN</t>
        </is>
      </c>
      <c r="E364" t="inlineStr">
        <is>
          <t>VILHELMINA</t>
        </is>
      </c>
      <c r="G364" t="n">
        <v>0.9</v>
      </c>
      <c r="H364" t="n">
        <v>0</v>
      </c>
      <c r="I364" t="n">
        <v>0</v>
      </c>
      <c r="J364" t="n">
        <v>0</v>
      </c>
      <c r="K364" t="n">
        <v>0</v>
      </c>
      <c r="L364" t="n">
        <v>0</v>
      </c>
      <c r="M364" t="n">
        <v>0</v>
      </c>
      <c r="N364" t="n">
        <v>0</v>
      </c>
      <c r="O364" t="n">
        <v>0</v>
      </c>
      <c r="P364" t="n">
        <v>0</v>
      </c>
      <c r="Q364" t="n">
        <v>0</v>
      </c>
      <c r="R364" s="2" t="inlineStr"/>
    </row>
    <row r="365" ht="15" customHeight="1">
      <c r="A365" t="inlineStr">
        <is>
          <t>A 49221-2024</t>
        </is>
      </c>
      <c r="B365" s="1" t="n">
        <v>45595.41166666667</v>
      </c>
      <c r="C365" s="1" t="n">
        <v>45905</v>
      </c>
      <c r="D365" t="inlineStr">
        <is>
          <t>VÄSTERBOTTENS LÄN</t>
        </is>
      </c>
      <c r="E365" t="inlineStr">
        <is>
          <t>VILHELMINA</t>
        </is>
      </c>
      <c r="G365" t="n">
        <v>11.4</v>
      </c>
      <c r="H365" t="n">
        <v>0</v>
      </c>
      <c r="I365" t="n">
        <v>0</v>
      </c>
      <c r="J365" t="n">
        <v>0</v>
      </c>
      <c r="K365" t="n">
        <v>0</v>
      </c>
      <c r="L365" t="n">
        <v>0</v>
      </c>
      <c r="M365" t="n">
        <v>0</v>
      </c>
      <c r="N365" t="n">
        <v>0</v>
      </c>
      <c r="O365" t="n">
        <v>0</v>
      </c>
      <c r="P365" t="n">
        <v>0</v>
      </c>
      <c r="Q365" t="n">
        <v>0</v>
      </c>
      <c r="R365" s="2" t="inlineStr"/>
    </row>
    <row r="366" ht="15" customHeight="1">
      <c r="A366" t="inlineStr">
        <is>
          <t>A 49246-2024</t>
        </is>
      </c>
      <c r="B366" s="1" t="n">
        <v>45595.4618287037</v>
      </c>
      <c r="C366" s="1" t="n">
        <v>45905</v>
      </c>
      <c r="D366" t="inlineStr">
        <is>
          <t>VÄSTERBOTTENS LÄN</t>
        </is>
      </c>
      <c r="E366" t="inlineStr">
        <is>
          <t>VILHELMINA</t>
        </is>
      </c>
      <c r="G366" t="n">
        <v>0.9</v>
      </c>
      <c r="H366" t="n">
        <v>0</v>
      </c>
      <c r="I366" t="n">
        <v>0</v>
      </c>
      <c r="J366" t="n">
        <v>0</v>
      </c>
      <c r="K366" t="n">
        <v>0</v>
      </c>
      <c r="L366" t="n">
        <v>0</v>
      </c>
      <c r="M366" t="n">
        <v>0</v>
      </c>
      <c r="N366" t="n">
        <v>0</v>
      </c>
      <c r="O366" t="n">
        <v>0</v>
      </c>
      <c r="P366" t="n">
        <v>0</v>
      </c>
      <c r="Q366" t="n">
        <v>0</v>
      </c>
      <c r="R366" s="2" t="inlineStr"/>
    </row>
    <row r="367" ht="15" customHeight="1">
      <c r="A367" t="inlineStr">
        <is>
          <t>A 706-2024</t>
        </is>
      </c>
      <c r="B367" s="1" t="n">
        <v>45300</v>
      </c>
      <c r="C367" s="1" t="n">
        <v>45905</v>
      </c>
      <c r="D367" t="inlineStr">
        <is>
          <t>VÄSTERBOTTENS LÄN</t>
        </is>
      </c>
      <c r="E367" t="inlineStr">
        <is>
          <t>VILHELMINA</t>
        </is>
      </c>
      <c r="G367" t="n">
        <v>2.8</v>
      </c>
      <c r="H367" t="n">
        <v>0</v>
      </c>
      <c r="I367" t="n">
        <v>0</v>
      </c>
      <c r="J367" t="n">
        <v>0</v>
      </c>
      <c r="K367" t="n">
        <v>0</v>
      </c>
      <c r="L367" t="n">
        <v>0</v>
      </c>
      <c r="M367" t="n">
        <v>0</v>
      </c>
      <c r="N367" t="n">
        <v>0</v>
      </c>
      <c r="O367" t="n">
        <v>0</v>
      </c>
      <c r="P367" t="n">
        <v>0</v>
      </c>
      <c r="Q367" t="n">
        <v>0</v>
      </c>
      <c r="R367" s="2" t="inlineStr"/>
    </row>
    <row r="368" ht="15" customHeight="1">
      <c r="A368" t="inlineStr">
        <is>
          <t>A 56754-2023</t>
        </is>
      </c>
      <c r="B368" s="1" t="n">
        <v>45238</v>
      </c>
      <c r="C368" s="1" t="n">
        <v>45905</v>
      </c>
      <c r="D368" t="inlineStr">
        <is>
          <t>VÄSTERBOTTENS LÄN</t>
        </is>
      </c>
      <c r="E368" t="inlineStr">
        <is>
          <t>VILHELMINA</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40505-2024</t>
        </is>
      </c>
      <c r="B369" s="1" t="n">
        <v>45555.57373842593</v>
      </c>
      <c r="C369" s="1" t="n">
        <v>45905</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58505-2024</t>
        </is>
      </c>
      <c r="B370" s="1" t="n">
        <v>45635</v>
      </c>
      <c r="C370" s="1" t="n">
        <v>45905</v>
      </c>
      <c r="D370" t="inlineStr">
        <is>
          <t>VÄSTERBOTTENS LÄN</t>
        </is>
      </c>
      <c r="E370" t="inlineStr">
        <is>
          <t>VILHELMINA</t>
        </is>
      </c>
      <c r="G370" t="n">
        <v>2.9</v>
      </c>
      <c r="H370" t="n">
        <v>0</v>
      </c>
      <c r="I370" t="n">
        <v>0</v>
      </c>
      <c r="J370" t="n">
        <v>0</v>
      </c>
      <c r="K370" t="n">
        <v>0</v>
      </c>
      <c r="L370" t="n">
        <v>0</v>
      </c>
      <c r="M370" t="n">
        <v>0</v>
      </c>
      <c r="N370" t="n">
        <v>0</v>
      </c>
      <c r="O370" t="n">
        <v>0</v>
      </c>
      <c r="P370" t="n">
        <v>0</v>
      </c>
      <c r="Q370" t="n">
        <v>0</v>
      </c>
      <c r="R370" s="2" t="inlineStr"/>
    </row>
    <row r="371" ht="15" customHeight="1">
      <c r="A371" t="inlineStr">
        <is>
          <t>A 39677-2024</t>
        </is>
      </c>
      <c r="B371" s="1" t="n">
        <v>45552</v>
      </c>
      <c r="C371" s="1" t="n">
        <v>45905</v>
      </c>
      <c r="D371" t="inlineStr">
        <is>
          <t>VÄSTERBOTTENS LÄN</t>
        </is>
      </c>
      <c r="E371" t="inlineStr">
        <is>
          <t>VILHELMINA</t>
        </is>
      </c>
      <c r="F371" t="inlineStr">
        <is>
          <t>SCA</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32683-2024</t>
        </is>
      </c>
      <c r="B372" s="1" t="n">
        <v>45515</v>
      </c>
      <c r="C372" s="1" t="n">
        <v>45905</v>
      </c>
      <c r="D372" t="inlineStr">
        <is>
          <t>VÄSTERBOTTENS LÄN</t>
        </is>
      </c>
      <c r="E372" t="inlineStr">
        <is>
          <t>VILHELMINA</t>
        </is>
      </c>
      <c r="G372" t="n">
        <v>6.1</v>
      </c>
      <c r="H372" t="n">
        <v>0</v>
      </c>
      <c r="I372" t="n">
        <v>0</v>
      </c>
      <c r="J372" t="n">
        <v>0</v>
      </c>
      <c r="K372" t="n">
        <v>0</v>
      </c>
      <c r="L372" t="n">
        <v>0</v>
      </c>
      <c r="M372" t="n">
        <v>0</v>
      </c>
      <c r="N372" t="n">
        <v>0</v>
      </c>
      <c r="O372" t="n">
        <v>0</v>
      </c>
      <c r="P372" t="n">
        <v>0</v>
      </c>
      <c r="Q372" t="n">
        <v>0</v>
      </c>
      <c r="R372" s="2" t="inlineStr"/>
    </row>
    <row r="373" ht="15" customHeight="1">
      <c r="A373" t="inlineStr">
        <is>
          <t>A 55720-2023</t>
        </is>
      </c>
      <c r="B373" s="1" t="n">
        <v>45232</v>
      </c>
      <c r="C373" s="1" t="n">
        <v>45905</v>
      </c>
      <c r="D373" t="inlineStr">
        <is>
          <t>VÄSTERBOTTENS LÄN</t>
        </is>
      </c>
      <c r="E373" t="inlineStr">
        <is>
          <t>VILHELMINA</t>
        </is>
      </c>
      <c r="G373" t="n">
        <v>0.8</v>
      </c>
      <c r="H373" t="n">
        <v>0</v>
      </c>
      <c r="I373" t="n">
        <v>0</v>
      </c>
      <c r="J373" t="n">
        <v>0</v>
      </c>
      <c r="K373" t="n">
        <v>0</v>
      </c>
      <c r="L373" t="n">
        <v>0</v>
      </c>
      <c r="M373" t="n">
        <v>0</v>
      </c>
      <c r="N373" t="n">
        <v>0</v>
      </c>
      <c r="O373" t="n">
        <v>0</v>
      </c>
      <c r="P373" t="n">
        <v>0</v>
      </c>
      <c r="Q373" t="n">
        <v>0</v>
      </c>
      <c r="R373" s="2" t="inlineStr"/>
    </row>
    <row r="374" ht="15" customHeight="1">
      <c r="A374" t="inlineStr">
        <is>
          <t>A 65133-2021</t>
        </is>
      </c>
      <c r="B374" s="1" t="n">
        <v>44515</v>
      </c>
      <c r="C374" s="1" t="n">
        <v>45905</v>
      </c>
      <c r="D374" t="inlineStr">
        <is>
          <t>VÄSTERBOTTENS LÄN</t>
        </is>
      </c>
      <c r="E374" t="inlineStr">
        <is>
          <t>VILHELMINA</t>
        </is>
      </c>
      <c r="G374" t="n">
        <v>16.4</v>
      </c>
      <c r="H374" t="n">
        <v>0</v>
      </c>
      <c r="I374" t="n">
        <v>0</v>
      </c>
      <c r="J374" t="n">
        <v>0</v>
      </c>
      <c r="K374" t="n">
        <v>0</v>
      </c>
      <c r="L374" t="n">
        <v>0</v>
      </c>
      <c r="M374" t="n">
        <v>0</v>
      </c>
      <c r="N374" t="n">
        <v>0</v>
      </c>
      <c r="O374" t="n">
        <v>0</v>
      </c>
      <c r="P374" t="n">
        <v>0</v>
      </c>
      <c r="Q374" t="n">
        <v>0</v>
      </c>
      <c r="R374" s="2" t="inlineStr"/>
    </row>
    <row r="375" ht="15" customHeight="1">
      <c r="A375" t="inlineStr">
        <is>
          <t>A 13030-2025</t>
        </is>
      </c>
      <c r="B375" s="1" t="n">
        <v>45734</v>
      </c>
      <c r="C375" s="1" t="n">
        <v>45905</v>
      </c>
      <c r="D375" t="inlineStr">
        <is>
          <t>VÄSTERBOTTENS LÄN</t>
        </is>
      </c>
      <c r="E375" t="inlineStr">
        <is>
          <t>VILHELMINA</t>
        </is>
      </c>
      <c r="G375" t="n">
        <v>13.9</v>
      </c>
      <c r="H375" t="n">
        <v>0</v>
      </c>
      <c r="I375" t="n">
        <v>0</v>
      </c>
      <c r="J375" t="n">
        <v>0</v>
      </c>
      <c r="K375" t="n">
        <v>0</v>
      </c>
      <c r="L375" t="n">
        <v>0</v>
      </c>
      <c r="M375" t="n">
        <v>0</v>
      </c>
      <c r="N375" t="n">
        <v>0</v>
      </c>
      <c r="O375" t="n">
        <v>0</v>
      </c>
      <c r="P375" t="n">
        <v>0</v>
      </c>
      <c r="Q375" t="n">
        <v>0</v>
      </c>
      <c r="R375" s="2" t="inlineStr"/>
    </row>
    <row r="376" ht="15" customHeight="1">
      <c r="A376" t="inlineStr">
        <is>
          <t>A 38364-2023</t>
        </is>
      </c>
      <c r="B376" s="1" t="n">
        <v>45161</v>
      </c>
      <c r="C376" s="1" t="n">
        <v>45905</v>
      </c>
      <c r="D376" t="inlineStr">
        <is>
          <t>VÄSTERBOTTENS LÄN</t>
        </is>
      </c>
      <c r="E376" t="inlineStr">
        <is>
          <t>VILHELMINA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38363-2023</t>
        </is>
      </c>
      <c r="B377" s="1" t="n">
        <v>45161</v>
      </c>
      <c r="C377" s="1" t="n">
        <v>45905</v>
      </c>
      <c r="D377" t="inlineStr">
        <is>
          <t>VÄSTERBOTTENS LÄN</t>
        </is>
      </c>
      <c r="E377" t="inlineStr">
        <is>
          <t>VILHELMINA</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22108-2024</t>
        </is>
      </c>
      <c r="B378" s="1" t="n">
        <v>45443</v>
      </c>
      <c r="C378" s="1" t="n">
        <v>45905</v>
      </c>
      <c r="D378" t="inlineStr">
        <is>
          <t>VÄSTERBOTTENS LÄN</t>
        </is>
      </c>
      <c r="E378" t="inlineStr">
        <is>
          <t>VILHELMINA</t>
        </is>
      </c>
      <c r="F378" t="inlineStr">
        <is>
          <t>SCA</t>
        </is>
      </c>
      <c r="G378" t="n">
        <v>4.9</v>
      </c>
      <c r="H378" t="n">
        <v>0</v>
      </c>
      <c r="I378" t="n">
        <v>0</v>
      </c>
      <c r="J378" t="n">
        <v>0</v>
      </c>
      <c r="K378" t="n">
        <v>0</v>
      </c>
      <c r="L378" t="n">
        <v>0</v>
      </c>
      <c r="M378" t="n">
        <v>0</v>
      </c>
      <c r="N378" t="n">
        <v>0</v>
      </c>
      <c r="O378" t="n">
        <v>0</v>
      </c>
      <c r="P378" t="n">
        <v>0</v>
      </c>
      <c r="Q378" t="n">
        <v>0</v>
      </c>
      <c r="R378" s="2" t="inlineStr"/>
    </row>
    <row r="379" ht="15" customHeight="1">
      <c r="A379" t="inlineStr">
        <is>
          <t>A 32925-2024</t>
        </is>
      </c>
      <c r="B379" s="1" t="n">
        <v>45516.95302083333</v>
      </c>
      <c r="C379" s="1" t="n">
        <v>45905</v>
      </c>
      <c r="D379" t="inlineStr">
        <is>
          <t>VÄSTERBOTTENS LÄN</t>
        </is>
      </c>
      <c r="E379" t="inlineStr">
        <is>
          <t>VILHELMINA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32926-2024</t>
        </is>
      </c>
      <c r="B380" s="1" t="n">
        <v>45516.95311342592</v>
      </c>
      <c r="C380" s="1" t="n">
        <v>45905</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22617-2025</t>
        </is>
      </c>
      <c r="B381" s="1" t="n">
        <v>45789</v>
      </c>
      <c r="C381" s="1" t="n">
        <v>45905</v>
      </c>
      <c r="D381" t="inlineStr">
        <is>
          <t>VÄSTERBOTTENS LÄN</t>
        </is>
      </c>
      <c r="E381" t="inlineStr">
        <is>
          <t>VILHELMINA</t>
        </is>
      </c>
      <c r="F381" t="inlineStr">
        <is>
          <t>SCA</t>
        </is>
      </c>
      <c r="G381" t="n">
        <v>7.3</v>
      </c>
      <c r="H381" t="n">
        <v>0</v>
      </c>
      <c r="I381" t="n">
        <v>0</v>
      </c>
      <c r="J381" t="n">
        <v>0</v>
      </c>
      <c r="K381" t="n">
        <v>0</v>
      </c>
      <c r="L381" t="n">
        <v>0</v>
      </c>
      <c r="M381" t="n">
        <v>0</v>
      </c>
      <c r="N381" t="n">
        <v>0</v>
      </c>
      <c r="O381" t="n">
        <v>0</v>
      </c>
      <c r="P381" t="n">
        <v>0</v>
      </c>
      <c r="Q381" t="n">
        <v>0</v>
      </c>
      <c r="R381" s="2" t="inlineStr"/>
    </row>
    <row r="382" ht="15" customHeight="1">
      <c r="A382" t="inlineStr">
        <is>
          <t>A 44505-2024</t>
        </is>
      </c>
      <c r="B382" s="1" t="n">
        <v>45574.40974537037</v>
      </c>
      <c r="C382" s="1" t="n">
        <v>45905</v>
      </c>
      <c r="D382" t="inlineStr">
        <is>
          <t>VÄSTERBOTTENS LÄN</t>
        </is>
      </c>
      <c r="E382" t="inlineStr">
        <is>
          <t>VILHELMINA</t>
        </is>
      </c>
      <c r="G382" t="n">
        <v>15.5</v>
      </c>
      <c r="H382" t="n">
        <v>0</v>
      </c>
      <c r="I382" t="n">
        <v>0</v>
      </c>
      <c r="J382" t="n">
        <v>0</v>
      </c>
      <c r="K382" t="n">
        <v>0</v>
      </c>
      <c r="L382" t="n">
        <v>0</v>
      </c>
      <c r="M382" t="n">
        <v>0</v>
      </c>
      <c r="N382" t="n">
        <v>0</v>
      </c>
      <c r="O382" t="n">
        <v>0</v>
      </c>
      <c r="P382" t="n">
        <v>0</v>
      </c>
      <c r="Q382" t="n">
        <v>0</v>
      </c>
      <c r="R382" s="2" t="inlineStr"/>
    </row>
    <row r="383" ht="15" customHeight="1">
      <c r="A383" t="inlineStr">
        <is>
          <t>A 55714-2023</t>
        </is>
      </c>
      <c r="B383" s="1" t="n">
        <v>45232</v>
      </c>
      <c r="C383" s="1" t="n">
        <v>45905</v>
      </c>
      <c r="D383" t="inlineStr">
        <is>
          <t>VÄSTERBOTTENS LÄN</t>
        </is>
      </c>
      <c r="E383" t="inlineStr">
        <is>
          <t>VILHELMINA</t>
        </is>
      </c>
      <c r="G383" t="n">
        <v>1.8</v>
      </c>
      <c r="H383" t="n">
        <v>0</v>
      </c>
      <c r="I383" t="n">
        <v>0</v>
      </c>
      <c r="J383" t="n">
        <v>0</v>
      </c>
      <c r="K383" t="n">
        <v>0</v>
      </c>
      <c r="L383" t="n">
        <v>0</v>
      </c>
      <c r="M383" t="n">
        <v>0</v>
      </c>
      <c r="N383" t="n">
        <v>0</v>
      </c>
      <c r="O383" t="n">
        <v>0</v>
      </c>
      <c r="P383" t="n">
        <v>0</v>
      </c>
      <c r="Q383" t="n">
        <v>0</v>
      </c>
      <c r="R383" s="2" t="inlineStr"/>
    </row>
    <row r="384" ht="15" customHeight="1">
      <c r="A384" t="inlineStr">
        <is>
          <t>A 45673-2023</t>
        </is>
      </c>
      <c r="B384" s="1" t="n">
        <v>45194</v>
      </c>
      <c r="C384" s="1" t="n">
        <v>45905</v>
      </c>
      <c r="D384" t="inlineStr">
        <is>
          <t>VÄSTERBOTTENS LÄN</t>
        </is>
      </c>
      <c r="E384" t="inlineStr">
        <is>
          <t>VILHELMINA</t>
        </is>
      </c>
      <c r="G384" t="n">
        <v>13.4</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45905</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8726-2023</t>
        </is>
      </c>
      <c r="B386" s="1" t="n">
        <v>44972</v>
      </c>
      <c r="C386" s="1" t="n">
        <v>45905</v>
      </c>
      <c r="D386" t="inlineStr">
        <is>
          <t>VÄSTERBOTTENS LÄN</t>
        </is>
      </c>
      <c r="E386" t="inlineStr">
        <is>
          <t>VILHELMINA</t>
        </is>
      </c>
      <c r="F386" t="inlineStr">
        <is>
          <t>Allmännings- och besparingsskogar</t>
        </is>
      </c>
      <c r="G386" t="n">
        <v>50</v>
      </c>
      <c r="H386" t="n">
        <v>0</v>
      </c>
      <c r="I386" t="n">
        <v>0</v>
      </c>
      <c r="J386" t="n">
        <v>0</v>
      </c>
      <c r="K386" t="n">
        <v>0</v>
      </c>
      <c r="L386" t="n">
        <v>0</v>
      </c>
      <c r="M386" t="n">
        <v>0</v>
      </c>
      <c r="N386" t="n">
        <v>0</v>
      </c>
      <c r="O386" t="n">
        <v>0</v>
      </c>
      <c r="P386" t="n">
        <v>0</v>
      </c>
      <c r="Q386" t="n">
        <v>0</v>
      </c>
      <c r="R386" s="2" t="inlineStr"/>
    </row>
    <row r="387" ht="15" customHeight="1">
      <c r="A387" t="inlineStr">
        <is>
          <t>A 29463-2024</t>
        </is>
      </c>
      <c r="B387" s="1" t="n">
        <v>45483.96994212963</v>
      </c>
      <c r="C387" s="1" t="n">
        <v>45905</v>
      </c>
      <c r="D387" t="inlineStr">
        <is>
          <t>VÄSTERBOTTENS LÄN</t>
        </is>
      </c>
      <c r="E387" t="inlineStr">
        <is>
          <t>VILHELMINA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36348-2024</t>
        </is>
      </c>
      <c r="B388" s="1" t="n">
        <v>45534.64422453703</v>
      </c>
      <c r="C388" s="1" t="n">
        <v>45905</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36355-2024</t>
        </is>
      </c>
      <c r="B389" s="1" t="n">
        <v>45534.64508101852</v>
      </c>
      <c r="C389" s="1" t="n">
        <v>45905</v>
      </c>
      <c r="D389" t="inlineStr">
        <is>
          <t>VÄSTERBOTTENS LÄN</t>
        </is>
      </c>
      <c r="E389" t="inlineStr">
        <is>
          <t>VILHELMINA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8578-2025</t>
        </is>
      </c>
      <c r="B390" s="1" t="n">
        <v>45709</v>
      </c>
      <c r="C390" s="1" t="n">
        <v>45905</v>
      </c>
      <c r="D390" t="inlineStr">
        <is>
          <t>VÄSTERBOTTENS LÄN</t>
        </is>
      </c>
      <c r="E390" t="inlineStr">
        <is>
          <t>VILHELMINA</t>
        </is>
      </c>
      <c r="G390" t="n">
        <v>3.5</v>
      </c>
      <c r="H390" t="n">
        <v>0</v>
      </c>
      <c r="I390" t="n">
        <v>0</v>
      </c>
      <c r="J390" t="n">
        <v>0</v>
      </c>
      <c r="K390" t="n">
        <v>0</v>
      </c>
      <c r="L390" t="n">
        <v>0</v>
      </c>
      <c r="M390" t="n">
        <v>0</v>
      </c>
      <c r="N390" t="n">
        <v>0</v>
      </c>
      <c r="O390" t="n">
        <v>0</v>
      </c>
      <c r="P390" t="n">
        <v>0</v>
      </c>
      <c r="Q390" t="n">
        <v>0</v>
      </c>
      <c r="R390" s="2" t="inlineStr"/>
    </row>
    <row r="391" ht="15" customHeight="1">
      <c r="A391" t="inlineStr">
        <is>
          <t>A 47440-2024</t>
        </is>
      </c>
      <c r="B391" s="1" t="n">
        <v>45587</v>
      </c>
      <c r="C391" s="1" t="n">
        <v>45905</v>
      </c>
      <c r="D391" t="inlineStr">
        <is>
          <t>VÄSTERBOTTENS LÄN</t>
        </is>
      </c>
      <c r="E391" t="inlineStr">
        <is>
          <t>VILHELMINA</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48088-2024</t>
        </is>
      </c>
      <c r="B392" s="1" t="n">
        <v>45589</v>
      </c>
      <c r="C392" s="1" t="n">
        <v>45905</v>
      </c>
      <c r="D392" t="inlineStr">
        <is>
          <t>VÄSTERBOTTENS LÄN</t>
        </is>
      </c>
      <c r="E392" t="inlineStr">
        <is>
          <t>VILHELMINA</t>
        </is>
      </c>
      <c r="F392" t="inlineStr">
        <is>
          <t>SCA</t>
        </is>
      </c>
      <c r="G392" t="n">
        <v>6.9</v>
      </c>
      <c r="H392" t="n">
        <v>0</v>
      </c>
      <c r="I392" t="n">
        <v>0</v>
      </c>
      <c r="J392" t="n">
        <v>0</v>
      </c>
      <c r="K392" t="n">
        <v>0</v>
      </c>
      <c r="L392" t="n">
        <v>0</v>
      </c>
      <c r="M392" t="n">
        <v>0</v>
      </c>
      <c r="N392" t="n">
        <v>0</v>
      </c>
      <c r="O392" t="n">
        <v>0</v>
      </c>
      <c r="P392" t="n">
        <v>0</v>
      </c>
      <c r="Q392" t="n">
        <v>0</v>
      </c>
      <c r="R392" s="2" t="inlineStr"/>
    </row>
    <row r="393" ht="15" customHeight="1">
      <c r="A393" t="inlineStr">
        <is>
          <t>A 60090-2020</t>
        </is>
      </c>
      <c r="B393" s="1" t="n">
        <v>44151</v>
      </c>
      <c r="C393" s="1" t="n">
        <v>45905</v>
      </c>
      <c r="D393" t="inlineStr">
        <is>
          <t>VÄSTERBOTTENS LÄN</t>
        </is>
      </c>
      <c r="E393" t="inlineStr">
        <is>
          <t>VILHELMINA</t>
        </is>
      </c>
      <c r="G393" t="n">
        <v>9</v>
      </c>
      <c r="H393" t="n">
        <v>0</v>
      </c>
      <c r="I393" t="n">
        <v>0</v>
      </c>
      <c r="J393" t="n">
        <v>0</v>
      </c>
      <c r="K393" t="n">
        <v>0</v>
      </c>
      <c r="L393" t="n">
        <v>0</v>
      </c>
      <c r="M393" t="n">
        <v>0</v>
      </c>
      <c r="N393" t="n">
        <v>0</v>
      </c>
      <c r="O393" t="n">
        <v>0</v>
      </c>
      <c r="P393" t="n">
        <v>0</v>
      </c>
      <c r="Q393" t="n">
        <v>0</v>
      </c>
      <c r="R393" s="2" t="inlineStr"/>
    </row>
    <row r="394" ht="15" customHeight="1">
      <c r="A394" t="inlineStr">
        <is>
          <t>A 46392-2024</t>
        </is>
      </c>
      <c r="B394" s="1" t="n">
        <v>45582</v>
      </c>
      <c r="C394" s="1" t="n">
        <v>45905</v>
      </c>
      <c r="D394" t="inlineStr">
        <is>
          <t>VÄSTERBOTTENS LÄN</t>
        </is>
      </c>
      <c r="E394" t="inlineStr">
        <is>
          <t>VILHELMINA</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39035-2024</t>
        </is>
      </c>
      <c r="B395" s="1" t="n">
        <v>45548.46918981482</v>
      </c>
      <c r="C395" s="1" t="n">
        <v>45905</v>
      </c>
      <c r="D395" t="inlineStr">
        <is>
          <t>VÄSTERBOTTENS LÄN</t>
        </is>
      </c>
      <c r="E395" t="inlineStr">
        <is>
          <t>VILHELMINA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47548-2024</t>
        </is>
      </c>
      <c r="B396" s="1" t="n">
        <v>45587</v>
      </c>
      <c r="C396" s="1" t="n">
        <v>45905</v>
      </c>
      <c r="D396" t="inlineStr">
        <is>
          <t>VÄSTERBOTTENS LÄN</t>
        </is>
      </c>
      <c r="E396" t="inlineStr">
        <is>
          <t>VILHELMINA</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23459-2025</t>
        </is>
      </c>
      <c r="B397" s="1" t="n">
        <v>45792</v>
      </c>
      <c r="C397" s="1" t="n">
        <v>45905</v>
      </c>
      <c r="D397" t="inlineStr">
        <is>
          <t>VÄSTERBOTTENS LÄN</t>
        </is>
      </c>
      <c r="E397" t="inlineStr">
        <is>
          <t>VILHELMINA</t>
        </is>
      </c>
      <c r="F397" t="inlineStr">
        <is>
          <t>SCA</t>
        </is>
      </c>
      <c r="G397" t="n">
        <v>7.4</v>
      </c>
      <c r="H397" t="n">
        <v>0</v>
      </c>
      <c r="I397" t="n">
        <v>0</v>
      </c>
      <c r="J397" t="n">
        <v>0</v>
      </c>
      <c r="K397" t="n">
        <v>0</v>
      </c>
      <c r="L397" t="n">
        <v>0</v>
      </c>
      <c r="M397" t="n">
        <v>0</v>
      </c>
      <c r="N397" t="n">
        <v>0</v>
      </c>
      <c r="O397" t="n">
        <v>0</v>
      </c>
      <c r="P397" t="n">
        <v>0</v>
      </c>
      <c r="Q397" t="n">
        <v>0</v>
      </c>
      <c r="R397" s="2" t="inlineStr"/>
    </row>
    <row r="398" ht="15" customHeight="1">
      <c r="A398" t="inlineStr">
        <is>
          <t>A 23461-2025</t>
        </is>
      </c>
      <c r="B398" s="1" t="n">
        <v>45792</v>
      </c>
      <c r="C398" s="1" t="n">
        <v>45905</v>
      </c>
      <c r="D398" t="inlineStr">
        <is>
          <t>VÄSTERBOTTENS LÄN</t>
        </is>
      </c>
      <c r="E398" t="inlineStr">
        <is>
          <t>VILHELMINA</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23281-2025</t>
        </is>
      </c>
      <c r="B399" s="1" t="n">
        <v>45791.57324074074</v>
      </c>
      <c r="C399" s="1" t="n">
        <v>45905</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32253-2024</t>
        </is>
      </c>
      <c r="B400" s="1" t="n">
        <v>45511.95214120371</v>
      </c>
      <c r="C400" s="1" t="n">
        <v>45905</v>
      </c>
      <c r="D400" t="inlineStr">
        <is>
          <t>VÄSTERBOTTENS LÄN</t>
        </is>
      </c>
      <c r="E400" t="inlineStr">
        <is>
          <t>VILHELMINA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47242-2024</t>
        </is>
      </c>
      <c r="B401" s="1" t="n">
        <v>45586</v>
      </c>
      <c r="C401" s="1" t="n">
        <v>45905</v>
      </c>
      <c r="D401" t="inlineStr">
        <is>
          <t>VÄSTERBOTTENS LÄN</t>
        </is>
      </c>
      <c r="E401" t="inlineStr">
        <is>
          <t>VILHELMINA</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57795-2023</t>
        </is>
      </c>
      <c r="B402" s="1" t="n">
        <v>45246.96861111111</v>
      </c>
      <c r="C402" s="1" t="n">
        <v>45905</v>
      </c>
      <c r="D402" t="inlineStr">
        <is>
          <t>VÄSTERBOTTENS LÄN</t>
        </is>
      </c>
      <c r="E402" t="inlineStr">
        <is>
          <t>VILHELMINA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23415-2025</t>
        </is>
      </c>
      <c r="B403" s="1" t="n">
        <v>45792.34643518519</v>
      </c>
      <c r="C403" s="1" t="n">
        <v>45905</v>
      </c>
      <c r="D403" t="inlineStr">
        <is>
          <t>VÄSTERBOTTENS LÄN</t>
        </is>
      </c>
      <c r="E403" t="inlineStr">
        <is>
          <t>VILHELMINA</t>
        </is>
      </c>
      <c r="F403" t="inlineStr">
        <is>
          <t>SCA</t>
        </is>
      </c>
      <c r="G403" t="n">
        <v>36.9</v>
      </c>
      <c r="H403" t="n">
        <v>0</v>
      </c>
      <c r="I403" t="n">
        <v>0</v>
      </c>
      <c r="J403" t="n">
        <v>0</v>
      </c>
      <c r="K403" t="n">
        <v>0</v>
      </c>
      <c r="L403" t="n">
        <v>0</v>
      </c>
      <c r="M403" t="n">
        <v>0</v>
      </c>
      <c r="N403" t="n">
        <v>0</v>
      </c>
      <c r="O403" t="n">
        <v>0</v>
      </c>
      <c r="P403" t="n">
        <v>0</v>
      </c>
      <c r="Q403" t="n">
        <v>0</v>
      </c>
      <c r="R403" s="2" t="inlineStr"/>
    </row>
    <row r="404" ht="15" customHeight="1">
      <c r="A404" t="inlineStr">
        <is>
          <t>A 48062-2024</t>
        </is>
      </c>
      <c r="B404" s="1" t="n">
        <v>45589</v>
      </c>
      <c r="C404" s="1" t="n">
        <v>45905</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52174-2020</t>
        </is>
      </c>
      <c r="B405" s="1" t="n">
        <v>44105</v>
      </c>
      <c r="C405" s="1" t="n">
        <v>45905</v>
      </c>
      <c r="D405" t="inlineStr">
        <is>
          <t>VÄSTERBOTTENS LÄN</t>
        </is>
      </c>
      <c r="E405" t="inlineStr">
        <is>
          <t>VILHELMINA</t>
        </is>
      </c>
      <c r="G405" t="n">
        <v>3</v>
      </c>
      <c r="H405" t="n">
        <v>0</v>
      </c>
      <c r="I405" t="n">
        <v>0</v>
      </c>
      <c r="J405" t="n">
        <v>0</v>
      </c>
      <c r="K405" t="n">
        <v>0</v>
      </c>
      <c r="L405" t="n">
        <v>0</v>
      </c>
      <c r="M405" t="n">
        <v>0</v>
      </c>
      <c r="N405" t="n">
        <v>0</v>
      </c>
      <c r="O405" t="n">
        <v>0</v>
      </c>
      <c r="P405" t="n">
        <v>0</v>
      </c>
      <c r="Q405" t="n">
        <v>0</v>
      </c>
      <c r="R405" s="2" t="inlineStr"/>
    </row>
    <row r="406" ht="15" customHeight="1">
      <c r="A406" t="inlineStr">
        <is>
          <t>A 23406-2025</t>
        </is>
      </c>
      <c r="B406" s="1" t="n">
        <v>45792.34540509259</v>
      </c>
      <c r="C406" s="1" t="n">
        <v>45905</v>
      </c>
      <c r="D406" t="inlineStr">
        <is>
          <t>VÄSTERBOTTENS LÄN</t>
        </is>
      </c>
      <c r="E406" t="inlineStr">
        <is>
          <t>VILHELMINA</t>
        </is>
      </c>
      <c r="F406" t="inlineStr">
        <is>
          <t>SCA</t>
        </is>
      </c>
      <c r="G406" t="n">
        <v>15.4</v>
      </c>
      <c r="H406" t="n">
        <v>0</v>
      </c>
      <c r="I406" t="n">
        <v>0</v>
      </c>
      <c r="J406" t="n">
        <v>0</v>
      </c>
      <c r="K406" t="n">
        <v>0</v>
      </c>
      <c r="L406" t="n">
        <v>0</v>
      </c>
      <c r="M406" t="n">
        <v>0</v>
      </c>
      <c r="N406" t="n">
        <v>0</v>
      </c>
      <c r="O406" t="n">
        <v>0</v>
      </c>
      <c r="P406" t="n">
        <v>0</v>
      </c>
      <c r="Q406" t="n">
        <v>0</v>
      </c>
      <c r="R406" s="2" t="inlineStr"/>
    </row>
    <row r="407" ht="15" customHeight="1">
      <c r="A407" t="inlineStr">
        <is>
          <t>A 17467-2025</t>
        </is>
      </c>
      <c r="B407" s="1" t="n">
        <v>45757</v>
      </c>
      <c r="C407" s="1" t="n">
        <v>45905</v>
      </c>
      <c r="D407" t="inlineStr">
        <is>
          <t>VÄSTERBOTTENS LÄN</t>
        </is>
      </c>
      <c r="E407" t="inlineStr">
        <is>
          <t>VILHELMINA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146-2025</t>
        </is>
      </c>
      <c r="B408" s="1" t="n">
        <v>45659</v>
      </c>
      <c r="C408" s="1" t="n">
        <v>45905</v>
      </c>
      <c r="D408" t="inlineStr">
        <is>
          <t>VÄSTERBOTTENS LÄN</t>
        </is>
      </c>
      <c r="E408" t="inlineStr">
        <is>
          <t>VILHELMINA</t>
        </is>
      </c>
      <c r="F408" t="inlineStr">
        <is>
          <t>SCA</t>
        </is>
      </c>
      <c r="G408" t="n">
        <v>9.1</v>
      </c>
      <c r="H408" t="n">
        <v>0</v>
      </c>
      <c r="I408" t="n">
        <v>0</v>
      </c>
      <c r="J408" t="n">
        <v>0</v>
      </c>
      <c r="K408" t="n">
        <v>0</v>
      </c>
      <c r="L408" t="n">
        <v>0</v>
      </c>
      <c r="M408" t="n">
        <v>0</v>
      </c>
      <c r="N408" t="n">
        <v>0</v>
      </c>
      <c r="O408" t="n">
        <v>0</v>
      </c>
      <c r="P408" t="n">
        <v>0</v>
      </c>
      <c r="Q408" t="n">
        <v>0</v>
      </c>
      <c r="R408" s="2" t="inlineStr"/>
    </row>
    <row r="409" ht="15" customHeight="1">
      <c r="A409" t="inlineStr">
        <is>
          <t>A 19873-2024</t>
        </is>
      </c>
      <c r="B409" s="1" t="n">
        <v>45433</v>
      </c>
      <c r="C409" s="1" t="n">
        <v>45905</v>
      </c>
      <c r="D409" t="inlineStr">
        <is>
          <t>VÄSTERBOTTENS LÄN</t>
        </is>
      </c>
      <c r="E409" t="inlineStr">
        <is>
          <t>VILHELMINA</t>
        </is>
      </c>
      <c r="G409" t="n">
        <v>8.6</v>
      </c>
      <c r="H409" t="n">
        <v>0</v>
      </c>
      <c r="I409" t="n">
        <v>0</v>
      </c>
      <c r="J409" t="n">
        <v>0</v>
      </c>
      <c r="K409" t="n">
        <v>0</v>
      </c>
      <c r="L409" t="n">
        <v>0</v>
      </c>
      <c r="M409" t="n">
        <v>0</v>
      </c>
      <c r="N409" t="n">
        <v>0</v>
      </c>
      <c r="O409" t="n">
        <v>0</v>
      </c>
      <c r="P409" t="n">
        <v>0</v>
      </c>
      <c r="Q409" t="n">
        <v>0</v>
      </c>
      <c r="R409" s="2" t="inlineStr"/>
    </row>
    <row r="410" ht="15" customHeight="1">
      <c r="A410" t="inlineStr">
        <is>
          <t>A 28380-2023</t>
        </is>
      </c>
      <c r="B410" s="1" t="n">
        <v>45099</v>
      </c>
      <c r="C410" s="1" t="n">
        <v>45905</v>
      </c>
      <c r="D410" t="inlineStr">
        <is>
          <t>VÄSTERBOTTENS LÄN</t>
        </is>
      </c>
      <c r="E410" t="inlineStr">
        <is>
          <t>VILHELMINA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25308-2025</t>
        </is>
      </c>
      <c r="B411" s="1" t="n">
        <v>45800</v>
      </c>
      <c r="C411" s="1" t="n">
        <v>45905</v>
      </c>
      <c r="D411" t="inlineStr">
        <is>
          <t>VÄSTERBOTTENS LÄN</t>
        </is>
      </c>
      <c r="E411" t="inlineStr">
        <is>
          <t>VILHELMINA</t>
        </is>
      </c>
      <c r="F411" t="inlineStr">
        <is>
          <t>SCA</t>
        </is>
      </c>
      <c r="G411" t="n">
        <v>5.9</v>
      </c>
      <c r="H411" t="n">
        <v>0</v>
      </c>
      <c r="I411" t="n">
        <v>0</v>
      </c>
      <c r="J411" t="n">
        <v>0</v>
      </c>
      <c r="K411" t="n">
        <v>0</v>
      </c>
      <c r="L411" t="n">
        <v>0</v>
      </c>
      <c r="M411" t="n">
        <v>0</v>
      </c>
      <c r="N411" t="n">
        <v>0</v>
      </c>
      <c r="O411" t="n">
        <v>0</v>
      </c>
      <c r="P411" t="n">
        <v>0</v>
      </c>
      <c r="Q411" t="n">
        <v>0</v>
      </c>
      <c r="R411" s="2" t="inlineStr"/>
    </row>
    <row r="412" ht="15" customHeight="1">
      <c r="A412" t="inlineStr">
        <is>
          <t>A 12118-2024</t>
        </is>
      </c>
      <c r="B412" s="1" t="n">
        <v>45376</v>
      </c>
      <c r="C412" s="1" t="n">
        <v>45905</v>
      </c>
      <c r="D412" t="inlineStr">
        <is>
          <t>VÄSTERBOTTENS LÄN</t>
        </is>
      </c>
      <c r="E412" t="inlineStr">
        <is>
          <t>VILHELMINA</t>
        </is>
      </c>
      <c r="G412" t="n">
        <v>3.6</v>
      </c>
      <c r="H412" t="n">
        <v>0</v>
      </c>
      <c r="I412" t="n">
        <v>0</v>
      </c>
      <c r="J412" t="n">
        <v>0</v>
      </c>
      <c r="K412" t="n">
        <v>0</v>
      </c>
      <c r="L412" t="n">
        <v>0</v>
      </c>
      <c r="M412" t="n">
        <v>0</v>
      </c>
      <c r="N412" t="n">
        <v>0</v>
      </c>
      <c r="O412" t="n">
        <v>0</v>
      </c>
      <c r="P412" t="n">
        <v>0</v>
      </c>
      <c r="Q412" t="n">
        <v>0</v>
      </c>
      <c r="R412" s="2" t="inlineStr"/>
    </row>
    <row r="413" ht="15" customHeight="1">
      <c r="A413" t="inlineStr">
        <is>
          <t>A 23412-2025</t>
        </is>
      </c>
      <c r="B413" s="1" t="n">
        <v>45792.34596064815</v>
      </c>
      <c r="C413" s="1" t="n">
        <v>45905</v>
      </c>
      <c r="D413" t="inlineStr">
        <is>
          <t>VÄSTERBOTTENS LÄN</t>
        </is>
      </c>
      <c r="E413" t="inlineStr">
        <is>
          <t>VILHELMINA</t>
        </is>
      </c>
      <c r="F413" t="inlineStr">
        <is>
          <t>SCA</t>
        </is>
      </c>
      <c r="G413" t="n">
        <v>10.1</v>
      </c>
      <c r="H413" t="n">
        <v>0</v>
      </c>
      <c r="I413" t="n">
        <v>0</v>
      </c>
      <c r="J413" t="n">
        <v>0</v>
      </c>
      <c r="K413" t="n">
        <v>0</v>
      </c>
      <c r="L413" t="n">
        <v>0</v>
      </c>
      <c r="M413" t="n">
        <v>0</v>
      </c>
      <c r="N413" t="n">
        <v>0</v>
      </c>
      <c r="O413" t="n">
        <v>0</v>
      </c>
      <c r="P413" t="n">
        <v>0</v>
      </c>
      <c r="Q413" t="n">
        <v>0</v>
      </c>
      <c r="R413" s="2" t="inlineStr"/>
    </row>
    <row r="414" ht="15" customHeight="1">
      <c r="A414" t="inlineStr">
        <is>
          <t>A 37937-2023</t>
        </is>
      </c>
      <c r="B414" s="1" t="n">
        <v>45159</v>
      </c>
      <c r="C414" s="1" t="n">
        <v>45905</v>
      </c>
      <c r="D414" t="inlineStr">
        <is>
          <t>VÄSTERBOTTENS LÄN</t>
        </is>
      </c>
      <c r="E414" t="inlineStr">
        <is>
          <t>VILHELMINA</t>
        </is>
      </c>
      <c r="G414" t="n">
        <v>2.2</v>
      </c>
      <c r="H414" t="n">
        <v>0</v>
      </c>
      <c r="I414" t="n">
        <v>0</v>
      </c>
      <c r="J414" t="n">
        <v>0</v>
      </c>
      <c r="K414" t="n">
        <v>0</v>
      </c>
      <c r="L414" t="n">
        <v>0</v>
      </c>
      <c r="M414" t="n">
        <v>0</v>
      </c>
      <c r="N414" t="n">
        <v>0</v>
      </c>
      <c r="O414" t="n">
        <v>0</v>
      </c>
      <c r="P414" t="n">
        <v>0</v>
      </c>
      <c r="Q414" t="n">
        <v>0</v>
      </c>
      <c r="R414" s="2" t="inlineStr"/>
    </row>
    <row r="415" ht="15" customHeight="1">
      <c r="A415" t="inlineStr">
        <is>
          <t>A 65151-2021</t>
        </is>
      </c>
      <c r="B415" s="1" t="n">
        <v>44515</v>
      </c>
      <c r="C415" s="1" t="n">
        <v>45905</v>
      </c>
      <c r="D415" t="inlineStr">
        <is>
          <t>VÄSTERBOTTENS LÄN</t>
        </is>
      </c>
      <c r="E415" t="inlineStr">
        <is>
          <t>VILHELMINA</t>
        </is>
      </c>
      <c r="G415" t="n">
        <v>11.8</v>
      </c>
      <c r="H415" t="n">
        <v>0</v>
      </c>
      <c r="I415" t="n">
        <v>0</v>
      </c>
      <c r="J415" t="n">
        <v>0</v>
      </c>
      <c r="K415" t="n">
        <v>0</v>
      </c>
      <c r="L415" t="n">
        <v>0</v>
      </c>
      <c r="M415" t="n">
        <v>0</v>
      </c>
      <c r="N415" t="n">
        <v>0</v>
      </c>
      <c r="O415" t="n">
        <v>0</v>
      </c>
      <c r="P415" t="n">
        <v>0</v>
      </c>
      <c r="Q415" t="n">
        <v>0</v>
      </c>
      <c r="R415" s="2" t="inlineStr"/>
    </row>
    <row r="416" ht="15" customHeight="1">
      <c r="A416" t="inlineStr">
        <is>
          <t>A 65159-2021</t>
        </is>
      </c>
      <c r="B416" s="1" t="n">
        <v>44515</v>
      </c>
      <c r="C416" s="1" t="n">
        <v>45905</v>
      </c>
      <c r="D416" t="inlineStr">
        <is>
          <t>VÄSTERBOTTENS LÄN</t>
        </is>
      </c>
      <c r="E416" t="inlineStr">
        <is>
          <t>VILHELMINA</t>
        </is>
      </c>
      <c r="G416" t="n">
        <v>5</v>
      </c>
      <c r="H416" t="n">
        <v>0</v>
      </c>
      <c r="I416" t="n">
        <v>0</v>
      </c>
      <c r="J416" t="n">
        <v>0</v>
      </c>
      <c r="K416" t="n">
        <v>0</v>
      </c>
      <c r="L416" t="n">
        <v>0</v>
      </c>
      <c r="M416" t="n">
        <v>0</v>
      </c>
      <c r="N416" t="n">
        <v>0</v>
      </c>
      <c r="O416" t="n">
        <v>0</v>
      </c>
      <c r="P416" t="n">
        <v>0</v>
      </c>
      <c r="Q416" t="n">
        <v>0</v>
      </c>
      <c r="R416" s="2" t="inlineStr"/>
    </row>
    <row r="417" ht="15" customHeight="1">
      <c r="A417" t="inlineStr">
        <is>
          <t>A 10548-2022</t>
        </is>
      </c>
      <c r="B417" s="1" t="n">
        <v>44623</v>
      </c>
      <c r="C417" s="1" t="n">
        <v>45905</v>
      </c>
      <c r="D417" t="inlineStr">
        <is>
          <t>VÄSTERBOTTENS LÄN</t>
        </is>
      </c>
      <c r="E417" t="inlineStr">
        <is>
          <t>VILHELMINA</t>
        </is>
      </c>
      <c r="F417" t="inlineStr">
        <is>
          <t>SCA</t>
        </is>
      </c>
      <c r="G417" t="n">
        <v>11.5</v>
      </c>
      <c r="H417" t="n">
        <v>0</v>
      </c>
      <c r="I417" t="n">
        <v>0</v>
      </c>
      <c r="J417" t="n">
        <v>0</v>
      </c>
      <c r="K417" t="n">
        <v>0</v>
      </c>
      <c r="L417" t="n">
        <v>0</v>
      </c>
      <c r="M417" t="n">
        <v>0</v>
      </c>
      <c r="N417" t="n">
        <v>0</v>
      </c>
      <c r="O417" t="n">
        <v>0</v>
      </c>
      <c r="P417" t="n">
        <v>0</v>
      </c>
      <c r="Q417" t="n">
        <v>0</v>
      </c>
      <c r="R417" s="2" t="inlineStr"/>
    </row>
    <row r="418" ht="15" customHeight="1">
      <c r="A418" t="inlineStr">
        <is>
          <t>A 8555-2023</t>
        </is>
      </c>
      <c r="B418" s="1" t="n">
        <v>44972</v>
      </c>
      <c r="C418" s="1" t="n">
        <v>45905</v>
      </c>
      <c r="D418" t="inlineStr">
        <is>
          <t>VÄSTERBOTTENS LÄN</t>
        </is>
      </c>
      <c r="E418" t="inlineStr">
        <is>
          <t>VILHELMINA</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23826-2025</t>
        </is>
      </c>
      <c r="B419" s="1" t="n">
        <v>45793.59461805555</v>
      </c>
      <c r="C419" s="1" t="n">
        <v>45905</v>
      </c>
      <c r="D419" t="inlineStr">
        <is>
          <t>VÄSTERBOTTENS LÄN</t>
        </is>
      </c>
      <c r="E419" t="inlineStr">
        <is>
          <t>VILHELMINA</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35760-2023</t>
        </is>
      </c>
      <c r="B420" s="1" t="n">
        <v>45147</v>
      </c>
      <c r="C420" s="1" t="n">
        <v>45905</v>
      </c>
      <c r="D420" t="inlineStr">
        <is>
          <t>VÄSTERBOTTENS LÄN</t>
        </is>
      </c>
      <c r="E420" t="inlineStr">
        <is>
          <t>VILHELMINA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23764-2025</t>
        </is>
      </c>
      <c r="B421" s="1" t="n">
        <v>45793</v>
      </c>
      <c r="C421" s="1" t="n">
        <v>45905</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33319-2024</t>
        </is>
      </c>
      <c r="B422" s="1" t="n">
        <v>45518</v>
      </c>
      <c r="C422" s="1" t="n">
        <v>45905</v>
      </c>
      <c r="D422" t="inlineStr">
        <is>
          <t>VÄSTERBOTTENS LÄN</t>
        </is>
      </c>
      <c r="E422" t="inlineStr">
        <is>
          <t>VILHELMINA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60682-2022</t>
        </is>
      </c>
      <c r="B423" s="1" t="n">
        <v>44911.94</v>
      </c>
      <c r="C423" s="1" t="n">
        <v>45905</v>
      </c>
      <c r="D423" t="inlineStr">
        <is>
          <t>VÄSTERBOTTENS LÄN</t>
        </is>
      </c>
      <c r="E423" t="inlineStr">
        <is>
          <t>VILHELMINA</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37716-2024</t>
        </is>
      </c>
      <c r="B424" s="1" t="n">
        <v>45541.63592592593</v>
      </c>
      <c r="C424" s="1" t="n">
        <v>45905</v>
      </c>
      <c r="D424" t="inlineStr">
        <is>
          <t>VÄSTERBOTTENS LÄN</t>
        </is>
      </c>
      <c r="E424" t="inlineStr">
        <is>
          <t>VILHELMINA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37717-2024</t>
        </is>
      </c>
      <c r="B425" s="1" t="n">
        <v>45541</v>
      </c>
      <c r="C425" s="1" t="n">
        <v>45905</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23686-2025</t>
        </is>
      </c>
      <c r="B426" s="1" t="n">
        <v>45793</v>
      </c>
      <c r="C426" s="1" t="n">
        <v>45905</v>
      </c>
      <c r="D426" t="inlineStr">
        <is>
          <t>VÄSTERBOTTENS LÄN</t>
        </is>
      </c>
      <c r="E426" t="inlineStr">
        <is>
          <t>VILHELMINA</t>
        </is>
      </c>
      <c r="F426" t="inlineStr">
        <is>
          <t>SCA</t>
        </is>
      </c>
      <c r="G426" t="n">
        <v>5.3</v>
      </c>
      <c r="H426" t="n">
        <v>0</v>
      </c>
      <c r="I426" t="n">
        <v>0</v>
      </c>
      <c r="J426" t="n">
        <v>0</v>
      </c>
      <c r="K426" t="n">
        <v>0</v>
      </c>
      <c r="L426" t="n">
        <v>0</v>
      </c>
      <c r="M426" t="n">
        <v>0</v>
      </c>
      <c r="N426" t="n">
        <v>0</v>
      </c>
      <c r="O426" t="n">
        <v>0</v>
      </c>
      <c r="P426" t="n">
        <v>0</v>
      </c>
      <c r="Q426" t="n">
        <v>0</v>
      </c>
      <c r="R426" s="2" t="inlineStr"/>
    </row>
    <row r="427" ht="15" customHeight="1">
      <c r="A427" t="inlineStr">
        <is>
          <t>A 45258-2024</t>
        </is>
      </c>
      <c r="B427" s="1" t="n">
        <v>45576.34444444445</v>
      </c>
      <c r="C427" s="1" t="n">
        <v>45905</v>
      </c>
      <c r="D427" t="inlineStr">
        <is>
          <t>VÄSTERBOTTENS LÄN</t>
        </is>
      </c>
      <c r="E427" t="inlineStr">
        <is>
          <t>VILHELMINA</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29722-2024</t>
        </is>
      </c>
      <c r="B428" s="1" t="n">
        <v>45485</v>
      </c>
      <c r="C428" s="1" t="n">
        <v>45905</v>
      </c>
      <c r="D428" t="inlineStr">
        <is>
          <t>VÄSTERBOTTENS LÄN</t>
        </is>
      </c>
      <c r="E428" t="inlineStr">
        <is>
          <t>VILHELMINA</t>
        </is>
      </c>
      <c r="G428" t="n">
        <v>2.5</v>
      </c>
      <c r="H428" t="n">
        <v>0</v>
      </c>
      <c r="I428" t="n">
        <v>0</v>
      </c>
      <c r="J428" t="n">
        <v>0</v>
      </c>
      <c r="K428" t="n">
        <v>0</v>
      </c>
      <c r="L428" t="n">
        <v>0</v>
      </c>
      <c r="M428" t="n">
        <v>0</v>
      </c>
      <c r="N428" t="n">
        <v>0</v>
      </c>
      <c r="O428" t="n">
        <v>0</v>
      </c>
      <c r="P428" t="n">
        <v>0</v>
      </c>
      <c r="Q428" t="n">
        <v>0</v>
      </c>
      <c r="R428" s="2" t="inlineStr"/>
    </row>
    <row r="429" ht="15" customHeight="1">
      <c r="A429" t="inlineStr">
        <is>
          <t>A 10941-2023</t>
        </is>
      </c>
      <c r="B429" s="1" t="n">
        <v>44985</v>
      </c>
      <c r="C429" s="1" t="n">
        <v>45905</v>
      </c>
      <c r="D429" t="inlineStr">
        <is>
          <t>VÄSTERBOTTENS LÄN</t>
        </is>
      </c>
      <c r="E429" t="inlineStr">
        <is>
          <t>VILHELMINA</t>
        </is>
      </c>
      <c r="G429" t="n">
        <v>16.7</v>
      </c>
      <c r="H429" t="n">
        <v>0</v>
      </c>
      <c r="I429" t="n">
        <v>0</v>
      </c>
      <c r="J429" t="n">
        <v>0</v>
      </c>
      <c r="K429" t="n">
        <v>0</v>
      </c>
      <c r="L429" t="n">
        <v>0</v>
      </c>
      <c r="M429" t="n">
        <v>0</v>
      </c>
      <c r="N429" t="n">
        <v>0</v>
      </c>
      <c r="O429" t="n">
        <v>0</v>
      </c>
      <c r="P429" t="n">
        <v>0</v>
      </c>
      <c r="Q429" t="n">
        <v>0</v>
      </c>
      <c r="R429" s="2" t="inlineStr"/>
    </row>
    <row r="430" ht="15" customHeight="1">
      <c r="A430" t="inlineStr">
        <is>
          <t>A 38222-2024</t>
        </is>
      </c>
      <c r="B430" s="1" t="n">
        <v>45545.53619212963</v>
      </c>
      <c r="C430" s="1" t="n">
        <v>45905</v>
      </c>
      <c r="D430" t="inlineStr">
        <is>
          <t>VÄSTERBOTTENS LÄN</t>
        </is>
      </c>
      <c r="E430" t="inlineStr">
        <is>
          <t>VILHELMINA</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3237-2024</t>
        </is>
      </c>
      <c r="B431" s="1" t="n">
        <v>45316.9474537037</v>
      </c>
      <c r="C431" s="1" t="n">
        <v>45905</v>
      </c>
      <c r="D431" t="inlineStr">
        <is>
          <t>VÄSTERBOTTENS LÄN</t>
        </is>
      </c>
      <c r="E431" t="inlineStr">
        <is>
          <t>VILHELMINA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36909-2024</t>
        </is>
      </c>
      <c r="B432" s="1" t="n">
        <v>45538.63577546296</v>
      </c>
      <c r="C432" s="1" t="n">
        <v>45905</v>
      </c>
      <c r="D432" t="inlineStr">
        <is>
          <t>VÄSTERBOTTENS LÄN</t>
        </is>
      </c>
      <c r="E432" t="inlineStr">
        <is>
          <t>VILHELMINA</t>
        </is>
      </c>
      <c r="F432" t="inlineStr">
        <is>
          <t>SCA</t>
        </is>
      </c>
      <c r="G432" t="n">
        <v>16.8</v>
      </c>
      <c r="H432" t="n">
        <v>0</v>
      </c>
      <c r="I432" t="n">
        <v>0</v>
      </c>
      <c r="J432" t="n">
        <v>0</v>
      </c>
      <c r="K432" t="n">
        <v>0</v>
      </c>
      <c r="L432" t="n">
        <v>0</v>
      </c>
      <c r="M432" t="n">
        <v>0</v>
      </c>
      <c r="N432" t="n">
        <v>0</v>
      </c>
      <c r="O432" t="n">
        <v>0</v>
      </c>
      <c r="P432" t="n">
        <v>0</v>
      </c>
      <c r="Q432" t="n">
        <v>0</v>
      </c>
      <c r="R432" s="2" t="inlineStr"/>
    </row>
    <row r="433" ht="15" customHeight="1">
      <c r="A433" t="inlineStr">
        <is>
          <t>A 2054-2023</t>
        </is>
      </c>
      <c r="B433" s="1" t="n">
        <v>44939</v>
      </c>
      <c r="C433" s="1" t="n">
        <v>45905</v>
      </c>
      <c r="D433" t="inlineStr">
        <is>
          <t>VÄSTERBOTTENS LÄN</t>
        </is>
      </c>
      <c r="E433" t="inlineStr">
        <is>
          <t>VILHELMINA</t>
        </is>
      </c>
      <c r="F433" t="inlineStr">
        <is>
          <t>Sveaskog</t>
        </is>
      </c>
      <c r="G433" t="n">
        <v>19.2</v>
      </c>
      <c r="H433" t="n">
        <v>0</v>
      </c>
      <c r="I433" t="n">
        <v>0</v>
      </c>
      <c r="J433" t="n">
        <v>0</v>
      </c>
      <c r="K433" t="n">
        <v>0</v>
      </c>
      <c r="L433" t="n">
        <v>0</v>
      </c>
      <c r="M433" t="n">
        <v>0</v>
      </c>
      <c r="N433" t="n">
        <v>0</v>
      </c>
      <c r="O433" t="n">
        <v>0</v>
      </c>
      <c r="P433" t="n">
        <v>0</v>
      </c>
      <c r="Q433" t="n">
        <v>0</v>
      </c>
      <c r="R433" s="2" t="inlineStr"/>
    </row>
    <row r="434" ht="15" customHeight="1">
      <c r="A434" t="inlineStr">
        <is>
          <t>A 36215-2023</t>
        </is>
      </c>
      <c r="B434" s="1" t="n">
        <v>45149.95266203704</v>
      </c>
      <c r="C434" s="1" t="n">
        <v>45905</v>
      </c>
      <c r="D434" t="inlineStr">
        <is>
          <t>VÄSTERBOTTENS LÄN</t>
        </is>
      </c>
      <c r="E434" t="inlineStr">
        <is>
          <t>VILHELMINA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41644-2024</t>
        </is>
      </c>
      <c r="B435" s="1" t="n">
        <v>45560</v>
      </c>
      <c r="C435" s="1" t="n">
        <v>45905</v>
      </c>
      <c r="D435" t="inlineStr">
        <is>
          <t>VÄSTERBOTTENS LÄN</t>
        </is>
      </c>
      <c r="E435" t="inlineStr">
        <is>
          <t>VILHELMINA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48422-2023</t>
        </is>
      </c>
      <c r="B436" s="1" t="n">
        <v>45205</v>
      </c>
      <c r="C436" s="1" t="n">
        <v>45905</v>
      </c>
      <c r="D436" t="inlineStr">
        <is>
          <t>VÄSTERBOTTENS LÄN</t>
        </is>
      </c>
      <c r="E436" t="inlineStr">
        <is>
          <t>VILHELMINA</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48483-2023</t>
        </is>
      </c>
      <c r="B437" s="1" t="n">
        <v>45206.95854166667</v>
      </c>
      <c r="C437" s="1" t="n">
        <v>45905</v>
      </c>
      <c r="D437" t="inlineStr">
        <is>
          <t>VÄSTERBOTTENS LÄN</t>
        </is>
      </c>
      <c r="E437" t="inlineStr">
        <is>
          <t>VILHELMINA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48505-2023</t>
        </is>
      </c>
      <c r="B438" s="1" t="n">
        <v>45207.93900462963</v>
      </c>
      <c r="C438" s="1" t="n">
        <v>45905</v>
      </c>
      <c r="D438" t="inlineStr">
        <is>
          <t>VÄSTERBOTTENS LÄN</t>
        </is>
      </c>
      <c r="E438" t="inlineStr">
        <is>
          <t>VILHELMINA</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50489-2023</t>
        </is>
      </c>
      <c r="B439" s="1" t="n">
        <v>45216.95556712963</v>
      </c>
      <c r="C439" s="1" t="n">
        <v>45905</v>
      </c>
      <c r="D439" t="inlineStr">
        <is>
          <t>VÄSTERBOTTENS LÄN</t>
        </is>
      </c>
      <c r="E439" t="inlineStr">
        <is>
          <t>VILHELMINA</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50506-2023</t>
        </is>
      </c>
      <c r="B440" s="1" t="n">
        <v>45216.9580787037</v>
      </c>
      <c r="C440" s="1" t="n">
        <v>45905</v>
      </c>
      <c r="D440" t="inlineStr">
        <is>
          <t>VÄSTERBOTTENS LÄN</t>
        </is>
      </c>
      <c r="E440" t="inlineStr">
        <is>
          <t>VILHELMINA</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31868-2024</t>
        </is>
      </c>
      <c r="B441" s="1" t="n">
        <v>45509</v>
      </c>
      <c r="C441" s="1" t="n">
        <v>45905</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19401-2023</t>
        </is>
      </c>
      <c r="B442" s="1" t="n">
        <v>45048</v>
      </c>
      <c r="C442" s="1" t="n">
        <v>45905</v>
      </c>
      <c r="D442" t="inlineStr">
        <is>
          <t>VÄSTERBOTTENS LÄN</t>
        </is>
      </c>
      <c r="E442" t="inlineStr">
        <is>
          <t>VILHELMINA</t>
        </is>
      </c>
      <c r="G442" t="n">
        <v>5.4</v>
      </c>
      <c r="H442" t="n">
        <v>0</v>
      </c>
      <c r="I442" t="n">
        <v>0</v>
      </c>
      <c r="J442" t="n">
        <v>0</v>
      </c>
      <c r="K442" t="n">
        <v>0</v>
      </c>
      <c r="L442" t="n">
        <v>0</v>
      </c>
      <c r="M442" t="n">
        <v>0</v>
      </c>
      <c r="N442" t="n">
        <v>0</v>
      </c>
      <c r="O442" t="n">
        <v>0</v>
      </c>
      <c r="P442" t="n">
        <v>0</v>
      </c>
      <c r="Q442" t="n">
        <v>0</v>
      </c>
      <c r="R442" s="2" t="inlineStr"/>
    </row>
    <row r="443" ht="15" customHeight="1">
      <c r="A443" t="inlineStr">
        <is>
          <t>A 57470-2024</t>
        </is>
      </c>
      <c r="B443" s="1" t="n">
        <v>45630</v>
      </c>
      <c r="C443" s="1" t="n">
        <v>45905</v>
      </c>
      <c r="D443" t="inlineStr">
        <is>
          <t>VÄSTERBOTTENS LÄN</t>
        </is>
      </c>
      <c r="E443" t="inlineStr">
        <is>
          <t>VILHELMINA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38569-2024</t>
        </is>
      </c>
      <c r="B444" s="1" t="n">
        <v>45546.63689814815</v>
      </c>
      <c r="C444" s="1" t="n">
        <v>45905</v>
      </c>
      <c r="D444" t="inlineStr">
        <is>
          <t>VÄSTERBOTTENS LÄN</t>
        </is>
      </c>
      <c r="E444" t="inlineStr">
        <is>
          <t>VILHELMINA</t>
        </is>
      </c>
      <c r="G444" t="n">
        <v>31.5</v>
      </c>
      <c r="H444" t="n">
        <v>0</v>
      </c>
      <c r="I444" t="n">
        <v>0</v>
      </c>
      <c r="J444" t="n">
        <v>0</v>
      </c>
      <c r="K444" t="n">
        <v>0</v>
      </c>
      <c r="L444" t="n">
        <v>0</v>
      </c>
      <c r="M444" t="n">
        <v>0</v>
      </c>
      <c r="N444" t="n">
        <v>0</v>
      </c>
      <c r="O444" t="n">
        <v>0</v>
      </c>
      <c r="P444" t="n">
        <v>0</v>
      </c>
      <c r="Q444" t="n">
        <v>0</v>
      </c>
      <c r="R444" s="2" t="inlineStr"/>
    </row>
    <row r="445" ht="15" customHeight="1">
      <c r="A445" t="inlineStr">
        <is>
          <t>A 24224-2025</t>
        </is>
      </c>
      <c r="B445" s="1" t="n">
        <v>45797</v>
      </c>
      <c r="C445" s="1" t="n">
        <v>45905</v>
      </c>
      <c r="D445" t="inlineStr">
        <is>
          <t>VÄSTERBOTTENS LÄN</t>
        </is>
      </c>
      <c r="E445" t="inlineStr">
        <is>
          <t>VILHELMINA</t>
        </is>
      </c>
      <c r="G445" t="n">
        <v>27.2</v>
      </c>
      <c r="H445" t="n">
        <v>0</v>
      </c>
      <c r="I445" t="n">
        <v>0</v>
      </c>
      <c r="J445" t="n">
        <v>0</v>
      </c>
      <c r="K445" t="n">
        <v>0</v>
      </c>
      <c r="L445" t="n">
        <v>0</v>
      </c>
      <c r="M445" t="n">
        <v>0</v>
      </c>
      <c r="N445" t="n">
        <v>0</v>
      </c>
      <c r="O445" t="n">
        <v>0</v>
      </c>
      <c r="P445" t="n">
        <v>0</v>
      </c>
      <c r="Q445" t="n">
        <v>0</v>
      </c>
      <c r="R445" s="2" t="inlineStr"/>
    </row>
    <row r="446" ht="15" customHeight="1">
      <c r="A446" t="inlineStr">
        <is>
          <t>A 31095-2024</t>
        </is>
      </c>
      <c r="B446" s="1" t="n">
        <v>45502</v>
      </c>
      <c r="C446" s="1" t="n">
        <v>45905</v>
      </c>
      <c r="D446" t="inlineStr">
        <is>
          <t>VÄSTERBOTTENS LÄN</t>
        </is>
      </c>
      <c r="E446" t="inlineStr">
        <is>
          <t>VILHELMINA</t>
        </is>
      </c>
      <c r="G446" t="n">
        <v>4.7</v>
      </c>
      <c r="H446" t="n">
        <v>0</v>
      </c>
      <c r="I446" t="n">
        <v>0</v>
      </c>
      <c r="J446" t="n">
        <v>0</v>
      </c>
      <c r="K446" t="n">
        <v>0</v>
      </c>
      <c r="L446" t="n">
        <v>0</v>
      </c>
      <c r="M446" t="n">
        <v>0</v>
      </c>
      <c r="N446" t="n">
        <v>0</v>
      </c>
      <c r="O446" t="n">
        <v>0</v>
      </c>
      <c r="P446" t="n">
        <v>0</v>
      </c>
      <c r="Q446" t="n">
        <v>0</v>
      </c>
      <c r="R446" s="2" t="inlineStr"/>
    </row>
    <row r="447" ht="15" customHeight="1">
      <c r="A447" t="inlineStr">
        <is>
          <t>A 59030-2022</t>
        </is>
      </c>
      <c r="B447" s="1" t="n">
        <v>44903</v>
      </c>
      <c r="C447" s="1" t="n">
        <v>45905</v>
      </c>
      <c r="D447" t="inlineStr">
        <is>
          <t>VÄSTERBOTTENS LÄN</t>
        </is>
      </c>
      <c r="E447" t="inlineStr">
        <is>
          <t>VILHELMINA</t>
        </is>
      </c>
      <c r="G447" t="n">
        <v>17.8</v>
      </c>
      <c r="H447" t="n">
        <v>0</v>
      </c>
      <c r="I447" t="n">
        <v>0</v>
      </c>
      <c r="J447" t="n">
        <v>0</v>
      </c>
      <c r="K447" t="n">
        <v>0</v>
      </c>
      <c r="L447" t="n">
        <v>0</v>
      </c>
      <c r="M447" t="n">
        <v>0</v>
      </c>
      <c r="N447" t="n">
        <v>0</v>
      </c>
      <c r="O447" t="n">
        <v>0</v>
      </c>
      <c r="P447" t="n">
        <v>0</v>
      </c>
      <c r="Q447" t="n">
        <v>0</v>
      </c>
      <c r="R447" s="2" t="inlineStr"/>
    </row>
    <row r="448" ht="15" customHeight="1">
      <c r="A448" t="inlineStr">
        <is>
          <t>A 24988-2025</t>
        </is>
      </c>
      <c r="B448" s="1" t="n">
        <v>45799</v>
      </c>
      <c r="C448" s="1" t="n">
        <v>45905</v>
      </c>
      <c r="D448" t="inlineStr">
        <is>
          <t>VÄSTERBOTTENS LÄN</t>
        </is>
      </c>
      <c r="E448" t="inlineStr">
        <is>
          <t>VILHELMINA</t>
        </is>
      </c>
      <c r="G448" t="n">
        <v>8.9</v>
      </c>
      <c r="H448" t="n">
        <v>0</v>
      </c>
      <c r="I448" t="n">
        <v>0</v>
      </c>
      <c r="J448" t="n">
        <v>0</v>
      </c>
      <c r="K448" t="n">
        <v>0</v>
      </c>
      <c r="L448" t="n">
        <v>0</v>
      </c>
      <c r="M448" t="n">
        <v>0</v>
      </c>
      <c r="N448" t="n">
        <v>0</v>
      </c>
      <c r="O448" t="n">
        <v>0</v>
      </c>
      <c r="P448" t="n">
        <v>0</v>
      </c>
      <c r="Q448" t="n">
        <v>0</v>
      </c>
      <c r="R448" s="2" t="inlineStr"/>
    </row>
    <row r="449" ht="15" customHeight="1">
      <c r="A449" t="inlineStr">
        <is>
          <t>A 25180-2025</t>
        </is>
      </c>
      <c r="B449" s="1" t="n">
        <v>45800.44892361111</v>
      </c>
      <c r="C449" s="1" t="n">
        <v>45905</v>
      </c>
      <c r="D449" t="inlineStr">
        <is>
          <t>VÄSTERBOTTENS LÄN</t>
        </is>
      </c>
      <c r="E449" t="inlineStr">
        <is>
          <t>VILHELMINA</t>
        </is>
      </c>
      <c r="F449" t="inlineStr">
        <is>
          <t>SCA</t>
        </is>
      </c>
      <c r="G449" t="n">
        <v>10.8</v>
      </c>
      <c r="H449" t="n">
        <v>0</v>
      </c>
      <c r="I449" t="n">
        <v>0</v>
      </c>
      <c r="J449" t="n">
        <v>0</v>
      </c>
      <c r="K449" t="n">
        <v>0</v>
      </c>
      <c r="L449" t="n">
        <v>0</v>
      </c>
      <c r="M449" t="n">
        <v>0</v>
      </c>
      <c r="N449" t="n">
        <v>0</v>
      </c>
      <c r="O449" t="n">
        <v>0</v>
      </c>
      <c r="P449" t="n">
        <v>0</v>
      </c>
      <c r="Q449" t="n">
        <v>0</v>
      </c>
      <c r="R449" s="2" t="inlineStr"/>
    </row>
    <row r="450" ht="15" customHeight="1">
      <c r="A450" t="inlineStr">
        <is>
          <t>A 33318-2024</t>
        </is>
      </c>
      <c r="B450" s="1" t="n">
        <v>45518.97211805556</v>
      </c>
      <c r="C450" s="1" t="n">
        <v>45905</v>
      </c>
      <c r="D450" t="inlineStr">
        <is>
          <t>VÄSTERBOTTENS LÄN</t>
        </is>
      </c>
      <c r="E450" t="inlineStr">
        <is>
          <t>VILHELMINA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33321-2024</t>
        </is>
      </c>
      <c r="B451" s="1" t="n">
        <v>45518.97256944444</v>
      </c>
      <c r="C451" s="1" t="n">
        <v>45905</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15884-2025</t>
        </is>
      </c>
      <c r="B452" s="1" t="n">
        <v>45749</v>
      </c>
      <c r="C452" s="1" t="n">
        <v>45905</v>
      </c>
      <c r="D452" t="inlineStr">
        <is>
          <t>VÄSTERBOTTENS LÄN</t>
        </is>
      </c>
      <c r="E452" t="inlineStr">
        <is>
          <t>VILHELMINA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7777-2024</t>
        </is>
      </c>
      <c r="B453" s="1" t="n">
        <v>45349</v>
      </c>
      <c r="C453" s="1" t="n">
        <v>45905</v>
      </c>
      <c r="D453" t="inlineStr">
        <is>
          <t>VÄSTERBOTTENS LÄN</t>
        </is>
      </c>
      <c r="E453" t="inlineStr">
        <is>
          <t>VILHELMINA</t>
        </is>
      </c>
      <c r="G453" t="n">
        <v>7</v>
      </c>
      <c r="H453" t="n">
        <v>0</v>
      </c>
      <c r="I453" t="n">
        <v>0</v>
      </c>
      <c r="J453" t="n">
        <v>0</v>
      </c>
      <c r="K453" t="n">
        <v>0</v>
      </c>
      <c r="L453" t="n">
        <v>0</v>
      </c>
      <c r="M453" t="n">
        <v>0</v>
      </c>
      <c r="N453" t="n">
        <v>0</v>
      </c>
      <c r="O453" t="n">
        <v>0</v>
      </c>
      <c r="P453" t="n">
        <v>0</v>
      </c>
      <c r="Q453" t="n">
        <v>0</v>
      </c>
      <c r="R453" s="2" t="inlineStr"/>
    </row>
    <row r="454" ht="15" customHeight="1">
      <c r="A454" t="inlineStr">
        <is>
          <t>A 17587-2024</t>
        </is>
      </c>
      <c r="B454" s="1" t="n">
        <v>45415.94033564815</v>
      </c>
      <c r="C454" s="1" t="n">
        <v>45905</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62630-2022</t>
        </is>
      </c>
      <c r="B455" s="1" t="n">
        <v>44917</v>
      </c>
      <c r="C455" s="1" t="n">
        <v>45905</v>
      </c>
      <c r="D455" t="inlineStr">
        <is>
          <t>VÄSTERBOTTENS LÄN</t>
        </is>
      </c>
      <c r="E455" t="inlineStr">
        <is>
          <t>VILHELMINA</t>
        </is>
      </c>
      <c r="G455" t="n">
        <v>0.9</v>
      </c>
      <c r="H455" t="n">
        <v>0</v>
      </c>
      <c r="I455" t="n">
        <v>0</v>
      </c>
      <c r="J455" t="n">
        <v>0</v>
      </c>
      <c r="K455" t="n">
        <v>0</v>
      </c>
      <c r="L455" t="n">
        <v>0</v>
      </c>
      <c r="M455" t="n">
        <v>0</v>
      </c>
      <c r="N455" t="n">
        <v>0</v>
      </c>
      <c r="O455" t="n">
        <v>0</v>
      </c>
      <c r="P455" t="n">
        <v>0</v>
      </c>
      <c r="Q455" t="n">
        <v>0</v>
      </c>
      <c r="R455" s="2" t="inlineStr"/>
    </row>
    <row r="456" ht="15" customHeight="1">
      <c r="A456" t="inlineStr">
        <is>
          <t>A 48470-2023</t>
        </is>
      </c>
      <c r="B456" s="1" t="n">
        <v>45206.95747685185</v>
      </c>
      <c r="C456" s="1" t="n">
        <v>45905</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24870-2025</t>
        </is>
      </c>
      <c r="B457" s="1" t="n">
        <v>45799.49025462963</v>
      </c>
      <c r="C457" s="1" t="n">
        <v>45905</v>
      </c>
      <c r="D457" t="inlineStr">
        <is>
          <t>VÄSTERBOTTENS LÄN</t>
        </is>
      </c>
      <c r="E457" t="inlineStr">
        <is>
          <t>VILHELMINA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25239-2025</t>
        </is>
      </c>
      <c r="B458" s="1" t="n">
        <v>45800</v>
      </c>
      <c r="C458" s="1" t="n">
        <v>45905</v>
      </c>
      <c r="D458" t="inlineStr">
        <is>
          <t>VÄSTERBOTTENS LÄN</t>
        </is>
      </c>
      <c r="E458" t="inlineStr">
        <is>
          <t>VILHELMINA</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25309-2025</t>
        </is>
      </c>
      <c r="B459" s="1" t="n">
        <v>45800.57380787037</v>
      </c>
      <c r="C459" s="1" t="n">
        <v>45905</v>
      </c>
      <c r="D459" t="inlineStr">
        <is>
          <t>VÄSTERBOTTENS LÄN</t>
        </is>
      </c>
      <c r="E459" t="inlineStr">
        <is>
          <t>VILHELMINA</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46318-2022</t>
        </is>
      </c>
      <c r="B460" s="1" t="n">
        <v>44847</v>
      </c>
      <c r="C460" s="1" t="n">
        <v>45905</v>
      </c>
      <c r="D460" t="inlineStr">
        <is>
          <t>VÄSTERBOTTENS LÄN</t>
        </is>
      </c>
      <c r="E460" t="inlineStr">
        <is>
          <t>VILHELMINA</t>
        </is>
      </c>
      <c r="G460" t="n">
        <v>11.7</v>
      </c>
      <c r="H460" t="n">
        <v>0</v>
      </c>
      <c r="I460" t="n">
        <v>0</v>
      </c>
      <c r="J460" t="n">
        <v>0</v>
      </c>
      <c r="K460" t="n">
        <v>0</v>
      </c>
      <c r="L460" t="n">
        <v>0</v>
      </c>
      <c r="M460" t="n">
        <v>0</v>
      </c>
      <c r="N460" t="n">
        <v>0</v>
      </c>
      <c r="O460" t="n">
        <v>0</v>
      </c>
      <c r="P460" t="n">
        <v>0</v>
      </c>
      <c r="Q460" t="n">
        <v>0</v>
      </c>
      <c r="R460" s="2" t="inlineStr"/>
    </row>
    <row r="461" ht="15" customHeight="1">
      <c r="A461" t="inlineStr">
        <is>
          <t>A 16626-2024</t>
        </is>
      </c>
      <c r="B461" s="1" t="n">
        <v>45408</v>
      </c>
      <c r="C461" s="1" t="n">
        <v>45905</v>
      </c>
      <c r="D461" t="inlineStr">
        <is>
          <t>VÄSTERBOTTENS LÄN</t>
        </is>
      </c>
      <c r="E461" t="inlineStr">
        <is>
          <t>VILHELMINA</t>
        </is>
      </c>
      <c r="G461" t="n">
        <v>15.5</v>
      </c>
      <c r="H461" t="n">
        <v>0</v>
      </c>
      <c r="I461" t="n">
        <v>0</v>
      </c>
      <c r="J461" t="n">
        <v>0</v>
      </c>
      <c r="K461" t="n">
        <v>0</v>
      </c>
      <c r="L461" t="n">
        <v>0</v>
      </c>
      <c r="M461" t="n">
        <v>0</v>
      </c>
      <c r="N461" t="n">
        <v>0</v>
      </c>
      <c r="O461" t="n">
        <v>0</v>
      </c>
      <c r="P461" t="n">
        <v>0</v>
      </c>
      <c r="Q461" t="n">
        <v>0</v>
      </c>
      <c r="R461" s="2" t="inlineStr"/>
    </row>
    <row r="462" ht="15" customHeight="1">
      <c r="A462" t="inlineStr">
        <is>
          <t>A 24871-2025</t>
        </is>
      </c>
      <c r="B462" s="1" t="n">
        <v>45799.49028935185</v>
      </c>
      <c r="C462" s="1" t="n">
        <v>45905</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37322-2022</t>
        </is>
      </c>
      <c r="B463" s="1" t="n">
        <v>44806</v>
      </c>
      <c r="C463" s="1" t="n">
        <v>45905</v>
      </c>
      <c r="D463" t="inlineStr">
        <is>
          <t>VÄSTERBOTTENS LÄN</t>
        </is>
      </c>
      <c r="E463" t="inlineStr">
        <is>
          <t>VILHELMINA</t>
        </is>
      </c>
      <c r="F463" t="inlineStr">
        <is>
          <t>Övriga statliga verk och myndigheter</t>
        </is>
      </c>
      <c r="G463" t="n">
        <v>15.4</v>
      </c>
      <c r="H463" t="n">
        <v>0</v>
      </c>
      <c r="I463" t="n">
        <v>0</v>
      </c>
      <c r="J463" t="n">
        <v>0</v>
      </c>
      <c r="K463" t="n">
        <v>0</v>
      </c>
      <c r="L463" t="n">
        <v>0</v>
      </c>
      <c r="M463" t="n">
        <v>0</v>
      </c>
      <c r="N463" t="n">
        <v>0</v>
      </c>
      <c r="O463" t="n">
        <v>0</v>
      </c>
      <c r="P463" t="n">
        <v>0</v>
      </c>
      <c r="Q463" t="n">
        <v>0</v>
      </c>
      <c r="R463" s="2" t="inlineStr"/>
    </row>
    <row r="464" ht="15" customHeight="1">
      <c r="A464" t="inlineStr">
        <is>
          <t>A 25062-2025</t>
        </is>
      </c>
      <c r="B464" s="1" t="n">
        <v>45799.69844907407</v>
      </c>
      <c r="C464" s="1" t="n">
        <v>45905</v>
      </c>
      <c r="D464" t="inlineStr">
        <is>
          <t>VÄSTERBOTTENS LÄN</t>
        </is>
      </c>
      <c r="E464" t="inlineStr">
        <is>
          <t>VILHELMINA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25176-2025</t>
        </is>
      </c>
      <c r="B465" s="1" t="n">
        <v>45800.44840277778</v>
      </c>
      <c r="C465" s="1" t="n">
        <v>45905</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2043-2023</t>
        </is>
      </c>
      <c r="B466" s="1" t="n">
        <v>44939</v>
      </c>
      <c r="C466" s="1" t="n">
        <v>45905</v>
      </c>
      <c r="D466" t="inlineStr">
        <is>
          <t>VÄSTERBOTTENS LÄN</t>
        </is>
      </c>
      <c r="E466" t="inlineStr">
        <is>
          <t>VILHELMINA</t>
        </is>
      </c>
      <c r="F466" t="inlineStr">
        <is>
          <t>Sveaskog</t>
        </is>
      </c>
      <c r="G466" t="n">
        <v>10.5</v>
      </c>
      <c r="H466" t="n">
        <v>0</v>
      </c>
      <c r="I466" t="n">
        <v>0</v>
      </c>
      <c r="J466" t="n">
        <v>0</v>
      </c>
      <c r="K466" t="n">
        <v>0</v>
      </c>
      <c r="L466" t="n">
        <v>0</v>
      </c>
      <c r="M466" t="n">
        <v>0</v>
      </c>
      <c r="N466" t="n">
        <v>0</v>
      </c>
      <c r="O466" t="n">
        <v>0</v>
      </c>
      <c r="P466" t="n">
        <v>0</v>
      </c>
      <c r="Q466" t="n">
        <v>0</v>
      </c>
      <c r="R466" s="2" t="inlineStr"/>
    </row>
    <row r="467" ht="15" customHeight="1">
      <c r="A467" t="inlineStr">
        <is>
          <t>A 55870-2022</t>
        </is>
      </c>
      <c r="B467" s="1" t="n">
        <v>44888</v>
      </c>
      <c r="C467" s="1" t="n">
        <v>45905</v>
      </c>
      <c r="D467" t="inlineStr">
        <is>
          <t>VÄSTERBOTTENS LÄN</t>
        </is>
      </c>
      <c r="E467" t="inlineStr">
        <is>
          <t>VILHELMINA</t>
        </is>
      </c>
      <c r="G467" t="n">
        <v>13.6</v>
      </c>
      <c r="H467" t="n">
        <v>0</v>
      </c>
      <c r="I467" t="n">
        <v>0</v>
      </c>
      <c r="J467" t="n">
        <v>0</v>
      </c>
      <c r="K467" t="n">
        <v>0</v>
      </c>
      <c r="L467" t="n">
        <v>0</v>
      </c>
      <c r="M467" t="n">
        <v>0</v>
      </c>
      <c r="N467" t="n">
        <v>0</v>
      </c>
      <c r="O467" t="n">
        <v>0</v>
      </c>
      <c r="P467" t="n">
        <v>0</v>
      </c>
      <c r="Q467" t="n">
        <v>0</v>
      </c>
      <c r="R467" s="2" t="inlineStr"/>
    </row>
    <row r="468" ht="15" customHeight="1">
      <c r="A468" t="inlineStr">
        <is>
          <t>A 25524-2025</t>
        </is>
      </c>
      <c r="B468" s="1" t="n">
        <v>45803.38644675926</v>
      </c>
      <c r="C468" s="1" t="n">
        <v>45905</v>
      </c>
      <c r="D468" t="inlineStr">
        <is>
          <t>VÄSTERBOTTENS LÄN</t>
        </is>
      </c>
      <c r="E468" t="inlineStr">
        <is>
          <t>VILHELMINA</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25770-2025</t>
        </is>
      </c>
      <c r="B469" s="1" t="n">
        <v>45804.3449537037</v>
      </c>
      <c r="C469" s="1" t="n">
        <v>45905</v>
      </c>
      <c r="D469" t="inlineStr">
        <is>
          <t>VÄSTERBOTTENS LÄN</t>
        </is>
      </c>
      <c r="E469" t="inlineStr">
        <is>
          <t>VILHELMINA</t>
        </is>
      </c>
      <c r="F469" t="inlineStr">
        <is>
          <t>SCA</t>
        </is>
      </c>
      <c r="G469" t="n">
        <v>7.9</v>
      </c>
      <c r="H469" t="n">
        <v>0</v>
      </c>
      <c r="I469" t="n">
        <v>0</v>
      </c>
      <c r="J469" t="n">
        <v>0</v>
      </c>
      <c r="K469" t="n">
        <v>0</v>
      </c>
      <c r="L469" t="n">
        <v>0</v>
      </c>
      <c r="M469" t="n">
        <v>0</v>
      </c>
      <c r="N469" t="n">
        <v>0</v>
      </c>
      <c r="O469" t="n">
        <v>0</v>
      </c>
      <c r="P469" t="n">
        <v>0</v>
      </c>
      <c r="Q469" t="n">
        <v>0</v>
      </c>
      <c r="R469" s="2" t="inlineStr"/>
    </row>
    <row r="470" ht="15" customHeight="1">
      <c r="A470" t="inlineStr">
        <is>
          <t>A 26018-2025</t>
        </is>
      </c>
      <c r="B470" s="1" t="n">
        <v>45804.67799768518</v>
      </c>
      <c r="C470" s="1" t="n">
        <v>45905</v>
      </c>
      <c r="D470" t="inlineStr">
        <is>
          <t>VÄSTERBOTTENS LÄN</t>
        </is>
      </c>
      <c r="E470" t="inlineStr">
        <is>
          <t>VILHELMINA</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25942-2025</t>
        </is>
      </c>
      <c r="B471" s="1" t="n">
        <v>45804.59461805555</v>
      </c>
      <c r="C471" s="1" t="n">
        <v>45905</v>
      </c>
      <c r="D471" t="inlineStr">
        <is>
          <t>VÄSTERBOTTENS LÄN</t>
        </is>
      </c>
      <c r="E471" t="inlineStr">
        <is>
          <t>VILHELMINA</t>
        </is>
      </c>
      <c r="F471" t="inlineStr">
        <is>
          <t>SCA</t>
        </is>
      </c>
      <c r="G471" t="n">
        <v>6.2</v>
      </c>
      <c r="H471" t="n">
        <v>0</v>
      </c>
      <c r="I471" t="n">
        <v>0</v>
      </c>
      <c r="J471" t="n">
        <v>0</v>
      </c>
      <c r="K471" t="n">
        <v>0</v>
      </c>
      <c r="L471" t="n">
        <v>0</v>
      </c>
      <c r="M471" t="n">
        <v>0</v>
      </c>
      <c r="N471" t="n">
        <v>0</v>
      </c>
      <c r="O471" t="n">
        <v>0</v>
      </c>
      <c r="P471" t="n">
        <v>0</v>
      </c>
      <c r="Q471" t="n">
        <v>0</v>
      </c>
      <c r="R471" s="2" t="inlineStr"/>
    </row>
    <row r="472" ht="15" customHeight="1">
      <c r="A472" t="inlineStr">
        <is>
          <t>A 13829-2025</t>
        </is>
      </c>
      <c r="B472" s="1" t="n">
        <v>45737</v>
      </c>
      <c r="C472" s="1" t="n">
        <v>45905</v>
      </c>
      <c r="D472" t="inlineStr">
        <is>
          <t>VÄSTERBOTTENS LÄN</t>
        </is>
      </c>
      <c r="E472" t="inlineStr">
        <is>
          <t>VILHELMINA</t>
        </is>
      </c>
      <c r="F472" t="inlineStr">
        <is>
          <t>Övriga statliga verk och myndigheter</t>
        </is>
      </c>
      <c r="G472" t="n">
        <v>39.7</v>
      </c>
      <c r="H472" t="n">
        <v>0</v>
      </c>
      <c r="I472" t="n">
        <v>0</v>
      </c>
      <c r="J472" t="n">
        <v>0</v>
      </c>
      <c r="K472" t="n">
        <v>0</v>
      </c>
      <c r="L472" t="n">
        <v>0</v>
      </c>
      <c r="M472" t="n">
        <v>0</v>
      </c>
      <c r="N472" t="n">
        <v>0</v>
      </c>
      <c r="O472" t="n">
        <v>0</v>
      </c>
      <c r="P472" t="n">
        <v>0</v>
      </c>
      <c r="Q472" t="n">
        <v>0</v>
      </c>
      <c r="R472" s="2" t="inlineStr"/>
    </row>
    <row r="473" ht="15" customHeight="1">
      <c r="A473" t="inlineStr">
        <is>
          <t>A 55697-2024</t>
        </is>
      </c>
      <c r="B473" s="1" t="n">
        <v>45622</v>
      </c>
      <c r="C473" s="1" t="n">
        <v>45905</v>
      </c>
      <c r="D473" t="inlineStr">
        <is>
          <t>VÄSTERBOTTENS LÄN</t>
        </is>
      </c>
      <c r="E473" t="inlineStr">
        <is>
          <t>VILHELMINA</t>
        </is>
      </c>
      <c r="G473" t="n">
        <v>3.2</v>
      </c>
      <c r="H473" t="n">
        <v>0</v>
      </c>
      <c r="I473" t="n">
        <v>0</v>
      </c>
      <c r="J473" t="n">
        <v>0</v>
      </c>
      <c r="K473" t="n">
        <v>0</v>
      </c>
      <c r="L473" t="n">
        <v>0</v>
      </c>
      <c r="M473" t="n">
        <v>0</v>
      </c>
      <c r="N473" t="n">
        <v>0</v>
      </c>
      <c r="O473" t="n">
        <v>0</v>
      </c>
      <c r="P473" t="n">
        <v>0</v>
      </c>
      <c r="Q473" t="n">
        <v>0</v>
      </c>
      <c r="R473" s="2" t="inlineStr"/>
    </row>
    <row r="474" ht="15" customHeight="1">
      <c r="A474" t="inlineStr">
        <is>
          <t>A 46908-2024</t>
        </is>
      </c>
      <c r="B474" s="1" t="n">
        <v>45583</v>
      </c>
      <c r="C474" s="1" t="n">
        <v>45905</v>
      </c>
      <c r="D474" t="inlineStr">
        <is>
          <t>VÄSTERBOTTENS LÄN</t>
        </is>
      </c>
      <c r="E474" t="inlineStr">
        <is>
          <t>VILHELMINA</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59003-2024</t>
        </is>
      </c>
      <c r="B475" s="1" t="n">
        <v>45636</v>
      </c>
      <c r="C475" s="1" t="n">
        <v>45905</v>
      </c>
      <c r="D475" t="inlineStr">
        <is>
          <t>VÄSTERBOTTENS LÄN</t>
        </is>
      </c>
      <c r="E475" t="inlineStr">
        <is>
          <t>VILHELMINA</t>
        </is>
      </c>
      <c r="F475" t="inlineStr">
        <is>
          <t>Allmännings- och besparingsskogar</t>
        </is>
      </c>
      <c r="G475" t="n">
        <v>21.8</v>
      </c>
      <c r="H475" t="n">
        <v>0</v>
      </c>
      <c r="I475" t="n">
        <v>0</v>
      </c>
      <c r="J475" t="n">
        <v>0</v>
      </c>
      <c r="K475" t="n">
        <v>0</v>
      </c>
      <c r="L475" t="n">
        <v>0</v>
      </c>
      <c r="M475" t="n">
        <v>0</v>
      </c>
      <c r="N475" t="n">
        <v>0</v>
      </c>
      <c r="O475" t="n">
        <v>0</v>
      </c>
      <c r="P475" t="n">
        <v>0</v>
      </c>
      <c r="Q475" t="n">
        <v>0</v>
      </c>
      <c r="R475" s="2" t="inlineStr"/>
    </row>
    <row r="476" ht="15" customHeight="1">
      <c r="A476" t="inlineStr">
        <is>
          <t>A 56627-2024</t>
        </is>
      </c>
      <c r="B476" s="1" t="n">
        <v>45625</v>
      </c>
      <c r="C476" s="1" t="n">
        <v>45905</v>
      </c>
      <c r="D476" t="inlineStr">
        <is>
          <t>VÄSTERBOTTENS LÄN</t>
        </is>
      </c>
      <c r="E476" t="inlineStr">
        <is>
          <t>VILHELMINA</t>
        </is>
      </c>
      <c r="F476" t="inlineStr">
        <is>
          <t>Allmännings- och besparingsskogar</t>
        </is>
      </c>
      <c r="G476" t="n">
        <v>21.5</v>
      </c>
      <c r="H476" t="n">
        <v>0</v>
      </c>
      <c r="I476" t="n">
        <v>0</v>
      </c>
      <c r="J476" t="n">
        <v>0</v>
      </c>
      <c r="K476" t="n">
        <v>0</v>
      </c>
      <c r="L476" t="n">
        <v>0</v>
      </c>
      <c r="M476" t="n">
        <v>0</v>
      </c>
      <c r="N476" t="n">
        <v>0</v>
      </c>
      <c r="O476" t="n">
        <v>0</v>
      </c>
      <c r="P476" t="n">
        <v>0</v>
      </c>
      <c r="Q476" t="n">
        <v>0</v>
      </c>
      <c r="R476" s="2" t="inlineStr"/>
    </row>
    <row r="477" ht="15" customHeight="1">
      <c r="A477" t="inlineStr">
        <is>
          <t>A 43987-2024</t>
        </is>
      </c>
      <c r="B477" s="1" t="n">
        <v>45572.51092592593</v>
      </c>
      <c r="C477" s="1" t="n">
        <v>45905</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5403-2025</t>
        </is>
      </c>
      <c r="B478" s="1" t="n">
        <v>45692.64475694444</v>
      </c>
      <c r="C478" s="1" t="n">
        <v>45905</v>
      </c>
      <c r="D478" t="inlineStr">
        <is>
          <t>VÄSTERBOTTENS LÄN</t>
        </is>
      </c>
      <c r="E478" t="inlineStr">
        <is>
          <t>VILHELMINA</t>
        </is>
      </c>
      <c r="F478" t="inlineStr">
        <is>
          <t>Kommuner</t>
        </is>
      </c>
      <c r="G478" t="n">
        <v>14.9</v>
      </c>
      <c r="H478" t="n">
        <v>0</v>
      </c>
      <c r="I478" t="n">
        <v>0</v>
      </c>
      <c r="J478" t="n">
        <v>0</v>
      </c>
      <c r="K478" t="n">
        <v>0</v>
      </c>
      <c r="L478" t="n">
        <v>0</v>
      </c>
      <c r="M478" t="n">
        <v>0</v>
      </c>
      <c r="N478" t="n">
        <v>0</v>
      </c>
      <c r="O478" t="n">
        <v>0</v>
      </c>
      <c r="P478" t="n">
        <v>0</v>
      </c>
      <c r="Q478" t="n">
        <v>0</v>
      </c>
      <c r="R478" s="2" t="inlineStr"/>
    </row>
    <row r="479" ht="15" customHeight="1">
      <c r="A479" t="inlineStr">
        <is>
          <t>A 26098-2025</t>
        </is>
      </c>
      <c r="B479" s="1" t="n">
        <v>45805</v>
      </c>
      <c r="C479" s="1" t="n">
        <v>45905</v>
      </c>
      <c r="D479" t="inlineStr">
        <is>
          <t>VÄSTERBOTTENS LÄN</t>
        </is>
      </c>
      <c r="E479" t="inlineStr">
        <is>
          <t>VILHELMINA</t>
        </is>
      </c>
      <c r="F479" t="inlineStr">
        <is>
          <t>Övriga statliga verk och myndigheter</t>
        </is>
      </c>
      <c r="G479" t="n">
        <v>5.4</v>
      </c>
      <c r="H479" t="n">
        <v>0</v>
      </c>
      <c r="I479" t="n">
        <v>0</v>
      </c>
      <c r="J479" t="n">
        <v>0</v>
      </c>
      <c r="K479" t="n">
        <v>0</v>
      </c>
      <c r="L479" t="n">
        <v>0</v>
      </c>
      <c r="M479" t="n">
        <v>0</v>
      </c>
      <c r="N479" t="n">
        <v>0</v>
      </c>
      <c r="O479" t="n">
        <v>0</v>
      </c>
      <c r="P479" t="n">
        <v>0</v>
      </c>
      <c r="Q479" t="n">
        <v>0</v>
      </c>
      <c r="R479" s="2" t="inlineStr"/>
    </row>
    <row r="480" ht="15" customHeight="1">
      <c r="A480" t="inlineStr">
        <is>
          <t>A 55695-2024</t>
        </is>
      </c>
      <c r="B480" s="1" t="n">
        <v>45622</v>
      </c>
      <c r="C480" s="1" t="n">
        <v>45905</v>
      </c>
      <c r="D480" t="inlineStr">
        <is>
          <t>VÄSTERBOTTENS LÄN</t>
        </is>
      </c>
      <c r="E480" t="inlineStr">
        <is>
          <t>VILHELMINA</t>
        </is>
      </c>
      <c r="G480" t="n">
        <v>7.2</v>
      </c>
      <c r="H480" t="n">
        <v>0</v>
      </c>
      <c r="I480" t="n">
        <v>0</v>
      </c>
      <c r="J480" t="n">
        <v>0</v>
      </c>
      <c r="K480" t="n">
        <v>0</v>
      </c>
      <c r="L480" t="n">
        <v>0</v>
      </c>
      <c r="M480" t="n">
        <v>0</v>
      </c>
      <c r="N480" t="n">
        <v>0</v>
      </c>
      <c r="O480" t="n">
        <v>0</v>
      </c>
      <c r="P480" t="n">
        <v>0</v>
      </c>
      <c r="Q480" t="n">
        <v>0</v>
      </c>
      <c r="R480" s="2" t="inlineStr"/>
    </row>
    <row r="481" ht="15" customHeight="1">
      <c r="A481" t="inlineStr">
        <is>
          <t>A 27355-2023</t>
        </is>
      </c>
      <c r="B481" s="1" t="n">
        <v>45096</v>
      </c>
      <c r="C481" s="1" t="n">
        <v>45905</v>
      </c>
      <c r="D481" t="inlineStr">
        <is>
          <t>VÄSTERBOTTENS LÄN</t>
        </is>
      </c>
      <c r="E481" t="inlineStr">
        <is>
          <t>VILHELMINA</t>
        </is>
      </c>
      <c r="G481" t="n">
        <v>2.6</v>
      </c>
      <c r="H481" t="n">
        <v>0</v>
      </c>
      <c r="I481" t="n">
        <v>0</v>
      </c>
      <c r="J481" t="n">
        <v>0</v>
      </c>
      <c r="K481" t="n">
        <v>0</v>
      </c>
      <c r="L481" t="n">
        <v>0</v>
      </c>
      <c r="M481" t="n">
        <v>0</v>
      </c>
      <c r="N481" t="n">
        <v>0</v>
      </c>
      <c r="O481" t="n">
        <v>0</v>
      </c>
      <c r="P481" t="n">
        <v>0</v>
      </c>
      <c r="Q481" t="n">
        <v>0</v>
      </c>
      <c r="R481" s="2" t="inlineStr"/>
    </row>
    <row r="482" ht="15" customHeight="1">
      <c r="A482" t="inlineStr">
        <is>
          <t>A 59018-2024</t>
        </is>
      </c>
      <c r="B482" s="1" t="n">
        <v>45636</v>
      </c>
      <c r="C482" s="1" t="n">
        <v>45905</v>
      </c>
      <c r="D482" t="inlineStr">
        <is>
          <t>VÄSTERBOTTENS LÄN</t>
        </is>
      </c>
      <c r="E482" t="inlineStr">
        <is>
          <t>VILHELMINA</t>
        </is>
      </c>
      <c r="F482" t="inlineStr">
        <is>
          <t>Allmännings- och besparingsskogar</t>
        </is>
      </c>
      <c r="G482" t="n">
        <v>13.9</v>
      </c>
      <c r="H482" t="n">
        <v>0</v>
      </c>
      <c r="I482" t="n">
        <v>0</v>
      </c>
      <c r="J482" t="n">
        <v>0</v>
      </c>
      <c r="K482" t="n">
        <v>0</v>
      </c>
      <c r="L482" t="n">
        <v>0</v>
      </c>
      <c r="M482" t="n">
        <v>0</v>
      </c>
      <c r="N482" t="n">
        <v>0</v>
      </c>
      <c r="O482" t="n">
        <v>0</v>
      </c>
      <c r="P482" t="n">
        <v>0</v>
      </c>
      <c r="Q482" t="n">
        <v>0</v>
      </c>
      <c r="R482" s="2" t="inlineStr"/>
    </row>
    <row r="483" ht="15" customHeight="1">
      <c r="A483" t="inlineStr">
        <is>
          <t>A 664-2022</t>
        </is>
      </c>
      <c r="B483" s="1" t="n">
        <v>44568</v>
      </c>
      <c r="C483" s="1" t="n">
        <v>45905</v>
      </c>
      <c r="D483" t="inlineStr">
        <is>
          <t>VÄSTERBOTTENS LÄN</t>
        </is>
      </c>
      <c r="E483" t="inlineStr">
        <is>
          <t>VILHELMINA</t>
        </is>
      </c>
      <c r="G483" t="n">
        <v>1.8</v>
      </c>
      <c r="H483" t="n">
        <v>0</v>
      </c>
      <c r="I483" t="n">
        <v>0</v>
      </c>
      <c r="J483" t="n">
        <v>0</v>
      </c>
      <c r="K483" t="n">
        <v>0</v>
      </c>
      <c r="L483" t="n">
        <v>0</v>
      </c>
      <c r="M483" t="n">
        <v>0</v>
      </c>
      <c r="N483" t="n">
        <v>0</v>
      </c>
      <c r="O483" t="n">
        <v>0</v>
      </c>
      <c r="P483" t="n">
        <v>0</v>
      </c>
      <c r="Q483" t="n">
        <v>0</v>
      </c>
      <c r="R483" s="2" t="inlineStr"/>
    </row>
    <row r="484" ht="15" customHeight="1">
      <c r="A484" t="inlineStr">
        <is>
          <t>A 11538-2024</t>
        </is>
      </c>
      <c r="B484" s="1" t="n">
        <v>45372</v>
      </c>
      <c r="C484" s="1" t="n">
        <v>45905</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58946-2024</t>
        </is>
      </c>
      <c r="B485" s="1" t="n">
        <v>45636.55063657407</v>
      </c>
      <c r="C485" s="1" t="n">
        <v>45905</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58999-2024</t>
        </is>
      </c>
      <c r="B486" s="1" t="n">
        <v>45636</v>
      </c>
      <c r="C486" s="1" t="n">
        <v>45905</v>
      </c>
      <c r="D486" t="inlineStr">
        <is>
          <t>VÄSTERBOTTENS LÄN</t>
        </is>
      </c>
      <c r="E486" t="inlineStr">
        <is>
          <t>VILHELMINA</t>
        </is>
      </c>
      <c r="F486" t="inlineStr">
        <is>
          <t>Allmännings- och besparingsskogar</t>
        </is>
      </c>
      <c r="G486" t="n">
        <v>12.3</v>
      </c>
      <c r="H486" t="n">
        <v>0</v>
      </c>
      <c r="I486" t="n">
        <v>0</v>
      </c>
      <c r="J486" t="n">
        <v>0</v>
      </c>
      <c r="K486" t="n">
        <v>0</v>
      </c>
      <c r="L486" t="n">
        <v>0</v>
      </c>
      <c r="M486" t="n">
        <v>0</v>
      </c>
      <c r="N486" t="n">
        <v>0</v>
      </c>
      <c r="O486" t="n">
        <v>0</v>
      </c>
      <c r="P486" t="n">
        <v>0</v>
      </c>
      <c r="Q486" t="n">
        <v>0</v>
      </c>
      <c r="R486" s="2" t="inlineStr"/>
    </row>
    <row r="487" ht="15" customHeight="1">
      <c r="A487" t="inlineStr">
        <is>
          <t>A 54459-2024</t>
        </is>
      </c>
      <c r="B487" s="1" t="n">
        <v>45617</v>
      </c>
      <c r="C487" s="1" t="n">
        <v>45905</v>
      </c>
      <c r="D487" t="inlineStr">
        <is>
          <t>VÄSTERBOTTENS LÄN</t>
        </is>
      </c>
      <c r="E487" t="inlineStr">
        <is>
          <t>VILHELMINA</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56629-2024</t>
        </is>
      </c>
      <c r="B488" s="1" t="n">
        <v>45625</v>
      </c>
      <c r="C488" s="1" t="n">
        <v>45905</v>
      </c>
      <c r="D488" t="inlineStr">
        <is>
          <t>VÄSTERBOTTENS LÄN</t>
        </is>
      </c>
      <c r="E488" t="inlineStr">
        <is>
          <t>VILHELMINA</t>
        </is>
      </c>
      <c r="F488" t="inlineStr">
        <is>
          <t>Allmännings- och besparingsskogar</t>
        </is>
      </c>
      <c r="G488" t="n">
        <v>19.7</v>
      </c>
      <c r="H488" t="n">
        <v>0</v>
      </c>
      <c r="I488" t="n">
        <v>0</v>
      </c>
      <c r="J488" t="n">
        <v>0</v>
      </c>
      <c r="K488" t="n">
        <v>0</v>
      </c>
      <c r="L488" t="n">
        <v>0</v>
      </c>
      <c r="M488" t="n">
        <v>0</v>
      </c>
      <c r="N488" t="n">
        <v>0</v>
      </c>
      <c r="O488" t="n">
        <v>0</v>
      </c>
      <c r="P488" t="n">
        <v>0</v>
      </c>
      <c r="Q488" t="n">
        <v>0</v>
      </c>
      <c r="R488" s="2" t="inlineStr"/>
    </row>
    <row r="489" ht="15" customHeight="1">
      <c r="A489" t="inlineStr">
        <is>
          <t>A 56624-2024</t>
        </is>
      </c>
      <c r="B489" s="1" t="n">
        <v>45625</v>
      </c>
      <c r="C489" s="1" t="n">
        <v>45905</v>
      </c>
      <c r="D489" t="inlineStr">
        <is>
          <t>VÄSTERBOTTENS LÄN</t>
        </is>
      </c>
      <c r="E489" t="inlineStr">
        <is>
          <t>VILHELMINA</t>
        </is>
      </c>
      <c r="F489" t="inlineStr">
        <is>
          <t>Allmännings- och besparingsskogar</t>
        </is>
      </c>
      <c r="G489" t="n">
        <v>17.8</v>
      </c>
      <c r="H489" t="n">
        <v>0</v>
      </c>
      <c r="I489" t="n">
        <v>0</v>
      </c>
      <c r="J489" t="n">
        <v>0</v>
      </c>
      <c r="K489" t="n">
        <v>0</v>
      </c>
      <c r="L489" t="n">
        <v>0</v>
      </c>
      <c r="M489" t="n">
        <v>0</v>
      </c>
      <c r="N489" t="n">
        <v>0</v>
      </c>
      <c r="O489" t="n">
        <v>0</v>
      </c>
      <c r="P489" t="n">
        <v>0</v>
      </c>
      <c r="Q489" t="n">
        <v>0</v>
      </c>
      <c r="R489" s="2" t="inlineStr"/>
    </row>
    <row r="490" ht="15" customHeight="1">
      <c r="A490" t="inlineStr">
        <is>
          <t>A 59011-2024</t>
        </is>
      </c>
      <c r="B490" s="1" t="n">
        <v>45636</v>
      </c>
      <c r="C490" s="1" t="n">
        <v>45905</v>
      </c>
      <c r="D490" t="inlineStr">
        <is>
          <t>VÄSTERBOTTENS LÄN</t>
        </is>
      </c>
      <c r="E490" t="inlineStr">
        <is>
          <t>VILHELMINA</t>
        </is>
      </c>
      <c r="F490" t="inlineStr">
        <is>
          <t>Allmännings- och besparingsskogar</t>
        </is>
      </c>
      <c r="G490" t="n">
        <v>35.2</v>
      </c>
      <c r="H490" t="n">
        <v>0</v>
      </c>
      <c r="I490" t="n">
        <v>0</v>
      </c>
      <c r="J490" t="n">
        <v>0</v>
      </c>
      <c r="K490" t="n">
        <v>0</v>
      </c>
      <c r="L490" t="n">
        <v>0</v>
      </c>
      <c r="M490" t="n">
        <v>0</v>
      </c>
      <c r="N490" t="n">
        <v>0</v>
      </c>
      <c r="O490" t="n">
        <v>0</v>
      </c>
      <c r="P490" t="n">
        <v>0</v>
      </c>
      <c r="Q490" t="n">
        <v>0</v>
      </c>
      <c r="R490" s="2" t="inlineStr"/>
    </row>
    <row r="491" ht="15" customHeight="1">
      <c r="A491" t="inlineStr">
        <is>
          <t>A 35409-2024</t>
        </is>
      </c>
      <c r="B491" s="1" t="n">
        <v>45531</v>
      </c>
      <c r="C491" s="1" t="n">
        <v>45905</v>
      </c>
      <c r="D491" t="inlineStr">
        <is>
          <t>VÄSTERBOTTENS LÄN</t>
        </is>
      </c>
      <c r="E491" t="inlineStr">
        <is>
          <t>VILHELMINA</t>
        </is>
      </c>
      <c r="F491" t="inlineStr">
        <is>
          <t>SCA</t>
        </is>
      </c>
      <c r="G491" t="n">
        <v>13.1</v>
      </c>
      <c r="H491" t="n">
        <v>0</v>
      </c>
      <c r="I491" t="n">
        <v>0</v>
      </c>
      <c r="J491" t="n">
        <v>0</v>
      </c>
      <c r="K491" t="n">
        <v>0</v>
      </c>
      <c r="L491" t="n">
        <v>0</v>
      </c>
      <c r="M491" t="n">
        <v>0</v>
      </c>
      <c r="N491" t="n">
        <v>0</v>
      </c>
      <c r="O491" t="n">
        <v>0</v>
      </c>
      <c r="P491" t="n">
        <v>0</v>
      </c>
      <c r="Q491" t="n">
        <v>0</v>
      </c>
      <c r="R491" s="2" t="inlineStr"/>
    </row>
    <row r="492" ht="15" customHeight="1">
      <c r="A492" t="inlineStr">
        <is>
          <t>A 47010-2024</t>
        </is>
      </c>
      <c r="B492" s="1" t="n">
        <v>45586</v>
      </c>
      <c r="C492" s="1" t="n">
        <v>45905</v>
      </c>
      <c r="D492" t="inlineStr">
        <is>
          <t>VÄSTERBOTTENS LÄN</t>
        </is>
      </c>
      <c r="E492" t="inlineStr">
        <is>
          <t>VILHELMINA</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21345-2024</t>
        </is>
      </c>
      <c r="B493" s="1" t="n">
        <v>45440.92866898148</v>
      </c>
      <c r="C493" s="1" t="n">
        <v>45905</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46177-2023</t>
        </is>
      </c>
      <c r="B494" s="1" t="n">
        <v>45190</v>
      </c>
      <c r="C494" s="1" t="n">
        <v>45905</v>
      </c>
      <c r="D494" t="inlineStr">
        <is>
          <t>VÄSTERBOTTENS LÄN</t>
        </is>
      </c>
      <c r="E494" t="inlineStr">
        <is>
          <t>VILHELMINA</t>
        </is>
      </c>
      <c r="F494" t="inlineStr">
        <is>
          <t>Övriga Aktiebolag</t>
        </is>
      </c>
      <c r="G494" t="n">
        <v>7.7</v>
      </c>
      <c r="H494" t="n">
        <v>0</v>
      </c>
      <c r="I494" t="n">
        <v>0</v>
      </c>
      <c r="J494" t="n">
        <v>0</v>
      </c>
      <c r="K494" t="n">
        <v>0</v>
      </c>
      <c r="L494" t="n">
        <v>0</v>
      </c>
      <c r="M494" t="n">
        <v>0</v>
      </c>
      <c r="N494" t="n">
        <v>0</v>
      </c>
      <c r="O494" t="n">
        <v>0</v>
      </c>
      <c r="P494" t="n">
        <v>0</v>
      </c>
      <c r="Q494" t="n">
        <v>0</v>
      </c>
      <c r="R494" s="2" t="inlineStr"/>
    </row>
    <row r="495" ht="15" customHeight="1">
      <c r="A495" t="inlineStr">
        <is>
          <t>A 20846-2025</t>
        </is>
      </c>
      <c r="B495" s="1" t="n">
        <v>45777</v>
      </c>
      <c r="C495" s="1" t="n">
        <v>45905</v>
      </c>
      <c r="D495" t="inlineStr">
        <is>
          <t>VÄSTERBOTTENS LÄN</t>
        </is>
      </c>
      <c r="E495" t="inlineStr">
        <is>
          <t>VILHELMINA</t>
        </is>
      </c>
      <c r="G495" t="n">
        <v>19.1</v>
      </c>
      <c r="H495" t="n">
        <v>0</v>
      </c>
      <c r="I495" t="n">
        <v>0</v>
      </c>
      <c r="J495" t="n">
        <v>0</v>
      </c>
      <c r="K495" t="n">
        <v>0</v>
      </c>
      <c r="L495" t="n">
        <v>0</v>
      </c>
      <c r="M495" t="n">
        <v>0</v>
      </c>
      <c r="N495" t="n">
        <v>0</v>
      </c>
      <c r="O495" t="n">
        <v>0</v>
      </c>
      <c r="P495" t="n">
        <v>0</v>
      </c>
      <c r="Q495" t="n">
        <v>0</v>
      </c>
      <c r="R495" s="2" t="inlineStr"/>
    </row>
    <row r="496" ht="15" customHeight="1">
      <c r="A496" t="inlineStr">
        <is>
          <t>A 38125-2024</t>
        </is>
      </c>
      <c r="B496" s="1" t="n">
        <v>45545.40717592592</v>
      </c>
      <c r="C496" s="1" t="n">
        <v>45905</v>
      </c>
      <c r="D496" t="inlineStr">
        <is>
          <t>VÄSTERBOTTENS LÄN</t>
        </is>
      </c>
      <c r="E496" t="inlineStr">
        <is>
          <t>VILHELMINA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38126-2024</t>
        </is>
      </c>
      <c r="B497" s="1" t="n">
        <v>45545</v>
      </c>
      <c r="C497" s="1" t="n">
        <v>45905</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38130-2024</t>
        </is>
      </c>
      <c r="B498" s="1" t="n">
        <v>45545</v>
      </c>
      <c r="C498" s="1" t="n">
        <v>45905</v>
      </c>
      <c r="D498" t="inlineStr">
        <is>
          <t>VÄSTERBOTTENS LÄN</t>
        </is>
      </c>
      <c r="E498" t="inlineStr">
        <is>
          <t>VILHELMINA</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39670-2024</t>
        </is>
      </c>
      <c r="B499" s="1" t="n">
        <v>45552.5315162037</v>
      </c>
      <c r="C499" s="1" t="n">
        <v>45905</v>
      </c>
      <c r="D499" t="inlineStr">
        <is>
          <t>VÄSTERBOTTENS LÄN</t>
        </is>
      </c>
      <c r="E499" t="inlineStr">
        <is>
          <t>VILHELMINA</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8859-2023</t>
        </is>
      </c>
      <c r="B500" s="1" t="n">
        <v>44978</v>
      </c>
      <c r="C500" s="1" t="n">
        <v>45905</v>
      </c>
      <c r="D500" t="inlineStr">
        <is>
          <t>VÄSTERBOTTENS LÄN</t>
        </is>
      </c>
      <c r="E500" t="inlineStr">
        <is>
          <t>VILHELMINA</t>
        </is>
      </c>
      <c r="G500" t="n">
        <v>6.3</v>
      </c>
      <c r="H500" t="n">
        <v>0</v>
      </c>
      <c r="I500" t="n">
        <v>0</v>
      </c>
      <c r="J500" t="n">
        <v>0</v>
      </c>
      <c r="K500" t="n">
        <v>0</v>
      </c>
      <c r="L500" t="n">
        <v>0</v>
      </c>
      <c r="M500" t="n">
        <v>0</v>
      </c>
      <c r="N500" t="n">
        <v>0</v>
      </c>
      <c r="O500" t="n">
        <v>0</v>
      </c>
      <c r="P500" t="n">
        <v>0</v>
      </c>
      <c r="Q500" t="n">
        <v>0</v>
      </c>
      <c r="R500" s="2" t="inlineStr"/>
    </row>
    <row r="501" ht="15" customHeight="1">
      <c r="A501" t="inlineStr">
        <is>
          <t>A 26722-2025</t>
        </is>
      </c>
      <c r="B501" s="1" t="n">
        <v>45810</v>
      </c>
      <c r="C501" s="1" t="n">
        <v>45905</v>
      </c>
      <c r="D501" t="inlineStr">
        <is>
          <t>VÄSTERBOTTENS LÄN</t>
        </is>
      </c>
      <c r="E501" t="inlineStr">
        <is>
          <t>VILHELMINA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64254-2020</t>
        </is>
      </c>
      <c r="B502" s="1" t="n">
        <v>44168</v>
      </c>
      <c r="C502" s="1" t="n">
        <v>45905</v>
      </c>
      <c r="D502" t="inlineStr">
        <is>
          <t>VÄSTERBOTTENS LÄN</t>
        </is>
      </c>
      <c r="E502" t="inlineStr">
        <is>
          <t>VILHELMINA</t>
        </is>
      </c>
      <c r="G502" t="n">
        <v>17.6</v>
      </c>
      <c r="H502" t="n">
        <v>0</v>
      </c>
      <c r="I502" t="n">
        <v>0</v>
      </c>
      <c r="J502" t="n">
        <v>0</v>
      </c>
      <c r="K502" t="n">
        <v>0</v>
      </c>
      <c r="L502" t="n">
        <v>0</v>
      </c>
      <c r="M502" t="n">
        <v>0</v>
      </c>
      <c r="N502" t="n">
        <v>0</v>
      </c>
      <c r="O502" t="n">
        <v>0</v>
      </c>
      <c r="P502" t="n">
        <v>0</v>
      </c>
      <c r="Q502" t="n">
        <v>0</v>
      </c>
      <c r="R502" s="2" t="inlineStr"/>
    </row>
    <row r="503" ht="15" customHeight="1">
      <c r="A503" t="inlineStr">
        <is>
          <t>A 22457-2025</t>
        </is>
      </c>
      <c r="B503" s="1" t="n">
        <v>45786</v>
      </c>
      <c r="C503" s="1" t="n">
        <v>45905</v>
      </c>
      <c r="D503" t="inlineStr">
        <is>
          <t>VÄSTERBOTTENS LÄN</t>
        </is>
      </c>
      <c r="E503" t="inlineStr">
        <is>
          <t>VILHELMINA</t>
        </is>
      </c>
      <c r="G503" t="n">
        <v>10.8</v>
      </c>
      <c r="H503" t="n">
        <v>0</v>
      </c>
      <c r="I503" t="n">
        <v>0</v>
      </c>
      <c r="J503" t="n">
        <v>0</v>
      </c>
      <c r="K503" t="n">
        <v>0</v>
      </c>
      <c r="L503" t="n">
        <v>0</v>
      </c>
      <c r="M503" t="n">
        <v>0</v>
      </c>
      <c r="N503" t="n">
        <v>0</v>
      </c>
      <c r="O503" t="n">
        <v>0</v>
      </c>
      <c r="P503" t="n">
        <v>0</v>
      </c>
      <c r="Q503" t="n">
        <v>0</v>
      </c>
      <c r="R503" s="2" t="inlineStr"/>
    </row>
    <row r="504" ht="15" customHeight="1">
      <c r="A504" t="inlineStr">
        <is>
          <t>A 51826-2023</t>
        </is>
      </c>
      <c r="B504" s="1" t="n">
        <v>45222.9678125</v>
      </c>
      <c r="C504" s="1" t="n">
        <v>45905</v>
      </c>
      <c r="D504" t="inlineStr">
        <is>
          <t>VÄSTERBOTTENS LÄN</t>
        </is>
      </c>
      <c r="E504" t="inlineStr">
        <is>
          <t>VILHELMINA</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18394-2025</t>
        </is>
      </c>
      <c r="B505" s="1" t="n">
        <v>45762</v>
      </c>
      <c r="C505" s="1" t="n">
        <v>45905</v>
      </c>
      <c r="D505" t="inlineStr">
        <is>
          <t>VÄSTERBOTTENS LÄN</t>
        </is>
      </c>
      <c r="E505" t="inlineStr">
        <is>
          <t>VILHELMINA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20524-2024</t>
        </is>
      </c>
      <c r="B506" s="1" t="n">
        <v>45435.94567129629</v>
      </c>
      <c r="C506" s="1" t="n">
        <v>45905</v>
      </c>
      <c r="D506" t="inlineStr">
        <is>
          <t>VÄSTERBOTTENS LÄN</t>
        </is>
      </c>
      <c r="E506" t="inlineStr">
        <is>
          <t>VILHELMINA</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37514-2024</t>
        </is>
      </c>
      <c r="B507" s="1" t="n">
        <v>45541.38586805556</v>
      </c>
      <c r="C507" s="1" t="n">
        <v>45905</v>
      </c>
      <c r="D507" t="inlineStr">
        <is>
          <t>VÄSTERBOTTENS LÄN</t>
        </is>
      </c>
      <c r="E507" t="inlineStr">
        <is>
          <t>VILHELMINA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26744-2025</t>
        </is>
      </c>
      <c r="B508" s="1" t="n">
        <v>45810.53185185185</v>
      </c>
      <c r="C508" s="1" t="n">
        <v>45905</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50494-2023</t>
        </is>
      </c>
      <c r="B509" s="1" t="n">
        <v>45216.95604166666</v>
      </c>
      <c r="C509" s="1" t="n">
        <v>45905</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26790-2025</t>
        </is>
      </c>
      <c r="B510" s="1" t="n">
        <v>45810.59417824074</v>
      </c>
      <c r="C510" s="1" t="n">
        <v>45905</v>
      </c>
      <c r="D510" t="inlineStr">
        <is>
          <t>VÄSTERBOTTENS LÄN</t>
        </is>
      </c>
      <c r="E510" t="inlineStr">
        <is>
          <t>VILHELMINA</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26745-2025</t>
        </is>
      </c>
      <c r="B511" s="1" t="n">
        <v>45810.53188657408</v>
      </c>
      <c r="C511" s="1" t="n">
        <v>45905</v>
      </c>
      <c r="D511" t="inlineStr">
        <is>
          <t>VÄSTERBOTTENS LÄN</t>
        </is>
      </c>
      <c r="E511" t="inlineStr">
        <is>
          <t>VILHELMINA</t>
        </is>
      </c>
      <c r="F511" t="inlineStr">
        <is>
          <t>SCA</t>
        </is>
      </c>
      <c r="G511" t="n">
        <v>0.3</v>
      </c>
      <c r="H511" t="n">
        <v>0</v>
      </c>
      <c r="I511" t="n">
        <v>0</v>
      </c>
      <c r="J511" t="n">
        <v>0</v>
      </c>
      <c r="K511" t="n">
        <v>0</v>
      </c>
      <c r="L511" t="n">
        <v>0</v>
      </c>
      <c r="M511" t="n">
        <v>0</v>
      </c>
      <c r="N511" t="n">
        <v>0</v>
      </c>
      <c r="O511" t="n">
        <v>0</v>
      </c>
      <c r="P511" t="n">
        <v>0</v>
      </c>
      <c r="Q511" t="n">
        <v>0</v>
      </c>
      <c r="R511" s="2" t="inlineStr"/>
    </row>
    <row r="512" ht="15" customHeight="1">
      <c r="A512" t="inlineStr">
        <is>
          <t>A 21370-2024</t>
        </is>
      </c>
      <c r="B512" s="1" t="n">
        <v>45440.95310185185</v>
      </c>
      <c r="C512" s="1" t="n">
        <v>45905</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19423-2022</t>
        </is>
      </c>
      <c r="B513" s="1" t="n">
        <v>44693.32515046297</v>
      </c>
      <c r="C513" s="1" t="n">
        <v>45905</v>
      </c>
      <c r="D513" t="inlineStr">
        <is>
          <t>VÄSTERBOTTENS LÄN</t>
        </is>
      </c>
      <c r="E513" t="inlineStr">
        <is>
          <t>VILHELMINA</t>
        </is>
      </c>
      <c r="G513" t="n">
        <v>1.9</v>
      </c>
      <c r="H513" t="n">
        <v>0</v>
      </c>
      <c r="I513" t="n">
        <v>0</v>
      </c>
      <c r="J513" t="n">
        <v>0</v>
      </c>
      <c r="K513" t="n">
        <v>0</v>
      </c>
      <c r="L513" t="n">
        <v>0</v>
      </c>
      <c r="M513" t="n">
        <v>0</v>
      </c>
      <c r="N513" t="n">
        <v>0</v>
      </c>
      <c r="O513" t="n">
        <v>0</v>
      </c>
      <c r="P513" t="n">
        <v>0</v>
      </c>
      <c r="Q513" t="n">
        <v>0</v>
      </c>
      <c r="R513" s="2" t="inlineStr"/>
    </row>
    <row r="514" ht="15" customHeight="1">
      <c r="A514" t="inlineStr">
        <is>
          <t>A 8566-2025</t>
        </is>
      </c>
      <c r="B514" s="1" t="n">
        <v>45709</v>
      </c>
      <c r="C514" s="1" t="n">
        <v>45905</v>
      </c>
      <c r="D514" t="inlineStr">
        <is>
          <t>VÄSTERBOTTENS LÄN</t>
        </is>
      </c>
      <c r="E514" t="inlineStr">
        <is>
          <t>VILHELMINA</t>
        </is>
      </c>
      <c r="G514" t="n">
        <v>10.5</v>
      </c>
      <c r="H514" t="n">
        <v>0</v>
      </c>
      <c r="I514" t="n">
        <v>0</v>
      </c>
      <c r="J514" t="n">
        <v>0</v>
      </c>
      <c r="K514" t="n">
        <v>0</v>
      </c>
      <c r="L514" t="n">
        <v>0</v>
      </c>
      <c r="M514" t="n">
        <v>0</v>
      </c>
      <c r="N514" t="n">
        <v>0</v>
      </c>
      <c r="O514" t="n">
        <v>0</v>
      </c>
      <c r="P514" t="n">
        <v>0</v>
      </c>
      <c r="Q514" t="n">
        <v>0</v>
      </c>
      <c r="R514" s="2" t="inlineStr"/>
    </row>
    <row r="515" ht="15" customHeight="1">
      <c r="A515" t="inlineStr">
        <is>
          <t>A 8585-2025</t>
        </is>
      </c>
      <c r="B515" s="1" t="n">
        <v>45709</v>
      </c>
      <c r="C515" s="1" t="n">
        <v>45905</v>
      </c>
      <c r="D515" t="inlineStr">
        <is>
          <t>VÄSTERBOTTENS LÄN</t>
        </is>
      </c>
      <c r="E515" t="inlineStr">
        <is>
          <t>VILHELMINA</t>
        </is>
      </c>
      <c r="G515" t="n">
        <v>3.4</v>
      </c>
      <c r="H515" t="n">
        <v>0</v>
      </c>
      <c r="I515" t="n">
        <v>0</v>
      </c>
      <c r="J515" t="n">
        <v>0</v>
      </c>
      <c r="K515" t="n">
        <v>0</v>
      </c>
      <c r="L515" t="n">
        <v>0</v>
      </c>
      <c r="M515" t="n">
        <v>0</v>
      </c>
      <c r="N515" t="n">
        <v>0</v>
      </c>
      <c r="O515" t="n">
        <v>0</v>
      </c>
      <c r="P515" t="n">
        <v>0</v>
      </c>
      <c r="Q515" t="n">
        <v>0</v>
      </c>
      <c r="R515" s="2" t="inlineStr"/>
    </row>
    <row r="516" ht="15" customHeight="1">
      <c r="A516" t="inlineStr">
        <is>
          <t>A 19585-2024</t>
        </is>
      </c>
      <c r="B516" s="1" t="n">
        <v>45429</v>
      </c>
      <c r="C516" s="1" t="n">
        <v>45905</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34719-2024</t>
        </is>
      </c>
      <c r="B517" s="1" t="n">
        <v>45526.56435185186</v>
      </c>
      <c r="C517" s="1" t="n">
        <v>45905</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34630-2024</t>
        </is>
      </c>
      <c r="B518" s="1" t="n">
        <v>45526.46234953704</v>
      </c>
      <c r="C518" s="1" t="n">
        <v>45905</v>
      </c>
      <c r="D518" t="inlineStr">
        <is>
          <t>VÄSTERBOTTENS LÄN</t>
        </is>
      </c>
      <c r="E518" t="inlineStr">
        <is>
          <t>VILHELMINA</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7102-2024</t>
        </is>
      </c>
      <c r="B519" s="1" t="n">
        <v>45343</v>
      </c>
      <c r="C519" s="1" t="n">
        <v>45905</v>
      </c>
      <c r="D519" t="inlineStr">
        <is>
          <t>VÄSTERBOTTENS LÄN</t>
        </is>
      </c>
      <c r="E519" t="inlineStr">
        <is>
          <t>VILHELMINA</t>
        </is>
      </c>
      <c r="G519" t="n">
        <v>3.2</v>
      </c>
      <c r="H519" t="n">
        <v>0</v>
      </c>
      <c r="I519" t="n">
        <v>0</v>
      </c>
      <c r="J519" t="n">
        <v>0</v>
      </c>
      <c r="K519" t="n">
        <v>0</v>
      </c>
      <c r="L519" t="n">
        <v>0</v>
      </c>
      <c r="M519" t="n">
        <v>0</v>
      </c>
      <c r="N519" t="n">
        <v>0</v>
      </c>
      <c r="O519" t="n">
        <v>0</v>
      </c>
      <c r="P519" t="n">
        <v>0</v>
      </c>
      <c r="Q519" t="n">
        <v>0</v>
      </c>
      <c r="R519" s="2" t="inlineStr"/>
    </row>
    <row r="520" ht="15" customHeight="1">
      <c r="A520" t="inlineStr">
        <is>
          <t>A 2488-2023</t>
        </is>
      </c>
      <c r="B520" s="1" t="n">
        <v>44943</v>
      </c>
      <c r="C520" s="1" t="n">
        <v>45905</v>
      </c>
      <c r="D520" t="inlineStr">
        <is>
          <t>VÄSTERBOTTENS LÄN</t>
        </is>
      </c>
      <c r="E520" t="inlineStr">
        <is>
          <t>VILHELMINA</t>
        </is>
      </c>
      <c r="G520" t="n">
        <v>69.3</v>
      </c>
      <c r="H520" t="n">
        <v>0</v>
      </c>
      <c r="I520" t="n">
        <v>0</v>
      </c>
      <c r="J520" t="n">
        <v>0</v>
      </c>
      <c r="K520" t="n">
        <v>0</v>
      </c>
      <c r="L520" t="n">
        <v>0</v>
      </c>
      <c r="M520" t="n">
        <v>0</v>
      </c>
      <c r="N520" t="n">
        <v>0</v>
      </c>
      <c r="O520" t="n">
        <v>0</v>
      </c>
      <c r="P520" t="n">
        <v>0</v>
      </c>
      <c r="Q520" t="n">
        <v>0</v>
      </c>
      <c r="R520" s="2" t="inlineStr"/>
    </row>
    <row r="521" ht="15" customHeight="1">
      <c r="A521" t="inlineStr">
        <is>
          <t>A 26401-2022</t>
        </is>
      </c>
      <c r="B521" s="1" t="n">
        <v>44735</v>
      </c>
      <c r="C521" s="1" t="n">
        <v>45905</v>
      </c>
      <c r="D521" t="inlineStr">
        <is>
          <t>VÄSTERBOTTENS LÄN</t>
        </is>
      </c>
      <c r="E521" t="inlineStr">
        <is>
          <t>VILHELMINA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34805-2023</t>
        </is>
      </c>
      <c r="B522" s="1" t="n">
        <v>45140</v>
      </c>
      <c r="C522" s="1" t="n">
        <v>45905</v>
      </c>
      <c r="D522" t="inlineStr">
        <is>
          <t>VÄSTERBOTTENS LÄN</t>
        </is>
      </c>
      <c r="E522" t="inlineStr">
        <is>
          <t>VILHELMINA</t>
        </is>
      </c>
      <c r="G522" t="n">
        <v>4.3</v>
      </c>
      <c r="H522" t="n">
        <v>0</v>
      </c>
      <c r="I522" t="n">
        <v>0</v>
      </c>
      <c r="J522" t="n">
        <v>0</v>
      </c>
      <c r="K522" t="n">
        <v>0</v>
      </c>
      <c r="L522" t="n">
        <v>0</v>
      </c>
      <c r="M522" t="n">
        <v>0</v>
      </c>
      <c r="N522" t="n">
        <v>0</v>
      </c>
      <c r="O522" t="n">
        <v>0</v>
      </c>
      <c r="P522" t="n">
        <v>0</v>
      </c>
      <c r="Q522" t="n">
        <v>0</v>
      </c>
      <c r="R522" s="2" t="inlineStr"/>
    </row>
    <row r="523" ht="15" customHeight="1">
      <c r="A523" t="inlineStr">
        <is>
          <t>A 69621-2020</t>
        </is>
      </c>
      <c r="B523" s="1" t="n">
        <v>44195</v>
      </c>
      <c r="C523" s="1" t="n">
        <v>45905</v>
      </c>
      <c r="D523" t="inlineStr">
        <is>
          <t>VÄSTERBOTTENS LÄN</t>
        </is>
      </c>
      <c r="E523" t="inlineStr">
        <is>
          <t>VILHELMINA</t>
        </is>
      </c>
      <c r="G523" t="n">
        <v>2.9</v>
      </c>
      <c r="H523" t="n">
        <v>0</v>
      </c>
      <c r="I523" t="n">
        <v>0</v>
      </c>
      <c r="J523" t="n">
        <v>0</v>
      </c>
      <c r="K523" t="n">
        <v>0</v>
      </c>
      <c r="L523" t="n">
        <v>0</v>
      </c>
      <c r="M523" t="n">
        <v>0</v>
      </c>
      <c r="N523" t="n">
        <v>0</v>
      </c>
      <c r="O523" t="n">
        <v>0</v>
      </c>
      <c r="P523" t="n">
        <v>0</v>
      </c>
      <c r="Q523" t="n">
        <v>0</v>
      </c>
      <c r="R523" s="2" t="inlineStr"/>
    </row>
    <row r="524" ht="15" customHeight="1">
      <c r="A524" t="inlineStr">
        <is>
          <t>A 9534-2023</t>
        </is>
      </c>
      <c r="B524" s="1" t="n">
        <v>44981.72646990741</v>
      </c>
      <c r="C524" s="1" t="n">
        <v>45905</v>
      </c>
      <c r="D524" t="inlineStr">
        <is>
          <t>VÄSTERBOTTENS LÄN</t>
        </is>
      </c>
      <c r="E524" t="inlineStr">
        <is>
          <t>VILHELMINA</t>
        </is>
      </c>
      <c r="G524" t="n">
        <v>1.7</v>
      </c>
      <c r="H524" t="n">
        <v>0</v>
      </c>
      <c r="I524" t="n">
        <v>0</v>
      </c>
      <c r="J524" t="n">
        <v>0</v>
      </c>
      <c r="K524" t="n">
        <v>0</v>
      </c>
      <c r="L524" t="n">
        <v>0</v>
      </c>
      <c r="M524" t="n">
        <v>0</v>
      </c>
      <c r="N524" t="n">
        <v>0</v>
      </c>
      <c r="O524" t="n">
        <v>0</v>
      </c>
      <c r="P524" t="n">
        <v>0</v>
      </c>
      <c r="Q524" t="n">
        <v>0</v>
      </c>
      <c r="R524" s="2" t="inlineStr"/>
    </row>
    <row r="525" ht="15" customHeight="1">
      <c r="A525" t="inlineStr">
        <is>
          <t>A 31449-2024</t>
        </is>
      </c>
      <c r="B525" s="1" t="n">
        <v>45505.9299537037</v>
      </c>
      <c r="C525" s="1" t="n">
        <v>45905</v>
      </c>
      <c r="D525" t="inlineStr">
        <is>
          <t>VÄSTERBOTTENS LÄN</t>
        </is>
      </c>
      <c r="E525" t="inlineStr">
        <is>
          <t>VILHELMINA</t>
        </is>
      </c>
      <c r="G525" t="n">
        <v>3.5</v>
      </c>
      <c r="H525" t="n">
        <v>0</v>
      </c>
      <c r="I525" t="n">
        <v>0</v>
      </c>
      <c r="J525" t="n">
        <v>0</v>
      </c>
      <c r="K525" t="n">
        <v>0</v>
      </c>
      <c r="L525" t="n">
        <v>0</v>
      </c>
      <c r="M525" t="n">
        <v>0</v>
      </c>
      <c r="N525" t="n">
        <v>0</v>
      </c>
      <c r="O525" t="n">
        <v>0</v>
      </c>
      <c r="P525" t="n">
        <v>0</v>
      </c>
      <c r="Q525" t="n">
        <v>0</v>
      </c>
      <c r="R525" s="2" t="inlineStr"/>
    </row>
    <row r="526" ht="15" customHeight="1">
      <c r="A526" t="inlineStr">
        <is>
          <t>A 56747-2023</t>
        </is>
      </c>
      <c r="B526" s="1" t="n">
        <v>45238</v>
      </c>
      <c r="C526" s="1" t="n">
        <v>45905</v>
      </c>
      <c r="D526" t="inlineStr">
        <is>
          <t>VÄSTERBOTTENS LÄN</t>
        </is>
      </c>
      <c r="E526" t="inlineStr">
        <is>
          <t>VILHELMINA</t>
        </is>
      </c>
      <c r="F526" t="inlineStr">
        <is>
          <t>Allmännings- och besparingsskogar</t>
        </is>
      </c>
      <c r="G526" t="n">
        <v>16.2</v>
      </c>
      <c r="H526" t="n">
        <v>0</v>
      </c>
      <c r="I526" t="n">
        <v>0</v>
      </c>
      <c r="J526" t="n">
        <v>0</v>
      </c>
      <c r="K526" t="n">
        <v>0</v>
      </c>
      <c r="L526" t="n">
        <v>0</v>
      </c>
      <c r="M526" t="n">
        <v>0</v>
      </c>
      <c r="N526" t="n">
        <v>0</v>
      </c>
      <c r="O526" t="n">
        <v>0</v>
      </c>
      <c r="P526" t="n">
        <v>0</v>
      </c>
      <c r="Q526" t="n">
        <v>0</v>
      </c>
      <c r="R526" s="2" t="inlineStr"/>
    </row>
    <row r="527" ht="15" customHeight="1">
      <c r="A527" t="inlineStr">
        <is>
          <t>A 56758-2023</t>
        </is>
      </c>
      <c r="B527" s="1" t="n">
        <v>45238</v>
      </c>
      <c r="C527" s="1" t="n">
        <v>45905</v>
      </c>
      <c r="D527" t="inlineStr">
        <is>
          <t>VÄSTERBOTTENS LÄN</t>
        </is>
      </c>
      <c r="E527" t="inlineStr">
        <is>
          <t>VILHELMINA</t>
        </is>
      </c>
      <c r="F527" t="inlineStr">
        <is>
          <t>Allmännings- och besparingsskogar</t>
        </is>
      </c>
      <c r="G527" t="n">
        <v>371.4</v>
      </c>
      <c r="H527" t="n">
        <v>0</v>
      </c>
      <c r="I527" t="n">
        <v>0</v>
      </c>
      <c r="J527" t="n">
        <v>0</v>
      </c>
      <c r="K527" t="n">
        <v>0</v>
      </c>
      <c r="L527" t="n">
        <v>0</v>
      </c>
      <c r="M527" t="n">
        <v>0</v>
      </c>
      <c r="N527" t="n">
        <v>0</v>
      </c>
      <c r="O527" t="n">
        <v>0</v>
      </c>
      <c r="P527" t="n">
        <v>0</v>
      </c>
      <c r="Q527" t="n">
        <v>0</v>
      </c>
      <c r="R527" s="2" t="inlineStr"/>
    </row>
    <row r="528" ht="15" customHeight="1">
      <c r="A528" t="inlineStr">
        <is>
          <t>A 51825-2023</t>
        </is>
      </c>
      <c r="B528" s="1" t="n">
        <v>45222</v>
      </c>
      <c r="C528" s="1" t="n">
        <v>45905</v>
      </c>
      <c r="D528" t="inlineStr">
        <is>
          <t>VÄSTERBOTTENS LÄN</t>
        </is>
      </c>
      <c r="E528" t="inlineStr">
        <is>
          <t>VILHELMINA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9162-2022</t>
        </is>
      </c>
      <c r="B529" s="1" t="n">
        <v>44615</v>
      </c>
      <c r="C529" s="1" t="n">
        <v>45905</v>
      </c>
      <c r="D529" t="inlineStr">
        <is>
          <t>VÄSTERBOTTENS LÄN</t>
        </is>
      </c>
      <c r="E529" t="inlineStr">
        <is>
          <t>VILHELMINA</t>
        </is>
      </c>
      <c r="G529" t="n">
        <v>7.2</v>
      </c>
      <c r="H529" t="n">
        <v>0</v>
      </c>
      <c r="I529" t="n">
        <v>0</v>
      </c>
      <c r="J529" t="n">
        <v>0</v>
      </c>
      <c r="K529" t="n">
        <v>0</v>
      </c>
      <c r="L529" t="n">
        <v>0</v>
      </c>
      <c r="M529" t="n">
        <v>0</v>
      </c>
      <c r="N529" t="n">
        <v>0</v>
      </c>
      <c r="O529" t="n">
        <v>0</v>
      </c>
      <c r="P529" t="n">
        <v>0</v>
      </c>
      <c r="Q529" t="n">
        <v>0</v>
      </c>
      <c r="R529" s="2" t="inlineStr"/>
    </row>
    <row r="530" ht="15" customHeight="1">
      <c r="A530" t="inlineStr">
        <is>
          <t>A 27601-2025</t>
        </is>
      </c>
      <c r="B530" s="1" t="n">
        <v>45813.52791666667</v>
      </c>
      <c r="C530" s="1" t="n">
        <v>45905</v>
      </c>
      <c r="D530" t="inlineStr">
        <is>
          <t>VÄSTERBOTTENS LÄN</t>
        </is>
      </c>
      <c r="E530" t="inlineStr">
        <is>
          <t>VILHELMINA</t>
        </is>
      </c>
      <c r="F530" t="inlineStr">
        <is>
          <t>Övriga statliga verk och myndigheter</t>
        </is>
      </c>
      <c r="G530" t="n">
        <v>36.5</v>
      </c>
      <c r="H530" t="n">
        <v>0</v>
      </c>
      <c r="I530" t="n">
        <v>0</v>
      </c>
      <c r="J530" t="n">
        <v>0</v>
      </c>
      <c r="K530" t="n">
        <v>0</v>
      </c>
      <c r="L530" t="n">
        <v>0</v>
      </c>
      <c r="M530" t="n">
        <v>0</v>
      </c>
      <c r="N530" t="n">
        <v>0</v>
      </c>
      <c r="O530" t="n">
        <v>0</v>
      </c>
      <c r="P530" t="n">
        <v>0</v>
      </c>
      <c r="Q530" t="n">
        <v>0</v>
      </c>
      <c r="R530" s="2" t="inlineStr"/>
    </row>
    <row r="531" ht="15" customHeight="1">
      <c r="A531" t="inlineStr">
        <is>
          <t>A 27945-2025</t>
        </is>
      </c>
      <c r="B531" s="1" t="n">
        <v>45817</v>
      </c>
      <c r="C531" s="1" t="n">
        <v>45905</v>
      </c>
      <c r="D531" t="inlineStr">
        <is>
          <t>VÄSTERBOTTENS LÄN</t>
        </is>
      </c>
      <c r="E531" t="inlineStr">
        <is>
          <t>VILHELMINA</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9916-2021</t>
        </is>
      </c>
      <c r="B532" s="1" t="n">
        <v>44253</v>
      </c>
      <c r="C532" s="1" t="n">
        <v>45905</v>
      </c>
      <c r="D532" t="inlineStr">
        <is>
          <t>VÄSTERBOTTENS LÄN</t>
        </is>
      </c>
      <c r="E532" t="inlineStr">
        <is>
          <t>VILHELMINA</t>
        </is>
      </c>
      <c r="G532" t="n">
        <v>1</v>
      </c>
      <c r="H532" t="n">
        <v>0</v>
      </c>
      <c r="I532" t="n">
        <v>0</v>
      </c>
      <c r="J532" t="n">
        <v>0</v>
      </c>
      <c r="K532" t="n">
        <v>0</v>
      </c>
      <c r="L532" t="n">
        <v>0</v>
      </c>
      <c r="M532" t="n">
        <v>0</v>
      </c>
      <c r="N532" t="n">
        <v>0</v>
      </c>
      <c r="O532" t="n">
        <v>0</v>
      </c>
      <c r="P532" t="n">
        <v>0</v>
      </c>
      <c r="Q532" t="n">
        <v>0</v>
      </c>
      <c r="R532" s="2" t="inlineStr"/>
    </row>
    <row r="533" ht="15" customHeight="1">
      <c r="A533" t="inlineStr">
        <is>
          <t>A 3435-2021</t>
        </is>
      </c>
      <c r="B533" s="1" t="n">
        <v>44216</v>
      </c>
      <c r="C533" s="1" t="n">
        <v>45905</v>
      </c>
      <c r="D533" t="inlineStr">
        <is>
          <t>VÄSTERBOTTENS LÄN</t>
        </is>
      </c>
      <c r="E533" t="inlineStr">
        <is>
          <t>VILHELMINA</t>
        </is>
      </c>
      <c r="G533" t="n">
        <v>20.5</v>
      </c>
      <c r="H533" t="n">
        <v>0</v>
      </c>
      <c r="I533" t="n">
        <v>0</v>
      </c>
      <c r="J533" t="n">
        <v>0</v>
      </c>
      <c r="K533" t="n">
        <v>0</v>
      </c>
      <c r="L533" t="n">
        <v>0</v>
      </c>
      <c r="M533" t="n">
        <v>0</v>
      </c>
      <c r="N533" t="n">
        <v>0</v>
      </c>
      <c r="O533" t="n">
        <v>0</v>
      </c>
      <c r="P533" t="n">
        <v>0</v>
      </c>
      <c r="Q533" t="n">
        <v>0</v>
      </c>
      <c r="R533" s="2" t="inlineStr"/>
    </row>
    <row r="534" ht="15" customHeight="1">
      <c r="A534" t="inlineStr">
        <is>
          <t>A 55327-2023</t>
        </is>
      </c>
      <c r="B534" s="1" t="n">
        <v>45237.97375</v>
      </c>
      <c r="C534" s="1" t="n">
        <v>45905</v>
      </c>
      <c r="D534" t="inlineStr">
        <is>
          <t>VÄSTERBOTTENS LÄN</t>
        </is>
      </c>
      <c r="E534" t="inlineStr">
        <is>
          <t>VILHELMINA</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48229-2024</t>
        </is>
      </c>
      <c r="B535" s="1" t="n">
        <v>45590.37554398148</v>
      </c>
      <c r="C535" s="1" t="n">
        <v>45905</v>
      </c>
      <c r="D535" t="inlineStr">
        <is>
          <t>VÄSTERBOTTENS LÄN</t>
        </is>
      </c>
      <c r="E535" t="inlineStr">
        <is>
          <t>VILHELMINA</t>
        </is>
      </c>
      <c r="G535" t="n">
        <v>11.6</v>
      </c>
      <c r="H535" t="n">
        <v>0</v>
      </c>
      <c r="I535" t="n">
        <v>0</v>
      </c>
      <c r="J535" t="n">
        <v>0</v>
      </c>
      <c r="K535" t="n">
        <v>0</v>
      </c>
      <c r="L535" t="n">
        <v>0</v>
      </c>
      <c r="M535" t="n">
        <v>0</v>
      </c>
      <c r="N535" t="n">
        <v>0</v>
      </c>
      <c r="O535" t="n">
        <v>0</v>
      </c>
      <c r="P535" t="n">
        <v>0</v>
      </c>
      <c r="Q535" t="n">
        <v>0</v>
      </c>
      <c r="R535" s="2" t="inlineStr"/>
    </row>
    <row r="536" ht="15" customHeight="1">
      <c r="A536" t="inlineStr">
        <is>
          <t>A 20591-2025</t>
        </is>
      </c>
      <c r="B536" s="1" t="n">
        <v>45775</v>
      </c>
      <c r="C536" s="1" t="n">
        <v>45905</v>
      </c>
      <c r="D536" t="inlineStr">
        <is>
          <t>VÄSTERBOTTENS LÄN</t>
        </is>
      </c>
      <c r="E536" t="inlineStr">
        <is>
          <t>VILHELMINA</t>
        </is>
      </c>
      <c r="F536" t="inlineStr">
        <is>
          <t>SCA</t>
        </is>
      </c>
      <c r="G536" t="n">
        <v>27.4</v>
      </c>
      <c r="H536" t="n">
        <v>0</v>
      </c>
      <c r="I536" t="n">
        <v>0</v>
      </c>
      <c r="J536" t="n">
        <v>0</v>
      </c>
      <c r="K536" t="n">
        <v>0</v>
      </c>
      <c r="L536" t="n">
        <v>0</v>
      </c>
      <c r="M536" t="n">
        <v>0</v>
      </c>
      <c r="N536" t="n">
        <v>0</v>
      </c>
      <c r="O536" t="n">
        <v>0</v>
      </c>
      <c r="P536" t="n">
        <v>0</v>
      </c>
      <c r="Q536" t="n">
        <v>0</v>
      </c>
      <c r="R536" s="2" t="inlineStr"/>
    </row>
    <row r="537" ht="15" customHeight="1">
      <c r="A537" t="inlineStr">
        <is>
          <t>A 33636-2021</t>
        </is>
      </c>
      <c r="B537" s="1" t="n">
        <v>44378</v>
      </c>
      <c r="C537" s="1" t="n">
        <v>45905</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35984-2023</t>
        </is>
      </c>
      <c r="B538" s="1" t="n">
        <v>45148.96195601852</v>
      </c>
      <c r="C538" s="1" t="n">
        <v>45905</v>
      </c>
      <c r="D538" t="inlineStr">
        <is>
          <t>VÄSTERBOTTENS LÄN</t>
        </is>
      </c>
      <c r="E538" t="inlineStr">
        <is>
          <t>VILHELMINA</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35753-2023</t>
        </is>
      </c>
      <c r="B539" s="1" t="n">
        <v>45147.95390046296</v>
      </c>
      <c r="C539" s="1" t="n">
        <v>45905</v>
      </c>
      <c r="D539" t="inlineStr">
        <is>
          <t>VÄSTERBOTTENS LÄN</t>
        </is>
      </c>
      <c r="E539" t="inlineStr">
        <is>
          <t>VILHELMINA</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52746-2023</t>
        </is>
      </c>
      <c r="B540" s="1" t="n">
        <v>45225.96753472222</v>
      </c>
      <c r="C540" s="1" t="n">
        <v>45905</v>
      </c>
      <c r="D540" t="inlineStr">
        <is>
          <t>VÄSTERBOTTENS LÄN</t>
        </is>
      </c>
      <c r="E540" t="inlineStr">
        <is>
          <t>VILHELMINA</t>
        </is>
      </c>
      <c r="F540" t="inlineStr">
        <is>
          <t>SCA</t>
        </is>
      </c>
      <c r="G540" t="n">
        <v>10.4</v>
      </c>
      <c r="H540" t="n">
        <v>0</v>
      </c>
      <c r="I540" t="n">
        <v>0</v>
      </c>
      <c r="J540" t="n">
        <v>0</v>
      </c>
      <c r="K540" t="n">
        <v>0</v>
      </c>
      <c r="L540" t="n">
        <v>0</v>
      </c>
      <c r="M540" t="n">
        <v>0</v>
      </c>
      <c r="N540" t="n">
        <v>0</v>
      </c>
      <c r="O540" t="n">
        <v>0</v>
      </c>
      <c r="P540" t="n">
        <v>0</v>
      </c>
      <c r="Q540" t="n">
        <v>0</v>
      </c>
      <c r="R540" s="2" t="inlineStr"/>
    </row>
    <row r="541" ht="15" customHeight="1">
      <c r="A541" t="inlineStr">
        <is>
          <t>A 21965-2025</t>
        </is>
      </c>
      <c r="B541" s="1" t="n">
        <v>45784</v>
      </c>
      <c r="C541" s="1" t="n">
        <v>45905</v>
      </c>
      <c r="D541" t="inlineStr">
        <is>
          <t>VÄSTERBOTTENS LÄN</t>
        </is>
      </c>
      <c r="E541" t="inlineStr">
        <is>
          <t>VILHELMINA</t>
        </is>
      </c>
      <c r="G541" t="n">
        <v>7.4</v>
      </c>
      <c r="H541" t="n">
        <v>0</v>
      </c>
      <c r="I541" t="n">
        <v>0</v>
      </c>
      <c r="J541" t="n">
        <v>0</v>
      </c>
      <c r="K541" t="n">
        <v>0</v>
      </c>
      <c r="L541" t="n">
        <v>0</v>
      </c>
      <c r="M541" t="n">
        <v>0</v>
      </c>
      <c r="N541" t="n">
        <v>0</v>
      </c>
      <c r="O541" t="n">
        <v>0</v>
      </c>
      <c r="P541" t="n">
        <v>0</v>
      </c>
      <c r="Q541" t="n">
        <v>0</v>
      </c>
      <c r="R541" s="2" t="inlineStr"/>
    </row>
    <row r="542" ht="15" customHeight="1">
      <c r="A542" t="inlineStr">
        <is>
          <t>A 28019-2025</t>
        </is>
      </c>
      <c r="B542" s="1" t="n">
        <v>45817.61545138889</v>
      </c>
      <c r="C542" s="1" t="n">
        <v>45905</v>
      </c>
      <c r="D542" t="inlineStr">
        <is>
          <t>VÄSTERBOTTENS LÄN</t>
        </is>
      </c>
      <c r="E542" t="inlineStr">
        <is>
          <t>VILHELMINA</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55326-2023</t>
        </is>
      </c>
      <c r="B543" s="1" t="n">
        <v>45237.97364583334</v>
      </c>
      <c r="C543" s="1" t="n">
        <v>45905</v>
      </c>
      <c r="D543" t="inlineStr">
        <is>
          <t>VÄSTERBOTTENS LÄN</t>
        </is>
      </c>
      <c r="E543" t="inlineStr">
        <is>
          <t>VILHELMINA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27918-2022</t>
        </is>
      </c>
      <c r="B544" s="1" t="n">
        <v>44743.94145833333</v>
      </c>
      <c r="C544" s="1" t="n">
        <v>45905</v>
      </c>
      <c r="D544" t="inlineStr">
        <is>
          <t>VÄSTERBOTTENS LÄN</t>
        </is>
      </c>
      <c r="E544" t="inlineStr">
        <is>
          <t>VILHELMINA</t>
        </is>
      </c>
      <c r="F544" t="inlineStr">
        <is>
          <t>SCA</t>
        </is>
      </c>
      <c r="G544" t="n">
        <v>3.8</v>
      </c>
      <c r="H544" t="n">
        <v>0</v>
      </c>
      <c r="I544" t="n">
        <v>0</v>
      </c>
      <c r="J544" t="n">
        <v>0</v>
      </c>
      <c r="K544" t="n">
        <v>0</v>
      </c>
      <c r="L544" t="n">
        <v>0</v>
      </c>
      <c r="M544" t="n">
        <v>0</v>
      </c>
      <c r="N544" t="n">
        <v>0</v>
      </c>
      <c r="O544" t="n">
        <v>0</v>
      </c>
      <c r="P544" t="n">
        <v>0</v>
      </c>
      <c r="Q544" t="n">
        <v>0</v>
      </c>
      <c r="R544" s="2" t="inlineStr"/>
    </row>
    <row r="545" ht="15" customHeight="1">
      <c r="A545" t="inlineStr">
        <is>
          <t>A 27943-2025</t>
        </is>
      </c>
      <c r="B545" s="1" t="n">
        <v>45817.51078703703</v>
      </c>
      <c r="C545" s="1" t="n">
        <v>45905</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25551-2024</t>
        </is>
      </c>
      <c r="B546" s="1" t="n">
        <v>45463</v>
      </c>
      <c r="C546" s="1" t="n">
        <v>45905</v>
      </c>
      <c r="D546" t="inlineStr">
        <is>
          <t>VÄSTERBOTTENS LÄN</t>
        </is>
      </c>
      <c r="E546" t="inlineStr">
        <is>
          <t>VILHELMINA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27952-2025</t>
        </is>
      </c>
      <c r="B547" s="1" t="n">
        <v>45817.53157407408</v>
      </c>
      <c r="C547" s="1" t="n">
        <v>45905</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29954-2023</t>
        </is>
      </c>
      <c r="B548" s="1" t="n">
        <v>45107</v>
      </c>
      <c r="C548" s="1" t="n">
        <v>45905</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28016-2025</t>
        </is>
      </c>
      <c r="B549" s="1" t="n">
        <v>45817.61506944444</v>
      </c>
      <c r="C549" s="1" t="n">
        <v>45905</v>
      </c>
      <c r="D549" t="inlineStr">
        <is>
          <t>VÄSTERBOTTENS LÄN</t>
        </is>
      </c>
      <c r="E549" t="inlineStr">
        <is>
          <t>VILHELMINA</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28050-2025</t>
        </is>
      </c>
      <c r="B550" s="1" t="n">
        <v>45817.65658564815</v>
      </c>
      <c r="C550" s="1" t="n">
        <v>45905</v>
      </c>
      <c r="D550" t="inlineStr">
        <is>
          <t>VÄSTERBOTTENS LÄN</t>
        </is>
      </c>
      <c r="E550" t="inlineStr">
        <is>
          <t>VILHELMINA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28144-2025</t>
        </is>
      </c>
      <c r="B551" s="1" t="n">
        <v>45818</v>
      </c>
      <c r="C551" s="1" t="n">
        <v>45905</v>
      </c>
      <c r="D551" t="inlineStr">
        <is>
          <t>VÄSTERBOTTENS LÄN</t>
        </is>
      </c>
      <c r="E551" t="inlineStr">
        <is>
          <t>VILHELMINA</t>
        </is>
      </c>
      <c r="F551" t="inlineStr">
        <is>
          <t>SCA</t>
        </is>
      </c>
      <c r="G551" t="n">
        <v>10.8</v>
      </c>
      <c r="H551" t="n">
        <v>0</v>
      </c>
      <c r="I551" t="n">
        <v>0</v>
      </c>
      <c r="J551" t="n">
        <v>0</v>
      </c>
      <c r="K551" t="n">
        <v>0</v>
      </c>
      <c r="L551" t="n">
        <v>0</v>
      </c>
      <c r="M551" t="n">
        <v>0</v>
      </c>
      <c r="N551" t="n">
        <v>0</v>
      </c>
      <c r="O551" t="n">
        <v>0</v>
      </c>
      <c r="P551" t="n">
        <v>0</v>
      </c>
      <c r="Q551" t="n">
        <v>0</v>
      </c>
      <c r="R551" s="2" t="inlineStr"/>
    </row>
    <row r="552" ht="15" customHeight="1">
      <c r="A552" t="inlineStr">
        <is>
          <t>A 15805-2025</t>
        </is>
      </c>
      <c r="B552" s="1" t="n">
        <v>45748</v>
      </c>
      <c r="C552" s="1" t="n">
        <v>45905</v>
      </c>
      <c r="D552" t="inlineStr">
        <is>
          <t>VÄSTERBOTTENS LÄN</t>
        </is>
      </c>
      <c r="E552" t="inlineStr">
        <is>
          <t>VILHELMINA</t>
        </is>
      </c>
      <c r="G552" t="n">
        <v>1.4</v>
      </c>
      <c r="H552" t="n">
        <v>0</v>
      </c>
      <c r="I552" t="n">
        <v>0</v>
      </c>
      <c r="J552" t="n">
        <v>0</v>
      </c>
      <c r="K552" t="n">
        <v>0</v>
      </c>
      <c r="L552" t="n">
        <v>0</v>
      </c>
      <c r="M552" t="n">
        <v>0</v>
      </c>
      <c r="N552" t="n">
        <v>0</v>
      </c>
      <c r="O552" t="n">
        <v>0</v>
      </c>
      <c r="P552" t="n">
        <v>0</v>
      </c>
      <c r="Q552" t="n">
        <v>0</v>
      </c>
      <c r="R552" s="2" t="inlineStr"/>
    </row>
    <row r="553" ht="15" customHeight="1">
      <c r="A553" t="inlineStr">
        <is>
          <t>A 58833-2023</t>
        </is>
      </c>
      <c r="B553" s="1" t="n">
        <v>45248</v>
      </c>
      <c r="C553" s="1" t="n">
        <v>45905</v>
      </c>
      <c r="D553" t="inlineStr">
        <is>
          <t>VÄSTERBOTTENS LÄN</t>
        </is>
      </c>
      <c r="E553" t="inlineStr">
        <is>
          <t>VILHELMINA</t>
        </is>
      </c>
      <c r="G553" t="n">
        <v>1.5</v>
      </c>
      <c r="H553" t="n">
        <v>0</v>
      </c>
      <c r="I553" t="n">
        <v>0</v>
      </c>
      <c r="J553" t="n">
        <v>0</v>
      </c>
      <c r="K553" t="n">
        <v>0</v>
      </c>
      <c r="L553" t="n">
        <v>0</v>
      </c>
      <c r="M553" t="n">
        <v>0</v>
      </c>
      <c r="N553" t="n">
        <v>0</v>
      </c>
      <c r="O553" t="n">
        <v>0</v>
      </c>
      <c r="P553" t="n">
        <v>0</v>
      </c>
      <c r="Q553" t="n">
        <v>0</v>
      </c>
      <c r="R553" s="2" t="inlineStr"/>
    </row>
    <row r="554" ht="15" customHeight="1">
      <c r="A554" t="inlineStr">
        <is>
          <t>A 18564-2022</t>
        </is>
      </c>
      <c r="B554" s="1" t="n">
        <v>44686</v>
      </c>
      <c r="C554" s="1" t="n">
        <v>45905</v>
      </c>
      <c r="D554" t="inlineStr">
        <is>
          <t>VÄSTERBOTTENS LÄN</t>
        </is>
      </c>
      <c r="E554" t="inlineStr">
        <is>
          <t>VILHELMINA</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28071-2025</t>
        </is>
      </c>
      <c r="B555" s="1" t="n">
        <v>45817.67755787037</v>
      </c>
      <c r="C555" s="1" t="n">
        <v>45905</v>
      </c>
      <c r="D555" t="inlineStr">
        <is>
          <t>VÄSTERBOTTENS LÄN</t>
        </is>
      </c>
      <c r="E555" t="inlineStr">
        <is>
          <t>VILHELMINA</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60035-2023</t>
        </is>
      </c>
      <c r="B556" s="1" t="n">
        <v>45254</v>
      </c>
      <c r="C556" s="1" t="n">
        <v>45905</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28897-2025</t>
        </is>
      </c>
      <c r="B557" s="1" t="n">
        <v>45820.6360300926</v>
      </c>
      <c r="C557" s="1" t="n">
        <v>45905</v>
      </c>
      <c r="D557" t="inlineStr">
        <is>
          <t>VÄSTERBOTTENS LÄN</t>
        </is>
      </c>
      <c r="E557" t="inlineStr">
        <is>
          <t>VILHELMINA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37714-2024</t>
        </is>
      </c>
      <c r="B558" s="1" t="n">
        <v>45541.63569444444</v>
      </c>
      <c r="C558" s="1" t="n">
        <v>45905</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37715-2024</t>
        </is>
      </c>
      <c r="B559" s="1" t="n">
        <v>45541.63581018519</v>
      </c>
      <c r="C559" s="1" t="n">
        <v>45905</v>
      </c>
      <c r="D559" t="inlineStr">
        <is>
          <t>VÄSTERBOTTENS LÄN</t>
        </is>
      </c>
      <c r="E559" t="inlineStr">
        <is>
          <t>VILHELMINA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44285-2024</t>
        </is>
      </c>
      <c r="B560" s="1" t="n">
        <v>45573</v>
      </c>
      <c r="C560" s="1" t="n">
        <v>45905</v>
      </c>
      <c r="D560" t="inlineStr">
        <is>
          <t>VÄSTERBOTTENS LÄN</t>
        </is>
      </c>
      <c r="E560" t="inlineStr">
        <is>
          <t>VILHELMINA</t>
        </is>
      </c>
      <c r="G560" t="n">
        <v>30.9</v>
      </c>
      <c r="H560" t="n">
        <v>0</v>
      </c>
      <c r="I560" t="n">
        <v>0</v>
      </c>
      <c r="J560" t="n">
        <v>0</v>
      </c>
      <c r="K560" t="n">
        <v>0</v>
      </c>
      <c r="L560" t="n">
        <v>0</v>
      </c>
      <c r="M560" t="n">
        <v>0</v>
      </c>
      <c r="N560" t="n">
        <v>0</v>
      </c>
      <c r="O560" t="n">
        <v>0</v>
      </c>
      <c r="P560" t="n">
        <v>0</v>
      </c>
      <c r="Q560" t="n">
        <v>0</v>
      </c>
      <c r="R560" s="2" t="inlineStr"/>
    </row>
    <row r="561" ht="15" customHeight="1">
      <c r="A561" t="inlineStr">
        <is>
          <t>A 64421-2023</t>
        </is>
      </c>
      <c r="B561" s="1" t="n">
        <v>45280</v>
      </c>
      <c r="C561" s="1" t="n">
        <v>45905</v>
      </c>
      <c r="D561" t="inlineStr">
        <is>
          <t>VÄSTERBOTTENS LÄN</t>
        </is>
      </c>
      <c r="E561" t="inlineStr">
        <is>
          <t>VILHELMINA</t>
        </is>
      </c>
      <c r="G561" t="n">
        <v>4.9</v>
      </c>
      <c r="H561" t="n">
        <v>0</v>
      </c>
      <c r="I561" t="n">
        <v>0</v>
      </c>
      <c r="J561" t="n">
        <v>0</v>
      </c>
      <c r="K561" t="n">
        <v>0</v>
      </c>
      <c r="L561" t="n">
        <v>0</v>
      </c>
      <c r="M561" t="n">
        <v>0</v>
      </c>
      <c r="N561" t="n">
        <v>0</v>
      </c>
      <c r="O561" t="n">
        <v>0</v>
      </c>
      <c r="P561" t="n">
        <v>0</v>
      </c>
      <c r="Q561" t="n">
        <v>0</v>
      </c>
      <c r="R561" s="2" t="inlineStr"/>
    </row>
    <row r="562" ht="15" customHeight="1">
      <c r="A562" t="inlineStr">
        <is>
          <t>A 45672-2023</t>
        </is>
      </c>
      <c r="B562" s="1" t="n">
        <v>45194</v>
      </c>
      <c r="C562" s="1" t="n">
        <v>45905</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29203-2025</t>
        </is>
      </c>
      <c r="B563" s="1" t="n">
        <v>45823</v>
      </c>
      <c r="C563" s="1" t="n">
        <v>45905</v>
      </c>
      <c r="D563" t="inlineStr">
        <is>
          <t>VÄSTERBOTTENS LÄN</t>
        </is>
      </c>
      <c r="E563" t="inlineStr">
        <is>
          <t>VILHELMINA</t>
        </is>
      </c>
      <c r="G563" t="n">
        <v>2.3</v>
      </c>
      <c r="H563" t="n">
        <v>0</v>
      </c>
      <c r="I563" t="n">
        <v>0</v>
      </c>
      <c r="J563" t="n">
        <v>0</v>
      </c>
      <c r="K563" t="n">
        <v>0</v>
      </c>
      <c r="L563" t="n">
        <v>0</v>
      </c>
      <c r="M563" t="n">
        <v>0</v>
      </c>
      <c r="N563" t="n">
        <v>0</v>
      </c>
      <c r="O563" t="n">
        <v>0</v>
      </c>
      <c r="P563" t="n">
        <v>0</v>
      </c>
      <c r="Q563" t="n">
        <v>0</v>
      </c>
      <c r="R563" s="2" t="inlineStr"/>
    </row>
    <row r="564" ht="15" customHeight="1">
      <c r="A564" t="inlineStr">
        <is>
          <t>A 24828-2023</t>
        </is>
      </c>
      <c r="B564" s="1" t="n">
        <v>45084</v>
      </c>
      <c r="C564" s="1" t="n">
        <v>45905</v>
      </c>
      <c r="D564" t="inlineStr">
        <is>
          <t>VÄSTERBOTTENS LÄN</t>
        </is>
      </c>
      <c r="E564" t="inlineStr">
        <is>
          <t>VILHELMINA</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29120-2025</t>
        </is>
      </c>
      <c r="B565" s="1" t="n">
        <v>45821</v>
      </c>
      <c r="C565" s="1" t="n">
        <v>45905</v>
      </c>
      <c r="D565" t="inlineStr">
        <is>
          <t>VÄSTERBOTTENS LÄN</t>
        </is>
      </c>
      <c r="E565" t="inlineStr">
        <is>
          <t>VILHELMINA</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6664-2021</t>
        </is>
      </c>
      <c r="B566" s="1" t="n">
        <v>44235</v>
      </c>
      <c r="C566" s="1" t="n">
        <v>45905</v>
      </c>
      <c r="D566" t="inlineStr">
        <is>
          <t>VÄSTERBOTTENS LÄN</t>
        </is>
      </c>
      <c r="E566" t="inlineStr">
        <is>
          <t>VILHELMINA</t>
        </is>
      </c>
      <c r="G566" t="n">
        <v>2.5</v>
      </c>
      <c r="H566" t="n">
        <v>0</v>
      </c>
      <c r="I566" t="n">
        <v>0</v>
      </c>
      <c r="J566" t="n">
        <v>0</v>
      </c>
      <c r="K566" t="n">
        <v>0</v>
      </c>
      <c r="L566" t="n">
        <v>0</v>
      </c>
      <c r="M566" t="n">
        <v>0</v>
      </c>
      <c r="N566" t="n">
        <v>0</v>
      </c>
      <c r="O566" t="n">
        <v>0</v>
      </c>
      <c r="P566" t="n">
        <v>0</v>
      </c>
      <c r="Q566" t="n">
        <v>0</v>
      </c>
      <c r="R566" s="2" t="inlineStr"/>
    </row>
    <row r="567" ht="15" customHeight="1">
      <c r="A567" t="inlineStr">
        <is>
          <t>A 6699-2021</t>
        </is>
      </c>
      <c r="B567" s="1" t="n">
        <v>44235</v>
      </c>
      <c r="C567" s="1" t="n">
        <v>45905</v>
      </c>
      <c r="D567" t="inlineStr">
        <is>
          <t>VÄSTERBOTTENS LÄN</t>
        </is>
      </c>
      <c r="E567" t="inlineStr">
        <is>
          <t>VILHELMINA</t>
        </is>
      </c>
      <c r="G567" t="n">
        <v>6.9</v>
      </c>
      <c r="H567" t="n">
        <v>0</v>
      </c>
      <c r="I567" t="n">
        <v>0</v>
      </c>
      <c r="J567" t="n">
        <v>0</v>
      </c>
      <c r="K567" t="n">
        <v>0</v>
      </c>
      <c r="L567" t="n">
        <v>0</v>
      </c>
      <c r="M567" t="n">
        <v>0</v>
      </c>
      <c r="N567" t="n">
        <v>0</v>
      </c>
      <c r="O567" t="n">
        <v>0</v>
      </c>
      <c r="P567" t="n">
        <v>0</v>
      </c>
      <c r="Q567" t="n">
        <v>0</v>
      </c>
      <c r="R567" s="2" t="inlineStr"/>
    </row>
    <row r="568" ht="15" customHeight="1">
      <c r="A568" t="inlineStr">
        <is>
          <t>A 61779-2023</t>
        </is>
      </c>
      <c r="B568" s="1" t="n">
        <v>45265.95677083333</v>
      </c>
      <c r="C568" s="1" t="n">
        <v>45905</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28486-2022</t>
        </is>
      </c>
      <c r="B569" s="1" t="n">
        <v>44747</v>
      </c>
      <c r="C569" s="1" t="n">
        <v>45905</v>
      </c>
      <c r="D569" t="inlineStr">
        <is>
          <t>VÄSTERBOTTENS LÄN</t>
        </is>
      </c>
      <c r="E569" t="inlineStr">
        <is>
          <t>VILHELMINA</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29234-2025</t>
        </is>
      </c>
      <c r="B570" s="1" t="n">
        <v>45824.34478009259</v>
      </c>
      <c r="C570" s="1" t="n">
        <v>45905</v>
      </c>
      <c r="D570" t="inlineStr">
        <is>
          <t>VÄSTERBOTTENS LÄN</t>
        </is>
      </c>
      <c r="E570" t="inlineStr">
        <is>
          <t>VILHELMINA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26663-2023</t>
        </is>
      </c>
      <c r="B571" s="1" t="n">
        <v>45092.94042824074</v>
      </c>
      <c r="C571" s="1" t="n">
        <v>45905</v>
      </c>
      <c r="D571" t="inlineStr">
        <is>
          <t>VÄSTERBOTTENS LÄN</t>
        </is>
      </c>
      <c r="E571" t="inlineStr">
        <is>
          <t>VILHELMINA</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12364-2025</t>
        </is>
      </c>
      <c r="B572" s="1" t="n">
        <v>45730.37515046296</v>
      </c>
      <c r="C572" s="1" t="n">
        <v>45905</v>
      </c>
      <c r="D572" t="inlineStr">
        <is>
          <t>VÄSTERBOTTENS LÄN</t>
        </is>
      </c>
      <c r="E572" t="inlineStr">
        <is>
          <t>VILHELMINA</t>
        </is>
      </c>
      <c r="F572" t="inlineStr">
        <is>
          <t>Övriga statliga verk och myndigheter</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12377-2025</t>
        </is>
      </c>
      <c r="B573" s="1" t="n">
        <v>45730</v>
      </c>
      <c r="C573" s="1" t="n">
        <v>45905</v>
      </c>
      <c r="D573" t="inlineStr">
        <is>
          <t>VÄSTERBOTTENS LÄN</t>
        </is>
      </c>
      <c r="E573" t="inlineStr">
        <is>
          <t>VILHELMINA</t>
        </is>
      </c>
      <c r="F573" t="inlineStr">
        <is>
          <t>Övriga statliga verk och myndigheter</t>
        </is>
      </c>
      <c r="G573" t="n">
        <v>37.1</v>
      </c>
      <c r="H573" t="n">
        <v>0</v>
      </c>
      <c r="I573" t="n">
        <v>0</v>
      </c>
      <c r="J573" t="n">
        <v>0</v>
      </c>
      <c r="K573" t="n">
        <v>0</v>
      </c>
      <c r="L573" t="n">
        <v>0</v>
      </c>
      <c r="M573" t="n">
        <v>0</v>
      </c>
      <c r="N573" t="n">
        <v>0</v>
      </c>
      <c r="O573" t="n">
        <v>0</v>
      </c>
      <c r="P573" t="n">
        <v>0</v>
      </c>
      <c r="Q573" t="n">
        <v>0</v>
      </c>
      <c r="R573" s="2" t="inlineStr"/>
    </row>
    <row r="574" ht="15" customHeight="1">
      <c r="A574" t="inlineStr">
        <is>
          <t>A 63877-2023</t>
        </is>
      </c>
      <c r="B574" s="1" t="n">
        <v>45278</v>
      </c>
      <c r="C574" s="1" t="n">
        <v>45905</v>
      </c>
      <c r="D574" t="inlineStr">
        <is>
          <t>VÄSTERBOTTENS LÄN</t>
        </is>
      </c>
      <c r="E574" t="inlineStr">
        <is>
          <t>VILHELMINA</t>
        </is>
      </c>
      <c r="G574" t="n">
        <v>1.2</v>
      </c>
      <c r="H574" t="n">
        <v>0</v>
      </c>
      <c r="I574" t="n">
        <v>0</v>
      </c>
      <c r="J574" t="n">
        <v>0</v>
      </c>
      <c r="K574" t="n">
        <v>0</v>
      </c>
      <c r="L574" t="n">
        <v>0</v>
      </c>
      <c r="M574" t="n">
        <v>0</v>
      </c>
      <c r="N574" t="n">
        <v>0</v>
      </c>
      <c r="O574" t="n">
        <v>0</v>
      </c>
      <c r="P574" t="n">
        <v>0</v>
      </c>
      <c r="Q574" t="n">
        <v>0</v>
      </c>
      <c r="R574" s="2" t="inlineStr"/>
    </row>
    <row r="575" ht="15" customHeight="1">
      <c r="A575" t="inlineStr">
        <is>
          <t>A 59671-2023</t>
        </is>
      </c>
      <c r="B575" s="1" t="n">
        <v>45254.96524305556</v>
      </c>
      <c r="C575" s="1" t="n">
        <v>45905</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56396-2022</t>
        </is>
      </c>
      <c r="B576" s="1" t="n">
        <v>44890</v>
      </c>
      <c r="C576" s="1" t="n">
        <v>45905</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29468-2025</t>
        </is>
      </c>
      <c r="B577" s="1" t="n">
        <v>45824.69888888889</v>
      </c>
      <c r="C577" s="1" t="n">
        <v>45905</v>
      </c>
      <c r="D577" t="inlineStr">
        <is>
          <t>VÄSTERBOTTENS LÄN</t>
        </is>
      </c>
      <c r="E577" t="inlineStr">
        <is>
          <t>VILHELMINA</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29466-2025</t>
        </is>
      </c>
      <c r="B578" s="1" t="n">
        <v>45824.69865740741</v>
      </c>
      <c r="C578" s="1" t="n">
        <v>45905</v>
      </c>
      <c r="D578" t="inlineStr">
        <is>
          <t>VÄSTERBOTTENS LÄN</t>
        </is>
      </c>
      <c r="E578" t="inlineStr">
        <is>
          <t>VILHELMINA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48472-2023</t>
        </is>
      </c>
      <c r="B579" s="1" t="n">
        <v>45206.95761574074</v>
      </c>
      <c r="C579" s="1" t="n">
        <v>45905</v>
      </c>
      <c r="D579" t="inlineStr">
        <is>
          <t>VÄSTERBOTTENS LÄN</t>
        </is>
      </c>
      <c r="E579" t="inlineStr">
        <is>
          <t>VILHELMINA</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29940-2025</t>
        </is>
      </c>
      <c r="B580" s="1" t="n">
        <v>45826.45104166667</v>
      </c>
      <c r="C580" s="1" t="n">
        <v>45905</v>
      </c>
      <c r="D580" t="inlineStr">
        <is>
          <t>VÄSTERBOTTENS LÄN</t>
        </is>
      </c>
      <c r="E580" t="inlineStr">
        <is>
          <t>VILHELMINA</t>
        </is>
      </c>
      <c r="F580" t="inlineStr">
        <is>
          <t>Sveaskog</t>
        </is>
      </c>
      <c r="G580" t="n">
        <v>11.6</v>
      </c>
      <c r="H580" t="n">
        <v>0</v>
      </c>
      <c r="I580" t="n">
        <v>0</v>
      </c>
      <c r="J580" t="n">
        <v>0</v>
      </c>
      <c r="K580" t="n">
        <v>0</v>
      </c>
      <c r="L580" t="n">
        <v>0</v>
      </c>
      <c r="M580" t="n">
        <v>0</v>
      </c>
      <c r="N580" t="n">
        <v>0</v>
      </c>
      <c r="O580" t="n">
        <v>0</v>
      </c>
      <c r="P580" t="n">
        <v>0</v>
      </c>
      <c r="Q580" t="n">
        <v>0</v>
      </c>
      <c r="R580" s="2" t="inlineStr"/>
    </row>
    <row r="581" ht="15" customHeight="1">
      <c r="A581" t="inlineStr">
        <is>
          <t>A 43637-2023</t>
        </is>
      </c>
      <c r="B581" s="1" t="n">
        <v>45186.51590277778</v>
      </c>
      <c r="C581" s="1" t="n">
        <v>45905</v>
      </c>
      <c r="D581" t="inlineStr">
        <is>
          <t>VÄSTERBOTTENS LÄN</t>
        </is>
      </c>
      <c r="E581" t="inlineStr">
        <is>
          <t>VILHELMINA</t>
        </is>
      </c>
      <c r="G581" t="n">
        <v>3.3</v>
      </c>
      <c r="H581" t="n">
        <v>0</v>
      </c>
      <c r="I581" t="n">
        <v>0</v>
      </c>
      <c r="J581" t="n">
        <v>0</v>
      </c>
      <c r="K581" t="n">
        <v>0</v>
      </c>
      <c r="L581" t="n">
        <v>0</v>
      </c>
      <c r="M581" t="n">
        <v>0</v>
      </c>
      <c r="N581" t="n">
        <v>0</v>
      </c>
      <c r="O581" t="n">
        <v>0</v>
      </c>
      <c r="P581" t="n">
        <v>0</v>
      </c>
      <c r="Q581" t="n">
        <v>0</v>
      </c>
      <c r="R581" s="2" t="inlineStr"/>
    </row>
    <row r="582" ht="15" customHeight="1">
      <c r="A582" t="inlineStr">
        <is>
          <t>A 54430-2024</t>
        </is>
      </c>
      <c r="B582" s="1" t="n">
        <v>45617.49107638889</v>
      </c>
      <c r="C582" s="1" t="n">
        <v>45905</v>
      </c>
      <c r="D582" t="inlineStr">
        <is>
          <t>VÄSTERBOTTENS LÄN</t>
        </is>
      </c>
      <c r="E582" t="inlineStr">
        <is>
          <t>VILHELMINA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16608-2024</t>
        </is>
      </c>
      <c r="B583" s="1" t="n">
        <v>45408</v>
      </c>
      <c r="C583" s="1" t="n">
        <v>45905</v>
      </c>
      <c r="D583" t="inlineStr">
        <is>
          <t>VÄSTERBOTTENS LÄN</t>
        </is>
      </c>
      <c r="E583" t="inlineStr">
        <is>
          <t>VILHELMINA</t>
        </is>
      </c>
      <c r="G583" t="n">
        <v>17.5</v>
      </c>
      <c r="H583" t="n">
        <v>0</v>
      </c>
      <c r="I583" t="n">
        <v>0</v>
      </c>
      <c r="J583" t="n">
        <v>0</v>
      </c>
      <c r="K583" t="n">
        <v>0</v>
      </c>
      <c r="L583" t="n">
        <v>0</v>
      </c>
      <c r="M583" t="n">
        <v>0</v>
      </c>
      <c r="N583" t="n">
        <v>0</v>
      </c>
      <c r="O583" t="n">
        <v>0</v>
      </c>
      <c r="P583" t="n">
        <v>0</v>
      </c>
      <c r="Q583" t="n">
        <v>0</v>
      </c>
      <c r="R583" s="2" t="inlineStr"/>
    </row>
    <row r="584" ht="15" customHeight="1">
      <c r="A584" t="inlineStr">
        <is>
          <t>A 29942-2025</t>
        </is>
      </c>
      <c r="B584" s="1" t="n">
        <v>45826.45702546297</v>
      </c>
      <c r="C584" s="1" t="n">
        <v>45905</v>
      </c>
      <c r="D584" t="inlineStr">
        <is>
          <t>VÄSTERBOTTENS LÄN</t>
        </is>
      </c>
      <c r="E584" t="inlineStr">
        <is>
          <t>VILHELMINA</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26381-2024</t>
        </is>
      </c>
      <c r="B585" s="1" t="n">
        <v>45469</v>
      </c>
      <c r="C585" s="1" t="n">
        <v>45905</v>
      </c>
      <c r="D585" t="inlineStr">
        <is>
          <t>VÄSTERBOTTENS LÄN</t>
        </is>
      </c>
      <c r="E585" t="inlineStr">
        <is>
          <t>VILHELMINA</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47483-2023</t>
        </is>
      </c>
      <c r="B586" s="1" t="n">
        <v>45202.9413425926</v>
      </c>
      <c r="C586" s="1" t="n">
        <v>45905</v>
      </c>
      <c r="D586" t="inlineStr">
        <is>
          <t>VÄSTERBOTTENS LÄN</t>
        </is>
      </c>
      <c r="E586" t="inlineStr">
        <is>
          <t>VILHELMINA</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62405-2022</t>
        </is>
      </c>
      <c r="B587" s="1" t="n">
        <v>44923</v>
      </c>
      <c r="C587" s="1" t="n">
        <v>45905</v>
      </c>
      <c r="D587" t="inlineStr">
        <is>
          <t>VÄSTERBOTTENS LÄN</t>
        </is>
      </c>
      <c r="E587" t="inlineStr">
        <is>
          <t>VILHELMINA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49886-2024</t>
        </is>
      </c>
      <c r="B588" s="1" t="n">
        <v>45597</v>
      </c>
      <c r="C588" s="1" t="n">
        <v>45905</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51134-2024</t>
        </is>
      </c>
      <c r="B589" s="1" t="n">
        <v>45603</v>
      </c>
      <c r="C589" s="1" t="n">
        <v>45905</v>
      </c>
      <c r="D589" t="inlineStr">
        <is>
          <t>VÄSTERBOTTENS LÄN</t>
        </is>
      </c>
      <c r="E589" t="inlineStr">
        <is>
          <t>VILHELMINA</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12990-2025</t>
        </is>
      </c>
      <c r="B590" s="1" t="n">
        <v>45734</v>
      </c>
      <c r="C590" s="1" t="n">
        <v>45905</v>
      </c>
      <c r="D590" t="inlineStr">
        <is>
          <t>VÄSTERBOTTENS LÄN</t>
        </is>
      </c>
      <c r="E590" t="inlineStr">
        <is>
          <t>VILHELMINA</t>
        </is>
      </c>
      <c r="G590" t="n">
        <v>11.2</v>
      </c>
      <c r="H590" t="n">
        <v>0</v>
      </c>
      <c r="I590" t="n">
        <v>0</v>
      </c>
      <c r="J590" t="n">
        <v>0</v>
      </c>
      <c r="K590" t="n">
        <v>0</v>
      </c>
      <c r="L590" t="n">
        <v>0</v>
      </c>
      <c r="M590" t="n">
        <v>0</v>
      </c>
      <c r="N590" t="n">
        <v>0</v>
      </c>
      <c r="O590" t="n">
        <v>0</v>
      </c>
      <c r="P590" t="n">
        <v>0</v>
      </c>
      <c r="Q590" t="n">
        <v>0</v>
      </c>
      <c r="R590" s="2" t="inlineStr"/>
    </row>
    <row r="591" ht="15" customHeight="1">
      <c r="A591" t="inlineStr">
        <is>
          <t>A 17186-2025</t>
        </is>
      </c>
      <c r="B591" s="1" t="n">
        <v>45756</v>
      </c>
      <c r="C591" s="1" t="n">
        <v>45905</v>
      </c>
      <c r="D591" t="inlineStr">
        <is>
          <t>VÄSTERBOTTENS LÄN</t>
        </is>
      </c>
      <c r="E591" t="inlineStr">
        <is>
          <t>VILHELMINA</t>
        </is>
      </c>
      <c r="F591" t="inlineStr">
        <is>
          <t>SCA</t>
        </is>
      </c>
      <c r="G591" t="n">
        <v>12.3</v>
      </c>
      <c r="H591" t="n">
        <v>0</v>
      </c>
      <c r="I591" t="n">
        <v>0</v>
      </c>
      <c r="J591" t="n">
        <v>0</v>
      </c>
      <c r="K591" t="n">
        <v>0</v>
      </c>
      <c r="L591" t="n">
        <v>0</v>
      </c>
      <c r="M591" t="n">
        <v>0</v>
      </c>
      <c r="N591" t="n">
        <v>0</v>
      </c>
      <c r="O591" t="n">
        <v>0</v>
      </c>
      <c r="P591" t="n">
        <v>0</v>
      </c>
      <c r="Q591" t="n">
        <v>0</v>
      </c>
      <c r="R591" s="2" t="inlineStr"/>
    </row>
    <row r="592" ht="15" customHeight="1">
      <c r="A592" t="inlineStr">
        <is>
          <t>A 17302-2025</t>
        </is>
      </c>
      <c r="B592" s="1" t="n">
        <v>45756</v>
      </c>
      <c r="C592" s="1" t="n">
        <v>45905</v>
      </c>
      <c r="D592" t="inlineStr">
        <is>
          <t>VÄSTERBOTTENS LÄN</t>
        </is>
      </c>
      <c r="E592" t="inlineStr">
        <is>
          <t>VILHELMINA</t>
        </is>
      </c>
      <c r="G592" t="n">
        <v>6.6</v>
      </c>
      <c r="H592" t="n">
        <v>0</v>
      </c>
      <c r="I592" t="n">
        <v>0</v>
      </c>
      <c r="J592" t="n">
        <v>0</v>
      </c>
      <c r="K592" t="n">
        <v>0</v>
      </c>
      <c r="L592" t="n">
        <v>0</v>
      </c>
      <c r="M592" t="n">
        <v>0</v>
      </c>
      <c r="N592" t="n">
        <v>0</v>
      </c>
      <c r="O592" t="n">
        <v>0</v>
      </c>
      <c r="P592" t="n">
        <v>0</v>
      </c>
      <c r="Q592" t="n">
        <v>0</v>
      </c>
      <c r="R592" s="2" t="inlineStr"/>
    </row>
    <row r="593" ht="15" customHeight="1">
      <c r="A593" t="inlineStr">
        <is>
          <t>A 17314-2025</t>
        </is>
      </c>
      <c r="B593" s="1" t="n">
        <v>45756</v>
      </c>
      <c r="C593" s="1" t="n">
        <v>45905</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50635-2021</t>
        </is>
      </c>
      <c r="B594" s="1" t="n">
        <v>44459.71978009259</v>
      </c>
      <c r="C594" s="1" t="n">
        <v>45905</v>
      </c>
      <c r="D594" t="inlineStr">
        <is>
          <t>VÄSTERBOTTENS LÄN</t>
        </is>
      </c>
      <c r="E594" t="inlineStr">
        <is>
          <t>VILHELMINA</t>
        </is>
      </c>
      <c r="F594" t="inlineStr">
        <is>
          <t>Kommuner</t>
        </is>
      </c>
      <c r="G594" t="n">
        <v>11</v>
      </c>
      <c r="H594" t="n">
        <v>0</v>
      </c>
      <c r="I594" t="n">
        <v>0</v>
      </c>
      <c r="J594" t="n">
        <v>0</v>
      </c>
      <c r="K594" t="n">
        <v>0</v>
      </c>
      <c r="L594" t="n">
        <v>0</v>
      </c>
      <c r="M594" t="n">
        <v>0</v>
      </c>
      <c r="N594" t="n">
        <v>0</v>
      </c>
      <c r="O594" t="n">
        <v>0</v>
      </c>
      <c r="P594" t="n">
        <v>0</v>
      </c>
      <c r="Q594" t="n">
        <v>0</v>
      </c>
      <c r="R594" s="2" t="inlineStr"/>
    </row>
    <row r="595" ht="15" customHeight="1">
      <c r="A595" t="inlineStr">
        <is>
          <t>A 28870-2024</t>
        </is>
      </c>
      <c r="B595" s="1" t="n">
        <v>45478.94733796296</v>
      </c>
      <c r="C595" s="1" t="n">
        <v>45905</v>
      </c>
      <c r="D595" t="inlineStr">
        <is>
          <t>VÄSTERBOTTENS LÄN</t>
        </is>
      </c>
      <c r="E595" t="inlineStr">
        <is>
          <t>VILHELMINA</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30553-2025</t>
        </is>
      </c>
      <c r="B596" s="1" t="n">
        <v>45831.38579861111</v>
      </c>
      <c r="C596" s="1" t="n">
        <v>45905</v>
      </c>
      <c r="D596" t="inlineStr">
        <is>
          <t>VÄSTERBOTTENS LÄN</t>
        </is>
      </c>
      <c r="E596" t="inlineStr">
        <is>
          <t>VILHELMINA</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54727-2024</t>
        </is>
      </c>
      <c r="B597" s="1" t="n">
        <v>45618.43804398148</v>
      </c>
      <c r="C597" s="1" t="n">
        <v>45905</v>
      </c>
      <c r="D597" t="inlineStr">
        <is>
          <t>VÄSTERBOTTENS LÄN</t>
        </is>
      </c>
      <c r="E597" t="inlineStr">
        <is>
          <t>VILHELMINA</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54804-2024</t>
        </is>
      </c>
      <c r="B598" s="1" t="n">
        <v>45618</v>
      </c>
      <c r="C598" s="1" t="n">
        <v>45905</v>
      </c>
      <c r="D598" t="inlineStr">
        <is>
          <t>VÄSTERBOTTENS LÄN</t>
        </is>
      </c>
      <c r="E598" t="inlineStr">
        <is>
          <t>VILHELMINA</t>
        </is>
      </c>
      <c r="F598" t="inlineStr">
        <is>
          <t>SCA</t>
        </is>
      </c>
      <c r="G598" t="n">
        <v>6.2</v>
      </c>
      <c r="H598" t="n">
        <v>0</v>
      </c>
      <c r="I598" t="n">
        <v>0</v>
      </c>
      <c r="J598" t="n">
        <v>0</v>
      </c>
      <c r="K598" t="n">
        <v>0</v>
      </c>
      <c r="L598" t="n">
        <v>0</v>
      </c>
      <c r="M598" t="n">
        <v>0</v>
      </c>
      <c r="N598" t="n">
        <v>0</v>
      </c>
      <c r="O598" t="n">
        <v>0</v>
      </c>
      <c r="P598" t="n">
        <v>0</v>
      </c>
      <c r="Q598" t="n">
        <v>0</v>
      </c>
      <c r="R598" s="2" t="inlineStr"/>
    </row>
    <row r="599" ht="15" customHeight="1">
      <c r="A599" t="inlineStr">
        <is>
          <t>A 36944-2025</t>
        </is>
      </c>
      <c r="B599" s="1" t="n">
        <v>45874.59450231482</v>
      </c>
      <c r="C599" s="1" t="n">
        <v>45905</v>
      </c>
      <c r="D599" t="inlineStr">
        <is>
          <t>VÄSTERBOTTENS LÄN</t>
        </is>
      </c>
      <c r="E599" t="inlineStr">
        <is>
          <t>VILHELMINA</t>
        </is>
      </c>
      <c r="F599" t="inlineStr">
        <is>
          <t>SCA</t>
        </is>
      </c>
      <c r="G599" t="n">
        <v>17.4</v>
      </c>
      <c r="H599" t="n">
        <v>0</v>
      </c>
      <c r="I599" t="n">
        <v>0</v>
      </c>
      <c r="J599" t="n">
        <v>0</v>
      </c>
      <c r="K599" t="n">
        <v>0</v>
      </c>
      <c r="L599" t="n">
        <v>0</v>
      </c>
      <c r="M599" t="n">
        <v>0</v>
      </c>
      <c r="N599" t="n">
        <v>0</v>
      </c>
      <c r="O599" t="n">
        <v>0</v>
      </c>
      <c r="P599" t="n">
        <v>0</v>
      </c>
      <c r="Q599" t="n">
        <v>0</v>
      </c>
      <c r="R599" s="2" t="inlineStr"/>
    </row>
    <row r="600" ht="15" customHeight="1">
      <c r="A600" t="inlineStr">
        <is>
          <t>A 20653-2021</t>
        </is>
      </c>
      <c r="B600" s="1" t="n">
        <v>44316.41677083333</v>
      </c>
      <c r="C600" s="1" t="n">
        <v>45905</v>
      </c>
      <c r="D600" t="inlineStr">
        <is>
          <t>VÄSTERBOTTENS LÄN</t>
        </is>
      </c>
      <c r="E600" t="inlineStr">
        <is>
          <t>VILHELMINA</t>
        </is>
      </c>
      <c r="F600" t="inlineStr">
        <is>
          <t>Kommuner</t>
        </is>
      </c>
      <c r="G600" t="n">
        <v>2.5</v>
      </c>
      <c r="H600" t="n">
        <v>0</v>
      </c>
      <c r="I600" t="n">
        <v>0</v>
      </c>
      <c r="J600" t="n">
        <v>0</v>
      </c>
      <c r="K600" t="n">
        <v>0</v>
      </c>
      <c r="L600" t="n">
        <v>0</v>
      </c>
      <c r="M600" t="n">
        <v>0</v>
      </c>
      <c r="N600" t="n">
        <v>0</v>
      </c>
      <c r="O600" t="n">
        <v>0</v>
      </c>
      <c r="P600" t="n">
        <v>0</v>
      </c>
      <c r="Q600" t="n">
        <v>0</v>
      </c>
      <c r="R600" s="2" t="inlineStr"/>
    </row>
    <row r="601" ht="15" customHeight="1">
      <c r="A601" t="inlineStr">
        <is>
          <t>A 11114-2022</t>
        </is>
      </c>
      <c r="B601" s="1" t="n">
        <v>44628.925625</v>
      </c>
      <c r="C601" s="1" t="n">
        <v>45905</v>
      </c>
      <c r="D601" t="inlineStr">
        <is>
          <t>VÄSTERBOTTENS LÄN</t>
        </is>
      </c>
      <c r="E601" t="inlineStr">
        <is>
          <t>VILHELMINA</t>
        </is>
      </c>
      <c r="G601" t="n">
        <v>8.6</v>
      </c>
      <c r="H601" t="n">
        <v>0</v>
      </c>
      <c r="I601" t="n">
        <v>0</v>
      </c>
      <c r="J601" t="n">
        <v>0</v>
      </c>
      <c r="K601" t="n">
        <v>0</v>
      </c>
      <c r="L601" t="n">
        <v>0</v>
      </c>
      <c r="M601" t="n">
        <v>0</v>
      </c>
      <c r="N601" t="n">
        <v>0</v>
      </c>
      <c r="O601" t="n">
        <v>0</v>
      </c>
      <c r="P601" t="n">
        <v>0</v>
      </c>
      <c r="Q601" t="n">
        <v>0</v>
      </c>
      <c r="R601" s="2" t="inlineStr"/>
    </row>
    <row r="602" ht="15" customHeight="1">
      <c r="A602" t="inlineStr">
        <is>
          <t>A 36569-2025</t>
        </is>
      </c>
      <c r="B602" s="1" t="n">
        <v>45870</v>
      </c>
      <c r="C602" s="1" t="n">
        <v>45905</v>
      </c>
      <c r="D602" t="inlineStr">
        <is>
          <t>VÄSTERBOTTENS LÄN</t>
        </is>
      </c>
      <c r="E602" t="inlineStr">
        <is>
          <t>VILHELMINA</t>
        </is>
      </c>
      <c r="F602" t="inlineStr">
        <is>
          <t>SCA</t>
        </is>
      </c>
      <c r="G602" t="n">
        <v>5.1</v>
      </c>
      <c r="H602" t="n">
        <v>0</v>
      </c>
      <c r="I602" t="n">
        <v>0</v>
      </c>
      <c r="J602" t="n">
        <v>0</v>
      </c>
      <c r="K602" t="n">
        <v>0</v>
      </c>
      <c r="L602" t="n">
        <v>0</v>
      </c>
      <c r="M602" t="n">
        <v>0</v>
      </c>
      <c r="N602" t="n">
        <v>0</v>
      </c>
      <c r="O602" t="n">
        <v>0</v>
      </c>
      <c r="P602" t="n">
        <v>0</v>
      </c>
      <c r="Q602" t="n">
        <v>0</v>
      </c>
      <c r="R602" s="2" t="inlineStr"/>
    </row>
    <row r="603" ht="15" customHeight="1">
      <c r="A603" t="inlineStr">
        <is>
          <t>A 56763-2023</t>
        </is>
      </c>
      <c r="B603" s="1" t="n">
        <v>45238</v>
      </c>
      <c r="C603" s="1" t="n">
        <v>45905</v>
      </c>
      <c r="D603" t="inlineStr">
        <is>
          <t>VÄSTERBOTTENS LÄN</t>
        </is>
      </c>
      <c r="E603" t="inlineStr">
        <is>
          <t>VILHELMINA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36973-2025</t>
        </is>
      </c>
      <c r="B604" s="1" t="n">
        <v>45874.63747685185</v>
      </c>
      <c r="C604" s="1" t="n">
        <v>45905</v>
      </c>
      <c r="D604" t="inlineStr">
        <is>
          <t>VÄSTERBOTTENS LÄN</t>
        </is>
      </c>
      <c r="E604" t="inlineStr">
        <is>
          <t>VILHELMINA</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35757-2023</t>
        </is>
      </c>
      <c r="B605" s="1" t="n">
        <v>45147.95444444445</v>
      </c>
      <c r="C605" s="1" t="n">
        <v>45905</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30746-2025</t>
        </is>
      </c>
      <c r="B606" s="1" t="n">
        <v>45831.58256944444</v>
      </c>
      <c r="C606" s="1" t="n">
        <v>45905</v>
      </c>
      <c r="D606" t="inlineStr">
        <is>
          <t>VÄSTERBOTTENS LÄN</t>
        </is>
      </c>
      <c r="E606" t="inlineStr">
        <is>
          <t>VILHELMINA</t>
        </is>
      </c>
      <c r="G606" t="n">
        <v>5.7</v>
      </c>
      <c r="H606" t="n">
        <v>0</v>
      </c>
      <c r="I606" t="n">
        <v>0</v>
      </c>
      <c r="J606" t="n">
        <v>0</v>
      </c>
      <c r="K606" t="n">
        <v>0</v>
      </c>
      <c r="L606" t="n">
        <v>0</v>
      </c>
      <c r="M606" t="n">
        <v>0</v>
      </c>
      <c r="N606" t="n">
        <v>0</v>
      </c>
      <c r="O606" t="n">
        <v>0</v>
      </c>
      <c r="P606" t="n">
        <v>0</v>
      </c>
      <c r="Q606" t="n">
        <v>0</v>
      </c>
      <c r="R606" s="2" t="inlineStr"/>
    </row>
    <row r="607" ht="15" customHeight="1">
      <c r="A607" t="inlineStr">
        <is>
          <t>A 72-2025</t>
        </is>
      </c>
      <c r="B607" s="1" t="n">
        <v>45659</v>
      </c>
      <c r="C607" s="1" t="n">
        <v>45905</v>
      </c>
      <c r="D607" t="inlineStr">
        <is>
          <t>VÄSTERBOTTENS LÄN</t>
        </is>
      </c>
      <c r="E607" t="inlineStr">
        <is>
          <t>VILHELMINA</t>
        </is>
      </c>
      <c r="G607" t="n">
        <v>0.9</v>
      </c>
      <c r="H607" t="n">
        <v>0</v>
      </c>
      <c r="I607" t="n">
        <v>0</v>
      </c>
      <c r="J607" t="n">
        <v>0</v>
      </c>
      <c r="K607" t="n">
        <v>0</v>
      </c>
      <c r="L607" t="n">
        <v>0</v>
      </c>
      <c r="M607" t="n">
        <v>0</v>
      </c>
      <c r="N607" t="n">
        <v>0</v>
      </c>
      <c r="O607" t="n">
        <v>0</v>
      </c>
      <c r="P607" t="n">
        <v>0</v>
      </c>
      <c r="Q607" t="n">
        <v>0</v>
      </c>
      <c r="R607" s="2" t="inlineStr"/>
    </row>
    <row r="608" ht="15" customHeight="1">
      <c r="A608" t="inlineStr">
        <is>
          <t>A 9181-2023</t>
        </is>
      </c>
      <c r="B608" s="1" t="n">
        <v>44972</v>
      </c>
      <c r="C608" s="1" t="n">
        <v>45905</v>
      </c>
      <c r="D608" t="inlineStr">
        <is>
          <t>VÄSTERBOTTENS LÄN</t>
        </is>
      </c>
      <c r="E608" t="inlineStr">
        <is>
          <t>VILHELMINA</t>
        </is>
      </c>
      <c r="F608" t="inlineStr">
        <is>
          <t>Allmännings- och besparingsskogar</t>
        </is>
      </c>
      <c r="G608" t="n">
        <v>220.1</v>
      </c>
      <c r="H608" t="n">
        <v>0</v>
      </c>
      <c r="I608" t="n">
        <v>0</v>
      </c>
      <c r="J608" t="n">
        <v>0</v>
      </c>
      <c r="K608" t="n">
        <v>0</v>
      </c>
      <c r="L608" t="n">
        <v>0</v>
      </c>
      <c r="M608" t="n">
        <v>0</v>
      </c>
      <c r="N608" t="n">
        <v>0</v>
      </c>
      <c r="O608" t="n">
        <v>0</v>
      </c>
      <c r="P608" t="n">
        <v>0</v>
      </c>
      <c r="Q608" t="n">
        <v>0</v>
      </c>
      <c r="R608" s="2" t="inlineStr"/>
    </row>
    <row r="609" ht="15" customHeight="1">
      <c r="A609" t="inlineStr">
        <is>
          <t>A 8215-2023</t>
        </is>
      </c>
      <c r="B609" s="1" t="n">
        <v>44971</v>
      </c>
      <c r="C609" s="1" t="n">
        <v>45905</v>
      </c>
      <c r="D609" t="inlineStr">
        <is>
          <t>VÄSTERBOTTENS LÄN</t>
        </is>
      </c>
      <c r="E609" t="inlineStr">
        <is>
          <t>VILHELMINA</t>
        </is>
      </c>
      <c r="G609" t="n">
        <v>0.8</v>
      </c>
      <c r="H609" t="n">
        <v>0</v>
      </c>
      <c r="I609" t="n">
        <v>0</v>
      </c>
      <c r="J609" t="n">
        <v>0</v>
      </c>
      <c r="K609" t="n">
        <v>0</v>
      </c>
      <c r="L609" t="n">
        <v>0</v>
      </c>
      <c r="M609" t="n">
        <v>0</v>
      </c>
      <c r="N609" t="n">
        <v>0</v>
      </c>
      <c r="O609" t="n">
        <v>0</v>
      </c>
      <c r="P609" t="n">
        <v>0</v>
      </c>
      <c r="Q609" t="n">
        <v>0</v>
      </c>
      <c r="R609" s="2" t="inlineStr"/>
    </row>
    <row r="610" ht="15" customHeight="1">
      <c r="A610" t="inlineStr">
        <is>
          <t>A 37015-2025</t>
        </is>
      </c>
      <c r="B610" s="1" t="n">
        <v>45874.71912037037</v>
      </c>
      <c r="C610" s="1" t="n">
        <v>45905</v>
      </c>
      <c r="D610" t="inlineStr">
        <is>
          <t>VÄSTERBOTTENS LÄN</t>
        </is>
      </c>
      <c r="E610" t="inlineStr">
        <is>
          <t>VILHELMINA</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48754-2021</t>
        </is>
      </c>
      <c r="B611" s="1" t="n">
        <v>44452</v>
      </c>
      <c r="C611" s="1" t="n">
        <v>45905</v>
      </c>
      <c r="D611" t="inlineStr">
        <is>
          <t>VÄSTERBOTTENS LÄN</t>
        </is>
      </c>
      <c r="E611" t="inlineStr">
        <is>
          <t>VILHELMINA</t>
        </is>
      </c>
      <c r="G611" t="n">
        <v>5.6</v>
      </c>
      <c r="H611" t="n">
        <v>0</v>
      </c>
      <c r="I611" t="n">
        <v>0</v>
      </c>
      <c r="J611" t="n">
        <v>0</v>
      </c>
      <c r="K611" t="n">
        <v>0</v>
      </c>
      <c r="L611" t="n">
        <v>0</v>
      </c>
      <c r="M611" t="n">
        <v>0</v>
      </c>
      <c r="N611" t="n">
        <v>0</v>
      </c>
      <c r="O611" t="n">
        <v>0</v>
      </c>
      <c r="P611" t="n">
        <v>0</v>
      </c>
      <c r="Q611" t="n">
        <v>0</v>
      </c>
      <c r="R611" s="2" t="inlineStr"/>
    </row>
    <row r="612" ht="15" customHeight="1">
      <c r="A612" t="inlineStr">
        <is>
          <t>A 48756-2021</t>
        </is>
      </c>
      <c r="B612" s="1" t="n">
        <v>44452</v>
      </c>
      <c r="C612" s="1" t="n">
        <v>45905</v>
      </c>
      <c r="D612" t="inlineStr">
        <is>
          <t>VÄSTERBOTTENS LÄN</t>
        </is>
      </c>
      <c r="E612" t="inlineStr">
        <is>
          <t>VILHELMINA</t>
        </is>
      </c>
      <c r="G612" t="n">
        <v>13.3</v>
      </c>
      <c r="H612" t="n">
        <v>0</v>
      </c>
      <c r="I612" t="n">
        <v>0</v>
      </c>
      <c r="J612" t="n">
        <v>0</v>
      </c>
      <c r="K612" t="n">
        <v>0</v>
      </c>
      <c r="L612" t="n">
        <v>0</v>
      </c>
      <c r="M612" t="n">
        <v>0</v>
      </c>
      <c r="N612" t="n">
        <v>0</v>
      </c>
      <c r="O612" t="n">
        <v>0</v>
      </c>
      <c r="P612" t="n">
        <v>0</v>
      </c>
      <c r="Q612" t="n">
        <v>0</v>
      </c>
      <c r="R612" s="2" t="inlineStr"/>
    </row>
    <row r="613" ht="15" customHeight="1">
      <c r="A613" t="inlineStr">
        <is>
          <t>A 54457-2024</t>
        </is>
      </c>
      <c r="B613" s="1" t="n">
        <v>45617</v>
      </c>
      <c r="C613" s="1" t="n">
        <v>45905</v>
      </c>
      <c r="D613" t="inlineStr">
        <is>
          <t>VÄSTERBOTTENS LÄN</t>
        </is>
      </c>
      <c r="E613" t="inlineStr">
        <is>
          <t>VILHELMINA</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20510-2024</t>
        </is>
      </c>
      <c r="B614" s="1" t="n">
        <v>45435.94324074074</v>
      </c>
      <c r="C614" s="1" t="n">
        <v>45905</v>
      </c>
      <c r="D614" t="inlineStr">
        <is>
          <t>VÄSTERBOTTENS LÄN</t>
        </is>
      </c>
      <c r="E614" t="inlineStr">
        <is>
          <t>VILHELMINA</t>
        </is>
      </c>
      <c r="F614" t="inlineStr">
        <is>
          <t>SCA</t>
        </is>
      </c>
      <c r="G614" t="n">
        <v>7.7</v>
      </c>
      <c r="H614" t="n">
        <v>0</v>
      </c>
      <c r="I614" t="n">
        <v>0</v>
      </c>
      <c r="J614" t="n">
        <v>0</v>
      </c>
      <c r="K614" t="n">
        <v>0</v>
      </c>
      <c r="L614" t="n">
        <v>0</v>
      </c>
      <c r="M614" t="n">
        <v>0</v>
      </c>
      <c r="N614" t="n">
        <v>0</v>
      </c>
      <c r="O614" t="n">
        <v>0</v>
      </c>
      <c r="P614" t="n">
        <v>0</v>
      </c>
      <c r="Q614" t="n">
        <v>0</v>
      </c>
      <c r="R614" s="2" t="inlineStr"/>
    </row>
    <row r="615" ht="15" customHeight="1">
      <c r="A615" t="inlineStr">
        <is>
          <t>A 20523-2024</t>
        </is>
      </c>
      <c r="B615" s="1" t="n">
        <v>45435.94553240741</v>
      </c>
      <c r="C615" s="1" t="n">
        <v>45905</v>
      </c>
      <c r="D615" t="inlineStr">
        <is>
          <t>VÄSTERBOTTENS LÄN</t>
        </is>
      </c>
      <c r="E615" t="inlineStr">
        <is>
          <t>VILHELMINA</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32455-2024</t>
        </is>
      </c>
      <c r="B616" s="1" t="n">
        <v>45512.95870370371</v>
      </c>
      <c r="C616" s="1" t="n">
        <v>45905</v>
      </c>
      <c r="D616" t="inlineStr">
        <is>
          <t>VÄSTERBOTTENS LÄN</t>
        </is>
      </c>
      <c r="E616" t="inlineStr">
        <is>
          <t>VILHELMINA</t>
        </is>
      </c>
      <c r="F616" t="inlineStr">
        <is>
          <t>SCA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31724-2025</t>
        </is>
      </c>
      <c r="B617" s="1" t="n">
        <v>45834</v>
      </c>
      <c r="C617" s="1" t="n">
        <v>45905</v>
      </c>
      <c r="D617" t="inlineStr">
        <is>
          <t>VÄSTERBOTTENS LÄN</t>
        </is>
      </c>
      <c r="E617" t="inlineStr">
        <is>
          <t>VILHELMINA</t>
        </is>
      </c>
      <c r="G617" t="n">
        <v>19.7</v>
      </c>
      <c r="H617" t="n">
        <v>0</v>
      </c>
      <c r="I617" t="n">
        <v>0</v>
      </c>
      <c r="J617" t="n">
        <v>0</v>
      </c>
      <c r="K617" t="n">
        <v>0</v>
      </c>
      <c r="L617" t="n">
        <v>0</v>
      </c>
      <c r="M617" t="n">
        <v>0</v>
      </c>
      <c r="N617" t="n">
        <v>0</v>
      </c>
      <c r="O617" t="n">
        <v>0</v>
      </c>
      <c r="P617" t="n">
        <v>0</v>
      </c>
      <c r="Q617" t="n">
        <v>0</v>
      </c>
      <c r="R617" s="2" t="inlineStr"/>
    </row>
    <row r="618" ht="15" customHeight="1">
      <c r="A618" t="inlineStr">
        <is>
          <t>A 31730-2025</t>
        </is>
      </c>
      <c r="B618" s="1" t="n">
        <v>45834</v>
      </c>
      <c r="C618" s="1" t="n">
        <v>45905</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31851-2024</t>
        </is>
      </c>
      <c r="B619" s="1" t="n">
        <v>45509</v>
      </c>
      <c r="C619" s="1" t="n">
        <v>45905</v>
      </c>
      <c r="D619" t="inlineStr">
        <is>
          <t>VÄSTERBOTTENS LÄN</t>
        </is>
      </c>
      <c r="E619" t="inlineStr">
        <is>
          <t>VILHELMINA</t>
        </is>
      </c>
      <c r="G619" t="n">
        <v>5.1</v>
      </c>
      <c r="H619" t="n">
        <v>0</v>
      </c>
      <c r="I619" t="n">
        <v>0</v>
      </c>
      <c r="J619" t="n">
        <v>0</v>
      </c>
      <c r="K619" t="n">
        <v>0</v>
      </c>
      <c r="L619" t="n">
        <v>0</v>
      </c>
      <c r="M619" t="n">
        <v>0</v>
      </c>
      <c r="N619" t="n">
        <v>0</v>
      </c>
      <c r="O619" t="n">
        <v>0</v>
      </c>
      <c r="P619" t="n">
        <v>0</v>
      </c>
      <c r="Q619" t="n">
        <v>0</v>
      </c>
      <c r="R619" s="2" t="inlineStr"/>
    </row>
    <row r="620" ht="15" customHeight="1">
      <c r="A620" t="inlineStr">
        <is>
          <t>A 31307-2025</t>
        </is>
      </c>
      <c r="B620" s="1" t="n">
        <v>45833</v>
      </c>
      <c r="C620" s="1" t="n">
        <v>45905</v>
      </c>
      <c r="D620" t="inlineStr">
        <is>
          <t>VÄSTERBOTTENS LÄN</t>
        </is>
      </c>
      <c r="E620" t="inlineStr">
        <is>
          <t>VILHELMINA</t>
        </is>
      </c>
      <c r="G620" t="n">
        <v>9.9</v>
      </c>
      <c r="H620" t="n">
        <v>0</v>
      </c>
      <c r="I620" t="n">
        <v>0</v>
      </c>
      <c r="J620" t="n">
        <v>0</v>
      </c>
      <c r="K620" t="n">
        <v>0</v>
      </c>
      <c r="L620" t="n">
        <v>0</v>
      </c>
      <c r="M620" t="n">
        <v>0</v>
      </c>
      <c r="N620" t="n">
        <v>0</v>
      </c>
      <c r="O620" t="n">
        <v>0</v>
      </c>
      <c r="P620" t="n">
        <v>0</v>
      </c>
      <c r="Q620" t="n">
        <v>0</v>
      </c>
      <c r="R620" s="2" t="inlineStr"/>
    </row>
    <row r="621" ht="15" customHeight="1">
      <c r="A621" t="inlineStr">
        <is>
          <t>A 58934-2024</t>
        </is>
      </c>
      <c r="B621" s="1" t="n">
        <v>45636</v>
      </c>
      <c r="C621" s="1" t="n">
        <v>45905</v>
      </c>
      <c r="D621" t="inlineStr">
        <is>
          <t>VÄSTERBOTTENS LÄN</t>
        </is>
      </c>
      <c r="E621" t="inlineStr">
        <is>
          <t>VILHELMINA</t>
        </is>
      </c>
      <c r="F621" t="inlineStr">
        <is>
          <t>Allmännings- och besparingsskogar</t>
        </is>
      </c>
      <c r="G621" t="n">
        <v>45.6</v>
      </c>
      <c r="H621" t="n">
        <v>0</v>
      </c>
      <c r="I621" t="n">
        <v>0</v>
      </c>
      <c r="J621" t="n">
        <v>0</v>
      </c>
      <c r="K621" t="n">
        <v>0</v>
      </c>
      <c r="L621" t="n">
        <v>0</v>
      </c>
      <c r="M621" t="n">
        <v>0</v>
      </c>
      <c r="N621" t="n">
        <v>0</v>
      </c>
      <c r="O621" t="n">
        <v>0</v>
      </c>
      <c r="P621" t="n">
        <v>0</v>
      </c>
      <c r="Q621" t="n">
        <v>0</v>
      </c>
      <c r="R621" s="2" t="inlineStr"/>
    </row>
    <row r="622" ht="15" customHeight="1">
      <c r="A622" t="inlineStr">
        <is>
          <t>A 58943-2024</t>
        </is>
      </c>
      <c r="B622" s="1" t="n">
        <v>45636.5433449074</v>
      </c>
      <c r="C622" s="1" t="n">
        <v>45905</v>
      </c>
      <c r="D622" t="inlineStr">
        <is>
          <t>VÄSTERBOTTENS LÄN</t>
        </is>
      </c>
      <c r="E622" t="inlineStr">
        <is>
          <t>VILHELMINA</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74-2025</t>
        </is>
      </c>
      <c r="B623" s="1" t="n">
        <v>45659</v>
      </c>
      <c r="C623" s="1" t="n">
        <v>45905</v>
      </c>
      <c r="D623" t="inlineStr">
        <is>
          <t>VÄSTERBOTTENS LÄN</t>
        </is>
      </c>
      <c r="E623" t="inlineStr">
        <is>
          <t>VILHELMINA</t>
        </is>
      </c>
      <c r="G623" t="n">
        <v>5.9</v>
      </c>
      <c r="H623" t="n">
        <v>0</v>
      </c>
      <c r="I623" t="n">
        <v>0</v>
      </c>
      <c r="J623" t="n">
        <v>0</v>
      </c>
      <c r="K623" t="n">
        <v>0</v>
      </c>
      <c r="L623" t="n">
        <v>0</v>
      </c>
      <c r="M623" t="n">
        <v>0</v>
      </c>
      <c r="N623" t="n">
        <v>0</v>
      </c>
      <c r="O623" t="n">
        <v>0</v>
      </c>
      <c r="P623" t="n">
        <v>0</v>
      </c>
      <c r="Q623" t="n">
        <v>0</v>
      </c>
      <c r="R623" s="2" t="inlineStr"/>
    </row>
    <row r="624" ht="15" customHeight="1">
      <c r="A624" t="inlineStr">
        <is>
          <t>A 78-2025</t>
        </is>
      </c>
      <c r="B624" s="1" t="n">
        <v>45659</v>
      </c>
      <c r="C624" s="1" t="n">
        <v>45905</v>
      </c>
      <c r="D624" t="inlineStr">
        <is>
          <t>VÄSTERBOTTENS LÄN</t>
        </is>
      </c>
      <c r="E624" t="inlineStr">
        <is>
          <t>VILHELMINA</t>
        </is>
      </c>
      <c r="G624" t="n">
        <v>7.3</v>
      </c>
      <c r="H624" t="n">
        <v>0</v>
      </c>
      <c r="I624" t="n">
        <v>0</v>
      </c>
      <c r="J624" t="n">
        <v>0</v>
      </c>
      <c r="K624" t="n">
        <v>0</v>
      </c>
      <c r="L624" t="n">
        <v>0</v>
      </c>
      <c r="M624" t="n">
        <v>0</v>
      </c>
      <c r="N624" t="n">
        <v>0</v>
      </c>
      <c r="O624" t="n">
        <v>0</v>
      </c>
      <c r="P624" t="n">
        <v>0</v>
      </c>
      <c r="Q624" t="n">
        <v>0</v>
      </c>
      <c r="R624" s="2" t="inlineStr"/>
    </row>
    <row r="625" ht="15" customHeight="1">
      <c r="A625" t="inlineStr">
        <is>
          <t>A 31485-2025</t>
        </is>
      </c>
      <c r="B625" s="1" t="n">
        <v>45833</v>
      </c>
      <c r="C625" s="1" t="n">
        <v>45905</v>
      </c>
      <c r="D625" t="inlineStr">
        <is>
          <t>VÄSTERBOTTENS LÄN</t>
        </is>
      </c>
      <c r="E625" t="inlineStr">
        <is>
          <t>VILHELMINA</t>
        </is>
      </c>
      <c r="G625" t="n">
        <v>2.8</v>
      </c>
      <c r="H625" t="n">
        <v>0</v>
      </c>
      <c r="I625" t="n">
        <v>0</v>
      </c>
      <c r="J625" t="n">
        <v>0</v>
      </c>
      <c r="K625" t="n">
        <v>0</v>
      </c>
      <c r="L625" t="n">
        <v>0</v>
      </c>
      <c r="M625" t="n">
        <v>0</v>
      </c>
      <c r="N625" t="n">
        <v>0</v>
      </c>
      <c r="O625" t="n">
        <v>0</v>
      </c>
      <c r="P625" t="n">
        <v>0</v>
      </c>
      <c r="Q625" t="n">
        <v>0</v>
      </c>
      <c r="R625" s="2" t="inlineStr"/>
    </row>
    <row r="626" ht="15" customHeight="1">
      <c r="A626" t="inlineStr">
        <is>
          <t>A 23278-2021</t>
        </is>
      </c>
      <c r="B626" s="1" t="n">
        <v>44328</v>
      </c>
      <c r="C626" s="1" t="n">
        <v>45905</v>
      </c>
      <c r="D626" t="inlineStr">
        <is>
          <t>VÄSTERBOTTENS LÄN</t>
        </is>
      </c>
      <c r="E626" t="inlineStr">
        <is>
          <t>VILHELMINA</t>
        </is>
      </c>
      <c r="F626" t="inlineStr">
        <is>
          <t>Allmännings- och besparingsskogar</t>
        </is>
      </c>
      <c r="G626" t="n">
        <v>13.6</v>
      </c>
      <c r="H626" t="n">
        <v>0</v>
      </c>
      <c r="I626" t="n">
        <v>0</v>
      </c>
      <c r="J626" t="n">
        <v>0</v>
      </c>
      <c r="K626" t="n">
        <v>0</v>
      </c>
      <c r="L626" t="n">
        <v>0</v>
      </c>
      <c r="M626" t="n">
        <v>0</v>
      </c>
      <c r="N626" t="n">
        <v>0</v>
      </c>
      <c r="O626" t="n">
        <v>0</v>
      </c>
      <c r="P626" t="n">
        <v>0</v>
      </c>
      <c r="Q626" t="n">
        <v>0</v>
      </c>
      <c r="R626" s="2" t="inlineStr"/>
    </row>
    <row r="627" ht="15" customHeight="1">
      <c r="A627" t="inlineStr">
        <is>
          <t>A 31733-2025</t>
        </is>
      </c>
      <c r="B627" s="1" t="n">
        <v>45834.47035879629</v>
      </c>
      <c r="C627" s="1" t="n">
        <v>45905</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31308-2025</t>
        </is>
      </c>
      <c r="B628" s="1" t="n">
        <v>45833</v>
      </c>
      <c r="C628" s="1" t="n">
        <v>45905</v>
      </c>
      <c r="D628" t="inlineStr">
        <is>
          <t>VÄSTERBOTTENS LÄN</t>
        </is>
      </c>
      <c r="E628" t="inlineStr">
        <is>
          <t>VILHELMINA</t>
        </is>
      </c>
      <c r="G628" t="n">
        <v>3.2</v>
      </c>
      <c r="H628" t="n">
        <v>0</v>
      </c>
      <c r="I628" t="n">
        <v>0</v>
      </c>
      <c r="J628" t="n">
        <v>0</v>
      </c>
      <c r="K628" t="n">
        <v>0</v>
      </c>
      <c r="L628" t="n">
        <v>0</v>
      </c>
      <c r="M628" t="n">
        <v>0</v>
      </c>
      <c r="N628" t="n">
        <v>0</v>
      </c>
      <c r="O628" t="n">
        <v>0</v>
      </c>
      <c r="P628" t="n">
        <v>0</v>
      </c>
      <c r="Q628" t="n">
        <v>0</v>
      </c>
      <c r="R628" s="2" t="inlineStr"/>
    </row>
    <row r="629" ht="15" customHeight="1">
      <c r="A629" t="inlineStr">
        <is>
          <t>A 37369-2025</t>
        </is>
      </c>
      <c r="B629" s="1" t="n">
        <v>45877.34444444445</v>
      </c>
      <c r="C629" s="1" t="n">
        <v>45905</v>
      </c>
      <c r="D629" t="inlineStr">
        <is>
          <t>VÄSTERBOTTENS LÄN</t>
        </is>
      </c>
      <c r="E629" t="inlineStr">
        <is>
          <t>VILHELMINA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54387-2024</t>
        </is>
      </c>
      <c r="B630" s="1" t="n">
        <v>45617</v>
      </c>
      <c r="C630" s="1" t="n">
        <v>45905</v>
      </c>
      <c r="D630" t="inlineStr">
        <is>
          <t>VÄSTERBOTTENS LÄN</t>
        </is>
      </c>
      <c r="E630" t="inlineStr">
        <is>
          <t>VILHELMINA</t>
        </is>
      </c>
      <c r="F630" t="inlineStr">
        <is>
          <t>SCA</t>
        </is>
      </c>
      <c r="G630" t="n">
        <v>7.6</v>
      </c>
      <c r="H630" t="n">
        <v>0</v>
      </c>
      <c r="I630" t="n">
        <v>0</v>
      </c>
      <c r="J630" t="n">
        <v>0</v>
      </c>
      <c r="K630" t="n">
        <v>0</v>
      </c>
      <c r="L630" t="n">
        <v>0</v>
      </c>
      <c r="M630" t="n">
        <v>0</v>
      </c>
      <c r="N630" t="n">
        <v>0</v>
      </c>
      <c r="O630" t="n">
        <v>0</v>
      </c>
      <c r="P630" t="n">
        <v>0</v>
      </c>
      <c r="Q630" t="n">
        <v>0</v>
      </c>
      <c r="R630" s="2" t="inlineStr"/>
    </row>
    <row r="631" ht="15" customHeight="1">
      <c r="A631" t="inlineStr">
        <is>
          <t>A 59031-2024</t>
        </is>
      </c>
      <c r="B631" s="1" t="n">
        <v>45636</v>
      </c>
      <c r="C631" s="1" t="n">
        <v>45905</v>
      </c>
      <c r="D631" t="inlineStr">
        <is>
          <t>VÄSTERBOTTENS LÄN</t>
        </is>
      </c>
      <c r="E631" t="inlineStr">
        <is>
          <t>VILHELMINA</t>
        </is>
      </c>
      <c r="G631" t="n">
        <v>38.9</v>
      </c>
      <c r="H631" t="n">
        <v>0</v>
      </c>
      <c r="I631" t="n">
        <v>0</v>
      </c>
      <c r="J631" t="n">
        <v>0</v>
      </c>
      <c r="K631" t="n">
        <v>0</v>
      </c>
      <c r="L631" t="n">
        <v>0</v>
      </c>
      <c r="M631" t="n">
        <v>0</v>
      </c>
      <c r="N631" t="n">
        <v>0</v>
      </c>
      <c r="O631" t="n">
        <v>0</v>
      </c>
      <c r="P631" t="n">
        <v>0</v>
      </c>
      <c r="Q631" t="n">
        <v>0</v>
      </c>
      <c r="R631" s="2" t="inlineStr"/>
    </row>
    <row r="632" ht="15" customHeight="1">
      <c r="A632" t="inlineStr">
        <is>
          <t>A 26553-2023</t>
        </is>
      </c>
      <c r="B632" s="1" t="n">
        <v>45089</v>
      </c>
      <c r="C632" s="1" t="n">
        <v>45905</v>
      </c>
      <c r="D632" t="inlineStr">
        <is>
          <t>VÄSTERBOTTENS LÄN</t>
        </is>
      </c>
      <c r="E632" t="inlineStr">
        <is>
          <t>VILHELMINA</t>
        </is>
      </c>
      <c r="G632" t="n">
        <v>5.5</v>
      </c>
      <c r="H632" t="n">
        <v>0</v>
      </c>
      <c r="I632" t="n">
        <v>0</v>
      </c>
      <c r="J632" t="n">
        <v>0</v>
      </c>
      <c r="K632" t="n">
        <v>0</v>
      </c>
      <c r="L632" t="n">
        <v>0</v>
      </c>
      <c r="M632" t="n">
        <v>0</v>
      </c>
      <c r="N632" t="n">
        <v>0</v>
      </c>
      <c r="O632" t="n">
        <v>0</v>
      </c>
      <c r="P632" t="n">
        <v>0</v>
      </c>
      <c r="Q632" t="n">
        <v>0</v>
      </c>
      <c r="R632" s="2" t="inlineStr"/>
    </row>
    <row r="633" ht="15" customHeight="1">
      <c r="A633" t="inlineStr">
        <is>
          <t>A 23360-2025</t>
        </is>
      </c>
      <c r="B633" s="1" t="n">
        <v>45791</v>
      </c>
      <c r="C633" s="1" t="n">
        <v>45905</v>
      </c>
      <c r="D633" t="inlineStr">
        <is>
          <t>VÄSTERBOTTENS LÄN</t>
        </is>
      </c>
      <c r="E633" t="inlineStr">
        <is>
          <t>VILHELMINA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38297-2024</t>
        </is>
      </c>
      <c r="B634" s="1" t="n">
        <v>45545</v>
      </c>
      <c r="C634" s="1" t="n">
        <v>45905</v>
      </c>
      <c r="D634" t="inlineStr">
        <is>
          <t>VÄSTERBOTTENS LÄN</t>
        </is>
      </c>
      <c r="E634" t="inlineStr">
        <is>
          <t>VILHELMINA</t>
        </is>
      </c>
      <c r="G634" t="n">
        <v>139.8</v>
      </c>
      <c r="H634" t="n">
        <v>0</v>
      </c>
      <c r="I634" t="n">
        <v>0</v>
      </c>
      <c r="J634" t="n">
        <v>0</v>
      </c>
      <c r="K634" t="n">
        <v>0</v>
      </c>
      <c r="L634" t="n">
        <v>0</v>
      </c>
      <c r="M634" t="n">
        <v>0</v>
      </c>
      <c r="N634" t="n">
        <v>0</v>
      </c>
      <c r="O634" t="n">
        <v>0</v>
      </c>
      <c r="P634" t="n">
        <v>0</v>
      </c>
      <c r="Q634" t="n">
        <v>0</v>
      </c>
      <c r="R634" s="2" t="inlineStr"/>
    </row>
    <row r="635" ht="15" customHeight="1">
      <c r="A635" t="inlineStr">
        <is>
          <t>A 40732-2024</t>
        </is>
      </c>
      <c r="B635" s="1" t="n">
        <v>45558</v>
      </c>
      <c r="C635" s="1" t="n">
        <v>45905</v>
      </c>
      <c r="D635" t="inlineStr">
        <is>
          <t>VÄSTERBOTTENS LÄN</t>
        </is>
      </c>
      <c r="E635" t="inlineStr">
        <is>
          <t>VILHELMINA</t>
        </is>
      </c>
      <c r="F635" t="inlineStr">
        <is>
          <t>Allmännings- och besparingsskogar</t>
        </is>
      </c>
      <c r="G635" t="n">
        <v>89.59999999999999</v>
      </c>
      <c r="H635" t="n">
        <v>0</v>
      </c>
      <c r="I635" t="n">
        <v>0</v>
      </c>
      <c r="J635" t="n">
        <v>0</v>
      </c>
      <c r="K635" t="n">
        <v>0</v>
      </c>
      <c r="L635" t="n">
        <v>0</v>
      </c>
      <c r="M635" t="n">
        <v>0</v>
      </c>
      <c r="N635" t="n">
        <v>0</v>
      </c>
      <c r="O635" t="n">
        <v>0</v>
      </c>
      <c r="P635" t="n">
        <v>0</v>
      </c>
      <c r="Q635" t="n">
        <v>0</v>
      </c>
      <c r="R635" s="2" t="inlineStr"/>
    </row>
    <row r="636" ht="15" customHeight="1">
      <c r="A636" t="inlineStr">
        <is>
          <t>A 37269-2025</t>
        </is>
      </c>
      <c r="B636" s="1" t="n">
        <v>45876</v>
      </c>
      <c r="C636" s="1" t="n">
        <v>45905</v>
      </c>
      <c r="D636" t="inlineStr">
        <is>
          <t>VÄSTERBOTTENS LÄN</t>
        </is>
      </c>
      <c r="E636" t="inlineStr">
        <is>
          <t>VILHELMINA</t>
        </is>
      </c>
      <c r="G636" t="n">
        <v>2.5</v>
      </c>
      <c r="H636" t="n">
        <v>0</v>
      </c>
      <c r="I636" t="n">
        <v>0</v>
      </c>
      <c r="J636" t="n">
        <v>0</v>
      </c>
      <c r="K636" t="n">
        <v>0</v>
      </c>
      <c r="L636" t="n">
        <v>0</v>
      </c>
      <c r="M636" t="n">
        <v>0</v>
      </c>
      <c r="N636" t="n">
        <v>0</v>
      </c>
      <c r="O636" t="n">
        <v>0</v>
      </c>
      <c r="P636" t="n">
        <v>0</v>
      </c>
      <c r="Q636" t="n">
        <v>0</v>
      </c>
      <c r="R636" s="2" t="inlineStr"/>
    </row>
    <row r="637" ht="15" customHeight="1">
      <c r="A637" t="inlineStr">
        <is>
          <t>A 40726-2024</t>
        </is>
      </c>
      <c r="B637" s="1" t="n">
        <v>45558</v>
      </c>
      <c r="C637" s="1" t="n">
        <v>45905</v>
      </c>
      <c r="D637" t="inlineStr">
        <is>
          <t>VÄSTERBOTTENS LÄN</t>
        </is>
      </c>
      <c r="E637" t="inlineStr">
        <is>
          <t>VILHELMINA</t>
        </is>
      </c>
      <c r="F637" t="inlineStr">
        <is>
          <t>Allmännings- och besparingsskogar</t>
        </is>
      </c>
      <c r="G637" t="n">
        <v>73.59999999999999</v>
      </c>
      <c r="H637" t="n">
        <v>0</v>
      </c>
      <c r="I637" t="n">
        <v>0</v>
      </c>
      <c r="J637" t="n">
        <v>0</v>
      </c>
      <c r="K637" t="n">
        <v>0</v>
      </c>
      <c r="L637" t="n">
        <v>0</v>
      </c>
      <c r="M637" t="n">
        <v>0</v>
      </c>
      <c r="N637" t="n">
        <v>0</v>
      </c>
      <c r="O637" t="n">
        <v>0</v>
      </c>
      <c r="P637" t="n">
        <v>0</v>
      </c>
      <c r="Q637" t="n">
        <v>0</v>
      </c>
      <c r="R637" s="2" t="inlineStr"/>
    </row>
    <row r="638" ht="15" customHeight="1">
      <c r="A638" t="inlineStr">
        <is>
          <t>A 37505-2023</t>
        </is>
      </c>
      <c r="B638" s="1" t="n">
        <v>45158.31186342592</v>
      </c>
      <c r="C638" s="1" t="n">
        <v>45905</v>
      </c>
      <c r="D638" t="inlineStr">
        <is>
          <t>VÄSTERBOTTENS LÄN</t>
        </is>
      </c>
      <c r="E638" t="inlineStr">
        <is>
          <t>VILHELMINA</t>
        </is>
      </c>
      <c r="G638" t="n">
        <v>10.5</v>
      </c>
      <c r="H638" t="n">
        <v>0</v>
      </c>
      <c r="I638" t="n">
        <v>0</v>
      </c>
      <c r="J638" t="n">
        <v>0</v>
      </c>
      <c r="K638" t="n">
        <v>0</v>
      </c>
      <c r="L638" t="n">
        <v>0</v>
      </c>
      <c r="M638" t="n">
        <v>0</v>
      </c>
      <c r="N638" t="n">
        <v>0</v>
      </c>
      <c r="O638" t="n">
        <v>0</v>
      </c>
      <c r="P638" t="n">
        <v>0</v>
      </c>
      <c r="Q638" t="n">
        <v>0</v>
      </c>
      <c r="R638" s="2" t="inlineStr"/>
    </row>
    <row r="639" ht="15" customHeight="1">
      <c r="A639" t="inlineStr">
        <is>
          <t>A 37368-2025</t>
        </is>
      </c>
      <c r="B639" s="1" t="n">
        <v>45877.34436342592</v>
      </c>
      <c r="C639" s="1" t="n">
        <v>45905</v>
      </c>
      <c r="D639" t="inlineStr">
        <is>
          <t>VÄSTERBOTTENS LÄN</t>
        </is>
      </c>
      <c r="E639" t="inlineStr">
        <is>
          <t>VILHELMINA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37376-2025</t>
        </is>
      </c>
      <c r="B640" s="1" t="n">
        <v>45877.36513888889</v>
      </c>
      <c r="C640" s="1" t="n">
        <v>45905</v>
      </c>
      <c r="D640" t="inlineStr">
        <is>
          <t>VÄSTERBOTTENS LÄN</t>
        </is>
      </c>
      <c r="E640" t="inlineStr">
        <is>
          <t>VILHELMINA</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37302-2025</t>
        </is>
      </c>
      <c r="B641" s="1" t="n">
        <v>45876</v>
      </c>
      <c r="C641" s="1" t="n">
        <v>45905</v>
      </c>
      <c r="D641" t="inlineStr">
        <is>
          <t>VÄSTERBOTTENS LÄN</t>
        </is>
      </c>
      <c r="E641" t="inlineStr">
        <is>
          <t>VILHELMINA</t>
        </is>
      </c>
      <c r="F641" t="inlineStr">
        <is>
          <t>SCA</t>
        </is>
      </c>
      <c r="G641" t="n">
        <v>7.6</v>
      </c>
      <c r="H641" t="n">
        <v>0</v>
      </c>
      <c r="I641" t="n">
        <v>0</v>
      </c>
      <c r="J641" t="n">
        <v>0</v>
      </c>
      <c r="K641" t="n">
        <v>0</v>
      </c>
      <c r="L641" t="n">
        <v>0</v>
      </c>
      <c r="M641" t="n">
        <v>0</v>
      </c>
      <c r="N641" t="n">
        <v>0</v>
      </c>
      <c r="O641" t="n">
        <v>0</v>
      </c>
      <c r="P641" t="n">
        <v>0</v>
      </c>
      <c r="Q641" t="n">
        <v>0</v>
      </c>
      <c r="R641" s="2" t="inlineStr"/>
    </row>
    <row r="642" ht="15" customHeight="1">
      <c r="A642" t="inlineStr">
        <is>
          <t>A 27881-2022</t>
        </is>
      </c>
      <c r="B642" s="1" t="n">
        <v>44743</v>
      </c>
      <c r="C642" s="1" t="n">
        <v>45905</v>
      </c>
      <c r="D642" t="inlineStr">
        <is>
          <t>VÄSTERBOTTENS LÄN</t>
        </is>
      </c>
      <c r="E642" t="inlineStr">
        <is>
          <t>VILHELMINA</t>
        </is>
      </c>
      <c r="F642" t="inlineStr">
        <is>
          <t>Sveaskog</t>
        </is>
      </c>
      <c r="G642" t="n">
        <v>14.3</v>
      </c>
      <c r="H642" t="n">
        <v>0</v>
      </c>
      <c r="I642" t="n">
        <v>0</v>
      </c>
      <c r="J642" t="n">
        <v>0</v>
      </c>
      <c r="K642" t="n">
        <v>0</v>
      </c>
      <c r="L642" t="n">
        <v>0</v>
      </c>
      <c r="M642" t="n">
        <v>0</v>
      </c>
      <c r="N642" t="n">
        <v>0</v>
      </c>
      <c r="O642" t="n">
        <v>0</v>
      </c>
      <c r="P642" t="n">
        <v>0</v>
      </c>
      <c r="Q642" t="n">
        <v>0</v>
      </c>
      <c r="R642" s="2" t="inlineStr"/>
    </row>
    <row r="643" ht="15" customHeight="1">
      <c r="A643" t="inlineStr">
        <is>
          <t>A 49241-2024</t>
        </is>
      </c>
      <c r="B643" s="1" t="n">
        <v>45595</v>
      </c>
      <c r="C643" s="1" t="n">
        <v>45905</v>
      </c>
      <c r="D643" t="inlineStr">
        <is>
          <t>VÄSTERBOTTENS LÄN</t>
        </is>
      </c>
      <c r="E643" t="inlineStr">
        <is>
          <t>VILHELMINA</t>
        </is>
      </c>
      <c r="G643" t="n">
        <v>1.4</v>
      </c>
      <c r="H643" t="n">
        <v>0</v>
      </c>
      <c r="I643" t="n">
        <v>0</v>
      </c>
      <c r="J643" t="n">
        <v>0</v>
      </c>
      <c r="K643" t="n">
        <v>0</v>
      </c>
      <c r="L643" t="n">
        <v>0</v>
      </c>
      <c r="M643" t="n">
        <v>0</v>
      </c>
      <c r="N643" t="n">
        <v>0</v>
      </c>
      <c r="O643" t="n">
        <v>0</v>
      </c>
      <c r="P643" t="n">
        <v>0</v>
      </c>
      <c r="Q643" t="n">
        <v>0</v>
      </c>
      <c r="R643" s="2" t="inlineStr"/>
    </row>
    <row r="644" ht="15" customHeight="1">
      <c r="A644" t="inlineStr">
        <is>
          <t>A 33142-2025</t>
        </is>
      </c>
      <c r="B644" s="1" t="n">
        <v>45840</v>
      </c>
      <c r="C644" s="1" t="n">
        <v>45905</v>
      </c>
      <c r="D644" t="inlineStr">
        <is>
          <t>VÄSTERBOTTENS LÄN</t>
        </is>
      </c>
      <c r="E644" t="inlineStr">
        <is>
          <t>VILHELMINA</t>
        </is>
      </c>
      <c r="G644" t="n">
        <v>15.2</v>
      </c>
      <c r="H644" t="n">
        <v>0</v>
      </c>
      <c r="I644" t="n">
        <v>0</v>
      </c>
      <c r="J644" t="n">
        <v>0</v>
      </c>
      <c r="K644" t="n">
        <v>0</v>
      </c>
      <c r="L644" t="n">
        <v>0</v>
      </c>
      <c r="M644" t="n">
        <v>0</v>
      </c>
      <c r="N644" t="n">
        <v>0</v>
      </c>
      <c r="O644" t="n">
        <v>0</v>
      </c>
      <c r="P644" t="n">
        <v>0</v>
      </c>
      <c r="Q644" t="n">
        <v>0</v>
      </c>
      <c r="R644" s="2" t="inlineStr"/>
    </row>
    <row r="645" ht="15" customHeight="1">
      <c r="A645" t="inlineStr">
        <is>
          <t>A 32947-2025</t>
        </is>
      </c>
      <c r="B645" s="1" t="n">
        <v>45839</v>
      </c>
      <c r="C645" s="1" t="n">
        <v>45905</v>
      </c>
      <c r="D645" t="inlineStr">
        <is>
          <t>VÄSTERBOTTENS LÄN</t>
        </is>
      </c>
      <c r="E645" t="inlineStr">
        <is>
          <t>VILHELMINA</t>
        </is>
      </c>
      <c r="G645" t="n">
        <v>19.1</v>
      </c>
      <c r="H645" t="n">
        <v>0</v>
      </c>
      <c r="I645" t="n">
        <v>0</v>
      </c>
      <c r="J645" t="n">
        <v>0</v>
      </c>
      <c r="K645" t="n">
        <v>0</v>
      </c>
      <c r="L645" t="n">
        <v>0</v>
      </c>
      <c r="M645" t="n">
        <v>0</v>
      </c>
      <c r="N645" t="n">
        <v>0</v>
      </c>
      <c r="O645" t="n">
        <v>0</v>
      </c>
      <c r="P645" t="n">
        <v>0</v>
      </c>
      <c r="Q645" t="n">
        <v>0</v>
      </c>
      <c r="R645" s="2" t="inlineStr"/>
    </row>
    <row r="646" ht="15" customHeight="1">
      <c r="A646" t="inlineStr">
        <is>
          <t>A 5575-2025</t>
        </is>
      </c>
      <c r="B646" s="1" t="n">
        <v>45693.53200231482</v>
      </c>
      <c r="C646" s="1" t="n">
        <v>45905</v>
      </c>
      <c r="D646" t="inlineStr">
        <is>
          <t>VÄSTERBOTTENS LÄN</t>
        </is>
      </c>
      <c r="E646" t="inlineStr">
        <is>
          <t>VILHELMINA</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41484-2022</t>
        </is>
      </c>
      <c r="B647" s="1" t="n">
        <v>44826</v>
      </c>
      <c r="C647" s="1" t="n">
        <v>45905</v>
      </c>
      <c r="D647" t="inlineStr">
        <is>
          <t>VÄSTERBOTTENS LÄN</t>
        </is>
      </c>
      <c r="E647" t="inlineStr">
        <is>
          <t>VILHELMINA</t>
        </is>
      </c>
      <c r="F647" t="inlineStr">
        <is>
          <t>SCA</t>
        </is>
      </c>
      <c r="G647" t="n">
        <v>18.1</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45905</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38409-2025</t>
        </is>
      </c>
      <c r="B649" s="1" t="n">
        <v>45883.59429398148</v>
      </c>
      <c r="C649" s="1" t="n">
        <v>45905</v>
      </c>
      <c r="D649" t="inlineStr">
        <is>
          <t>VÄSTERBOTTENS LÄN</t>
        </is>
      </c>
      <c r="E649" t="inlineStr">
        <is>
          <t>VILHELMINA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38427-2025</t>
        </is>
      </c>
      <c r="B650" s="1" t="n">
        <v>45883.63611111111</v>
      </c>
      <c r="C650" s="1" t="n">
        <v>45905</v>
      </c>
      <c r="D650" t="inlineStr">
        <is>
          <t>VÄSTERBOTTENS LÄN</t>
        </is>
      </c>
      <c r="E650" t="inlineStr">
        <is>
          <t>VILHELMINA</t>
        </is>
      </c>
      <c r="F650" t="inlineStr">
        <is>
          <t>SCA</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38540-2025</t>
        </is>
      </c>
      <c r="B651" s="1" t="n">
        <v>45884.42768518518</v>
      </c>
      <c r="C651" s="1" t="n">
        <v>45905</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38620-2025</t>
        </is>
      </c>
      <c r="B652" s="1" t="n">
        <v>45884.55297453704</v>
      </c>
      <c r="C652" s="1" t="n">
        <v>45905</v>
      </c>
      <c r="D652" t="inlineStr">
        <is>
          <t>VÄSTERBOTTENS LÄN</t>
        </is>
      </c>
      <c r="E652" t="inlineStr">
        <is>
          <t>VILHELMINA</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24457-2024</t>
        </is>
      </c>
      <c r="B653" s="1" t="n">
        <v>45457.96708333334</v>
      </c>
      <c r="C653" s="1" t="n">
        <v>45905</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33319-2025</t>
        </is>
      </c>
      <c r="B654" s="1" t="n">
        <v>45841</v>
      </c>
      <c r="C654" s="1" t="n">
        <v>45905</v>
      </c>
      <c r="D654" t="inlineStr">
        <is>
          <t>VÄSTERBOTTENS LÄN</t>
        </is>
      </c>
      <c r="E654" t="inlineStr">
        <is>
          <t>VILHELMINA</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33320-2025</t>
        </is>
      </c>
      <c r="B655" s="1" t="n">
        <v>45841.34461805555</v>
      </c>
      <c r="C655" s="1" t="n">
        <v>45905</v>
      </c>
      <c r="D655" t="inlineStr">
        <is>
          <t>VÄSTERBOTTENS LÄN</t>
        </is>
      </c>
      <c r="E655" t="inlineStr">
        <is>
          <t>VILHELMINA</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38543-2025</t>
        </is>
      </c>
      <c r="B656" s="1" t="n">
        <v>45884.42813657408</v>
      </c>
      <c r="C656" s="1" t="n">
        <v>45905</v>
      </c>
      <c r="D656" t="inlineStr">
        <is>
          <t>VÄSTERBOTTENS LÄN</t>
        </is>
      </c>
      <c r="E656" t="inlineStr">
        <is>
          <t>VILHELMINA</t>
        </is>
      </c>
      <c r="G656" t="n">
        <v>2.4</v>
      </c>
      <c r="H656" t="n">
        <v>0</v>
      </c>
      <c r="I656" t="n">
        <v>0</v>
      </c>
      <c r="J656" t="n">
        <v>0</v>
      </c>
      <c r="K656" t="n">
        <v>0</v>
      </c>
      <c r="L656" t="n">
        <v>0</v>
      </c>
      <c r="M656" t="n">
        <v>0</v>
      </c>
      <c r="N656" t="n">
        <v>0</v>
      </c>
      <c r="O656" t="n">
        <v>0</v>
      </c>
      <c r="P656" t="n">
        <v>0</v>
      </c>
      <c r="Q656" t="n">
        <v>0</v>
      </c>
      <c r="R656" s="2" t="inlineStr"/>
    </row>
    <row r="657" ht="15" customHeight="1">
      <c r="A657" t="inlineStr">
        <is>
          <t>A 38211-2025</t>
        </is>
      </c>
      <c r="B657" s="1" t="n">
        <v>45882.93524305556</v>
      </c>
      <c r="C657" s="1" t="n">
        <v>45905</v>
      </c>
      <c r="D657" t="inlineStr">
        <is>
          <t>VÄSTERBOTTENS LÄN</t>
        </is>
      </c>
      <c r="E657" t="inlineStr">
        <is>
          <t>VILHELMINA</t>
        </is>
      </c>
      <c r="G657" t="n">
        <v>13.8</v>
      </c>
      <c r="H657" t="n">
        <v>0</v>
      </c>
      <c r="I657" t="n">
        <v>0</v>
      </c>
      <c r="J657" t="n">
        <v>0</v>
      </c>
      <c r="K657" t="n">
        <v>0</v>
      </c>
      <c r="L657" t="n">
        <v>0</v>
      </c>
      <c r="M657" t="n">
        <v>0</v>
      </c>
      <c r="N657" t="n">
        <v>0</v>
      </c>
      <c r="O657" t="n">
        <v>0</v>
      </c>
      <c r="P657" t="n">
        <v>0</v>
      </c>
      <c r="Q657" t="n">
        <v>0</v>
      </c>
      <c r="R657" s="2" t="inlineStr"/>
    </row>
    <row r="658" ht="15" customHeight="1">
      <c r="A658" t="inlineStr">
        <is>
          <t>A 38212-2025</t>
        </is>
      </c>
      <c r="B658" s="1" t="n">
        <v>45882.95137731481</v>
      </c>
      <c r="C658" s="1" t="n">
        <v>45905</v>
      </c>
      <c r="D658" t="inlineStr">
        <is>
          <t>VÄSTERBOTTENS LÄN</t>
        </is>
      </c>
      <c r="E658" t="inlineStr">
        <is>
          <t>VILHELMINA</t>
        </is>
      </c>
      <c r="G658" t="n">
        <v>11.7</v>
      </c>
      <c r="H658" t="n">
        <v>0</v>
      </c>
      <c r="I658" t="n">
        <v>0</v>
      </c>
      <c r="J658" t="n">
        <v>0</v>
      </c>
      <c r="K658" t="n">
        <v>0</v>
      </c>
      <c r="L658" t="n">
        <v>0</v>
      </c>
      <c r="M658" t="n">
        <v>0</v>
      </c>
      <c r="N658" t="n">
        <v>0</v>
      </c>
      <c r="O658" t="n">
        <v>0</v>
      </c>
      <c r="P658" t="n">
        <v>0</v>
      </c>
      <c r="Q658" t="n">
        <v>0</v>
      </c>
      <c r="R658" s="2" t="inlineStr"/>
    </row>
    <row r="659" ht="15" customHeight="1">
      <c r="A659" t="inlineStr">
        <is>
          <t>A 47011-2024</t>
        </is>
      </c>
      <c r="B659" s="1" t="n">
        <v>45586.38592592593</v>
      </c>
      <c r="C659" s="1" t="n">
        <v>45905</v>
      </c>
      <c r="D659" t="inlineStr">
        <is>
          <t>VÄSTERBOTTENS LÄN</t>
        </is>
      </c>
      <c r="E659" t="inlineStr">
        <is>
          <t>VILHELMINA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38387-2025</t>
        </is>
      </c>
      <c r="B660" s="1" t="n">
        <v>45883.57451388889</v>
      </c>
      <c r="C660" s="1" t="n">
        <v>45905</v>
      </c>
      <c r="D660" t="inlineStr">
        <is>
          <t>VÄSTERBOTTENS LÄN</t>
        </is>
      </c>
      <c r="E660" t="inlineStr">
        <is>
          <t>VILHELMINA</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38454-2025</t>
        </is>
      </c>
      <c r="B661" s="1" t="n">
        <v>45883.67839120371</v>
      </c>
      <c r="C661" s="1" t="n">
        <v>45905</v>
      </c>
      <c r="D661" t="inlineStr">
        <is>
          <t>VÄSTERBOTTENS LÄN</t>
        </is>
      </c>
      <c r="E661" t="inlineStr">
        <is>
          <t>VILHELMINA</t>
        </is>
      </c>
      <c r="G661" t="n">
        <v>4.8</v>
      </c>
      <c r="H661" t="n">
        <v>0</v>
      </c>
      <c r="I661" t="n">
        <v>0</v>
      </c>
      <c r="J661" t="n">
        <v>0</v>
      </c>
      <c r="K661" t="n">
        <v>0</v>
      </c>
      <c r="L661" t="n">
        <v>0</v>
      </c>
      <c r="M661" t="n">
        <v>0</v>
      </c>
      <c r="N661" t="n">
        <v>0</v>
      </c>
      <c r="O661" t="n">
        <v>0</v>
      </c>
      <c r="P661" t="n">
        <v>0</v>
      </c>
      <c r="Q661" t="n">
        <v>0</v>
      </c>
      <c r="R661" s="2" t="inlineStr"/>
    </row>
    <row r="662" ht="15" customHeight="1">
      <c r="A662" t="inlineStr">
        <is>
          <t>A 36214-2023</t>
        </is>
      </c>
      <c r="B662" s="1" t="n">
        <v>45149.95256944445</v>
      </c>
      <c r="C662" s="1" t="n">
        <v>45905</v>
      </c>
      <c r="D662" t="inlineStr">
        <is>
          <t>VÄSTERBOTTENS LÄN</t>
        </is>
      </c>
      <c r="E662" t="inlineStr">
        <is>
          <t>VILHELMINA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35412-2024</t>
        </is>
      </c>
      <c r="B663" s="1" t="n">
        <v>45531.4075</v>
      </c>
      <c r="C663" s="1" t="n">
        <v>45905</v>
      </c>
      <c r="D663" t="inlineStr">
        <is>
          <t>VÄSTERBOTTENS LÄN</t>
        </is>
      </c>
      <c r="E663" t="inlineStr">
        <is>
          <t>VILHELMINA</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38355-2025</t>
        </is>
      </c>
      <c r="B664" s="1" t="n">
        <v>45883.53228009259</v>
      </c>
      <c r="C664" s="1" t="n">
        <v>45905</v>
      </c>
      <c r="D664" t="inlineStr">
        <is>
          <t>VÄSTERBOTTENS LÄN</t>
        </is>
      </c>
      <c r="E664" t="inlineStr">
        <is>
          <t>VILHELMINA</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14961-2022</t>
        </is>
      </c>
      <c r="B665" s="1" t="n">
        <v>44657</v>
      </c>
      <c r="C665" s="1" t="n">
        <v>45905</v>
      </c>
      <c r="D665" t="inlineStr">
        <is>
          <t>VÄSTERBOTTENS LÄN</t>
        </is>
      </c>
      <c r="E665" t="inlineStr">
        <is>
          <t>VILHELMINA</t>
        </is>
      </c>
      <c r="G665" t="n">
        <v>19.9</v>
      </c>
      <c r="H665" t="n">
        <v>0</v>
      </c>
      <c r="I665" t="n">
        <v>0</v>
      </c>
      <c r="J665" t="n">
        <v>0</v>
      </c>
      <c r="K665" t="n">
        <v>0</v>
      </c>
      <c r="L665" t="n">
        <v>0</v>
      </c>
      <c r="M665" t="n">
        <v>0</v>
      </c>
      <c r="N665" t="n">
        <v>0</v>
      </c>
      <c r="O665" t="n">
        <v>0</v>
      </c>
      <c r="P665" t="n">
        <v>0</v>
      </c>
      <c r="Q665" t="n">
        <v>0</v>
      </c>
      <c r="R665" s="2" t="inlineStr"/>
    </row>
    <row r="666" ht="15" customHeight="1">
      <c r="A666" t="inlineStr">
        <is>
          <t>A 38357-2025</t>
        </is>
      </c>
      <c r="B666" s="1" t="n">
        <v>45883.53263888889</v>
      </c>
      <c r="C666" s="1" t="n">
        <v>45905</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38356-2025</t>
        </is>
      </c>
      <c r="B667" s="1" t="n">
        <v>45883.53247685185</v>
      </c>
      <c r="C667" s="1" t="n">
        <v>45905</v>
      </c>
      <c r="D667" t="inlineStr">
        <is>
          <t>VÄSTERBOTTENS LÄN</t>
        </is>
      </c>
      <c r="E667" t="inlineStr">
        <is>
          <t>VILHELMINA</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38360-2025</t>
        </is>
      </c>
      <c r="B668" s="1" t="n">
        <v>45883.53290509259</v>
      </c>
      <c r="C668" s="1" t="n">
        <v>45905</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38243-2025</t>
        </is>
      </c>
      <c r="B669" s="1" t="n">
        <v>45883.36553240741</v>
      </c>
      <c r="C669" s="1" t="n">
        <v>45905</v>
      </c>
      <c r="D669" t="inlineStr">
        <is>
          <t>VÄSTERBOTTENS LÄN</t>
        </is>
      </c>
      <c r="E669" t="inlineStr">
        <is>
          <t>VILHELMINA</t>
        </is>
      </c>
      <c r="G669" t="n">
        <v>4.7</v>
      </c>
      <c r="H669" t="n">
        <v>0</v>
      </c>
      <c r="I669" t="n">
        <v>0</v>
      </c>
      <c r="J669" t="n">
        <v>0</v>
      </c>
      <c r="K669" t="n">
        <v>0</v>
      </c>
      <c r="L669" t="n">
        <v>0</v>
      </c>
      <c r="M669" t="n">
        <v>0</v>
      </c>
      <c r="N669" t="n">
        <v>0</v>
      </c>
      <c r="O669" t="n">
        <v>0</v>
      </c>
      <c r="P669" t="n">
        <v>0</v>
      </c>
      <c r="Q669" t="n">
        <v>0</v>
      </c>
      <c r="R669" s="2" t="inlineStr"/>
    </row>
    <row r="670" ht="15" customHeight="1">
      <c r="A670" t="inlineStr">
        <is>
          <t>A 44634-2024</t>
        </is>
      </c>
      <c r="B670" s="1" t="n">
        <v>45574</v>
      </c>
      <c r="C670" s="1" t="n">
        <v>45905</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38429-2025</t>
        </is>
      </c>
      <c r="B671" s="1" t="n">
        <v>45883.63638888889</v>
      </c>
      <c r="C671" s="1" t="n">
        <v>45905</v>
      </c>
      <c r="D671" t="inlineStr">
        <is>
          <t>VÄSTERBOTTENS LÄN</t>
        </is>
      </c>
      <c r="E671" t="inlineStr">
        <is>
          <t>VILHELMINA</t>
        </is>
      </c>
      <c r="G671" t="n">
        <v>5.5</v>
      </c>
      <c r="H671" t="n">
        <v>0</v>
      </c>
      <c r="I671" t="n">
        <v>0</v>
      </c>
      <c r="J671" t="n">
        <v>0</v>
      </c>
      <c r="K671" t="n">
        <v>0</v>
      </c>
      <c r="L671" t="n">
        <v>0</v>
      </c>
      <c r="M671" t="n">
        <v>0</v>
      </c>
      <c r="N671" t="n">
        <v>0</v>
      </c>
      <c r="O671" t="n">
        <v>0</v>
      </c>
      <c r="P671" t="n">
        <v>0</v>
      </c>
      <c r="Q671" t="n">
        <v>0</v>
      </c>
      <c r="R671" s="2" t="inlineStr"/>
    </row>
    <row r="672" ht="15" customHeight="1">
      <c r="A672" t="inlineStr">
        <is>
          <t>A 38430-2025</t>
        </is>
      </c>
      <c r="B672" s="1" t="n">
        <v>45883.6364699074</v>
      </c>
      <c r="C672" s="1" t="n">
        <v>45905</v>
      </c>
      <c r="D672" t="inlineStr">
        <is>
          <t>VÄSTERBOTTENS LÄN</t>
        </is>
      </c>
      <c r="E672" t="inlineStr">
        <is>
          <t>VILHELMINA</t>
        </is>
      </c>
      <c r="G672" t="n">
        <v>36.7</v>
      </c>
      <c r="H672" t="n">
        <v>0</v>
      </c>
      <c r="I672" t="n">
        <v>0</v>
      </c>
      <c r="J672" t="n">
        <v>0</v>
      </c>
      <c r="K672" t="n">
        <v>0</v>
      </c>
      <c r="L672" t="n">
        <v>0</v>
      </c>
      <c r="M672" t="n">
        <v>0</v>
      </c>
      <c r="N672" t="n">
        <v>0</v>
      </c>
      <c r="O672" t="n">
        <v>0</v>
      </c>
      <c r="P672" t="n">
        <v>0</v>
      </c>
      <c r="Q672" t="n">
        <v>0</v>
      </c>
      <c r="R672" s="2" t="inlineStr"/>
    </row>
    <row r="673" ht="15" customHeight="1">
      <c r="A673" t="inlineStr">
        <is>
          <t>A 38242-2025</t>
        </is>
      </c>
      <c r="B673" s="1" t="n">
        <v>45883.36547453704</v>
      </c>
      <c r="C673" s="1" t="n">
        <v>45905</v>
      </c>
      <c r="D673" t="inlineStr">
        <is>
          <t>VÄSTERBOTTENS LÄN</t>
        </is>
      </c>
      <c r="E673" t="inlineStr">
        <is>
          <t>VILHELMINA</t>
        </is>
      </c>
      <c r="G673" t="n">
        <v>1.4</v>
      </c>
      <c r="H673" t="n">
        <v>0</v>
      </c>
      <c r="I673" t="n">
        <v>0</v>
      </c>
      <c r="J673" t="n">
        <v>0</v>
      </c>
      <c r="K673" t="n">
        <v>0</v>
      </c>
      <c r="L673" t="n">
        <v>0</v>
      </c>
      <c r="M673" t="n">
        <v>0</v>
      </c>
      <c r="N673" t="n">
        <v>0</v>
      </c>
      <c r="O673" t="n">
        <v>0</v>
      </c>
      <c r="P673" t="n">
        <v>0</v>
      </c>
      <c r="Q673" t="n">
        <v>0</v>
      </c>
      <c r="R673" s="2" t="inlineStr"/>
    </row>
    <row r="674" ht="15" customHeight="1">
      <c r="A674" t="inlineStr">
        <is>
          <t>A 33641-2025</t>
        </is>
      </c>
      <c r="B674" s="1" t="n">
        <v>45841.65045138889</v>
      </c>
      <c r="C674" s="1" t="n">
        <v>45905</v>
      </c>
      <c r="D674" t="inlineStr">
        <is>
          <t>VÄSTERBOTTENS LÄN</t>
        </is>
      </c>
      <c r="E674" t="inlineStr">
        <is>
          <t>VILHELMINA</t>
        </is>
      </c>
      <c r="G674" t="n">
        <v>7.3</v>
      </c>
      <c r="H674" t="n">
        <v>0</v>
      </c>
      <c r="I674" t="n">
        <v>0</v>
      </c>
      <c r="J674" t="n">
        <v>0</v>
      </c>
      <c r="K674" t="n">
        <v>0</v>
      </c>
      <c r="L674" t="n">
        <v>0</v>
      </c>
      <c r="M674" t="n">
        <v>0</v>
      </c>
      <c r="N674" t="n">
        <v>0</v>
      </c>
      <c r="O674" t="n">
        <v>0</v>
      </c>
      <c r="P674" t="n">
        <v>0</v>
      </c>
      <c r="Q674" t="n">
        <v>0</v>
      </c>
      <c r="R674" s="2" t="inlineStr"/>
    </row>
    <row r="675" ht="15" customHeight="1">
      <c r="A675" t="inlineStr">
        <is>
          <t>A 66952-2021</t>
        </is>
      </c>
      <c r="B675" s="1" t="n">
        <v>44522</v>
      </c>
      <c r="C675" s="1" t="n">
        <v>45905</v>
      </c>
      <c r="D675" t="inlineStr">
        <is>
          <t>VÄSTERBOTTENS LÄN</t>
        </is>
      </c>
      <c r="E675" t="inlineStr">
        <is>
          <t>VILHELMINA</t>
        </is>
      </c>
      <c r="F675" t="inlineStr">
        <is>
          <t>Allmännings- och besparingsskogar</t>
        </is>
      </c>
      <c r="G675" t="n">
        <v>70</v>
      </c>
      <c r="H675" t="n">
        <v>0</v>
      </c>
      <c r="I675" t="n">
        <v>0</v>
      </c>
      <c r="J675" t="n">
        <v>0</v>
      </c>
      <c r="K675" t="n">
        <v>0</v>
      </c>
      <c r="L675" t="n">
        <v>0</v>
      </c>
      <c r="M675" t="n">
        <v>0</v>
      </c>
      <c r="N675" t="n">
        <v>0</v>
      </c>
      <c r="O675" t="n">
        <v>0</v>
      </c>
      <c r="P675" t="n">
        <v>0</v>
      </c>
      <c r="Q675" t="n">
        <v>0</v>
      </c>
      <c r="R675" s="2" t="inlineStr"/>
    </row>
    <row r="676" ht="15" customHeight="1">
      <c r="A676" t="inlineStr">
        <is>
          <t>A 38597-2025</t>
        </is>
      </c>
      <c r="B676" s="1" t="n">
        <v>45884.49061342593</v>
      </c>
      <c r="C676" s="1" t="n">
        <v>45905</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3096-2021</t>
        </is>
      </c>
      <c r="B677" s="1" t="n">
        <v>44216.93865740741</v>
      </c>
      <c r="C677" s="1" t="n">
        <v>45905</v>
      </c>
      <c r="D677" t="inlineStr">
        <is>
          <t>VÄSTERBOTTENS LÄN</t>
        </is>
      </c>
      <c r="E677" t="inlineStr">
        <is>
          <t>VILHELMINA</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18781-2021</t>
        </is>
      </c>
      <c r="B678" s="1" t="n">
        <v>44307</v>
      </c>
      <c r="C678" s="1" t="n">
        <v>45905</v>
      </c>
      <c r="D678" t="inlineStr">
        <is>
          <t>VÄSTERBOTTENS LÄN</t>
        </is>
      </c>
      <c r="E678" t="inlineStr">
        <is>
          <t>VILHELMINA</t>
        </is>
      </c>
      <c r="G678" t="n">
        <v>3.5</v>
      </c>
      <c r="H678" t="n">
        <v>0</v>
      </c>
      <c r="I678" t="n">
        <v>0</v>
      </c>
      <c r="J678" t="n">
        <v>0</v>
      </c>
      <c r="K678" t="n">
        <v>0</v>
      </c>
      <c r="L678" t="n">
        <v>0</v>
      </c>
      <c r="M678" t="n">
        <v>0</v>
      </c>
      <c r="N678" t="n">
        <v>0</v>
      </c>
      <c r="O678" t="n">
        <v>0</v>
      </c>
      <c r="P678" t="n">
        <v>0</v>
      </c>
      <c r="Q678" t="n">
        <v>0</v>
      </c>
      <c r="R678" s="2" t="inlineStr"/>
    </row>
    <row r="679" ht="15" customHeight="1">
      <c r="A679" t="inlineStr">
        <is>
          <t>A 26000-2023</t>
        </is>
      </c>
      <c r="B679" s="1" t="n">
        <v>45090</v>
      </c>
      <c r="C679" s="1" t="n">
        <v>45905</v>
      </c>
      <c r="D679" t="inlineStr">
        <is>
          <t>VÄSTERBOTTENS LÄN</t>
        </is>
      </c>
      <c r="E679" t="inlineStr">
        <is>
          <t>VILHELMINA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38580-2025</t>
        </is>
      </c>
      <c r="B680" s="1" t="n">
        <v>45884.46951388889</v>
      </c>
      <c r="C680" s="1" t="n">
        <v>45905</v>
      </c>
      <c r="D680" t="inlineStr">
        <is>
          <t>VÄSTERBOTTENS LÄN</t>
        </is>
      </c>
      <c r="E680" t="inlineStr">
        <is>
          <t>VILHELMINA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37346-2024</t>
        </is>
      </c>
      <c r="B681" s="1" t="n">
        <v>45540</v>
      </c>
      <c r="C681" s="1" t="n">
        <v>45905</v>
      </c>
      <c r="D681" t="inlineStr">
        <is>
          <t>VÄSTERBOTTENS LÄN</t>
        </is>
      </c>
      <c r="E681" t="inlineStr">
        <is>
          <t>VILHELMINA</t>
        </is>
      </c>
      <c r="G681" t="n">
        <v>100.3</v>
      </c>
      <c r="H681" t="n">
        <v>0</v>
      </c>
      <c r="I681" t="n">
        <v>0</v>
      </c>
      <c r="J681" t="n">
        <v>0</v>
      </c>
      <c r="K681" t="n">
        <v>0</v>
      </c>
      <c r="L681" t="n">
        <v>0</v>
      </c>
      <c r="M681" t="n">
        <v>0</v>
      </c>
      <c r="N681" t="n">
        <v>0</v>
      </c>
      <c r="O681" t="n">
        <v>0</v>
      </c>
      <c r="P681" t="n">
        <v>0</v>
      </c>
      <c r="Q681" t="n">
        <v>0</v>
      </c>
      <c r="R681" s="2" t="inlineStr"/>
    </row>
    <row r="682" ht="15" customHeight="1">
      <c r="A682" t="inlineStr">
        <is>
          <t>A 21726-2021</t>
        </is>
      </c>
      <c r="B682" s="1" t="n">
        <v>44322</v>
      </c>
      <c r="C682" s="1" t="n">
        <v>45905</v>
      </c>
      <c r="D682" t="inlineStr">
        <is>
          <t>VÄSTERBOTTENS LÄN</t>
        </is>
      </c>
      <c r="E682" t="inlineStr">
        <is>
          <t>VILHELMINA</t>
        </is>
      </c>
      <c r="G682" t="n">
        <v>19.6</v>
      </c>
      <c r="H682" t="n">
        <v>0</v>
      </c>
      <c r="I682" t="n">
        <v>0</v>
      </c>
      <c r="J682" t="n">
        <v>0</v>
      </c>
      <c r="K682" t="n">
        <v>0</v>
      </c>
      <c r="L682" t="n">
        <v>0</v>
      </c>
      <c r="M682" t="n">
        <v>0</v>
      </c>
      <c r="N682" t="n">
        <v>0</v>
      </c>
      <c r="O682" t="n">
        <v>0</v>
      </c>
      <c r="P682" t="n">
        <v>0</v>
      </c>
      <c r="Q682" t="n">
        <v>0</v>
      </c>
      <c r="R682" s="2" t="inlineStr"/>
    </row>
    <row r="683" ht="15" customHeight="1">
      <c r="A683" t="inlineStr">
        <is>
          <t>A 72057-2021</t>
        </is>
      </c>
      <c r="B683" s="1" t="n">
        <v>44540</v>
      </c>
      <c r="C683" s="1" t="n">
        <v>45905</v>
      </c>
      <c r="D683" t="inlineStr">
        <is>
          <t>VÄSTERBOTTENS LÄN</t>
        </is>
      </c>
      <c r="E683" t="inlineStr">
        <is>
          <t>VILHELMINA</t>
        </is>
      </c>
      <c r="G683" t="n">
        <v>7</v>
      </c>
      <c r="H683" t="n">
        <v>0</v>
      </c>
      <c r="I683" t="n">
        <v>0</v>
      </c>
      <c r="J683" t="n">
        <v>0</v>
      </c>
      <c r="K683" t="n">
        <v>0</v>
      </c>
      <c r="L683" t="n">
        <v>0</v>
      </c>
      <c r="M683" t="n">
        <v>0</v>
      </c>
      <c r="N683" t="n">
        <v>0</v>
      </c>
      <c r="O683" t="n">
        <v>0</v>
      </c>
      <c r="P683" t="n">
        <v>0</v>
      </c>
      <c r="Q683" t="n">
        <v>0</v>
      </c>
      <c r="R683" s="2" t="inlineStr"/>
    </row>
    <row r="684" ht="15" customHeight="1">
      <c r="A684" t="inlineStr">
        <is>
          <t>A 61777-2023</t>
        </is>
      </c>
      <c r="B684" s="1" t="n">
        <v>45265</v>
      </c>
      <c r="C684" s="1" t="n">
        <v>45905</v>
      </c>
      <c r="D684" t="inlineStr">
        <is>
          <t>VÄSTERBOTTENS LÄN</t>
        </is>
      </c>
      <c r="E684" t="inlineStr">
        <is>
          <t>VILHELMINA</t>
        </is>
      </c>
      <c r="F684" t="inlineStr">
        <is>
          <t>SCA</t>
        </is>
      </c>
      <c r="G684" t="n">
        <v>20.6</v>
      </c>
      <c r="H684" t="n">
        <v>0</v>
      </c>
      <c r="I684" t="n">
        <v>0</v>
      </c>
      <c r="J684" t="n">
        <v>0</v>
      </c>
      <c r="K684" t="n">
        <v>0</v>
      </c>
      <c r="L684" t="n">
        <v>0</v>
      </c>
      <c r="M684" t="n">
        <v>0</v>
      </c>
      <c r="N684" t="n">
        <v>0</v>
      </c>
      <c r="O684" t="n">
        <v>0</v>
      </c>
      <c r="P684" t="n">
        <v>0</v>
      </c>
      <c r="Q684" t="n">
        <v>0</v>
      </c>
      <c r="R684" s="2" t="inlineStr"/>
    </row>
    <row r="685" ht="15" customHeight="1">
      <c r="A685" t="inlineStr">
        <is>
          <t>A 34413-2025</t>
        </is>
      </c>
      <c r="B685" s="1" t="n">
        <v>45845</v>
      </c>
      <c r="C685" s="1" t="n">
        <v>45905</v>
      </c>
      <c r="D685" t="inlineStr">
        <is>
          <t>VÄSTERBOTTENS LÄN</t>
        </is>
      </c>
      <c r="E685" t="inlineStr">
        <is>
          <t>VILHELMINA</t>
        </is>
      </c>
      <c r="G685" t="n">
        <v>6.8</v>
      </c>
      <c r="H685" t="n">
        <v>0</v>
      </c>
      <c r="I685" t="n">
        <v>0</v>
      </c>
      <c r="J685" t="n">
        <v>0</v>
      </c>
      <c r="K685" t="n">
        <v>0</v>
      </c>
      <c r="L685" t="n">
        <v>0</v>
      </c>
      <c r="M685" t="n">
        <v>0</v>
      </c>
      <c r="N685" t="n">
        <v>0</v>
      </c>
      <c r="O685" t="n">
        <v>0</v>
      </c>
      <c r="P685" t="n">
        <v>0</v>
      </c>
      <c r="Q685" t="n">
        <v>0</v>
      </c>
      <c r="R685" s="2" t="inlineStr"/>
    </row>
    <row r="686" ht="15" customHeight="1">
      <c r="A686" t="inlineStr">
        <is>
          <t>A 39138-2025</t>
        </is>
      </c>
      <c r="B686" s="1" t="n">
        <v>45888.59435185185</v>
      </c>
      <c r="C686" s="1" t="n">
        <v>45905</v>
      </c>
      <c r="D686" t="inlineStr">
        <is>
          <t>VÄSTERBOTTENS LÄN</t>
        </is>
      </c>
      <c r="E686" t="inlineStr">
        <is>
          <t>VILHELMINA</t>
        </is>
      </c>
      <c r="G686" t="n">
        <v>6.7</v>
      </c>
      <c r="H686" t="n">
        <v>0</v>
      </c>
      <c r="I686" t="n">
        <v>0</v>
      </c>
      <c r="J686" t="n">
        <v>0</v>
      </c>
      <c r="K686" t="n">
        <v>0</v>
      </c>
      <c r="L686" t="n">
        <v>0</v>
      </c>
      <c r="M686" t="n">
        <v>0</v>
      </c>
      <c r="N686" t="n">
        <v>0</v>
      </c>
      <c r="O686" t="n">
        <v>0</v>
      </c>
      <c r="P686" t="n">
        <v>0</v>
      </c>
      <c r="Q686" t="n">
        <v>0</v>
      </c>
      <c r="R686" s="2" t="inlineStr"/>
    </row>
    <row r="687" ht="15" customHeight="1">
      <c r="A687" t="inlineStr">
        <is>
          <t>A 29922-2024</t>
        </is>
      </c>
      <c r="B687" s="1" t="n">
        <v>45487.9563425926</v>
      </c>
      <c r="C687" s="1" t="n">
        <v>45905</v>
      </c>
      <c r="D687" t="inlineStr">
        <is>
          <t>VÄSTERBOTTENS LÄN</t>
        </is>
      </c>
      <c r="E687" t="inlineStr">
        <is>
          <t>VILHELMINA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12365-2025</t>
        </is>
      </c>
      <c r="B688" s="1" t="n">
        <v>45730.37549768519</v>
      </c>
      <c r="C688" s="1" t="n">
        <v>45905</v>
      </c>
      <c r="D688" t="inlineStr">
        <is>
          <t>VÄSTERBOTTENS LÄN</t>
        </is>
      </c>
      <c r="E688" t="inlineStr">
        <is>
          <t>VILHELMINA</t>
        </is>
      </c>
      <c r="F688" t="inlineStr">
        <is>
          <t>Övriga statliga verk och myndigheter</t>
        </is>
      </c>
      <c r="G688" t="n">
        <v>11.5</v>
      </c>
      <c r="H688" t="n">
        <v>0</v>
      </c>
      <c r="I688" t="n">
        <v>0</v>
      </c>
      <c r="J688" t="n">
        <v>0</v>
      </c>
      <c r="K688" t="n">
        <v>0</v>
      </c>
      <c r="L688" t="n">
        <v>0</v>
      </c>
      <c r="M688" t="n">
        <v>0</v>
      </c>
      <c r="N688" t="n">
        <v>0</v>
      </c>
      <c r="O688" t="n">
        <v>0</v>
      </c>
      <c r="P688" t="n">
        <v>0</v>
      </c>
      <c r="Q688" t="n">
        <v>0</v>
      </c>
      <c r="R688" s="2" t="inlineStr"/>
    </row>
    <row r="689" ht="15" customHeight="1">
      <c r="A689" t="inlineStr">
        <is>
          <t>A 12370-2025</t>
        </is>
      </c>
      <c r="B689" s="1" t="n">
        <v>45730.37681712963</v>
      </c>
      <c r="C689" s="1" t="n">
        <v>45905</v>
      </c>
      <c r="D689" t="inlineStr">
        <is>
          <t>VÄSTERBOTTENS LÄN</t>
        </is>
      </c>
      <c r="E689" t="inlineStr">
        <is>
          <t>VILHELMINA</t>
        </is>
      </c>
      <c r="F689" t="inlineStr">
        <is>
          <t>Övriga statliga verk och myndigheter</t>
        </is>
      </c>
      <c r="G689" t="n">
        <v>8.9</v>
      </c>
      <c r="H689" t="n">
        <v>0</v>
      </c>
      <c r="I689" t="n">
        <v>0</v>
      </c>
      <c r="J689" t="n">
        <v>0</v>
      </c>
      <c r="K689" t="n">
        <v>0</v>
      </c>
      <c r="L689" t="n">
        <v>0</v>
      </c>
      <c r="M689" t="n">
        <v>0</v>
      </c>
      <c r="N689" t="n">
        <v>0</v>
      </c>
      <c r="O689" t="n">
        <v>0</v>
      </c>
      <c r="P689" t="n">
        <v>0</v>
      </c>
      <c r="Q689" t="n">
        <v>0</v>
      </c>
      <c r="R689" s="2" t="inlineStr"/>
    </row>
    <row r="690" ht="15" customHeight="1">
      <c r="A690" t="inlineStr">
        <is>
          <t>A 26143-2025</t>
        </is>
      </c>
      <c r="B690" s="1" t="n">
        <v>45805</v>
      </c>
      <c r="C690" s="1" t="n">
        <v>45905</v>
      </c>
      <c r="D690" t="inlineStr">
        <is>
          <t>VÄSTERBOTTENS LÄN</t>
        </is>
      </c>
      <c r="E690" t="inlineStr">
        <is>
          <t>VILHELMINA</t>
        </is>
      </c>
      <c r="G690" t="n">
        <v>20</v>
      </c>
      <c r="H690" t="n">
        <v>0</v>
      </c>
      <c r="I690" t="n">
        <v>0</v>
      </c>
      <c r="J690" t="n">
        <v>0</v>
      </c>
      <c r="K690" t="n">
        <v>0</v>
      </c>
      <c r="L690" t="n">
        <v>0</v>
      </c>
      <c r="M690" t="n">
        <v>0</v>
      </c>
      <c r="N690" t="n">
        <v>0</v>
      </c>
      <c r="O690" t="n">
        <v>0</v>
      </c>
      <c r="P690" t="n">
        <v>0</v>
      </c>
      <c r="Q690" t="n">
        <v>0</v>
      </c>
      <c r="R690" s="2" t="inlineStr"/>
    </row>
    <row r="691" ht="15" customHeight="1">
      <c r="A691" t="inlineStr">
        <is>
          <t>A 2022-2024</t>
        </is>
      </c>
      <c r="B691" s="1" t="n">
        <v>45308</v>
      </c>
      <c r="C691" s="1" t="n">
        <v>45905</v>
      </c>
      <c r="D691" t="inlineStr">
        <is>
          <t>VÄSTERBOTTENS LÄN</t>
        </is>
      </c>
      <c r="E691" t="inlineStr">
        <is>
          <t>VILHELMINA</t>
        </is>
      </c>
      <c r="G691" t="n">
        <v>8.5</v>
      </c>
      <c r="H691" t="n">
        <v>0</v>
      </c>
      <c r="I691" t="n">
        <v>0</v>
      </c>
      <c r="J691" t="n">
        <v>0</v>
      </c>
      <c r="K691" t="n">
        <v>0</v>
      </c>
      <c r="L691" t="n">
        <v>0</v>
      </c>
      <c r="M691" t="n">
        <v>0</v>
      </c>
      <c r="N691" t="n">
        <v>0</v>
      </c>
      <c r="O691" t="n">
        <v>0</v>
      </c>
      <c r="P691" t="n">
        <v>0</v>
      </c>
      <c r="Q691" t="n">
        <v>0</v>
      </c>
      <c r="R691" s="2" t="inlineStr"/>
    </row>
    <row r="692" ht="15" customHeight="1">
      <c r="A692" t="inlineStr">
        <is>
          <t>A 17732-2024</t>
        </is>
      </c>
      <c r="B692" s="1" t="n">
        <v>45415</v>
      </c>
      <c r="C692" s="1" t="n">
        <v>45905</v>
      </c>
      <c r="D692" t="inlineStr">
        <is>
          <t>VÄSTERBOTTENS LÄN</t>
        </is>
      </c>
      <c r="E692" t="inlineStr">
        <is>
          <t>VILHELMINA</t>
        </is>
      </c>
      <c r="G692" t="n">
        <v>0.6</v>
      </c>
      <c r="H692" t="n">
        <v>0</v>
      </c>
      <c r="I692" t="n">
        <v>0</v>
      </c>
      <c r="J692" t="n">
        <v>0</v>
      </c>
      <c r="K692" t="n">
        <v>0</v>
      </c>
      <c r="L692" t="n">
        <v>0</v>
      </c>
      <c r="M692" t="n">
        <v>0</v>
      </c>
      <c r="N692" t="n">
        <v>0</v>
      </c>
      <c r="O692" t="n">
        <v>0</v>
      </c>
      <c r="P692" t="n">
        <v>0</v>
      </c>
      <c r="Q692" t="n">
        <v>0</v>
      </c>
      <c r="R692" s="2" t="inlineStr"/>
    </row>
    <row r="693" ht="15" customHeight="1">
      <c r="A693" t="inlineStr">
        <is>
          <t>A 59022-2024</t>
        </is>
      </c>
      <c r="B693" s="1" t="n">
        <v>45636</v>
      </c>
      <c r="C693" s="1" t="n">
        <v>45905</v>
      </c>
      <c r="D693" t="inlineStr">
        <is>
          <t>VÄSTERBOTTENS LÄN</t>
        </is>
      </c>
      <c r="E693" t="inlineStr">
        <is>
          <t>VILHELMINA</t>
        </is>
      </c>
      <c r="F693" t="inlineStr">
        <is>
          <t>Allmännings- och besparingsskogar</t>
        </is>
      </c>
      <c r="G693" t="n">
        <v>35.1</v>
      </c>
      <c r="H693" t="n">
        <v>0</v>
      </c>
      <c r="I693" t="n">
        <v>0</v>
      </c>
      <c r="J693" t="n">
        <v>0</v>
      </c>
      <c r="K693" t="n">
        <v>0</v>
      </c>
      <c r="L693" t="n">
        <v>0</v>
      </c>
      <c r="M693" t="n">
        <v>0</v>
      </c>
      <c r="N693" t="n">
        <v>0</v>
      </c>
      <c r="O693" t="n">
        <v>0</v>
      </c>
      <c r="P693" t="n">
        <v>0</v>
      </c>
      <c r="Q693" t="n">
        <v>0</v>
      </c>
      <c r="R693" s="2" t="inlineStr"/>
    </row>
    <row r="694" ht="15" customHeight="1">
      <c r="A694" t="inlineStr">
        <is>
          <t>A 12593-2022</t>
        </is>
      </c>
      <c r="B694" s="1" t="n">
        <v>44640</v>
      </c>
      <c r="C694" s="1" t="n">
        <v>45905</v>
      </c>
      <c r="D694" t="inlineStr">
        <is>
          <t>VÄSTERBOTTENS LÄN</t>
        </is>
      </c>
      <c r="E694" t="inlineStr">
        <is>
          <t>VILHELMINA</t>
        </is>
      </c>
      <c r="G694" t="n">
        <v>10.4</v>
      </c>
      <c r="H694" t="n">
        <v>0</v>
      </c>
      <c r="I694" t="n">
        <v>0</v>
      </c>
      <c r="J694" t="n">
        <v>0</v>
      </c>
      <c r="K694" t="n">
        <v>0</v>
      </c>
      <c r="L694" t="n">
        <v>0</v>
      </c>
      <c r="M694" t="n">
        <v>0</v>
      </c>
      <c r="N694" t="n">
        <v>0</v>
      </c>
      <c r="O694" t="n">
        <v>0</v>
      </c>
      <c r="P694" t="n">
        <v>0</v>
      </c>
      <c r="Q694" t="n">
        <v>0</v>
      </c>
      <c r="R694" s="2" t="inlineStr"/>
    </row>
    <row r="695" ht="15" customHeight="1">
      <c r="A695" t="inlineStr">
        <is>
          <t>A 34130-2024</t>
        </is>
      </c>
      <c r="B695" s="1" t="n">
        <v>45524.34668981482</v>
      </c>
      <c r="C695" s="1" t="n">
        <v>45905</v>
      </c>
      <c r="D695" t="inlineStr">
        <is>
          <t>VÄSTERBOTTENS LÄN</t>
        </is>
      </c>
      <c r="E695" t="inlineStr">
        <is>
          <t>VILHELMINA</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34253-2025</t>
        </is>
      </c>
      <c r="B696" s="1" t="n">
        <v>45845</v>
      </c>
      <c r="C696" s="1" t="n">
        <v>45905</v>
      </c>
      <c r="D696" t="inlineStr">
        <is>
          <t>VÄSTERBOTTENS LÄN</t>
        </is>
      </c>
      <c r="E696" t="inlineStr">
        <is>
          <t>VILHELMINA</t>
        </is>
      </c>
      <c r="G696" t="n">
        <v>14.3</v>
      </c>
      <c r="H696" t="n">
        <v>0</v>
      </c>
      <c r="I696" t="n">
        <v>0</v>
      </c>
      <c r="J696" t="n">
        <v>0</v>
      </c>
      <c r="K696" t="n">
        <v>0</v>
      </c>
      <c r="L696" t="n">
        <v>0</v>
      </c>
      <c r="M696" t="n">
        <v>0</v>
      </c>
      <c r="N696" t="n">
        <v>0</v>
      </c>
      <c r="O696" t="n">
        <v>0</v>
      </c>
      <c r="P696" t="n">
        <v>0</v>
      </c>
      <c r="Q696" t="n">
        <v>0</v>
      </c>
      <c r="R696" s="2" t="inlineStr"/>
    </row>
    <row r="697" ht="15" customHeight="1">
      <c r="A697" t="inlineStr">
        <is>
          <t>A 39320-2025</t>
        </is>
      </c>
      <c r="B697" s="1" t="n">
        <v>45889.46940972222</v>
      </c>
      <c r="C697" s="1" t="n">
        <v>45905</v>
      </c>
      <c r="D697" t="inlineStr">
        <is>
          <t>VÄSTERBOTTENS LÄN</t>
        </is>
      </c>
      <c r="E697" t="inlineStr">
        <is>
          <t>VILHELMINA</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28695-2024</t>
        </is>
      </c>
      <c r="B698" s="1" t="n">
        <v>45478</v>
      </c>
      <c r="C698" s="1" t="n">
        <v>45905</v>
      </c>
      <c r="D698" t="inlineStr">
        <is>
          <t>VÄSTERBOTTENS LÄN</t>
        </is>
      </c>
      <c r="E698" t="inlineStr">
        <is>
          <t>VILHELMINA</t>
        </is>
      </c>
      <c r="F698" t="inlineStr">
        <is>
          <t>Allmännings- och besparingsskogar</t>
        </is>
      </c>
      <c r="G698" t="n">
        <v>3.1</v>
      </c>
      <c r="H698" t="n">
        <v>0</v>
      </c>
      <c r="I698" t="n">
        <v>0</v>
      </c>
      <c r="J698" t="n">
        <v>0</v>
      </c>
      <c r="K698" t="n">
        <v>0</v>
      </c>
      <c r="L698" t="n">
        <v>0</v>
      </c>
      <c r="M698" t="n">
        <v>0</v>
      </c>
      <c r="N698" t="n">
        <v>0</v>
      </c>
      <c r="O698" t="n">
        <v>0</v>
      </c>
      <c r="P698" t="n">
        <v>0</v>
      </c>
      <c r="Q698" t="n">
        <v>0</v>
      </c>
      <c r="R698" s="2" t="inlineStr"/>
    </row>
    <row r="699" ht="15" customHeight="1">
      <c r="A699" t="inlineStr">
        <is>
          <t>A 39571-2025</t>
        </is>
      </c>
      <c r="B699" s="1" t="n">
        <v>45890.49021990741</v>
      </c>
      <c r="C699" s="1" t="n">
        <v>45905</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39533-2025</t>
        </is>
      </c>
      <c r="B700" s="1" t="n">
        <v>45890.44863425926</v>
      </c>
      <c r="C700" s="1" t="n">
        <v>45905</v>
      </c>
      <c r="D700" t="inlineStr">
        <is>
          <t>VÄSTERBOTTENS LÄN</t>
        </is>
      </c>
      <c r="E700" t="inlineStr">
        <is>
          <t>VILHELMINA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34569-2025</t>
        </is>
      </c>
      <c r="B701" s="1" t="n">
        <v>45847.58480324074</v>
      </c>
      <c r="C701" s="1" t="n">
        <v>45905</v>
      </c>
      <c r="D701" t="inlineStr">
        <is>
          <t>VÄSTERBOTTENS LÄN</t>
        </is>
      </c>
      <c r="E701" t="inlineStr">
        <is>
          <t>VILHELMINA</t>
        </is>
      </c>
      <c r="G701" t="n">
        <v>5.3</v>
      </c>
      <c r="H701" t="n">
        <v>0</v>
      </c>
      <c r="I701" t="n">
        <v>0</v>
      </c>
      <c r="J701" t="n">
        <v>0</v>
      </c>
      <c r="K701" t="n">
        <v>0</v>
      </c>
      <c r="L701" t="n">
        <v>0</v>
      </c>
      <c r="M701" t="n">
        <v>0</v>
      </c>
      <c r="N701" t="n">
        <v>0</v>
      </c>
      <c r="O701" t="n">
        <v>0</v>
      </c>
      <c r="P701" t="n">
        <v>0</v>
      </c>
      <c r="Q701" t="n">
        <v>0</v>
      </c>
      <c r="R701" s="2" t="inlineStr"/>
    </row>
    <row r="702" ht="15" customHeight="1">
      <c r="A702" t="inlineStr">
        <is>
          <t>A 34542-2025</t>
        </is>
      </c>
      <c r="B702" s="1" t="n">
        <v>45847.53211805555</v>
      </c>
      <c r="C702" s="1" t="n">
        <v>45905</v>
      </c>
      <c r="D702" t="inlineStr">
        <is>
          <t>VÄSTERBOTTENS LÄN</t>
        </is>
      </c>
      <c r="E702" t="inlineStr">
        <is>
          <t>VILHELMINA</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15782-2025</t>
        </is>
      </c>
      <c r="B703" s="1" t="n">
        <v>45748</v>
      </c>
      <c r="C703" s="1" t="n">
        <v>45905</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15792-2025</t>
        </is>
      </c>
      <c r="B704" s="1" t="n">
        <v>45748.63356481482</v>
      </c>
      <c r="C704" s="1" t="n">
        <v>45905</v>
      </c>
      <c r="D704" t="inlineStr">
        <is>
          <t>VÄSTERBOTTENS LÄN</t>
        </is>
      </c>
      <c r="E704" t="inlineStr">
        <is>
          <t>VILHELMINA</t>
        </is>
      </c>
      <c r="G704" t="n">
        <v>5.5</v>
      </c>
      <c r="H704" t="n">
        <v>0</v>
      </c>
      <c r="I704" t="n">
        <v>0</v>
      </c>
      <c r="J704" t="n">
        <v>0</v>
      </c>
      <c r="K704" t="n">
        <v>0</v>
      </c>
      <c r="L704" t="n">
        <v>0</v>
      </c>
      <c r="M704" t="n">
        <v>0</v>
      </c>
      <c r="N704" t="n">
        <v>0</v>
      </c>
      <c r="O704" t="n">
        <v>0</v>
      </c>
      <c r="P704" t="n">
        <v>0</v>
      </c>
      <c r="Q704" t="n">
        <v>0</v>
      </c>
      <c r="R704" s="2" t="inlineStr"/>
    </row>
    <row r="705" ht="15" customHeight="1">
      <c r="A705" t="inlineStr">
        <is>
          <t>A 34563-2025</t>
        </is>
      </c>
      <c r="B705" s="1" t="n">
        <v>45847.57950231482</v>
      </c>
      <c r="C705" s="1" t="n">
        <v>45905</v>
      </c>
      <c r="D705" t="inlineStr">
        <is>
          <t>VÄSTERBOTTENS LÄN</t>
        </is>
      </c>
      <c r="E705" t="inlineStr">
        <is>
          <t>VILHELMINA</t>
        </is>
      </c>
      <c r="G705" t="n">
        <v>20.6</v>
      </c>
      <c r="H705" t="n">
        <v>0</v>
      </c>
      <c r="I705" t="n">
        <v>0</v>
      </c>
      <c r="J705" t="n">
        <v>0</v>
      </c>
      <c r="K705" t="n">
        <v>0</v>
      </c>
      <c r="L705" t="n">
        <v>0</v>
      </c>
      <c r="M705" t="n">
        <v>0</v>
      </c>
      <c r="N705" t="n">
        <v>0</v>
      </c>
      <c r="O705" t="n">
        <v>0</v>
      </c>
      <c r="P705" t="n">
        <v>0</v>
      </c>
      <c r="Q705" t="n">
        <v>0</v>
      </c>
      <c r="R705" s="2" t="inlineStr"/>
    </row>
    <row r="706" ht="15" customHeight="1">
      <c r="A706" t="inlineStr">
        <is>
          <t>A 23543-2024</t>
        </is>
      </c>
      <c r="B706" s="1" t="n">
        <v>45453</v>
      </c>
      <c r="C706" s="1" t="n">
        <v>45905</v>
      </c>
      <c r="D706" t="inlineStr">
        <is>
          <t>VÄSTERBOTTENS LÄN</t>
        </is>
      </c>
      <c r="E706" t="inlineStr">
        <is>
          <t>VILHELMINA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23176-2024</t>
        </is>
      </c>
      <c r="B707" s="1" t="n">
        <v>45450.94366898148</v>
      </c>
      <c r="C707" s="1" t="n">
        <v>45905</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40781-2023</t>
        </is>
      </c>
      <c r="B708" s="1" t="n">
        <v>45170.95747685185</v>
      </c>
      <c r="C708" s="1" t="n">
        <v>45905</v>
      </c>
      <c r="D708" t="inlineStr">
        <is>
          <t>VÄSTERBOTTENS LÄN</t>
        </is>
      </c>
      <c r="E708" t="inlineStr">
        <is>
          <t>VILHELMINA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39558-2025</t>
        </is>
      </c>
      <c r="B709" s="1" t="n">
        <v>45890.46978009259</v>
      </c>
      <c r="C709" s="1" t="n">
        <v>45905</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49888-2024</t>
        </is>
      </c>
      <c r="B710" s="1" t="n">
        <v>45597.5109837963</v>
      </c>
      <c r="C710" s="1" t="n">
        <v>45905</v>
      </c>
      <c r="D710" t="inlineStr">
        <is>
          <t>VÄSTERBOTTENS LÄN</t>
        </is>
      </c>
      <c r="E710" t="inlineStr">
        <is>
          <t>VILHELMINA</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39378-2025</t>
        </is>
      </c>
      <c r="B711" s="1" t="n">
        <v>45889.59453703704</v>
      </c>
      <c r="C711" s="1" t="n">
        <v>45905</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39534-2025</t>
        </is>
      </c>
      <c r="B712" s="1" t="n">
        <v>45890.44875</v>
      </c>
      <c r="C712" s="1" t="n">
        <v>45905</v>
      </c>
      <c r="D712" t="inlineStr">
        <is>
          <t>VÄSTERBOTTENS LÄN</t>
        </is>
      </c>
      <c r="E712" t="inlineStr">
        <is>
          <t>VILHELMINA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44516-2024</t>
        </is>
      </c>
      <c r="B713" s="1" t="n">
        <v>45574</v>
      </c>
      <c r="C713" s="1" t="n">
        <v>45905</v>
      </c>
      <c r="D713" t="inlineStr">
        <is>
          <t>VÄSTERBOTTENS LÄN</t>
        </is>
      </c>
      <c r="E713" t="inlineStr">
        <is>
          <t>VILHELMINA</t>
        </is>
      </c>
      <c r="G713" t="n">
        <v>2.9</v>
      </c>
      <c r="H713" t="n">
        <v>0</v>
      </c>
      <c r="I713" t="n">
        <v>0</v>
      </c>
      <c r="J713" t="n">
        <v>0</v>
      </c>
      <c r="K713" t="n">
        <v>0</v>
      </c>
      <c r="L713" t="n">
        <v>0</v>
      </c>
      <c r="M713" t="n">
        <v>0</v>
      </c>
      <c r="N713" t="n">
        <v>0</v>
      </c>
      <c r="O713" t="n">
        <v>0</v>
      </c>
      <c r="P713" t="n">
        <v>0</v>
      </c>
      <c r="Q713" t="n">
        <v>0</v>
      </c>
      <c r="R713" s="2" t="inlineStr"/>
    </row>
    <row r="714" ht="15" customHeight="1">
      <c r="A714" t="inlineStr">
        <is>
          <t>A 36320-2024</t>
        </is>
      </c>
      <c r="B714" s="1" t="n">
        <v>45534.63586805556</v>
      </c>
      <c r="C714" s="1" t="n">
        <v>45905</v>
      </c>
      <c r="D714" t="inlineStr">
        <is>
          <t>VÄSTERBOTTENS LÄN</t>
        </is>
      </c>
      <c r="E714" t="inlineStr">
        <is>
          <t>VILHELMINA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13768-2024</t>
        </is>
      </c>
      <c r="B715" s="1" t="n">
        <v>45390.95230324074</v>
      </c>
      <c r="C715" s="1" t="n">
        <v>45905</v>
      </c>
      <c r="D715" t="inlineStr">
        <is>
          <t>VÄSTERBOTTENS LÄN</t>
        </is>
      </c>
      <c r="E715" t="inlineStr">
        <is>
          <t>VILHELMINA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40220-2025</t>
        </is>
      </c>
      <c r="B716" s="1" t="n">
        <v>45894</v>
      </c>
      <c r="C716" s="1" t="n">
        <v>45905</v>
      </c>
      <c r="D716" t="inlineStr">
        <is>
          <t>VÄSTERBOTTENS LÄN</t>
        </is>
      </c>
      <c r="E716" t="inlineStr">
        <is>
          <t>VILHELMINA</t>
        </is>
      </c>
      <c r="G716" t="n">
        <v>4.6</v>
      </c>
      <c r="H716" t="n">
        <v>0</v>
      </c>
      <c r="I716" t="n">
        <v>0</v>
      </c>
      <c r="J716" t="n">
        <v>0</v>
      </c>
      <c r="K716" t="n">
        <v>0</v>
      </c>
      <c r="L716" t="n">
        <v>0</v>
      </c>
      <c r="M716" t="n">
        <v>0</v>
      </c>
      <c r="N716" t="n">
        <v>0</v>
      </c>
      <c r="O716" t="n">
        <v>0</v>
      </c>
      <c r="P716" t="n">
        <v>0</v>
      </c>
      <c r="Q716" t="n">
        <v>0</v>
      </c>
      <c r="R716" s="2" t="inlineStr"/>
    </row>
    <row r="717" ht="15" customHeight="1">
      <c r="A717" t="inlineStr">
        <is>
          <t>A 19600-2025</t>
        </is>
      </c>
      <c r="B717" s="1" t="n">
        <v>45770</v>
      </c>
      <c r="C717" s="1" t="n">
        <v>45905</v>
      </c>
      <c r="D717" t="inlineStr">
        <is>
          <t>VÄSTERBOTTENS LÄN</t>
        </is>
      </c>
      <c r="E717" t="inlineStr">
        <is>
          <t>VILHELMINA</t>
        </is>
      </c>
      <c r="G717" t="n">
        <v>3.7</v>
      </c>
      <c r="H717" t="n">
        <v>0</v>
      </c>
      <c r="I717" t="n">
        <v>0</v>
      </c>
      <c r="J717" t="n">
        <v>0</v>
      </c>
      <c r="K717" t="n">
        <v>0</v>
      </c>
      <c r="L717" t="n">
        <v>0</v>
      </c>
      <c r="M717" t="n">
        <v>0</v>
      </c>
      <c r="N717" t="n">
        <v>0</v>
      </c>
      <c r="O717" t="n">
        <v>0</v>
      </c>
      <c r="P717" t="n">
        <v>0</v>
      </c>
      <c r="Q717" t="n">
        <v>0</v>
      </c>
      <c r="R717" s="2" t="inlineStr"/>
    </row>
    <row r="718" ht="15" customHeight="1">
      <c r="A718" t="inlineStr">
        <is>
          <t>A 69502-2020</t>
        </is>
      </c>
      <c r="B718" s="1" t="n">
        <v>44193</v>
      </c>
      <c r="C718" s="1" t="n">
        <v>45905</v>
      </c>
      <c r="D718" t="inlineStr">
        <is>
          <t>VÄSTERBOTTENS LÄN</t>
        </is>
      </c>
      <c r="E718" t="inlineStr">
        <is>
          <t>VILHELMINA</t>
        </is>
      </c>
      <c r="G718" t="n">
        <v>19</v>
      </c>
      <c r="H718" t="n">
        <v>0</v>
      </c>
      <c r="I718" t="n">
        <v>0</v>
      </c>
      <c r="J718" t="n">
        <v>0</v>
      </c>
      <c r="K718" t="n">
        <v>0</v>
      </c>
      <c r="L718" t="n">
        <v>0</v>
      </c>
      <c r="M718" t="n">
        <v>0</v>
      </c>
      <c r="N718" t="n">
        <v>0</v>
      </c>
      <c r="O718" t="n">
        <v>0</v>
      </c>
      <c r="P718" t="n">
        <v>0</v>
      </c>
      <c r="Q718" t="n">
        <v>0</v>
      </c>
      <c r="R718" s="2" t="inlineStr"/>
    </row>
    <row r="719" ht="15" customHeight="1">
      <c r="A719" t="inlineStr">
        <is>
          <t>A 40196-2025</t>
        </is>
      </c>
      <c r="B719" s="1" t="n">
        <v>45894.65951388889</v>
      </c>
      <c r="C719" s="1" t="n">
        <v>45905</v>
      </c>
      <c r="D719" t="inlineStr">
        <is>
          <t>VÄSTERBOTTENS LÄN</t>
        </is>
      </c>
      <c r="E719" t="inlineStr">
        <is>
          <t>VILHELMINA</t>
        </is>
      </c>
      <c r="G719" t="n">
        <v>23.3</v>
      </c>
      <c r="H719" t="n">
        <v>0</v>
      </c>
      <c r="I719" t="n">
        <v>0</v>
      </c>
      <c r="J719" t="n">
        <v>0</v>
      </c>
      <c r="K719" t="n">
        <v>0</v>
      </c>
      <c r="L719" t="n">
        <v>0</v>
      </c>
      <c r="M719" t="n">
        <v>0</v>
      </c>
      <c r="N719" t="n">
        <v>0</v>
      </c>
      <c r="O719" t="n">
        <v>0</v>
      </c>
      <c r="P719" t="n">
        <v>0</v>
      </c>
      <c r="Q719" t="n">
        <v>0</v>
      </c>
      <c r="R719" s="2" t="inlineStr"/>
    </row>
    <row r="720" ht="15" customHeight="1">
      <c r="A720" t="inlineStr">
        <is>
          <t>A 62101-2024</t>
        </is>
      </c>
      <c r="B720" s="1" t="n">
        <v>45656.51119212963</v>
      </c>
      <c r="C720" s="1" t="n">
        <v>45905</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40144-2025</t>
        </is>
      </c>
      <c r="B721" s="1" t="n">
        <v>45894.57322916666</v>
      </c>
      <c r="C721" s="1" t="n">
        <v>45905</v>
      </c>
      <c r="D721" t="inlineStr">
        <is>
          <t>VÄSTERBOTTENS LÄN</t>
        </is>
      </c>
      <c r="E721" t="inlineStr">
        <is>
          <t>VILHELMINA</t>
        </is>
      </c>
      <c r="G721" t="n">
        <v>6.3</v>
      </c>
      <c r="H721" t="n">
        <v>0</v>
      </c>
      <c r="I721" t="n">
        <v>0</v>
      </c>
      <c r="J721" t="n">
        <v>0</v>
      </c>
      <c r="K721" t="n">
        <v>0</v>
      </c>
      <c r="L721" t="n">
        <v>0</v>
      </c>
      <c r="M721" t="n">
        <v>0</v>
      </c>
      <c r="N721" t="n">
        <v>0</v>
      </c>
      <c r="O721" t="n">
        <v>0</v>
      </c>
      <c r="P721" t="n">
        <v>0</v>
      </c>
      <c r="Q721" t="n">
        <v>0</v>
      </c>
      <c r="R721" s="2" t="inlineStr"/>
    </row>
    <row r="722" ht="15" customHeight="1">
      <c r="A722" t="inlineStr">
        <is>
          <t>A 20336-2025</t>
        </is>
      </c>
      <c r="B722" s="1" t="n">
        <v>45775.36528935185</v>
      </c>
      <c r="C722" s="1" t="n">
        <v>45905</v>
      </c>
      <c r="D722" t="inlineStr">
        <is>
          <t>VÄSTERBOTTENS LÄN</t>
        </is>
      </c>
      <c r="E722" t="inlineStr">
        <is>
          <t>VILHELMINA</t>
        </is>
      </c>
      <c r="F722" t="inlineStr">
        <is>
          <t>SCA</t>
        </is>
      </c>
      <c r="G722" t="n">
        <v>9.4</v>
      </c>
      <c r="H722" t="n">
        <v>0</v>
      </c>
      <c r="I722" t="n">
        <v>0</v>
      </c>
      <c r="J722" t="n">
        <v>0</v>
      </c>
      <c r="K722" t="n">
        <v>0</v>
      </c>
      <c r="L722" t="n">
        <v>0</v>
      </c>
      <c r="M722" t="n">
        <v>0</v>
      </c>
      <c r="N722" t="n">
        <v>0</v>
      </c>
      <c r="O722" t="n">
        <v>0</v>
      </c>
      <c r="P722" t="n">
        <v>0</v>
      </c>
      <c r="Q722" t="n">
        <v>0</v>
      </c>
      <c r="R722" s="2" t="inlineStr"/>
    </row>
    <row r="723" ht="15" customHeight="1">
      <c r="A723" t="inlineStr">
        <is>
          <t>A 237-2025</t>
        </is>
      </c>
      <c r="B723" s="1" t="n">
        <v>45660.40270833333</v>
      </c>
      <c r="C723" s="1" t="n">
        <v>45905</v>
      </c>
      <c r="D723" t="inlineStr">
        <is>
          <t>VÄSTERBOTTENS LÄN</t>
        </is>
      </c>
      <c r="E723" t="inlineStr">
        <is>
          <t>VILHELMINA</t>
        </is>
      </c>
      <c r="G723" t="n">
        <v>4.6</v>
      </c>
      <c r="H723" t="n">
        <v>0</v>
      </c>
      <c r="I723" t="n">
        <v>0</v>
      </c>
      <c r="J723" t="n">
        <v>0</v>
      </c>
      <c r="K723" t="n">
        <v>0</v>
      </c>
      <c r="L723" t="n">
        <v>0</v>
      </c>
      <c r="M723" t="n">
        <v>0</v>
      </c>
      <c r="N723" t="n">
        <v>0</v>
      </c>
      <c r="O723" t="n">
        <v>0</v>
      </c>
      <c r="P723" t="n">
        <v>0</v>
      </c>
      <c r="Q723" t="n">
        <v>0</v>
      </c>
      <c r="R723" s="2" t="inlineStr"/>
    </row>
    <row r="724" ht="15" customHeight="1">
      <c r="A724" t="inlineStr">
        <is>
          <t>A 242-2025</t>
        </is>
      </c>
      <c r="B724" s="1" t="n">
        <v>45660.41033564815</v>
      </c>
      <c r="C724" s="1" t="n">
        <v>45905</v>
      </c>
      <c r="D724" t="inlineStr">
        <is>
          <t>VÄSTERBOTTENS LÄN</t>
        </is>
      </c>
      <c r="E724" t="inlineStr">
        <is>
          <t>VILHELMINA</t>
        </is>
      </c>
      <c r="G724" t="n">
        <v>2.7</v>
      </c>
      <c r="H724" t="n">
        <v>0</v>
      </c>
      <c r="I724" t="n">
        <v>0</v>
      </c>
      <c r="J724" t="n">
        <v>0</v>
      </c>
      <c r="K724" t="n">
        <v>0</v>
      </c>
      <c r="L724" t="n">
        <v>0</v>
      </c>
      <c r="M724" t="n">
        <v>0</v>
      </c>
      <c r="N724" t="n">
        <v>0</v>
      </c>
      <c r="O724" t="n">
        <v>0</v>
      </c>
      <c r="P724" t="n">
        <v>0</v>
      </c>
      <c r="Q724" t="n">
        <v>0</v>
      </c>
      <c r="R724" s="2" t="inlineStr"/>
    </row>
    <row r="725" ht="15" customHeight="1">
      <c r="A725" t="inlineStr">
        <is>
          <t>A 296-2025</t>
        </is>
      </c>
      <c r="B725" s="1" t="n">
        <v>45660.53215277778</v>
      </c>
      <c r="C725" s="1" t="n">
        <v>45905</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36669-2025</t>
        </is>
      </c>
      <c r="B726" s="1" t="n">
        <v>45873</v>
      </c>
      <c r="C726" s="1" t="n">
        <v>45905</v>
      </c>
      <c r="D726" t="inlineStr">
        <is>
          <t>VÄSTERBOTTENS LÄN</t>
        </is>
      </c>
      <c r="E726" t="inlineStr">
        <is>
          <t>VILHELMINA</t>
        </is>
      </c>
      <c r="G726" t="n">
        <v>12.5</v>
      </c>
      <c r="H726" t="n">
        <v>0</v>
      </c>
      <c r="I726" t="n">
        <v>0</v>
      </c>
      <c r="J726" t="n">
        <v>0</v>
      </c>
      <c r="K726" t="n">
        <v>0</v>
      </c>
      <c r="L726" t="n">
        <v>0</v>
      </c>
      <c r="M726" t="n">
        <v>0</v>
      </c>
      <c r="N726" t="n">
        <v>0</v>
      </c>
      <c r="O726" t="n">
        <v>0</v>
      </c>
      <c r="P726" t="n">
        <v>0</v>
      </c>
      <c r="Q726" t="n">
        <v>0</v>
      </c>
      <c r="R726" s="2" t="inlineStr"/>
    </row>
    <row r="727" ht="15" customHeight="1">
      <c r="A727" t="inlineStr">
        <is>
          <t>A 468-2024</t>
        </is>
      </c>
      <c r="B727" s="1" t="n">
        <v>45297</v>
      </c>
      <c r="C727" s="1" t="n">
        <v>45905</v>
      </c>
      <c r="D727" t="inlineStr">
        <is>
          <t>VÄSTERBOTTENS LÄN</t>
        </is>
      </c>
      <c r="E727" t="inlineStr">
        <is>
          <t>VILHELMINA</t>
        </is>
      </c>
      <c r="G727" t="n">
        <v>6.7</v>
      </c>
      <c r="H727" t="n">
        <v>0</v>
      </c>
      <c r="I727" t="n">
        <v>0</v>
      </c>
      <c r="J727" t="n">
        <v>0</v>
      </c>
      <c r="K727" t="n">
        <v>0</v>
      </c>
      <c r="L727" t="n">
        <v>0</v>
      </c>
      <c r="M727" t="n">
        <v>0</v>
      </c>
      <c r="N727" t="n">
        <v>0</v>
      </c>
      <c r="O727" t="n">
        <v>0</v>
      </c>
      <c r="P727" t="n">
        <v>0</v>
      </c>
      <c r="Q727" t="n">
        <v>0</v>
      </c>
      <c r="R727" s="2" t="inlineStr"/>
    </row>
    <row r="728" ht="15" customHeight="1">
      <c r="A728" t="inlineStr">
        <is>
          <t>A 53987-2021</t>
        </is>
      </c>
      <c r="B728" s="1" t="n">
        <v>44470.31884259259</v>
      </c>
      <c r="C728" s="1" t="n">
        <v>45905</v>
      </c>
      <c r="D728" t="inlineStr">
        <is>
          <t>VÄSTERBOTTENS LÄN</t>
        </is>
      </c>
      <c r="E728" t="inlineStr">
        <is>
          <t>VILHELMINA</t>
        </is>
      </c>
      <c r="F728" t="inlineStr">
        <is>
          <t>Kommuner</t>
        </is>
      </c>
      <c r="G728" t="n">
        <v>10</v>
      </c>
      <c r="H728" t="n">
        <v>0</v>
      </c>
      <c r="I728" t="n">
        <v>0</v>
      </c>
      <c r="J728" t="n">
        <v>0</v>
      </c>
      <c r="K728" t="n">
        <v>0</v>
      </c>
      <c r="L728" t="n">
        <v>0</v>
      </c>
      <c r="M728" t="n">
        <v>0</v>
      </c>
      <c r="N728" t="n">
        <v>0</v>
      </c>
      <c r="O728" t="n">
        <v>0</v>
      </c>
      <c r="P728" t="n">
        <v>0</v>
      </c>
      <c r="Q728" t="n">
        <v>0</v>
      </c>
      <c r="R728" s="2" t="inlineStr"/>
    </row>
    <row r="729" ht="15" customHeight="1">
      <c r="A729" t="inlineStr">
        <is>
          <t>A 35285-2025</t>
        </is>
      </c>
      <c r="B729" s="1" t="n">
        <v>45854</v>
      </c>
      <c r="C729" s="1" t="n">
        <v>45905</v>
      </c>
      <c r="D729" t="inlineStr">
        <is>
          <t>VÄSTERBOTTENS LÄN</t>
        </is>
      </c>
      <c r="E729" t="inlineStr">
        <is>
          <t>VILHELMINA</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35287-2025</t>
        </is>
      </c>
      <c r="B730" s="1" t="n">
        <v>45854.3653587963</v>
      </c>
      <c r="C730" s="1" t="n">
        <v>45905</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35288-2025</t>
        </is>
      </c>
      <c r="B731" s="1" t="n">
        <v>45854.36543981481</v>
      </c>
      <c r="C731" s="1" t="n">
        <v>45905</v>
      </c>
      <c r="D731" t="inlineStr">
        <is>
          <t>VÄSTERBOTTENS LÄN</t>
        </is>
      </c>
      <c r="E731" t="inlineStr">
        <is>
          <t>VILHELMINA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35230-2025</t>
        </is>
      </c>
      <c r="B732" s="1" t="n">
        <v>45853.59447916667</v>
      </c>
      <c r="C732" s="1" t="n">
        <v>45905</v>
      </c>
      <c r="D732" t="inlineStr">
        <is>
          <t>VÄSTERBOTTENS LÄN</t>
        </is>
      </c>
      <c r="E732" t="inlineStr">
        <is>
          <t>VILHELMINA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35231-2025</t>
        </is>
      </c>
      <c r="B733" s="1" t="n">
        <v>45853.59453703704</v>
      </c>
      <c r="C733" s="1" t="n">
        <v>45905</v>
      </c>
      <c r="D733" t="inlineStr">
        <is>
          <t>VÄSTERBOTTENS LÄN</t>
        </is>
      </c>
      <c r="E733" t="inlineStr">
        <is>
          <t>VILHELMINA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56830-2023</t>
        </is>
      </c>
      <c r="B734" s="1" t="n">
        <v>45238</v>
      </c>
      <c r="C734" s="1" t="n">
        <v>45905</v>
      </c>
      <c r="D734" t="inlineStr">
        <is>
          <t>VÄSTERBOTTENS LÄN</t>
        </is>
      </c>
      <c r="E734" t="inlineStr">
        <is>
          <t>VILHELMINA</t>
        </is>
      </c>
      <c r="F734" t="inlineStr">
        <is>
          <t>Allmännings- och besparingsskogar</t>
        </is>
      </c>
      <c r="G734" t="n">
        <v>66</v>
      </c>
      <c r="H734" t="n">
        <v>0</v>
      </c>
      <c r="I734" t="n">
        <v>0</v>
      </c>
      <c r="J734" t="n">
        <v>0</v>
      </c>
      <c r="K734" t="n">
        <v>0</v>
      </c>
      <c r="L734" t="n">
        <v>0</v>
      </c>
      <c r="M734" t="n">
        <v>0</v>
      </c>
      <c r="N734" t="n">
        <v>0</v>
      </c>
      <c r="O734" t="n">
        <v>0</v>
      </c>
      <c r="P734" t="n">
        <v>0</v>
      </c>
      <c r="Q734" t="n">
        <v>0</v>
      </c>
      <c r="R734" s="2" t="inlineStr"/>
    </row>
    <row r="735" ht="15" customHeight="1">
      <c r="A735" t="inlineStr">
        <is>
          <t>A 56847-2023</t>
        </is>
      </c>
      <c r="B735" s="1" t="n">
        <v>45238</v>
      </c>
      <c r="C735" s="1" t="n">
        <v>45905</v>
      </c>
      <c r="D735" t="inlineStr">
        <is>
          <t>VÄSTERBOTTENS LÄN</t>
        </is>
      </c>
      <c r="E735" t="inlineStr">
        <is>
          <t>VILHELMINA</t>
        </is>
      </c>
      <c r="F735" t="inlineStr">
        <is>
          <t>Allmännings- och besparingsskogar</t>
        </is>
      </c>
      <c r="G735" t="n">
        <v>41</v>
      </c>
      <c r="H735" t="n">
        <v>0</v>
      </c>
      <c r="I735" t="n">
        <v>0</v>
      </c>
      <c r="J735" t="n">
        <v>0</v>
      </c>
      <c r="K735" t="n">
        <v>0</v>
      </c>
      <c r="L735" t="n">
        <v>0</v>
      </c>
      <c r="M735" t="n">
        <v>0</v>
      </c>
      <c r="N735" t="n">
        <v>0</v>
      </c>
      <c r="O735" t="n">
        <v>0</v>
      </c>
      <c r="P735" t="n">
        <v>0</v>
      </c>
      <c r="Q735" t="n">
        <v>0</v>
      </c>
      <c r="R735" s="2" t="inlineStr"/>
    </row>
    <row r="736" ht="15" customHeight="1">
      <c r="A736" t="inlineStr">
        <is>
          <t>A 20534-2025</t>
        </is>
      </c>
      <c r="B736" s="1" t="n">
        <v>45775.61550925926</v>
      </c>
      <c r="C736" s="1" t="n">
        <v>45905</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56823-2023</t>
        </is>
      </c>
      <c r="B737" s="1" t="n">
        <v>45238</v>
      </c>
      <c r="C737" s="1" t="n">
        <v>45905</v>
      </c>
      <c r="D737" t="inlineStr">
        <is>
          <t>VÄSTERBOTTENS LÄN</t>
        </is>
      </c>
      <c r="E737" t="inlineStr">
        <is>
          <t>VILHELMINA</t>
        </is>
      </c>
      <c r="F737" t="inlineStr">
        <is>
          <t>Allmännings- och besparingsskogar</t>
        </is>
      </c>
      <c r="G737" t="n">
        <v>82</v>
      </c>
      <c r="H737" t="n">
        <v>0</v>
      </c>
      <c r="I737" t="n">
        <v>0</v>
      </c>
      <c r="J737" t="n">
        <v>0</v>
      </c>
      <c r="K737" t="n">
        <v>0</v>
      </c>
      <c r="L737" t="n">
        <v>0</v>
      </c>
      <c r="M737" t="n">
        <v>0</v>
      </c>
      <c r="N737" t="n">
        <v>0</v>
      </c>
      <c r="O737" t="n">
        <v>0</v>
      </c>
      <c r="P737" t="n">
        <v>0</v>
      </c>
      <c r="Q737" t="n">
        <v>0</v>
      </c>
      <c r="R737" s="2" t="inlineStr"/>
    </row>
    <row r="738" ht="15" customHeight="1">
      <c r="A738" t="inlineStr">
        <is>
          <t>A 41171-2025</t>
        </is>
      </c>
      <c r="B738" s="1" t="n">
        <v>45898</v>
      </c>
      <c r="C738" s="1" t="n">
        <v>45905</v>
      </c>
      <c r="D738" t="inlineStr">
        <is>
          <t>VÄSTERBOTTENS LÄN</t>
        </is>
      </c>
      <c r="E738" t="inlineStr">
        <is>
          <t>VILHELMINA</t>
        </is>
      </c>
      <c r="F738" t="inlineStr">
        <is>
          <t>Övriga Aktiebolag</t>
        </is>
      </c>
      <c r="G738" t="n">
        <v>5.6</v>
      </c>
      <c r="H738" t="n">
        <v>0</v>
      </c>
      <c r="I738" t="n">
        <v>0</v>
      </c>
      <c r="J738" t="n">
        <v>0</v>
      </c>
      <c r="K738" t="n">
        <v>0</v>
      </c>
      <c r="L738" t="n">
        <v>0</v>
      </c>
      <c r="M738" t="n">
        <v>0</v>
      </c>
      <c r="N738" t="n">
        <v>0</v>
      </c>
      <c r="O738" t="n">
        <v>0</v>
      </c>
      <c r="P738" t="n">
        <v>0</v>
      </c>
      <c r="Q738" t="n">
        <v>0</v>
      </c>
      <c r="R738" s="2" t="inlineStr"/>
    </row>
    <row r="739" ht="15" customHeight="1">
      <c r="A739" t="inlineStr">
        <is>
          <t>A 15639-2024</t>
        </is>
      </c>
      <c r="B739" s="1" t="n">
        <v>45403</v>
      </c>
      <c r="C739" s="1" t="n">
        <v>45905</v>
      </c>
      <c r="D739" t="inlineStr">
        <is>
          <t>VÄSTERBOTTENS LÄN</t>
        </is>
      </c>
      <c r="E739" t="inlineStr">
        <is>
          <t>VILHELMINA</t>
        </is>
      </c>
      <c r="G739" t="n">
        <v>81.90000000000001</v>
      </c>
      <c r="H739" t="n">
        <v>0</v>
      </c>
      <c r="I739" t="n">
        <v>0</v>
      </c>
      <c r="J739" t="n">
        <v>0</v>
      </c>
      <c r="K739" t="n">
        <v>0</v>
      </c>
      <c r="L739" t="n">
        <v>0</v>
      </c>
      <c r="M739" t="n">
        <v>0</v>
      </c>
      <c r="N739" t="n">
        <v>0</v>
      </c>
      <c r="O739" t="n">
        <v>0</v>
      </c>
      <c r="P739" t="n">
        <v>0</v>
      </c>
      <c r="Q739" t="n">
        <v>0</v>
      </c>
      <c r="R739" s="2" t="inlineStr"/>
    </row>
    <row r="740" ht="15" customHeight="1">
      <c r="A740" t="inlineStr">
        <is>
          <t>A 31696-2024</t>
        </is>
      </c>
      <c r="B740" s="1" t="n">
        <v>45508</v>
      </c>
      <c r="C740" s="1" t="n">
        <v>45905</v>
      </c>
      <c r="D740" t="inlineStr">
        <is>
          <t>VÄSTERBOTTENS LÄN</t>
        </is>
      </c>
      <c r="E740" t="inlineStr">
        <is>
          <t>VILHELMINA</t>
        </is>
      </c>
      <c r="G740" t="n">
        <v>7.7</v>
      </c>
      <c r="H740" t="n">
        <v>0</v>
      </c>
      <c r="I740" t="n">
        <v>0</v>
      </c>
      <c r="J740" t="n">
        <v>0</v>
      </c>
      <c r="K740" t="n">
        <v>0</v>
      </c>
      <c r="L740" t="n">
        <v>0</v>
      </c>
      <c r="M740" t="n">
        <v>0</v>
      </c>
      <c r="N740" t="n">
        <v>0</v>
      </c>
      <c r="O740" t="n">
        <v>0</v>
      </c>
      <c r="P740" t="n">
        <v>0</v>
      </c>
      <c r="Q740" t="n">
        <v>0</v>
      </c>
      <c r="R740" s="2" t="inlineStr"/>
    </row>
    <row r="741" ht="15" customHeight="1">
      <c r="A741" t="inlineStr">
        <is>
          <t>A 60842-2023</t>
        </is>
      </c>
      <c r="B741" s="1" t="n">
        <v>45260.9258912037</v>
      </c>
      <c r="C741" s="1" t="n">
        <v>45905</v>
      </c>
      <c r="D741" t="inlineStr">
        <is>
          <t>VÄSTERBOTTENS LÄN</t>
        </is>
      </c>
      <c r="E741" t="inlineStr">
        <is>
          <t>VILHELMINA</t>
        </is>
      </c>
      <c r="G741" t="n">
        <v>2.9</v>
      </c>
      <c r="H741" t="n">
        <v>0</v>
      </c>
      <c r="I741" t="n">
        <v>0</v>
      </c>
      <c r="J741" t="n">
        <v>0</v>
      </c>
      <c r="K741" t="n">
        <v>0</v>
      </c>
      <c r="L741" t="n">
        <v>0</v>
      </c>
      <c r="M741" t="n">
        <v>0</v>
      </c>
      <c r="N741" t="n">
        <v>0</v>
      </c>
      <c r="O741" t="n">
        <v>0</v>
      </c>
      <c r="P741" t="n">
        <v>0</v>
      </c>
      <c r="Q741" t="n">
        <v>0</v>
      </c>
      <c r="R741" s="2" t="inlineStr"/>
    </row>
    <row r="742" ht="15" customHeight="1">
      <c r="A742" t="inlineStr">
        <is>
          <t>A 48423-2023</t>
        </is>
      </c>
      <c r="B742" s="1" t="n">
        <v>45205</v>
      </c>
      <c r="C742" s="1" t="n">
        <v>45905</v>
      </c>
      <c r="D742" t="inlineStr">
        <is>
          <t>VÄSTERBOTTENS LÄN</t>
        </is>
      </c>
      <c r="E742" t="inlineStr">
        <is>
          <t>VILHELMINA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32658-2021</t>
        </is>
      </c>
      <c r="B743" s="1" t="n">
        <v>44371</v>
      </c>
      <c r="C743" s="1" t="n">
        <v>45905</v>
      </c>
      <c r="D743" t="inlineStr">
        <is>
          <t>VÄSTERBOTTENS LÄN</t>
        </is>
      </c>
      <c r="E743" t="inlineStr">
        <is>
          <t>VILHELMINA</t>
        </is>
      </c>
      <c r="G743" t="n">
        <v>2.2</v>
      </c>
      <c r="H743" t="n">
        <v>0</v>
      </c>
      <c r="I743" t="n">
        <v>0</v>
      </c>
      <c r="J743" t="n">
        <v>0</v>
      </c>
      <c r="K743" t="n">
        <v>0</v>
      </c>
      <c r="L743" t="n">
        <v>0</v>
      </c>
      <c r="M743" t="n">
        <v>0</v>
      </c>
      <c r="N743" t="n">
        <v>0</v>
      </c>
      <c r="O743" t="n">
        <v>0</v>
      </c>
      <c r="P743" t="n">
        <v>0</v>
      </c>
      <c r="Q743" t="n">
        <v>0</v>
      </c>
      <c r="R743" s="2" t="inlineStr"/>
    </row>
    <row r="744" ht="15" customHeight="1">
      <c r="A744" t="inlineStr">
        <is>
          <t>A 46373-2020</t>
        </is>
      </c>
      <c r="B744" s="1" t="n">
        <v>44092</v>
      </c>
      <c r="C744" s="1" t="n">
        <v>45905</v>
      </c>
      <c r="D744" t="inlineStr">
        <is>
          <t>VÄSTERBOTTENS LÄN</t>
        </is>
      </c>
      <c r="E744" t="inlineStr">
        <is>
          <t>VILHELMINA</t>
        </is>
      </c>
      <c r="F744" t="inlineStr">
        <is>
          <t>SCA</t>
        </is>
      </c>
      <c r="G744" t="n">
        <v>6.8</v>
      </c>
      <c r="H744" t="n">
        <v>0</v>
      </c>
      <c r="I744" t="n">
        <v>0</v>
      </c>
      <c r="J744" t="n">
        <v>0</v>
      </c>
      <c r="K744" t="n">
        <v>0</v>
      </c>
      <c r="L744" t="n">
        <v>0</v>
      </c>
      <c r="M744" t="n">
        <v>0</v>
      </c>
      <c r="N744" t="n">
        <v>0</v>
      </c>
      <c r="O744" t="n">
        <v>0</v>
      </c>
      <c r="P744" t="n">
        <v>0</v>
      </c>
      <c r="Q744" t="n">
        <v>0</v>
      </c>
      <c r="R744" s="2" t="inlineStr"/>
    </row>
    <row r="745" ht="15" customHeight="1">
      <c r="A745" t="inlineStr">
        <is>
          <t>A 12374-2025</t>
        </is>
      </c>
      <c r="B745" s="1" t="n">
        <v>45730</v>
      </c>
      <c r="C745" s="1" t="n">
        <v>45905</v>
      </c>
      <c r="D745" t="inlineStr">
        <is>
          <t>VÄSTERBOTTENS LÄN</t>
        </is>
      </c>
      <c r="E745" t="inlineStr">
        <is>
          <t>VILHELMINA</t>
        </is>
      </c>
      <c r="F745" t="inlineStr">
        <is>
          <t>Övriga statliga verk och myndigheter</t>
        </is>
      </c>
      <c r="G745" t="n">
        <v>18.7</v>
      </c>
      <c r="H745" t="n">
        <v>0</v>
      </c>
      <c r="I745" t="n">
        <v>0</v>
      </c>
      <c r="J745" t="n">
        <v>0</v>
      </c>
      <c r="K745" t="n">
        <v>0</v>
      </c>
      <c r="L745" t="n">
        <v>0</v>
      </c>
      <c r="M745" t="n">
        <v>0</v>
      </c>
      <c r="N745" t="n">
        <v>0</v>
      </c>
      <c r="O745" t="n">
        <v>0</v>
      </c>
      <c r="P745" t="n">
        <v>0</v>
      </c>
      <c r="Q745" t="n">
        <v>0</v>
      </c>
      <c r="R745" s="2" t="inlineStr"/>
    </row>
    <row r="746" ht="15" customHeight="1">
      <c r="A746" t="inlineStr">
        <is>
          <t>A 12375-2025</t>
        </is>
      </c>
      <c r="B746" s="1" t="n">
        <v>45730</v>
      </c>
      <c r="C746" s="1" t="n">
        <v>45905</v>
      </c>
      <c r="D746" t="inlineStr">
        <is>
          <t>VÄSTERBOTTENS LÄN</t>
        </is>
      </c>
      <c r="E746" t="inlineStr">
        <is>
          <t>VILHELMINA</t>
        </is>
      </c>
      <c r="F746" t="inlineStr">
        <is>
          <t>Övriga statliga verk och myndigheter</t>
        </is>
      </c>
      <c r="G746" t="n">
        <v>22.3</v>
      </c>
      <c r="H746" t="n">
        <v>0</v>
      </c>
      <c r="I746" t="n">
        <v>0</v>
      </c>
      <c r="J746" t="n">
        <v>0</v>
      </c>
      <c r="K746" t="n">
        <v>0</v>
      </c>
      <c r="L746" t="n">
        <v>0</v>
      </c>
      <c r="M746" t="n">
        <v>0</v>
      </c>
      <c r="N746" t="n">
        <v>0</v>
      </c>
      <c r="O746" t="n">
        <v>0</v>
      </c>
      <c r="P746" t="n">
        <v>0</v>
      </c>
      <c r="Q746" t="n">
        <v>0</v>
      </c>
      <c r="R746" s="2" t="inlineStr"/>
    </row>
    <row r="747" ht="15" customHeight="1">
      <c r="A747" t="inlineStr">
        <is>
          <t>A 29347-2021</t>
        </is>
      </c>
      <c r="B747" s="1" t="n">
        <v>44361</v>
      </c>
      <c r="C747" s="1" t="n">
        <v>45905</v>
      </c>
      <c r="D747" t="inlineStr">
        <is>
          <t>VÄSTERBOTTENS LÄN</t>
        </is>
      </c>
      <c r="E747" t="inlineStr">
        <is>
          <t>VILHELMINA</t>
        </is>
      </c>
      <c r="F747" t="inlineStr">
        <is>
          <t>Allmännings- och besparingsskogar</t>
        </is>
      </c>
      <c r="G747" t="n">
        <v>52</v>
      </c>
      <c r="H747" t="n">
        <v>0</v>
      </c>
      <c r="I747" t="n">
        <v>0</v>
      </c>
      <c r="J747" t="n">
        <v>0</v>
      </c>
      <c r="K747" t="n">
        <v>0</v>
      </c>
      <c r="L747" t="n">
        <v>0</v>
      </c>
      <c r="M747" t="n">
        <v>0</v>
      </c>
      <c r="N747" t="n">
        <v>0</v>
      </c>
      <c r="O747" t="n">
        <v>0</v>
      </c>
      <c r="P747" t="n">
        <v>0</v>
      </c>
      <c r="Q747" t="n">
        <v>0</v>
      </c>
      <c r="R747" s="2" t="inlineStr"/>
    </row>
    <row r="748" ht="15" customHeight="1">
      <c r="A748" t="inlineStr">
        <is>
          <t>A 30574-2024</t>
        </is>
      </c>
      <c r="B748" s="1" t="n">
        <v>45492.9580324074</v>
      </c>
      <c r="C748" s="1" t="n">
        <v>45905</v>
      </c>
      <c r="D748" t="inlineStr">
        <is>
          <t>VÄSTERBOTTENS LÄN</t>
        </is>
      </c>
      <c r="E748" t="inlineStr">
        <is>
          <t>VILHELMINA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30681-2024</t>
        </is>
      </c>
      <c r="B749" s="1" t="n">
        <v>45495.9509837963</v>
      </c>
      <c r="C749" s="1" t="n">
        <v>45905</v>
      </c>
      <c r="D749" t="inlineStr">
        <is>
          <t>VÄSTERBOTTENS LÄN</t>
        </is>
      </c>
      <c r="E749" t="inlineStr">
        <is>
          <t>VILHELMINA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40462-2024</t>
        </is>
      </c>
      <c r="B750" s="1" t="n">
        <v>45555.51084490741</v>
      </c>
      <c r="C750" s="1" t="n">
        <v>45905</v>
      </c>
      <c r="D750" t="inlineStr">
        <is>
          <t>VÄSTERBOTTENS LÄN</t>
        </is>
      </c>
      <c r="E750" t="inlineStr">
        <is>
          <t>VILHELMINA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10833-2022</t>
        </is>
      </c>
      <c r="B751" s="1" t="n">
        <v>44627</v>
      </c>
      <c r="C751" s="1" t="n">
        <v>45905</v>
      </c>
      <c r="D751" t="inlineStr">
        <is>
          <t>VÄSTERBOTTENS LÄN</t>
        </is>
      </c>
      <c r="E751" t="inlineStr">
        <is>
          <t>VILHELMINA</t>
        </is>
      </c>
      <c r="G751" t="n">
        <v>5.4</v>
      </c>
      <c r="H751" t="n">
        <v>0</v>
      </c>
      <c r="I751" t="n">
        <v>0</v>
      </c>
      <c r="J751" t="n">
        <v>0</v>
      </c>
      <c r="K751" t="n">
        <v>0</v>
      </c>
      <c r="L751" t="n">
        <v>0</v>
      </c>
      <c r="M751" t="n">
        <v>0</v>
      </c>
      <c r="N751" t="n">
        <v>0</v>
      </c>
      <c r="O751" t="n">
        <v>0</v>
      </c>
      <c r="P751" t="n">
        <v>0</v>
      </c>
      <c r="Q751" t="n">
        <v>0</v>
      </c>
      <c r="R751" s="2" t="inlineStr"/>
    </row>
    <row r="752" ht="15" customHeight="1">
      <c r="A752" t="inlineStr">
        <is>
          <t>A 46372-2021</t>
        </is>
      </c>
      <c r="B752" s="1" t="n">
        <v>44442.94226851852</v>
      </c>
      <c r="C752" s="1" t="n">
        <v>45905</v>
      </c>
      <c r="D752" t="inlineStr">
        <is>
          <t>VÄSTERBOTTENS LÄN</t>
        </is>
      </c>
      <c r="E752" t="inlineStr">
        <is>
          <t>VILHELMINA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28722-2022</t>
        </is>
      </c>
      <c r="B753" s="1" t="n">
        <v>44748</v>
      </c>
      <c r="C753" s="1" t="n">
        <v>45905</v>
      </c>
      <c r="D753" t="inlineStr">
        <is>
          <t>VÄSTERBOTTENS LÄN</t>
        </is>
      </c>
      <c r="E753" t="inlineStr">
        <is>
          <t>VILHELMINA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55688-2023</t>
        </is>
      </c>
      <c r="B754" s="1" t="n">
        <v>45232</v>
      </c>
      <c r="C754" s="1" t="n">
        <v>45905</v>
      </c>
      <c r="D754" t="inlineStr">
        <is>
          <t>VÄSTERBOTTENS LÄN</t>
        </is>
      </c>
      <c r="E754" t="inlineStr">
        <is>
          <t>VILHELMINA</t>
        </is>
      </c>
      <c r="G754" t="n">
        <v>6.4</v>
      </c>
      <c r="H754" t="n">
        <v>0</v>
      </c>
      <c r="I754" t="n">
        <v>0</v>
      </c>
      <c r="J754" t="n">
        <v>0</v>
      </c>
      <c r="K754" t="n">
        <v>0</v>
      </c>
      <c r="L754" t="n">
        <v>0</v>
      </c>
      <c r="M754" t="n">
        <v>0</v>
      </c>
      <c r="N754" t="n">
        <v>0</v>
      </c>
      <c r="O754" t="n">
        <v>0</v>
      </c>
      <c r="P754" t="n">
        <v>0</v>
      </c>
      <c r="Q754" t="n">
        <v>0</v>
      </c>
      <c r="R754" s="2" t="inlineStr"/>
    </row>
    <row r="755" ht="15" customHeight="1">
      <c r="A755" t="inlineStr">
        <is>
          <t>A 43251-2024</t>
        </is>
      </c>
      <c r="B755" s="1" t="n">
        <v>45568.34429398148</v>
      </c>
      <c r="C755" s="1" t="n">
        <v>45905</v>
      </c>
      <c r="D755" t="inlineStr">
        <is>
          <t>VÄSTERBOTTENS LÄN</t>
        </is>
      </c>
      <c r="E755" t="inlineStr">
        <is>
          <t>VILHELMINA</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12373-2024</t>
        </is>
      </c>
      <c r="B756" s="1" t="n">
        <v>45378</v>
      </c>
      <c r="C756" s="1" t="n">
        <v>45905</v>
      </c>
      <c r="D756" t="inlineStr">
        <is>
          <t>VÄSTERBOTTENS LÄN</t>
        </is>
      </c>
      <c r="E756" t="inlineStr">
        <is>
          <t>VILHELMINA</t>
        </is>
      </c>
      <c r="G756" t="n">
        <v>0.7</v>
      </c>
      <c r="H756" t="n">
        <v>0</v>
      </c>
      <c r="I756" t="n">
        <v>0</v>
      </c>
      <c r="J756" t="n">
        <v>0</v>
      </c>
      <c r="K756" t="n">
        <v>0</v>
      </c>
      <c r="L756" t="n">
        <v>0</v>
      </c>
      <c r="M756" t="n">
        <v>0</v>
      </c>
      <c r="N756" t="n">
        <v>0</v>
      </c>
      <c r="O756" t="n">
        <v>0</v>
      </c>
      <c r="P756" t="n">
        <v>0</v>
      </c>
      <c r="Q756" t="n">
        <v>0</v>
      </c>
      <c r="R756" s="2" t="inlineStr"/>
    </row>
    <row r="757" ht="15" customHeight="1">
      <c r="A757" t="inlineStr">
        <is>
          <t>A 10268-2025</t>
        </is>
      </c>
      <c r="B757" s="1" t="n">
        <v>45720</v>
      </c>
      <c r="C757" s="1" t="n">
        <v>45905</v>
      </c>
      <c r="D757" t="inlineStr">
        <is>
          <t>VÄSTERBOTTENS LÄN</t>
        </is>
      </c>
      <c r="E757" t="inlineStr">
        <is>
          <t>VILHELMINA</t>
        </is>
      </c>
      <c r="G757" t="n">
        <v>1.9</v>
      </c>
      <c r="H757" t="n">
        <v>0</v>
      </c>
      <c r="I757" t="n">
        <v>0</v>
      </c>
      <c r="J757" t="n">
        <v>0</v>
      </c>
      <c r="K757" t="n">
        <v>0</v>
      </c>
      <c r="L757" t="n">
        <v>0</v>
      </c>
      <c r="M757" t="n">
        <v>0</v>
      </c>
      <c r="N757" t="n">
        <v>0</v>
      </c>
      <c r="O757" t="n">
        <v>0</v>
      </c>
      <c r="P757" t="n">
        <v>0</v>
      </c>
      <c r="Q757" t="n">
        <v>0</v>
      </c>
      <c r="R757" s="2" t="inlineStr"/>
    </row>
    <row r="758" ht="15" customHeight="1">
      <c r="A758" t="inlineStr">
        <is>
          <t>A 61270-2022</t>
        </is>
      </c>
      <c r="B758" s="1" t="n">
        <v>44909</v>
      </c>
      <c r="C758" s="1" t="n">
        <v>45905</v>
      </c>
      <c r="D758" t="inlineStr">
        <is>
          <t>VÄSTERBOTTENS LÄN</t>
        </is>
      </c>
      <c r="E758" t="inlineStr">
        <is>
          <t>VILHELMINA</t>
        </is>
      </c>
      <c r="G758" t="n">
        <v>8.9</v>
      </c>
      <c r="H758" t="n">
        <v>0</v>
      </c>
      <c r="I758" t="n">
        <v>0</v>
      </c>
      <c r="J758" t="n">
        <v>0</v>
      </c>
      <c r="K758" t="n">
        <v>0</v>
      </c>
      <c r="L758" t="n">
        <v>0</v>
      </c>
      <c r="M758" t="n">
        <v>0</v>
      </c>
      <c r="N758" t="n">
        <v>0</v>
      </c>
      <c r="O758" t="n">
        <v>0</v>
      </c>
      <c r="P758" t="n">
        <v>0</v>
      </c>
      <c r="Q758" t="n">
        <v>0</v>
      </c>
      <c r="R758" s="2" t="inlineStr"/>
    </row>
    <row r="759" ht="15" customHeight="1">
      <c r="A759" t="inlineStr">
        <is>
          <t>A 21843-2024</t>
        </is>
      </c>
      <c r="B759" s="1" t="n">
        <v>45442.96064814815</v>
      </c>
      <c r="C759" s="1" t="n">
        <v>45905</v>
      </c>
      <c r="D759" t="inlineStr">
        <is>
          <t>VÄSTERBOTTENS LÄN</t>
        </is>
      </c>
      <c r="E759" t="inlineStr">
        <is>
          <t>VILHELMINA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34819-2024</t>
        </is>
      </c>
      <c r="B760" s="1" t="n">
        <v>45526.71134259259</v>
      </c>
      <c r="C760" s="1" t="n">
        <v>45905</v>
      </c>
      <c r="D760" t="inlineStr">
        <is>
          <t>VÄSTERBOTTENS LÄN</t>
        </is>
      </c>
      <c r="E760" t="inlineStr">
        <is>
          <t>VILHELMINA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60227-2022</t>
        </is>
      </c>
      <c r="B761" s="1" t="n">
        <v>44903</v>
      </c>
      <c r="C761" s="1" t="n">
        <v>45905</v>
      </c>
      <c r="D761" t="inlineStr">
        <is>
          <t>VÄSTERBOTTENS LÄN</t>
        </is>
      </c>
      <c r="E761" t="inlineStr">
        <is>
          <t>VILHELMINA</t>
        </is>
      </c>
      <c r="G761" t="n">
        <v>11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45905</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12043-2023</t>
        </is>
      </c>
      <c r="B763" s="1" t="n">
        <v>44995</v>
      </c>
      <c r="C763" s="1" t="n">
        <v>45905</v>
      </c>
      <c r="D763" t="inlineStr">
        <is>
          <t>VÄSTERBOTTENS LÄN</t>
        </is>
      </c>
      <c r="E763" t="inlineStr">
        <is>
          <t>VILHELMINA</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19223-2025</t>
        </is>
      </c>
      <c r="B764" s="1" t="n">
        <v>45769</v>
      </c>
      <c r="C764" s="1" t="n">
        <v>45905</v>
      </c>
      <c r="D764" t="inlineStr">
        <is>
          <t>VÄSTERBOTTENS LÄN</t>
        </is>
      </c>
      <c r="E764" t="inlineStr">
        <is>
          <t>VILHELMINA</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48117-2022</t>
        </is>
      </c>
      <c r="B765" s="1" t="n">
        <v>44857</v>
      </c>
      <c r="C765" s="1" t="n">
        <v>45905</v>
      </c>
      <c r="D765" t="inlineStr">
        <is>
          <t>VÄSTERBOTTENS LÄN</t>
        </is>
      </c>
      <c r="E765" t="inlineStr">
        <is>
          <t>VILHELMINA</t>
        </is>
      </c>
      <c r="G765" t="n">
        <v>5.6</v>
      </c>
      <c r="H765" t="n">
        <v>0</v>
      </c>
      <c r="I765" t="n">
        <v>0</v>
      </c>
      <c r="J765" t="n">
        <v>0</v>
      </c>
      <c r="K765" t="n">
        <v>0</v>
      </c>
      <c r="L765" t="n">
        <v>0</v>
      </c>
      <c r="M765" t="n">
        <v>0</v>
      </c>
      <c r="N765" t="n">
        <v>0</v>
      </c>
      <c r="O765" t="n">
        <v>0</v>
      </c>
      <c r="P765" t="n">
        <v>0</v>
      </c>
      <c r="Q765" t="n">
        <v>0</v>
      </c>
      <c r="R765" s="2" t="inlineStr"/>
    </row>
    <row r="766" ht="15" customHeight="1">
      <c r="A766" t="inlineStr">
        <is>
          <t>A 35888-2025</t>
        </is>
      </c>
      <c r="B766" s="1" t="n">
        <v>45862.44034722223</v>
      </c>
      <c r="C766" s="1" t="n">
        <v>45905</v>
      </c>
      <c r="D766" t="inlineStr">
        <is>
          <t>VÄSTERBOTTENS LÄN</t>
        </is>
      </c>
      <c r="E766" t="inlineStr">
        <is>
          <t>VILHELMINA</t>
        </is>
      </c>
      <c r="G766" t="n">
        <v>2.4</v>
      </c>
      <c r="H766" t="n">
        <v>0</v>
      </c>
      <c r="I766" t="n">
        <v>0</v>
      </c>
      <c r="J766" t="n">
        <v>0</v>
      </c>
      <c r="K766" t="n">
        <v>0</v>
      </c>
      <c r="L766" t="n">
        <v>0</v>
      </c>
      <c r="M766" t="n">
        <v>0</v>
      </c>
      <c r="N766" t="n">
        <v>0</v>
      </c>
      <c r="O766" t="n">
        <v>0</v>
      </c>
      <c r="P766" t="n">
        <v>0</v>
      </c>
      <c r="Q766" t="n">
        <v>0</v>
      </c>
      <c r="R766" s="2" t="inlineStr"/>
    </row>
    <row r="767" ht="15" customHeight="1">
      <c r="A767" t="inlineStr">
        <is>
          <t>A 4869-2023</t>
        </is>
      </c>
      <c r="B767" s="1" t="n">
        <v>44957</v>
      </c>
      <c r="C767" s="1" t="n">
        <v>45905</v>
      </c>
      <c r="D767" t="inlineStr">
        <is>
          <t>VÄSTERBOTTENS LÄN</t>
        </is>
      </c>
      <c r="E767" t="inlineStr">
        <is>
          <t>VILHELMINA</t>
        </is>
      </c>
      <c r="G767" t="n">
        <v>5.7</v>
      </c>
      <c r="H767" t="n">
        <v>0</v>
      </c>
      <c r="I767" t="n">
        <v>0</v>
      </c>
      <c r="J767" t="n">
        <v>0</v>
      </c>
      <c r="K767" t="n">
        <v>0</v>
      </c>
      <c r="L767" t="n">
        <v>0</v>
      </c>
      <c r="M767" t="n">
        <v>0</v>
      </c>
      <c r="N767" t="n">
        <v>0</v>
      </c>
      <c r="O767" t="n">
        <v>0</v>
      </c>
      <c r="P767" t="n">
        <v>0</v>
      </c>
      <c r="Q767" t="n">
        <v>0</v>
      </c>
      <c r="R767" s="2" t="inlineStr"/>
    </row>
    <row r="768" ht="15" customHeight="1">
      <c r="A768" t="inlineStr">
        <is>
          <t>A 22440-2025</t>
        </is>
      </c>
      <c r="B768" s="1" t="n">
        <v>45786</v>
      </c>
      <c r="C768" s="1" t="n">
        <v>45905</v>
      </c>
      <c r="D768" t="inlineStr">
        <is>
          <t>VÄSTERBOTTENS LÄN</t>
        </is>
      </c>
      <c r="E768" t="inlineStr">
        <is>
          <t>VILHELMINA</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11139-2022</t>
        </is>
      </c>
      <c r="B769" s="1" t="n">
        <v>44628</v>
      </c>
      <c r="C769" s="1" t="n">
        <v>45905</v>
      </c>
      <c r="D769" t="inlineStr">
        <is>
          <t>VÄSTERBOTTENS LÄN</t>
        </is>
      </c>
      <c r="E769" t="inlineStr">
        <is>
          <t>VILHELMINA</t>
        </is>
      </c>
      <c r="G769" t="n">
        <v>13.6</v>
      </c>
      <c r="H769" t="n">
        <v>0</v>
      </c>
      <c r="I769" t="n">
        <v>0</v>
      </c>
      <c r="J769" t="n">
        <v>0</v>
      </c>
      <c r="K769" t="n">
        <v>0</v>
      </c>
      <c r="L769" t="n">
        <v>0</v>
      </c>
      <c r="M769" t="n">
        <v>0</v>
      </c>
      <c r="N769" t="n">
        <v>0</v>
      </c>
      <c r="O769" t="n">
        <v>0</v>
      </c>
      <c r="P769" t="n">
        <v>0</v>
      </c>
      <c r="Q769" t="n">
        <v>0</v>
      </c>
      <c r="R769" s="2" t="inlineStr"/>
    </row>
    <row r="770" ht="15" customHeight="1">
      <c r="A770" t="inlineStr">
        <is>
          <t>A 38384-2025</t>
        </is>
      </c>
      <c r="B770" s="1" t="n">
        <v>45883</v>
      </c>
      <c r="C770" s="1" t="n">
        <v>45905</v>
      </c>
      <c r="D770" t="inlineStr">
        <is>
          <t>VÄSTERBOTTENS LÄN</t>
        </is>
      </c>
      <c r="E770" t="inlineStr">
        <is>
          <t>VILHELMINA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35886-2025</t>
        </is>
      </c>
      <c r="B771" s="1" t="n">
        <v>45862</v>
      </c>
      <c r="C771" s="1" t="n">
        <v>45905</v>
      </c>
      <c r="D771" t="inlineStr">
        <is>
          <t>VÄSTERBOTTENS LÄN</t>
        </is>
      </c>
      <c r="E771" t="inlineStr">
        <is>
          <t>VILHELMINA</t>
        </is>
      </c>
      <c r="G771" t="n">
        <v>7</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45905</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45905</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45905</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40468-2021</t>
        </is>
      </c>
      <c r="B775" s="1" t="n">
        <v>44419.94174768519</v>
      </c>
      <c r="C775" s="1" t="n">
        <v>45905</v>
      </c>
      <c r="D775" t="inlineStr">
        <is>
          <t>VÄSTERBOTTENS LÄN</t>
        </is>
      </c>
      <c r="E775" t="inlineStr">
        <is>
          <t>VILHELMINA</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55620-2024</t>
        </is>
      </c>
      <c r="B776" s="1" t="n">
        <v>45622</v>
      </c>
      <c r="C776" s="1" t="n">
        <v>45905</v>
      </c>
      <c r="D776" t="inlineStr">
        <is>
          <t>VÄSTERBOTTENS LÄN</t>
        </is>
      </c>
      <c r="E776" t="inlineStr">
        <is>
          <t>VILHELMINA</t>
        </is>
      </c>
      <c r="F776" t="inlineStr">
        <is>
          <t>SCA</t>
        </is>
      </c>
      <c r="G776" t="n">
        <v>21.4</v>
      </c>
      <c r="H776" t="n">
        <v>0</v>
      </c>
      <c r="I776" t="n">
        <v>0</v>
      </c>
      <c r="J776" t="n">
        <v>0</v>
      </c>
      <c r="K776" t="n">
        <v>0</v>
      </c>
      <c r="L776" t="n">
        <v>0</v>
      </c>
      <c r="M776" t="n">
        <v>0</v>
      </c>
      <c r="N776" t="n">
        <v>0</v>
      </c>
      <c r="O776" t="n">
        <v>0</v>
      </c>
      <c r="P776" t="n">
        <v>0</v>
      </c>
      <c r="Q776" t="n">
        <v>0</v>
      </c>
      <c r="R776" s="2" t="inlineStr"/>
    </row>
    <row r="777" ht="15" customHeight="1">
      <c r="A777" t="inlineStr">
        <is>
          <t>A 37320-2021</t>
        </is>
      </c>
      <c r="B777" s="1" t="n">
        <v>44397</v>
      </c>
      <c r="C777" s="1" t="n">
        <v>45905</v>
      </c>
      <c r="D777" t="inlineStr">
        <is>
          <t>VÄSTERBOTTENS LÄN</t>
        </is>
      </c>
      <c r="E777" t="inlineStr">
        <is>
          <t>VILHELMINA</t>
        </is>
      </c>
      <c r="F777" t="inlineStr">
        <is>
          <t>Kommuner</t>
        </is>
      </c>
      <c r="G777" t="n">
        <v>1.2</v>
      </c>
      <c r="H777" t="n">
        <v>0</v>
      </c>
      <c r="I777" t="n">
        <v>0</v>
      </c>
      <c r="J777" t="n">
        <v>0</v>
      </c>
      <c r="K777" t="n">
        <v>0</v>
      </c>
      <c r="L777" t="n">
        <v>0</v>
      </c>
      <c r="M777" t="n">
        <v>0</v>
      </c>
      <c r="N777" t="n">
        <v>0</v>
      </c>
      <c r="O777" t="n">
        <v>0</v>
      </c>
      <c r="P777" t="n">
        <v>0</v>
      </c>
      <c r="Q777" t="n">
        <v>0</v>
      </c>
      <c r="R777" s="2" t="inlineStr"/>
    </row>
    <row r="778" ht="15" customHeight="1">
      <c r="A778" t="inlineStr">
        <is>
          <t>A 41704-2025</t>
        </is>
      </c>
      <c r="B778" s="1" t="n">
        <v>45902</v>
      </c>
      <c r="C778" s="1" t="n">
        <v>45905</v>
      </c>
      <c r="D778" t="inlineStr">
        <is>
          <t>VÄSTERBOTTENS LÄN</t>
        </is>
      </c>
      <c r="E778" t="inlineStr">
        <is>
          <t>VILHELMINA</t>
        </is>
      </c>
      <c r="G778" t="n">
        <v>3.3</v>
      </c>
      <c r="H778" t="n">
        <v>0</v>
      </c>
      <c r="I778" t="n">
        <v>0</v>
      </c>
      <c r="J778" t="n">
        <v>0</v>
      </c>
      <c r="K778" t="n">
        <v>0</v>
      </c>
      <c r="L778" t="n">
        <v>0</v>
      </c>
      <c r="M778" t="n">
        <v>0</v>
      </c>
      <c r="N778" t="n">
        <v>0</v>
      </c>
      <c r="O778" t="n">
        <v>0</v>
      </c>
      <c r="P778" t="n">
        <v>0</v>
      </c>
      <c r="Q778" t="n">
        <v>0</v>
      </c>
      <c r="R778" s="2" t="inlineStr"/>
    </row>
    <row r="779" ht="15" customHeight="1">
      <c r="A779" t="inlineStr">
        <is>
          <t>A 16720-2025</t>
        </is>
      </c>
      <c r="B779" s="1" t="n">
        <v>45754.49039351852</v>
      </c>
      <c r="C779" s="1" t="n">
        <v>45905</v>
      </c>
      <c r="D779" t="inlineStr">
        <is>
          <t>VÄSTERBOTTENS LÄN</t>
        </is>
      </c>
      <c r="E779" t="inlineStr">
        <is>
          <t>VILHELMINA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45905</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45905</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45905</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45905</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402-2023</t>
        </is>
      </c>
      <c r="B784" s="1" t="n">
        <v>44923</v>
      </c>
      <c r="C784" s="1" t="n">
        <v>45905</v>
      </c>
      <c r="D784" t="inlineStr">
        <is>
          <t>VÄSTERBOTTENS LÄN</t>
        </is>
      </c>
      <c r="E784" t="inlineStr">
        <is>
          <t>VILHELMINA</t>
        </is>
      </c>
      <c r="G784" t="n">
        <v>14.7</v>
      </c>
      <c r="H784" t="n">
        <v>0</v>
      </c>
      <c r="I784" t="n">
        <v>0</v>
      </c>
      <c r="J784" t="n">
        <v>0</v>
      </c>
      <c r="K784" t="n">
        <v>0</v>
      </c>
      <c r="L784" t="n">
        <v>0</v>
      </c>
      <c r="M784" t="n">
        <v>0</v>
      </c>
      <c r="N784" t="n">
        <v>0</v>
      </c>
      <c r="O784" t="n">
        <v>0</v>
      </c>
      <c r="P784" t="n">
        <v>0</v>
      </c>
      <c r="Q784" t="n">
        <v>0</v>
      </c>
      <c r="R784" s="2" t="inlineStr"/>
    </row>
    <row r="785" ht="15" customHeight="1">
      <c r="A785" t="inlineStr">
        <is>
          <t>A 6638-2025</t>
        </is>
      </c>
      <c r="B785" s="1" t="n">
        <v>45700</v>
      </c>
      <c r="C785" s="1" t="n">
        <v>45905</v>
      </c>
      <c r="D785" t="inlineStr">
        <is>
          <t>VÄSTERBOTTENS LÄN</t>
        </is>
      </c>
      <c r="E785" t="inlineStr">
        <is>
          <t>VILHELMINA</t>
        </is>
      </c>
      <c r="G785" t="n">
        <v>21.5</v>
      </c>
      <c r="H785" t="n">
        <v>0</v>
      </c>
      <c r="I785" t="n">
        <v>0</v>
      </c>
      <c r="J785" t="n">
        <v>0</v>
      </c>
      <c r="K785" t="n">
        <v>0</v>
      </c>
      <c r="L785" t="n">
        <v>0</v>
      </c>
      <c r="M785" t="n">
        <v>0</v>
      </c>
      <c r="N785" t="n">
        <v>0</v>
      </c>
      <c r="O785" t="n">
        <v>0</v>
      </c>
      <c r="P785" t="n">
        <v>0</v>
      </c>
      <c r="Q785" t="n">
        <v>0</v>
      </c>
      <c r="R785" s="2" t="inlineStr"/>
    </row>
    <row r="786" ht="15" customHeight="1">
      <c r="A786" t="inlineStr">
        <is>
          <t>A 14959-2022</t>
        </is>
      </c>
      <c r="B786" s="1" t="n">
        <v>44657</v>
      </c>
      <c r="C786" s="1" t="n">
        <v>45905</v>
      </c>
      <c r="D786" t="inlineStr">
        <is>
          <t>VÄSTERBOTTENS LÄN</t>
        </is>
      </c>
      <c r="E786" t="inlineStr">
        <is>
          <t>VILHELMINA</t>
        </is>
      </c>
      <c r="G786" t="n">
        <v>71.8</v>
      </c>
      <c r="H786" t="n">
        <v>0</v>
      </c>
      <c r="I786" t="n">
        <v>0</v>
      </c>
      <c r="J786" t="n">
        <v>0</v>
      </c>
      <c r="K786" t="n">
        <v>0</v>
      </c>
      <c r="L786" t="n">
        <v>0</v>
      </c>
      <c r="M786" t="n">
        <v>0</v>
      </c>
      <c r="N786" t="n">
        <v>0</v>
      </c>
      <c r="O786" t="n">
        <v>0</v>
      </c>
      <c r="P786" t="n">
        <v>0</v>
      </c>
      <c r="Q786" t="n">
        <v>0</v>
      </c>
      <c r="R786" s="2" t="inlineStr"/>
    </row>
    <row r="787" ht="15" customHeight="1">
      <c r="A787" t="inlineStr">
        <is>
          <t>A 210-2022</t>
        </is>
      </c>
      <c r="B787" s="1" t="n">
        <v>44564.80189814815</v>
      </c>
      <c r="C787" s="1" t="n">
        <v>45905</v>
      </c>
      <c r="D787" t="inlineStr">
        <is>
          <t>VÄSTERBOTTENS LÄN</t>
        </is>
      </c>
      <c r="E787" t="inlineStr">
        <is>
          <t>VILHELMINA</t>
        </is>
      </c>
      <c r="G787" t="n">
        <v>2</v>
      </c>
      <c r="H787" t="n">
        <v>0</v>
      </c>
      <c r="I787" t="n">
        <v>0</v>
      </c>
      <c r="J787" t="n">
        <v>0</v>
      </c>
      <c r="K787" t="n">
        <v>0</v>
      </c>
      <c r="L787" t="n">
        <v>0</v>
      </c>
      <c r="M787" t="n">
        <v>0</v>
      </c>
      <c r="N787" t="n">
        <v>0</v>
      </c>
      <c r="O787" t="n">
        <v>0</v>
      </c>
      <c r="P787" t="n">
        <v>0</v>
      </c>
      <c r="Q787" t="n">
        <v>0</v>
      </c>
      <c r="R787" s="2" t="inlineStr"/>
    </row>
    <row r="788" ht="15" customHeight="1">
      <c r="A788" t="inlineStr">
        <is>
          <t>A 2187-2021</t>
        </is>
      </c>
      <c r="B788" s="1" t="n">
        <v>44211</v>
      </c>
      <c r="C788" s="1" t="n">
        <v>45905</v>
      </c>
      <c r="D788" t="inlineStr">
        <is>
          <t>VÄSTERBOTTENS LÄN</t>
        </is>
      </c>
      <c r="E788" t="inlineStr">
        <is>
          <t>VILHELMINA</t>
        </is>
      </c>
      <c r="F788" t="inlineStr">
        <is>
          <t>Allmännings- och besparingsskogar</t>
        </is>
      </c>
      <c r="G788" t="n">
        <v>21.3</v>
      </c>
      <c r="H788" t="n">
        <v>0</v>
      </c>
      <c r="I788" t="n">
        <v>0</v>
      </c>
      <c r="J788" t="n">
        <v>0</v>
      </c>
      <c r="K788" t="n">
        <v>0</v>
      </c>
      <c r="L788" t="n">
        <v>0</v>
      </c>
      <c r="M788" t="n">
        <v>0</v>
      </c>
      <c r="N788" t="n">
        <v>0</v>
      </c>
      <c r="O788" t="n">
        <v>0</v>
      </c>
      <c r="P788" t="n">
        <v>0</v>
      </c>
      <c r="Q788" t="n">
        <v>0</v>
      </c>
      <c r="R788" s="2" t="inlineStr"/>
    </row>
    <row r="789" ht="15" customHeight="1">
      <c r="A789" t="inlineStr">
        <is>
          <t>A 12825-2023</t>
        </is>
      </c>
      <c r="B789" s="1" t="n">
        <v>45000</v>
      </c>
      <c r="C789" s="1" t="n">
        <v>45905</v>
      </c>
      <c r="D789" t="inlineStr">
        <is>
          <t>VÄSTERBOTTENS LÄN</t>
        </is>
      </c>
      <c r="E789" t="inlineStr">
        <is>
          <t>VILHELMINA</t>
        </is>
      </c>
      <c r="G789" t="n">
        <v>22.4</v>
      </c>
      <c r="H789" t="n">
        <v>0</v>
      </c>
      <c r="I789" t="n">
        <v>0</v>
      </c>
      <c r="J789" t="n">
        <v>0</v>
      </c>
      <c r="K789" t="n">
        <v>0</v>
      </c>
      <c r="L789" t="n">
        <v>0</v>
      </c>
      <c r="M789" t="n">
        <v>0</v>
      </c>
      <c r="N789" t="n">
        <v>0</v>
      </c>
      <c r="O789" t="n">
        <v>0</v>
      </c>
      <c r="P789" t="n">
        <v>0</v>
      </c>
      <c r="Q789" t="n">
        <v>0</v>
      </c>
      <c r="R789" s="2" t="inlineStr"/>
    </row>
    <row r="790" ht="15" customHeight="1">
      <c r="A790" t="inlineStr">
        <is>
          <t>A 36408-2023</t>
        </is>
      </c>
      <c r="B790" s="1" t="n">
        <v>45152</v>
      </c>
      <c r="C790" s="1" t="n">
        <v>45905</v>
      </c>
      <c r="D790" t="inlineStr">
        <is>
          <t>VÄSTERBOTTENS LÄN</t>
        </is>
      </c>
      <c r="E790" t="inlineStr">
        <is>
          <t>VILHELMINA</t>
        </is>
      </c>
      <c r="G790" t="n">
        <v>4.4</v>
      </c>
      <c r="H790" t="n">
        <v>0</v>
      </c>
      <c r="I790" t="n">
        <v>0</v>
      </c>
      <c r="J790" t="n">
        <v>0</v>
      </c>
      <c r="K790" t="n">
        <v>0</v>
      </c>
      <c r="L790" t="n">
        <v>0</v>
      </c>
      <c r="M790" t="n">
        <v>0</v>
      </c>
      <c r="N790" t="n">
        <v>0</v>
      </c>
      <c r="O790" t="n">
        <v>0</v>
      </c>
      <c r="P790" t="n">
        <v>0</v>
      </c>
      <c r="Q790" t="n">
        <v>0</v>
      </c>
      <c r="R790" s="2" t="inlineStr"/>
    </row>
    <row r="791" ht="15" customHeight="1">
      <c r="A791" t="inlineStr">
        <is>
          <t>A 57108-2023</t>
        </is>
      </c>
      <c r="B791" s="1" t="n">
        <v>45239</v>
      </c>
      <c r="C791" s="1" t="n">
        <v>45905</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38555-2024</t>
        </is>
      </c>
      <c r="B792" s="1" t="n">
        <v>45546</v>
      </c>
      <c r="C792" s="1" t="n">
        <v>45905</v>
      </c>
      <c r="D792" t="inlineStr">
        <is>
          <t>VÄSTERBOTTENS LÄN</t>
        </is>
      </c>
      <c r="E792" t="inlineStr">
        <is>
          <t>VILHELMINA</t>
        </is>
      </c>
      <c r="G792" t="n">
        <v>7.8</v>
      </c>
      <c r="H792" t="n">
        <v>0</v>
      </c>
      <c r="I792" t="n">
        <v>0</v>
      </c>
      <c r="J792" t="n">
        <v>0</v>
      </c>
      <c r="K792" t="n">
        <v>0</v>
      </c>
      <c r="L792" t="n">
        <v>0</v>
      </c>
      <c r="M792" t="n">
        <v>0</v>
      </c>
      <c r="N792" t="n">
        <v>0</v>
      </c>
      <c r="O792" t="n">
        <v>0</v>
      </c>
      <c r="P792" t="n">
        <v>0</v>
      </c>
      <c r="Q792" t="n">
        <v>0</v>
      </c>
      <c r="R792" s="2" t="inlineStr"/>
    </row>
    <row r="793" ht="15" customHeight="1">
      <c r="A793" t="inlineStr">
        <is>
          <t>A 19349-2024</t>
        </is>
      </c>
      <c r="B793" s="1" t="n">
        <v>45428.97231481481</v>
      </c>
      <c r="C793" s="1" t="n">
        <v>45905</v>
      </c>
      <c r="D793" t="inlineStr">
        <is>
          <t>VÄSTERBOTTENS LÄN</t>
        </is>
      </c>
      <c r="E793" t="inlineStr">
        <is>
          <t>VILHELMINA</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61778-2023</t>
        </is>
      </c>
      <c r="B794" s="1" t="n">
        <v>45265.95667824074</v>
      </c>
      <c r="C794" s="1" t="n">
        <v>45905</v>
      </c>
      <c r="D794" t="inlineStr">
        <is>
          <t>VÄSTERBOTTENS LÄN</t>
        </is>
      </c>
      <c r="E794" t="inlineStr">
        <is>
          <t>VILHELMINA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29104-2024</t>
        </is>
      </c>
      <c r="B795" s="1" t="n">
        <v>45481.95178240741</v>
      </c>
      <c r="C795" s="1" t="n">
        <v>45905</v>
      </c>
      <c r="D795" t="inlineStr">
        <is>
          <t>VÄSTERBOTTENS LÄN</t>
        </is>
      </c>
      <c r="E795" t="inlineStr">
        <is>
          <t>VILHELMINA</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18692-2023</t>
        </is>
      </c>
      <c r="B796" s="1" t="n">
        <v>45042</v>
      </c>
      <c r="C796" s="1" t="n">
        <v>45905</v>
      </c>
      <c r="D796" t="inlineStr">
        <is>
          <t>VÄSTERBOTTENS LÄN</t>
        </is>
      </c>
      <c r="E796" t="inlineStr">
        <is>
          <t>VILHELMINA</t>
        </is>
      </c>
      <c r="F796" t="inlineStr">
        <is>
          <t>Allmännings- och besparingsskogar</t>
        </is>
      </c>
      <c r="G796" t="n">
        <v>0.6</v>
      </c>
      <c r="H796" t="n">
        <v>0</v>
      </c>
      <c r="I796" t="n">
        <v>0</v>
      </c>
      <c r="J796" t="n">
        <v>0</v>
      </c>
      <c r="K796" t="n">
        <v>0</v>
      </c>
      <c r="L796" t="n">
        <v>0</v>
      </c>
      <c r="M796" t="n">
        <v>0</v>
      </c>
      <c r="N796" t="n">
        <v>0</v>
      </c>
      <c r="O796" t="n">
        <v>0</v>
      </c>
      <c r="P796" t="n">
        <v>0</v>
      </c>
      <c r="Q796" t="n">
        <v>0</v>
      </c>
      <c r="R796" s="2" t="inlineStr"/>
    </row>
    <row r="797" ht="15" customHeight="1">
      <c r="A797" t="inlineStr">
        <is>
          <t>A 58363-2021</t>
        </is>
      </c>
      <c r="B797" s="1" t="n">
        <v>44488</v>
      </c>
      <c r="C797" s="1" t="n">
        <v>45905</v>
      </c>
      <c r="D797" t="inlineStr">
        <is>
          <t>VÄSTERBOTTENS LÄN</t>
        </is>
      </c>
      <c r="E797" t="inlineStr">
        <is>
          <t>VILHELMINA</t>
        </is>
      </c>
      <c r="G797" t="n">
        <v>7.3</v>
      </c>
      <c r="H797" t="n">
        <v>0</v>
      </c>
      <c r="I797" t="n">
        <v>0</v>
      </c>
      <c r="J797" t="n">
        <v>0</v>
      </c>
      <c r="K797" t="n">
        <v>0</v>
      </c>
      <c r="L797" t="n">
        <v>0</v>
      </c>
      <c r="M797" t="n">
        <v>0</v>
      </c>
      <c r="N797" t="n">
        <v>0</v>
      </c>
      <c r="O797" t="n">
        <v>0</v>
      </c>
      <c r="P797" t="n">
        <v>0</v>
      </c>
      <c r="Q797" t="n">
        <v>0</v>
      </c>
      <c r="R797" s="2" t="inlineStr"/>
    </row>
    <row r="798" ht="15" customHeight="1">
      <c r="A798" t="inlineStr">
        <is>
          <t>A 53034-2023</t>
        </is>
      </c>
      <c r="B798" s="1" t="n">
        <v>45226.96258101852</v>
      </c>
      <c r="C798" s="1" t="n">
        <v>45905</v>
      </c>
      <c r="D798" t="inlineStr">
        <is>
          <t>VÄSTERBOTTENS LÄN</t>
        </is>
      </c>
      <c r="E798" t="inlineStr">
        <is>
          <t>VILHELMINA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46164-2023</t>
        </is>
      </c>
      <c r="B799" s="1" t="n">
        <v>45190</v>
      </c>
      <c r="C799" s="1" t="n">
        <v>45905</v>
      </c>
      <c r="D799" t="inlineStr">
        <is>
          <t>VÄSTERBOTTENS LÄN</t>
        </is>
      </c>
      <c r="E799" t="inlineStr">
        <is>
          <t>VILHELMINA</t>
        </is>
      </c>
      <c r="G799" t="n">
        <v>6.3</v>
      </c>
      <c r="H799" t="n">
        <v>0</v>
      </c>
      <c r="I799" t="n">
        <v>0</v>
      </c>
      <c r="J799" t="n">
        <v>0</v>
      </c>
      <c r="K799" t="n">
        <v>0</v>
      </c>
      <c r="L799" t="n">
        <v>0</v>
      </c>
      <c r="M799" t="n">
        <v>0</v>
      </c>
      <c r="N799" t="n">
        <v>0</v>
      </c>
      <c r="O799" t="n">
        <v>0</v>
      </c>
      <c r="P799" t="n">
        <v>0</v>
      </c>
      <c r="Q799" t="n">
        <v>0</v>
      </c>
      <c r="R799" s="2" t="inlineStr"/>
    </row>
    <row r="800" ht="15" customHeight="1">
      <c r="A800" t="inlineStr">
        <is>
          <t>A 8750-2021</t>
        </is>
      </c>
      <c r="B800" s="1" t="n">
        <v>44246</v>
      </c>
      <c r="C800" s="1" t="n">
        <v>45905</v>
      </c>
      <c r="D800" t="inlineStr">
        <is>
          <t>VÄSTERBOTTENS LÄN</t>
        </is>
      </c>
      <c r="E800" t="inlineStr">
        <is>
          <t>VILHELMINA</t>
        </is>
      </c>
      <c r="G800" t="n">
        <v>5.2</v>
      </c>
      <c r="H800" t="n">
        <v>0</v>
      </c>
      <c r="I800" t="n">
        <v>0</v>
      </c>
      <c r="J800" t="n">
        <v>0</v>
      </c>
      <c r="K800" t="n">
        <v>0</v>
      </c>
      <c r="L800" t="n">
        <v>0</v>
      </c>
      <c r="M800" t="n">
        <v>0</v>
      </c>
      <c r="N800" t="n">
        <v>0</v>
      </c>
      <c r="O800" t="n">
        <v>0</v>
      </c>
      <c r="P800" t="n">
        <v>0</v>
      </c>
      <c r="Q800" t="n">
        <v>0</v>
      </c>
      <c r="R800" s="2" t="inlineStr"/>
    </row>
    <row r="801" ht="15" customHeight="1">
      <c r="A801" t="inlineStr">
        <is>
          <t>A 47193-2020</t>
        </is>
      </c>
      <c r="B801" s="1" t="n">
        <v>44097</v>
      </c>
      <c r="C801" s="1" t="n">
        <v>45905</v>
      </c>
      <c r="D801" t="inlineStr">
        <is>
          <t>VÄSTERBOTTENS LÄN</t>
        </is>
      </c>
      <c r="E801" t="inlineStr">
        <is>
          <t>VILHELMINA</t>
        </is>
      </c>
      <c r="G801" t="n">
        <v>6.8</v>
      </c>
      <c r="H801" t="n">
        <v>0</v>
      </c>
      <c r="I801" t="n">
        <v>0</v>
      </c>
      <c r="J801" t="n">
        <v>0</v>
      </c>
      <c r="K801" t="n">
        <v>0</v>
      </c>
      <c r="L801" t="n">
        <v>0</v>
      </c>
      <c r="M801" t="n">
        <v>0</v>
      </c>
      <c r="N801" t="n">
        <v>0</v>
      </c>
      <c r="O801" t="n">
        <v>0</v>
      </c>
      <c r="P801" t="n">
        <v>0</v>
      </c>
      <c r="Q801" t="n">
        <v>0</v>
      </c>
      <c r="R801" s="2" t="inlineStr"/>
    </row>
    <row r="802" ht="15" customHeight="1">
      <c r="A802" t="inlineStr">
        <is>
          <t>A 6706-2021</t>
        </is>
      </c>
      <c r="B802" s="1" t="n">
        <v>44235</v>
      </c>
      <c r="C802" s="1" t="n">
        <v>45905</v>
      </c>
      <c r="D802" t="inlineStr">
        <is>
          <t>VÄSTERBOTTENS LÄN</t>
        </is>
      </c>
      <c r="E802" t="inlineStr">
        <is>
          <t>VILHELMINA</t>
        </is>
      </c>
      <c r="G802" t="n">
        <v>3.8</v>
      </c>
      <c r="H802" t="n">
        <v>0</v>
      </c>
      <c r="I802" t="n">
        <v>0</v>
      </c>
      <c r="J802" t="n">
        <v>0</v>
      </c>
      <c r="K802" t="n">
        <v>0</v>
      </c>
      <c r="L802" t="n">
        <v>0</v>
      </c>
      <c r="M802" t="n">
        <v>0</v>
      </c>
      <c r="N802" t="n">
        <v>0</v>
      </c>
      <c r="O802" t="n">
        <v>0</v>
      </c>
      <c r="P802" t="n">
        <v>0</v>
      </c>
      <c r="Q802" t="n">
        <v>0</v>
      </c>
      <c r="R802" s="2" t="inlineStr"/>
    </row>
    <row r="803" ht="15" customHeight="1">
      <c r="A803" t="inlineStr">
        <is>
          <t>A 53606-2024</t>
        </is>
      </c>
      <c r="B803" s="1" t="n">
        <v>45614</v>
      </c>
      <c r="C803" s="1" t="n">
        <v>45905</v>
      </c>
      <c r="D803" t="inlineStr">
        <is>
          <t>VÄSTERBOTTENS LÄN</t>
        </is>
      </c>
      <c r="E803" t="inlineStr">
        <is>
          <t>VILHELMINA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33786-2024</t>
        </is>
      </c>
      <c r="B804" s="1" t="n">
        <v>45520.58966435185</v>
      </c>
      <c r="C804" s="1" t="n">
        <v>45905</v>
      </c>
      <c r="D804" t="inlineStr">
        <is>
          <t>VÄSTERBOTTENS LÄN</t>
        </is>
      </c>
      <c r="E804" t="inlineStr">
        <is>
          <t>VILHELMINA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28869-2024</t>
        </is>
      </c>
      <c r="B805" s="1" t="n">
        <v>45478.94722222222</v>
      </c>
      <c r="C805" s="1" t="n">
        <v>45905</v>
      </c>
      <c r="D805" t="inlineStr">
        <is>
          <t>VÄSTERBOTTENS LÄN</t>
        </is>
      </c>
      <c r="E805" t="inlineStr">
        <is>
          <t>VILHELMINA</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50505-2023</t>
        </is>
      </c>
      <c r="B806" s="1" t="n">
        <v>45216.95800925926</v>
      </c>
      <c r="C806" s="1" t="n">
        <v>45905</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6369-2024</t>
        </is>
      </c>
      <c r="B807" s="1" t="n">
        <v>45338</v>
      </c>
      <c r="C807" s="1" t="n">
        <v>45905</v>
      </c>
      <c r="D807" t="inlineStr">
        <is>
          <t>VÄSTERBOTTENS LÄN</t>
        </is>
      </c>
      <c r="E807" t="inlineStr">
        <is>
          <t>VILHELMINA</t>
        </is>
      </c>
      <c r="G807" t="n">
        <v>3.6</v>
      </c>
      <c r="H807" t="n">
        <v>0</v>
      </c>
      <c r="I807" t="n">
        <v>0</v>
      </c>
      <c r="J807" t="n">
        <v>0</v>
      </c>
      <c r="K807" t="n">
        <v>0</v>
      </c>
      <c r="L807" t="n">
        <v>0</v>
      </c>
      <c r="M807" t="n">
        <v>0</v>
      </c>
      <c r="N807" t="n">
        <v>0</v>
      </c>
      <c r="O807" t="n">
        <v>0</v>
      </c>
      <c r="P807" t="n">
        <v>0</v>
      </c>
      <c r="Q807" t="n">
        <v>0</v>
      </c>
      <c r="R807" s="2" t="inlineStr"/>
    </row>
    <row r="808" ht="15" customHeight="1">
      <c r="A808" t="inlineStr">
        <is>
          <t>A 25102-2021</t>
        </is>
      </c>
      <c r="B808" s="1" t="n">
        <v>44341</v>
      </c>
      <c r="C808" s="1" t="n">
        <v>45905</v>
      </c>
      <c r="D808" t="inlineStr">
        <is>
          <t>VÄSTERBOTTENS LÄN</t>
        </is>
      </c>
      <c r="E808" t="inlineStr">
        <is>
          <t>VILHELMINA</t>
        </is>
      </c>
      <c r="G808" t="n">
        <v>6.7</v>
      </c>
      <c r="H808" t="n">
        <v>0</v>
      </c>
      <c r="I808" t="n">
        <v>0</v>
      </c>
      <c r="J808" t="n">
        <v>0</v>
      </c>
      <c r="K808" t="n">
        <v>0</v>
      </c>
      <c r="L808" t="n">
        <v>0</v>
      </c>
      <c r="M808" t="n">
        <v>0</v>
      </c>
      <c r="N808" t="n">
        <v>0</v>
      </c>
      <c r="O808" t="n">
        <v>0</v>
      </c>
      <c r="P808" t="n">
        <v>0</v>
      </c>
      <c r="Q808" t="n">
        <v>0</v>
      </c>
      <c r="R808" s="2" t="inlineStr"/>
    </row>
    <row r="809" ht="15" customHeight="1">
      <c r="A809" t="inlineStr">
        <is>
          <t>A 20322-2022</t>
        </is>
      </c>
      <c r="B809" s="1" t="n">
        <v>44698</v>
      </c>
      <c r="C809" s="1" t="n">
        <v>45905</v>
      </c>
      <c r="D809" t="inlineStr">
        <is>
          <t>VÄSTERBOTTENS LÄN</t>
        </is>
      </c>
      <c r="E809" t="inlineStr">
        <is>
          <t>VILHELMINA</t>
        </is>
      </c>
      <c r="G809" t="n">
        <v>10.5</v>
      </c>
      <c r="H809" t="n">
        <v>0</v>
      </c>
      <c r="I809" t="n">
        <v>0</v>
      </c>
      <c r="J809" t="n">
        <v>0</v>
      </c>
      <c r="K809" t="n">
        <v>0</v>
      </c>
      <c r="L809" t="n">
        <v>0</v>
      </c>
      <c r="M809" t="n">
        <v>0</v>
      </c>
      <c r="N809" t="n">
        <v>0</v>
      </c>
      <c r="O809" t="n">
        <v>0</v>
      </c>
      <c r="P809" t="n">
        <v>0</v>
      </c>
      <c r="Q809" t="n">
        <v>0</v>
      </c>
      <c r="R809" s="2" t="inlineStr"/>
    </row>
    <row r="810" ht="15" customHeight="1">
      <c r="A810" t="inlineStr">
        <is>
          <t>A 1470-2021</t>
        </is>
      </c>
      <c r="B810" s="1" t="n">
        <v>44208</v>
      </c>
      <c r="C810" s="1" t="n">
        <v>45905</v>
      </c>
      <c r="D810" t="inlineStr">
        <is>
          <t>VÄSTERBOTTENS LÄN</t>
        </is>
      </c>
      <c r="E810" t="inlineStr">
        <is>
          <t>VILHELMINA</t>
        </is>
      </c>
      <c r="F810" t="inlineStr">
        <is>
          <t>SCA</t>
        </is>
      </c>
      <c r="G810" t="n">
        <v>4.6</v>
      </c>
      <c r="H810" t="n">
        <v>0</v>
      </c>
      <c r="I810" t="n">
        <v>0</v>
      </c>
      <c r="J810" t="n">
        <v>0</v>
      </c>
      <c r="K810" t="n">
        <v>0</v>
      </c>
      <c r="L810" t="n">
        <v>0</v>
      </c>
      <c r="M810" t="n">
        <v>0</v>
      </c>
      <c r="N810" t="n">
        <v>0</v>
      </c>
      <c r="O810" t="n">
        <v>0</v>
      </c>
      <c r="P810" t="n">
        <v>0</v>
      </c>
      <c r="Q810" t="n">
        <v>0</v>
      </c>
      <c r="R810" s="2" t="inlineStr"/>
    </row>
    <row r="811" ht="15" customHeight="1">
      <c r="A811" t="inlineStr">
        <is>
          <t>A 2742-2023</t>
        </is>
      </c>
      <c r="B811" s="1" t="n">
        <v>44943</v>
      </c>
      <c r="C811" s="1" t="n">
        <v>45905</v>
      </c>
      <c r="D811" t="inlineStr">
        <is>
          <t>VÄSTERBOTTENS LÄN</t>
        </is>
      </c>
      <c r="E811" t="inlineStr">
        <is>
          <t>VILHELMINA</t>
        </is>
      </c>
      <c r="G811" t="n">
        <v>34.8</v>
      </c>
      <c r="H811" t="n">
        <v>0</v>
      </c>
      <c r="I811" t="n">
        <v>0</v>
      </c>
      <c r="J811" t="n">
        <v>0</v>
      </c>
      <c r="K811" t="n">
        <v>0</v>
      </c>
      <c r="L811" t="n">
        <v>0</v>
      </c>
      <c r="M811" t="n">
        <v>0</v>
      </c>
      <c r="N811" t="n">
        <v>0</v>
      </c>
      <c r="O811" t="n">
        <v>0</v>
      </c>
      <c r="P811" t="n">
        <v>0</v>
      </c>
      <c r="Q811" t="n">
        <v>0</v>
      </c>
      <c r="R811" s="2" t="inlineStr"/>
    </row>
    <row r="812" ht="15" customHeight="1">
      <c r="A812" t="inlineStr">
        <is>
          <t>A 26947-2024</t>
        </is>
      </c>
      <c r="B812" s="1" t="n">
        <v>45470.9693287037</v>
      </c>
      <c r="C812" s="1" t="n">
        <v>45905</v>
      </c>
      <c r="D812" t="inlineStr">
        <is>
          <t>VÄSTERBOTTENS LÄN</t>
        </is>
      </c>
      <c r="E812" t="inlineStr">
        <is>
          <t>VILHELMINA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26557-2023</t>
        </is>
      </c>
      <c r="B813" s="1" t="n">
        <v>45089</v>
      </c>
      <c r="C813" s="1" t="n">
        <v>45905</v>
      </c>
      <c r="D813" t="inlineStr">
        <is>
          <t>VÄSTERBOTTENS LÄN</t>
        </is>
      </c>
      <c r="E813" t="inlineStr">
        <is>
          <t>VILHELMINA</t>
        </is>
      </c>
      <c r="G813" t="n">
        <v>0.5</v>
      </c>
      <c r="H813" t="n">
        <v>0</v>
      </c>
      <c r="I813" t="n">
        <v>0</v>
      </c>
      <c r="J813" t="n">
        <v>0</v>
      </c>
      <c r="K813" t="n">
        <v>0</v>
      </c>
      <c r="L813" t="n">
        <v>0</v>
      </c>
      <c r="M813" t="n">
        <v>0</v>
      </c>
      <c r="N813" t="n">
        <v>0</v>
      </c>
      <c r="O813" t="n">
        <v>0</v>
      </c>
      <c r="P813" t="n">
        <v>0</v>
      </c>
      <c r="Q813" t="n">
        <v>0</v>
      </c>
      <c r="R813" s="2" t="inlineStr"/>
    </row>
    <row r="814" ht="15" customHeight="1">
      <c r="A814" t="inlineStr">
        <is>
          <t>A 36957-2023</t>
        </is>
      </c>
      <c r="B814" s="1" t="n">
        <v>45154.92628472222</v>
      </c>
      <c r="C814" s="1" t="n">
        <v>45905</v>
      </c>
      <c r="D814" t="inlineStr">
        <is>
          <t>VÄSTERBOTTENS LÄN</t>
        </is>
      </c>
      <c r="E814" t="inlineStr">
        <is>
          <t>VILHELMINA</t>
        </is>
      </c>
      <c r="G814" t="n">
        <v>0.5</v>
      </c>
      <c r="H814" t="n">
        <v>0</v>
      </c>
      <c r="I814" t="n">
        <v>0</v>
      </c>
      <c r="J814" t="n">
        <v>0</v>
      </c>
      <c r="K814" t="n">
        <v>0</v>
      </c>
      <c r="L814" t="n">
        <v>0</v>
      </c>
      <c r="M814" t="n">
        <v>0</v>
      </c>
      <c r="N814" t="n">
        <v>0</v>
      </c>
      <c r="O814" t="n">
        <v>0</v>
      </c>
      <c r="P814" t="n">
        <v>0</v>
      </c>
      <c r="Q814" t="n">
        <v>0</v>
      </c>
      <c r="R814" s="2" t="inlineStr"/>
    </row>
    <row r="815" ht="15" customHeight="1">
      <c r="A815" t="inlineStr">
        <is>
          <t>A 19397-2023</t>
        </is>
      </c>
      <c r="B815" s="1" t="n">
        <v>45048</v>
      </c>
      <c r="C815" s="1" t="n">
        <v>45905</v>
      </c>
      <c r="D815" t="inlineStr">
        <is>
          <t>VÄSTERBOTTENS LÄN</t>
        </is>
      </c>
      <c r="E815" t="inlineStr">
        <is>
          <t>VILHELMINA</t>
        </is>
      </c>
      <c r="G815" t="n">
        <v>12.8</v>
      </c>
      <c r="H815" t="n">
        <v>0</v>
      </c>
      <c r="I815" t="n">
        <v>0</v>
      </c>
      <c r="J815" t="n">
        <v>0</v>
      </c>
      <c r="K815" t="n">
        <v>0</v>
      </c>
      <c r="L815" t="n">
        <v>0</v>
      </c>
      <c r="M815" t="n">
        <v>0</v>
      </c>
      <c r="N815" t="n">
        <v>0</v>
      </c>
      <c r="O815" t="n">
        <v>0</v>
      </c>
      <c r="P815" t="n">
        <v>0</v>
      </c>
      <c r="Q815" t="n">
        <v>0</v>
      </c>
      <c r="R815" s="2" t="inlineStr"/>
    </row>
    <row r="816" ht="15" customHeight="1">
      <c r="A816" t="inlineStr">
        <is>
          <t>A 12784-2023</t>
        </is>
      </c>
      <c r="B816" s="1" t="n">
        <v>45000</v>
      </c>
      <c r="C816" s="1" t="n">
        <v>45905</v>
      </c>
      <c r="D816" t="inlineStr">
        <is>
          <t>VÄSTERBOTTENS LÄN</t>
        </is>
      </c>
      <c r="E816" t="inlineStr">
        <is>
          <t>VILHELMINA</t>
        </is>
      </c>
      <c r="G816" t="n">
        <v>18.6</v>
      </c>
      <c r="H816" t="n">
        <v>0</v>
      </c>
      <c r="I816" t="n">
        <v>0</v>
      </c>
      <c r="J816" t="n">
        <v>0</v>
      </c>
      <c r="K816" t="n">
        <v>0</v>
      </c>
      <c r="L816" t="n">
        <v>0</v>
      </c>
      <c r="M816" t="n">
        <v>0</v>
      </c>
      <c r="N816" t="n">
        <v>0</v>
      </c>
      <c r="O816" t="n">
        <v>0</v>
      </c>
      <c r="P816" t="n">
        <v>0</v>
      </c>
      <c r="Q816" t="n">
        <v>0</v>
      </c>
      <c r="R816" s="2" t="inlineStr"/>
    </row>
    <row r="817" ht="15" customHeight="1">
      <c r="A817" t="inlineStr">
        <is>
          <t>A 5947-2023</t>
        </is>
      </c>
      <c r="B817" s="1" t="n">
        <v>44963.92259259259</v>
      </c>
      <c r="C817" s="1" t="n">
        <v>45905</v>
      </c>
      <c r="D817" t="inlineStr">
        <is>
          <t>VÄSTERBOTTENS LÄN</t>
        </is>
      </c>
      <c r="E817" t="inlineStr">
        <is>
          <t>VILHELMINA</t>
        </is>
      </c>
      <c r="G817" t="n">
        <v>4.3</v>
      </c>
      <c r="H817" t="n">
        <v>0</v>
      </c>
      <c r="I817" t="n">
        <v>0</v>
      </c>
      <c r="J817" t="n">
        <v>0</v>
      </c>
      <c r="K817" t="n">
        <v>0</v>
      </c>
      <c r="L817" t="n">
        <v>0</v>
      </c>
      <c r="M817" t="n">
        <v>0</v>
      </c>
      <c r="N817" t="n">
        <v>0</v>
      </c>
      <c r="O817" t="n">
        <v>0</v>
      </c>
      <c r="P817" t="n">
        <v>0</v>
      </c>
      <c r="Q817" t="n">
        <v>0</v>
      </c>
      <c r="R817" s="2" t="inlineStr"/>
    </row>
    <row r="818" ht="15" customHeight="1">
      <c r="A818" t="inlineStr">
        <is>
          <t>A 65179-2021</t>
        </is>
      </c>
      <c r="B818" s="1" t="n">
        <v>44515</v>
      </c>
      <c r="C818" s="1" t="n">
        <v>45905</v>
      </c>
      <c r="D818" t="inlineStr">
        <is>
          <t>VÄSTERBOTTENS LÄN</t>
        </is>
      </c>
      <c r="E818" t="inlineStr">
        <is>
          <t>VILHELMINA</t>
        </is>
      </c>
      <c r="G818" t="n">
        <v>8</v>
      </c>
      <c r="H818" t="n">
        <v>0</v>
      </c>
      <c r="I818" t="n">
        <v>0</v>
      </c>
      <c r="J818" t="n">
        <v>0</v>
      </c>
      <c r="K818" t="n">
        <v>0</v>
      </c>
      <c r="L818" t="n">
        <v>0</v>
      </c>
      <c r="M818" t="n">
        <v>0</v>
      </c>
      <c r="N818" t="n">
        <v>0</v>
      </c>
      <c r="O818" t="n">
        <v>0</v>
      </c>
      <c r="P818" t="n">
        <v>0</v>
      </c>
      <c r="Q818" t="n">
        <v>0</v>
      </c>
      <c r="R818" s="2" t="inlineStr"/>
    </row>
    <row r="819" ht="15" customHeight="1">
      <c r="A819" t="inlineStr">
        <is>
          <t>A 26499-2024</t>
        </is>
      </c>
      <c r="B819" s="1" t="n">
        <v>45469</v>
      </c>
      <c r="C819" s="1" t="n">
        <v>45905</v>
      </c>
      <c r="D819" t="inlineStr">
        <is>
          <t>VÄSTERBOTTENS LÄN</t>
        </is>
      </c>
      <c r="E819" t="inlineStr">
        <is>
          <t>VILHELMINA</t>
        </is>
      </c>
      <c r="F819" t="inlineStr">
        <is>
          <t>Sveaskog</t>
        </is>
      </c>
      <c r="G819" t="n">
        <v>5.1</v>
      </c>
      <c r="H819" t="n">
        <v>0</v>
      </c>
      <c r="I819" t="n">
        <v>0</v>
      </c>
      <c r="J819" t="n">
        <v>0</v>
      </c>
      <c r="K819" t="n">
        <v>0</v>
      </c>
      <c r="L819" t="n">
        <v>0</v>
      </c>
      <c r="M819" t="n">
        <v>0</v>
      </c>
      <c r="N819" t="n">
        <v>0</v>
      </c>
      <c r="O819" t="n">
        <v>0</v>
      </c>
      <c r="P819" t="n">
        <v>0</v>
      </c>
      <c r="Q819" t="n">
        <v>0</v>
      </c>
      <c r="R819" s="2" t="inlineStr"/>
    </row>
    <row r="820" ht="15" customHeight="1">
      <c r="A820" t="inlineStr">
        <is>
          <t>A 8745-2023</t>
        </is>
      </c>
      <c r="B820" s="1" t="n">
        <v>44972</v>
      </c>
      <c r="C820" s="1" t="n">
        <v>45905</v>
      </c>
      <c r="D820" t="inlineStr">
        <is>
          <t>VÄSTERBOTTENS LÄN</t>
        </is>
      </c>
      <c r="E820" t="inlineStr">
        <is>
          <t>VILHELMINA</t>
        </is>
      </c>
      <c r="F820" t="inlineStr">
        <is>
          <t>Allmännings- och besparingsskogar</t>
        </is>
      </c>
      <c r="G820" t="n">
        <v>41</v>
      </c>
      <c r="H820" t="n">
        <v>0</v>
      </c>
      <c r="I820" t="n">
        <v>0</v>
      </c>
      <c r="J820" t="n">
        <v>0</v>
      </c>
      <c r="K820" t="n">
        <v>0</v>
      </c>
      <c r="L820" t="n">
        <v>0</v>
      </c>
      <c r="M820" t="n">
        <v>0</v>
      </c>
      <c r="N820" t="n">
        <v>0</v>
      </c>
      <c r="O820" t="n">
        <v>0</v>
      </c>
      <c r="P820" t="n">
        <v>0</v>
      </c>
      <c r="Q820" t="n">
        <v>0</v>
      </c>
      <c r="R820" s="2" t="inlineStr"/>
    </row>
    <row r="821" ht="15" customHeight="1">
      <c r="A821" t="inlineStr">
        <is>
          <t>A 16719-2025</t>
        </is>
      </c>
      <c r="B821" s="1" t="n">
        <v>45754.49008101852</v>
      </c>
      <c r="C821" s="1" t="n">
        <v>45905</v>
      </c>
      <c r="D821" t="inlineStr">
        <is>
          <t>VÄSTERBOTTENS LÄN</t>
        </is>
      </c>
      <c r="E821" t="inlineStr">
        <is>
          <t>VILHELMINA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37325-2022</t>
        </is>
      </c>
      <c r="B822" s="1" t="n">
        <v>44806</v>
      </c>
      <c r="C822" s="1" t="n">
        <v>45905</v>
      </c>
      <c r="D822" t="inlineStr">
        <is>
          <t>VÄSTERBOTTENS LÄN</t>
        </is>
      </c>
      <c r="E822" t="inlineStr">
        <is>
          <t>VILHELMINA</t>
        </is>
      </c>
      <c r="F822" t="inlineStr">
        <is>
          <t>Övriga statliga verk och myndigheter</t>
        </is>
      </c>
      <c r="G822" t="n">
        <v>11</v>
      </c>
      <c r="H822" t="n">
        <v>0</v>
      </c>
      <c r="I822" t="n">
        <v>0</v>
      </c>
      <c r="J822" t="n">
        <v>0</v>
      </c>
      <c r="K822" t="n">
        <v>0</v>
      </c>
      <c r="L822" t="n">
        <v>0</v>
      </c>
      <c r="M822" t="n">
        <v>0</v>
      </c>
      <c r="N822" t="n">
        <v>0</v>
      </c>
      <c r="O822" t="n">
        <v>0</v>
      </c>
      <c r="P822" t="n">
        <v>0</v>
      </c>
      <c r="Q822" t="n">
        <v>0</v>
      </c>
      <c r="R822" s="2" t="inlineStr"/>
    </row>
    <row r="823" ht="15" customHeight="1">
      <c r="A823" t="inlineStr">
        <is>
          <t>A 8733-2023</t>
        </is>
      </c>
      <c r="B823" s="1" t="n">
        <v>44972</v>
      </c>
      <c r="C823" s="1" t="n">
        <v>45905</v>
      </c>
      <c r="D823" t="inlineStr">
        <is>
          <t>VÄSTERBOTTENS LÄN</t>
        </is>
      </c>
      <c r="E823" t="inlineStr">
        <is>
          <t>VILHELMINA</t>
        </is>
      </c>
      <c r="F823" t="inlineStr">
        <is>
          <t>Allmännings- och besparingsskogar</t>
        </is>
      </c>
      <c r="G823" t="n">
        <v>20</v>
      </c>
      <c r="H823" t="n">
        <v>0</v>
      </c>
      <c r="I823" t="n">
        <v>0</v>
      </c>
      <c r="J823" t="n">
        <v>0</v>
      </c>
      <c r="K823" t="n">
        <v>0</v>
      </c>
      <c r="L823" t="n">
        <v>0</v>
      </c>
      <c r="M823" t="n">
        <v>0</v>
      </c>
      <c r="N823" t="n">
        <v>0</v>
      </c>
      <c r="O823" t="n">
        <v>0</v>
      </c>
      <c r="P823" t="n">
        <v>0</v>
      </c>
      <c r="Q823" t="n">
        <v>0</v>
      </c>
      <c r="R823" s="2" t="inlineStr"/>
    </row>
    <row r="824" ht="15" customHeight="1">
      <c r="A824" t="inlineStr">
        <is>
          <t>A 8759-2023</t>
        </is>
      </c>
      <c r="B824" s="1" t="n">
        <v>44972</v>
      </c>
      <c r="C824" s="1" t="n">
        <v>45905</v>
      </c>
      <c r="D824" t="inlineStr">
        <is>
          <t>VÄSTERBOTTENS LÄN</t>
        </is>
      </c>
      <c r="E824" t="inlineStr">
        <is>
          <t>VILHELMINA</t>
        </is>
      </c>
      <c r="F824" t="inlineStr">
        <is>
          <t>Allmännings- och besparingsskogar</t>
        </is>
      </c>
      <c r="G824" t="n">
        <v>23.4</v>
      </c>
      <c r="H824" t="n">
        <v>0</v>
      </c>
      <c r="I824" t="n">
        <v>0</v>
      </c>
      <c r="J824" t="n">
        <v>0</v>
      </c>
      <c r="K824" t="n">
        <v>0</v>
      </c>
      <c r="L824" t="n">
        <v>0</v>
      </c>
      <c r="M824" t="n">
        <v>0</v>
      </c>
      <c r="N824" t="n">
        <v>0</v>
      </c>
      <c r="O824" t="n">
        <v>0</v>
      </c>
      <c r="P824" t="n">
        <v>0</v>
      </c>
      <c r="Q824" t="n">
        <v>0</v>
      </c>
      <c r="R824" s="2" t="inlineStr"/>
    </row>
    <row r="825" ht="15" customHeight="1">
      <c r="A825" t="inlineStr">
        <is>
          <t>A 59693-2024</t>
        </is>
      </c>
      <c r="B825" s="1" t="n">
        <v>45639</v>
      </c>
      <c r="C825" s="1" t="n">
        <v>45905</v>
      </c>
      <c r="D825" t="inlineStr">
        <is>
          <t>VÄSTERBOTTENS LÄN</t>
        </is>
      </c>
      <c r="E825" t="inlineStr">
        <is>
          <t>VILHELMINA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36972-2023</t>
        </is>
      </c>
      <c r="B826" s="1" t="n">
        <v>45154</v>
      </c>
      <c r="C826" s="1" t="n">
        <v>45905</v>
      </c>
      <c r="D826" t="inlineStr">
        <is>
          <t>VÄSTERBOTTENS LÄN</t>
        </is>
      </c>
      <c r="E826" t="inlineStr">
        <is>
          <t>VILHELMINA</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56891-2023</t>
        </is>
      </c>
      <c r="B827" s="1" t="n">
        <v>45239</v>
      </c>
      <c r="C827" s="1" t="n">
        <v>45905</v>
      </c>
      <c r="D827" t="inlineStr">
        <is>
          <t>VÄSTERBOTTENS LÄN</t>
        </is>
      </c>
      <c r="E827" t="inlineStr">
        <is>
          <t>VILHELMINA</t>
        </is>
      </c>
      <c r="G827" t="n">
        <v>1.1</v>
      </c>
      <c r="H827" t="n">
        <v>0</v>
      </c>
      <c r="I827" t="n">
        <v>0</v>
      </c>
      <c r="J827" t="n">
        <v>0</v>
      </c>
      <c r="K827" t="n">
        <v>0</v>
      </c>
      <c r="L827" t="n">
        <v>0</v>
      </c>
      <c r="M827" t="n">
        <v>0</v>
      </c>
      <c r="N827" t="n">
        <v>0</v>
      </c>
      <c r="O827" t="n">
        <v>0</v>
      </c>
      <c r="P827" t="n">
        <v>0</v>
      </c>
      <c r="Q827" t="n">
        <v>0</v>
      </c>
      <c r="R827" s="2" t="inlineStr"/>
    </row>
    <row r="828" ht="15" customHeight="1">
      <c r="A828" t="inlineStr">
        <is>
          <t>A 33661-2023</t>
        </is>
      </c>
      <c r="B828" s="1" t="n">
        <v>45119</v>
      </c>
      <c r="C828" s="1" t="n">
        <v>45905</v>
      </c>
      <c r="D828" t="inlineStr">
        <is>
          <t>VÄSTERBOTTENS LÄN</t>
        </is>
      </c>
      <c r="E828" t="inlineStr">
        <is>
          <t>VILHELMINA</t>
        </is>
      </c>
      <c r="G828" t="n">
        <v>1.8</v>
      </c>
      <c r="H828" t="n">
        <v>0</v>
      </c>
      <c r="I828" t="n">
        <v>0</v>
      </c>
      <c r="J828" t="n">
        <v>0</v>
      </c>
      <c r="K828" t="n">
        <v>0</v>
      </c>
      <c r="L828" t="n">
        <v>0</v>
      </c>
      <c r="M828" t="n">
        <v>0</v>
      </c>
      <c r="N828" t="n">
        <v>0</v>
      </c>
      <c r="O828" t="n">
        <v>0</v>
      </c>
      <c r="P828" t="n">
        <v>0</v>
      </c>
      <c r="Q828" t="n">
        <v>0</v>
      </c>
      <c r="R828" s="2" t="inlineStr"/>
    </row>
    <row r="829" ht="15" customHeight="1">
      <c r="A829" t="inlineStr">
        <is>
          <t>A 44371-2023</t>
        </is>
      </c>
      <c r="B829" s="1" t="n">
        <v>45188</v>
      </c>
      <c r="C829" s="1" t="n">
        <v>45905</v>
      </c>
      <c r="D829" t="inlineStr">
        <is>
          <t>VÄSTERBOTTENS LÄN</t>
        </is>
      </c>
      <c r="E829" t="inlineStr">
        <is>
          <t>VILHELMINA</t>
        </is>
      </c>
      <c r="G829" t="n">
        <v>11</v>
      </c>
      <c r="H829" t="n">
        <v>0</v>
      </c>
      <c r="I829" t="n">
        <v>0</v>
      </c>
      <c r="J829" t="n">
        <v>0</v>
      </c>
      <c r="K829" t="n">
        <v>0</v>
      </c>
      <c r="L829" t="n">
        <v>0</v>
      </c>
      <c r="M829" t="n">
        <v>0</v>
      </c>
      <c r="N829" t="n">
        <v>0</v>
      </c>
      <c r="O829" t="n">
        <v>0</v>
      </c>
      <c r="P829" t="n">
        <v>0</v>
      </c>
      <c r="Q829" t="n">
        <v>0</v>
      </c>
      <c r="R829" s="2" t="inlineStr"/>
    </row>
    <row r="830" ht="15" customHeight="1">
      <c r="A830" t="inlineStr">
        <is>
          <t>A 33349-2023</t>
        </is>
      </c>
      <c r="B830" s="1" t="n">
        <v>45117</v>
      </c>
      <c r="C830" s="1" t="n">
        <v>45905</v>
      </c>
      <c r="D830" t="inlineStr">
        <is>
          <t>VÄSTERBOTTENS LÄN</t>
        </is>
      </c>
      <c r="E830" t="inlineStr">
        <is>
          <t>VILHELMINA</t>
        </is>
      </c>
      <c r="G830" t="n">
        <v>1.3</v>
      </c>
      <c r="H830" t="n">
        <v>0</v>
      </c>
      <c r="I830" t="n">
        <v>0</v>
      </c>
      <c r="J830" t="n">
        <v>0</v>
      </c>
      <c r="K830" t="n">
        <v>0</v>
      </c>
      <c r="L830" t="n">
        <v>0</v>
      </c>
      <c r="M830" t="n">
        <v>0</v>
      </c>
      <c r="N830" t="n">
        <v>0</v>
      </c>
      <c r="O830" t="n">
        <v>0</v>
      </c>
      <c r="P830" t="n">
        <v>0</v>
      </c>
      <c r="Q830" t="n">
        <v>0</v>
      </c>
      <c r="R830" s="2" t="inlineStr"/>
    </row>
    <row r="831" ht="15" customHeight="1">
      <c r="A831" t="inlineStr">
        <is>
          <t>A 58450-2024</t>
        </is>
      </c>
      <c r="B831" s="1" t="n">
        <v>45635.34425925926</v>
      </c>
      <c r="C831" s="1" t="n">
        <v>45905</v>
      </c>
      <c r="D831" t="inlineStr">
        <is>
          <t>VÄSTERBOTTENS LÄN</t>
        </is>
      </c>
      <c r="E831" t="inlineStr">
        <is>
          <t>VILHELMINA</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34763-2024</t>
        </is>
      </c>
      <c r="B832" s="1" t="n">
        <v>45526.61646990741</v>
      </c>
      <c r="C832" s="1" t="n">
        <v>45905</v>
      </c>
      <c r="D832" t="inlineStr">
        <is>
          <t>VÄSTERBOTTENS LÄN</t>
        </is>
      </c>
      <c r="E832" t="inlineStr">
        <is>
          <t>VILHELMINA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34764-2024</t>
        </is>
      </c>
      <c r="B833" s="1" t="n">
        <v>45526.61664351852</v>
      </c>
      <c r="C833" s="1" t="n">
        <v>45905</v>
      </c>
      <c r="D833" t="inlineStr">
        <is>
          <t>VÄSTERBOTTENS LÄN</t>
        </is>
      </c>
      <c r="E833" t="inlineStr">
        <is>
          <t>VILHELMINA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10418-2023</t>
        </is>
      </c>
      <c r="B834" s="1" t="n">
        <v>44987</v>
      </c>
      <c r="C834" s="1" t="n">
        <v>45905</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34087-2023</t>
        </is>
      </c>
      <c r="B835" s="1" t="n">
        <v>45125</v>
      </c>
      <c r="C835" s="1" t="n">
        <v>45905</v>
      </c>
      <c r="D835" t="inlineStr">
        <is>
          <t>VÄSTERBOTTENS LÄN</t>
        </is>
      </c>
      <c r="E835" t="inlineStr">
        <is>
          <t>VILHELMINA</t>
        </is>
      </c>
      <c r="G835" t="n">
        <v>13.2</v>
      </c>
      <c r="H835" t="n">
        <v>0</v>
      </c>
      <c r="I835" t="n">
        <v>0</v>
      </c>
      <c r="J835" t="n">
        <v>0</v>
      </c>
      <c r="K835" t="n">
        <v>0</v>
      </c>
      <c r="L835" t="n">
        <v>0</v>
      </c>
      <c r="M835" t="n">
        <v>0</v>
      </c>
      <c r="N835" t="n">
        <v>0</v>
      </c>
      <c r="O835" t="n">
        <v>0</v>
      </c>
      <c r="P835" t="n">
        <v>0</v>
      </c>
      <c r="Q835" t="n">
        <v>0</v>
      </c>
      <c r="R835" s="2" t="inlineStr"/>
    </row>
    <row r="836" ht="15" customHeight="1">
      <c r="A836" t="inlineStr">
        <is>
          <t>A 19464-2025</t>
        </is>
      </c>
      <c r="B836" s="1" t="n">
        <v>45770</v>
      </c>
      <c r="C836" s="1" t="n">
        <v>45905</v>
      </c>
      <c r="D836" t="inlineStr">
        <is>
          <t>VÄSTERBOTTENS LÄN</t>
        </is>
      </c>
      <c r="E836" t="inlineStr">
        <is>
          <t>VILHELMINA</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49236-2024</t>
        </is>
      </c>
      <c r="B837" s="1" t="n">
        <v>45595</v>
      </c>
      <c r="C837" s="1" t="n">
        <v>45905</v>
      </c>
      <c r="D837" t="inlineStr">
        <is>
          <t>VÄSTERBOTTENS LÄN</t>
        </is>
      </c>
      <c r="E837" t="inlineStr">
        <is>
          <t>VILHELMINA</t>
        </is>
      </c>
      <c r="G837" t="n">
        <v>4.1</v>
      </c>
      <c r="H837" t="n">
        <v>0</v>
      </c>
      <c r="I837" t="n">
        <v>0</v>
      </c>
      <c r="J837" t="n">
        <v>0</v>
      </c>
      <c r="K837" t="n">
        <v>0</v>
      </c>
      <c r="L837" t="n">
        <v>0</v>
      </c>
      <c r="M837" t="n">
        <v>0</v>
      </c>
      <c r="N837" t="n">
        <v>0</v>
      </c>
      <c r="O837" t="n">
        <v>0</v>
      </c>
      <c r="P837" t="n">
        <v>0</v>
      </c>
      <c r="Q837" t="n">
        <v>0</v>
      </c>
      <c r="R837" s="2" t="inlineStr"/>
    </row>
    <row r="838" ht="15" customHeight="1">
      <c r="A838" t="inlineStr">
        <is>
          <t>A 475-2024</t>
        </is>
      </c>
      <c r="B838" s="1" t="n">
        <v>45297.83246527778</v>
      </c>
      <c r="C838" s="1" t="n">
        <v>45905</v>
      </c>
      <c r="D838" t="inlineStr">
        <is>
          <t>VÄSTERBOTTENS LÄN</t>
        </is>
      </c>
      <c r="E838" t="inlineStr">
        <is>
          <t>VILHELMINA</t>
        </is>
      </c>
      <c r="G838" t="n">
        <v>6.1</v>
      </c>
      <c r="H838" t="n">
        <v>0</v>
      </c>
      <c r="I838" t="n">
        <v>0</v>
      </c>
      <c r="J838" t="n">
        <v>0</v>
      </c>
      <c r="K838" t="n">
        <v>0</v>
      </c>
      <c r="L838" t="n">
        <v>0</v>
      </c>
      <c r="M838" t="n">
        <v>0</v>
      </c>
      <c r="N838" t="n">
        <v>0</v>
      </c>
      <c r="O838" t="n">
        <v>0</v>
      </c>
      <c r="P838" t="n">
        <v>0</v>
      </c>
      <c r="Q838" t="n">
        <v>0</v>
      </c>
      <c r="R838" s="2" t="inlineStr"/>
    </row>
    <row r="839" ht="15" customHeight="1">
      <c r="A839" t="inlineStr">
        <is>
          <t>A 61801-2024</t>
        </is>
      </c>
      <c r="B839" s="1" t="n">
        <v>45649.56392361111</v>
      </c>
      <c r="C839" s="1" t="n">
        <v>45905</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61780-2023</t>
        </is>
      </c>
      <c r="B840" s="1" t="n">
        <v>45265.95685185185</v>
      </c>
      <c r="C840" s="1" t="n">
        <v>45905</v>
      </c>
      <c r="D840" t="inlineStr">
        <is>
          <t>VÄSTERBOTTENS LÄN</t>
        </is>
      </c>
      <c r="E840" t="inlineStr">
        <is>
          <t>VILHELMINA</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58179-2024</t>
        </is>
      </c>
      <c r="B841" s="1" t="n">
        <v>45632.4690162037</v>
      </c>
      <c r="C841" s="1" t="n">
        <v>45905</v>
      </c>
      <c r="D841" t="inlineStr">
        <is>
          <t>VÄSTERBOTTENS LÄN</t>
        </is>
      </c>
      <c r="E841" t="inlineStr">
        <is>
          <t>VILHELMINA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367-2024</t>
        </is>
      </c>
      <c r="B842" s="1" t="n">
        <v>45295</v>
      </c>
      <c r="C842" s="1" t="n">
        <v>45905</v>
      </c>
      <c r="D842" t="inlineStr">
        <is>
          <t>VÄSTERBOTTENS LÄN</t>
        </is>
      </c>
      <c r="E842" t="inlineStr">
        <is>
          <t>VILHELMINA</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12765-2025</t>
        </is>
      </c>
      <c r="B843" s="1" t="n">
        <v>45733</v>
      </c>
      <c r="C843" s="1" t="n">
        <v>45905</v>
      </c>
      <c r="D843" t="inlineStr">
        <is>
          <t>VÄSTERBOTTENS LÄN</t>
        </is>
      </c>
      <c r="E843" t="inlineStr">
        <is>
          <t>VILHELMINA</t>
        </is>
      </c>
      <c r="F843" t="inlineStr">
        <is>
          <t>SCA</t>
        </is>
      </c>
      <c r="G843" t="n">
        <v>4</v>
      </c>
      <c r="H843" t="n">
        <v>0</v>
      </c>
      <c r="I843" t="n">
        <v>0</v>
      </c>
      <c r="J843" t="n">
        <v>0</v>
      </c>
      <c r="K843" t="n">
        <v>0</v>
      </c>
      <c r="L843" t="n">
        <v>0</v>
      </c>
      <c r="M843" t="n">
        <v>0</v>
      </c>
      <c r="N843" t="n">
        <v>0</v>
      </c>
      <c r="O843" t="n">
        <v>0</v>
      </c>
      <c r="P843" t="n">
        <v>0</v>
      </c>
      <c r="Q843" t="n">
        <v>0</v>
      </c>
      <c r="R843" s="2" t="inlineStr"/>
    </row>
    <row r="844" ht="15" customHeight="1">
      <c r="A844" t="inlineStr">
        <is>
          <t>A 33828-2024</t>
        </is>
      </c>
      <c r="B844" s="1" t="n">
        <v>45520.61695601852</v>
      </c>
      <c r="C844" s="1" t="n">
        <v>45905</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13557-2024</t>
        </is>
      </c>
      <c r="B845" s="1" t="n">
        <v>45388</v>
      </c>
      <c r="C845" s="1" t="n">
        <v>45905</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54984-2023</t>
        </is>
      </c>
      <c r="B846" s="1" t="n">
        <v>45236</v>
      </c>
      <c r="C846" s="1" t="n">
        <v>45905</v>
      </c>
      <c r="D846" t="inlineStr">
        <is>
          <t>VÄSTERBOTTENS LÄN</t>
        </is>
      </c>
      <c r="E846" t="inlineStr">
        <is>
          <t>VILHELMINA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27917-2024</t>
        </is>
      </c>
      <c r="B847" s="1" t="n">
        <v>45475.94844907407</v>
      </c>
      <c r="C847" s="1" t="n">
        <v>45905</v>
      </c>
      <c r="D847" t="inlineStr">
        <is>
          <t>VÄSTERBOTTENS LÄN</t>
        </is>
      </c>
      <c r="E847" t="inlineStr">
        <is>
          <t>VILHELMINA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55978-2024</t>
        </is>
      </c>
      <c r="B848" s="1" t="n">
        <v>45623</v>
      </c>
      <c r="C848" s="1" t="n">
        <v>45905</v>
      </c>
      <c r="D848" t="inlineStr">
        <is>
          <t>VÄSTERBOTTENS LÄN</t>
        </is>
      </c>
      <c r="E848" t="inlineStr">
        <is>
          <t>VILHELMINA</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45972-2023</t>
        </is>
      </c>
      <c r="B849" s="1" t="n">
        <v>45195</v>
      </c>
      <c r="C849" s="1" t="n">
        <v>45905</v>
      </c>
      <c r="D849" t="inlineStr">
        <is>
          <t>VÄSTERBOTTENS LÄN</t>
        </is>
      </c>
      <c r="E849" t="inlineStr">
        <is>
          <t>VILHELMINA</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21844-2024</t>
        </is>
      </c>
      <c r="B850" s="1" t="n">
        <v>45442</v>
      </c>
      <c r="C850" s="1" t="n">
        <v>45905</v>
      </c>
      <c r="D850" t="inlineStr">
        <is>
          <t>VÄSTERBOTTENS LÄN</t>
        </is>
      </c>
      <c r="E850" t="inlineStr">
        <is>
          <t>VILHELMINA</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12371-2025</t>
        </is>
      </c>
      <c r="B851" s="1" t="n">
        <v>45730</v>
      </c>
      <c r="C851" s="1" t="n">
        <v>45905</v>
      </c>
      <c r="D851" t="inlineStr">
        <is>
          <t>VÄSTERBOTTENS LÄN</t>
        </is>
      </c>
      <c r="E851" t="inlineStr">
        <is>
          <t>VILHELMINA</t>
        </is>
      </c>
      <c r="F851" t="inlineStr">
        <is>
          <t>Övriga statliga verk och myndigheter</t>
        </is>
      </c>
      <c r="G851" t="n">
        <v>37.1</v>
      </c>
      <c r="H851" t="n">
        <v>0</v>
      </c>
      <c r="I851" t="n">
        <v>0</v>
      </c>
      <c r="J851" t="n">
        <v>0</v>
      </c>
      <c r="K851" t="n">
        <v>0</v>
      </c>
      <c r="L851" t="n">
        <v>0</v>
      </c>
      <c r="M851" t="n">
        <v>0</v>
      </c>
      <c r="N851" t="n">
        <v>0</v>
      </c>
      <c r="O851" t="n">
        <v>0</v>
      </c>
      <c r="P851" t="n">
        <v>0</v>
      </c>
      <c r="Q851" t="n">
        <v>0</v>
      </c>
      <c r="R851" s="2" t="inlineStr"/>
    </row>
    <row r="852" ht="15" customHeight="1">
      <c r="A852" t="inlineStr">
        <is>
          <t>A 14993-2025</t>
        </is>
      </c>
      <c r="B852" s="1" t="n">
        <v>45743</v>
      </c>
      <c r="C852" s="1" t="n">
        <v>45905</v>
      </c>
      <c r="D852" t="inlineStr">
        <is>
          <t>VÄSTERBOTTENS LÄN</t>
        </is>
      </c>
      <c r="E852" t="inlineStr">
        <is>
          <t>VILHELMINA</t>
        </is>
      </c>
      <c r="G852" t="n">
        <v>2.1</v>
      </c>
      <c r="H852" t="n">
        <v>0</v>
      </c>
      <c r="I852" t="n">
        <v>0</v>
      </c>
      <c r="J852" t="n">
        <v>0</v>
      </c>
      <c r="K852" t="n">
        <v>0</v>
      </c>
      <c r="L852" t="n">
        <v>0</v>
      </c>
      <c r="M852" t="n">
        <v>0</v>
      </c>
      <c r="N852" t="n">
        <v>0</v>
      </c>
      <c r="O852" t="n">
        <v>0</v>
      </c>
      <c r="P852" t="n">
        <v>0</v>
      </c>
      <c r="Q852" t="n">
        <v>0</v>
      </c>
      <c r="R852" s="2" t="inlineStr"/>
    </row>
    <row r="853" ht="15" customHeight="1">
      <c r="A853" t="inlineStr">
        <is>
          <t>A 23270-2021</t>
        </is>
      </c>
      <c r="B853" s="1" t="n">
        <v>44328</v>
      </c>
      <c r="C853" s="1" t="n">
        <v>45905</v>
      </c>
      <c r="D853" t="inlineStr">
        <is>
          <t>VÄSTERBOTTENS LÄN</t>
        </is>
      </c>
      <c r="E853" t="inlineStr">
        <is>
          <t>VILHELMINA</t>
        </is>
      </c>
      <c r="F853" t="inlineStr">
        <is>
          <t>Allmännings- och besparingsskogar</t>
        </is>
      </c>
      <c r="G853" t="n">
        <v>14.7</v>
      </c>
      <c r="H853" t="n">
        <v>0</v>
      </c>
      <c r="I853" t="n">
        <v>0</v>
      </c>
      <c r="J853" t="n">
        <v>0</v>
      </c>
      <c r="K853" t="n">
        <v>0</v>
      </c>
      <c r="L853" t="n">
        <v>0</v>
      </c>
      <c r="M853" t="n">
        <v>0</v>
      </c>
      <c r="N853" t="n">
        <v>0</v>
      </c>
      <c r="O853" t="n">
        <v>0</v>
      </c>
      <c r="P853" t="n">
        <v>0</v>
      </c>
      <c r="Q853" t="n">
        <v>0</v>
      </c>
      <c r="R853" s="2" t="inlineStr"/>
    </row>
    <row r="854" ht="15" customHeight="1">
      <c r="A854" t="inlineStr">
        <is>
          <t>A 54931-2023</t>
        </is>
      </c>
      <c r="B854" s="1" t="n">
        <v>45229</v>
      </c>
      <c r="C854" s="1" t="n">
        <v>45905</v>
      </c>
      <c r="D854" t="inlineStr">
        <is>
          <t>VÄSTERBOTTENS LÄN</t>
        </is>
      </c>
      <c r="E854" t="inlineStr">
        <is>
          <t>VILHELMINA</t>
        </is>
      </c>
      <c r="G854" t="n">
        <v>14.5</v>
      </c>
      <c r="H854" t="n">
        <v>0</v>
      </c>
      <c r="I854" t="n">
        <v>0</v>
      </c>
      <c r="J854" t="n">
        <v>0</v>
      </c>
      <c r="K854" t="n">
        <v>0</v>
      </c>
      <c r="L854" t="n">
        <v>0</v>
      </c>
      <c r="M854" t="n">
        <v>0</v>
      </c>
      <c r="N854" t="n">
        <v>0</v>
      </c>
      <c r="O854" t="n">
        <v>0</v>
      </c>
      <c r="P854" t="n">
        <v>0</v>
      </c>
      <c r="Q854" t="n">
        <v>0</v>
      </c>
      <c r="R854" s="2" t="inlineStr"/>
    </row>
    <row r="855" ht="15" customHeight="1">
      <c r="A855" t="inlineStr">
        <is>
          <t>A 42976-2024</t>
        </is>
      </c>
      <c r="B855" s="1" t="n">
        <v>45567.37387731481</v>
      </c>
      <c r="C855" s="1" t="n">
        <v>45905</v>
      </c>
      <c r="D855" t="inlineStr">
        <is>
          <t>VÄSTERBOTTENS LÄN</t>
        </is>
      </c>
      <c r="E855" t="inlineStr">
        <is>
          <t>VILHELMINA</t>
        </is>
      </c>
      <c r="F855" t="inlineStr">
        <is>
          <t>SCA</t>
        </is>
      </c>
      <c r="G855" t="n">
        <v>20.6</v>
      </c>
      <c r="H855" t="n">
        <v>0</v>
      </c>
      <c r="I855" t="n">
        <v>0</v>
      </c>
      <c r="J855" t="n">
        <v>0</v>
      </c>
      <c r="K855" t="n">
        <v>0</v>
      </c>
      <c r="L855" t="n">
        <v>0</v>
      </c>
      <c r="M855" t="n">
        <v>0</v>
      </c>
      <c r="N855" t="n">
        <v>0</v>
      </c>
      <c r="O855" t="n">
        <v>0</v>
      </c>
      <c r="P855" t="n">
        <v>0</v>
      </c>
      <c r="Q855" t="n">
        <v>0</v>
      </c>
      <c r="R855" s="2" t="inlineStr"/>
    </row>
    <row r="856" ht="15" customHeight="1">
      <c r="A856" t="inlineStr">
        <is>
          <t>A 7982-2025</t>
        </is>
      </c>
      <c r="B856" s="1" t="n">
        <v>45707.46905092592</v>
      </c>
      <c r="C856" s="1" t="n">
        <v>45905</v>
      </c>
      <c r="D856" t="inlineStr">
        <is>
          <t>VÄSTERBOTTENS LÄN</t>
        </is>
      </c>
      <c r="E856" t="inlineStr">
        <is>
          <t>VILHELMINA</t>
        </is>
      </c>
      <c r="G856" t="n">
        <v>6</v>
      </c>
      <c r="H856" t="n">
        <v>0</v>
      </c>
      <c r="I856" t="n">
        <v>0</v>
      </c>
      <c r="J856" t="n">
        <v>0</v>
      </c>
      <c r="K856" t="n">
        <v>0</v>
      </c>
      <c r="L856" t="n">
        <v>0</v>
      </c>
      <c r="M856" t="n">
        <v>0</v>
      </c>
      <c r="N856" t="n">
        <v>0</v>
      </c>
      <c r="O856" t="n">
        <v>0</v>
      </c>
      <c r="P856" t="n">
        <v>0</v>
      </c>
      <c r="Q856" t="n">
        <v>0</v>
      </c>
      <c r="R856" s="2" t="inlineStr"/>
    </row>
    <row r="857" ht="15" customHeight="1">
      <c r="A857" t="inlineStr">
        <is>
          <t>A 9197-2023</t>
        </is>
      </c>
      <c r="B857" s="1" t="n">
        <v>44977</v>
      </c>
      <c r="C857" s="1" t="n">
        <v>45905</v>
      </c>
      <c r="D857" t="inlineStr">
        <is>
          <t>VÄSTERBOTTENS LÄN</t>
        </is>
      </c>
      <c r="E857" t="inlineStr">
        <is>
          <t>VILHELMINA</t>
        </is>
      </c>
      <c r="G857" t="n">
        <v>8.9</v>
      </c>
      <c r="H857" t="n">
        <v>0</v>
      </c>
      <c r="I857" t="n">
        <v>0</v>
      </c>
      <c r="J857" t="n">
        <v>0</v>
      </c>
      <c r="K857" t="n">
        <v>0</v>
      </c>
      <c r="L857" t="n">
        <v>0</v>
      </c>
      <c r="M857" t="n">
        <v>0</v>
      </c>
      <c r="N857" t="n">
        <v>0</v>
      </c>
      <c r="O857" t="n">
        <v>0</v>
      </c>
      <c r="P857" t="n">
        <v>0</v>
      </c>
      <c r="Q857" t="n">
        <v>0</v>
      </c>
      <c r="R857" s="2" t="inlineStr"/>
    </row>
    <row r="858" ht="15" customHeight="1">
      <c r="A858" t="inlineStr">
        <is>
          <t>A 15176-2022</t>
        </is>
      </c>
      <c r="B858" s="1" t="n">
        <v>44658</v>
      </c>
      <c r="C858" s="1" t="n">
        <v>45905</v>
      </c>
      <c r="D858" t="inlineStr">
        <is>
          <t>VÄSTERBOTTENS LÄN</t>
        </is>
      </c>
      <c r="E858" t="inlineStr">
        <is>
          <t>VILHELMINA</t>
        </is>
      </c>
      <c r="G858" t="n">
        <v>1.6</v>
      </c>
      <c r="H858" t="n">
        <v>0</v>
      </c>
      <c r="I858" t="n">
        <v>0</v>
      </c>
      <c r="J858" t="n">
        <v>0</v>
      </c>
      <c r="K858" t="n">
        <v>0</v>
      </c>
      <c r="L858" t="n">
        <v>0</v>
      </c>
      <c r="M858" t="n">
        <v>0</v>
      </c>
      <c r="N858" t="n">
        <v>0</v>
      </c>
      <c r="O858" t="n">
        <v>0</v>
      </c>
      <c r="P858" t="n">
        <v>0</v>
      </c>
      <c r="Q858" t="n">
        <v>0</v>
      </c>
      <c r="R858" s="2" t="inlineStr"/>
    </row>
    <row r="859" ht="15" customHeight="1">
      <c r="A859" t="inlineStr">
        <is>
          <t>A 35755-2023</t>
        </is>
      </c>
      <c r="B859" s="1" t="n">
        <v>45147.9540625</v>
      </c>
      <c r="C859" s="1" t="n">
        <v>45905</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36219-2023</t>
        </is>
      </c>
      <c r="B860" s="1" t="n">
        <v>45149.95310185185</v>
      </c>
      <c r="C860" s="1" t="n">
        <v>45905</v>
      </c>
      <c r="D860" t="inlineStr">
        <is>
          <t>VÄSTERBOTTENS LÄN</t>
        </is>
      </c>
      <c r="E860" t="inlineStr">
        <is>
          <t>VILHELMINA</t>
        </is>
      </c>
      <c r="F860" t="inlineStr">
        <is>
          <t>SCA</t>
        </is>
      </c>
      <c r="G860" t="n">
        <v>7.3</v>
      </c>
      <c r="H860" t="n">
        <v>0</v>
      </c>
      <c r="I860" t="n">
        <v>0</v>
      </c>
      <c r="J860" t="n">
        <v>0</v>
      </c>
      <c r="K860" t="n">
        <v>0</v>
      </c>
      <c r="L860" t="n">
        <v>0</v>
      </c>
      <c r="M860" t="n">
        <v>0</v>
      </c>
      <c r="N860" t="n">
        <v>0</v>
      </c>
      <c r="O860" t="n">
        <v>0</v>
      </c>
      <c r="P860" t="n">
        <v>0</v>
      </c>
      <c r="Q860" t="n">
        <v>0</v>
      </c>
      <c r="R860" s="2" t="inlineStr"/>
    </row>
    <row r="861" ht="15" customHeight="1">
      <c r="A861" t="inlineStr">
        <is>
          <t>A 35758-2023</t>
        </is>
      </c>
      <c r="B861" s="1" t="n">
        <v>45147.95452546296</v>
      </c>
      <c r="C861" s="1" t="n">
        <v>45905</v>
      </c>
      <c r="D861" t="inlineStr">
        <is>
          <t>VÄSTERBOTTENS LÄN</t>
        </is>
      </c>
      <c r="E861" t="inlineStr">
        <is>
          <t>VILHELMINA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12368-2025</t>
        </is>
      </c>
      <c r="B862" s="1" t="n">
        <v>45730.37633101852</v>
      </c>
      <c r="C862" s="1" t="n">
        <v>45905</v>
      </c>
      <c r="D862" t="inlineStr">
        <is>
          <t>VÄSTERBOTTENS LÄN</t>
        </is>
      </c>
      <c r="E862" t="inlineStr">
        <is>
          <t>VILHELMINA</t>
        </is>
      </c>
      <c r="F862" t="inlineStr">
        <is>
          <t>Övriga statliga verk och myndigheter</t>
        </is>
      </c>
      <c r="G862" t="n">
        <v>14.8</v>
      </c>
      <c r="H862" t="n">
        <v>0</v>
      </c>
      <c r="I862" t="n">
        <v>0</v>
      </c>
      <c r="J862" t="n">
        <v>0</v>
      </c>
      <c r="K862" t="n">
        <v>0</v>
      </c>
      <c r="L862" t="n">
        <v>0</v>
      </c>
      <c r="M862" t="n">
        <v>0</v>
      </c>
      <c r="N862" t="n">
        <v>0</v>
      </c>
      <c r="O862" t="n">
        <v>0</v>
      </c>
      <c r="P862" t="n">
        <v>0</v>
      </c>
      <c r="Q862" t="n">
        <v>0</v>
      </c>
      <c r="R862" s="2" t="inlineStr"/>
    </row>
    <row r="863" ht="15" customHeight="1">
      <c r="A863" t="inlineStr">
        <is>
          <t>A 12373-2025</t>
        </is>
      </c>
      <c r="B863" s="1" t="n">
        <v>45730</v>
      </c>
      <c r="C863" s="1" t="n">
        <v>45905</v>
      </c>
      <c r="D863" t="inlineStr">
        <is>
          <t>VÄSTERBOTTENS LÄN</t>
        </is>
      </c>
      <c r="E863" t="inlineStr">
        <is>
          <t>VILHELMINA</t>
        </is>
      </c>
      <c r="F863" t="inlineStr">
        <is>
          <t>Övriga statliga verk och myndigheter</t>
        </is>
      </c>
      <c r="G863" t="n">
        <v>25.5</v>
      </c>
      <c r="H863" t="n">
        <v>0</v>
      </c>
      <c r="I863" t="n">
        <v>0</v>
      </c>
      <c r="J863" t="n">
        <v>0</v>
      </c>
      <c r="K863" t="n">
        <v>0</v>
      </c>
      <c r="L863" t="n">
        <v>0</v>
      </c>
      <c r="M863" t="n">
        <v>0</v>
      </c>
      <c r="N863" t="n">
        <v>0</v>
      </c>
      <c r="O863" t="n">
        <v>0</v>
      </c>
      <c r="P863" t="n">
        <v>0</v>
      </c>
      <c r="Q863" t="n">
        <v>0</v>
      </c>
      <c r="R863" s="2" t="inlineStr"/>
    </row>
    <row r="864" ht="15" customHeight="1">
      <c r="A864" t="inlineStr">
        <is>
          <t>A 60782-2023</t>
        </is>
      </c>
      <c r="B864" s="1" t="n">
        <v>45259</v>
      </c>
      <c r="C864" s="1" t="n">
        <v>45905</v>
      </c>
      <c r="D864" t="inlineStr">
        <is>
          <t>VÄSTERBOTTENS LÄN</t>
        </is>
      </c>
      <c r="E864" t="inlineStr">
        <is>
          <t>VILHELMINA</t>
        </is>
      </c>
      <c r="G864" t="n">
        <v>12.7</v>
      </c>
      <c r="H864" t="n">
        <v>0</v>
      </c>
      <c r="I864" t="n">
        <v>0</v>
      </c>
      <c r="J864" t="n">
        <v>0</v>
      </c>
      <c r="K864" t="n">
        <v>0</v>
      </c>
      <c r="L864" t="n">
        <v>0</v>
      </c>
      <c r="M864" t="n">
        <v>0</v>
      </c>
      <c r="N864" t="n">
        <v>0</v>
      </c>
      <c r="O864" t="n">
        <v>0</v>
      </c>
      <c r="P864" t="n">
        <v>0</v>
      </c>
      <c r="Q864" t="n">
        <v>0</v>
      </c>
      <c r="R864" s="2" t="inlineStr"/>
    </row>
    <row r="865" ht="15" customHeight="1">
      <c r="A865" t="inlineStr">
        <is>
          <t>A 9815-2024</t>
        </is>
      </c>
      <c r="B865" s="1" t="n">
        <v>45362.96927083333</v>
      </c>
      <c r="C865" s="1" t="n">
        <v>45905</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60151-2024</t>
        </is>
      </c>
      <c r="B866" s="1" t="n">
        <v>45642.61490740741</v>
      </c>
      <c r="C866" s="1" t="n">
        <v>45905</v>
      </c>
      <c r="D866" t="inlineStr">
        <is>
          <t>VÄSTERBOTTENS LÄN</t>
        </is>
      </c>
      <c r="E866" t="inlineStr">
        <is>
          <t>VILHELMINA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8908-2023</t>
        </is>
      </c>
      <c r="B867" s="1" t="n">
        <v>44972</v>
      </c>
      <c r="C867" s="1" t="n">
        <v>45905</v>
      </c>
      <c r="D867" t="inlineStr">
        <is>
          <t>VÄSTERBOTTENS LÄN</t>
        </is>
      </c>
      <c r="E867" t="inlineStr">
        <is>
          <t>VILHELMINA</t>
        </is>
      </c>
      <c r="F867" t="inlineStr">
        <is>
          <t>Allmännings- och besparingsskogar</t>
        </is>
      </c>
      <c r="G867" t="n">
        <v>22.3</v>
      </c>
      <c r="H867" t="n">
        <v>0</v>
      </c>
      <c r="I867" t="n">
        <v>0</v>
      </c>
      <c r="J867" t="n">
        <v>0</v>
      </c>
      <c r="K867" t="n">
        <v>0</v>
      </c>
      <c r="L867" t="n">
        <v>0</v>
      </c>
      <c r="M867" t="n">
        <v>0</v>
      </c>
      <c r="N867" t="n">
        <v>0</v>
      </c>
      <c r="O867" t="n">
        <v>0</v>
      </c>
      <c r="P867" t="n">
        <v>0</v>
      </c>
      <c r="Q867" t="n">
        <v>0</v>
      </c>
      <c r="R867" s="2" t="inlineStr"/>
    </row>
    <row r="868" ht="15" customHeight="1">
      <c r="A868" t="inlineStr">
        <is>
          <t>A 6665-2021</t>
        </is>
      </c>
      <c r="B868" s="1" t="n">
        <v>44235</v>
      </c>
      <c r="C868" s="1" t="n">
        <v>45905</v>
      </c>
      <c r="D868" t="inlineStr">
        <is>
          <t>VÄSTERBOTTENS LÄN</t>
        </is>
      </c>
      <c r="E868" t="inlineStr">
        <is>
          <t>VILHELMINA</t>
        </is>
      </c>
      <c r="G868" t="n">
        <v>20</v>
      </c>
      <c r="H868" t="n">
        <v>0</v>
      </c>
      <c r="I868" t="n">
        <v>0</v>
      </c>
      <c r="J868" t="n">
        <v>0</v>
      </c>
      <c r="K868" t="n">
        <v>0</v>
      </c>
      <c r="L868" t="n">
        <v>0</v>
      </c>
      <c r="M868" t="n">
        <v>0</v>
      </c>
      <c r="N868" t="n">
        <v>0</v>
      </c>
      <c r="O868" t="n">
        <v>0</v>
      </c>
      <c r="P868" t="n">
        <v>0</v>
      </c>
      <c r="Q868" t="n">
        <v>0</v>
      </c>
      <c r="R868" s="2" t="inlineStr"/>
    </row>
    <row r="869" ht="15" customHeight="1">
      <c r="A869" t="inlineStr">
        <is>
          <t>A 48424-2023</t>
        </is>
      </c>
      <c r="B869" s="1" t="n">
        <v>45205</v>
      </c>
      <c r="C869" s="1" t="n">
        <v>45905</v>
      </c>
      <c r="D869" t="inlineStr">
        <is>
          <t>VÄSTERBOTTENS LÄN</t>
        </is>
      </c>
      <c r="E869" t="inlineStr">
        <is>
          <t>VILHELMINA</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44714-2021</t>
        </is>
      </c>
      <c r="B870" s="1" t="n">
        <v>44435</v>
      </c>
      <c r="C870" s="1" t="n">
        <v>45905</v>
      </c>
      <c r="D870" t="inlineStr">
        <is>
          <t>VÄSTERBOTTENS LÄN</t>
        </is>
      </c>
      <c r="E870" t="inlineStr">
        <is>
          <t>VILHELMINA</t>
        </is>
      </c>
      <c r="G870" t="n">
        <v>4.3</v>
      </c>
      <c r="H870" t="n">
        <v>0</v>
      </c>
      <c r="I870" t="n">
        <v>0</v>
      </c>
      <c r="J870" t="n">
        <v>0</v>
      </c>
      <c r="K870" t="n">
        <v>0</v>
      </c>
      <c r="L870" t="n">
        <v>0</v>
      </c>
      <c r="M870" t="n">
        <v>0</v>
      </c>
      <c r="N870" t="n">
        <v>0</v>
      </c>
      <c r="O870" t="n">
        <v>0</v>
      </c>
      <c r="P870" t="n">
        <v>0</v>
      </c>
      <c r="Q870" t="n">
        <v>0</v>
      </c>
      <c r="R870" s="2" t="inlineStr"/>
    </row>
    <row r="871" ht="15" customHeight="1">
      <c r="A871" t="inlineStr">
        <is>
          <t>A 19221-2025</t>
        </is>
      </c>
      <c r="B871" s="1" t="n">
        <v>45769</v>
      </c>
      <c r="C871" s="1" t="n">
        <v>45905</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8556-2025</t>
        </is>
      </c>
      <c r="B872" s="1" t="n">
        <v>45709</v>
      </c>
      <c r="C872" s="1" t="n">
        <v>45905</v>
      </c>
      <c r="D872" t="inlineStr">
        <is>
          <t>VÄSTERBOTTENS LÄN</t>
        </is>
      </c>
      <c r="E872" t="inlineStr">
        <is>
          <t>VILHELMINA</t>
        </is>
      </c>
      <c r="G872" t="n">
        <v>1</v>
      </c>
      <c r="H872" t="n">
        <v>0</v>
      </c>
      <c r="I872" t="n">
        <v>0</v>
      </c>
      <c r="J872" t="n">
        <v>0</v>
      </c>
      <c r="K872" t="n">
        <v>0</v>
      </c>
      <c r="L872" t="n">
        <v>0</v>
      </c>
      <c r="M872" t="n">
        <v>0</v>
      </c>
      <c r="N872" t="n">
        <v>0</v>
      </c>
      <c r="O872" t="n">
        <v>0</v>
      </c>
      <c r="P872" t="n">
        <v>0</v>
      </c>
      <c r="Q872" t="n">
        <v>0</v>
      </c>
      <c r="R872" s="2" t="inlineStr"/>
    </row>
    <row r="873" ht="15" customHeight="1">
      <c r="A873" t="inlineStr">
        <is>
          <t>A 57324-2022</t>
        </is>
      </c>
      <c r="B873" s="1" t="n">
        <v>44889</v>
      </c>
      <c r="C873" s="1" t="n">
        <v>45905</v>
      </c>
      <c r="D873" t="inlineStr">
        <is>
          <t>VÄSTERBOTTENS LÄN</t>
        </is>
      </c>
      <c r="E873" t="inlineStr">
        <is>
          <t>VILHELMINA</t>
        </is>
      </c>
      <c r="G873" t="n">
        <v>1.7</v>
      </c>
      <c r="H873" t="n">
        <v>0</v>
      </c>
      <c r="I873" t="n">
        <v>0</v>
      </c>
      <c r="J873" t="n">
        <v>0</v>
      </c>
      <c r="K873" t="n">
        <v>0</v>
      </c>
      <c r="L873" t="n">
        <v>0</v>
      </c>
      <c r="M873" t="n">
        <v>0</v>
      </c>
      <c r="N873" t="n">
        <v>0</v>
      </c>
      <c r="O873" t="n">
        <v>0</v>
      </c>
      <c r="P873" t="n">
        <v>0</v>
      </c>
      <c r="Q873" t="n">
        <v>0</v>
      </c>
      <c r="R873" s="2" t="inlineStr"/>
    </row>
    <row r="874" ht="15" customHeight="1">
      <c r="A874" t="inlineStr">
        <is>
          <t>A 14254-2025</t>
        </is>
      </c>
      <c r="B874" s="1" t="n">
        <v>45740.61644675926</v>
      </c>
      <c r="C874" s="1" t="n">
        <v>45905</v>
      </c>
      <c r="D874" t="inlineStr">
        <is>
          <t>VÄSTERBOTTENS LÄN</t>
        </is>
      </c>
      <c r="E874" t="inlineStr">
        <is>
          <t>VILHELMINA</t>
        </is>
      </c>
      <c r="G874" t="n">
        <v>2</v>
      </c>
      <c r="H874" t="n">
        <v>0</v>
      </c>
      <c r="I874" t="n">
        <v>0</v>
      </c>
      <c r="J874" t="n">
        <v>0</v>
      </c>
      <c r="K874" t="n">
        <v>0</v>
      </c>
      <c r="L874" t="n">
        <v>0</v>
      </c>
      <c r="M874" t="n">
        <v>0</v>
      </c>
      <c r="N874" t="n">
        <v>0</v>
      </c>
      <c r="O874" t="n">
        <v>0</v>
      </c>
      <c r="P874" t="n">
        <v>0</v>
      </c>
      <c r="Q874" t="n">
        <v>0</v>
      </c>
      <c r="R874" s="2" t="inlineStr"/>
    </row>
    <row r="875" ht="15" customHeight="1">
      <c r="A875" t="inlineStr">
        <is>
          <t>A 17307-2025</t>
        </is>
      </c>
      <c r="B875" s="1" t="n">
        <v>45756</v>
      </c>
      <c r="C875" s="1" t="n">
        <v>45905</v>
      </c>
      <c r="D875" t="inlineStr">
        <is>
          <t>VÄSTERBOTTENS LÄN</t>
        </is>
      </c>
      <c r="E875" t="inlineStr">
        <is>
          <t>VILHELMINA</t>
        </is>
      </c>
      <c r="G875" t="n">
        <v>11.2</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45142.95103009259</v>
      </c>
      <c r="C876" s="1" t="n">
        <v>45905</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c r="A877" t="inlineStr">
        <is>
          <t>A 252-2025</t>
        </is>
      </c>
      <c r="B877" s="1" t="n">
        <v>45660.42734953704</v>
      </c>
      <c r="C877" s="1" t="n">
        <v>45905</v>
      </c>
      <c r="D877" t="inlineStr">
        <is>
          <t>VÄSTERBOTTENS LÄN</t>
        </is>
      </c>
      <c r="E877" t="inlineStr">
        <is>
          <t>VILHELMINA</t>
        </is>
      </c>
      <c r="F877" t="inlineStr">
        <is>
          <t>SCA</t>
        </is>
      </c>
      <c r="G877" t="n">
        <v>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2025-09-05T08:48:08Z</dcterms:created>
  <dcterms:modified xmlns:dcterms="http://purl.org/dc/terms/" xmlns:xsi="http://www.w3.org/2001/XMLSchema-instance" xsi:type="dcterms:W3CDTF">2025-09-05T08:48:09Z</dcterms:modified>
</cp:coreProperties>
</file>