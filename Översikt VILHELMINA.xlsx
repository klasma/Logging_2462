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45999</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45999</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45999</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45999</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45999</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45999</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45999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45999</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45999</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45999</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45999</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45999</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45999</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45999</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45999</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45999</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45999</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45999</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9048-2023</t>
        </is>
      </c>
      <c r="B24" s="1" t="n">
        <v>44972</v>
      </c>
      <c r="C24" s="1" t="n">
        <v>45999</v>
      </c>
      <c r="D24" t="inlineStr">
        <is>
          <t>VÄSTERBOTTENS LÄN</t>
        </is>
      </c>
      <c r="E24" t="inlineStr">
        <is>
          <t>VILHELMINA</t>
        </is>
      </c>
      <c r="F24" t="inlineStr">
        <is>
          <t>Allmännings- och besparingsskogar</t>
        </is>
      </c>
      <c r="G24" t="n">
        <v>271</v>
      </c>
      <c r="H24" t="n">
        <v>3</v>
      </c>
      <c r="I24" t="n">
        <v>4</v>
      </c>
      <c r="J24" t="n">
        <v>13</v>
      </c>
      <c r="K24" t="n">
        <v>0</v>
      </c>
      <c r="L24" t="n">
        <v>0</v>
      </c>
      <c r="M24" t="n">
        <v>0</v>
      </c>
      <c r="N24" t="n">
        <v>0</v>
      </c>
      <c r="O24" t="n">
        <v>13</v>
      </c>
      <c r="P24" t="n">
        <v>0</v>
      </c>
      <c r="Q24" t="n">
        <v>18</v>
      </c>
      <c r="R24" s="2" t="inlineStr">
        <is>
          <t>Garnlav
Granticka
Harticka
Koralltaggsvamp
Rosenticka
Stjärntagging
Talltita
Tretåig hackspett
Ullticka
Vedflikmossa
Vedtrappmossa
Vitgrynig nållav
Vitskaftad svartspik
Bronshjon
Trådticka
Vedticka
Ögonpyrola
Lavskrika</t>
        </is>
      </c>
      <c r="S24">
        <f>HYPERLINK("https://klasma.github.io/Logging_2462/artfynd/A 9048-2023 artfynd.xlsx", "A 9048-2023")</f>
        <v/>
      </c>
      <c r="T24">
        <f>HYPERLINK("https://klasma.github.io/Logging_2462/kartor/A 9048-2023 karta.png", "A 9048-2023")</f>
        <v/>
      </c>
      <c r="V24">
        <f>HYPERLINK("https://klasma.github.io/Logging_2462/klagomål/A 9048-2023 FSC-klagomål.docx", "A 9048-2023")</f>
        <v/>
      </c>
      <c r="W24">
        <f>HYPERLINK("https://klasma.github.io/Logging_2462/klagomålsmail/A 9048-2023 FSC-klagomål mail.docx", "A 9048-2023")</f>
        <v/>
      </c>
      <c r="X24">
        <f>HYPERLINK("https://klasma.github.io/Logging_2462/tillsyn/A 9048-2023 tillsynsbegäran.docx", "A 9048-2023")</f>
        <v/>
      </c>
      <c r="Y24">
        <f>HYPERLINK("https://klasma.github.io/Logging_2462/tillsynsmail/A 9048-2023 tillsynsbegäran mail.docx", "A 9048-2023")</f>
        <v/>
      </c>
      <c r="Z24">
        <f>HYPERLINK("https://klasma.github.io/Logging_2462/fåglar/A 9048-2023 prioriterade fågelarter.docx", "A 9048-2023")</f>
        <v/>
      </c>
    </row>
    <row r="25" ht="15" customHeight="1">
      <c r="A25" t="inlineStr">
        <is>
          <t>A 46776-2024</t>
        </is>
      </c>
      <c r="B25" s="1" t="n">
        <v>45583</v>
      </c>
      <c r="C25" s="1" t="n">
        <v>45999</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48248-2023</t>
        </is>
      </c>
      <c r="B26" s="1" t="n">
        <v>45201</v>
      </c>
      <c r="C26" s="1" t="n">
        <v>45999</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9057-2023</t>
        </is>
      </c>
      <c r="B27" s="1" t="n">
        <v>44972</v>
      </c>
      <c r="C27" s="1" t="n">
        <v>45999</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45999</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45999</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45999</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45999</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45999</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45999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45999</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45999</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45999</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45999</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45999</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45999</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19934-2023</t>
        </is>
      </c>
      <c r="B40" s="1" t="n">
        <v>45051</v>
      </c>
      <c r="C40" s="1" t="n">
        <v>45999</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45999</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45999</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45999</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45999</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45999</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7762-2024</t>
        </is>
      </c>
      <c r="B46" s="1" t="n">
        <v>45349</v>
      </c>
      <c r="C46" s="1" t="n">
        <v>45999</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14963-2022</t>
        </is>
      </c>
      <c r="B47" s="1" t="n">
        <v>44657</v>
      </c>
      <c r="C47" s="1" t="n">
        <v>45999</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49141-2023</t>
        </is>
      </c>
      <c r="B48" s="1" t="n">
        <v>45205</v>
      </c>
      <c r="C48" s="1" t="n">
        <v>45999</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45999</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45999</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15047-2024</t>
        </is>
      </c>
      <c r="B51" s="1" t="n">
        <v>45399</v>
      </c>
      <c r="C51" s="1" t="n">
        <v>45999</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45999</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45999</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6969-2023</t>
        </is>
      </c>
      <c r="B54" s="1" t="n">
        <v>44964</v>
      </c>
      <c r="C54" s="1" t="n">
        <v>45999</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45999</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45999</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45999</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45999</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45999</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45999</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45999</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45999</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26191-2022</t>
        </is>
      </c>
      <c r="B63" s="1" t="n">
        <v>44735</v>
      </c>
      <c r="C63" s="1" t="n">
        <v>45999</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45999</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45999</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45999</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45999</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45999</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45999</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44354-2024</t>
        </is>
      </c>
      <c r="B70" s="1" t="n">
        <v>45573</v>
      </c>
      <c r="C70" s="1" t="n">
        <v>45999</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45999</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45999</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45999</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35393-2024</t>
        </is>
      </c>
      <c r="B74" s="1" t="n">
        <v>45531</v>
      </c>
      <c r="C74" s="1" t="n">
        <v>45999</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45999</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25040-2025</t>
        </is>
      </c>
      <c r="B76" s="1" t="n">
        <v>45799.65734953704</v>
      </c>
      <c r="C76" s="1" t="n">
        <v>45999</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45999</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45999</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45999</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45999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45999</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45999</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45999</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45999</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45999</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45999</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45999</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45999</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45999</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38124-2024</t>
        </is>
      </c>
      <c r="B90" s="1" t="n">
        <v>45545</v>
      </c>
      <c r="C90" s="1" t="n">
        <v>45999</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45999</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45999</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45999</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45999</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65382-2021</t>
        </is>
      </c>
      <c r="B95" s="1" t="n">
        <v>44515</v>
      </c>
      <c r="C95" s="1" t="n">
        <v>45999</v>
      </c>
      <c r="D95" t="inlineStr">
        <is>
          <t>VÄSTERBOTTENS LÄN</t>
        </is>
      </c>
      <c r="E95" t="inlineStr">
        <is>
          <t>VILHELMINA</t>
        </is>
      </c>
      <c r="G95" t="n">
        <v>10.7</v>
      </c>
      <c r="H95" t="n">
        <v>0</v>
      </c>
      <c r="I95" t="n">
        <v>0</v>
      </c>
      <c r="J95" t="n">
        <v>2</v>
      </c>
      <c r="K95" t="n">
        <v>1</v>
      </c>
      <c r="L95" t="n">
        <v>0</v>
      </c>
      <c r="M95" t="n">
        <v>0</v>
      </c>
      <c r="N95" t="n">
        <v>0</v>
      </c>
      <c r="O95" t="n">
        <v>3</v>
      </c>
      <c r="P95" t="n">
        <v>1</v>
      </c>
      <c r="Q95" t="n">
        <v>3</v>
      </c>
      <c r="R95" s="2" t="inlineStr">
        <is>
          <t>Rynkskinn
Lunglav
Rosenticka</t>
        </is>
      </c>
      <c r="S95">
        <f>HYPERLINK("https://klasma.github.io/Logging_2462/artfynd/A 65382-2021 artfynd.xlsx", "A 65382-2021")</f>
        <v/>
      </c>
      <c r="T95">
        <f>HYPERLINK("https://klasma.github.io/Logging_2462/kartor/A 65382-2021 karta.png", "A 65382-2021")</f>
        <v/>
      </c>
      <c r="V95">
        <f>HYPERLINK("https://klasma.github.io/Logging_2462/klagomål/A 65382-2021 FSC-klagomål.docx", "A 65382-2021")</f>
        <v/>
      </c>
      <c r="W95">
        <f>HYPERLINK("https://klasma.github.io/Logging_2462/klagomålsmail/A 65382-2021 FSC-klagomål mail.docx", "A 65382-2021")</f>
        <v/>
      </c>
      <c r="X95">
        <f>HYPERLINK("https://klasma.github.io/Logging_2462/tillsyn/A 65382-2021 tillsynsbegäran.docx", "A 65382-2021")</f>
        <v/>
      </c>
      <c r="Y95">
        <f>HYPERLINK("https://klasma.github.io/Logging_2462/tillsynsmail/A 65382-2021 tillsynsbegäran mail.docx", "A 65382-2021")</f>
        <v/>
      </c>
    </row>
    <row r="96" ht="15" customHeight="1">
      <c r="A96" t="inlineStr">
        <is>
          <t>A 9157-2023</t>
        </is>
      </c>
      <c r="B96" s="1" t="n">
        <v>44972</v>
      </c>
      <c r="C96" s="1" t="n">
        <v>45999</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38534-2024</t>
        </is>
      </c>
      <c r="B97" s="1" t="n">
        <v>45546</v>
      </c>
      <c r="C97" s="1" t="n">
        <v>45999</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47036-2025</t>
        </is>
      </c>
      <c r="B98" s="1" t="n">
        <v>45929.594375</v>
      </c>
      <c r="C98" s="1" t="n">
        <v>45999</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56618-2024</t>
        </is>
      </c>
      <c r="B99" s="1" t="n">
        <v>45625</v>
      </c>
      <c r="C99" s="1" t="n">
        <v>45999</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53897-2025</t>
        </is>
      </c>
      <c r="B100" s="1" t="n">
        <v>45961.42766203704</v>
      </c>
      <c r="C100" s="1" t="n">
        <v>45999</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42063-2024</t>
        </is>
      </c>
      <c r="B101" s="1" t="n">
        <v>45561</v>
      </c>
      <c r="C101" s="1" t="n">
        <v>45999</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45999</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60737-2024</t>
        </is>
      </c>
      <c r="B103" s="1" t="n">
        <v>45644</v>
      </c>
      <c r="C103" s="1" t="n">
        <v>45999</v>
      </c>
      <c r="D103" t="inlineStr">
        <is>
          <t>VÄSTERBOTTENS LÄN</t>
        </is>
      </c>
      <c r="E103" t="inlineStr">
        <is>
          <t>VILHELMINA</t>
        </is>
      </c>
      <c r="G103" t="n">
        <v>198.1</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41646-2024</t>
        </is>
      </c>
      <c r="B104" s="1" t="n">
        <v>45560</v>
      </c>
      <c r="C104" s="1" t="n">
        <v>45999</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32779-2025</t>
        </is>
      </c>
      <c r="B105" s="1" t="n">
        <v>45839.46946759259</v>
      </c>
      <c r="C105" s="1" t="n">
        <v>45999</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11980-2021</t>
        </is>
      </c>
      <c r="B106" s="1" t="n">
        <v>44266</v>
      </c>
      <c r="C106" s="1" t="n">
        <v>45999</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45999</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19234-2021</t>
        </is>
      </c>
      <c r="B108" s="1" t="n">
        <v>44309</v>
      </c>
      <c r="C108" s="1" t="n">
        <v>45999</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45999</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45999</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37785-2021</t>
        </is>
      </c>
      <c r="B111" s="1" t="n">
        <v>44401</v>
      </c>
      <c r="C111" s="1" t="n">
        <v>45999</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6704-2021</t>
        </is>
      </c>
      <c r="B112" s="1" t="n">
        <v>44235</v>
      </c>
      <c r="C112" s="1" t="n">
        <v>45999</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20983-2025</t>
        </is>
      </c>
      <c r="B113" s="1" t="n">
        <v>45777.46910879629</v>
      </c>
      <c r="C113" s="1" t="n">
        <v>45999</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54779-2024</t>
        </is>
      </c>
      <c r="B114" s="1" t="n">
        <v>45618</v>
      </c>
      <c r="C114" s="1" t="n">
        <v>45999</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30717-2023</t>
        </is>
      </c>
      <c r="B115" s="1" t="n">
        <v>45112</v>
      </c>
      <c r="C115" s="1" t="n">
        <v>45999</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46391-2024</t>
        </is>
      </c>
      <c r="B116" s="1" t="n">
        <v>45582</v>
      </c>
      <c r="C116" s="1" t="n">
        <v>45999</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69626-2020</t>
        </is>
      </c>
      <c r="B117" s="1" t="n">
        <v>44195</v>
      </c>
      <c r="C117" s="1" t="n">
        <v>45999</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42274-2025</t>
        </is>
      </c>
      <c r="B118" s="1" t="n">
        <v>45903</v>
      </c>
      <c r="C118" s="1" t="n">
        <v>45999</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45999</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28012-2023</t>
        </is>
      </c>
      <c r="B120" s="1" t="n">
        <v>45098</v>
      </c>
      <c r="C120" s="1" t="n">
        <v>45999</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29140-2025</t>
        </is>
      </c>
      <c r="B121" s="1" t="n">
        <v>45821</v>
      </c>
      <c r="C121" s="1" t="n">
        <v>45999</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48652-2025</t>
        </is>
      </c>
      <c r="B122" s="1" t="n">
        <v>45936</v>
      </c>
      <c r="C122" s="1" t="n">
        <v>45999</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31735-2025</t>
        </is>
      </c>
      <c r="B123" s="1" t="n">
        <v>45834.47067129629</v>
      </c>
      <c r="C123" s="1" t="n">
        <v>45999</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45999</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37513-2024</t>
        </is>
      </c>
      <c r="B125" s="1" t="n">
        <v>45541.38572916666</v>
      </c>
      <c r="C125" s="1" t="n">
        <v>45999</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25037-2024</t>
        </is>
      </c>
      <c r="B126" s="1" t="n">
        <v>45461</v>
      </c>
      <c r="C126" s="1" t="n">
        <v>45999</v>
      </c>
      <c r="D126" t="inlineStr">
        <is>
          <t>VÄSTERBOTTENS LÄN</t>
        </is>
      </c>
      <c r="E126" t="inlineStr">
        <is>
          <t>VILHELMINA</t>
        </is>
      </c>
      <c r="F126" t="inlineStr">
        <is>
          <t>SCA</t>
        </is>
      </c>
      <c r="G126" t="n">
        <v>0.5</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HYPERLINK("https://klasma.github.io/Logging_2462/artfynd/A 25037-2024 artfynd.xlsx", "A 25037-2024")</f>
        <v/>
      </c>
      <c r="T126">
        <f>HYPERLINK("https://klasma.github.io/Logging_2462/kartor/A 25037-2024 karta.png", "A 25037-2024")</f>
        <v/>
      </c>
      <c r="V126">
        <f>HYPERLINK("https://klasma.github.io/Logging_2462/klagomål/A 25037-2024 FSC-klagomål.docx", "A 25037-2024")</f>
        <v/>
      </c>
      <c r="W126">
        <f>HYPERLINK("https://klasma.github.io/Logging_2462/klagomålsmail/A 25037-2024 FSC-klagomål mail.docx", "A 25037-2024")</f>
        <v/>
      </c>
      <c r="X126">
        <f>HYPERLINK("https://klasma.github.io/Logging_2462/tillsyn/A 25037-2024 tillsynsbegäran.docx", "A 25037-2024")</f>
        <v/>
      </c>
      <c r="Y126">
        <f>HYPERLINK("https://klasma.github.io/Logging_2462/tillsynsmail/A 25037-2024 tillsynsbegäran mail.docx", "A 25037-2024")</f>
        <v/>
      </c>
      <c r="Z126">
        <f>HYPERLINK("https://klasma.github.io/Logging_2462/fåglar/A 25037-2024 prioriterade fågelarter.docx", "A 25037-2024")</f>
        <v/>
      </c>
    </row>
    <row r="127" ht="15" customHeight="1">
      <c r="A127" t="inlineStr">
        <is>
          <t>A 65586-2021</t>
        </is>
      </c>
      <c r="B127" s="1" t="n">
        <v>44518</v>
      </c>
      <c r="C127" s="1" t="n">
        <v>45999</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66259-2021</t>
        </is>
      </c>
      <c r="B128" s="1" t="n">
        <v>44518</v>
      </c>
      <c r="C128" s="1" t="n">
        <v>45999</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45999</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45999</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56247-2023</t>
        </is>
      </c>
      <c r="B131" s="1" t="n">
        <v>45240</v>
      </c>
      <c r="C131" s="1" t="n">
        <v>45999</v>
      </c>
      <c r="D131" t="inlineStr">
        <is>
          <t>VÄSTERBOTTENS LÄN</t>
        </is>
      </c>
      <c r="E131" t="inlineStr">
        <is>
          <t>VILHELMINA</t>
        </is>
      </c>
      <c r="F131" t="inlineStr">
        <is>
          <t>SCA</t>
        </is>
      </c>
      <c r="G131" t="n">
        <v>1.3</v>
      </c>
      <c r="H131" t="n">
        <v>0</v>
      </c>
      <c r="I131" t="n">
        <v>0</v>
      </c>
      <c r="J131" t="n">
        <v>1</v>
      </c>
      <c r="K131" t="n">
        <v>0</v>
      </c>
      <c r="L131" t="n">
        <v>0</v>
      </c>
      <c r="M131" t="n">
        <v>0</v>
      </c>
      <c r="N131" t="n">
        <v>0</v>
      </c>
      <c r="O131" t="n">
        <v>1</v>
      </c>
      <c r="P131" t="n">
        <v>0</v>
      </c>
      <c r="Q131" t="n">
        <v>1</v>
      </c>
      <c r="R131" s="2" t="inlineStr">
        <is>
          <t>Harticka</t>
        </is>
      </c>
      <c r="S131">
        <f>HYPERLINK("https://klasma.github.io/Logging_2462/artfynd/A 56247-2023 artfynd.xlsx", "A 56247-2023")</f>
        <v/>
      </c>
      <c r="T131">
        <f>HYPERLINK("https://klasma.github.io/Logging_2462/kartor/A 56247-2023 karta.png", "A 56247-2023")</f>
        <v/>
      </c>
      <c r="V131">
        <f>HYPERLINK("https://klasma.github.io/Logging_2462/klagomål/A 56247-2023 FSC-klagomål.docx", "A 56247-2023")</f>
        <v/>
      </c>
      <c r="W131">
        <f>HYPERLINK("https://klasma.github.io/Logging_2462/klagomålsmail/A 56247-2023 FSC-klagomål mail.docx", "A 56247-2023")</f>
        <v/>
      </c>
      <c r="X131">
        <f>HYPERLINK("https://klasma.github.io/Logging_2462/tillsyn/A 56247-2023 tillsynsbegäran.docx", "A 56247-2023")</f>
        <v/>
      </c>
      <c r="Y131">
        <f>HYPERLINK("https://klasma.github.io/Logging_2462/tillsynsmail/A 56247-2023 tillsynsbegäran mail.docx", "A 56247-2023")</f>
        <v/>
      </c>
    </row>
    <row r="132" ht="15" customHeight="1">
      <c r="A132" t="inlineStr">
        <is>
          <t>A 17253-2025</t>
        </is>
      </c>
      <c r="B132" s="1" t="n">
        <v>45756</v>
      </c>
      <c r="C132" s="1" t="n">
        <v>45999</v>
      </c>
      <c r="D132" t="inlineStr">
        <is>
          <t>VÄSTERBOTTENS LÄN</t>
        </is>
      </c>
      <c r="E132" t="inlineStr">
        <is>
          <t>VILHELMINA</t>
        </is>
      </c>
      <c r="F132" t="inlineStr">
        <is>
          <t>SCA</t>
        </is>
      </c>
      <c r="G132" t="n">
        <v>6.5</v>
      </c>
      <c r="H132" t="n">
        <v>0</v>
      </c>
      <c r="I132" t="n">
        <v>0</v>
      </c>
      <c r="J132" t="n">
        <v>1</v>
      </c>
      <c r="K132" t="n">
        <v>0</v>
      </c>
      <c r="L132" t="n">
        <v>0</v>
      </c>
      <c r="M132" t="n">
        <v>0</v>
      </c>
      <c r="N132" t="n">
        <v>0</v>
      </c>
      <c r="O132" t="n">
        <v>1</v>
      </c>
      <c r="P132" t="n">
        <v>0</v>
      </c>
      <c r="Q132" t="n">
        <v>1</v>
      </c>
      <c r="R132" s="2" t="inlineStr">
        <is>
          <t>Granticka</t>
        </is>
      </c>
      <c r="S132">
        <f>HYPERLINK("https://klasma.github.io/Logging_2462/artfynd/A 17253-2025 artfynd.xlsx", "A 17253-2025")</f>
        <v/>
      </c>
      <c r="T132">
        <f>HYPERLINK("https://klasma.github.io/Logging_2462/kartor/A 17253-2025 karta.png", "A 17253-2025")</f>
        <v/>
      </c>
      <c r="V132">
        <f>HYPERLINK("https://klasma.github.io/Logging_2462/klagomål/A 17253-2025 FSC-klagomål.docx", "A 17253-2025")</f>
        <v/>
      </c>
      <c r="W132">
        <f>HYPERLINK("https://klasma.github.io/Logging_2462/klagomålsmail/A 17253-2025 FSC-klagomål mail.docx", "A 17253-2025")</f>
        <v/>
      </c>
      <c r="X132">
        <f>HYPERLINK("https://klasma.github.io/Logging_2462/tillsyn/A 17253-2025 tillsynsbegäran.docx", "A 17253-2025")</f>
        <v/>
      </c>
      <c r="Y132">
        <f>HYPERLINK("https://klasma.github.io/Logging_2462/tillsynsmail/A 17253-2025 tillsynsbegäran mail.docx", "A 17253-2025")</f>
        <v/>
      </c>
    </row>
    <row r="133" ht="15" customHeight="1">
      <c r="A133" t="inlineStr">
        <is>
          <t>A 13523-2025</t>
        </is>
      </c>
      <c r="B133" s="1" t="n">
        <v>45736</v>
      </c>
      <c r="C133" s="1" t="n">
        <v>45999</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13523-2025 artfynd.xlsx", "A 13523-2025")</f>
        <v/>
      </c>
      <c r="T133">
        <f>HYPERLINK("https://klasma.github.io/Logging_2462/kartor/A 13523-2025 karta.png", "A 13523-2025")</f>
        <v/>
      </c>
      <c r="V133">
        <f>HYPERLINK("https://klasma.github.io/Logging_2462/klagomål/A 13523-2025 FSC-klagomål.docx", "A 13523-2025")</f>
        <v/>
      </c>
      <c r="W133">
        <f>HYPERLINK("https://klasma.github.io/Logging_2462/klagomålsmail/A 13523-2025 FSC-klagomål mail.docx", "A 13523-2025")</f>
        <v/>
      </c>
      <c r="X133">
        <f>HYPERLINK("https://klasma.github.io/Logging_2462/tillsyn/A 13523-2025 tillsynsbegäran.docx", "A 13523-2025")</f>
        <v/>
      </c>
      <c r="Y133">
        <f>HYPERLINK("https://klasma.github.io/Logging_2462/tillsynsmail/A 13523-2025 tillsynsbegäran mail.docx", "A 13523-2025")</f>
        <v/>
      </c>
    </row>
    <row r="134" ht="15" customHeight="1">
      <c r="A134" t="inlineStr">
        <is>
          <t>A 42489-2024</t>
        </is>
      </c>
      <c r="B134" s="1" t="n">
        <v>45565</v>
      </c>
      <c r="C134" s="1" t="n">
        <v>45999</v>
      </c>
      <c r="D134" t="inlineStr">
        <is>
          <t>VÄSTERBOTTENS LÄN</t>
        </is>
      </c>
      <c r="E134" t="inlineStr">
        <is>
          <t>VILHELMINA</t>
        </is>
      </c>
      <c r="F134" t="inlineStr">
        <is>
          <t>SCA</t>
        </is>
      </c>
      <c r="G134" t="n">
        <v>1.9</v>
      </c>
      <c r="H134" t="n">
        <v>0</v>
      </c>
      <c r="I134" t="n">
        <v>0</v>
      </c>
      <c r="J134" t="n">
        <v>1</v>
      </c>
      <c r="K134" t="n">
        <v>0</v>
      </c>
      <c r="L134" t="n">
        <v>0</v>
      </c>
      <c r="M134" t="n">
        <v>0</v>
      </c>
      <c r="N134" t="n">
        <v>0</v>
      </c>
      <c r="O134" t="n">
        <v>1</v>
      </c>
      <c r="P134" t="n">
        <v>0</v>
      </c>
      <c r="Q134" t="n">
        <v>1</v>
      </c>
      <c r="R134" s="2" t="inlineStr">
        <is>
          <t>Granticka</t>
        </is>
      </c>
      <c r="S134">
        <f>HYPERLINK("https://klasma.github.io/Logging_2462/artfynd/A 42489-2024 artfynd.xlsx", "A 42489-2024")</f>
        <v/>
      </c>
      <c r="T134">
        <f>HYPERLINK("https://klasma.github.io/Logging_2462/kartor/A 42489-2024 karta.png", "A 42489-2024")</f>
        <v/>
      </c>
      <c r="V134">
        <f>HYPERLINK("https://klasma.github.io/Logging_2462/klagomål/A 42489-2024 FSC-klagomål.docx", "A 42489-2024")</f>
        <v/>
      </c>
      <c r="W134">
        <f>HYPERLINK("https://klasma.github.io/Logging_2462/klagomålsmail/A 42489-2024 FSC-klagomål mail.docx", "A 42489-2024")</f>
        <v/>
      </c>
      <c r="X134">
        <f>HYPERLINK("https://klasma.github.io/Logging_2462/tillsyn/A 42489-2024 tillsynsbegäran.docx", "A 42489-2024")</f>
        <v/>
      </c>
      <c r="Y134">
        <f>HYPERLINK("https://klasma.github.io/Logging_2462/tillsynsmail/A 42489-2024 tillsynsbegäran mail.docx", "A 42489-2024")</f>
        <v/>
      </c>
    </row>
    <row r="135" ht="15" customHeight="1">
      <c r="A135" t="inlineStr">
        <is>
          <t>A 32677-2021</t>
        </is>
      </c>
      <c r="B135" s="1" t="n">
        <v>44371</v>
      </c>
      <c r="C135" s="1" t="n">
        <v>45999</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25368-2024</t>
        </is>
      </c>
      <c r="B136" s="1" t="n">
        <v>45462</v>
      </c>
      <c r="C136" s="1" t="n">
        <v>45999</v>
      </c>
      <c r="D136" t="inlineStr">
        <is>
          <t>VÄSTERBOTTENS LÄN</t>
        </is>
      </c>
      <c r="E136" t="inlineStr">
        <is>
          <t>VILHELMINA</t>
        </is>
      </c>
      <c r="F136" t="inlineStr">
        <is>
          <t>SCA</t>
        </is>
      </c>
      <c r="G136" t="n">
        <v>2.5</v>
      </c>
      <c r="H136" t="n">
        <v>1</v>
      </c>
      <c r="I136" t="n">
        <v>0</v>
      </c>
      <c r="J136" t="n">
        <v>1</v>
      </c>
      <c r="K136" t="n">
        <v>0</v>
      </c>
      <c r="L136" t="n">
        <v>0</v>
      </c>
      <c r="M136" t="n">
        <v>0</v>
      </c>
      <c r="N136" t="n">
        <v>0</v>
      </c>
      <c r="O136" t="n">
        <v>1</v>
      </c>
      <c r="P136" t="n">
        <v>0</v>
      </c>
      <c r="Q136" t="n">
        <v>1</v>
      </c>
      <c r="R136" s="2" t="inlineStr">
        <is>
          <t>Utter</t>
        </is>
      </c>
      <c r="S136">
        <f>HYPERLINK("https://klasma.github.io/Logging_2462/artfynd/A 25368-2024 artfynd.xlsx", "A 25368-2024")</f>
        <v/>
      </c>
      <c r="T136">
        <f>HYPERLINK("https://klasma.github.io/Logging_2462/kartor/A 25368-2024 karta.png", "A 25368-2024")</f>
        <v/>
      </c>
      <c r="V136">
        <f>HYPERLINK("https://klasma.github.io/Logging_2462/klagomål/A 25368-2024 FSC-klagomål.docx", "A 25368-2024")</f>
        <v/>
      </c>
      <c r="W136">
        <f>HYPERLINK("https://klasma.github.io/Logging_2462/klagomålsmail/A 25368-2024 FSC-klagomål mail.docx", "A 25368-2024")</f>
        <v/>
      </c>
      <c r="X136">
        <f>HYPERLINK("https://klasma.github.io/Logging_2462/tillsyn/A 25368-2024 tillsynsbegäran.docx", "A 25368-2024")</f>
        <v/>
      </c>
      <c r="Y136">
        <f>HYPERLINK("https://klasma.github.io/Logging_2462/tillsynsmail/A 25368-2024 tillsynsbegäran mail.docx", "A 25368-2024")</f>
        <v/>
      </c>
    </row>
    <row r="137" ht="15" customHeight="1">
      <c r="A137" t="inlineStr">
        <is>
          <t>A 38282-2024</t>
        </is>
      </c>
      <c r="B137" s="1" t="n">
        <v>45545</v>
      </c>
      <c r="C137" s="1" t="n">
        <v>45999</v>
      </c>
      <c r="D137" t="inlineStr">
        <is>
          <t>VÄSTERBOTTENS LÄN</t>
        </is>
      </c>
      <c r="E137" t="inlineStr">
        <is>
          <t>VILHELMINA</t>
        </is>
      </c>
      <c r="F137" t="inlineStr">
        <is>
          <t>SCA</t>
        </is>
      </c>
      <c r="G137" t="n">
        <v>3.4</v>
      </c>
      <c r="H137" t="n">
        <v>0</v>
      </c>
      <c r="I137" t="n">
        <v>0</v>
      </c>
      <c r="J137" t="n">
        <v>1</v>
      </c>
      <c r="K137" t="n">
        <v>0</v>
      </c>
      <c r="L137" t="n">
        <v>0</v>
      </c>
      <c r="M137" t="n">
        <v>0</v>
      </c>
      <c r="N137" t="n">
        <v>0</v>
      </c>
      <c r="O137" t="n">
        <v>1</v>
      </c>
      <c r="P137" t="n">
        <v>0</v>
      </c>
      <c r="Q137" t="n">
        <v>1</v>
      </c>
      <c r="R137" s="2" t="inlineStr">
        <is>
          <t>Gränsticka</t>
        </is>
      </c>
      <c r="S137">
        <f>HYPERLINK("https://klasma.github.io/Logging_2462/artfynd/A 38282-2024 artfynd.xlsx", "A 38282-2024")</f>
        <v/>
      </c>
      <c r="T137">
        <f>HYPERLINK("https://klasma.github.io/Logging_2462/kartor/A 38282-2024 karta.png", "A 38282-2024")</f>
        <v/>
      </c>
      <c r="V137">
        <f>HYPERLINK("https://klasma.github.io/Logging_2462/klagomål/A 38282-2024 FSC-klagomål.docx", "A 38282-2024")</f>
        <v/>
      </c>
      <c r="W137">
        <f>HYPERLINK("https://klasma.github.io/Logging_2462/klagomålsmail/A 38282-2024 FSC-klagomål mail.docx", "A 38282-2024")</f>
        <v/>
      </c>
      <c r="X137">
        <f>HYPERLINK("https://klasma.github.io/Logging_2462/tillsyn/A 38282-2024 tillsynsbegäran.docx", "A 38282-2024")</f>
        <v/>
      </c>
      <c r="Y137">
        <f>HYPERLINK("https://klasma.github.io/Logging_2462/tillsynsmail/A 38282-2024 tillsynsbegäran mail.docx", "A 38282-2024")</f>
        <v/>
      </c>
    </row>
    <row r="138" ht="15" customHeight="1">
      <c r="A138" t="inlineStr">
        <is>
          <t>A 60369-2021</t>
        </is>
      </c>
      <c r="B138" s="1" t="n">
        <v>44494</v>
      </c>
      <c r="C138" s="1" t="n">
        <v>45999</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33913-2024</t>
        </is>
      </c>
      <c r="B139" s="1" t="n">
        <v>45523.38783564815</v>
      </c>
      <c r="C139" s="1" t="n">
        <v>45999</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33913-2024 artfynd.xlsx", "A 33913-2024")</f>
        <v/>
      </c>
      <c r="T139">
        <f>HYPERLINK("https://klasma.github.io/Logging_2462/kartor/A 33913-2024 karta.png", "A 33913-2024")</f>
        <v/>
      </c>
      <c r="V139">
        <f>HYPERLINK("https://klasma.github.io/Logging_2462/klagomål/A 33913-2024 FSC-klagomål.docx", "A 33913-2024")</f>
        <v/>
      </c>
      <c r="W139">
        <f>HYPERLINK("https://klasma.github.io/Logging_2462/klagomålsmail/A 33913-2024 FSC-klagomål mail.docx", "A 33913-2024")</f>
        <v/>
      </c>
      <c r="X139">
        <f>HYPERLINK("https://klasma.github.io/Logging_2462/tillsyn/A 33913-2024 tillsynsbegäran.docx", "A 33913-2024")</f>
        <v/>
      </c>
      <c r="Y139">
        <f>HYPERLINK("https://klasma.github.io/Logging_2462/tillsynsmail/A 33913-2024 tillsynsbegäran mail.docx", "A 33913-2024")</f>
        <v/>
      </c>
    </row>
    <row r="140" ht="15" customHeight="1">
      <c r="A140" t="inlineStr">
        <is>
          <t>A 34769-2024</t>
        </is>
      </c>
      <c r="B140" s="1" t="n">
        <v>45526.62043981482</v>
      </c>
      <c r="C140" s="1" t="n">
        <v>45999</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45999</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29317-2023</t>
        </is>
      </c>
      <c r="B142" s="1" t="n">
        <v>45105</v>
      </c>
      <c r="C142" s="1" t="n">
        <v>45999</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38929-2025</t>
        </is>
      </c>
      <c r="B143" s="1" t="n">
        <v>45887</v>
      </c>
      <c r="C143" s="1" t="n">
        <v>45999</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34730-2024</t>
        </is>
      </c>
      <c r="B144" s="1" t="n">
        <v>45526</v>
      </c>
      <c r="C144" s="1" t="n">
        <v>45999</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47248-2024</t>
        </is>
      </c>
      <c r="B145" s="1" t="n">
        <v>45586</v>
      </c>
      <c r="C145" s="1" t="n">
        <v>45999</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74395-2021</t>
        </is>
      </c>
      <c r="B146" s="1" t="n">
        <v>44560</v>
      </c>
      <c r="C146" s="1" t="n">
        <v>45999</v>
      </c>
      <c r="D146" t="inlineStr">
        <is>
          <t>VÄSTERBOTTENS LÄN</t>
        </is>
      </c>
      <c r="E146" t="inlineStr">
        <is>
          <t>VILHELMINA</t>
        </is>
      </c>
      <c r="G146" t="n">
        <v>37.6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74395-2021 artfynd.xlsx", "A 74395-2021")</f>
        <v/>
      </c>
      <c r="T146">
        <f>HYPERLINK("https://klasma.github.io/Logging_2462/kartor/A 74395-2021 karta.png", "A 74395-2021")</f>
        <v/>
      </c>
      <c r="V146">
        <f>HYPERLINK("https://klasma.github.io/Logging_2462/klagomål/A 74395-2021 FSC-klagomål.docx", "A 74395-2021")</f>
        <v/>
      </c>
      <c r="W146">
        <f>HYPERLINK("https://klasma.github.io/Logging_2462/klagomålsmail/A 74395-2021 FSC-klagomål mail.docx", "A 74395-2021")</f>
        <v/>
      </c>
      <c r="X146">
        <f>HYPERLINK("https://klasma.github.io/Logging_2462/tillsyn/A 74395-2021 tillsynsbegäran.docx", "A 74395-2021")</f>
        <v/>
      </c>
      <c r="Y146">
        <f>HYPERLINK("https://klasma.github.io/Logging_2462/tillsynsmail/A 74395-2021 tillsynsbegäran mail.docx", "A 74395-2021")</f>
        <v/>
      </c>
      <c r="Z146">
        <f>HYPERLINK("https://klasma.github.io/Logging_2462/fåglar/A 74395-2021 prioriterade fågelarter.docx", "A 74395-2021")</f>
        <v/>
      </c>
    </row>
    <row r="147" ht="15" customHeight="1">
      <c r="A147" t="inlineStr">
        <is>
          <t>A 25977-2025</t>
        </is>
      </c>
      <c r="B147" s="1" t="n">
        <v>45804</v>
      </c>
      <c r="C147" s="1" t="n">
        <v>45999</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29434-2025</t>
        </is>
      </c>
      <c r="B148" s="1" t="n">
        <v>45824</v>
      </c>
      <c r="C148" s="1" t="n">
        <v>45999</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25374-2024</t>
        </is>
      </c>
      <c r="B149" s="1" t="n">
        <v>45462.96118055555</v>
      </c>
      <c r="C149" s="1" t="n">
        <v>45999</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48741-2025</t>
        </is>
      </c>
      <c r="B150" s="1" t="n">
        <v>45936</v>
      </c>
      <c r="C150" s="1" t="n">
        <v>45999</v>
      </c>
      <c r="D150" t="inlineStr">
        <is>
          <t>VÄSTERBOTTENS LÄN</t>
        </is>
      </c>
      <c r="E150" t="inlineStr">
        <is>
          <t>VILHELMINA</t>
        </is>
      </c>
      <c r="F150" t="inlineStr">
        <is>
          <t>SCA</t>
        </is>
      </c>
      <c r="G150" t="n">
        <v>4.6</v>
      </c>
      <c r="H150" t="n">
        <v>0</v>
      </c>
      <c r="I150" t="n">
        <v>0</v>
      </c>
      <c r="J150" t="n">
        <v>1</v>
      </c>
      <c r="K150" t="n">
        <v>0</v>
      </c>
      <c r="L150" t="n">
        <v>0</v>
      </c>
      <c r="M150" t="n">
        <v>0</v>
      </c>
      <c r="N150" t="n">
        <v>0</v>
      </c>
      <c r="O150" t="n">
        <v>1</v>
      </c>
      <c r="P150" t="n">
        <v>0</v>
      </c>
      <c r="Q150" t="n">
        <v>1</v>
      </c>
      <c r="R150" s="2" t="inlineStr">
        <is>
          <t>Ullticka</t>
        </is>
      </c>
      <c r="S150">
        <f>HYPERLINK("https://klasma.github.io/Logging_2462/artfynd/A 48741-2025 artfynd.xlsx", "A 48741-2025")</f>
        <v/>
      </c>
      <c r="T150">
        <f>HYPERLINK("https://klasma.github.io/Logging_2462/kartor/A 48741-2025 karta.png", "A 48741-2025")</f>
        <v/>
      </c>
      <c r="V150">
        <f>HYPERLINK("https://klasma.github.io/Logging_2462/klagomål/A 48741-2025 FSC-klagomål.docx", "A 48741-2025")</f>
        <v/>
      </c>
      <c r="W150">
        <f>HYPERLINK("https://klasma.github.io/Logging_2462/klagomålsmail/A 48741-2025 FSC-klagomål mail.docx", "A 48741-2025")</f>
        <v/>
      </c>
      <c r="X150">
        <f>HYPERLINK("https://klasma.github.io/Logging_2462/tillsyn/A 48741-2025 tillsynsbegäran.docx", "A 48741-2025")</f>
        <v/>
      </c>
      <c r="Y150">
        <f>HYPERLINK("https://klasma.github.io/Logging_2462/tillsynsmail/A 48741-2025 tillsynsbegäran mail.docx", "A 48741-2025")</f>
        <v/>
      </c>
    </row>
    <row r="151" ht="15" customHeight="1">
      <c r="A151" t="inlineStr">
        <is>
          <t>A 29121-2025</t>
        </is>
      </c>
      <c r="B151" s="1" t="n">
        <v>45821</v>
      </c>
      <c r="C151" s="1" t="n">
        <v>45999</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59664-2023</t>
        </is>
      </c>
      <c r="B152" s="1" t="n">
        <v>45254</v>
      </c>
      <c r="C152" s="1" t="n">
        <v>45999</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38131-2024</t>
        </is>
      </c>
      <c r="B153" s="1" t="n">
        <v>45545</v>
      </c>
      <c r="C153" s="1" t="n">
        <v>45999</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59001-2024</t>
        </is>
      </c>
      <c r="B154" s="1" t="n">
        <v>45636</v>
      </c>
      <c r="C154" s="1" t="n">
        <v>45999</v>
      </c>
      <c r="D154" t="inlineStr">
        <is>
          <t>VÄSTERBOTTENS LÄN</t>
        </is>
      </c>
      <c r="E154" t="inlineStr">
        <is>
          <t>VILHELMINA</t>
        </is>
      </c>
      <c r="F154" t="inlineStr">
        <is>
          <t>Allmännings- och besparingsskogar</t>
        </is>
      </c>
      <c r="G154" t="n">
        <v>32.5</v>
      </c>
      <c r="H154" t="n">
        <v>0</v>
      </c>
      <c r="I154" t="n">
        <v>0</v>
      </c>
      <c r="J154" t="n">
        <v>1</v>
      </c>
      <c r="K154" t="n">
        <v>0</v>
      </c>
      <c r="L154" t="n">
        <v>0</v>
      </c>
      <c r="M154" t="n">
        <v>0</v>
      </c>
      <c r="N154" t="n">
        <v>0</v>
      </c>
      <c r="O154" t="n">
        <v>1</v>
      </c>
      <c r="P154" t="n">
        <v>0</v>
      </c>
      <c r="Q154" t="n">
        <v>1</v>
      </c>
      <c r="R154" s="2" t="inlineStr">
        <is>
          <t>Gammelgransskål</t>
        </is>
      </c>
      <c r="S154">
        <f>HYPERLINK("https://klasma.github.io/Logging_2462/artfynd/A 59001-2024 artfynd.xlsx", "A 59001-2024")</f>
        <v/>
      </c>
      <c r="T154">
        <f>HYPERLINK("https://klasma.github.io/Logging_2462/kartor/A 59001-2024 karta.png", "A 59001-2024")</f>
        <v/>
      </c>
      <c r="V154">
        <f>HYPERLINK("https://klasma.github.io/Logging_2462/klagomål/A 59001-2024 FSC-klagomål.docx", "A 59001-2024")</f>
        <v/>
      </c>
      <c r="W154">
        <f>HYPERLINK("https://klasma.github.io/Logging_2462/klagomålsmail/A 59001-2024 FSC-klagomål mail.docx", "A 59001-2024")</f>
        <v/>
      </c>
      <c r="X154">
        <f>HYPERLINK("https://klasma.github.io/Logging_2462/tillsyn/A 59001-2024 tillsynsbegäran.docx", "A 59001-2024")</f>
        <v/>
      </c>
      <c r="Y154">
        <f>HYPERLINK("https://klasma.github.io/Logging_2462/tillsynsmail/A 59001-2024 tillsynsbegäran mail.docx", "A 59001-2024")</f>
        <v/>
      </c>
    </row>
    <row r="155" ht="15" customHeight="1">
      <c r="A155" t="inlineStr">
        <is>
          <t>A 11832-2023</t>
        </is>
      </c>
      <c r="B155" s="1" t="n">
        <v>44994</v>
      </c>
      <c r="C155" s="1" t="n">
        <v>45999</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44286-2024</t>
        </is>
      </c>
      <c r="B156" s="1" t="n">
        <v>45573</v>
      </c>
      <c r="C156" s="1" t="n">
        <v>45999</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45999</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38416-2022</t>
        </is>
      </c>
      <c r="B158" s="1" t="n">
        <v>44812</v>
      </c>
      <c r="C158" s="1" t="n">
        <v>45999</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45999</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45999</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45999</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45999</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45999</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45999</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45999</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45999</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45999</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45999</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45999</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45999</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45999</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45999</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45999</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45999</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45999</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45999</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45999</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45999</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45999</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45999</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32665-2021</t>
        </is>
      </c>
      <c r="B181" s="1" t="n">
        <v>44371</v>
      </c>
      <c r="C181" s="1" t="n">
        <v>45999</v>
      </c>
      <c r="D181" t="inlineStr">
        <is>
          <t>VÄSTERBOTTENS LÄN</t>
        </is>
      </c>
      <c r="E181" t="inlineStr">
        <is>
          <t>VILHELMINA</t>
        </is>
      </c>
      <c r="G181" t="n">
        <v>2.9</v>
      </c>
      <c r="H181" t="n">
        <v>0</v>
      </c>
      <c r="I181" t="n">
        <v>0</v>
      </c>
      <c r="J181" t="n">
        <v>0</v>
      </c>
      <c r="K181" t="n">
        <v>0</v>
      </c>
      <c r="L181" t="n">
        <v>0</v>
      </c>
      <c r="M181" t="n">
        <v>0</v>
      </c>
      <c r="N181" t="n">
        <v>0</v>
      </c>
      <c r="O181" t="n">
        <v>0</v>
      </c>
      <c r="P181" t="n">
        <v>0</v>
      </c>
      <c r="Q181" t="n">
        <v>0</v>
      </c>
      <c r="R181" s="2" t="inlineStr"/>
    </row>
    <row r="182" ht="15" customHeight="1">
      <c r="A182" t="inlineStr">
        <is>
          <t>A 44136-2021</t>
        </is>
      </c>
      <c r="B182" s="1" t="n">
        <v>44434</v>
      </c>
      <c r="C182" s="1" t="n">
        <v>45999</v>
      </c>
      <c r="D182" t="inlineStr">
        <is>
          <t>VÄSTERBOTTENS LÄN</t>
        </is>
      </c>
      <c r="E182" t="inlineStr">
        <is>
          <t>VILHELMINA</t>
        </is>
      </c>
      <c r="F182" t="inlineStr">
        <is>
          <t>Sveaskog</t>
        </is>
      </c>
      <c r="G182" t="n">
        <v>11.2</v>
      </c>
      <c r="H182" t="n">
        <v>0</v>
      </c>
      <c r="I182" t="n">
        <v>0</v>
      </c>
      <c r="J182" t="n">
        <v>0</v>
      </c>
      <c r="K182" t="n">
        <v>0</v>
      </c>
      <c r="L182" t="n">
        <v>0</v>
      </c>
      <c r="M182" t="n">
        <v>0</v>
      </c>
      <c r="N182" t="n">
        <v>0</v>
      </c>
      <c r="O182" t="n">
        <v>0</v>
      </c>
      <c r="P182" t="n">
        <v>0</v>
      </c>
      <c r="Q182" t="n">
        <v>0</v>
      </c>
      <c r="R182" s="2" t="inlineStr"/>
    </row>
    <row r="183" ht="15" customHeight="1">
      <c r="A183" t="inlineStr">
        <is>
          <t>A 40471-2021</t>
        </is>
      </c>
      <c r="B183" s="1" t="n">
        <v>44419.94237268518</v>
      </c>
      <c r="C183" s="1" t="n">
        <v>45999</v>
      </c>
      <c r="D183" t="inlineStr">
        <is>
          <t>VÄSTERBOTTENS LÄN</t>
        </is>
      </c>
      <c r="E183" t="inlineStr">
        <is>
          <t>VILHELMINA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40476-2021</t>
        </is>
      </c>
      <c r="B184" s="1" t="n">
        <v>44419.94289351852</v>
      </c>
      <c r="C184" s="1" t="n">
        <v>45999</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40477-2021</t>
        </is>
      </c>
      <c r="B185" s="1" t="n">
        <v>44419.94302083334</v>
      </c>
      <c r="C185" s="1" t="n">
        <v>45999</v>
      </c>
      <c r="D185" t="inlineStr">
        <is>
          <t>VÄSTERBOTTENS LÄN</t>
        </is>
      </c>
      <c r="E185" t="inlineStr">
        <is>
          <t>VILHELMINA</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30018-2022</t>
        </is>
      </c>
      <c r="B186" s="1" t="n">
        <v>44756</v>
      </c>
      <c r="C186" s="1" t="n">
        <v>45999</v>
      </c>
      <c r="D186" t="inlineStr">
        <is>
          <t>VÄSTERBOTTENS LÄN</t>
        </is>
      </c>
      <c r="E186" t="inlineStr">
        <is>
          <t>VILHELMINA</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48527-2022</t>
        </is>
      </c>
      <c r="B187" s="1" t="n">
        <v>44858.95158564814</v>
      </c>
      <c r="C187" s="1" t="n">
        <v>45999</v>
      </c>
      <c r="D187" t="inlineStr">
        <is>
          <t>VÄSTERBOTTENS LÄN</t>
        </is>
      </c>
      <c r="E187" t="inlineStr">
        <is>
          <t>VILHELMINA</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36139-2021</t>
        </is>
      </c>
      <c r="B188" s="1" t="n">
        <v>44389.5819675926</v>
      </c>
      <c r="C188" s="1" t="n">
        <v>45999</v>
      </c>
      <c r="D188" t="inlineStr">
        <is>
          <t>VÄSTERBOTTENS LÄN</t>
        </is>
      </c>
      <c r="E188" t="inlineStr">
        <is>
          <t>VILHELMINA</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43755-2021</t>
        </is>
      </c>
      <c r="B189" s="1" t="n">
        <v>44433</v>
      </c>
      <c r="C189" s="1" t="n">
        <v>45999</v>
      </c>
      <c r="D189" t="inlineStr">
        <is>
          <t>VÄSTERBOTTENS LÄN</t>
        </is>
      </c>
      <c r="E189" t="inlineStr">
        <is>
          <t>VILHELMINA</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29555-2022</t>
        </is>
      </c>
      <c r="B190" s="1" t="n">
        <v>44754</v>
      </c>
      <c r="C190" s="1" t="n">
        <v>45999</v>
      </c>
      <c r="D190" t="inlineStr">
        <is>
          <t>VÄSTERBOTTENS LÄN</t>
        </is>
      </c>
      <c r="E190" t="inlineStr">
        <is>
          <t>VILHELMINA</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18971-2021</t>
        </is>
      </c>
      <c r="B191" s="1" t="n">
        <v>44307</v>
      </c>
      <c r="C191" s="1" t="n">
        <v>45999</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70854-2021</t>
        </is>
      </c>
      <c r="B192" s="1" t="n">
        <v>44532</v>
      </c>
      <c r="C192" s="1" t="n">
        <v>45999</v>
      </c>
      <c r="D192" t="inlineStr">
        <is>
          <t>VÄSTERBOTTENS LÄN</t>
        </is>
      </c>
      <c r="E192" t="inlineStr">
        <is>
          <t>VILHELMINA</t>
        </is>
      </c>
      <c r="G192" t="n">
        <v>2.6</v>
      </c>
      <c r="H192" t="n">
        <v>0</v>
      </c>
      <c r="I192" t="n">
        <v>0</v>
      </c>
      <c r="J192" t="n">
        <v>0</v>
      </c>
      <c r="K192" t="n">
        <v>0</v>
      </c>
      <c r="L192" t="n">
        <v>0</v>
      </c>
      <c r="M192" t="n">
        <v>0</v>
      </c>
      <c r="N192" t="n">
        <v>0</v>
      </c>
      <c r="O192" t="n">
        <v>0</v>
      </c>
      <c r="P192" t="n">
        <v>0</v>
      </c>
      <c r="Q192" t="n">
        <v>0</v>
      </c>
      <c r="R192" s="2" t="inlineStr"/>
    </row>
    <row r="193" ht="15" customHeight="1">
      <c r="A193" t="inlineStr">
        <is>
          <t>A 46375-2021</t>
        </is>
      </c>
      <c r="B193" s="1" t="n">
        <v>44442</v>
      </c>
      <c r="C193" s="1" t="n">
        <v>45999</v>
      </c>
      <c r="D193" t="inlineStr">
        <is>
          <t>VÄSTERBOTTENS LÄN</t>
        </is>
      </c>
      <c r="E193" t="inlineStr">
        <is>
          <t>VILHELMINA</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27874-2022</t>
        </is>
      </c>
      <c r="B194" s="1" t="n">
        <v>44743</v>
      </c>
      <c r="C194" s="1" t="n">
        <v>45999</v>
      </c>
      <c r="D194" t="inlineStr">
        <is>
          <t>VÄSTERBOTTENS LÄN</t>
        </is>
      </c>
      <c r="E194" t="inlineStr">
        <is>
          <t>VILHELMINA</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27880-2022</t>
        </is>
      </c>
      <c r="B195" s="1" t="n">
        <v>44743</v>
      </c>
      <c r="C195" s="1" t="n">
        <v>45999</v>
      </c>
      <c r="D195" t="inlineStr">
        <is>
          <t>VÄSTERBOTTENS LÄN</t>
        </is>
      </c>
      <c r="E195" t="inlineStr">
        <is>
          <t>VILHELMINA</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43714-2022</t>
        </is>
      </c>
      <c r="B196" s="1" t="n">
        <v>44837.66417824074</v>
      </c>
      <c r="C196" s="1" t="n">
        <v>45999</v>
      </c>
      <c r="D196" t="inlineStr">
        <is>
          <t>VÄSTERBOTTENS LÄN</t>
        </is>
      </c>
      <c r="E196" t="inlineStr">
        <is>
          <t>VILHELMINA</t>
        </is>
      </c>
      <c r="G196" t="n">
        <v>8.9</v>
      </c>
      <c r="H196" t="n">
        <v>0</v>
      </c>
      <c r="I196" t="n">
        <v>0</v>
      </c>
      <c r="J196" t="n">
        <v>0</v>
      </c>
      <c r="K196" t="n">
        <v>0</v>
      </c>
      <c r="L196" t="n">
        <v>0</v>
      </c>
      <c r="M196" t="n">
        <v>0</v>
      </c>
      <c r="N196" t="n">
        <v>0</v>
      </c>
      <c r="O196" t="n">
        <v>0</v>
      </c>
      <c r="P196" t="n">
        <v>0</v>
      </c>
      <c r="Q196" t="n">
        <v>0</v>
      </c>
      <c r="R196" s="2" t="inlineStr"/>
    </row>
    <row r="197" ht="15" customHeight="1">
      <c r="A197" t="inlineStr">
        <is>
          <t>A 47287-2022</t>
        </is>
      </c>
      <c r="B197" s="1" t="n">
        <v>44852.95145833334</v>
      </c>
      <c r="C197" s="1" t="n">
        <v>45999</v>
      </c>
      <c r="D197" t="inlineStr">
        <is>
          <t>VÄSTERBOTTENS LÄN</t>
        </is>
      </c>
      <c r="E197" t="inlineStr">
        <is>
          <t>VILHELMINA</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47288-2022</t>
        </is>
      </c>
      <c r="B198" s="1" t="n">
        <v>44852</v>
      </c>
      <c r="C198" s="1" t="n">
        <v>45999</v>
      </c>
      <c r="D198" t="inlineStr">
        <is>
          <t>VÄSTERBOTTENS LÄN</t>
        </is>
      </c>
      <c r="E198" t="inlineStr">
        <is>
          <t>VILHELMINA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39389-2022</t>
        </is>
      </c>
      <c r="B199" s="1" t="n">
        <v>44817</v>
      </c>
      <c r="C199" s="1" t="n">
        <v>45999</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45999</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69362-2021</t>
        </is>
      </c>
      <c r="B201" s="1" t="n">
        <v>44531</v>
      </c>
      <c r="C201" s="1" t="n">
        <v>45999</v>
      </c>
      <c r="D201" t="inlineStr">
        <is>
          <t>VÄSTERBOTTENS LÄN</t>
        </is>
      </c>
      <c r="E201" t="inlineStr">
        <is>
          <t>VILHELMINA</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69848-2021</t>
        </is>
      </c>
      <c r="B202" s="1" t="n">
        <v>44532</v>
      </c>
      <c r="C202" s="1" t="n">
        <v>45999</v>
      </c>
      <c r="D202" t="inlineStr">
        <is>
          <t>VÄSTERBOTTENS LÄN</t>
        </is>
      </c>
      <c r="E202" t="inlineStr">
        <is>
          <t>VILHELMINA</t>
        </is>
      </c>
      <c r="G202" t="n">
        <v>2.5</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45999</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45999</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45999</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45999</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31722-2021</t>
        </is>
      </c>
      <c r="B207" s="1" t="n">
        <v>44369.91984953704</v>
      </c>
      <c r="C207" s="1" t="n">
        <v>45999</v>
      </c>
      <c r="D207" t="inlineStr">
        <is>
          <t>VÄSTERBOTTENS LÄN</t>
        </is>
      </c>
      <c r="E207" t="inlineStr">
        <is>
          <t>VILHELMINA</t>
        </is>
      </c>
      <c r="G207" t="n">
        <v>2.8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45999</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62658-2021</t>
        </is>
      </c>
      <c r="B209" s="1" t="n">
        <v>44503</v>
      </c>
      <c r="C209" s="1" t="n">
        <v>45999</v>
      </c>
      <c r="D209" t="inlineStr">
        <is>
          <t>VÄSTERBOTTENS LÄN</t>
        </is>
      </c>
      <c r="E209" t="inlineStr">
        <is>
          <t>VILHELMINA</t>
        </is>
      </c>
      <c r="F209" t="inlineStr">
        <is>
          <t>SCA</t>
        </is>
      </c>
      <c r="G209" t="n">
        <v>13.4</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45999</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45999</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45999</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45999</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10075-2021</t>
        </is>
      </c>
      <c r="B214" s="1" t="n">
        <v>44253</v>
      </c>
      <c r="C214" s="1" t="n">
        <v>45999</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18996-2022</t>
        </is>
      </c>
      <c r="B215" s="1" t="n">
        <v>44690</v>
      </c>
      <c r="C215" s="1" t="n">
        <v>45999</v>
      </c>
      <c r="D215" t="inlineStr">
        <is>
          <t>VÄSTERBOTTENS LÄN</t>
        </is>
      </c>
      <c r="E215" t="inlineStr">
        <is>
          <t>VILHELMINA</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2193-2021</t>
        </is>
      </c>
      <c r="B216" s="1" t="n">
        <v>44211</v>
      </c>
      <c r="C216" s="1" t="n">
        <v>45999</v>
      </c>
      <c r="D216" t="inlineStr">
        <is>
          <t>VÄSTERBOTTENS LÄN</t>
        </is>
      </c>
      <c r="E216" t="inlineStr">
        <is>
          <t>VILHELMINA</t>
        </is>
      </c>
      <c r="F216" t="inlineStr">
        <is>
          <t>Allmännings- och besparingsskogar</t>
        </is>
      </c>
      <c r="G216" t="n">
        <v>157.8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45999</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9732-2022</t>
        </is>
      </c>
      <c r="B218" s="1" t="n">
        <v>44617.9343287037</v>
      </c>
      <c r="C218" s="1" t="n">
        <v>45999</v>
      </c>
      <c r="D218" t="inlineStr">
        <is>
          <t>VÄSTERBOTTENS LÄN</t>
        </is>
      </c>
      <c r="E218" t="inlineStr">
        <is>
          <t>VILHELMINA</t>
        </is>
      </c>
      <c r="F218" t="inlineStr">
        <is>
          <t>SCA</t>
        </is>
      </c>
      <c r="G218" t="n">
        <v>6.9</v>
      </c>
      <c r="H218" t="n">
        <v>0</v>
      </c>
      <c r="I218" t="n">
        <v>0</v>
      </c>
      <c r="J218" t="n">
        <v>0</v>
      </c>
      <c r="K218" t="n">
        <v>0</v>
      </c>
      <c r="L218" t="n">
        <v>0</v>
      </c>
      <c r="M218" t="n">
        <v>0</v>
      </c>
      <c r="N218" t="n">
        <v>0</v>
      </c>
      <c r="O218" t="n">
        <v>0</v>
      </c>
      <c r="P218" t="n">
        <v>0</v>
      </c>
      <c r="Q218" t="n">
        <v>0</v>
      </c>
      <c r="R218" s="2" t="inlineStr"/>
    </row>
    <row r="219" ht="15" customHeight="1">
      <c r="A219" t="inlineStr">
        <is>
          <t>A 2189-2021</t>
        </is>
      </c>
      <c r="B219" s="1" t="n">
        <v>44211</v>
      </c>
      <c r="C219" s="1" t="n">
        <v>45999</v>
      </c>
      <c r="D219" t="inlineStr">
        <is>
          <t>VÄSTERBOTTENS LÄN</t>
        </is>
      </c>
      <c r="E219" t="inlineStr">
        <is>
          <t>VILHELMINA</t>
        </is>
      </c>
      <c r="F219" t="inlineStr">
        <is>
          <t>Allmännings- och besparingsskogar</t>
        </is>
      </c>
      <c r="G219" t="n">
        <v>20.1</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45999</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27879-2022</t>
        </is>
      </c>
      <c r="B221" s="1" t="n">
        <v>44743</v>
      </c>
      <c r="C221" s="1" t="n">
        <v>45999</v>
      </c>
      <c r="D221" t="inlineStr">
        <is>
          <t>VÄSTERBOTTENS LÄN</t>
        </is>
      </c>
      <c r="E221" t="inlineStr">
        <is>
          <t>VILHELMINA</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27935-2022</t>
        </is>
      </c>
      <c r="B222" s="1" t="n">
        <v>44743.94269675926</v>
      </c>
      <c r="C222" s="1" t="n">
        <v>45999</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35686-2022</t>
        </is>
      </c>
      <c r="B223" s="1" t="n">
        <v>44799</v>
      </c>
      <c r="C223" s="1" t="n">
        <v>45999</v>
      </c>
      <c r="D223" t="inlineStr">
        <is>
          <t>VÄSTERBOTTENS LÄN</t>
        </is>
      </c>
      <c r="E223" t="inlineStr">
        <is>
          <t>VILHELMINA</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28895-2021</t>
        </is>
      </c>
      <c r="B224" s="1" t="n">
        <v>44357</v>
      </c>
      <c r="C224" s="1" t="n">
        <v>45999</v>
      </c>
      <c r="D224" t="inlineStr">
        <is>
          <t>VÄSTERBOTTENS LÄN</t>
        </is>
      </c>
      <c r="E224" t="inlineStr">
        <is>
          <t>VILHELMINA</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56179-2022</t>
        </is>
      </c>
      <c r="B225" s="1" t="n">
        <v>44889.94913194444</v>
      </c>
      <c r="C225" s="1" t="n">
        <v>45999</v>
      </c>
      <c r="D225" t="inlineStr">
        <is>
          <t>VÄSTERBOTTENS LÄN</t>
        </is>
      </c>
      <c r="E225" t="inlineStr">
        <is>
          <t>VILHELMINA</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72488-2021</t>
        </is>
      </c>
      <c r="B226" s="1" t="n">
        <v>44545.9203587963</v>
      </c>
      <c r="C226" s="1" t="n">
        <v>45999</v>
      </c>
      <c r="D226" t="inlineStr">
        <is>
          <t>VÄSTERBOTTENS LÄN</t>
        </is>
      </c>
      <c r="E226" t="inlineStr">
        <is>
          <t>VILHELMINA</t>
        </is>
      </c>
      <c r="G226" t="n">
        <v>2</v>
      </c>
      <c r="H226" t="n">
        <v>0</v>
      </c>
      <c r="I226" t="n">
        <v>0</v>
      </c>
      <c r="J226" t="n">
        <v>0</v>
      </c>
      <c r="K226" t="n">
        <v>0</v>
      </c>
      <c r="L226" t="n">
        <v>0</v>
      </c>
      <c r="M226" t="n">
        <v>0</v>
      </c>
      <c r="N226" t="n">
        <v>0</v>
      </c>
      <c r="O226" t="n">
        <v>0</v>
      </c>
      <c r="P226" t="n">
        <v>0</v>
      </c>
      <c r="Q226" t="n">
        <v>0</v>
      </c>
      <c r="R226" s="2" t="inlineStr"/>
    </row>
    <row r="227" ht="15" customHeight="1">
      <c r="A227" t="inlineStr">
        <is>
          <t>A 72493-2021</t>
        </is>
      </c>
      <c r="B227" s="1" t="n">
        <v>44545</v>
      </c>
      <c r="C227" s="1" t="n">
        <v>45999</v>
      </c>
      <c r="D227" t="inlineStr">
        <is>
          <t>VÄSTERBOTTENS LÄN</t>
        </is>
      </c>
      <c r="E227" t="inlineStr">
        <is>
          <t>VILHELMINA</t>
        </is>
      </c>
      <c r="G227" t="n">
        <v>4.2</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45999</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24983-2021</t>
        </is>
      </c>
      <c r="B229" s="1" t="n">
        <v>44341</v>
      </c>
      <c r="C229" s="1" t="n">
        <v>45999</v>
      </c>
      <c r="D229" t="inlineStr">
        <is>
          <t>VÄSTERBOTTENS LÄN</t>
        </is>
      </c>
      <c r="E229" t="inlineStr">
        <is>
          <t>VILHELMINA</t>
        </is>
      </c>
      <c r="G229" t="n">
        <v>12.9</v>
      </c>
      <c r="H229" t="n">
        <v>0</v>
      </c>
      <c r="I229" t="n">
        <v>0</v>
      </c>
      <c r="J229" t="n">
        <v>0</v>
      </c>
      <c r="K229" t="n">
        <v>0</v>
      </c>
      <c r="L229" t="n">
        <v>0</v>
      </c>
      <c r="M229" t="n">
        <v>0</v>
      </c>
      <c r="N229" t="n">
        <v>0</v>
      </c>
      <c r="O229" t="n">
        <v>0</v>
      </c>
      <c r="P229" t="n">
        <v>0</v>
      </c>
      <c r="Q229" t="n">
        <v>0</v>
      </c>
      <c r="R229" s="2" t="inlineStr"/>
    </row>
    <row r="230" ht="15" customHeight="1">
      <c r="A230" t="inlineStr">
        <is>
          <t>A 12065-2022</t>
        </is>
      </c>
      <c r="B230" s="1" t="n">
        <v>44637</v>
      </c>
      <c r="C230" s="1" t="n">
        <v>45999</v>
      </c>
      <c r="D230" t="inlineStr">
        <is>
          <t>VÄSTERBOTTENS LÄN</t>
        </is>
      </c>
      <c r="E230" t="inlineStr">
        <is>
          <t>VILHELMINA</t>
        </is>
      </c>
      <c r="G230" t="n">
        <v>27.7</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45999</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48600-2021</t>
        </is>
      </c>
      <c r="B232" s="1" t="n">
        <v>44452</v>
      </c>
      <c r="C232" s="1" t="n">
        <v>45999</v>
      </c>
      <c r="D232" t="inlineStr">
        <is>
          <t>VÄSTERBOTTENS LÄN</t>
        </is>
      </c>
      <c r="E232" t="inlineStr">
        <is>
          <t>VILHELMINA</t>
        </is>
      </c>
      <c r="F232" t="inlineStr">
        <is>
          <t>Allmännings- och besparingsskogar</t>
        </is>
      </c>
      <c r="G232" t="n">
        <v>48.6</v>
      </c>
      <c r="H232" t="n">
        <v>0</v>
      </c>
      <c r="I232" t="n">
        <v>0</v>
      </c>
      <c r="J232" t="n">
        <v>0</v>
      </c>
      <c r="K232" t="n">
        <v>0</v>
      </c>
      <c r="L232" t="n">
        <v>0</v>
      </c>
      <c r="M232" t="n">
        <v>0</v>
      </c>
      <c r="N232" t="n">
        <v>0</v>
      </c>
      <c r="O232" t="n">
        <v>0</v>
      </c>
      <c r="P232" t="n">
        <v>0</v>
      </c>
      <c r="Q232" t="n">
        <v>0</v>
      </c>
      <c r="R232" s="2" t="inlineStr"/>
    </row>
    <row r="233" ht="15" customHeight="1">
      <c r="A233" t="inlineStr">
        <is>
          <t>A 24599-2021</t>
        </is>
      </c>
      <c r="B233" s="1" t="n">
        <v>44341</v>
      </c>
      <c r="C233" s="1" t="n">
        <v>45999</v>
      </c>
      <c r="D233" t="inlineStr">
        <is>
          <t>VÄSTERBOTTENS LÄN</t>
        </is>
      </c>
      <c r="E233" t="inlineStr">
        <is>
          <t>VILHELMINA</t>
        </is>
      </c>
      <c r="G233" t="n">
        <v>14.5</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45999</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45999</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20534-2025</t>
        </is>
      </c>
      <c r="B236" s="1" t="n">
        <v>45775.61550925926</v>
      </c>
      <c r="C236" s="1" t="n">
        <v>45999</v>
      </c>
      <c r="D236" t="inlineStr">
        <is>
          <t>VÄSTERBOTTENS LÄN</t>
        </is>
      </c>
      <c r="E236" t="inlineStr">
        <is>
          <t>VILHELMINA</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56823-2023</t>
        </is>
      </c>
      <c r="B237" s="1" t="n">
        <v>45238</v>
      </c>
      <c r="C237" s="1" t="n">
        <v>45999</v>
      </c>
      <c r="D237" t="inlineStr">
        <is>
          <t>VÄSTERBOTTENS LÄN</t>
        </is>
      </c>
      <c r="E237" t="inlineStr">
        <is>
          <t>VILHELMINA</t>
        </is>
      </c>
      <c r="F237" t="inlineStr">
        <is>
          <t>Allmännings- och besparingsskogar</t>
        </is>
      </c>
      <c r="G237" t="n">
        <v>82</v>
      </c>
      <c r="H237" t="n">
        <v>0</v>
      </c>
      <c r="I237" t="n">
        <v>0</v>
      </c>
      <c r="J237" t="n">
        <v>0</v>
      </c>
      <c r="K237" t="n">
        <v>0</v>
      </c>
      <c r="L237" t="n">
        <v>0</v>
      </c>
      <c r="M237" t="n">
        <v>0</v>
      </c>
      <c r="N237" t="n">
        <v>0</v>
      </c>
      <c r="O237" t="n">
        <v>0</v>
      </c>
      <c r="P237" t="n">
        <v>0</v>
      </c>
      <c r="Q237" t="n">
        <v>0</v>
      </c>
      <c r="R237" s="2" t="inlineStr"/>
    </row>
    <row r="238" ht="15" customHeight="1">
      <c r="A238" t="inlineStr">
        <is>
          <t>A 27194-2024</t>
        </is>
      </c>
      <c r="B238" s="1" t="n">
        <v>45471</v>
      </c>
      <c r="C238" s="1" t="n">
        <v>45999</v>
      </c>
      <c r="D238" t="inlineStr">
        <is>
          <t>VÄSTERBOTTENS LÄN</t>
        </is>
      </c>
      <c r="E238" t="inlineStr">
        <is>
          <t>VILHELMINA</t>
        </is>
      </c>
      <c r="G238" t="n">
        <v>8.5</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45999</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45999</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41330-2022</t>
        </is>
      </c>
      <c r="B241" s="1" t="n">
        <v>44826</v>
      </c>
      <c r="C241" s="1" t="n">
        <v>45999</v>
      </c>
      <c r="D241" t="inlineStr">
        <is>
          <t>VÄSTERBOTTENS LÄN</t>
        </is>
      </c>
      <c r="E241" t="inlineStr">
        <is>
          <t>VILHELMINA</t>
        </is>
      </c>
      <c r="G241" t="n">
        <v>3.4</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45999</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45999</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45999</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45999</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19909-2025</t>
        </is>
      </c>
      <c r="B246" s="1" t="n">
        <v>45771.60482638889</v>
      </c>
      <c r="C246" s="1" t="n">
        <v>45999</v>
      </c>
      <c r="D246" t="inlineStr">
        <is>
          <t>VÄSTERBOTTENS LÄN</t>
        </is>
      </c>
      <c r="E246" t="inlineStr">
        <is>
          <t>VILHELMINA</t>
        </is>
      </c>
      <c r="G246" t="n">
        <v>12.4</v>
      </c>
      <c r="H246" t="n">
        <v>0</v>
      </c>
      <c r="I246" t="n">
        <v>0</v>
      </c>
      <c r="J246" t="n">
        <v>0</v>
      </c>
      <c r="K246" t="n">
        <v>0</v>
      </c>
      <c r="L246" t="n">
        <v>0</v>
      </c>
      <c r="M246" t="n">
        <v>0</v>
      </c>
      <c r="N246" t="n">
        <v>0</v>
      </c>
      <c r="O246" t="n">
        <v>0</v>
      </c>
      <c r="P246" t="n">
        <v>0</v>
      </c>
      <c r="Q246" t="n">
        <v>0</v>
      </c>
      <c r="R246" s="2" t="inlineStr"/>
    </row>
    <row r="247" ht="15" customHeight="1">
      <c r="A247" t="inlineStr">
        <is>
          <t>A 45965-2023</t>
        </is>
      </c>
      <c r="B247" s="1" t="n">
        <v>45195.94755787037</v>
      </c>
      <c r="C247" s="1" t="n">
        <v>45999</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45999</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45999</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55688-2023</t>
        </is>
      </c>
      <c r="B250" s="1" t="n">
        <v>45232</v>
      </c>
      <c r="C250" s="1" t="n">
        <v>45999</v>
      </c>
      <c r="D250" t="inlineStr">
        <is>
          <t>VÄSTERBOTTENS LÄN</t>
        </is>
      </c>
      <c r="E250" t="inlineStr">
        <is>
          <t>VILHELMINA</t>
        </is>
      </c>
      <c r="G250" t="n">
        <v>6.4</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45999</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10268-2025</t>
        </is>
      </c>
      <c r="B252" s="1" t="n">
        <v>45720</v>
      </c>
      <c r="C252" s="1" t="n">
        <v>45999</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20324-2025</t>
        </is>
      </c>
      <c r="B253" s="1" t="n">
        <v>45775</v>
      </c>
      <c r="C253" s="1" t="n">
        <v>45999</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61270-2022</t>
        </is>
      </c>
      <c r="B254" s="1" t="n">
        <v>44909</v>
      </c>
      <c r="C254" s="1" t="n">
        <v>45999</v>
      </c>
      <c r="D254" t="inlineStr">
        <is>
          <t>VÄSTERBOTTENS LÄN</t>
        </is>
      </c>
      <c r="E254" t="inlineStr">
        <is>
          <t>VILHELMINA</t>
        </is>
      </c>
      <c r="G254" t="n">
        <v>8.9</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45999</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60227-2022</t>
        </is>
      </c>
      <c r="B256" s="1" t="n">
        <v>44903</v>
      </c>
      <c r="C256" s="1" t="n">
        <v>45999</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45999</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10956-2023</t>
        </is>
      </c>
      <c r="B258" s="1" t="n">
        <v>44985</v>
      </c>
      <c r="C258" s="1" t="n">
        <v>45999</v>
      </c>
      <c r="D258" t="inlineStr">
        <is>
          <t>VÄSTERBOTTENS LÄN</t>
        </is>
      </c>
      <c r="E258" t="inlineStr">
        <is>
          <t>VILHELMINA</t>
        </is>
      </c>
      <c r="G258" t="n">
        <v>3.3</v>
      </c>
      <c r="H258" t="n">
        <v>0</v>
      </c>
      <c r="I258" t="n">
        <v>0</v>
      </c>
      <c r="J258" t="n">
        <v>0</v>
      </c>
      <c r="K258" t="n">
        <v>0</v>
      </c>
      <c r="L258" t="n">
        <v>0</v>
      </c>
      <c r="M258" t="n">
        <v>0</v>
      </c>
      <c r="N258" t="n">
        <v>0</v>
      </c>
      <c r="O258" t="n">
        <v>0</v>
      </c>
      <c r="P258" t="n">
        <v>0</v>
      </c>
      <c r="Q258" t="n">
        <v>0</v>
      </c>
      <c r="R258" s="2" t="inlineStr"/>
    </row>
    <row r="259" ht="15" customHeight="1">
      <c r="A259" t="inlineStr">
        <is>
          <t>A 12190-2024</t>
        </is>
      </c>
      <c r="B259" s="1" t="n">
        <v>45377.94954861111</v>
      </c>
      <c r="C259" s="1" t="n">
        <v>45999</v>
      </c>
      <c r="D259" t="inlineStr">
        <is>
          <t>VÄSTERBOTTENS LÄN</t>
        </is>
      </c>
      <c r="E259" t="inlineStr">
        <is>
          <t>VILHELMINA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19223-2025</t>
        </is>
      </c>
      <c r="B260" s="1" t="n">
        <v>45769</v>
      </c>
      <c r="C260" s="1" t="n">
        <v>45999</v>
      </c>
      <c r="D260" t="inlineStr">
        <is>
          <t>VÄSTERBOTTENS LÄN</t>
        </is>
      </c>
      <c r="E260" t="inlineStr">
        <is>
          <t>VILHELMINA</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45999</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17432-2025</t>
        </is>
      </c>
      <c r="B262" s="1" t="n">
        <v>45757</v>
      </c>
      <c r="C262" s="1" t="n">
        <v>45999</v>
      </c>
      <c r="D262" t="inlineStr">
        <is>
          <t>VÄSTERBOTTENS LÄN</t>
        </is>
      </c>
      <c r="E262" t="inlineStr">
        <is>
          <t>VILHELMINA</t>
        </is>
      </c>
      <c r="G262" t="n">
        <v>4.6</v>
      </c>
      <c r="H262" t="n">
        <v>0</v>
      </c>
      <c r="I262" t="n">
        <v>0</v>
      </c>
      <c r="J262" t="n">
        <v>0</v>
      </c>
      <c r="K262" t="n">
        <v>0</v>
      </c>
      <c r="L262" t="n">
        <v>0</v>
      </c>
      <c r="M262" t="n">
        <v>0</v>
      </c>
      <c r="N262" t="n">
        <v>0</v>
      </c>
      <c r="O262" t="n">
        <v>0</v>
      </c>
      <c r="P262" t="n">
        <v>0</v>
      </c>
      <c r="Q262" t="n">
        <v>0</v>
      </c>
      <c r="R262" s="2" t="inlineStr"/>
    </row>
    <row r="263" ht="15" customHeight="1">
      <c r="A263" t="inlineStr">
        <is>
          <t>A 54985-2023</t>
        </is>
      </c>
      <c r="B263" s="1" t="n">
        <v>45236</v>
      </c>
      <c r="C263" s="1" t="n">
        <v>45999</v>
      </c>
      <c r="D263" t="inlineStr">
        <is>
          <t>VÄSTERBOTTENS LÄN</t>
        </is>
      </c>
      <c r="E263" t="inlineStr">
        <is>
          <t>VILHELMINA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46119-2022</t>
        </is>
      </c>
      <c r="B264" s="1" t="n">
        <v>44847</v>
      </c>
      <c r="C264" s="1" t="n">
        <v>45999</v>
      </c>
      <c r="D264" t="inlineStr">
        <is>
          <t>VÄSTERBOTTENS LÄN</t>
        </is>
      </c>
      <c r="E264" t="inlineStr">
        <is>
          <t>VILHELMINA</t>
        </is>
      </c>
      <c r="G264" t="n">
        <v>12.1</v>
      </c>
      <c r="H264" t="n">
        <v>0</v>
      </c>
      <c r="I264" t="n">
        <v>0</v>
      </c>
      <c r="J264" t="n">
        <v>0</v>
      </c>
      <c r="K264" t="n">
        <v>0</v>
      </c>
      <c r="L264" t="n">
        <v>0</v>
      </c>
      <c r="M264" t="n">
        <v>0</v>
      </c>
      <c r="N264" t="n">
        <v>0</v>
      </c>
      <c r="O264" t="n">
        <v>0</v>
      </c>
      <c r="P264" t="n">
        <v>0</v>
      </c>
      <c r="Q264" t="n">
        <v>0</v>
      </c>
      <c r="R264" s="2" t="inlineStr"/>
    </row>
    <row r="265" ht="15" customHeight="1">
      <c r="A265" t="inlineStr">
        <is>
          <t>A 46121-2022</t>
        </is>
      </c>
      <c r="B265" s="1" t="n">
        <v>44847</v>
      </c>
      <c r="C265" s="1" t="n">
        <v>45999</v>
      </c>
      <c r="D265" t="inlineStr">
        <is>
          <t>VÄSTERBOTTENS LÄN</t>
        </is>
      </c>
      <c r="E265" t="inlineStr">
        <is>
          <t>VILHELMINA</t>
        </is>
      </c>
      <c r="G265" t="n">
        <v>2.6</v>
      </c>
      <c r="H265" t="n">
        <v>0</v>
      </c>
      <c r="I265" t="n">
        <v>0</v>
      </c>
      <c r="J265" t="n">
        <v>0</v>
      </c>
      <c r="K265" t="n">
        <v>0</v>
      </c>
      <c r="L265" t="n">
        <v>0</v>
      </c>
      <c r="M265" t="n">
        <v>0</v>
      </c>
      <c r="N265" t="n">
        <v>0</v>
      </c>
      <c r="O265" t="n">
        <v>0</v>
      </c>
      <c r="P265" t="n">
        <v>0</v>
      </c>
      <c r="Q265" t="n">
        <v>0</v>
      </c>
      <c r="R265" s="2" t="inlineStr"/>
    </row>
    <row r="266" ht="15" customHeight="1">
      <c r="A266" t="inlineStr">
        <is>
          <t>A 20769-2024</t>
        </is>
      </c>
      <c r="B266" s="1" t="n">
        <v>45436.94604166667</v>
      </c>
      <c r="C266" s="1" t="n">
        <v>45999</v>
      </c>
      <c r="D266" t="inlineStr">
        <is>
          <t>VÄSTERBOTTENS LÄN</t>
        </is>
      </c>
      <c r="E266" t="inlineStr">
        <is>
          <t>VILHELMINA</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49599-2022</t>
        </is>
      </c>
      <c r="B267" s="1" t="n">
        <v>44859</v>
      </c>
      <c r="C267" s="1" t="n">
        <v>45999</v>
      </c>
      <c r="D267" t="inlineStr">
        <is>
          <t>VÄSTERBOTTENS LÄN</t>
        </is>
      </c>
      <c r="E267" t="inlineStr">
        <is>
          <t>VILHELMINA</t>
        </is>
      </c>
      <c r="G267" t="n">
        <v>3.6</v>
      </c>
      <c r="H267" t="n">
        <v>0</v>
      </c>
      <c r="I267" t="n">
        <v>0</v>
      </c>
      <c r="J267" t="n">
        <v>0</v>
      </c>
      <c r="K267" t="n">
        <v>0</v>
      </c>
      <c r="L267" t="n">
        <v>0</v>
      </c>
      <c r="M267" t="n">
        <v>0</v>
      </c>
      <c r="N267" t="n">
        <v>0</v>
      </c>
      <c r="O267" t="n">
        <v>0</v>
      </c>
      <c r="P267" t="n">
        <v>0</v>
      </c>
      <c r="Q267" t="n">
        <v>0</v>
      </c>
      <c r="R267" s="2" t="inlineStr"/>
    </row>
    <row r="268" ht="15" customHeight="1">
      <c r="A268" t="inlineStr">
        <is>
          <t>A 23261-2021</t>
        </is>
      </c>
      <c r="B268" s="1" t="n">
        <v>44330</v>
      </c>
      <c r="C268" s="1" t="n">
        <v>45999</v>
      </c>
      <c r="D268" t="inlineStr">
        <is>
          <t>VÄSTERBOTTENS LÄN</t>
        </is>
      </c>
      <c r="E268" t="inlineStr">
        <is>
          <t>VILHELMINA</t>
        </is>
      </c>
      <c r="G268" t="n">
        <v>4.5</v>
      </c>
      <c r="H268" t="n">
        <v>0</v>
      </c>
      <c r="I268" t="n">
        <v>0</v>
      </c>
      <c r="J268" t="n">
        <v>0</v>
      </c>
      <c r="K268" t="n">
        <v>0</v>
      </c>
      <c r="L268" t="n">
        <v>0</v>
      </c>
      <c r="M268" t="n">
        <v>0</v>
      </c>
      <c r="N268" t="n">
        <v>0</v>
      </c>
      <c r="O268" t="n">
        <v>0</v>
      </c>
      <c r="P268" t="n">
        <v>0</v>
      </c>
      <c r="Q268" t="n">
        <v>0</v>
      </c>
      <c r="R268" s="2" t="inlineStr"/>
    </row>
    <row r="269" ht="15" customHeight="1">
      <c r="A269" t="inlineStr">
        <is>
          <t>A 15050-2024</t>
        </is>
      </c>
      <c r="B269" s="1" t="n">
        <v>45399</v>
      </c>
      <c r="C269" s="1" t="n">
        <v>45999</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15059-2024</t>
        </is>
      </c>
      <c r="B270" s="1" t="n">
        <v>45399</v>
      </c>
      <c r="C270" s="1" t="n">
        <v>45999</v>
      </c>
      <c r="D270" t="inlineStr">
        <is>
          <t>VÄSTERBOTTENS LÄN</t>
        </is>
      </c>
      <c r="E270" t="inlineStr">
        <is>
          <t>VILHELMINA</t>
        </is>
      </c>
      <c r="G270" t="n">
        <v>0.8</v>
      </c>
      <c r="H270" t="n">
        <v>0</v>
      </c>
      <c r="I270" t="n">
        <v>0</v>
      </c>
      <c r="J270" t="n">
        <v>0</v>
      </c>
      <c r="K270" t="n">
        <v>0</v>
      </c>
      <c r="L270" t="n">
        <v>0</v>
      </c>
      <c r="M270" t="n">
        <v>0</v>
      </c>
      <c r="N270" t="n">
        <v>0</v>
      </c>
      <c r="O270" t="n">
        <v>0</v>
      </c>
      <c r="P270" t="n">
        <v>0</v>
      </c>
      <c r="Q270" t="n">
        <v>0</v>
      </c>
      <c r="R270" s="2" t="inlineStr"/>
    </row>
    <row r="271" ht="15" customHeight="1">
      <c r="A271" t="inlineStr">
        <is>
          <t>A 11139-2022</t>
        </is>
      </c>
      <c r="B271" s="1" t="n">
        <v>44628</v>
      </c>
      <c r="C271" s="1" t="n">
        <v>45999</v>
      </c>
      <c r="D271" t="inlineStr">
        <is>
          <t>VÄSTERBOTTENS LÄN</t>
        </is>
      </c>
      <c r="E271" t="inlineStr">
        <is>
          <t>VILHELMINA</t>
        </is>
      </c>
      <c r="G271" t="n">
        <v>13.6</v>
      </c>
      <c r="H271" t="n">
        <v>0</v>
      </c>
      <c r="I271" t="n">
        <v>0</v>
      </c>
      <c r="J271" t="n">
        <v>0</v>
      </c>
      <c r="K271" t="n">
        <v>0</v>
      </c>
      <c r="L271" t="n">
        <v>0</v>
      </c>
      <c r="M271" t="n">
        <v>0</v>
      </c>
      <c r="N271" t="n">
        <v>0</v>
      </c>
      <c r="O271" t="n">
        <v>0</v>
      </c>
      <c r="P271" t="n">
        <v>0</v>
      </c>
      <c r="Q271" t="n">
        <v>0</v>
      </c>
      <c r="R271" s="2" t="inlineStr"/>
    </row>
    <row r="272" ht="15" customHeight="1">
      <c r="A272" t="inlineStr">
        <is>
          <t>A 18790-2021</t>
        </is>
      </c>
      <c r="B272" s="1" t="n">
        <v>44307</v>
      </c>
      <c r="C272" s="1" t="n">
        <v>45999</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36082-2022</t>
        </is>
      </c>
      <c r="B273" s="1" t="n">
        <v>44802</v>
      </c>
      <c r="C273" s="1" t="n">
        <v>45999</v>
      </c>
      <c r="D273" t="inlineStr">
        <is>
          <t>VÄSTERBOTTENS LÄN</t>
        </is>
      </c>
      <c r="E273" t="inlineStr">
        <is>
          <t>VILHELMINA</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46071-2022</t>
        </is>
      </c>
      <c r="B274" s="1" t="n">
        <v>44847</v>
      </c>
      <c r="C274" s="1" t="n">
        <v>45999</v>
      </c>
      <c r="D274" t="inlineStr">
        <is>
          <t>VÄSTERBOTTENS LÄN</t>
        </is>
      </c>
      <c r="E274" t="inlineStr">
        <is>
          <t>VILHELMINA</t>
        </is>
      </c>
      <c r="G274" t="n">
        <v>10.6</v>
      </c>
      <c r="H274" t="n">
        <v>0</v>
      </c>
      <c r="I274" t="n">
        <v>0</v>
      </c>
      <c r="J274" t="n">
        <v>0</v>
      </c>
      <c r="K274" t="n">
        <v>0</v>
      </c>
      <c r="L274" t="n">
        <v>0</v>
      </c>
      <c r="M274" t="n">
        <v>0</v>
      </c>
      <c r="N274" t="n">
        <v>0</v>
      </c>
      <c r="O274" t="n">
        <v>0</v>
      </c>
      <c r="P274" t="n">
        <v>0</v>
      </c>
      <c r="Q274" t="n">
        <v>0</v>
      </c>
      <c r="R274" s="2" t="inlineStr"/>
    </row>
    <row r="275" ht="15" customHeight="1">
      <c r="A275" t="inlineStr">
        <is>
          <t>A 8726-2023</t>
        </is>
      </c>
      <c r="B275" s="1" t="n">
        <v>44972</v>
      </c>
      <c r="C275" s="1" t="n">
        <v>45999</v>
      </c>
      <c r="D275" t="inlineStr">
        <is>
          <t>VÄSTERBOTTENS LÄN</t>
        </is>
      </c>
      <c r="E275" t="inlineStr">
        <is>
          <t>VILHELMINA</t>
        </is>
      </c>
      <c r="F275" t="inlineStr">
        <is>
          <t>Allmännings- och besparingsskogar</t>
        </is>
      </c>
      <c r="G275" t="n">
        <v>50</v>
      </c>
      <c r="H275" t="n">
        <v>0</v>
      </c>
      <c r="I275" t="n">
        <v>0</v>
      </c>
      <c r="J275" t="n">
        <v>0</v>
      </c>
      <c r="K275" t="n">
        <v>0</v>
      </c>
      <c r="L275" t="n">
        <v>0</v>
      </c>
      <c r="M275" t="n">
        <v>0</v>
      </c>
      <c r="N275" t="n">
        <v>0</v>
      </c>
      <c r="O275" t="n">
        <v>0</v>
      </c>
      <c r="P275" t="n">
        <v>0</v>
      </c>
      <c r="Q275" t="n">
        <v>0</v>
      </c>
      <c r="R275" s="2" t="inlineStr"/>
    </row>
    <row r="276" ht="15" customHeight="1">
      <c r="A276" t="inlineStr">
        <is>
          <t>A 17996-2024</t>
        </is>
      </c>
      <c r="B276" s="1" t="n">
        <v>45419</v>
      </c>
      <c r="C276" s="1" t="n">
        <v>45999</v>
      </c>
      <c r="D276" t="inlineStr">
        <is>
          <t>VÄSTERBOTTENS LÄN</t>
        </is>
      </c>
      <c r="E276" t="inlineStr">
        <is>
          <t>VILHELMINA</t>
        </is>
      </c>
      <c r="G276" t="n">
        <v>5.3</v>
      </c>
      <c r="H276" t="n">
        <v>0</v>
      </c>
      <c r="I276" t="n">
        <v>0</v>
      </c>
      <c r="J276" t="n">
        <v>0</v>
      </c>
      <c r="K276" t="n">
        <v>0</v>
      </c>
      <c r="L276" t="n">
        <v>0</v>
      </c>
      <c r="M276" t="n">
        <v>0</v>
      </c>
      <c r="N276" t="n">
        <v>0</v>
      </c>
      <c r="O276" t="n">
        <v>0</v>
      </c>
      <c r="P276" t="n">
        <v>0</v>
      </c>
      <c r="Q276" t="n">
        <v>0</v>
      </c>
      <c r="R276" s="2" t="inlineStr"/>
    </row>
    <row r="277" ht="15" customHeight="1">
      <c r="A277" t="inlineStr">
        <is>
          <t>A 40468-2021</t>
        </is>
      </c>
      <c r="B277" s="1" t="n">
        <v>44419.94174768519</v>
      </c>
      <c r="C277" s="1" t="n">
        <v>45999</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23180-2024</t>
        </is>
      </c>
      <c r="B278" s="1" t="n">
        <v>45450.9444212963</v>
      </c>
      <c r="C278" s="1" t="n">
        <v>45999</v>
      </c>
      <c r="D278" t="inlineStr">
        <is>
          <t>VÄSTERBOTTENS LÄN</t>
        </is>
      </c>
      <c r="E278" t="inlineStr">
        <is>
          <t>VILHELMINA</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16720-2025</t>
        </is>
      </c>
      <c r="B279" s="1" t="n">
        <v>45754.49039351852</v>
      </c>
      <c r="C279" s="1" t="n">
        <v>45999</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48068-2022</t>
        </is>
      </c>
      <c r="B280" s="1" t="n">
        <v>44855</v>
      </c>
      <c r="C280" s="1" t="n">
        <v>45999</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45999</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45999</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12189-2024</t>
        </is>
      </c>
      <c r="B283" s="1" t="n">
        <v>45377.94945601852</v>
      </c>
      <c r="C283" s="1" t="n">
        <v>45999</v>
      </c>
      <c r="D283" t="inlineStr">
        <is>
          <t>VÄSTERBOTTENS LÄN</t>
        </is>
      </c>
      <c r="E283" t="inlineStr">
        <is>
          <t>VILHELMINA</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22107-2024</t>
        </is>
      </c>
      <c r="B284" s="1" t="n">
        <v>45443</v>
      </c>
      <c r="C284" s="1" t="n">
        <v>45999</v>
      </c>
      <c r="D284" t="inlineStr">
        <is>
          <t>VÄSTERBOTTENS LÄN</t>
        </is>
      </c>
      <c r="E284" t="inlineStr">
        <is>
          <t>VILHELMINA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402-2023</t>
        </is>
      </c>
      <c r="B285" s="1" t="n">
        <v>44923</v>
      </c>
      <c r="C285" s="1" t="n">
        <v>45999</v>
      </c>
      <c r="D285" t="inlineStr">
        <is>
          <t>VÄSTERBOTTENS LÄN</t>
        </is>
      </c>
      <c r="E285" t="inlineStr">
        <is>
          <t>VILHELMINA</t>
        </is>
      </c>
      <c r="G285" t="n">
        <v>14.7</v>
      </c>
      <c r="H285" t="n">
        <v>0</v>
      </c>
      <c r="I285" t="n">
        <v>0</v>
      </c>
      <c r="J285" t="n">
        <v>0</v>
      </c>
      <c r="K285" t="n">
        <v>0</v>
      </c>
      <c r="L285" t="n">
        <v>0</v>
      </c>
      <c r="M285" t="n">
        <v>0</v>
      </c>
      <c r="N285" t="n">
        <v>0</v>
      </c>
      <c r="O285" t="n">
        <v>0</v>
      </c>
      <c r="P285" t="n">
        <v>0</v>
      </c>
      <c r="Q285" t="n">
        <v>0</v>
      </c>
      <c r="R285" s="2" t="inlineStr"/>
    </row>
    <row r="286" ht="15" customHeight="1">
      <c r="A286" t="inlineStr">
        <is>
          <t>A 23544-2024</t>
        </is>
      </c>
      <c r="B286" s="1" t="n">
        <v>45453.95314814815</v>
      </c>
      <c r="C286" s="1" t="n">
        <v>45999</v>
      </c>
      <c r="D286" t="inlineStr">
        <is>
          <t>VÄSTERBOTTENS LÄN</t>
        </is>
      </c>
      <c r="E286" t="inlineStr">
        <is>
          <t>VILHELMINA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23545-2024</t>
        </is>
      </c>
      <c r="B287" s="1" t="n">
        <v>45453.95326388889</v>
      </c>
      <c r="C287" s="1" t="n">
        <v>45999</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6638-2025</t>
        </is>
      </c>
      <c r="B288" s="1" t="n">
        <v>45700</v>
      </c>
      <c r="C288" s="1" t="n">
        <v>45999</v>
      </c>
      <c r="D288" t="inlineStr">
        <is>
          <t>VÄSTERBOTTENS LÄN</t>
        </is>
      </c>
      <c r="E288" t="inlineStr">
        <is>
          <t>VILHELMINA</t>
        </is>
      </c>
      <c r="G288" t="n">
        <v>21.5</v>
      </c>
      <c r="H288" t="n">
        <v>0</v>
      </c>
      <c r="I288" t="n">
        <v>0</v>
      </c>
      <c r="J288" t="n">
        <v>0</v>
      </c>
      <c r="K288" t="n">
        <v>0</v>
      </c>
      <c r="L288" t="n">
        <v>0</v>
      </c>
      <c r="M288" t="n">
        <v>0</v>
      </c>
      <c r="N288" t="n">
        <v>0</v>
      </c>
      <c r="O288" t="n">
        <v>0</v>
      </c>
      <c r="P288" t="n">
        <v>0</v>
      </c>
      <c r="Q288" t="n">
        <v>0</v>
      </c>
      <c r="R288" s="2" t="inlineStr"/>
    </row>
    <row r="289" ht="15" customHeight="1">
      <c r="A289" t="inlineStr">
        <is>
          <t>A 210-2022</t>
        </is>
      </c>
      <c r="B289" s="1" t="n">
        <v>44564.80189814815</v>
      </c>
      <c r="C289" s="1" t="n">
        <v>45999</v>
      </c>
      <c r="D289" t="inlineStr">
        <is>
          <t>VÄSTERBOTTENS LÄN</t>
        </is>
      </c>
      <c r="E289" t="inlineStr">
        <is>
          <t>VILHELMINA</t>
        </is>
      </c>
      <c r="G289" t="n">
        <v>2</v>
      </c>
      <c r="H289" t="n">
        <v>0</v>
      </c>
      <c r="I289" t="n">
        <v>0</v>
      </c>
      <c r="J289" t="n">
        <v>0</v>
      </c>
      <c r="K289" t="n">
        <v>0</v>
      </c>
      <c r="L289" t="n">
        <v>0</v>
      </c>
      <c r="M289" t="n">
        <v>0</v>
      </c>
      <c r="N289" t="n">
        <v>0</v>
      </c>
      <c r="O289" t="n">
        <v>0</v>
      </c>
      <c r="P289" t="n">
        <v>0</v>
      </c>
      <c r="Q289" t="n">
        <v>0</v>
      </c>
      <c r="R289" s="2" t="inlineStr"/>
    </row>
    <row r="290" ht="15" customHeight="1">
      <c r="A290" t="inlineStr">
        <is>
          <t>A 32655-2021</t>
        </is>
      </c>
      <c r="B290" s="1" t="n">
        <v>44371</v>
      </c>
      <c r="C290" s="1" t="n">
        <v>45999</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36408-2023</t>
        </is>
      </c>
      <c r="B291" s="1" t="n">
        <v>45152</v>
      </c>
      <c r="C291" s="1" t="n">
        <v>45999</v>
      </c>
      <c r="D291" t="inlineStr">
        <is>
          <t>VÄSTERBOTTENS LÄN</t>
        </is>
      </c>
      <c r="E291" t="inlineStr">
        <is>
          <t>VILHELMINA</t>
        </is>
      </c>
      <c r="G291" t="n">
        <v>4.4</v>
      </c>
      <c r="H291" t="n">
        <v>0</v>
      </c>
      <c r="I291" t="n">
        <v>0</v>
      </c>
      <c r="J291" t="n">
        <v>0</v>
      </c>
      <c r="K291" t="n">
        <v>0</v>
      </c>
      <c r="L291" t="n">
        <v>0</v>
      </c>
      <c r="M291" t="n">
        <v>0</v>
      </c>
      <c r="N291" t="n">
        <v>0</v>
      </c>
      <c r="O291" t="n">
        <v>0</v>
      </c>
      <c r="P291" t="n">
        <v>0</v>
      </c>
      <c r="Q291" t="n">
        <v>0</v>
      </c>
      <c r="R291" s="2" t="inlineStr"/>
    </row>
    <row r="292" ht="15" customHeight="1">
      <c r="A292" t="inlineStr">
        <is>
          <t>A 57108-2023</t>
        </is>
      </c>
      <c r="B292" s="1" t="n">
        <v>45239</v>
      </c>
      <c r="C292" s="1" t="n">
        <v>45999</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38555-2024</t>
        </is>
      </c>
      <c r="B293" s="1" t="n">
        <v>45546</v>
      </c>
      <c r="C293" s="1" t="n">
        <v>45999</v>
      </c>
      <c r="D293" t="inlineStr">
        <is>
          <t>VÄSTERBOTTENS LÄN</t>
        </is>
      </c>
      <c r="E293" t="inlineStr">
        <is>
          <t>VILHELMINA</t>
        </is>
      </c>
      <c r="G293" t="n">
        <v>7.8</v>
      </c>
      <c r="H293" t="n">
        <v>0</v>
      </c>
      <c r="I293" t="n">
        <v>0</v>
      </c>
      <c r="J293" t="n">
        <v>0</v>
      </c>
      <c r="K293" t="n">
        <v>0</v>
      </c>
      <c r="L293" t="n">
        <v>0</v>
      </c>
      <c r="M293" t="n">
        <v>0</v>
      </c>
      <c r="N293" t="n">
        <v>0</v>
      </c>
      <c r="O293" t="n">
        <v>0</v>
      </c>
      <c r="P293" t="n">
        <v>0</v>
      </c>
      <c r="Q293" t="n">
        <v>0</v>
      </c>
      <c r="R293" s="2" t="inlineStr"/>
    </row>
    <row r="294" ht="15" customHeight="1">
      <c r="A294" t="inlineStr">
        <is>
          <t>A 44368-2024</t>
        </is>
      </c>
      <c r="B294" s="1" t="n">
        <v>45573</v>
      </c>
      <c r="C294" s="1" t="n">
        <v>45999</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32921-2024</t>
        </is>
      </c>
      <c r="B295" s="1" t="n">
        <v>45516.9525462963</v>
      </c>
      <c r="C295" s="1" t="n">
        <v>45999</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25701-2024</t>
        </is>
      </c>
      <c r="B296" s="1" t="n">
        <v>45463.94247685185</v>
      </c>
      <c r="C296" s="1" t="n">
        <v>45999</v>
      </c>
      <c r="D296" t="inlineStr">
        <is>
          <t>VÄSTERBOTTENS LÄN</t>
        </is>
      </c>
      <c r="E296" t="inlineStr">
        <is>
          <t>VILHELMINA</t>
        </is>
      </c>
      <c r="F296" t="inlineStr">
        <is>
          <t>SCA</t>
        </is>
      </c>
      <c r="G296" t="n">
        <v>8.6</v>
      </c>
      <c r="H296" t="n">
        <v>0</v>
      </c>
      <c r="I296" t="n">
        <v>0</v>
      </c>
      <c r="J296" t="n">
        <v>0</v>
      </c>
      <c r="K296" t="n">
        <v>0</v>
      </c>
      <c r="L296" t="n">
        <v>0</v>
      </c>
      <c r="M296" t="n">
        <v>0</v>
      </c>
      <c r="N296" t="n">
        <v>0</v>
      </c>
      <c r="O296" t="n">
        <v>0</v>
      </c>
      <c r="P296" t="n">
        <v>0</v>
      </c>
      <c r="Q296" t="n">
        <v>0</v>
      </c>
      <c r="R296" s="2" t="inlineStr"/>
    </row>
    <row r="297" ht="15" customHeight="1">
      <c r="A297" t="inlineStr">
        <is>
          <t>A 29104-2024</t>
        </is>
      </c>
      <c r="B297" s="1" t="n">
        <v>45481.95178240741</v>
      </c>
      <c r="C297" s="1" t="n">
        <v>45999</v>
      </c>
      <c r="D297" t="inlineStr">
        <is>
          <t>VÄSTERBOTTENS LÄN</t>
        </is>
      </c>
      <c r="E297" t="inlineStr">
        <is>
          <t>VILHELMINA</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6653-2021</t>
        </is>
      </c>
      <c r="B298" s="1" t="n">
        <v>44235</v>
      </c>
      <c r="C298" s="1" t="n">
        <v>45999</v>
      </c>
      <c r="D298" t="inlineStr">
        <is>
          <t>VÄSTERBOTTENS LÄN</t>
        </is>
      </c>
      <c r="E298" t="inlineStr">
        <is>
          <t>VILHELMINA</t>
        </is>
      </c>
      <c r="G298" t="n">
        <v>18</v>
      </c>
      <c r="H298" t="n">
        <v>0</v>
      </c>
      <c r="I298" t="n">
        <v>0</v>
      </c>
      <c r="J298" t="n">
        <v>0</v>
      </c>
      <c r="K298" t="n">
        <v>0</v>
      </c>
      <c r="L298" t="n">
        <v>0</v>
      </c>
      <c r="M298" t="n">
        <v>0</v>
      </c>
      <c r="N298" t="n">
        <v>0</v>
      </c>
      <c r="O298" t="n">
        <v>0</v>
      </c>
      <c r="P298" t="n">
        <v>0</v>
      </c>
      <c r="Q298" t="n">
        <v>0</v>
      </c>
      <c r="R298" s="2" t="inlineStr"/>
    </row>
    <row r="299" ht="15" customHeight="1">
      <c r="A299" t="inlineStr">
        <is>
          <t>A 6669-2021</t>
        </is>
      </c>
      <c r="B299" s="1" t="n">
        <v>44235</v>
      </c>
      <c r="C299" s="1" t="n">
        <v>45999</v>
      </c>
      <c r="D299" t="inlineStr">
        <is>
          <t>VÄSTERBOTTENS LÄN</t>
        </is>
      </c>
      <c r="E299" t="inlineStr">
        <is>
          <t>VILHELMINA</t>
        </is>
      </c>
      <c r="G299" t="n">
        <v>19.8</v>
      </c>
      <c r="H299" t="n">
        <v>0</v>
      </c>
      <c r="I299" t="n">
        <v>0</v>
      </c>
      <c r="J299" t="n">
        <v>0</v>
      </c>
      <c r="K299" t="n">
        <v>0</v>
      </c>
      <c r="L299" t="n">
        <v>0</v>
      </c>
      <c r="M299" t="n">
        <v>0</v>
      </c>
      <c r="N299" t="n">
        <v>0</v>
      </c>
      <c r="O299" t="n">
        <v>0</v>
      </c>
      <c r="P299" t="n">
        <v>0</v>
      </c>
      <c r="Q299" t="n">
        <v>0</v>
      </c>
      <c r="R299" s="2" t="inlineStr"/>
    </row>
    <row r="300" ht="15" customHeight="1">
      <c r="A300" t="inlineStr">
        <is>
          <t>A 34762-2024</t>
        </is>
      </c>
      <c r="B300" s="1" t="n">
        <v>45526.61637731481</v>
      </c>
      <c r="C300" s="1" t="n">
        <v>45999</v>
      </c>
      <c r="D300" t="inlineStr">
        <is>
          <t>VÄSTERBOTTENS LÄN</t>
        </is>
      </c>
      <c r="E300" t="inlineStr">
        <is>
          <t>VILHELMINA</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53034-2023</t>
        </is>
      </c>
      <c r="B301" s="1" t="n">
        <v>45226.96258101852</v>
      </c>
      <c r="C301" s="1" t="n">
        <v>45999</v>
      </c>
      <c r="D301" t="inlineStr">
        <is>
          <t>VÄSTERBOTTENS LÄN</t>
        </is>
      </c>
      <c r="E301" t="inlineStr">
        <is>
          <t>VILHELMINA</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46164-2023</t>
        </is>
      </c>
      <c r="B302" s="1" t="n">
        <v>45190</v>
      </c>
      <c r="C302" s="1" t="n">
        <v>45999</v>
      </c>
      <c r="D302" t="inlineStr">
        <is>
          <t>VÄSTERBOTTENS LÄN</t>
        </is>
      </c>
      <c r="E302" t="inlineStr">
        <is>
          <t>VILHELMINA</t>
        </is>
      </c>
      <c r="G302" t="n">
        <v>6.3</v>
      </c>
      <c r="H302" t="n">
        <v>0</v>
      </c>
      <c r="I302" t="n">
        <v>0</v>
      </c>
      <c r="J302" t="n">
        <v>0</v>
      </c>
      <c r="K302" t="n">
        <v>0</v>
      </c>
      <c r="L302" t="n">
        <v>0</v>
      </c>
      <c r="M302" t="n">
        <v>0</v>
      </c>
      <c r="N302" t="n">
        <v>0</v>
      </c>
      <c r="O302" t="n">
        <v>0</v>
      </c>
      <c r="P302" t="n">
        <v>0</v>
      </c>
      <c r="Q302" t="n">
        <v>0</v>
      </c>
      <c r="R302" s="2" t="inlineStr"/>
    </row>
    <row r="303" ht="15" customHeight="1">
      <c r="A303" t="inlineStr">
        <is>
          <t>A 8916-2023</t>
        </is>
      </c>
      <c r="B303" s="1" t="n">
        <v>44972</v>
      </c>
      <c r="C303" s="1" t="n">
        <v>45999</v>
      </c>
      <c r="D303" t="inlineStr">
        <is>
          <t>VÄSTERBOTTENS LÄN</t>
        </is>
      </c>
      <c r="E303" t="inlineStr">
        <is>
          <t>VILHELMINA</t>
        </is>
      </c>
      <c r="F303" t="inlineStr">
        <is>
          <t>Allmännings- och besparingsskogar</t>
        </is>
      </c>
      <c r="G303" t="n">
        <v>22.1</v>
      </c>
      <c r="H303" t="n">
        <v>0</v>
      </c>
      <c r="I303" t="n">
        <v>0</v>
      </c>
      <c r="J303" t="n">
        <v>0</v>
      </c>
      <c r="K303" t="n">
        <v>0</v>
      </c>
      <c r="L303" t="n">
        <v>0</v>
      </c>
      <c r="M303" t="n">
        <v>0</v>
      </c>
      <c r="N303" t="n">
        <v>0</v>
      </c>
      <c r="O303" t="n">
        <v>0</v>
      </c>
      <c r="P303" t="n">
        <v>0</v>
      </c>
      <c r="Q303" t="n">
        <v>0</v>
      </c>
      <c r="R303" s="2" t="inlineStr"/>
    </row>
    <row r="304" ht="15" customHeight="1">
      <c r="A304" t="inlineStr">
        <is>
          <t>A 54729-2022</t>
        </is>
      </c>
      <c r="B304" s="1" t="n">
        <v>44881</v>
      </c>
      <c r="C304" s="1" t="n">
        <v>45999</v>
      </c>
      <c r="D304" t="inlineStr">
        <is>
          <t>VÄSTERBOTTENS LÄN</t>
        </is>
      </c>
      <c r="E304" t="inlineStr">
        <is>
          <t>VILHELMINA</t>
        </is>
      </c>
      <c r="G304" t="n">
        <v>19.2</v>
      </c>
      <c r="H304" t="n">
        <v>0</v>
      </c>
      <c r="I304" t="n">
        <v>0</v>
      </c>
      <c r="J304" t="n">
        <v>0</v>
      </c>
      <c r="K304" t="n">
        <v>0</v>
      </c>
      <c r="L304" t="n">
        <v>0</v>
      </c>
      <c r="M304" t="n">
        <v>0</v>
      </c>
      <c r="N304" t="n">
        <v>0</v>
      </c>
      <c r="O304" t="n">
        <v>0</v>
      </c>
      <c r="P304" t="n">
        <v>0</v>
      </c>
      <c r="Q304" t="n">
        <v>0</v>
      </c>
      <c r="R304" s="2" t="inlineStr"/>
    </row>
    <row r="305" ht="15" customHeight="1">
      <c r="A305" t="inlineStr">
        <is>
          <t>A 34807-2023</t>
        </is>
      </c>
      <c r="B305" s="1" t="n">
        <v>45140</v>
      </c>
      <c r="C305" s="1" t="n">
        <v>45999</v>
      </c>
      <c r="D305" t="inlineStr">
        <is>
          <t>VÄSTERBOTTENS LÄN</t>
        </is>
      </c>
      <c r="E305" t="inlineStr">
        <is>
          <t>VILHELMINA</t>
        </is>
      </c>
      <c r="G305" t="n">
        <v>8.1</v>
      </c>
      <c r="H305" t="n">
        <v>0</v>
      </c>
      <c r="I305" t="n">
        <v>0</v>
      </c>
      <c r="J305" t="n">
        <v>0</v>
      </c>
      <c r="K305" t="n">
        <v>0</v>
      </c>
      <c r="L305" t="n">
        <v>0</v>
      </c>
      <c r="M305" t="n">
        <v>0</v>
      </c>
      <c r="N305" t="n">
        <v>0</v>
      </c>
      <c r="O305" t="n">
        <v>0</v>
      </c>
      <c r="P305" t="n">
        <v>0</v>
      </c>
      <c r="Q305" t="n">
        <v>0</v>
      </c>
      <c r="R305" s="2" t="inlineStr"/>
    </row>
    <row r="306" ht="15" customHeight="1">
      <c r="A306" t="inlineStr">
        <is>
          <t>A 64028-2023</t>
        </is>
      </c>
      <c r="B306" s="1" t="n">
        <v>45278.94263888889</v>
      </c>
      <c r="C306" s="1" t="n">
        <v>45999</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28656-2024</t>
        </is>
      </c>
      <c r="B307" s="1" t="n">
        <v>45478</v>
      </c>
      <c r="C307" s="1" t="n">
        <v>45999</v>
      </c>
      <c r="D307" t="inlineStr">
        <is>
          <t>VÄSTERBOTTENS LÄN</t>
        </is>
      </c>
      <c r="E307" t="inlineStr">
        <is>
          <t>VILHELMINA</t>
        </is>
      </c>
      <c r="F307" t="inlineStr">
        <is>
          <t>Allmännings- och besparingsskogar</t>
        </is>
      </c>
      <c r="G307" t="n">
        <v>1.6</v>
      </c>
      <c r="H307" t="n">
        <v>0</v>
      </c>
      <c r="I307" t="n">
        <v>0</v>
      </c>
      <c r="J307" t="n">
        <v>0</v>
      </c>
      <c r="K307" t="n">
        <v>0</v>
      </c>
      <c r="L307" t="n">
        <v>0</v>
      </c>
      <c r="M307" t="n">
        <v>0</v>
      </c>
      <c r="N307" t="n">
        <v>0</v>
      </c>
      <c r="O307" t="n">
        <v>0</v>
      </c>
      <c r="P307" t="n">
        <v>0</v>
      </c>
      <c r="Q307" t="n">
        <v>0</v>
      </c>
      <c r="R307" s="2" t="inlineStr"/>
    </row>
    <row r="308" ht="15" customHeight="1">
      <c r="A308" t="inlineStr">
        <is>
          <t>A 47254-2022</t>
        </is>
      </c>
      <c r="B308" s="1" t="n">
        <v>44852.94685185186</v>
      </c>
      <c r="C308" s="1" t="n">
        <v>45999</v>
      </c>
      <c r="D308" t="inlineStr">
        <is>
          <t>VÄSTERBOTTENS LÄN</t>
        </is>
      </c>
      <c r="E308" t="inlineStr">
        <is>
          <t>VILHELMINA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22109-2024</t>
        </is>
      </c>
      <c r="B309" s="1" t="n">
        <v>45443</v>
      </c>
      <c r="C309" s="1" t="n">
        <v>45999</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38187-2024</t>
        </is>
      </c>
      <c r="B310" s="1" t="n">
        <v>45545.49028935185</v>
      </c>
      <c r="C310" s="1" t="n">
        <v>45999</v>
      </c>
      <c r="D310" t="inlineStr">
        <is>
          <t>VÄSTERBOTTENS LÄN</t>
        </is>
      </c>
      <c r="E310" t="inlineStr">
        <is>
          <t>VILHELMINA</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45999</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45999</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706-2024</t>
        </is>
      </c>
      <c r="B313" s="1" t="n">
        <v>45300</v>
      </c>
      <c r="C313" s="1" t="n">
        <v>45999</v>
      </c>
      <c r="D313" t="inlineStr">
        <is>
          <t>VÄSTERBOTTENS LÄN</t>
        </is>
      </c>
      <c r="E313" t="inlineStr">
        <is>
          <t>VILHELMINA</t>
        </is>
      </c>
      <c r="G313" t="n">
        <v>2.8</v>
      </c>
      <c r="H313" t="n">
        <v>0</v>
      </c>
      <c r="I313" t="n">
        <v>0</v>
      </c>
      <c r="J313" t="n">
        <v>0</v>
      </c>
      <c r="K313" t="n">
        <v>0</v>
      </c>
      <c r="L313" t="n">
        <v>0</v>
      </c>
      <c r="M313" t="n">
        <v>0</v>
      </c>
      <c r="N313" t="n">
        <v>0</v>
      </c>
      <c r="O313" t="n">
        <v>0</v>
      </c>
      <c r="P313" t="n">
        <v>0</v>
      </c>
      <c r="Q313" t="n">
        <v>0</v>
      </c>
      <c r="R313" s="2" t="inlineStr"/>
    </row>
    <row r="314" ht="15" customHeight="1">
      <c r="A314" t="inlineStr">
        <is>
          <t>A 56754-2023</t>
        </is>
      </c>
      <c r="B314" s="1" t="n">
        <v>45238</v>
      </c>
      <c r="C314" s="1" t="n">
        <v>45999</v>
      </c>
      <c r="D314" t="inlineStr">
        <is>
          <t>VÄSTERBOTTENS LÄN</t>
        </is>
      </c>
      <c r="E314" t="inlineStr">
        <is>
          <t>VILHELMINA</t>
        </is>
      </c>
      <c r="F314" t="inlineStr">
        <is>
          <t>Allmännings- och besparingsskogar</t>
        </is>
      </c>
      <c r="G314" t="n">
        <v>18</v>
      </c>
      <c r="H314" t="n">
        <v>0</v>
      </c>
      <c r="I314" t="n">
        <v>0</v>
      </c>
      <c r="J314" t="n">
        <v>0</v>
      </c>
      <c r="K314" t="n">
        <v>0</v>
      </c>
      <c r="L314" t="n">
        <v>0</v>
      </c>
      <c r="M314" t="n">
        <v>0</v>
      </c>
      <c r="N314" t="n">
        <v>0</v>
      </c>
      <c r="O314" t="n">
        <v>0</v>
      </c>
      <c r="P314" t="n">
        <v>0</v>
      </c>
      <c r="Q314" t="n">
        <v>0</v>
      </c>
      <c r="R314" s="2" t="inlineStr"/>
    </row>
    <row r="315" ht="15" customHeight="1">
      <c r="A315" t="inlineStr">
        <is>
          <t>A 29463-2024</t>
        </is>
      </c>
      <c r="B315" s="1" t="n">
        <v>45483.96994212963</v>
      </c>
      <c r="C315" s="1" t="n">
        <v>45999</v>
      </c>
      <c r="D315" t="inlineStr">
        <is>
          <t>VÄSTERBOTTENS LÄN</t>
        </is>
      </c>
      <c r="E315" t="inlineStr">
        <is>
          <t>VILHELMINA</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55720-2023</t>
        </is>
      </c>
      <c r="B316" s="1" t="n">
        <v>45232</v>
      </c>
      <c r="C316" s="1" t="n">
        <v>45999</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38363-2023</t>
        </is>
      </c>
      <c r="B317" s="1" t="n">
        <v>45161</v>
      </c>
      <c r="C317" s="1" t="n">
        <v>45999</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1470-2021</t>
        </is>
      </c>
      <c r="B318" s="1" t="n">
        <v>44208</v>
      </c>
      <c r="C318" s="1" t="n">
        <v>45999</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36348-2024</t>
        </is>
      </c>
      <c r="B319" s="1" t="n">
        <v>45534.64422453703</v>
      </c>
      <c r="C319" s="1" t="n">
        <v>45999</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36355-2024</t>
        </is>
      </c>
      <c r="B320" s="1" t="n">
        <v>45534.64508101852</v>
      </c>
      <c r="C320" s="1" t="n">
        <v>45999</v>
      </c>
      <c r="D320" t="inlineStr">
        <is>
          <t>VÄSTERBOTTENS LÄN</t>
        </is>
      </c>
      <c r="E320" t="inlineStr">
        <is>
          <t>VILHELMINA</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72487-2021</t>
        </is>
      </c>
      <c r="B321" s="1" t="n">
        <v>44545.92033564814</v>
      </c>
      <c r="C321" s="1" t="n">
        <v>45999</v>
      </c>
      <c r="D321" t="inlineStr">
        <is>
          <t>VÄSTERBOTTENS LÄN</t>
        </is>
      </c>
      <c r="E321" t="inlineStr">
        <is>
          <t>VILHELMINA</t>
        </is>
      </c>
      <c r="G321" t="n">
        <v>1.2</v>
      </c>
      <c r="H321" t="n">
        <v>0</v>
      </c>
      <c r="I321" t="n">
        <v>0</v>
      </c>
      <c r="J321" t="n">
        <v>0</v>
      </c>
      <c r="K321" t="n">
        <v>0</v>
      </c>
      <c r="L321" t="n">
        <v>0</v>
      </c>
      <c r="M321" t="n">
        <v>0</v>
      </c>
      <c r="N321" t="n">
        <v>0</v>
      </c>
      <c r="O321" t="n">
        <v>0</v>
      </c>
      <c r="P321" t="n">
        <v>0</v>
      </c>
      <c r="Q321" t="n">
        <v>0</v>
      </c>
      <c r="R321" s="2" t="inlineStr"/>
    </row>
    <row r="322" ht="15" customHeight="1">
      <c r="A322" t="inlineStr">
        <is>
          <t>A 8215-2023</t>
        </is>
      </c>
      <c r="B322" s="1" t="n">
        <v>44971</v>
      </c>
      <c r="C322" s="1" t="n">
        <v>45999</v>
      </c>
      <c r="D322" t="inlineStr">
        <is>
          <t>VÄSTERBOTTENS LÄN</t>
        </is>
      </c>
      <c r="E322" t="inlineStr">
        <is>
          <t>VILHELMINA</t>
        </is>
      </c>
      <c r="G322" t="n">
        <v>0.8</v>
      </c>
      <c r="H322" t="n">
        <v>0</v>
      </c>
      <c r="I322" t="n">
        <v>0</v>
      </c>
      <c r="J322" t="n">
        <v>0</v>
      </c>
      <c r="K322" t="n">
        <v>0</v>
      </c>
      <c r="L322" t="n">
        <v>0</v>
      </c>
      <c r="M322" t="n">
        <v>0</v>
      </c>
      <c r="N322" t="n">
        <v>0</v>
      </c>
      <c r="O322" t="n">
        <v>0</v>
      </c>
      <c r="P322" t="n">
        <v>0</v>
      </c>
      <c r="Q322" t="n">
        <v>0</v>
      </c>
      <c r="R322" s="2" t="inlineStr"/>
    </row>
    <row r="323" ht="15" customHeight="1">
      <c r="A323" t="inlineStr">
        <is>
          <t>A 48754-2021</t>
        </is>
      </c>
      <c r="B323" s="1" t="n">
        <v>44452</v>
      </c>
      <c r="C323" s="1" t="n">
        <v>45999</v>
      </c>
      <c r="D323" t="inlineStr">
        <is>
          <t>VÄSTERBOTTENS LÄN</t>
        </is>
      </c>
      <c r="E323" t="inlineStr">
        <is>
          <t>VILHELMINA</t>
        </is>
      </c>
      <c r="G323" t="n">
        <v>5.6</v>
      </c>
      <c r="H323" t="n">
        <v>0</v>
      </c>
      <c r="I323" t="n">
        <v>0</v>
      </c>
      <c r="J323" t="n">
        <v>0</v>
      </c>
      <c r="K323" t="n">
        <v>0</v>
      </c>
      <c r="L323" t="n">
        <v>0</v>
      </c>
      <c r="M323" t="n">
        <v>0</v>
      </c>
      <c r="N323" t="n">
        <v>0</v>
      </c>
      <c r="O323" t="n">
        <v>0</v>
      </c>
      <c r="P323" t="n">
        <v>0</v>
      </c>
      <c r="Q323" t="n">
        <v>0</v>
      </c>
      <c r="R323" s="2" t="inlineStr"/>
    </row>
    <row r="324" ht="15" customHeight="1">
      <c r="A324" t="inlineStr">
        <is>
          <t>A 48756-2021</t>
        </is>
      </c>
      <c r="B324" s="1" t="n">
        <v>44452</v>
      </c>
      <c r="C324" s="1" t="n">
        <v>45999</v>
      </c>
      <c r="D324" t="inlineStr">
        <is>
          <t>VÄSTERBOTTENS LÄN</t>
        </is>
      </c>
      <c r="E324" t="inlineStr">
        <is>
          <t>VILHELMINA</t>
        </is>
      </c>
      <c r="G324" t="n">
        <v>13.3</v>
      </c>
      <c r="H324" t="n">
        <v>0</v>
      </c>
      <c r="I324" t="n">
        <v>0</v>
      </c>
      <c r="J324" t="n">
        <v>0</v>
      </c>
      <c r="K324" t="n">
        <v>0</v>
      </c>
      <c r="L324" t="n">
        <v>0</v>
      </c>
      <c r="M324" t="n">
        <v>0</v>
      </c>
      <c r="N324" t="n">
        <v>0</v>
      </c>
      <c r="O324" t="n">
        <v>0</v>
      </c>
      <c r="P324" t="n">
        <v>0</v>
      </c>
      <c r="Q324" t="n">
        <v>0</v>
      </c>
      <c r="R324" s="2" t="inlineStr"/>
    </row>
    <row r="325" ht="15" customHeight="1">
      <c r="A325" t="inlineStr">
        <is>
          <t>A 20510-2024</t>
        </is>
      </c>
      <c r="B325" s="1" t="n">
        <v>45435.94324074074</v>
      </c>
      <c r="C325" s="1" t="n">
        <v>45999</v>
      </c>
      <c r="D325" t="inlineStr">
        <is>
          <t>VÄSTERBOTTENS LÄN</t>
        </is>
      </c>
      <c r="E325" t="inlineStr">
        <is>
          <t>VILHELMINA</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20523-2024</t>
        </is>
      </c>
      <c r="B326" s="1" t="n">
        <v>45435.94553240741</v>
      </c>
      <c r="C326" s="1" t="n">
        <v>45999</v>
      </c>
      <c r="D326" t="inlineStr">
        <is>
          <t>VÄSTERBOTTENS LÄN</t>
        </is>
      </c>
      <c r="E326" t="inlineStr">
        <is>
          <t>VILHELMINA</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19397-2023</t>
        </is>
      </c>
      <c r="B327" s="1" t="n">
        <v>45048</v>
      </c>
      <c r="C327" s="1" t="n">
        <v>45999</v>
      </c>
      <c r="D327" t="inlineStr">
        <is>
          <t>VÄSTERBOTTENS LÄN</t>
        </is>
      </c>
      <c r="E327" t="inlineStr">
        <is>
          <t>VILHELMINA</t>
        </is>
      </c>
      <c r="G327" t="n">
        <v>12.8</v>
      </c>
      <c r="H327" t="n">
        <v>0</v>
      </c>
      <c r="I327" t="n">
        <v>0</v>
      </c>
      <c r="J327" t="n">
        <v>0</v>
      </c>
      <c r="K327" t="n">
        <v>0</v>
      </c>
      <c r="L327" t="n">
        <v>0</v>
      </c>
      <c r="M327" t="n">
        <v>0</v>
      </c>
      <c r="N327" t="n">
        <v>0</v>
      </c>
      <c r="O327" t="n">
        <v>0</v>
      </c>
      <c r="P327" t="n">
        <v>0</v>
      </c>
      <c r="Q327" t="n">
        <v>0</v>
      </c>
      <c r="R327" s="2" t="inlineStr"/>
    </row>
    <row r="328" ht="15" customHeight="1">
      <c r="A328" t="inlineStr">
        <is>
          <t>A 32455-2024</t>
        </is>
      </c>
      <c r="B328" s="1" t="n">
        <v>45512.95870370371</v>
      </c>
      <c r="C328" s="1" t="n">
        <v>45999</v>
      </c>
      <c r="D328" t="inlineStr">
        <is>
          <t>VÄSTERBOTTENS LÄN</t>
        </is>
      </c>
      <c r="E328" t="inlineStr">
        <is>
          <t>VILHELMINA</t>
        </is>
      </c>
      <c r="F328" t="inlineStr">
        <is>
          <t>SCA</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33412-2023</t>
        </is>
      </c>
      <c r="B329" s="1" t="n">
        <v>45117</v>
      </c>
      <c r="C329" s="1" t="n">
        <v>45999</v>
      </c>
      <c r="D329" t="inlineStr">
        <is>
          <t>VÄSTERBOTTENS LÄN</t>
        </is>
      </c>
      <c r="E329" t="inlineStr">
        <is>
          <t>VILHELMINA</t>
        </is>
      </c>
      <c r="F329" t="inlineStr">
        <is>
          <t>Övriga Aktiebolag</t>
        </is>
      </c>
      <c r="G329" t="n">
        <v>0.3</v>
      </c>
      <c r="H329" t="n">
        <v>0</v>
      </c>
      <c r="I329" t="n">
        <v>0</v>
      </c>
      <c r="J329" t="n">
        <v>0</v>
      </c>
      <c r="K329" t="n">
        <v>0</v>
      </c>
      <c r="L329" t="n">
        <v>0</v>
      </c>
      <c r="M329" t="n">
        <v>0</v>
      </c>
      <c r="N329" t="n">
        <v>0</v>
      </c>
      <c r="O329" t="n">
        <v>0</v>
      </c>
      <c r="P329" t="n">
        <v>0</v>
      </c>
      <c r="Q329" t="n">
        <v>0</v>
      </c>
      <c r="R329" s="2" t="inlineStr"/>
    </row>
    <row r="330" ht="15" customHeight="1">
      <c r="A330" t="inlineStr">
        <is>
          <t>A 57246-2023</t>
        </is>
      </c>
      <c r="B330" s="1" t="n">
        <v>45239</v>
      </c>
      <c r="C330" s="1" t="n">
        <v>45999</v>
      </c>
      <c r="D330" t="inlineStr">
        <is>
          <t>VÄSTERBOTTENS LÄN</t>
        </is>
      </c>
      <c r="E330" t="inlineStr">
        <is>
          <t>VILHELMINA</t>
        </is>
      </c>
      <c r="G330" t="n">
        <v>15.3</v>
      </c>
      <c r="H330" t="n">
        <v>0</v>
      </c>
      <c r="I330" t="n">
        <v>0</v>
      </c>
      <c r="J330" t="n">
        <v>0</v>
      </c>
      <c r="K330" t="n">
        <v>0</v>
      </c>
      <c r="L330" t="n">
        <v>0</v>
      </c>
      <c r="M330" t="n">
        <v>0</v>
      </c>
      <c r="N330" t="n">
        <v>0</v>
      </c>
      <c r="O330" t="n">
        <v>0</v>
      </c>
      <c r="P330" t="n">
        <v>0</v>
      </c>
      <c r="Q330" t="n">
        <v>0</v>
      </c>
      <c r="R330" s="2" t="inlineStr"/>
    </row>
    <row r="331" ht="15" customHeight="1">
      <c r="A331" t="inlineStr">
        <is>
          <t>A 56246-2023</t>
        </is>
      </c>
      <c r="B331" s="1" t="n">
        <v>45240</v>
      </c>
      <c r="C331" s="1" t="n">
        <v>45999</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12866-2023</t>
        </is>
      </c>
      <c r="B332" s="1" t="n">
        <v>45000</v>
      </c>
      <c r="C332" s="1" t="n">
        <v>45999</v>
      </c>
      <c r="D332" t="inlineStr">
        <is>
          <t>VÄSTERBOTTENS LÄN</t>
        </is>
      </c>
      <c r="E332" t="inlineStr">
        <is>
          <t>VILHELMINA</t>
        </is>
      </c>
      <c r="G332" t="n">
        <v>2.6</v>
      </c>
      <c r="H332" t="n">
        <v>0</v>
      </c>
      <c r="I332" t="n">
        <v>0</v>
      </c>
      <c r="J332" t="n">
        <v>0</v>
      </c>
      <c r="K332" t="n">
        <v>0</v>
      </c>
      <c r="L332" t="n">
        <v>0</v>
      </c>
      <c r="M332" t="n">
        <v>0</v>
      </c>
      <c r="N332" t="n">
        <v>0</v>
      </c>
      <c r="O332" t="n">
        <v>0</v>
      </c>
      <c r="P332" t="n">
        <v>0</v>
      </c>
      <c r="Q332" t="n">
        <v>0</v>
      </c>
      <c r="R332" s="2" t="inlineStr"/>
    </row>
    <row r="333" ht="15" customHeight="1">
      <c r="A333" t="inlineStr">
        <is>
          <t>A 26553-2023</t>
        </is>
      </c>
      <c r="B333" s="1" t="n">
        <v>45089</v>
      </c>
      <c r="C333" s="1" t="n">
        <v>45999</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72494-2021</t>
        </is>
      </c>
      <c r="B334" s="1" t="n">
        <v>44545.92059027778</v>
      </c>
      <c r="C334" s="1" t="n">
        <v>45999</v>
      </c>
      <c r="D334" t="inlineStr">
        <is>
          <t>VÄSTERBOTTENS LÄN</t>
        </is>
      </c>
      <c r="E334" t="inlineStr">
        <is>
          <t>VILHELMINA</t>
        </is>
      </c>
      <c r="G334" t="n">
        <v>4.2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45999</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248-2025</t>
        </is>
      </c>
      <c r="B336" s="1" t="n">
        <v>45660.419375</v>
      </c>
      <c r="C336" s="1" t="n">
        <v>45999</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41484-2022</t>
        </is>
      </c>
      <c r="B337" s="1" t="n">
        <v>44826</v>
      </c>
      <c r="C337" s="1" t="n">
        <v>45999</v>
      </c>
      <c r="D337" t="inlineStr">
        <is>
          <t>VÄSTERBOTTENS LÄN</t>
        </is>
      </c>
      <c r="E337" t="inlineStr">
        <is>
          <t>VILHELMINA</t>
        </is>
      </c>
      <c r="F337" t="inlineStr">
        <is>
          <t>SCA</t>
        </is>
      </c>
      <c r="G337" t="n">
        <v>18.1</v>
      </c>
      <c r="H337" t="n">
        <v>0</v>
      </c>
      <c r="I337" t="n">
        <v>0</v>
      </c>
      <c r="J337" t="n">
        <v>0</v>
      </c>
      <c r="K337" t="n">
        <v>0</v>
      </c>
      <c r="L337" t="n">
        <v>0</v>
      </c>
      <c r="M337" t="n">
        <v>0</v>
      </c>
      <c r="N337" t="n">
        <v>0</v>
      </c>
      <c r="O337" t="n">
        <v>0</v>
      </c>
      <c r="P337" t="n">
        <v>0</v>
      </c>
      <c r="Q337" t="n">
        <v>0</v>
      </c>
      <c r="R337" s="2" t="inlineStr"/>
    </row>
    <row r="338" ht="15" customHeight="1">
      <c r="A338" t="inlineStr">
        <is>
          <t>A 47253-2022</t>
        </is>
      </c>
      <c r="B338" s="1" t="n">
        <v>44852</v>
      </c>
      <c r="C338" s="1" t="n">
        <v>45999</v>
      </c>
      <c r="D338" t="inlineStr">
        <is>
          <t>VÄSTERBOTTENS LÄN</t>
        </is>
      </c>
      <c r="E338" t="inlineStr">
        <is>
          <t>VILHELMINA</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46316-2022</t>
        </is>
      </c>
      <c r="B339" s="1" t="n">
        <v>44847</v>
      </c>
      <c r="C339" s="1" t="n">
        <v>45999</v>
      </c>
      <c r="D339" t="inlineStr">
        <is>
          <t>VÄSTERBOTTENS LÄN</t>
        </is>
      </c>
      <c r="E339" t="inlineStr">
        <is>
          <t>VILHELMINA</t>
        </is>
      </c>
      <c r="G339" t="n">
        <v>2.1</v>
      </c>
      <c r="H339" t="n">
        <v>0</v>
      </c>
      <c r="I339" t="n">
        <v>0</v>
      </c>
      <c r="J339" t="n">
        <v>0</v>
      </c>
      <c r="K339" t="n">
        <v>0</v>
      </c>
      <c r="L339" t="n">
        <v>0</v>
      </c>
      <c r="M339" t="n">
        <v>0</v>
      </c>
      <c r="N339" t="n">
        <v>0</v>
      </c>
      <c r="O339" t="n">
        <v>0</v>
      </c>
      <c r="P339" t="n">
        <v>0</v>
      </c>
      <c r="Q339" t="n">
        <v>0</v>
      </c>
      <c r="R339" s="2" t="inlineStr"/>
    </row>
    <row r="340" ht="15" customHeight="1">
      <c r="A340" t="inlineStr">
        <is>
          <t>A 58456-2023</t>
        </is>
      </c>
      <c r="B340" s="1" t="n">
        <v>45250.96092592592</v>
      </c>
      <c r="C340" s="1" t="n">
        <v>45999</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35412-2024</t>
        </is>
      </c>
      <c r="B341" s="1" t="n">
        <v>45531.4075</v>
      </c>
      <c r="C341" s="1" t="n">
        <v>45999</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14961-2022</t>
        </is>
      </c>
      <c r="B342" s="1" t="n">
        <v>44657</v>
      </c>
      <c r="C342" s="1" t="n">
        <v>45999</v>
      </c>
      <c r="D342" t="inlineStr">
        <is>
          <t>VÄSTERBOTTENS LÄN</t>
        </is>
      </c>
      <c r="E342" t="inlineStr">
        <is>
          <t>VILHELMINA</t>
        </is>
      </c>
      <c r="G342" t="n">
        <v>19.9</v>
      </c>
      <c r="H342" t="n">
        <v>0</v>
      </c>
      <c r="I342" t="n">
        <v>0</v>
      </c>
      <c r="J342" t="n">
        <v>0</v>
      </c>
      <c r="K342" t="n">
        <v>0</v>
      </c>
      <c r="L342" t="n">
        <v>0</v>
      </c>
      <c r="M342" t="n">
        <v>0</v>
      </c>
      <c r="N342" t="n">
        <v>0</v>
      </c>
      <c r="O342" t="n">
        <v>0</v>
      </c>
      <c r="P342" t="n">
        <v>0</v>
      </c>
      <c r="Q342" t="n">
        <v>0</v>
      </c>
      <c r="R342" s="2" t="inlineStr"/>
    </row>
    <row r="343" ht="15" customHeight="1">
      <c r="A343" t="inlineStr">
        <is>
          <t>A 44634-2024</t>
        </is>
      </c>
      <c r="B343" s="1" t="n">
        <v>45574</v>
      </c>
      <c r="C343" s="1" t="n">
        <v>45999</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66952-2021</t>
        </is>
      </c>
      <c r="B344" s="1" t="n">
        <v>44522</v>
      </c>
      <c r="C344" s="1" t="n">
        <v>45999</v>
      </c>
      <c r="D344" t="inlineStr">
        <is>
          <t>VÄSTERBOTTENS LÄN</t>
        </is>
      </c>
      <c r="E344" t="inlineStr">
        <is>
          <t>VILHELMINA</t>
        </is>
      </c>
      <c r="F344" t="inlineStr">
        <is>
          <t>Allmännings- och besparingsskogar</t>
        </is>
      </c>
      <c r="G344" t="n">
        <v>70</v>
      </c>
      <c r="H344" t="n">
        <v>0</v>
      </c>
      <c r="I344" t="n">
        <v>0</v>
      </c>
      <c r="J344" t="n">
        <v>0</v>
      </c>
      <c r="K344" t="n">
        <v>0</v>
      </c>
      <c r="L344" t="n">
        <v>0</v>
      </c>
      <c r="M344" t="n">
        <v>0</v>
      </c>
      <c r="N344" t="n">
        <v>0</v>
      </c>
      <c r="O344" t="n">
        <v>0</v>
      </c>
      <c r="P344" t="n">
        <v>0</v>
      </c>
      <c r="Q344" t="n">
        <v>0</v>
      </c>
      <c r="R344" s="2" t="inlineStr"/>
    </row>
    <row r="345" ht="15" customHeight="1">
      <c r="A345" t="inlineStr">
        <is>
          <t>A 3096-2021</t>
        </is>
      </c>
      <c r="B345" s="1" t="n">
        <v>44216.93865740741</v>
      </c>
      <c r="C345" s="1" t="n">
        <v>45999</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26000-2023</t>
        </is>
      </c>
      <c r="B346" s="1" t="n">
        <v>45090</v>
      </c>
      <c r="C346" s="1" t="n">
        <v>45999</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61048-2022</t>
        </is>
      </c>
      <c r="B347" s="1" t="n">
        <v>44914</v>
      </c>
      <c r="C347" s="1" t="n">
        <v>45999</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12229-2022</t>
        </is>
      </c>
      <c r="B348" s="1" t="n">
        <v>44637</v>
      </c>
      <c r="C348" s="1" t="n">
        <v>45999</v>
      </c>
      <c r="D348" t="inlineStr">
        <is>
          <t>VÄSTERBOTTENS LÄN</t>
        </is>
      </c>
      <c r="E348" t="inlineStr">
        <is>
          <t>VILHELMINA</t>
        </is>
      </c>
      <c r="G348" t="n">
        <v>5</v>
      </c>
      <c r="H348" t="n">
        <v>0</v>
      </c>
      <c r="I348" t="n">
        <v>0</v>
      </c>
      <c r="J348" t="n">
        <v>0</v>
      </c>
      <c r="K348" t="n">
        <v>0</v>
      </c>
      <c r="L348" t="n">
        <v>0</v>
      </c>
      <c r="M348" t="n">
        <v>0</v>
      </c>
      <c r="N348" t="n">
        <v>0</v>
      </c>
      <c r="O348" t="n">
        <v>0</v>
      </c>
      <c r="P348" t="n">
        <v>0</v>
      </c>
      <c r="Q348" t="n">
        <v>0</v>
      </c>
      <c r="R348" s="2" t="inlineStr"/>
    </row>
    <row r="349" ht="15" customHeight="1">
      <c r="A349" t="inlineStr">
        <is>
          <t>A 45007-2024</t>
        </is>
      </c>
      <c r="B349" s="1" t="n">
        <v>45575.49100694444</v>
      </c>
      <c r="C349" s="1" t="n">
        <v>45999</v>
      </c>
      <c r="D349" t="inlineStr">
        <is>
          <t>VÄSTERBOTTENS LÄN</t>
        </is>
      </c>
      <c r="E349" t="inlineStr">
        <is>
          <t>VILHELMINA</t>
        </is>
      </c>
      <c r="F349" t="inlineStr">
        <is>
          <t>SCA</t>
        </is>
      </c>
      <c r="G349" t="n">
        <v>14.8</v>
      </c>
      <c r="H349" t="n">
        <v>0</v>
      </c>
      <c r="I349" t="n">
        <v>0</v>
      </c>
      <c r="J349" t="n">
        <v>0</v>
      </c>
      <c r="K349" t="n">
        <v>0</v>
      </c>
      <c r="L349" t="n">
        <v>0</v>
      </c>
      <c r="M349" t="n">
        <v>0</v>
      </c>
      <c r="N349" t="n">
        <v>0</v>
      </c>
      <c r="O349" t="n">
        <v>0</v>
      </c>
      <c r="P349" t="n">
        <v>0</v>
      </c>
      <c r="Q349" t="n">
        <v>0</v>
      </c>
      <c r="R349" s="2" t="inlineStr"/>
    </row>
    <row r="350" ht="15" customHeight="1">
      <c r="A350" t="inlineStr">
        <is>
          <t>A 21726-2021</t>
        </is>
      </c>
      <c r="B350" s="1" t="n">
        <v>44322</v>
      </c>
      <c r="C350" s="1" t="n">
        <v>45999</v>
      </c>
      <c r="D350" t="inlineStr">
        <is>
          <t>VÄSTERBOTTENS LÄN</t>
        </is>
      </c>
      <c r="E350" t="inlineStr">
        <is>
          <t>VILHELMINA</t>
        </is>
      </c>
      <c r="G350" t="n">
        <v>19.6</v>
      </c>
      <c r="H350" t="n">
        <v>0</v>
      </c>
      <c r="I350" t="n">
        <v>0</v>
      </c>
      <c r="J350" t="n">
        <v>0</v>
      </c>
      <c r="K350" t="n">
        <v>0</v>
      </c>
      <c r="L350" t="n">
        <v>0</v>
      </c>
      <c r="M350" t="n">
        <v>0</v>
      </c>
      <c r="N350" t="n">
        <v>0</v>
      </c>
      <c r="O350" t="n">
        <v>0</v>
      </c>
      <c r="P350" t="n">
        <v>0</v>
      </c>
      <c r="Q350" t="n">
        <v>0</v>
      </c>
      <c r="R350" s="2" t="inlineStr"/>
    </row>
    <row r="351" ht="15" customHeight="1">
      <c r="A351" t="inlineStr">
        <is>
          <t>A 2382-2023</t>
        </is>
      </c>
      <c r="B351" s="1" t="n">
        <v>44942</v>
      </c>
      <c r="C351" s="1" t="n">
        <v>45999</v>
      </c>
      <c r="D351" t="inlineStr">
        <is>
          <t>VÄSTERBOTTENS LÄN</t>
        </is>
      </c>
      <c r="E351" t="inlineStr">
        <is>
          <t>VILHELMINA</t>
        </is>
      </c>
      <c r="G351" t="n">
        <v>29.7</v>
      </c>
      <c r="H351" t="n">
        <v>0</v>
      </c>
      <c r="I351" t="n">
        <v>0</v>
      </c>
      <c r="J351" t="n">
        <v>0</v>
      </c>
      <c r="K351" t="n">
        <v>0</v>
      </c>
      <c r="L351" t="n">
        <v>0</v>
      </c>
      <c r="M351" t="n">
        <v>0</v>
      </c>
      <c r="N351" t="n">
        <v>0</v>
      </c>
      <c r="O351" t="n">
        <v>0</v>
      </c>
      <c r="P351" t="n">
        <v>0</v>
      </c>
      <c r="Q351" t="n">
        <v>0</v>
      </c>
      <c r="R351" s="2" t="inlineStr"/>
    </row>
    <row r="352" ht="15" customHeight="1">
      <c r="A352" t="inlineStr">
        <is>
          <t>A 32253-2024</t>
        </is>
      </c>
      <c r="B352" s="1" t="n">
        <v>45511.95214120371</v>
      </c>
      <c r="C352" s="1" t="n">
        <v>45999</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70849-2021</t>
        </is>
      </c>
      <c r="B353" s="1" t="n">
        <v>44532</v>
      </c>
      <c r="C353" s="1" t="n">
        <v>45999</v>
      </c>
      <c r="D353" t="inlineStr">
        <is>
          <t>VÄSTERBOTTENS LÄN</t>
        </is>
      </c>
      <c r="E353" t="inlineStr">
        <is>
          <t>VILHELMINA</t>
        </is>
      </c>
      <c r="G353" t="n">
        <v>21.4</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45999</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2008-2025</t>
        </is>
      </c>
      <c r="B355" s="1" t="n">
        <v>45672.45302083333</v>
      </c>
      <c r="C355" s="1" t="n">
        <v>45999</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38674-2023</t>
        </is>
      </c>
      <c r="B356" s="1" t="n">
        <v>45162.94335648148</v>
      </c>
      <c r="C356" s="1" t="n">
        <v>45999</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63218-2021</t>
        </is>
      </c>
      <c r="B357" s="1" t="n">
        <v>44505</v>
      </c>
      <c r="C357" s="1" t="n">
        <v>45999</v>
      </c>
      <c r="D357" t="inlineStr">
        <is>
          <t>VÄSTERBOTTENS LÄN</t>
        </is>
      </c>
      <c r="E357" t="inlineStr">
        <is>
          <t>VILHELMINA</t>
        </is>
      </c>
      <c r="G357" t="n">
        <v>6.8</v>
      </c>
      <c r="H357" t="n">
        <v>0</v>
      </c>
      <c r="I357" t="n">
        <v>0</v>
      </c>
      <c r="J357" t="n">
        <v>0</v>
      </c>
      <c r="K357" t="n">
        <v>0</v>
      </c>
      <c r="L357" t="n">
        <v>0</v>
      </c>
      <c r="M357" t="n">
        <v>0</v>
      </c>
      <c r="N357" t="n">
        <v>0</v>
      </c>
      <c r="O357" t="n">
        <v>0</v>
      </c>
      <c r="P357" t="n">
        <v>0</v>
      </c>
      <c r="Q357" t="n">
        <v>0</v>
      </c>
      <c r="R357" s="2" t="inlineStr"/>
    </row>
    <row r="358" ht="15" customHeight="1">
      <c r="A358" t="inlineStr">
        <is>
          <t>A 11544-2023</t>
        </is>
      </c>
      <c r="B358" s="1" t="n">
        <v>44993.94818287037</v>
      </c>
      <c r="C358" s="1" t="n">
        <v>45999</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57795-2023</t>
        </is>
      </c>
      <c r="B359" s="1" t="n">
        <v>45246.96861111111</v>
      </c>
      <c r="C359" s="1" t="n">
        <v>45999</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18398-2025</t>
        </is>
      </c>
      <c r="B360" s="1" t="n">
        <v>45762.59491898148</v>
      </c>
      <c r="C360" s="1" t="n">
        <v>45999</v>
      </c>
      <c r="D360" t="inlineStr">
        <is>
          <t>VÄSTERBOTTENS LÄN</t>
        </is>
      </c>
      <c r="E360" t="inlineStr">
        <is>
          <t>VILHELMINA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58377-2021</t>
        </is>
      </c>
      <c r="B361" s="1" t="n">
        <v>44488</v>
      </c>
      <c r="C361" s="1" t="n">
        <v>45999</v>
      </c>
      <c r="D361" t="inlineStr">
        <is>
          <t>VÄSTERBOTTENS LÄN</t>
        </is>
      </c>
      <c r="E361" t="inlineStr">
        <is>
          <t>VILHELMINA</t>
        </is>
      </c>
      <c r="G361" t="n">
        <v>1.5</v>
      </c>
      <c r="H361" t="n">
        <v>0</v>
      </c>
      <c r="I361" t="n">
        <v>0</v>
      </c>
      <c r="J361" t="n">
        <v>0</v>
      </c>
      <c r="K361" t="n">
        <v>0</v>
      </c>
      <c r="L361" t="n">
        <v>0</v>
      </c>
      <c r="M361" t="n">
        <v>0</v>
      </c>
      <c r="N361" t="n">
        <v>0</v>
      </c>
      <c r="O361" t="n">
        <v>0</v>
      </c>
      <c r="P361" t="n">
        <v>0</v>
      </c>
      <c r="Q361" t="n">
        <v>0</v>
      </c>
      <c r="R361" s="2" t="inlineStr"/>
    </row>
    <row r="362" ht="15" customHeight="1">
      <c r="A362" t="inlineStr">
        <is>
          <t>A 61777-2023</t>
        </is>
      </c>
      <c r="B362" s="1" t="n">
        <v>45265</v>
      </c>
      <c r="C362" s="1" t="n">
        <v>45999</v>
      </c>
      <c r="D362" t="inlineStr">
        <is>
          <t>VÄSTERBOTTENS LÄN</t>
        </is>
      </c>
      <c r="E362" t="inlineStr">
        <is>
          <t>VILHELMINA</t>
        </is>
      </c>
      <c r="F362" t="inlineStr">
        <is>
          <t>SCA</t>
        </is>
      </c>
      <c r="G362" t="n">
        <v>20.6</v>
      </c>
      <c r="H362" t="n">
        <v>0</v>
      </c>
      <c r="I362" t="n">
        <v>0</v>
      </c>
      <c r="J362" t="n">
        <v>0</v>
      </c>
      <c r="K362" t="n">
        <v>0</v>
      </c>
      <c r="L362" t="n">
        <v>0</v>
      </c>
      <c r="M362" t="n">
        <v>0</v>
      </c>
      <c r="N362" t="n">
        <v>0</v>
      </c>
      <c r="O362" t="n">
        <v>0</v>
      </c>
      <c r="P362" t="n">
        <v>0</v>
      </c>
      <c r="Q362" t="n">
        <v>0</v>
      </c>
      <c r="R362" s="2" t="inlineStr"/>
    </row>
    <row r="363" ht="15" customHeight="1">
      <c r="A363" t="inlineStr">
        <is>
          <t>A 15326-2024</t>
        </is>
      </c>
      <c r="B363" s="1" t="n">
        <v>45400</v>
      </c>
      <c r="C363" s="1" t="n">
        <v>45999</v>
      </c>
      <c r="D363" t="inlineStr">
        <is>
          <t>VÄSTERBOTTENS LÄN</t>
        </is>
      </c>
      <c r="E363" t="inlineStr">
        <is>
          <t>VILHELMINA</t>
        </is>
      </c>
      <c r="G363" t="n">
        <v>4.7</v>
      </c>
      <c r="H363" t="n">
        <v>0</v>
      </c>
      <c r="I363" t="n">
        <v>0</v>
      </c>
      <c r="J363" t="n">
        <v>0</v>
      </c>
      <c r="K363" t="n">
        <v>0</v>
      </c>
      <c r="L363" t="n">
        <v>0</v>
      </c>
      <c r="M363" t="n">
        <v>0</v>
      </c>
      <c r="N363" t="n">
        <v>0</v>
      </c>
      <c r="O363" t="n">
        <v>0</v>
      </c>
      <c r="P363" t="n">
        <v>0</v>
      </c>
      <c r="Q363" t="n">
        <v>0</v>
      </c>
      <c r="R363" s="2" t="inlineStr"/>
    </row>
    <row r="364" ht="15" customHeight="1">
      <c r="A364" t="inlineStr">
        <is>
          <t>A 29922-2024</t>
        </is>
      </c>
      <c r="B364" s="1" t="n">
        <v>45487.9563425926</v>
      </c>
      <c r="C364" s="1" t="n">
        <v>45999</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12365-2025</t>
        </is>
      </c>
      <c r="B365" s="1" t="n">
        <v>45730.37549768519</v>
      </c>
      <c r="C365" s="1" t="n">
        <v>45999</v>
      </c>
      <c r="D365" t="inlineStr">
        <is>
          <t>VÄSTERBOTTENS LÄN</t>
        </is>
      </c>
      <c r="E365" t="inlineStr">
        <is>
          <t>VILHELMINA</t>
        </is>
      </c>
      <c r="F365" t="inlineStr">
        <is>
          <t>Övriga statliga verk och myndigheter</t>
        </is>
      </c>
      <c r="G365" t="n">
        <v>11.5</v>
      </c>
      <c r="H365" t="n">
        <v>0</v>
      </c>
      <c r="I365" t="n">
        <v>0</v>
      </c>
      <c r="J365" t="n">
        <v>0</v>
      </c>
      <c r="K365" t="n">
        <v>0</v>
      </c>
      <c r="L365" t="n">
        <v>0</v>
      </c>
      <c r="M365" t="n">
        <v>0</v>
      </c>
      <c r="N365" t="n">
        <v>0</v>
      </c>
      <c r="O365" t="n">
        <v>0</v>
      </c>
      <c r="P365" t="n">
        <v>0</v>
      </c>
      <c r="Q365" t="n">
        <v>0</v>
      </c>
      <c r="R365" s="2" t="inlineStr"/>
    </row>
    <row r="366" ht="15" customHeight="1">
      <c r="A366" t="inlineStr">
        <is>
          <t>A 12370-2025</t>
        </is>
      </c>
      <c r="B366" s="1" t="n">
        <v>45730.37681712963</v>
      </c>
      <c r="C366" s="1" t="n">
        <v>45999</v>
      </c>
      <c r="D366" t="inlineStr">
        <is>
          <t>VÄSTERBOTTENS LÄN</t>
        </is>
      </c>
      <c r="E366" t="inlineStr">
        <is>
          <t>VILHELMINA</t>
        </is>
      </c>
      <c r="F366" t="inlineStr">
        <is>
          <t>Övriga statliga verk och myndigheter</t>
        </is>
      </c>
      <c r="G366" t="n">
        <v>8.9</v>
      </c>
      <c r="H366" t="n">
        <v>0</v>
      </c>
      <c r="I366" t="n">
        <v>0</v>
      </c>
      <c r="J366" t="n">
        <v>0</v>
      </c>
      <c r="K366" t="n">
        <v>0</v>
      </c>
      <c r="L366" t="n">
        <v>0</v>
      </c>
      <c r="M366" t="n">
        <v>0</v>
      </c>
      <c r="N366" t="n">
        <v>0</v>
      </c>
      <c r="O366" t="n">
        <v>0</v>
      </c>
      <c r="P366" t="n">
        <v>0</v>
      </c>
      <c r="Q366" t="n">
        <v>0</v>
      </c>
      <c r="R366" s="2" t="inlineStr"/>
    </row>
    <row r="367" ht="15" customHeight="1">
      <c r="A367" t="inlineStr">
        <is>
          <t>A 43791-2024</t>
        </is>
      </c>
      <c r="B367" s="1" t="n">
        <v>45571</v>
      </c>
      <c r="C367" s="1" t="n">
        <v>45999</v>
      </c>
      <c r="D367" t="inlineStr">
        <is>
          <t>VÄSTERBOTTENS LÄN</t>
        </is>
      </c>
      <c r="E367" t="inlineStr">
        <is>
          <t>VILHELMINA</t>
        </is>
      </c>
      <c r="G367" t="n">
        <v>30.3</v>
      </c>
      <c r="H367" t="n">
        <v>0</v>
      </c>
      <c r="I367" t="n">
        <v>0</v>
      </c>
      <c r="J367" t="n">
        <v>0</v>
      </c>
      <c r="K367" t="n">
        <v>0</v>
      </c>
      <c r="L367" t="n">
        <v>0</v>
      </c>
      <c r="M367" t="n">
        <v>0</v>
      </c>
      <c r="N367" t="n">
        <v>0</v>
      </c>
      <c r="O367" t="n">
        <v>0</v>
      </c>
      <c r="P367" t="n">
        <v>0</v>
      </c>
      <c r="Q367" t="n">
        <v>0</v>
      </c>
      <c r="R367" s="2" t="inlineStr"/>
    </row>
    <row r="368" ht="15" customHeight="1">
      <c r="A368" t="inlineStr">
        <is>
          <t>A 43792-2024</t>
        </is>
      </c>
      <c r="B368" s="1" t="n">
        <v>45571</v>
      </c>
      <c r="C368" s="1" t="n">
        <v>45999</v>
      </c>
      <c r="D368" t="inlineStr">
        <is>
          <t>VÄSTERBOTTENS LÄN</t>
        </is>
      </c>
      <c r="E368" t="inlineStr">
        <is>
          <t>VILHELMINA</t>
        </is>
      </c>
      <c r="G368" t="n">
        <v>25.3</v>
      </c>
      <c r="H368" t="n">
        <v>0</v>
      </c>
      <c r="I368" t="n">
        <v>0</v>
      </c>
      <c r="J368" t="n">
        <v>0</v>
      </c>
      <c r="K368" t="n">
        <v>0</v>
      </c>
      <c r="L368" t="n">
        <v>0</v>
      </c>
      <c r="M368" t="n">
        <v>0</v>
      </c>
      <c r="N368" t="n">
        <v>0</v>
      </c>
      <c r="O368" t="n">
        <v>0</v>
      </c>
      <c r="P368" t="n">
        <v>0</v>
      </c>
      <c r="Q368" t="n">
        <v>0</v>
      </c>
      <c r="R368" s="2" t="inlineStr"/>
    </row>
    <row r="369" ht="15" customHeight="1">
      <c r="A369" t="inlineStr">
        <is>
          <t>A 2022-2024</t>
        </is>
      </c>
      <c r="B369" s="1" t="n">
        <v>45308</v>
      </c>
      <c r="C369" s="1" t="n">
        <v>45999</v>
      </c>
      <c r="D369" t="inlineStr">
        <is>
          <t>VÄSTERBOTTENS LÄN</t>
        </is>
      </c>
      <c r="E369" t="inlineStr">
        <is>
          <t>VILHELMINA</t>
        </is>
      </c>
      <c r="G369" t="n">
        <v>8.5</v>
      </c>
      <c r="H369" t="n">
        <v>0</v>
      </c>
      <c r="I369" t="n">
        <v>0</v>
      </c>
      <c r="J369" t="n">
        <v>0</v>
      </c>
      <c r="K369" t="n">
        <v>0</v>
      </c>
      <c r="L369" t="n">
        <v>0</v>
      </c>
      <c r="M369" t="n">
        <v>0</v>
      </c>
      <c r="N369" t="n">
        <v>0</v>
      </c>
      <c r="O369" t="n">
        <v>0</v>
      </c>
      <c r="P369" t="n">
        <v>0</v>
      </c>
      <c r="Q369" t="n">
        <v>0</v>
      </c>
      <c r="R369" s="2" t="inlineStr"/>
    </row>
    <row r="370" ht="15" customHeight="1">
      <c r="A370" t="inlineStr">
        <is>
          <t>A 17732-2024</t>
        </is>
      </c>
      <c r="B370" s="1" t="n">
        <v>45415</v>
      </c>
      <c r="C370" s="1" t="n">
        <v>45999</v>
      </c>
      <c r="D370" t="inlineStr">
        <is>
          <t>VÄSTERBOTTENS LÄN</t>
        </is>
      </c>
      <c r="E370" t="inlineStr">
        <is>
          <t>VILHELMINA</t>
        </is>
      </c>
      <c r="G370" t="n">
        <v>0.6</v>
      </c>
      <c r="H370" t="n">
        <v>0</v>
      </c>
      <c r="I370" t="n">
        <v>0</v>
      </c>
      <c r="J370" t="n">
        <v>0</v>
      </c>
      <c r="K370" t="n">
        <v>0</v>
      </c>
      <c r="L370" t="n">
        <v>0</v>
      </c>
      <c r="M370" t="n">
        <v>0</v>
      </c>
      <c r="N370" t="n">
        <v>0</v>
      </c>
      <c r="O370" t="n">
        <v>0</v>
      </c>
      <c r="P370" t="n">
        <v>0</v>
      </c>
      <c r="Q370" t="n">
        <v>0</v>
      </c>
      <c r="R370" s="2" t="inlineStr"/>
    </row>
    <row r="371" ht="15" customHeight="1">
      <c r="A371" t="inlineStr">
        <is>
          <t>A 36376-2023</t>
        </is>
      </c>
      <c r="B371" s="1" t="n">
        <v>45152</v>
      </c>
      <c r="C371" s="1" t="n">
        <v>45999</v>
      </c>
      <c r="D371" t="inlineStr">
        <is>
          <t>VÄSTERBOTTENS LÄN</t>
        </is>
      </c>
      <c r="E371" t="inlineStr">
        <is>
          <t>VILHELMINA</t>
        </is>
      </c>
      <c r="G371" t="n">
        <v>12.7</v>
      </c>
      <c r="H371" t="n">
        <v>0</v>
      </c>
      <c r="I371" t="n">
        <v>0</v>
      </c>
      <c r="J371" t="n">
        <v>0</v>
      </c>
      <c r="K371" t="n">
        <v>0</v>
      </c>
      <c r="L371" t="n">
        <v>0</v>
      </c>
      <c r="M371" t="n">
        <v>0</v>
      </c>
      <c r="N371" t="n">
        <v>0</v>
      </c>
      <c r="O371" t="n">
        <v>0</v>
      </c>
      <c r="P371" t="n">
        <v>0</v>
      </c>
      <c r="Q371" t="n">
        <v>0</v>
      </c>
      <c r="R371" s="2" t="inlineStr"/>
    </row>
    <row r="372" ht="15" customHeight="1">
      <c r="A372" t="inlineStr">
        <is>
          <t>A 30575-2024</t>
        </is>
      </c>
      <c r="B372" s="1" t="n">
        <v>45492.95818287037</v>
      </c>
      <c r="C372" s="1" t="n">
        <v>45999</v>
      </c>
      <c r="D372" t="inlineStr">
        <is>
          <t>VÄSTERBOTTENS LÄN</t>
        </is>
      </c>
      <c r="E372" t="inlineStr">
        <is>
          <t>VILHELMINA</t>
        </is>
      </c>
      <c r="F372" t="inlineStr">
        <is>
          <t>SCA</t>
        </is>
      </c>
      <c r="G372" t="n">
        <v>6.5</v>
      </c>
      <c r="H372" t="n">
        <v>0</v>
      </c>
      <c r="I372" t="n">
        <v>0</v>
      </c>
      <c r="J372" t="n">
        <v>0</v>
      </c>
      <c r="K372" t="n">
        <v>0</v>
      </c>
      <c r="L372" t="n">
        <v>0</v>
      </c>
      <c r="M372" t="n">
        <v>0</v>
      </c>
      <c r="N372" t="n">
        <v>0</v>
      </c>
      <c r="O372" t="n">
        <v>0</v>
      </c>
      <c r="P372" t="n">
        <v>0</v>
      </c>
      <c r="Q372" t="n">
        <v>0</v>
      </c>
      <c r="R372" s="2" t="inlineStr"/>
    </row>
    <row r="373" ht="15" customHeight="1">
      <c r="A373" t="inlineStr">
        <is>
          <t>A 30578-2024</t>
        </is>
      </c>
      <c r="B373" s="1" t="n">
        <v>45492.95939814814</v>
      </c>
      <c r="C373" s="1" t="n">
        <v>45999</v>
      </c>
      <c r="D373" t="inlineStr">
        <is>
          <t>VÄSTERBOTTENS LÄN</t>
        </is>
      </c>
      <c r="E373" t="inlineStr">
        <is>
          <t>VILHELMINA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30580-2024</t>
        </is>
      </c>
      <c r="B374" s="1" t="n">
        <v>45492.95981481481</v>
      </c>
      <c r="C374" s="1" t="n">
        <v>45999</v>
      </c>
      <c r="D374" t="inlineStr">
        <is>
          <t>VÄSTERBOTTENS LÄN</t>
        </is>
      </c>
      <c r="E374" t="inlineStr">
        <is>
          <t>VILHELMINA</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72153-2021</t>
        </is>
      </c>
      <c r="B375" s="1" t="n">
        <v>44543</v>
      </c>
      <c r="C375" s="1" t="n">
        <v>45999</v>
      </c>
      <c r="D375" t="inlineStr">
        <is>
          <t>VÄSTERBOTTENS LÄN</t>
        </is>
      </c>
      <c r="E375" t="inlineStr">
        <is>
          <t>VILHELMINA</t>
        </is>
      </c>
      <c r="G375" t="n">
        <v>6.7</v>
      </c>
      <c r="H375" t="n">
        <v>0</v>
      </c>
      <c r="I375" t="n">
        <v>0</v>
      </c>
      <c r="J375" t="n">
        <v>0</v>
      </c>
      <c r="K375" t="n">
        <v>0</v>
      </c>
      <c r="L375" t="n">
        <v>0</v>
      </c>
      <c r="M375" t="n">
        <v>0</v>
      </c>
      <c r="N375" t="n">
        <v>0</v>
      </c>
      <c r="O375" t="n">
        <v>0</v>
      </c>
      <c r="P375" t="n">
        <v>0</v>
      </c>
      <c r="Q375" t="n">
        <v>0</v>
      </c>
      <c r="R375" s="2" t="inlineStr"/>
    </row>
    <row r="376" ht="15" customHeight="1">
      <c r="A376" t="inlineStr">
        <is>
          <t>A 35983-2023</t>
        </is>
      </c>
      <c r="B376" s="1" t="n">
        <v>45148.96185185185</v>
      </c>
      <c r="C376" s="1" t="n">
        <v>45999</v>
      </c>
      <c r="D376" t="inlineStr">
        <is>
          <t>VÄSTERBOTTENS LÄN</t>
        </is>
      </c>
      <c r="E376" t="inlineStr">
        <is>
          <t>VILHELMINA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34130-2024</t>
        </is>
      </c>
      <c r="B377" s="1" t="n">
        <v>45524.34668981482</v>
      </c>
      <c r="C377" s="1" t="n">
        <v>45999</v>
      </c>
      <c r="D377" t="inlineStr">
        <is>
          <t>VÄSTERBOTTENS LÄN</t>
        </is>
      </c>
      <c r="E377" t="inlineStr">
        <is>
          <t>VILHELMINA</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23536-2024</t>
        </is>
      </c>
      <c r="B378" s="1" t="n">
        <v>45453.95199074074</v>
      </c>
      <c r="C378" s="1" t="n">
        <v>45999</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66917-2021</t>
        </is>
      </c>
      <c r="B379" s="1" t="n">
        <v>44522</v>
      </c>
      <c r="C379" s="1" t="n">
        <v>45999</v>
      </c>
      <c r="D379" t="inlineStr">
        <is>
          <t>VÄSTERBOTTENS LÄN</t>
        </is>
      </c>
      <c r="E379" t="inlineStr">
        <is>
          <t>VILHELMINA</t>
        </is>
      </c>
      <c r="F379" t="inlineStr">
        <is>
          <t>Allmännings- och besparingsskogar</t>
        </is>
      </c>
      <c r="G379" t="n">
        <v>11.7</v>
      </c>
      <c r="H379" t="n">
        <v>0</v>
      </c>
      <c r="I379" t="n">
        <v>0</v>
      </c>
      <c r="J379" t="n">
        <v>0</v>
      </c>
      <c r="K379" t="n">
        <v>0</v>
      </c>
      <c r="L379" t="n">
        <v>0</v>
      </c>
      <c r="M379" t="n">
        <v>0</v>
      </c>
      <c r="N379" t="n">
        <v>0</v>
      </c>
      <c r="O379" t="n">
        <v>0</v>
      </c>
      <c r="P379" t="n">
        <v>0</v>
      </c>
      <c r="Q379" t="n">
        <v>0</v>
      </c>
      <c r="R379" s="2" t="inlineStr"/>
    </row>
    <row r="380" ht="15" customHeight="1">
      <c r="A380" t="inlineStr">
        <is>
          <t>A 8652-2023</t>
        </is>
      </c>
      <c r="B380" s="1" t="n">
        <v>44977.98401620371</v>
      </c>
      <c r="C380" s="1" t="n">
        <v>45999</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8653-2023</t>
        </is>
      </c>
      <c r="B381" s="1" t="n">
        <v>44977</v>
      </c>
      <c r="C381" s="1" t="n">
        <v>45999</v>
      </c>
      <c r="D381" t="inlineStr">
        <is>
          <t>VÄSTERBOTTENS LÄN</t>
        </is>
      </c>
      <c r="E381" t="inlineStr">
        <is>
          <t>VILHELMINA</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5955-2023</t>
        </is>
      </c>
      <c r="B382" s="1" t="n">
        <v>44963.93989583333</v>
      </c>
      <c r="C382" s="1" t="n">
        <v>45999</v>
      </c>
      <c r="D382" t="inlineStr">
        <is>
          <t>VÄSTERBOTTENS LÄN</t>
        </is>
      </c>
      <c r="E382" t="inlineStr">
        <is>
          <t>VILHELMINA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34135-2024</t>
        </is>
      </c>
      <c r="B383" s="1" t="n">
        <v>45524.35605324074</v>
      </c>
      <c r="C383" s="1" t="n">
        <v>45999</v>
      </c>
      <c r="D383" t="inlineStr">
        <is>
          <t>VÄSTERBOTTENS LÄN</t>
        </is>
      </c>
      <c r="E383" t="inlineStr">
        <is>
          <t>VILHELMINA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42478-2024</t>
        </is>
      </c>
      <c r="B384" s="1" t="n">
        <v>45565.4912962963</v>
      </c>
      <c r="C384" s="1" t="n">
        <v>45999</v>
      </c>
      <c r="D384" t="inlineStr">
        <is>
          <t>VÄSTERBOTTENS LÄN</t>
        </is>
      </c>
      <c r="E384" t="inlineStr">
        <is>
          <t>VILHELMINA</t>
        </is>
      </c>
      <c r="F384" t="inlineStr">
        <is>
          <t>SCA</t>
        </is>
      </c>
      <c r="G384" t="n">
        <v>6.6</v>
      </c>
      <c r="H384" t="n">
        <v>0</v>
      </c>
      <c r="I384" t="n">
        <v>0</v>
      </c>
      <c r="J384" t="n">
        <v>0</v>
      </c>
      <c r="K384" t="n">
        <v>0</v>
      </c>
      <c r="L384" t="n">
        <v>0</v>
      </c>
      <c r="M384" t="n">
        <v>0</v>
      </c>
      <c r="N384" t="n">
        <v>0</v>
      </c>
      <c r="O384" t="n">
        <v>0</v>
      </c>
      <c r="P384" t="n">
        <v>0</v>
      </c>
      <c r="Q384" t="n">
        <v>0</v>
      </c>
      <c r="R384" s="2" t="inlineStr"/>
    </row>
    <row r="385" ht="15" customHeight="1">
      <c r="A385" t="inlineStr">
        <is>
          <t>A 23176-2024</t>
        </is>
      </c>
      <c r="B385" s="1" t="n">
        <v>45450.94366898148</v>
      </c>
      <c r="C385" s="1" t="n">
        <v>45999</v>
      </c>
      <c r="D385" t="inlineStr">
        <is>
          <t>VÄSTERBOTTENS LÄN</t>
        </is>
      </c>
      <c r="E385" t="inlineStr">
        <is>
          <t>VILHELMINA</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49888-2024</t>
        </is>
      </c>
      <c r="B386" s="1" t="n">
        <v>45597.5109837963</v>
      </c>
      <c r="C386" s="1" t="n">
        <v>45999</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44516-2024</t>
        </is>
      </c>
      <c r="B387" s="1" t="n">
        <v>45574</v>
      </c>
      <c r="C387" s="1" t="n">
        <v>45999</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36320-2024</t>
        </is>
      </c>
      <c r="B388" s="1" t="n">
        <v>45534.63586805556</v>
      </c>
      <c r="C388" s="1" t="n">
        <v>45999</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58749-2023</t>
        </is>
      </c>
      <c r="B389" s="1" t="n">
        <v>45251.92947916667</v>
      </c>
      <c r="C389" s="1" t="n">
        <v>45999</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13768-2024</t>
        </is>
      </c>
      <c r="B390" s="1" t="n">
        <v>45390.95230324074</v>
      </c>
      <c r="C390" s="1" t="n">
        <v>45999</v>
      </c>
      <c r="D390" t="inlineStr">
        <is>
          <t>VÄSTERBOTTENS LÄN</t>
        </is>
      </c>
      <c r="E390" t="inlineStr">
        <is>
          <t>VILHELMINA</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38361-2023</t>
        </is>
      </c>
      <c r="B391" s="1" t="n">
        <v>45161.94315972222</v>
      </c>
      <c r="C391" s="1" t="n">
        <v>45999</v>
      </c>
      <c r="D391" t="inlineStr">
        <is>
          <t>VÄSTERBOTTENS LÄN</t>
        </is>
      </c>
      <c r="E391" t="inlineStr">
        <is>
          <t>VILHELMINA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69502-2020</t>
        </is>
      </c>
      <c r="B392" s="1" t="n">
        <v>44193</v>
      </c>
      <c r="C392" s="1" t="n">
        <v>45999</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58824-2024</t>
        </is>
      </c>
      <c r="B393" s="1" t="n">
        <v>45636.36488425926</v>
      </c>
      <c r="C393" s="1" t="n">
        <v>45999</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60377-2024</t>
        </is>
      </c>
      <c r="B394" s="1" t="n">
        <v>45643</v>
      </c>
      <c r="C394" s="1" t="n">
        <v>45999</v>
      </c>
      <c r="D394" t="inlineStr">
        <is>
          <t>VÄSTERBOTTENS LÄN</t>
        </is>
      </c>
      <c r="E394" t="inlineStr">
        <is>
          <t>VILHELMINA</t>
        </is>
      </c>
      <c r="F394" t="inlineStr">
        <is>
          <t>SCA</t>
        </is>
      </c>
      <c r="G394" t="n">
        <v>16.2</v>
      </c>
      <c r="H394" t="n">
        <v>0</v>
      </c>
      <c r="I394" t="n">
        <v>0</v>
      </c>
      <c r="J394" t="n">
        <v>0</v>
      </c>
      <c r="K394" t="n">
        <v>0</v>
      </c>
      <c r="L394" t="n">
        <v>0</v>
      </c>
      <c r="M394" t="n">
        <v>0</v>
      </c>
      <c r="N394" t="n">
        <v>0</v>
      </c>
      <c r="O394" t="n">
        <v>0</v>
      </c>
      <c r="P394" t="n">
        <v>0</v>
      </c>
      <c r="Q394" t="n">
        <v>0</v>
      </c>
      <c r="R394" s="2" t="inlineStr"/>
    </row>
    <row r="395" ht="15" customHeight="1">
      <c r="A395" t="inlineStr">
        <is>
          <t>A 61953-2024</t>
        </is>
      </c>
      <c r="B395" s="1" t="n">
        <v>45653.5150462963</v>
      </c>
      <c r="C395" s="1" t="n">
        <v>45999</v>
      </c>
      <c r="D395" t="inlineStr">
        <is>
          <t>VÄSTERBOTTENS LÄN</t>
        </is>
      </c>
      <c r="E395" t="inlineStr">
        <is>
          <t>VILHELMINA</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62100-2024</t>
        </is>
      </c>
      <c r="B396" s="1" t="n">
        <v>45656</v>
      </c>
      <c r="C396" s="1" t="n">
        <v>45999</v>
      </c>
      <c r="D396" t="inlineStr">
        <is>
          <t>VÄSTERBOTTENS LÄN</t>
        </is>
      </c>
      <c r="E396" t="inlineStr">
        <is>
          <t>VILHELMINA</t>
        </is>
      </c>
      <c r="F396" t="inlineStr">
        <is>
          <t>SCA</t>
        </is>
      </c>
      <c r="G396" t="n">
        <v>4</v>
      </c>
      <c r="H396" t="n">
        <v>0</v>
      </c>
      <c r="I396" t="n">
        <v>0</v>
      </c>
      <c r="J396" t="n">
        <v>0</v>
      </c>
      <c r="K396" t="n">
        <v>0</v>
      </c>
      <c r="L396" t="n">
        <v>0</v>
      </c>
      <c r="M396" t="n">
        <v>0</v>
      </c>
      <c r="N396" t="n">
        <v>0</v>
      </c>
      <c r="O396" t="n">
        <v>0</v>
      </c>
      <c r="P396" t="n">
        <v>0</v>
      </c>
      <c r="Q396" t="n">
        <v>0</v>
      </c>
      <c r="R396" s="2" t="inlineStr"/>
    </row>
    <row r="397" ht="15" customHeight="1">
      <c r="A397" t="inlineStr">
        <is>
          <t>A 53987-2021</t>
        </is>
      </c>
      <c r="B397" s="1" t="n">
        <v>44470.31884259259</v>
      </c>
      <c r="C397" s="1" t="n">
        <v>45999</v>
      </c>
      <c r="D397" t="inlineStr">
        <is>
          <t>VÄSTERBOTTENS LÄN</t>
        </is>
      </c>
      <c r="E397" t="inlineStr">
        <is>
          <t>VILHELMINA</t>
        </is>
      </c>
      <c r="F397" t="inlineStr">
        <is>
          <t>Kommuner</t>
        </is>
      </c>
      <c r="G397" t="n">
        <v>10</v>
      </c>
      <c r="H397" t="n">
        <v>0</v>
      </c>
      <c r="I397" t="n">
        <v>0</v>
      </c>
      <c r="J397" t="n">
        <v>0</v>
      </c>
      <c r="K397" t="n">
        <v>0</v>
      </c>
      <c r="L397" t="n">
        <v>0</v>
      </c>
      <c r="M397" t="n">
        <v>0</v>
      </c>
      <c r="N397" t="n">
        <v>0</v>
      </c>
      <c r="O397" t="n">
        <v>0</v>
      </c>
      <c r="P397" t="n">
        <v>0</v>
      </c>
      <c r="Q397" t="n">
        <v>0</v>
      </c>
      <c r="R397" s="2" t="inlineStr"/>
    </row>
    <row r="398" ht="15" customHeight="1">
      <c r="A398" t="inlineStr">
        <is>
          <t>A 15062-2024</t>
        </is>
      </c>
      <c r="B398" s="1" t="n">
        <v>45399</v>
      </c>
      <c r="C398" s="1" t="n">
        <v>45999</v>
      </c>
      <c r="D398" t="inlineStr">
        <is>
          <t>VÄSTERBOTTENS LÄN</t>
        </is>
      </c>
      <c r="E398" t="inlineStr">
        <is>
          <t>VILHELMINA</t>
        </is>
      </c>
      <c r="G398" t="n">
        <v>1.7</v>
      </c>
      <c r="H398" t="n">
        <v>0</v>
      </c>
      <c r="I398" t="n">
        <v>0</v>
      </c>
      <c r="J398" t="n">
        <v>0</v>
      </c>
      <c r="K398" t="n">
        <v>0</v>
      </c>
      <c r="L398" t="n">
        <v>0</v>
      </c>
      <c r="M398" t="n">
        <v>0</v>
      </c>
      <c r="N398" t="n">
        <v>0</v>
      </c>
      <c r="O398" t="n">
        <v>0</v>
      </c>
      <c r="P398" t="n">
        <v>0</v>
      </c>
      <c r="Q398" t="n">
        <v>0</v>
      </c>
      <c r="R398" s="2" t="inlineStr"/>
    </row>
    <row r="399" ht="15" customHeight="1">
      <c r="A399" t="inlineStr">
        <is>
          <t>A 15066-2024</t>
        </is>
      </c>
      <c r="B399" s="1" t="n">
        <v>45399</v>
      </c>
      <c r="C399" s="1" t="n">
        <v>45999</v>
      </c>
      <c r="D399" t="inlineStr">
        <is>
          <t>VÄSTERBOTTENS LÄN</t>
        </is>
      </c>
      <c r="E399" t="inlineStr">
        <is>
          <t>VILHELMINA</t>
        </is>
      </c>
      <c r="G399" t="n">
        <v>4.6</v>
      </c>
      <c r="H399" t="n">
        <v>0</v>
      </c>
      <c r="I399" t="n">
        <v>0</v>
      </c>
      <c r="J399" t="n">
        <v>0</v>
      </c>
      <c r="K399" t="n">
        <v>0</v>
      </c>
      <c r="L399" t="n">
        <v>0</v>
      </c>
      <c r="M399" t="n">
        <v>0</v>
      </c>
      <c r="N399" t="n">
        <v>0</v>
      </c>
      <c r="O399" t="n">
        <v>0</v>
      </c>
      <c r="P399" t="n">
        <v>0</v>
      </c>
      <c r="Q399" t="n">
        <v>0</v>
      </c>
      <c r="R399" s="2" t="inlineStr"/>
    </row>
    <row r="400" ht="15" customHeight="1">
      <c r="A400" t="inlineStr">
        <is>
          <t>A 8229-2022</t>
        </is>
      </c>
      <c r="B400" s="1" t="n">
        <v>44609</v>
      </c>
      <c r="C400" s="1" t="n">
        <v>45999</v>
      </c>
      <c r="D400" t="inlineStr">
        <is>
          <t>VÄSTERBOTTENS LÄN</t>
        </is>
      </c>
      <c r="E400" t="inlineStr">
        <is>
          <t>VILHELMINA</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31496-2023</t>
        </is>
      </c>
      <c r="B401" s="1" t="n">
        <v>45114.94138888889</v>
      </c>
      <c r="C401" s="1" t="n">
        <v>45999</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32658-2021</t>
        </is>
      </c>
      <c r="B402" s="1" t="n">
        <v>44371</v>
      </c>
      <c r="C402" s="1" t="n">
        <v>45999</v>
      </c>
      <c r="D402" t="inlineStr">
        <is>
          <t>VÄSTERBOTTENS LÄN</t>
        </is>
      </c>
      <c r="E402" t="inlineStr">
        <is>
          <t>VILHELMINA</t>
        </is>
      </c>
      <c r="G402" t="n">
        <v>2.2</v>
      </c>
      <c r="H402" t="n">
        <v>0</v>
      </c>
      <c r="I402" t="n">
        <v>0</v>
      </c>
      <c r="J402" t="n">
        <v>0</v>
      </c>
      <c r="K402" t="n">
        <v>0</v>
      </c>
      <c r="L402" t="n">
        <v>0</v>
      </c>
      <c r="M402" t="n">
        <v>0</v>
      </c>
      <c r="N402" t="n">
        <v>0</v>
      </c>
      <c r="O402" t="n">
        <v>0</v>
      </c>
      <c r="P402" t="n">
        <v>0</v>
      </c>
      <c r="Q402" t="n">
        <v>0</v>
      </c>
      <c r="R402" s="2" t="inlineStr"/>
    </row>
    <row r="403" ht="15" customHeight="1">
      <c r="A403" t="inlineStr">
        <is>
          <t>A 29347-2021</t>
        </is>
      </c>
      <c r="B403" s="1" t="n">
        <v>44361</v>
      </c>
      <c r="C403" s="1" t="n">
        <v>45999</v>
      </c>
      <c r="D403" t="inlineStr">
        <is>
          <t>VÄSTERBOTTENS LÄN</t>
        </is>
      </c>
      <c r="E403" t="inlineStr">
        <is>
          <t>VILHELMINA</t>
        </is>
      </c>
      <c r="F403" t="inlineStr">
        <is>
          <t>Allmännings- och besparingsskogar</t>
        </is>
      </c>
      <c r="G403" t="n">
        <v>52</v>
      </c>
      <c r="H403" t="n">
        <v>0</v>
      </c>
      <c r="I403" t="n">
        <v>0</v>
      </c>
      <c r="J403" t="n">
        <v>0</v>
      </c>
      <c r="K403" t="n">
        <v>0</v>
      </c>
      <c r="L403" t="n">
        <v>0</v>
      </c>
      <c r="M403" t="n">
        <v>0</v>
      </c>
      <c r="N403" t="n">
        <v>0</v>
      </c>
      <c r="O403" t="n">
        <v>0</v>
      </c>
      <c r="P403" t="n">
        <v>0</v>
      </c>
      <c r="Q403" t="n">
        <v>0</v>
      </c>
      <c r="R403" s="2" t="inlineStr"/>
    </row>
    <row r="404" ht="15" customHeight="1">
      <c r="A404" t="inlineStr">
        <is>
          <t>A 30574-2024</t>
        </is>
      </c>
      <c r="B404" s="1" t="n">
        <v>45492.9580324074</v>
      </c>
      <c r="C404" s="1" t="n">
        <v>45999</v>
      </c>
      <c r="D404" t="inlineStr">
        <is>
          <t>VÄSTERBOTTENS LÄN</t>
        </is>
      </c>
      <c r="E404" t="inlineStr">
        <is>
          <t>VILHELMINA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30681-2024</t>
        </is>
      </c>
      <c r="B405" s="1" t="n">
        <v>45495.9509837963</v>
      </c>
      <c r="C405" s="1" t="n">
        <v>45999</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15786-2025</t>
        </is>
      </c>
      <c r="B406" s="1" t="n">
        <v>45748.62240740741</v>
      </c>
      <c r="C406" s="1" t="n">
        <v>45999</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40462-2024</t>
        </is>
      </c>
      <c r="B407" s="1" t="n">
        <v>45555.51084490741</v>
      </c>
      <c r="C407" s="1" t="n">
        <v>45999</v>
      </c>
      <c r="D407" t="inlineStr">
        <is>
          <t>VÄSTERBOTTENS LÄN</t>
        </is>
      </c>
      <c r="E407" t="inlineStr">
        <is>
          <t>VILHELMINA</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45593-2024</t>
        </is>
      </c>
      <c r="B408" s="1" t="n">
        <v>45579</v>
      </c>
      <c r="C408" s="1" t="n">
        <v>45999</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10833-2022</t>
        </is>
      </c>
      <c r="B409" s="1" t="n">
        <v>44627</v>
      </c>
      <c r="C409" s="1" t="n">
        <v>45999</v>
      </c>
      <c r="D409" t="inlineStr">
        <is>
          <t>VÄSTERBOTTENS LÄN</t>
        </is>
      </c>
      <c r="E409" t="inlineStr">
        <is>
          <t>VILHELMINA</t>
        </is>
      </c>
      <c r="G409" t="n">
        <v>5.4</v>
      </c>
      <c r="H409" t="n">
        <v>0</v>
      </c>
      <c r="I409" t="n">
        <v>0</v>
      </c>
      <c r="J409" t="n">
        <v>0</v>
      </c>
      <c r="K409" t="n">
        <v>0</v>
      </c>
      <c r="L409" t="n">
        <v>0</v>
      </c>
      <c r="M409" t="n">
        <v>0</v>
      </c>
      <c r="N409" t="n">
        <v>0</v>
      </c>
      <c r="O409" t="n">
        <v>0</v>
      </c>
      <c r="P409" t="n">
        <v>0</v>
      </c>
      <c r="Q409" t="n">
        <v>0</v>
      </c>
      <c r="R409" s="2" t="inlineStr"/>
    </row>
    <row r="410" ht="15" customHeight="1">
      <c r="A410" t="inlineStr">
        <is>
          <t>A 46372-2021</t>
        </is>
      </c>
      <c r="B410" s="1" t="n">
        <v>44442.94226851852</v>
      </c>
      <c r="C410" s="1" t="n">
        <v>45999</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49221-2024</t>
        </is>
      </c>
      <c r="B411" s="1" t="n">
        <v>45595.41166666667</v>
      </c>
      <c r="C411" s="1" t="n">
        <v>45999</v>
      </c>
      <c r="D411" t="inlineStr">
        <is>
          <t>VÄSTERBOTTENS LÄN</t>
        </is>
      </c>
      <c r="E411" t="inlineStr">
        <is>
          <t>VILHELMINA</t>
        </is>
      </c>
      <c r="G411" t="n">
        <v>11.4</v>
      </c>
      <c r="H411" t="n">
        <v>0</v>
      </c>
      <c r="I411" t="n">
        <v>0</v>
      </c>
      <c r="J411" t="n">
        <v>0</v>
      </c>
      <c r="K411" t="n">
        <v>0</v>
      </c>
      <c r="L411" t="n">
        <v>0</v>
      </c>
      <c r="M411" t="n">
        <v>0</v>
      </c>
      <c r="N411" t="n">
        <v>0</v>
      </c>
      <c r="O411" t="n">
        <v>0</v>
      </c>
      <c r="P411" t="n">
        <v>0</v>
      </c>
      <c r="Q411" t="n">
        <v>0</v>
      </c>
      <c r="R411" s="2" t="inlineStr"/>
    </row>
    <row r="412" ht="15" customHeight="1">
      <c r="A412" t="inlineStr">
        <is>
          <t>A 49246-2024</t>
        </is>
      </c>
      <c r="B412" s="1" t="n">
        <v>45595.4618287037</v>
      </c>
      <c r="C412" s="1" t="n">
        <v>45999</v>
      </c>
      <c r="D412" t="inlineStr">
        <is>
          <t>VÄSTERBOTTENS LÄN</t>
        </is>
      </c>
      <c r="E412" t="inlineStr">
        <is>
          <t>VILHELMINA</t>
        </is>
      </c>
      <c r="G412" t="n">
        <v>0.9</v>
      </c>
      <c r="H412" t="n">
        <v>0</v>
      </c>
      <c r="I412" t="n">
        <v>0</v>
      </c>
      <c r="J412" t="n">
        <v>0</v>
      </c>
      <c r="K412" t="n">
        <v>0</v>
      </c>
      <c r="L412" t="n">
        <v>0</v>
      </c>
      <c r="M412" t="n">
        <v>0</v>
      </c>
      <c r="N412" t="n">
        <v>0</v>
      </c>
      <c r="O412" t="n">
        <v>0</v>
      </c>
      <c r="P412" t="n">
        <v>0</v>
      </c>
      <c r="Q412" t="n">
        <v>0</v>
      </c>
      <c r="R412" s="2" t="inlineStr"/>
    </row>
    <row r="413" ht="15" customHeight="1">
      <c r="A413" t="inlineStr">
        <is>
          <t>A 28722-2022</t>
        </is>
      </c>
      <c r="B413" s="1" t="n">
        <v>44748</v>
      </c>
      <c r="C413" s="1" t="n">
        <v>45999</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43251-2024</t>
        </is>
      </c>
      <c r="B414" s="1" t="n">
        <v>45568.34429398148</v>
      </c>
      <c r="C414" s="1" t="n">
        <v>45999</v>
      </c>
      <c r="D414" t="inlineStr">
        <is>
          <t>VÄSTERBOTTENS LÄN</t>
        </is>
      </c>
      <c r="E414" t="inlineStr">
        <is>
          <t>VILHELMINA</t>
        </is>
      </c>
      <c r="F414" t="inlineStr">
        <is>
          <t>SCA</t>
        </is>
      </c>
      <c r="G414" t="n">
        <v>5.4</v>
      </c>
      <c r="H414" t="n">
        <v>0</v>
      </c>
      <c r="I414" t="n">
        <v>0</v>
      </c>
      <c r="J414" t="n">
        <v>0</v>
      </c>
      <c r="K414" t="n">
        <v>0</v>
      </c>
      <c r="L414" t="n">
        <v>0</v>
      </c>
      <c r="M414" t="n">
        <v>0</v>
      </c>
      <c r="N414" t="n">
        <v>0</v>
      </c>
      <c r="O414" t="n">
        <v>0</v>
      </c>
      <c r="P414" t="n">
        <v>0</v>
      </c>
      <c r="Q414" t="n">
        <v>0</v>
      </c>
      <c r="R414" s="2" t="inlineStr"/>
    </row>
    <row r="415" ht="15" customHeight="1">
      <c r="A415" t="inlineStr">
        <is>
          <t>A 12373-2024</t>
        </is>
      </c>
      <c r="B415" s="1" t="n">
        <v>45378</v>
      </c>
      <c r="C415" s="1" t="n">
        <v>45999</v>
      </c>
      <c r="D415" t="inlineStr">
        <is>
          <t>VÄSTERBOTTENS LÄN</t>
        </is>
      </c>
      <c r="E415" t="inlineStr">
        <is>
          <t>VILHELMINA</t>
        </is>
      </c>
      <c r="G415" t="n">
        <v>0.7</v>
      </c>
      <c r="H415" t="n">
        <v>0</v>
      </c>
      <c r="I415" t="n">
        <v>0</v>
      </c>
      <c r="J415" t="n">
        <v>0</v>
      </c>
      <c r="K415" t="n">
        <v>0</v>
      </c>
      <c r="L415" t="n">
        <v>0</v>
      </c>
      <c r="M415" t="n">
        <v>0</v>
      </c>
      <c r="N415" t="n">
        <v>0</v>
      </c>
      <c r="O415" t="n">
        <v>0</v>
      </c>
      <c r="P415" t="n">
        <v>0</v>
      </c>
      <c r="Q415" t="n">
        <v>0</v>
      </c>
      <c r="R415" s="2" t="inlineStr"/>
    </row>
    <row r="416" ht="15" customHeight="1">
      <c r="A416" t="inlineStr">
        <is>
          <t>A 40505-2024</t>
        </is>
      </c>
      <c r="B416" s="1" t="n">
        <v>45555.57373842593</v>
      </c>
      <c r="C416" s="1" t="n">
        <v>45999</v>
      </c>
      <c r="D416" t="inlineStr">
        <is>
          <t>VÄSTERBOTTENS LÄN</t>
        </is>
      </c>
      <c r="E416" t="inlineStr">
        <is>
          <t>VILHELMINA</t>
        </is>
      </c>
      <c r="G416" t="n">
        <v>0.3</v>
      </c>
      <c r="H416" t="n">
        <v>0</v>
      </c>
      <c r="I416" t="n">
        <v>0</v>
      </c>
      <c r="J416" t="n">
        <v>0</v>
      </c>
      <c r="K416" t="n">
        <v>0</v>
      </c>
      <c r="L416" t="n">
        <v>0</v>
      </c>
      <c r="M416" t="n">
        <v>0</v>
      </c>
      <c r="N416" t="n">
        <v>0</v>
      </c>
      <c r="O416" t="n">
        <v>0</v>
      </c>
      <c r="P416" t="n">
        <v>0</v>
      </c>
      <c r="Q416" t="n">
        <v>0</v>
      </c>
      <c r="R416" s="2" t="inlineStr"/>
    </row>
    <row r="417" ht="15" customHeight="1">
      <c r="A417" t="inlineStr">
        <is>
          <t>A 21843-2024</t>
        </is>
      </c>
      <c r="B417" s="1" t="n">
        <v>45442.96064814815</v>
      </c>
      <c r="C417" s="1" t="n">
        <v>45999</v>
      </c>
      <c r="D417" t="inlineStr">
        <is>
          <t>VÄSTERBOTTENS LÄN</t>
        </is>
      </c>
      <c r="E417" t="inlineStr">
        <is>
          <t>VILHELMINA</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34819-2024</t>
        </is>
      </c>
      <c r="B418" s="1" t="n">
        <v>45526.71134259259</v>
      </c>
      <c r="C418" s="1" t="n">
        <v>45999</v>
      </c>
      <c r="D418" t="inlineStr">
        <is>
          <t>VÄSTERBOTTENS LÄN</t>
        </is>
      </c>
      <c r="E418" t="inlineStr">
        <is>
          <t>VILHELMINA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12043-2023</t>
        </is>
      </c>
      <c r="B419" s="1" t="n">
        <v>44995</v>
      </c>
      <c r="C419" s="1" t="n">
        <v>45999</v>
      </c>
      <c r="D419" t="inlineStr">
        <is>
          <t>VÄSTERBOTTENS LÄN</t>
        </is>
      </c>
      <c r="E419" t="inlineStr">
        <is>
          <t>VILHELMINA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65133-2021</t>
        </is>
      </c>
      <c r="B420" s="1" t="n">
        <v>44515</v>
      </c>
      <c r="C420" s="1" t="n">
        <v>45999</v>
      </c>
      <c r="D420" t="inlineStr">
        <is>
          <t>VÄSTERBOTTENS LÄN</t>
        </is>
      </c>
      <c r="E420" t="inlineStr">
        <is>
          <t>VILHELMINA</t>
        </is>
      </c>
      <c r="G420" t="n">
        <v>16.4</v>
      </c>
      <c r="H420" t="n">
        <v>0</v>
      </c>
      <c r="I420" t="n">
        <v>0</v>
      </c>
      <c r="J420" t="n">
        <v>0</v>
      </c>
      <c r="K420" t="n">
        <v>0</v>
      </c>
      <c r="L420" t="n">
        <v>0</v>
      </c>
      <c r="M420" t="n">
        <v>0</v>
      </c>
      <c r="N420" t="n">
        <v>0</v>
      </c>
      <c r="O420" t="n">
        <v>0</v>
      </c>
      <c r="P420" t="n">
        <v>0</v>
      </c>
      <c r="Q420" t="n">
        <v>0</v>
      </c>
      <c r="R420" s="2" t="inlineStr"/>
    </row>
    <row r="421" ht="15" customHeight="1">
      <c r="A421" t="inlineStr">
        <is>
          <t>A 48117-2022</t>
        </is>
      </c>
      <c r="B421" s="1" t="n">
        <v>44857</v>
      </c>
      <c r="C421" s="1" t="n">
        <v>45999</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38364-2023</t>
        </is>
      </c>
      <c r="B422" s="1" t="n">
        <v>45161</v>
      </c>
      <c r="C422" s="1" t="n">
        <v>45999</v>
      </c>
      <c r="D422" t="inlineStr">
        <is>
          <t>VÄSTERBOTTENS LÄN</t>
        </is>
      </c>
      <c r="E422" t="inlineStr">
        <is>
          <t>VILHELMINA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4869-2023</t>
        </is>
      </c>
      <c r="B423" s="1" t="n">
        <v>44957</v>
      </c>
      <c r="C423" s="1" t="n">
        <v>45999</v>
      </c>
      <c r="D423" t="inlineStr">
        <is>
          <t>VÄSTERBOTTENS LÄN</t>
        </is>
      </c>
      <c r="E423" t="inlineStr">
        <is>
          <t>VILHELMINA</t>
        </is>
      </c>
      <c r="G423" t="n">
        <v>5.7</v>
      </c>
      <c r="H423" t="n">
        <v>0</v>
      </c>
      <c r="I423" t="n">
        <v>0</v>
      </c>
      <c r="J423" t="n">
        <v>0</v>
      </c>
      <c r="K423" t="n">
        <v>0</v>
      </c>
      <c r="L423" t="n">
        <v>0</v>
      </c>
      <c r="M423" t="n">
        <v>0</v>
      </c>
      <c r="N423" t="n">
        <v>0</v>
      </c>
      <c r="O423" t="n">
        <v>0</v>
      </c>
      <c r="P423" t="n">
        <v>0</v>
      </c>
      <c r="Q423" t="n">
        <v>0</v>
      </c>
      <c r="R423" s="2" t="inlineStr"/>
    </row>
    <row r="424" ht="15" customHeight="1">
      <c r="A424" t="inlineStr">
        <is>
          <t>A 34799-2023</t>
        </is>
      </c>
      <c r="B424" s="1" t="n">
        <v>45140</v>
      </c>
      <c r="C424" s="1" t="n">
        <v>45999</v>
      </c>
      <c r="D424" t="inlineStr">
        <is>
          <t>VÄSTERBOTTENS LÄN</t>
        </is>
      </c>
      <c r="E424" t="inlineStr">
        <is>
          <t>VILHELMINA</t>
        </is>
      </c>
      <c r="G424" t="n">
        <v>17.4</v>
      </c>
      <c r="H424" t="n">
        <v>0</v>
      </c>
      <c r="I424" t="n">
        <v>0</v>
      </c>
      <c r="J424" t="n">
        <v>0</v>
      </c>
      <c r="K424" t="n">
        <v>0</v>
      </c>
      <c r="L424" t="n">
        <v>0</v>
      </c>
      <c r="M424" t="n">
        <v>0</v>
      </c>
      <c r="N424" t="n">
        <v>0</v>
      </c>
      <c r="O424" t="n">
        <v>0</v>
      </c>
      <c r="P424" t="n">
        <v>0</v>
      </c>
      <c r="Q424" t="n">
        <v>0</v>
      </c>
      <c r="R424" s="2" t="inlineStr"/>
    </row>
    <row r="425" ht="15" customHeight="1">
      <c r="A425" t="inlineStr">
        <is>
          <t>A 30572-2024</t>
        </is>
      </c>
      <c r="B425" s="1" t="n">
        <v>45492.95777777778</v>
      </c>
      <c r="C425" s="1" t="n">
        <v>45999</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30582-2024</t>
        </is>
      </c>
      <c r="B426" s="1" t="n">
        <v>45492</v>
      </c>
      <c r="C426" s="1" t="n">
        <v>45999</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55620-2024</t>
        </is>
      </c>
      <c r="B427" s="1" t="n">
        <v>45622</v>
      </c>
      <c r="C427" s="1" t="n">
        <v>45999</v>
      </c>
      <c r="D427" t="inlineStr">
        <is>
          <t>VÄSTERBOTTENS LÄN</t>
        </is>
      </c>
      <c r="E427" t="inlineStr">
        <is>
          <t>VILHELMINA</t>
        </is>
      </c>
      <c r="F427" t="inlineStr">
        <is>
          <t>SCA</t>
        </is>
      </c>
      <c r="G427" t="n">
        <v>21.4</v>
      </c>
      <c r="H427" t="n">
        <v>0</v>
      </c>
      <c r="I427" t="n">
        <v>0</v>
      </c>
      <c r="J427" t="n">
        <v>0</v>
      </c>
      <c r="K427" t="n">
        <v>0</v>
      </c>
      <c r="L427" t="n">
        <v>0</v>
      </c>
      <c r="M427" t="n">
        <v>0</v>
      </c>
      <c r="N427" t="n">
        <v>0</v>
      </c>
      <c r="O427" t="n">
        <v>0</v>
      </c>
      <c r="P427" t="n">
        <v>0</v>
      </c>
      <c r="Q427" t="n">
        <v>0</v>
      </c>
      <c r="R427" s="2" t="inlineStr"/>
    </row>
    <row r="428" ht="15" customHeight="1">
      <c r="A428" t="inlineStr">
        <is>
          <t>A 32925-2024</t>
        </is>
      </c>
      <c r="B428" s="1" t="n">
        <v>45516.95302083333</v>
      </c>
      <c r="C428" s="1" t="n">
        <v>45999</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32926-2024</t>
        </is>
      </c>
      <c r="B429" s="1" t="n">
        <v>45516.95311342592</v>
      </c>
      <c r="C429" s="1" t="n">
        <v>45999</v>
      </c>
      <c r="D429" t="inlineStr">
        <is>
          <t>VÄSTERBOTTENS LÄN</t>
        </is>
      </c>
      <c r="E429" t="inlineStr">
        <is>
          <t>VILHELMINA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44505-2024</t>
        </is>
      </c>
      <c r="B430" s="1" t="n">
        <v>45574.40974537037</v>
      </c>
      <c r="C430" s="1" t="n">
        <v>45999</v>
      </c>
      <c r="D430" t="inlineStr">
        <is>
          <t>VÄSTERBOTTENS LÄN</t>
        </is>
      </c>
      <c r="E430" t="inlineStr">
        <is>
          <t>VILHELMINA</t>
        </is>
      </c>
      <c r="G430" t="n">
        <v>15.5</v>
      </c>
      <c r="H430" t="n">
        <v>0</v>
      </c>
      <c r="I430" t="n">
        <v>0</v>
      </c>
      <c r="J430" t="n">
        <v>0</v>
      </c>
      <c r="K430" t="n">
        <v>0</v>
      </c>
      <c r="L430" t="n">
        <v>0</v>
      </c>
      <c r="M430" t="n">
        <v>0</v>
      </c>
      <c r="N430" t="n">
        <v>0</v>
      </c>
      <c r="O430" t="n">
        <v>0</v>
      </c>
      <c r="P430" t="n">
        <v>0</v>
      </c>
      <c r="Q430" t="n">
        <v>0</v>
      </c>
      <c r="R430" s="2" t="inlineStr"/>
    </row>
    <row r="431" ht="15" customHeight="1">
      <c r="A431" t="inlineStr">
        <is>
          <t>A 55714-2023</t>
        </is>
      </c>
      <c r="B431" s="1" t="n">
        <v>45232</v>
      </c>
      <c r="C431" s="1" t="n">
        <v>45999</v>
      </c>
      <c r="D431" t="inlineStr">
        <is>
          <t>VÄSTERBOTTENS LÄN</t>
        </is>
      </c>
      <c r="E431" t="inlineStr">
        <is>
          <t>VILHELMINA</t>
        </is>
      </c>
      <c r="G431" t="n">
        <v>1.8</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45999</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45673-2023</t>
        </is>
      </c>
      <c r="B433" s="1" t="n">
        <v>45194</v>
      </c>
      <c r="C433" s="1" t="n">
        <v>45999</v>
      </c>
      <c r="D433" t="inlineStr">
        <is>
          <t>VÄSTERBOTTENS LÄN</t>
        </is>
      </c>
      <c r="E433" t="inlineStr">
        <is>
          <t>VILHELMINA</t>
        </is>
      </c>
      <c r="G433" t="n">
        <v>13.4</v>
      </c>
      <c r="H433" t="n">
        <v>0</v>
      </c>
      <c r="I433" t="n">
        <v>0</v>
      </c>
      <c r="J433" t="n">
        <v>0</v>
      </c>
      <c r="K433" t="n">
        <v>0</v>
      </c>
      <c r="L433" t="n">
        <v>0</v>
      </c>
      <c r="M433" t="n">
        <v>0</v>
      </c>
      <c r="N433" t="n">
        <v>0</v>
      </c>
      <c r="O433" t="n">
        <v>0</v>
      </c>
      <c r="P433" t="n">
        <v>0</v>
      </c>
      <c r="Q433" t="n">
        <v>0</v>
      </c>
      <c r="R433" s="2" t="inlineStr"/>
    </row>
    <row r="434" ht="15" customHeight="1">
      <c r="A434" t="inlineStr">
        <is>
          <t>A 12362-2025</t>
        </is>
      </c>
      <c r="B434" s="1" t="n">
        <v>45730</v>
      </c>
      <c r="C434" s="1" t="n">
        <v>45999</v>
      </c>
      <c r="D434" t="inlineStr">
        <is>
          <t>VÄSTERBOTTENS LÄN</t>
        </is>
      </c>
      <c r="E434" t="inlineStr">
        <is>
          <t>VILHELMINA</t>
        </is>
      </c>
      <c r="F434" t="inlineStr">
        <is>
          <t>Övriga statliga verk och myndigheter</t>
        </is>
      </c>
      <c r="G434" t="n">
        <v>6.1</v>
      </c>
      <c r="H434" t="n">
        <v>0</v>
      </c>
      <c r="I434" t="n">
        <v>0</v>
      </c>
      <c r="J434" t="n">
        <v>0</v>
      </c>
      <c r="K434" t="n">
        <v>0</v>
      </c>
      <c r="L434" t="n">
        <v>0</v>
      </c>
      <c r="M434" t="n">
        <v>0</v>
      </c>
      <c r="N434" t="n">
        <v>0</v>
      </c>
      <c r="O434" t="n">
        <v>0</v>
      </c>
      <c r="P434" t="n">
        <v>0</v>
      </c>
      <c r="Q434" t="n">
        <v>0</v>
      </c>
      <c r="R434" s="2" t="inlineStr"/>
    </row>
    <row r="435" ht="15" customHeight="1">
      <c r="A435" t="inlineStr">
        <is>
          <t>A 52740-2023</t>
        </is>
      </c>
      <c r="B435" s="1" t="n">
        <v>45225</v>
      </c>
      <c r="C435" s="1" t="n">
        <v>45999</v>
      </c>
      <c r="D435" t="inlineStr">
        <is>
          <t>VÄSTERBOTTENS LÄN</t>
        </is>
      </c>
      <c r="E435" t="inlineStr">
        <is>
          <t>VILHELMINA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12763-2025</t>
        </is>
      </c>
      <c r="B436" s="1" t="n">
        <v>45733</v>
      </c>
      <c r="C436" s="1" t="n">
        <v>45999</v>
      </c>
      <c r="D436" t="inlineStr">
        <is>
          <t>VÄSTERBOTTENS LÄN</t>
        </is>
      </c>
      <c r="E436" t="inlineStr">
        <is>
          <t>VILHELMINA</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46547-2023</t>
        </is>
      </c>
      <c r="B437" s="1" t="n">
        <v>45197.94158564815</v>
      </c>
      <c r="C437" s="1" t="n">
        <v>45999</v>
      </c>
      <c r="D437" t="inlineStr">
        <is>
          <t>VÄSTERBOTTENS LÄN</t>
        </is>
      </c>
      <c r="E437" t="inlineStr">
        <is>
          <t>VILHELMINA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8578-2025</t>
        </is>
      </c>
      <c r="B438" s="1" t="n">
        <v>45709</v>
      </c>
      <c r="C438" s="1" t="n">
        <v>45999</v>
      </c>
      <c r="D438" t="inlineStr">
        <is>
          <t>VÄSTERBOTTENS LÄN</t>
        </is>
      </c>
      <c r="E438" t="inlineStr">
        <is>
          <t>VILHELMINA</t>
        </is>
      </c>
      <c r="G438" t="n">
        <v>3.5</v>
      </c>
      <c r="H438" t="n">
        <v>0</v>
      </c>
      <c r="I438" t="n">
        <v>0</v>
      </c>
      <c r="J438" t="n">
        <v>0</v>
      </c>
      <c r="K438" t="n">
        <v>0</v>
      </c>
      <c r="L438" t="n">
        <v>0</v>
      </c>
      <c r="M438" t="n">
        <v>0</v>
      </c>
      <c r="N438" t="n">
        <v>0</v>
      </c>
      <c r="O438" t="n">
        <v>0</v>
      </c>
      <c r="P438" t="n">
        <v>0</v>
      </c>
      <c r="Q438" t="n">
        <v>0</v>
      </c>
      <c r="R438" s="2" t="inlineStr"/>
    </row>
    <row r="439" ht="15" customHeight="1">
      <c r="A439" t="inlineStr">
        <is>
          <t>A 14959-2022</t>
        </is>
      </c>
      <c r="B439" s="1" t="n">
        <v>44657</v>
      </c>
      <c r="C439" s="1" t="n">
        <v>45999</v>
      </c>
      <c r="D439" t="inlineStr">
        <is>
          <t>VÄSTERBOTTENS LÄN</t>
        </is>
      </c>
      <c r="E439" t="inlineStr">
        <is>
          <t>VILHELMINA</t>
        </is>
      </c>
      <c r="G439" t="n">
        <v>71.8</v>
      </c>
      <c r="H439" t="n">
        <v>0</v>
      </c>
      <c r="I439" t="n">
        <v>0</v>
      </c>
      <c r="J439" t="n">
        <v>0</v>
      </c>
      <c r="K439" t="n">
        <v>0</v>
      </c>
      <c r="L439" t="n">
        <v>0</v>
      </c>
      <c r="M439" t="n">
        <v>0</v>
      </c>
      <c r="N439" t="n">
        <v>0</v>
      </c>
      <c r="O439" t="n">
        <v>0</v>
      </c>
      <c r="P439" t="n">
        <v>0</v>
      </c>
      <c r="Q439" t="n">
        <v>0</v>
      </c>
      <c r="R439" s="2" t="inlineStr"/>
    </row>
    <row r="440" ht="15" customHeight="1">
      <c r="A440" t="inlineStr">
        <is>
          <t>A 46392-2024</t>
        </is>
      </c>
      <c r="B440" s="1" t="n">
        <v>45582</v>
      </c>
      <c r="C440" s="1" t="n">
        <v>45999</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2187-2021</t>
        </is>
      </c>
      <c r="B441" s="1" t="n">
        <v>44211</v>
      </c>
      <c r="C441" s="1" t="n">
        <v>45999</v>
      </c>
      <c r="D441" t="inlineStr">
        <is>
          <t>VÄSTERBOTTENS LÄN</t>
        </is>
      </c>
      <c r="E441" t="inlineStr">
        <is>
          <t>VILHELMINA</t>
        </is>
      </c>
      <c r="F441" t="inlineStr">
        <is>
          <t>Allmännings- och besparingsskogar</t>
        </is>
      </c>
      <c r="G441" t="n">
        <v>21.3</v>
      </c>
      <c r="H441" t="n">
        <v>0</v>
      </c>
      <c r="I441" t="n">
        <v>0</v>
      </c>
      <c r="J441" t="n">
        <v>0</v>
      </c>
      <c r="K441" t="n">
        <v>0</v>
      </c>
      <c r="L441" t="n">
        <v>0</v>
      </c>
      <c r="M441" t="n">
        <v>0</v>
      </c>
      <c r="N441" t="n">
        <v>0</v>
      </c>
      <c r="O441" t="n">
        <v>0</v>
      </c>
      <c r="P441" t="n">
        <v>0</v>
      </c>
      <c r="Q441" t="n">
        <v>0</v>
      </c>
      <c r="R441" s="2" t="inlineStr"/>
    </row>
    <row r="442" ht="15" customHeight="1">
      <c r="A442" t="inlineStr">
        <is>
          <t>A 12825-2023</t>
        </is>
      </c>
      <c r="B442" s="1" t="n">
        <v>45000</v>
      </c>
      <c r="C442" s="1" t="n">
        <v>45999</v>
      </c>
      <c r="D442" t="inlineStr">
        <is>
          <t>VÄSTERBOTTENS LÄN</t>
        </is>
      </c>
      <c r="E442" t="inlineStr">
        <is>
          <t>VILHELMINA</t>
        </is>
      </c>
      <c r="G442" t="n">
        <v>22.4</v>
      </c>
      <c r="H442" t="n">
        <v>0</v>
      </c>
      <c r="I442" t="n">
        <v>0</v>
      </c>
      <c r="J442" t="n">
        <v>0</v>
      </c>
      <c r="K442" t="n">
        <v>0</v>
      </c>
      <c r="L442" t="n">
        <v>0</v>
      </c>
      <c r="M442" t="n">
        <v>0</v>
      </c>
      <c r="N442" t="n">
        <v>0</v>
      </c>
      <c r="O442" t="n">
        <v>0</v>
      </c>
      <c r="P442" t="n">
        <v>0</v>
      </c>
      <c r="Q442" t="n">
        <v>0</v>
      </c>
      <c r="R442" s="2" t="inlineStr"/>
    </row>
    <row r="443" ht="15" customHeight="1">
      <c r="A443" t="inlineStr">
        <is>
          <t>A 19349-2024</t>
        </is>
      </c>
      <c r="B443" s="1" t="n">
        <v>45428.97231481481</v>
      </c>
      <c r="C443" s="1" t="n">
        <v>45999</v>
      </c>
      <c r="D443" t="inlineStr">
        <is>
          <t>VÄSTERBOTTENS LÄN</t>
        </is>
      </c>
      <c r="E443" t="inlineStr">
        <is>
          <t>VILHELMINA</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18692-2023</t>
        </is>
      </c>
      <c r="B444" s="1" t="n">
        <v>45042</v>
      </c>
      <c r="C444" s="1" t="n">
        <v>45999</v>
      </c>
      <c r="D444" t="inlineStr">
        <is>
          <t>VÄSTERBOTTENS LÄN</t>
        </is>
      </c>
      <c r="E444" t="inlineStr">
        <is>
          <t>VILHELMINA</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45999</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8750-2021</t>
        </is>
      </c>
      <c r="B446" s="1" t="n">
        <v>44246</v>
      </c>
      <c r="C446" s="1" t="n">
        <v>45999</v>
      </c>
      <c r="D446" t="inlineStr">
        <is>
          <t>VÄSTERBOTTENS LÄN</t>
        </is>
      </c>
      <c r="E446" t="inlineStr">
        <is>
          <t>VILHELMINA</t>
        </is>
      </c>
      <c r="G446" t="n">
        <v>5.2</v>
      </c>
      <c r="H446" t="n">
        <v>0</v>
      </c>
      <c r="I446" t="n">
        <v>0</v>
      </c>
      <c r="J446" t="n">
        <v>0</v>
      </c>
      <c r="K446" t="n">
        <v>0</v>
      </c>
      <c r="L446" t="n">
        <v>0</v>
      </c>
      <c r="M446" t="n">
        <v>0</v>
      </c>
      <c r="N446" t="n">
        <v>0</v>
      </c>
      <c r="O446" t="n">
        <v>0</v>
      </c>
      <c r="P446" t="n">
        <v>0</v>
      </c>
      <c r="Q446" t="n">
        <v>0</v>
      </c>
      <c r="R446" s="2" t="inlineStr"/>
    </row>
    <row r="447" ht="15" customHeight="1">
      <c r="A447" t="inlineStr">
        <is>
          <t>A 16721-2025</t>
        </is>
      </c>
      <c r="B447" s="1" t="n">
        <v>45754.49045138889</v>
      </c>
      <c r="C447" s="1" t="n">
        <v>45999</v>
      </c>
      <c r="D447" t="inlineStr">
        <is>
          <t>VÄSTERBOTTENS LÄN</t>
        </is>
      </c>
      <c r="E447" t="inlineStr">
        <is>
          <t>VILHELMINA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60376-2024</t>
        </is>
      </c>
      <c r="B448" s="1" t="n">
        <v>45643</v>
      </c>
      <c r="C448" s="1" t="n">
        <v>45999</v>
      </c>
      <c r="D448" t="inlineStr">
        <is>
          <t>VÄSTERBOTTENS LÄN</t>
        </is>
      </c>
      <c r="E448" t="inlineStr">
        <is>
          <t>VILHELMINA</t>
        </is>
      </c>
      <c r="F448" t="inlineStr">
        <is>
          <t>SCA</t>
        </is>
      </c>
      <c r="G448" t="n">
        <v>11.5</v>
      </c>
      <c r="H448" t="n">
        <v>0</v>
      </c>
      <c r="I448" t="n">
        <v>0</v>
      </c>
      <c r="J448" t="n">
        <v>0</v>
      </c>
      <c r="K448" t="n">
        <v>0</v>
      </c>
      <c r="L448" t="n">
        <v>0</v>
      </c>
      <c r="M448" t="n">
        <v>0</v>
      </c>
      <c r="N448" t="n">
        <v>0</v>
      </c>
      <c r="O448" t="n">
        <v>0</v>
      </c>
      <c r="P448" t="n">
        <v>0</v>
      </c>
      <c r="Q448" t="n">
        <v>0</v>
      </c>
      <c r="R448" s="2" t="inlineStr"/>
    </row>
    <row r="449" ht="15" customHeight="1">
      <c r="A449" t="inlineStr">
        <is>
          <t>A 19465-2025</t>
        </is>
      </c>
      <c r="B449" s="1" t="n">
        <v>45770</v>
      </c>
      <c r="C449" s="1" t="n">
        <v>45999</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12118-2024</t>
        </is>
      </c>
      <c r="B450" s="1" t="n">
        <v>45376</v>
      </c>
      <c r="C450" s="1" t="n">
        <v>45999</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37937-2023</t>
        </is>
      </c>
      <c r="B451" s="1" t="n">
        <v>45159</v>
      </c>
      <c r="C451" s="1" t="n">
        <v>45999</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52749-2023</t>
        </is>
      </c>
      <c r="B452" s="1" t="n">
        <v>45225.9678587963</v>
      </c>
      <c r="C452" s="1" t="n">
        <v>45999</v>
      </c>
      <c r="D452" t="inlineStr">
        <is>
          <t>VÄSTERBOTTENS LÄN</t>
        </is>
      </c>
      <c r="E452" t="inlineStr">
        <is>
          <t>VILHELMINA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29722-2024</t>
        </is>
      </c>
      <c r="B453" s="1" t="n">
        <v>45485</v>
      </c>
      <c r="C453" s="1" t="n">
        <v>45999</v>
      </c>
      <c r="D453" t="inlineStr">
        <is>
          <t>VÄSTERBOTTENS LÄN</t>
        </is>
      </c>
      <c r="E453" t="inlineStr">
        <is>
          <t>VILHELMINA</t>
        </is>
      </c>
      <c r="G453" t="n">
        <v>2.5</v>
      </c>
      <c r="H453" t="n">
        <v>0</v>
      </c>
      <c r="I453" t="n">
        <v>0</v>
      </c>
      <c r="J453" t="n">
        <v>0</v>
      </c>
      <c r="K453" t="n">
        <v>0</v>
      </c>
      <c r="L453" t="n">
        <v>0</v>
      </c>
      <c r="M453" t="n">
        <v>0</v>
      </c>
      <c r="N453" t="n">
        <v>0</v>
      </c>
      <c r="O453" t="n">
        <v>0</v>
      </c>
      <c r="P453" t="n">
        <v>0</v>
      </c>
      <c r="Q453" t="n">
        <v>0</v>
      </c>
      <c r="R453" s="2" t="inlineStr"/>
    </row>
    <row r="454" ht="15" customHeight="1">
      <c r="A454" t="inlineStr">
        <is>
          <t>A 6706-2021</t>
        </is>
      </c>
      <c r="B454" s="1" t="n">
        <v>44235</v>
      </c>
      <c r="C454" s="1" t="n">
        <v>45999</v>
      </c>
      <c r="D454" t="inlineStr">
        <is>
          <t>VÄSTERBOTTENS LÄN</t>
        </is>
      </c>
      <c r="E454" t="inlineStr">
        <is>
          <t>VILHELMINA</t>
        </is>
      </c>
      <c r="G454" t="n">
        <v>3.8</v>
      </c>
      <c r="H454" t="n">
        <v>0</v>
      </c>
      <c r="I454" t="n">
        <v>0</v>
      </c>
      <c r="J454" t="n">
        <v>0</v>
      </c>
      <c r="K454" t="n">
        <v>0</v>
      </c>
      <c r="L454" t="n">
        <v>0</v>
      </c>
      <c r="M454" t="n">
        <v>0</v>
      </c>
      <c r="N454" t="n">
        <v>0</v>
      </c>
      <c r="O454" t="n">
        <v>0</v>
      </c>
      <c r="P454" t="n">
        <v>0</v>
      </c>
      <c r="Q454" t="n">
        <v>0</v>
      </c>
      <c r="R454" s="2" t="inlineStr"/>
    </row>
    <row r="455" ht="15" customHeight="1">
      <c r="A455" t="inlineStr">
        <is>
          <t>A 53606-2024</t>
        </is>
      </c>
      <c r="B455" s="1" t="n">
        <v>45614</v>
      </c>
      <c r="C455" s="1" t="n">
        <v>45999</v>
      </c>
      <c r="D455" t="inlineStr">
        <is>
          <t>VÄSTERBOTTENS LÄN</t>
        </is>
      </c>
      <c r="E455" t="inlineStr">
        <is>
          <t>VILHELMINA</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33786-2024</t>
        </is>
      </c>
      <c r="B456" s="1" t="n">
        <v>45520.58966435185</v>
      </c>
      <c r="C456" s="1" t="n">
        <v>45999</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28869-2024</t>
        </is>
      </c>
      <c r="B457" s="1" t="n">
        <v>45478.94722222222</v>
      </c>
      <c r="C457" s="1" t="n">
        <v>45999</v>
      </c>
      <c r="D457" t="inlineStr">
        <is>
          <t>VÄSTERBOTTENS LÄN</t>
        </is>
      </c>
      <c r="E457" t="inlineStr">
        <is>
          <t>VILHELMINA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28380-2023</t>
        </is>
      </c>
      <c r="B458" s="1" t="n">
        <v>45099</v>
      </c>
      <c r="C458" s="1" t="n">
        <v>45999</v>
      </c>
      <c r="D458" t="inlineStr">
        <is>
          <t>VÄSTERBOTTENS LÄN</t>
        </is>
      </c>
      <c r="E458" t="inlineStr">
        <is>
          <t>VILHELMINA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30583-2024</t>
        </is>
      </c>
      <c r="B459" s="1" t="n">
        <v>45492.96108796296</v>
      </c>
      <c r="C459" s="1" t="n">
        <v>45999</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45999</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45999</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19401-2023</t>
        </is>
      </c>
      <c r="B462" s="1" t="n">
        <v>45048</v>
      </c>
      <c r="C462" s="1" t="n">
        <v>45999</v>
      </c>
      <c r="D462" t="inlineStr">
        <is>
          <t>VÄSTERBOTTENS LÄN</t>
        </is>
      </c>
      <c r="E462" t="inlineStr">
        <is>
          <t>VILHELMINA</t>
        </is>
      </c>
      <c r="G462" t="n">
        <v>5.4</v>
      </c>
      <c r="H462" t="n">
        <v>0</v>
      </c>
      <c r="I462" t="n">
        <v>0</v>
      </c>
      <c r="J462" t="n">
        <v>0</v>
      </c>
      <c r="K462" t="n">
        <v>0</v>
      </c>
      <c r="L462" t="n">
        <v>0</v>
      </c>
      <c r="M462" t="n">
        <v>0</v>
      </c>
      <c r="N462" t="n">
        <v>0</v>
      </c>
      <c r="O462" t="n">
        <v>0</v>
      </c>
      <c r="P462" t="n">
        <v>0</v>
      </c>
      <c r="Q462" t="n">
        <v>0</v>
      </c>
      <c r="R462" s="2" t="inlineStr"/>
    </row>
    <row r="463" ht="15" customHeight="1">
      <c r="A463" t="inlineStr">
        <is>
          <t>A 57470-2024</t>
        </is>
      </c>
      <c r="B463" s="1" t="n">
        <v>45630</v>
      </c>
      <c r="C463" s="1" t="n">
        <v>45999</v>
      </c>
      <c r="D463" t="inlineStr">
        <is>
          <t>VÄSTERBOTTENS LÄN</t>
        </is>
      </c>
      <c r="E463" t="inlineStr">
        <is>
          <t>VILHELMINA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8555-2023</t>
        </is>
      </c>
      <c r="B464" s="1" t="n">
        <v>44972</v>
      </c>
      <c r="C464" s="1" t="n">
        <v>45999</v>
      </c>
      <c r="D464" t="inlineStr">
        <is>
          <t>VÄSTERBOTTENS LÄN</t>
        </is>
      </c>
      <c r="E464" t="inlineStr">
        <is>
          <t>VILHELMINA</t>
        </is>
      </c>
      <c r="F464" t="inlineStr">
        <is>
          <t>Allmännings- och besparingsskogar</t>
        </is>
      </c>
      <c r="G464" t="n">
        <v>39</v>
      </c>
      <c r="H464" t="n">
        <v>0</v>
      </c>
      <c r="I464" t="n">
        <v>0</v>
      </c>
      <c r="J464" t="n">
        <v>0</v>
      </c>
      <c r="K464" t="n">
        <v>0</v>
      </c>
      <c r="L464" t="n">
        <v>0</v>
      </c>
      <c r="M464" t="n">
        <v>0</v>
      </c>
      <c r="N464" t="n">
        <v>0</v>
      </c>
      <c r="O464" t="n">
        <v>0</v>
      </c>
      <c r="P464" t="n">
        <v>0</v>
      </c>
      <c r="Q464" t="n">
        <v>0</v>
      </c>
      <c r="R464" s="2" t="inlineStr"/>
    </row>
    <row r="465" ht="15" customHeight="1">
      <c r="A465" t="inlineStr">
        <is>
          <t>A 21035-2025</t>
        </is>
      </c>
      <c r="B465" s="1" t="n">
        <v>45777.53157407408</v>
      </c>
      <c r="C465" s="1" t="n">
        <v>45999</v>
      </c>
      <c r="D465" t="inlineStr">
        <is>
          <t>VÄSTERBOTTENS LÄN</t>
        </is>
      </c>
      <c r="E465" t="inlineStr">
        <is>
          <t>VILHELMINA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25102-2021</t>
        </is>
      </c>
      <c r="B466" s="1" t="n">
        <v>44341</v>
      </c>
      <c r="C466" s="1" t="n">
        <v>45999</v>
      </c>
      <c r="D466" t="inlineStr">
        <is>
          <t>VÄSTERBOTTENS LÄN</t>
        </is>
      </c>
      <c r="E466" t="inlineStr">
        <is>
          <t>VILHELMINA</t>
        </is>
      </c>
      <c r="G466" t="n">
        <v>6.7</v>
      </c>
      <c r="H466" t="n">
        <v>0</v>
      </c>
      <c r="I466" t="n">
        <v>0</v>
      </c>
      <c r="J466" t="n">
        <v>0</v>
      </c>
      <c r="K466" t="n">
        <v>0</v>
      </c>
      <c r="L466" t="n">
        <v>0</v>
      </c>
      <c r="M466" t="n">
        <v>0</v>
      </c>
      <c r="N466" t="n">
        <v>0</v>
      </c>
      <c r="O466" t="n">
        <v>0</v>
      </c>
      <c r="P466" t="n">
        <v>0</v>
      </c>
      <c r="Q466" t="n">
        <v>0</v>
      </c>
      <c r="R466" s="2" t="inlineStr"/>
    </row>
    <row r="467" ht="15" customHeight="1">
      <c r="A467" t="inlineStr">
        <is>
          <t>A 21069-2025</t>
        </is>
      </c>
      <c r="B467" s="1" t="n">
        <v>45777.59427083333</v>
      </c>
      <c r="C467" s="1" t="n">
        <v>45999</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20322-2022</t>
        </is>
      </c>
      <c r="B468" s="1" t="n">
        <v>44698</v>
      </c>
      <c r="C468" s="1" t="n">
        <v>45999</v>
      </c>
      <c r="D468" t="inlineStr">
        <is>
          <t>VÄSTERBOTTENS LÄN</t>
        </is>
      </c>
      <c r="E468" t="inlineStr">
        <is>
          <t>VILHELMINA</t>
        </is>
      </c>
      <c r="G468" t="n">
        <v>10.5</v>
      </c>
      <c r="H468" t="n">
        <v>0</v>
      </c>
      <c r="I468" t="n">
        <v>0</v>
      </c>
      <c r="J468" t="n">
        <v>0</v>
      </c>
      <c r="K468" t="n">
        <v>0</v>
      </c>
      <c r="L468" t="n">
        <v>0</v>
      </c>
      <c r="M468" t="n">
        <v>0</v>
      </c>
      <c r="N468" t="n">
        <v>0</v>
      </c>
      <c r="O468" t="n">
        <v>0</v>
      </c>
      <c r="P468" t="n">
        <v>0</v>
      </c>
      <c r="Q468" t="n">
        <v>0</v>
      </c>
      <c r="R468" s="2" t="inlineStr"/>
    </row>
    <row r="469" ht="15" customHeight="1">
      <c r="A469" t="inlineStr">
        <is>
          <t>A 2742-2023</t>
        </is>
      </c>
      <c r="B469" s="1" t="n">
        <v>44943</v>
      </c>
      <c r="C469" s="1" t="n">
        <v>45999</v>
      </c>
      <c r="D469" t="inlineStr">
        <is>
          <t>VÄSTERBOTTENS LÄN</t>
        </is>
      </c>
      <c r="E469" t="inlineStr">
        <is>
          <t>VILHELMINA</t>
        </is>
      </c>
      <c r="G469" t="n">
        <v>34.8</v>
      </c>
      <c r="H469" t="n">
        <v>0</v>
      </c>
      <c r="I469" t="n">
        <v>0</v>
      </c>
      <c r="J469" t="n">
        <v>0</v>
      </c>
      <c r="K469" t="n">
        <v>0</v>
      </c>
      <c r="L469" t="n">
        <v>0</v>
      </c>
      <c r="M469" t="n">
        <v>0</v>
      </c>
      <c r="N469" t="n">
        <v>0</v>
      </c>
      <c r="O469" t="n">
        <v>0</v>
      </c>
      <c r="P469" t="n">
        <v>0</v>
      </c>
      <c r="Q469" t="n">
        <v>0</v>
      </c>
      <c r="R469" s="2" t="inlineStr"/>
    </row>
    <row r="470" ht="15" customHeight="1">
      <c r="A470" t="inlineStr">
        <is>
          <t>A 31095-2024</t>
        </is>
      </c>
      <c r="B470" s="1" t="n">
        <v>45502</v>
      </c>
      <c r="C470" s="1" t="n">
        <v>45999</v>
      </c>
      <c r="D470" t="inlineStr">
        <is>
          <t>VÄSTERBOTTENS LÄN</t>
        </is>
      </c>
      <c r="E470" t="inlineStr">
        <is>
          <t>VILHELMINA</t>
        </is>
      </c>
      <c r="G470" t="n">
        <v>4.7</v>
      </c>
      <c r="H470" t="n">
        <v>0</v>
      </c>
      <c r="I470" t="n">
        <v>0</v>
      </c>
      <c r="J470" t="n">
        <v>0</v>
      </c>
      <c r="K470" t="n">
        <v>0</v>
      </c>
      <c r="L470" t="n">
        <v>0</v>
      </c>
      <c r="M470" t="n">
        <v>0</v>
      </c>
      <c r="N470" t="n">
        <v>0</v>
      </c>
      <c r="O470" t="n">
        <v>0</v>
      </c>
      <c r="P470" t="n">
        <v>0</v>
      </c>
      <c r="Q470" t="n">
        <v>0</v>
      </c>
      <c r="R470" s="2" t="inlineStr"/>
    </row>
    <row r="471" ht="15" customHeight="1">
      <c r="A471" t="inlineStr">
        <is>
          <t>A 26947-2024</t>
        </is>
      </c>
      <c r="B471" s="1" t="n">
        <v>45470.9693287037</v>
      </c>
      <c r="C471" s="1" t="n">
        <v>45999</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26557-2023</t>
        </is>
      </c>
      <c r="B472" s="1" t="n">
        <v>45089</v>
      </c>
      <c r="C472" s="1" t="n">
        <v>45999</v>
      </c>
      <c r="D472" t="inlineStr">
        <is>
          <t>VÄSTERBOTTENS LÄN</t>
        </is>
      </c>
      <c r="E472" t="inlineStr">
        <is>
          <t>VILHELMINA</t>
        </is>
      </c>
      <c r="G472" t="n">
        <v>0.5</v>
      </c>
      <c r="H472" t="n">
        <v>0</v>
      </c>
      <c r="I472" t="n">
        <v>0</v>
      </c>
      <c r="J472" t="n">
        <v>0</v>
      </c>
      <c r="K472" t="n">
        <v>0</v>
      </c>
      <c r="L472" t="n">
        <v>0</v>
      </c>
      <c r="M472" t="n">
        <v>0</v>
      </c>
      <c r="N472" t="n">
        <v>0</v>
      </c>
      <c r="O472" t="n">
        <v>0</v>
      </c>
      <c r="P472" t="n">
        <v>0</v>
      </c>
      <c r="Q472" t="n">
        <v>0</v>
      </c>
      <c r="R472" s="2" t="inlineStr"/>
    </row>
    <row r="473" ht="15" customHeight="1">
      <c r="A473" t="inlineStr">
        <is>
          <t>A 21410-2025</t>
        </is>
      </c>
      <c r="B473" s="1" t="n">
        <v>45782</v>
      </c>
      <c r="C473" s="1" t="n">
        <v>45999</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7777-2024</t>
        </is>
      </c>
      <c r="B474" s="1" t="n">
        <v>45349</v>
      </c>
      <c r="C474" s="1" t="n">
        <v>45999</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3745-2023</t>
        </is>
      </c>
      <c r="B475" s="1" t="n">
        <v>44949</v>
      </c>
      <c r="C475" s="1" t="n">
        <v>45999</v>
      </c>
      <c r="D475" t="inlineStr">
        <is>
          <t>VÄSTERBOTTENS LÄN</t>
        </is>
      </c>
      <c r="E475" t="inlineStr">
        <is>
          <t>VILHELMINA</t>
        </is>
      </c>
      <c r="G475" t="n">
        <v>36.6</v>
      </c>
      <c r="H475" t="n">
        <v>0</v>
      </c>
      <c r="I475" t="n">
        <v>0</v>
      </c>
      <c r="J475" t="n">
        <v>0</v>
      </c>
      <c r="K475" t="n">
        <v>0</v>
      </c>
      <c r="L475" t="n">
        <v>0</v>
      </c>
      <c r="M475" t="n">
        <v>0</v>
      </c>
      <c r="N475" t="n">
        <v>0</v>
      </c>
      <c r="O475" t="n">
        <v>0</v>
      </c>
      <c r="P475" t="n">
        <v>0</v>
      </c>
      <c r="Q475" t="n">
        <v>0</v>
      </c>
      <c r="R475" s="2" t="inlineStr"/>
    </row>
    <row r="476" ht="15" customHeight="1">
      <c r="A476" t="inlineStr">
        <is>
          <t>A 21205-2025</t>
        </is>
      </c>
      <c r="B476" s="1" t="n">
        <v>45779</v>
      </c>
      <c r="C476" s="1" t="n">
        <v>45999</v>
      </c>
      <c r="D476" t="inlineStr">
        <is>
          <t>VÄSTERBOTTENS LÄN</t>
        </is>
      </c>
      <c r="E476" t="inlineStr">
        <is>
          <t>VILHELMINA</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21448-2025</t>
        </is>
      </c>
      <c r="B477" s="1" t="n">
        <v>45782.55241898148</v>
      </c>
      <c r="C477" s="1" t="n">
        <v>45999</v>
      </c>
      <c r="D477" t="inlineStr">
        <is>
          <t>VÄSTERBOTTENS LÄN</t>
        </is>
      </c>
      <c r="E477" t="inlineStr">
        <is>
          <t>VILHELMINA</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36957-2023</t>
        </is>
      </c>
      <c r="B478" s="1" t="n">
        <v>45154.92628472222</v>
      </c>
      <c r="C478" s="1" t="n">
        <v>45999</v>
      </c>
      <c r="D478" t="inlineStr">
        <is>
          <t>VÄSTERBOTTENS LÄN</t>
        </is>
      </c>
      <c r="E478" t="inlineStr">
        <is>
          <t>VILHELMINA</t>
        </is>
      </c>
      <c r="G478" t="n">
        <v>0.5</v>
      </c>
      <c r="H478" t="n">
        <v>0</v>
      </c>
      <c r="I478" t="n">
        <v>0</v>
      </c>
      <c r="J478" t="n">
        <v>0</v>
      </c>
      <c r="K478" t="n">
        <v>0</v>
      </c>
      <c r="L478" t="n">
        <v>0</v>
      </c>
      <c r="M478" t="n">
        <v>0</v>
      </c>
      <c r="N478" t="n">
        <v>0</v>
      </c>
      <c r="O478" t="n">
        <v>0</v>
      </c>
      <c r="P478" t="n">
        <v>0</v>
      </c>
      <c r="Q478" t="n">
        <v>0</v>
      </c>
      <c r="R478" s="2" t="inlineStr"/>
    </row>
    <row r="479" ht="15" customHeight="1">
      <c r="A479" t="inlineStr">
        <is>
          <t>A 21204-2025</t>
        </is>
      </c>
      <c r="B479" s="1" t="n">
        <v>45779</v>
      </c>
      <c r="C479" s="1" t="n">
        <v>45999</v>
      </c>
      <c r="D479" t="inlineStr">
        <is>
          <t>VÄSTERBOTTENS LÄN</t>
        </is>
      </c>
      <c r="E479" t="inlineStr">
        <is>
          <t>VILHELMINA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48470-2023</t>
        </is>
      </c>
      <c r="B480" s="1" t="n">
        <v>45206.95747685185</v>
      </c>
      <c r="C480" s="1" t="n">
        <v>45999</v>
      </c>
      <c r="D480" t="inlineStr">
        <is>
          <t>VÄSTERBOTTENS LÄN</t>
        </is>
      </c>
      <c r="E480" t="inlineStr">
        <is>
          <t>VILHELMINA</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60682-2022</t>
        </is>
      </c>
      <c r="B481" s="1" t="n">
        <v>44911.94</v>
      </c>
      <c r="C481" s="1" t="n">
        <v>45999</v>
      </c>
      <c r="D481" t="inlineStr">
        <is>
          <t>VÄSTERBOTTENS LÄN</t>
        </is>
      </c>
      <c r="E481" t="inlineStr">
        <is>
          <t>VILHELMINA</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21924-2025</t>
        </is>
      </c>
      <c r="B482" s="1" t="n">
        <v>45784</v>
      </c>
      <c r="C482" s="1" t="n">
        <v>45999</v>
      </c>
      <c r="D482" t="inlineStr">
        <is>
          <t>VÄSTERBOTTENS LÄN</t>
        </is>
      </c>
      <c r="E482" t="inlineStr">
        <is>
          <t>VILHELMINA</t>
        </is>
      </c>
      <c r="G482" t="n">
        <v>10.2</v>
      </c>
      <c r="H482" t="n">
        <v>0</v>
      </c>
      <c r="I482" t="n">
        <v>0</v>
      </c>
      <c r="J482" t="n">
        <v>0</v>
      </c>
      <c r="K482" t="n">
        <v>0</v>
      </c>
      <c r="L482" t="n">
        <v>0</v>
      </c>
      <c r="M482" t="n">
        <v>0</v>
      </c>
      <c r="N482" t="n">
        <v>0</v>
      </c>
      <c r="O482" t="n">
        <v>0</v>
      </c>
      <c r="P482" t="n">
        <v>0</v>
      </c>
      <c r="Q482" t="n">
        <v>0</v>
      </c>
      <c r="R482" s="2" t="inlineStr"/>
    </row>
    <row r="483" ht="15" customHeight="1">
      <c r="A483" t="inlineStr">
        <is>
          <t>A 37716-2024</t>
        </is>
      </c>
      <c r="B483" s="1" t="n">
        <v>45541.63592592593</v>
      </c>
      <c r="C483" s="1" t="n">
        <v>45999</v>
      </c>
      <c r="D483" t="inlineStr">
        <is>
          <t>VÄSTERBOTTENS LÄN</t>
        </is>
      </c>
      <c r="E483" t="inlineStr">
        <is>
          <t>VILHELMINA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37717-2024</t>
        </is>
      </c>
      <c r="B484" s="1" t="n">
        <v>45541</v>
      </c>
      <c r="C484" s="1" t="n">
        <v>45999</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12784-2023</t>
        </is>
      </c>
      <c r="B485" s="1" t="n">
        <v>45000</v>
      </c>
      <c r="C485" s="1" t="n">
        <v>45999</v>
      </c>
      <c r="D485" t="inlineStr">
        <is>
          <t>VÄSTERBOTTENS LÄN</t>
        </is>
      </c>
      <c r="E485" t="inlineStr">
        <is>
          <t>VILHELMINA</t>
        </is>
      </c>
      <c r="G485" t="n">
        <v>18.6</v>
      </c>
      <c r="H485" t="n">
        <v>0</v>
      </c>
      <c r="I485" t="n">
        <v>0</v>
      </c>
      <c r="J485" t="n">
        <v>0</v>
      </c>
      <c r="K485" t="n">
        <v>0</v>
      </c>
      <c r="L485" t="n">
        <v>0</v>
      </c>
      <c r="M485" t="n">
        <v>0</v>
      </c>
      <c r="N485" t="n">
        <v>0</v>
      </c>
      <c r="O485" t="n">
        <v>0</v>
      </c>
      <c r="P485" t="n">
        <v>0</v>
      </c>
      <c r="Q485" t="n">
        <v>0</v>
      </c>
      <c r="R485" s="2" t="inlineStr"/>
    </row>
    <row r="486" ht="15" customHeight="1">
      <c r="A486" t="inlineStr">
        <is>
          <t>A 5947-2023</t>
        </is>
      </c>
      <c r="B486" s="1" t="n">
        <v>44963.92259259259</v>
      </c>
      <c r="C486" s="1" t="n">
        <v>45999</v>
      </c>
      <c r="D486" t="inlineStr">
        <is>
          <t>VÄSTERBOTTENS LÄN</t>
        </is>
      </c>
      <c r="E486" t="inlineStr">
        <is>
          <t>VILHELMINA</t>
        </is>
      </c>
      <c r="G486" t="n">
        <v>4.3</v>
      </c>
      <c r="H486" t="n">
        <v>0</v>
      </c>
      <c r="I486" t="n">
        <v>0</v>
      </c>
      <c r="J486" t="n">
        <v>0</v>
      </c>
      <c r="K486" t="n">
        <v>0</v>
      </c>
      <c r="L486" t="n">
        <v>0</v>
      </c>
      <c r="M486" t="n">
        <v>0</v>
      </c>
      <c r="N486" t="n">
        <v>0</v>
      </c>
      <c r="O486" t="n">
        <v>0</v>
      </c>
      <c r="P486" t="n">
        <v>0</v>
      </c>
      <c r="Q486" t="n">
        <v>0</v>
      </c>
      <c r="R486" s="2" t="inlineStr"/>
    </row>
    <row r="487" ht="15" customHeight="1">
      <c r="A487" t="inlineStr">
        <is>
          <t>A 65179-2021</t>
        </is>
      </c>
      <c r="B487" s="1" t="n">
        <v>44515</v>
      </c>
      <c r="C487" s="1" t="n">
        <v>45999</v>
      </c>
      <c r="D487" t="inlineStr">
        <is>
          <t>VÄSTERBOTTENS LÄN</t>
        </is>
      </c>
      <c r="E487" t="inlineStr">
        <is>
          <t>VILHELMINA</t>
        </is>
      </c>
      <c r="G487" t="n">
        <v>8</v>
      </c>
      <c r="H487" t="n">
        <v>0</v>
      </c>
      <c r="I487" t="n">
        <v>0</v>
      </c>
      <c r="J487" t="n">
        <v>0</v>
      </c>
      <c r="K487" t="n">
        <v>0</v>
      </c>
      <c r="L487" t="n">
        <v>0</v>
      </c>
      <c r="M487" t="n">
        <v>0</v>
      </c>
      <c r="N487" t="n">
        <v>0</v>
      </c>
      <c r="O487" t="n">
        <v>0</v>
      </c>
      <c r="P487" t="n">
        <v>0</v>
      </c>
      <c r="Q487" t="n">
        <v>0</v>
      </c>
      <c r="R487" s="2" t="inlineStr"/>
    </row>
    <row r="488" ht="15" customHeight="1">
      <c r="A488" t="inlineStr">
        <is>
          <t>A 13829-2025</t>
        </is>
      </c>
      <c r="B488" s="1" t="n">
        <v>45737</v>
      </c>
      <c r="C488" s="1" t="n">
        <v>45999</v>
      </c>
      <c r="D488" t="inlineStr">
        <is>
          <t>VÄSTERBOTTENS LÄN</t>
        </is>
      </c>
      <c r="E488" t="inlineStr">
        <is>
          <t>VILHELMINA</t>
        </is>
      </c>
      <c r="F488" t="inlineStr">
        <is>
          <t>Övriga statliga verk och myndigheter</t>
        </is>
      </c>
      <c r="G488" t="n">
        <v>39.7</v>
      </c>
      <c r="H488" t="n">
        <v>0</v>
      </c>
      <c r="I488" t="n">
        <v>0</v>
      </c>
      <c r="J488" t="n">
        <v>0</v>
      </c>
      <c r="K488" t="n">
        <v>0</v>
      </c>
      <c r="L488" t="n">
        <v>0</v>
      </c>
      <c r="M488" t="n">
        <v>0</v>
      </c>
      <c r="N488" t="n">
        <v>0</v>
      </c>
      <c r="O488" t="n">
        <v>0</v>
      </c>
      <c r="P488" t="n">
        <v>0</v>
      </c>
      <c r="Q488" t="n">
        <v>0</v>
      </c>
      <c r="R488" s="2" t="inlineStr"/>
    </row>
    <row r="489" ht="15" customHeight="1">
      <c r="A489" t="inlineStr">
        <is>
          <t>A 26499-2024</t>
        </is>
      </c>
      <c r="B489" s="1" t="n">
        <v>45469</v>
      </c>
      <c r="C489" s="1" t="n">
        <v>45999</v>
      </c>
      <c r="D489" t="inlineStr">
        <is>
          <t>VÄSTERBOTTENS LÄN</t>
        </is>
      </c>
      <c r="E489" t="inlineStr">
        <is>
          <t>VILHELMINA</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8745-2023</t>
        </is>
      </c>
      <c r="B490" s="1" t="n">
        <v>44972</v>
      </c>
      <c r="C490" s="1" t="n">
        <v>45999</v>
      </c>
      <c r="D490" t="inlineStr">
        <is>
          <t>VÄSTERBOTTENS LÄN</t>
        </is>
      </c>
      <c r="E490" t="inlineStr">
        <is>
          <t>VILHELMINA</t>
        </is>
      </c>
      <c r="F490" t="inlineStr">
        <is>
          <t>Allmännings- och besparingsskogar</t>
        </is>
      </c>
      <c r="G490" t="n">
        <v>41</v>
      </c>
      <c r="H490" t="n">
        <v>0</v>
      </c>
      <c r="I490" t="n">
        <v>0</v>
      </c>
      <c r="J490" t="n">
        <v>0</v>
      </c>
      <c r="K490" t="n">
        <v>0</v>
      </c>
      <c r="L490" t="n">
        <v>0</v>
      </c>
      <c r="M490" t="n">
        <v>0</v>
      </c>
      <c r="N490" t="n">
        <v>0</v>
      </c>
      <c r="O490" t="n">
        <v>0</v>
      </c>
      <c r="P490" t="n">
        <v>0</v>
      </c>
      <c r="Q490" t="n">
        <v>0</v>
      </c>
      <c r="R490" s="2" t="inlineStr"/>
    </row>
    <row r="491" ht="15" customHeight="1">
      <c r="A491" t="inlineStr">
        <is>
          <t>A 5403-2025</t>
        </is>
      </c>
      <c r="B491" s="1" t="n">
        <v>45692.64475694444</v>
      </c>
      <c r="C491" s="1" t="n">
        <v>45999</v>
      </c>
      <c r="D491" t="inlineStr">
        <is>
          <t>VÄSTERBOTTENS LÄN</t>
        </is>
      </c>
      <c r="E491" t="inlineStr">
        <is>
          <t>VILHELMINA</t>
        </is>
      </c>
      <c r="F491" t="inlineStr">
        <is>
          <t>Kommuner</t>
        </is>
      </c>
      <c r="G491" t="n">
        <v>14.9</v>
      </c>
      <c r="H491" t="n">
        <v>0</v>
      </c>
      <c r="I491" t="n">
        <v>0</v>
      </c>
      <c r="J491" t="n">
        <v>0</v>
      </c>
      <c r="K491" t="n">
        <v>0</v>
      </c>
      <c r="L491" t="n">
        <v>0</v>
      </c>
      <c r="M491" t="n">
        <v>0</v>
      </c>
      <c r="N491" t="n">
        <v>0</v>
      </c>
      <c r="O491" t="n">
        <v>0</v>
      </c>
      <c r="P491" t="n">
        <v>0</v>
      </c>
      <c r="Q491" t="n">
        <v>0</v>
      </c>
      <c r="R491" s="2" t="inlineStr"/>
    </row>
    <row r="492" ht="15" customHeight="1">
      <c r="A492" t="inlineStr">
        <is>
          <t>A 16719-2025</t>
        </is>
      </c>
      <c r="B492" s="1" t="n">
        <v>45754.49008101852</v>
      </c>
      <c r="C492" s="1" t="n">
        <v>45999</v>
      </c>
      <c r="D492" t="inlineStr">
        <is>
          <t>VÄSTERBOTTENS LÄN</t>
        </is>
      </c>
      <c r="E492" t="inlineStr">
        <is>
          <t>VILHELMINA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37325-2022</t>
        </is>
      </c>
      <c r="B493" s="1" t="n">
        <v>44806</v>
      </c>
      <c r="C493" s="1" t="n">
        <v>45999</v>
      </c>
      <c r="D493" t="inlineStr">
        <is>
          <t>VÄSTERBOTTENS LÄN</t>
        </is>
      </c>
      <c r="E493" t="inlineStr">
        <is>
          <t>VILHELMINA</t>
        </is>
      </c>
      <c r="F493" t="inlineStr">
        <is>
          <t>Övriga statliga verk och myndigheter</t>
        </is>
      </c>
      <c r="G493" t="n">
        <v>11</v>
      </c>
      <c r="H493" t="n">
        <v>0</v>
      </c>
      <c r="I493" t="n">
        <v>0</v>
      </c>
      <c r="J493" t="n">
        <v>0</v>
      </c>
      <c r="K493" t="n">
        <v>0</v>
      </c>
      <c r="L493" t="n">
        <v>0</v>
      </c>
      <c r="M493" t="n">
        <v>0</v>
      </c>
      <c r="N493" t="n">
        <v>0</v>
      </c>
      <c r="O493" t="n">
        <v>0</v>
      </c>
      <c r="P493" t="n">
        <v>0</v>
      </c>
      <c r="Q493" t="n">
        <v>0</v>
      </c>
      <c r="R493" s="2" t="inlineStr"/>
    </row>
    <row r="494" ht="15" customHeight="1">
      <c r="A494" t="inlineStr">
        <is>
          <t>A 8733-2023</t>
        </is>
      </c>
      <c r="B494" s="1" t="n">
        <v>44972</v>
      </c>
      <c r="C494" s="1" t="n">
        <v>45999</v>
      </c>
      <c r="D494" t="inlineStr">
        <is>
          <t>VÄSTERBOTTENS LÄN</t>
        </is>
      </c>
      <c r="E494" t="inlineStr">
        <is>
          <t>VILHELMINA</t>
        </is>
      </c>
      <c r="F494" t="inlineStr">
        <is>
          <t>Allmännings- och besparingsskogar</t>
        </is>
      </c>
      <c r="G494" t="n">
        <v>20</v>
      </c>
      <c r="H494" t="n">
        <v>0</v>
      </c>
      <c r="I494" t="n">
        <v>0</v>
      </c>
      <c r="J494" t="n">
        <v>0</v>
      </c>
      <c r="K494" t="n">
        <v>0</v>
      </c>
      <c r="L494" t="n">
        <v>0</v>
      </c>
      <c r="M494" t="n">
        <v>0</v>
      </c>
      <c r="N494" t="n">
        <v>0</v>
      </c>
      <c r="O494" t="n">
        <v>0</v>
      </c>
      <c r="P494" t="n">
        <v>0</v>
      </c>
      <c r="Q494" t="n">
        <v>0</v>
      </c>
      <c r="R494" s="2" t="inlineStr"/>
    </row>
    <row r="495" ht="15" customHeight="1">
      <c r="A495" t="inlineStr">
        <is>
          <t>A 8759-2023</t>
        </is>
      </c>
      <c r="B495" s="1" t="n">
        <v>44972</v>
      </c>
      <c r="C495" s="1" t="n">
        <v>45999</v>
      </c>
      <c r="D495" t="inlineStr">
        <is>
          <t>VÄSTERBOTTENS LÄN</t>
        </is>
      </c>
      <c r="E495" t="inlineStr">
        <is>
          <t>VILHELMINA</t>
        </is>
      </c>
      <c r="F495" t="inlineStr">
        <is>
          <t>Allmännings- och besparingsskogar</t>
        </is>
      </c>
      <c r="G495" t="n">
        <v>23.4</v>
      </c>
      <c r="H495" t="n">
        <v>0</v>
      </c>
      <c r="I495" t="n">
        <v>0</v>
      </c>
      <c r="J495" t="n">
        <v>0</v>
      </c>
      <c r="K495" t="n">
        <v>0</v>
      </c>
      <c r="L495" t="n">
        <v>0</v>
      </c>
      <c r="M495" t="n">
        <v>0</v>
      </c>
      <c r="N495" t="n">
        <v>0</v>
      </c>
      <c r="O495" t="n">
        <v>0</v>
      </c>
      <c r="P495" t="n">
        <v>0</v>
      </c>
      <c r="Q495" t="n">
        <v>0</v>
      </c>
      <c r="R495" s="2" t="inlineStr"/>
    </row>
    <row r="496" ht="15" customHeight="1">
      <c r="A496" t="inlineStr">
        <is>
          <t>A 54459-2024</t>
        </is>
      </c>
      <c r="B496" s="1" t="n">
        <v>45617</v>
      </c>
      <c r="C496" s="1" t="n">
        <v>45999</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50482-2023</t>
        </is>
      </c>
      <c r="B497" s="1" t="n">
        <v>45216</v>
      </c>
      <c r="C497" s="1" t="n">
        <v>45999</v>
      </c>
      <c r="D497" t="inlineStr">
        <is>
          <t>VÄSTERBOTTENS LÄN</t>
        </is>
      </c>
      <c r="E497" t="inlineStr">
        <is>
          <t>VILHELMINA</t>
        </is>
      </c>
      <c r="G497" t="n">
        <v>3.5</v>
      </c>
      <c r="H497" t="n">
        <v>0</v>
      </c>
      <c r="I497" t="n">
        <v>0</v>
      </c>
      <c r="J497" t="n">
        <v>0</v>
      </c>
      <c r="K497" t="n">
        <v>0</v>
      </c>
      <c r="L497" t="n">
        <v>0</v>
      </c>
      <c r="M497" t="n">
        <v>0</v>
      </c>
      <c r="N497" t="n">
        <v>0</v>
      </c>
      <c r="O497" t="n">
        <v>0</v>
      </c>
      <c r="P497" t="n">
        <v>0</v>
      </c>
      <c r="Q497" t="n">
        <v>0</v>
      </c>
      <c r="R497" s="2" t="inlineStr"/>
    </row>
    <row r="498" ht="15" customHeight="1">
      <c r="A498" t="inlineStr">
        <is>
          <t>A 59693-2024</t>
        </is>
      </c>
      <c r="B498" s="1" t="n">
        <v>45639</v>
      </c>
      <c r="C498" s="1" t="n">
        <v>45999</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36972-2023</t>
        </is>
      </c>
      <c r="B499" s="1" t="n">
        <v>45154</v>
      </c>
      <c r="C499" s="1" t="n">
        <v>45999</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46177-2023</t>
        </is>
      </c>
      <c r="B500" s="1" t="n">
        <v>45190</v>
      </c>
      <c r="C500" s="1" t="n">
        <v>45999</v>
      </c>
      <c r="D500" t="inlineStr">
        <is>
          <t>VÄSTERBOTTENS LÄN</t>
        </is>
      </c>
      <c r="E500" t="inlineStr">
        <is>
          <t>VILHELMINA</t>
        </is>
      </c>
      <c r="F500" t="inlineStr">
        <is>
          <t>Övriga Aktiebolag</t>
        </is>
      </c>
      <c r="G500" t="n">
        <v>7.7</v>
      </c>
      <c r="H500" t="n">
        <v>0</v>
      </c>
      <c r="I500" t="n">
        <v>0</v>
      </c>
      <c r="J500" t="n">
        <v>0</v>
      </c>
      <c r="K500" t="n">
        <v>0</v>
      </c>
      <c r="L500" t="n">
        <v>0</v>
      </c>
      <c r="M500" t="n">
        <v>0</v>
      </c>
      <c r="N500" t="n">
        <v>0</v>
      </c>
      <c r="O500" t="n">
        <v>0</v>
      </c>
      <c r="P500" t="n">
        <v>0</v>
      </c>
      <c r="Q500" t="n">
        <v>0</v>
      </c>
      <c r="R500" s="2" t="inlineStr"/>
    </row>
    <row r="501" ht="15" customHeight="1">
      <c r="A501" t="inlineStr">
        <is>
          <t>A 56891-2023</t>
        </is>
      </c>
      <c r="B501" s="1" t="n">
        <v>45239</v>
      </c>
      <c r="C501" s="1" t="n">
        <v>45999</v>
      </c>
      <c r="D501" t="inlineStr">
        <is>
          <t>VÄSTERBOTTENS LÄN</t>
        </is>
      </c>
      <c r="E501" t="inlineStr">
        <is>
          <t>VILHELMINA</t>
        </is>
      </c>
      <c r="G501" t="n">
        <v>1.1</v>
      </c>
      <c r="H501" t="n">
        <v>0</v>
      </c>
      <c r="I501" t="n">
        <v>0</v>
      </c>
      <c r="J501" t="n">
        <v>0</v>
      </c>
      <c r="K501" t="n">
        <v>0</v>
      </c>
      <c r="L501" t="n">
        <v>0</v>
      </c>
      <c r="M501" t="n">
        <v>0</v>
      </c>
      <c r="N501" t="n">
        <v>0</v>
      </c>
      <c r="O501" t="n">
        <v>0</v>
      </c>
      <c r="P501" t="n">
        <v>0</v>
      </c>
      <c r="Q501" t="n">
        <v>0</v>
      </c>
      <c r="R501" s="2" t="inlineStr"/>
    </row>
    <row r="502" ht="15" customHeight="1">
      <c r="A502" t="inlineStr">
        <is>
          <t>A 51826-2023</t>
        </is>
      </c>
      <c r="B502" s="1" t="n">
        <v>45222.9678125</v>
      </c>
      <c r="C502" s="1" t="n">
        <v>45999</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18394-2025</t>
        </is>
      </c>
      <c r="B503" s="1" t="n">
        <v>45762</v>
      </c>
      <c r="C503" s="1" t="n">
        <v>45999</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20524-2024</t>
        </is>
      </c>
      <c r="B504" s="1" t="n">
        <v>45435.94567129629</v>
      </c>
      <c r="C504" s="1" t="n">
        <v>45999</v>
      </c>
      <c r="D504" t="inlineStr">
        <is>
          <t>VÄSTERBOTTENS LÄN</t>
        </is>
      </c>
      <c r="E504" t="inlineStr">
        <is>
          <t>VILHELMINA</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45999</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50494-2023</t>
        </is>
      </c>
      <c r="B506" s="1" t="n">
        <v>45216.95604166666</v>
      </c>
      <c r="C506" s="1" t="n">
        <v>45999</v>
      </c>
      <c r="D506" t="inlineStr">
        <is>
          <t>VÄSTERBOTTENS LÄN</t>
        </is>
      </c>
      <c r="E506" t="inlineStr">
        <is>
          <t>VILHELMINA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44371-2023</t>
        </is>
      </c>
      <c r="B507" s="1" t="n">
        <v>45188</v>
      </c>
      <c r="C507" s="1" t="n">
        <v>45999</v>
      </c>
      <c r="D507" t="inlineStr">
        <is>
          <t>VÄSTERBOTTENS LÄN</t>
        </is>
      </c>
      <c r="E507" t="inlineStr">
        <is>
          <t>VILHELMINA</t>
        </is>
      </c>
      <c r="G507" t="n">
        <v>11</v>
      </c>
      <c r="H507" t="n">
        <v>0</v>
      </c>
      <c r="I507" t="n">
        <v>0</v>
      </c>
      <c r="J507" t="n">
        <v>0</v>
      </c>
      <c r="K507" t="n">
        <v>0</v>
      </c>
      <c r="L507" t="n">
        <v>0</v>
      </c>
      <c r="M507" t="n">
        <v>0</v>
      </c>
      <c r="N507" t="n">
        <v>0</v>
      </c>
      <c r="O507" t="n">
        <v>0</v>
      </c>
      <c r="P507" t="n">
        <v>0</v>
      </c>
      <c r="Q507" t="n">
        <v>0</v>
      </c>
      <c r="R507" s="2" t="inlineStr"/>
    </row>
    <row r="508" ht="15" customHeight="1">
      <c r="A508" t="inlineStr">
        <is>
          <t>A 33349-2023</t>
        </is>
      </c>
      <c r="B508" s="1" t="n">
        <v>45117</v>
      </c>
      <c r="C508" s="1" t="n">
        <v>45999</v>
      </c>
      <c r="D508" t="inlineStr">
        <is>
          <t>VÄSTERBOTTENS LÄN</t>
        </is>
      </c>
      <c r="E508" t="inlineStr">
        <is>
          <t>VILHELMINA</t>
        </is>
      </c>
      <c r="G508" t="n">
        <v>1.3</v>
      </c>
      <c r="H508" t="n">
        <v>0</v>
      </c>
      <c r="I508" t="n">
        <v>0</v>
      </c>
      <c r="J508" t="n">
        <v>0</v>
      </c>
      <c r="K508" t="n">
        <v>0</v>
      </c>
      <c r="L508" t="n">
        <v>0</v>
      </c>
      <c r="M508" t="n">
        <v>0</v>
      </c>
      <c r="N508" t="n">
        <v>0</v>
      </c>
      <c r="O508" t="n">
        <v>0</v>
      </c>
      <c r="P508" t="n">
        <v>0</v>
      </c>
      <c r="Q508" t="n">
        <v>0</v>
      </c>
      <c r="R508" s="2" t="inlineStr"/>
    </row>
    <row r="509" ht="15" customHeight="1">
      <c r="A509" t="inlineStr">
        <is>
          <t>A 8566-2025</t>
        </is>
      </c>
      <c r="B509" s="1" t="n">
        <v>45709</v>
      </c>
      <c r="C509" s="1" t="n">
        <v>45999</v>
      </c>
      <c r="D509" t="inlineStr">
        <is>
          <t>VÄSTERBOTTENS LÄN</t>
        </is>
      </c>
      <c r="E509" t="inlineStr">
        <is>
          <t>VILHELMINA</t>
        </is>
      </c>
      <c r="G509" t="n">
        <v>10.5</v>
      </c>
      <c r="H509" t="n">
        <v>0</v>
      </c>
      <c r="I509" t="n">
        <v>0</v>
      </c>
      <c r="J509" t="n">
        <v>0</v>
      </c>
      <c r="K509" t="n">
        <v>0</v>
      </c>
      <c r="L509" t="n">
        <v>0</v>
      </c>
      <c r="M509" t="n">
        <v>0</v>
      </c>
      <c r="N509" t="n">
        <v>0</v>
      </c>
      <c r="O509" t="n">
        <v>0</v>
      </c>
      <c r="P509" t="n">
        <v>0</v>
      </c>
      <c r="Q509" t="n">
        <v>0</v>
      </c>
      <c r="R509" s="2" t="inlineStr"/>
    </row>
    <row r="510" ht="15" customHeight="1">
      <c r="A510" t="inlineStr">
        <is>
          <t>A 8585-2025</t>
        </is>
      </c>
      <c r="B510" s="1" t="n">
        <v>45709</v>
      </c>
      <c r="C510" s="1" t="n">
        <v>45999</v>
      </c>
      <c r="D510" t="inlineStr">
        <is>
          <t>VÄSTERBOTTENS LÄN</t>
        </is>
      </c>
      <c r="E510" t="inlineStr">
        <is>
          <t>VILHELMINA</t>
        </is>
      </c>
      <c r="G510" t="n">
        <v>3.4</v>
      </c>
      <c r="H510" t="n">
        <v>0</v>
      </c>
      <c r="I510" t="n">
        <v>0</v>
      </c>
      <c r="J510" t="n">
        <v>0</v>
      </c>
      <c r="K510" t="n">
        <v>0</v>
      </c>
      <c r="L510" t="n">
        <v>0</v>
      </c>
      <c r="M510" t="n">
        <v>0</v>
      </c>
      <c r="N510" t="n">
        <v>0</v>
      </c>
      <c r="O510" t="n">
        <v>0</v>
      </c>
      <c r="P510" t="n">
        <v>0</v>
      </c>
      <c r="Q510" t="n">
        <v>0</v>
      </c>
      <c r="R510" s="2" t="inlineStr"/>
    </row>
    <row r="511" ht="15" customHeight="1">
      <c r="A511" t="inlineStr">
        <is>
          <t>A 19585-2024</t>
        </is>
      </c>
      <c r="B511" s="1" t="n">
        <v>45429</v>
      </c>
      <c r="C511" s="1" t="n">
        <v>45999</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21999-2025</t>
        </is>
      </c>
      <c r="B512" s="1" t="n">
        <v>45784</v>
      </c>
      <c r="C512" s="1" t="n">
        <v>45999</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21950-2025</t>
        </is>
      </c>
      <c r="B513" s="1" t="n">
        <v>45784.59418981482</v>
      </c>
      <c r="C513" s="1" t="n">
        <v>45999</v>
      </c>
      <c r="D513" t="inlineStr">
        <is>
          <t>VÄSTERBOTTENS LÄN</t>
        </is>
      </c>
      <c r="E513" t="inlineStr">
        <is>
          <t>VILHELMINA</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21623-2025</t>
        </is>
      </c>
      <c r="B514" s="1" t="n">
        <v>45783</v>
      </c>
      <c r="C514" s="1" t="n">
        <v>45999</v>
      </c>
      <c r="D514" t="inlineStr">
        <is>
          <t>VÄSTERBOTTENS LÄN</t>
        </is>
      </c>
      <c r="E514" t="inlineStr">
        <is>
          <t>VILHELMINA</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45258-2024</t>
        </is>
      </c>
      <c r="B515" s="1" t="n">
        <v>45576.34444444445</v>
      </c>
      <c r="C515" s="1" t="n">
        <v>45999</v>
      </c>
      <c r="D515" t="inlineStr">
        <is>
          <t>VÄSTERBOTTENS LÄN</t>
        </is>
      </c>
      <c r="E515" t="inlineStr">
        <is>
          <t>VILHELMINA</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21670-2025</t>
        </is>
      </c>
      <c r="B516" s="1" t="n">
        <v>45783.46917824074</v>
      </c>
      <c r="C516" s="1" t="n">
        <v>45999</v>
      </c>
      <c r="D516" t="inlineStr">
        <is>
          <t>VÄSTERBOTTENS LÄN</t>
        </is>
      </c>
      <c r="E516" t="inlineStr">
        <is>
          <t>VILHELMINA</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21972-2025</t>
        </is>
      </c>
      <c r="B517" s="1" t="n">
        <v>45784.63592592593</v>
      </c>
      <c r="C517" s="1" t="n">
        <v>45999</v>
      </c>
      <c r="D517" t="inlineStr">
        <is>
          <t>VÄSTERBOTTENS LÄN</t>
        </is>
      </c>
      <c r="E517" t="inlineStr">
        <is>
          <t>VILHELMINA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34809-2023</t>
        </is>
      </c>
      <c r="B518" s="1" t="n">
        <v>45140</v>
      </c>
      <c r="C518" s="1" t="n">
        <v>45999</v>
      </c>
      <c r="D518" t="inlineStr">
        <is>
          <t>VÄSTERBOTTENS LÄN</t>
        </is>
      </c>
      <c r="E518" t="inlineStr">
        <is>
          <t>VILHELMINA</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58450-2024</t>
        </is>
      </c>
      <c r="B519" s="1" t="n">
        <v>45635.34425925926</v>
      </c>
      <c r="C519" s="1" t="n">
        <v>45999</v>
      </c>
      <c r="D519" t="inlineStr">
        <is>
          <t>VÄSTERBOTTENS LÄN</t>
        </is>
      </c>
      <c r="E519" t="inlineStr">
        <is>
          <t>VILHELMINA</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34763-2024</t>
        </is>
      </c>
      <c r="B520" s="1" t="n">
        <v>45526.61646990741</v>
      </c>
      <c r="C520" s="1" t="n">
        <v>45999</v>
      </c>
      <c r="D520" t="inlineStr">
        <is>
          <t>VÄSTERBOTTENS LÄN</t>
        </is>
      </c>
      <c r="E520" t="inlineStr">
        <is>
          <t>VILHELMINA</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34764-2024</t>
        </is>
      </c>
      <c r="B521" s="1" t="n">
        <v>45526.61664351852</v>
      </c>
      <c r="C521" s="1" t="n">
        <v>45999</v>
      </c>
      <c r="D521" t="inlineStr">
        <is>
          <t>VÄSTERBOTTENS LÄN</t>
        </is>
      </c>
      <c r="E521" t="inlineStr">
        <is>
          <t>VILHELMINA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10418-2023</t>
        </is>
      </c>
      <c r="B522" s="1" t="n">
        <v>44987</v>
      </c>
      <c r="C522" s="1" t="n">
        <v>45999</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10941-2023</t>
        </is>
      </c>
      <c r="B523" s="1" t="n">
        <v>44985</v>
      </c>
      <c r="C523" s="1" t="n">
        <v>45999</v>
      </c>
      <c r="D523" t="inlineStr">
        <is>
          <t>VÄSTERBOTTENS LÄN</t>
        </is>
      </c>
      <c r="E523" t="inlineStr">
        <is>
          <t>VILHELMINA</t>
        </is>
      </c>
      <c r="G523" t="n">
        <v>16.7</v>
      </c>
      <c r="H523" t="n">
        <v>0</v>
      </c>
      <c r="I523" t="n">
        <v>0</v>
      </c>
      <c r="J523" t="n">
        <v>0</v>
      </c>
      <c r="K523" t="n">
        <v>0</v>
      </c>
      <c r="L523" t="n">
        <v>0</v>
      </c>
      <c r="M523" t="n">
        <v>0</v>
      </c>
      <c r="N523" t="n">
        <v>0</v>
      </c>
      <c r="O523" t="n">
        <v>0</v>
      </c>
      <c r="P523" t="n">
        <v>0</v>
      </c>
      <c r="Q523" t="n">
        <v>0</v>
      </c>
      <c r="R523" s="2" t="inlineStr"/>
    </row>
    <row r="524" ht="15" customHeight="1">
      <c r="A524" t="inlineStr">
        <is>
          <t>A 34087-2023</t>
        </is>
      </c>
      <c r="B524" s="1" t="n">
        <v>45125</v>
      </c>
      <c r="C524" s="1" t="n">
        <v>45999</v>
      </c>
      <c r="D524" t="inlineStr">
        <is>
          <t>VÄSTERBOTTENS LÄN</t>
        </is>
      </c>
      <c r="E524" t="inlineStr">
        <is>
          <t>VILHELMINA</t>
        </is>
      </c>
      <c r="G524" t="n">
        <v>13.2</v>
      </c>
      <c r="H524" t="n">
        <v>0</v>
      </c>
      <c r="I524" t="n">
        <v>0</v>
      </c>
      <c r="J524" t="n">
        <v>0</v>
      </c>
      <c r="K524" t="n">
        <v>0</v>
      </c>
      <c r="L524" t="n">
        <v>0</v>
      </c>
      <c r="M524" t="n">
        <v>0</v>
      </c>
      <c r="N524" t="n">
        <v>0</v>
      </c>
      <c r="O524" t="n">
        <v>0</v>
      </c>
      <c r="P524" t="n">
        <v>0</v>
      </c>
      <c r="Q524" t="n">
        <v>0</v>
      </c>
      <c r="R524" s="2" t="inlineStr"/>
    </row>
    <row r="525" ht="15" customHeight="1">
      <c r="A525" t="inlineStr">
        <is>
          <t>A 34805-2023</t>
        </is>
      </c>
      <c r="B525" s="1" t="n">
        <v>45140</v>
      </c>
      <c r="C525" s="1" t="n">
        <v>45999</v>
      </c>
      <c r="D525" t="inlineStr">
        <is>
          <t>VÄSTERBOTTENS LÄN</t>
        </is>
      </c>
      <c r="E525" t="inlineStr">
        <is>
          <t>VILHELMINA</t>
        </is>
      </c>
      <c r="G525" t="n">
        <v>4.3</v>
      </c>
      <c r="H525" t="n">
        <v>0</v>
      </c>
      <c r="I525" t="n">
        <v>0</v>
      </c>
      <c r="J525" t="n">
        <v>0</v>
      </c>
      <c r="K525" t="n">
        <v>0</v>
      </c>
      <c r="L525" t="n">
        <v>0</v>
      </c>
      <c r="M525" t="n">
        <v>0</v>
      </c>
      <c r="N525" t="n">
        <v>0</v>
      </c>
      <c r="O525" t="n">
        <v>0</v>
      </c>
      <c r="P525" t="n">
        <v>0</v>
      </c>
      <c r="Q525" t="n">
        <v>0</v>
      </c>
      <c r="R525" s="2" t="inlineStr"/>
    </row>
    <row r="526" ht="15" customHeight="1">
      <c r="A526" t="inlineStr">
        <is>
          <t>A 19464-2025</t>
        </is>
      </c>
      <c r="B526" s="1" t="n">
        <v>45770</v>
      </c>
      <c r="C526" s="1" t="n">
        <v>45999</v>
      </c>
      <c r="D526" t="inlineStr">
        <is>
          <t>VÄSTERBOTTENS LÄN</t>
        </is>
      </c>
      <c r="E526" t="inlineStr">
        <is>
          <t>VILHELMINA</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49236-2024</t>
        </is>
      </c>
      <c r="B527" s="1" t="n">
        <v>45595</v>
      </c>
      <c r="C527" s="1" t="n">
        <v>45999</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69621-2020</t>
        </is>
      </c>
      <c r="B528" s="1" t="n">
        <v>44195</v>
      </c>
      <c r="C528" s="1" t="n">
        <v>45999</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31449-2024</t>
        </is>
      </c>
      <c r="B529" s="1" t="n">
        <v>45505.9299537037</v>
      </c>
      <c r="C529" s="1" t="n">
        <v>45999</v>
      </c>
      <c r="D529" t="inlineStr">
        <is>
          <t>VÄSTERBOTTENS LÄN</t>
        </is>
      </c>
      <c r="E529" t="inlineStr">
        <is>
          <t>VILHELMINA</t>
        </is>
      </c>
      <c r="G529" t="n">
        <v>3.5</v>
      </c>
      <c r="H529" t="n">
        <v>0</v>
      </c>
      <c r="I529" t="n">
        <v>0</v>
      </c>
      <c r="J529" t="n">
        <v>0</v>
      </c>
      <c r="K529" t="n">
        <v>0</v>
      </c>
      <c r="L529" t="n">
        <v>0</v>
      </c>
      <c r="M529" t="n">
        <v>0</v>
      </c>
      <c r="N529" t="n">
        <v>0</v>
      </c>
      <c r="O529" t="n">
        <v>0</v>
      </c>
      <c r="P529" t="n">
        <v>0</v>
      </c>
      <c r="Q529" t="n">
        <v>0</v>
      </c>
      <c r="R529" s="2" t="inlineStr"/>
    </row>
    <row r="530" ht="15" customHeight="1">
      <c r="A530" t="inlineStr">
        <is>
          <t>A 475-2024</t>
        </is>
      </c>
      <c r="B530" s="1" t="n">
        <v>45297.83246527778</v>
      </c>
      <c r="C530" s="1" t="n">
        <v>45999</v>
      </c>
      <c r="D530" t="inlineStr">
        <is>
          <t>VÄSTERBOTTENS LÄN</t>
        </is>
      </c>
      <c r="E530" t="inlineStr">
        <is>
          <t>VILHELMINA</t>
        </is>
      </c>
      <c r="G530" t="n">
        <v>6.1</v>
      </c>
      <c r="H530" t="n">
        <v>0</v>
      </c>
      <c r="I530" t="n">
        <v>0</v>
      </c>
      <c r="J530" t="n">
        <v>0</v>
      </c>
      <c r="K530" t="n">
        <v>0</v>
      </c>
      <c r="L530" t="n">
        <v>0</v>
      </c>
      <c r="M530" t="n">
        <v>0</v>
      </c>
      <c r="N530" t="n">
        <v>0</v>
      </c>
      <c r="O530" t="n">
        <v>0</v>
      </c>
      <c r="P530" t="n">
        <v>0</v>
      </c>
      <c r="Q530" t="n">
        <v>0</v>
      </c>
      <c r="R530" s="2" t="inlineStr"/>
    </row>
    <row r="531" ht="15" customHeight="1">
      <c r="A531" t="inlineStr">
        <is>
          <t>A 61801-2024</t>
        </is>
      </c>
      <c r="B531" s="1" t="n">
        <v>45649.56392361111</v>
      </c>
      <c r="C531" s="1" t="n">
        <v>45999</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61780-2023</t>
        </is>
      </c>
      <c r="B532" s="1" t="n">
        <v>45265.95685185185</v>
      </c>
      <c r="C532" s="1" t="n">
        <v>45999</v>
      </c>
      <c r="D532" t="inlineStr">
        <is>
          <t>VÄSTERBOTTENS LÄN</t>
        </is>
      </c>
      <c r="E532" t="inlineStr">
        <is>
          <t>VILHELMINA</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51825-2023</t>
        </is>
      </c>
      <c r="B533" s="1" t="n">
        <v>45222</v>
      </c>
      <c r="C533" s="1" t="n">
        <v>45999</v>
      </c>
      <c r="D533" t="inlineStr">
        <is>
          <t>VÄSTERBOTTENS LÄN</t>
        </is>
      </c>
      <c r="E533" t="inlineStr">
        <is>
          <t>VILHELMINA</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9162-2022</t>
        </is>
      </c>
      <c r="B534" s="1" t="n">
        <v>44615</v>
      </c>
      <c r="C534" s="1" t="n">
        <v>45999</v>
      </c>
      <c r="D534" t="inlineStr">
        <is>
          <t>VÄSTERBOTTENS LÄN</t>
        </is>
      </c>
      <c r="E534" t="inlineStr">
        <is>
          <t>VILHELMINA</t>
        </is>
      </c>
      <c r="G534" t="n">
        <v>7.2</v>
      </c>
      <c r="H534" t="n">
        <v>0</v>
      </c>
      <c r="I534" t="n">
        <v>0</v>
      </c>
      <c r="J534" t="n">
        <v>0</v>
      </c>
      <c r="K534" t="n">
        <v>0</v>
      </c>
      <c r="L534" t="n">
        <v>0</v>
      </c>
      <c r="M534" t="n">
        <v>0</v>
      </c>
      <c r="N534" t="n">
        <v>0</v>
      </c>
      <c r="O534" t="n">
        <v>0</v>
      </c>
      <c r="P534" t="n">
        <v>0</v>
      </c>
      <c r="Q534" t="n">
        <v>0</v>
      </c>
      <c r="R534" s="2" t="inlineStr"/>
    </row>
    <row r="535" ht="15" customHeight="1">
      <c r="A535" t="inlineStr">
        <is>
          <t>A 20591-2025</t>
        </is>
      </c>
      <c r="B535" s="1" t="n">
        <v>45775</v>
      </c>
      <c r="C535" s="1" t="n">
        <v>45999</v>
      </c>
      <c r="D535" t="inlineStr">
        <is>
          <t>VÄSTERBOTTENS LÄN</t>
        </is>
      </c>
      <c r="E535" t="inlineStr">
        <is>
          <t>VILHELMINA</t>
        </is>
      </c>
      <c r="F535" t="inlineStr">
        <is>
          <t>SCA</t>
        </is>
      </c>
      <c r="G535" t="n">
        <v>27.4</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45999</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33636-2021</t>
        </is>
      </c>
      <c r="B537" s="1" t="n">
        <v>44378</v>
      </c>
      <c r="C537" s="1" t="n">
        <v>45999</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38222-2024</t>
        </is>
      </c>
      <c r="B538" s="1" t="n">
        <v>45545.53619212963</v>
      </c>
      <c r="C538" s="1" t="n">
        <v>45999</v>
      </c>
      <c r="D538" t="inlineStr">
        <is>
          <t>VÄSTERBOTTENS LÄN</t>
        </is>
      </c>
      <c r="E538" t="inlineStr">
        <is>
          <t>VILHELMINA</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45999</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35984-2023</t>
        </is>
      </c>
      <c r="B540" s="1" t="n">
        <v>45148.96195601852</v>
      </c>
      <c r="C540" s="1" t="n">
        <v>45999</v>
      </c>
      <c r="D540" t="inlineStr">
        <is>
          <t>VÄSTERBOTTENS LÄN</t>
        </is>
      </c>
      <c r="E540" t="inlineStr">
        <is>
          <t>VILHELMINA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45999</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45999</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54984-2023</t>
        </is>
      </c>
      <c r="B543" s="1" t="n">
        <v>45236</v>
      </c>
      <c r="C543" s="1" t="n">
        <v>45999</v>
      </c>
      <c r="D543" t="inlineStr">
        <is>
          <t>VÄSTERBOTTENS LÄN</t>
        </is>
      </c>
      <c r="E543" t="inlineStr">
        <is>
          <t>VILHELMINA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35753-2023</t>
        </is>
      </c>
      <c r="B544" s="1" t="n">
        <v>45147.95390046296</v>
      </c>
      <c r="C544" s="1" t="n">
        <v>45999</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52746-2023</t>
        </is>
      </c>
      <c r="B545" s="1" t="n">
        <v>45225.96753472222</v>
      </c>
      <c r="C545" s="1" t="n">
        <v>45999</v>
      </c>
      <c r="D545" t="inlineStr">
        <is>
          <t>VÄSTERBOTTENS LÄN</t>
        </is>
      </c>
      <c r="E545" t="inlineStr">
        <is>
          <t>VILHELMINA</t>
        </is>
      </c>
      <c r="F545" t="inlineStr">
        <is>
          <t>SCA</t>
        </is>
      </c>
      <c r="G545" t="n">
        <v>10.4</v>
      </c>
      <c r="H545" t="n">
        <v>0</v>
      </c>
      <c r="I545" t="n">
        <v>0</v>
      </c>
      <c r="J545" t="n">
        <v>0</v>
      </c>
      <c r="K545" t="n">
        <v>0</v>
      </c>
      <c r="L545" t="n">
        <v>0</v>
      </c>
      <c r="M545" t="n">
        <v>0</v>
      </c>
      <c r="N545" t="n">
        <v>0</v>
      </c>
      <c r="O545" t="n">
        <v>0</v>
      </c>
      <c r="P545" t="n">
        <v>0</v>
      </c>
      <c r="Q545" t="n">
        <v>0</v>
      </c>
      <c r="R545" s="2" t="inlineStr"/>
    </row>
    <row r="546" ht="15" customHeight="1">
      <c r="A546" t="inlineStr">
        <is>
          <t>A 22048-2025</t>
        </is>
      </c>
      <c r="B546" s="1" t="n">
        <v>45785.3443287037</v>
      </c>
      <c r="C546" s="1" t="n">
        <v>45999</v>
      </c>
      <c r="D546" t="inlineStr">
        <is>
          <t>VÄSTERBOTTENS LÄN</t>
        </is>
      </c>
      <c r="E546" t="inlineStr">
        <is>
          <t>VILHELMINA</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27917-2024</t>
        </is>
      </c>
      <c r="B547" s="1" t="n">
        <v>45475.94844907407</v>
      </c>
      <c r="C547" s="1" t="n">
        <v>45999</v>
      </c>
      <c r="D547" t="inlineStr">
        <is>
          <t>VÄSTERBOTTENS LÄN</t>
        </is>
      </c>
      <c r="E547" t="inlineStr">
        <is>
          <t>VILHELMINA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3237-2024</t>
        </is>
      </c>
      <c r="B548" s="1" t="n">
        <v>45316.9474537037</v>
      </c>
      <c r="C548" s="1" t="n">
        <v>45999</v>
      </c>
      <c r="D548" t="inlineStr">
        <is>
          <t>VÄSTERBOTTENS LÄN</t>
        </is>
      </c>
      <c r="E548" t="inlineStr">
        <is>
          <t>VILHELMINA</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55326-2023</t>
        </is>
      </c>
      <c r="B549" s="1" t="n">
        <v>45237.97364583334</v>
      </c>
      <c r="C549" s="1" t="n">
        <v>45999</v>
      </c>
      <c r="D549" t="inlineStr">
        <is>
          <t>VÄSTERBOTTENS LÄN</t>
        </is>
      </c>
      <c r="E549" t="inlineStr">
        <is>
          <t>VILHELMINA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27918-2022</t>
        </is>
      </c>
      <c r="B550" s="1" t="n">
        <v>44743.94145833333</v>
      </c>
      <c r="C550" s="1" t="n">
        <v>45999</v>
      </c>
      <c r="D550" t="inlineStr">
        <is>
          <t>VÄSTERBOTTENS LÄN</t>
        </is>
      </c>
      <c r="E550" t="inlineStr">
        <is>
          <t>VILHELMINA</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55978-2024</t>
        </is>
      </c>
      <c r="B551" s="1" t="n">
        <v>45623</v>
      </c>
      <c r="C551" s="1" t="n">
        <v>45999</v>
      </c>
      <c r="D551" t="inlineStr">
        <is>
          <t>VÄSTERBOTTENS LÄN</t>
        </is>
      </c>
      <c r="E551" t="inlineStr">
        <is>
          <t>VILHELMINA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45972-2023</t>
        </is>
      </c>
      <c r="B552" s="1" t="n">
        <v>45195</v>
      </c>
      <c r="C552" s="1" t="n">
        <v>45999</v>
      </c>
      <c r="D552" t="inlineStr">
        <is>
          <t>VÄSTERBOTTENS LÄN</t>
        </is>
      </c>
      <c r="E552" t="inlineStr">
        <is>
          <t>VILHELMINA</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21844-2024</t>
        </is>
      </c>
      <c r="B553" s="1" t="n">
        <v>45442</v>
      </c>
      <c r="C553" s="1" t="n">
        <v>45999</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12371-2025</t>
        </is>
      </c>
      <c r="B554" s="1" t="n">
        <v>45730</v>
      </c>
      <c r="C554" s="1" t="n">
        <v>45999</v>
      </c>
      <c r="D554" t="inlineStr">
        <is>
          <t>VÄSTERBOTTENS LÄN</t>
        </is>
      </c>
      <c r="E554" t="inlineStr">
        <is>
          <t>VILHELMINA</t>
        </is>
      </c>
      <c r="F554" t="inlineStr">
        <is>
          <t>Övriga statliga verk och myndigheter</t>
        </is>
      </c>
      <c r="G554" t="n">
        <v>37.1</v>
      </c>
      <c r="H554" t="n">
        <v>0</v>
      </c>
      <c r="I554" t="n">
        <v>0</v>
      </c>
      <c r="J554" t="n">
        <v>0</v>
      </c>
      <c r="K554" t="n">
        <v>0</v>
      </c>
      <c r="L554" t="n">
        <v>0</v>
      </c>
      <c r="M554" t="n">
        <v>0</v>
      </c>
      <c r="N554" t="n">
        <v>0</v>
      </c>
      <c r="O554" t="n">
        <v>0</v>
      </c>
      <c r="P554" t="n">
        <v>0</v>
      </c>
      <c r="Q554" t="n">
        <v>0</v>
      </c>
      <c r="R554" s="2" t="inlineStr"/>
    </row>
    <row r="555" ht="15" customHeight="1">
      <c r="A555" t="inlineStr">
        <is>
          <t>A 14993-2025</t>
        </is>
      </c>
      <c r="B555" s="1" t="n">
        <v>45743</v>
      </c>
      <c r="C555" s="1" t="n">
        <v>45999</v>
      </c>
      <c r="D555" t="inlineStr">
        <is>
          <t>VÄSTERBOTTENS LÄN</t>
        </is>
      </c>
      <c r="E555" t="inlineStr">
        <is>
          <t>VILHELMINA</t>
        </is>
      </c>
      <c r="G555" t="n">
        <v>2.1</v>
      </c>
      <c r="H555" t="n">
        <v>0</v>
      </c>
      <c r="I555" t="n">
        <v>0</v>
      </c>
      <c r="J555" t="n">
        <v>0</v>
      </c>
      <c r="K555" t="n">
        <v>0</v>
      </c>
      <c r="L555" t="n">
        <v>0</v>
      </c>
      <c r="M555" t="n">
        <v>0</v>
      </c>
      <c r="N555" t="n">
        <v>0</v>
      </c>
      <c r="O555" t="n">
        <v>0</v>
      </c>
      <c r="P555" t="n">
        <v>0</v>
      </c>
      <c r="Q555" t="n">
        <v>0</v>
      </c>
      <c r="R555" s="2" t="inlineStr"/>
    </row>
    <row r="556" ht="15" customHeight="1">
      <c r="A556" t="inlineStr">
        <is>
          <t>A 15805-2025</t>
        </is>
      </c>
      <c r="B556" s="1" t="n">
        <v>45748</v>
      </c>
      <c r="C556" s="1" t="n">
        <v>45999</v>
      </c>
      <c r="D556" t="inlineStr">
        <is>
          <t>VÄSTERBOTTENS LÄN</t>
        </is>
      </c>
      <c r="E556" t="inlineStr">
        <is>
          <t>VILHELMINA</t>
        </is>
      </c>
      <c r="G556" t="n">
        <v>1.4</v>
      </c>
      <c r="H556" t="n">
        <v>0</v>
      </c>
      <c r="I556" t="n">
        <v>0</v>
      </c>
      <c r="J556" t="n">
        <v>0</v>
      </c>
      <c r="K556" t="n">
        <v>0</v>
      </c>
      <c r="L556" t="n">
        <v>0</v>
      </c>
      <c r="M556" t="n">
        <v>0</v>
      </c>
      <c r="N556" t="n">
        <v>0</v>
      </c>
      <c r="O556" t="n">
        <v>0</v>
      </c>
      <c r="P556" t="n">
        <v>0</v>
      </c>
      <c r="Q556" t="n">
        <v>0</v>
      </c>
      <c r="R556" s="2" t="inlineStr"/>
    </row>
    <row r="557" ht="15" customHeight="1">
      <c r="A557" t="inlineStr">
        <is>
          <t>A 58833-2023</t>
        </is>
      </c>
      <c r="B557" s="1" t="n">
        <v>45248</v>
      </c>
      <c r="C557" s="1" t="n">
        <v>45999</v>
      </c>
      <c r="D557" t="inlineStr">
        <is>
          <t>VÄSTERBOTTENS LÄN</t>
        </is>
      </c>
      <c r="E557" t="inlineStr">
        <is>
          <t>VILHELMINA</t>
        </is>
      </c>
      <c r="G557" t="n">
        <v>1.5</v>
      </c>
      <c r="H557" t="n">
        <v>0</v>
      </c>
      <c r="I557" t="n">
        <v>0</v>
      </c>
      <c r="J557" t="n">
        <v>0</v>
      </c>
      <c r="K557" t="n">
        <v>0</v>
      </c>
      <c r="L557" t="n">
        <v>0</v>
      </c>
      <c r="M557" t="n">
        <v>0</v>
      </c>
      <c r="N557" t="n">
        <v>0</v>
      </c>
      <c r="O557" t="n">
        <v>0</v>
      </c>
      <c r="P557" t="n">
        <v>0</v>
      </c>
      <c r="Q557" t="n">
        <v>0</v>
      </c>
      <c r="R557" s="2" t="inlineStr"/>
    </row>
    <row r="558" ht="15" customHeight="1">
      <c r="A558" t="inlineStr">
        <is>
          <t>A 23270-2021</t>
        </is>
      </c>
      <c r="B558" s="1" t="n">
        <v>44328</v>
      </c>
      <c r="C558" s="1" t="n">
        <v>45999</v>
      </c>
      <c r="D558" t="inlineStr">
        <is>
          <t>VÄSTERBOTTENS LÄN</t>
        </is>
      </c>
      <c r="E558" t="inlineStr">
        <is>
          <t>VILHELMINA</t>
        </is>
      </c>
      <c r="F558" t="inlineStr">
        <is>
          <t>Allmännings- och besparingsskogar</t>
        </is>
      </c>
      <c r="G558" t="n">
        <v>14.7</v>
      </c>
      <c r="H558" t="n">
        <v>0</v>
      </c>
      <c r="I558" t="n">
        <v>0</v>
      </c>
      <c r="J558" t="n">
        <v>0</v>
      </c>
      <c r="K558" t="n">
        <v>0</v>
      </c>
      <c r="L558" t="n">
        <v>0</v>
      </c>
      <c r="M558" t="n">
        <v>0</v>
      </c>
      <c r="N558" t="n">
        <v>0</v>
      </c>
      <c r="O558" t="n">
        <v>0</v>
      </c>
      <c r="P558" t="n">
        <v>0</v>
      </c>
      <c r="Q558" t="n">
        <v>0</v>
      </c>
      <c r="R558" s="2" t="inlineStr"/>
    </row>
    <row r="559" ht="15" customHeight="1">
      <c r="A559" t="inlineStr">
        <is>
          <t>A 36909-2024</t>
        </is>
      </c>
      <c r="B559" s="1" t="n">
        <v>45538.63577546296</v>
      </c>
      <c r="C559" s="1" t="n">
        <v>45999</v>
      </c>
      <c r="D559" t="inlineStr">
        <is>
          <t>VÄSTERBOTTENS LÄN</t>
        </is>
      </c>
      <c r="E559" t="inlineStr">
        <is>
          <t>VILHELMINA</t>
        </is>
      </c>
      <c r="F559" t="inlineStr">
        <is>
          <t>SCA</t>
        </is>
      </c>
      <c r="G559" t="n">
        <v>16.8</v>
      </c>
      <c r="H559" t="n">
        <v>0</v>
      </c>
      <c r="I559" t="n">
        <v>0</v>
      </c>
      <c r="J559" t="n">
        <v>0</v>
      </c>
      <c r="K559" t="n">
        <v>0</v>
      </c>
      <c r="L559" t="n">
        <v>0</v>
      </c>
      <c r="M559" t="n">
        <v>0</v>
      </c>
      <c r="N559" t="n">
        <v>0</v>
      </c>
      <c r="O559" t="n">
        <v>0</v>
      </c>
      <c r="P559" t="n">
        <v>0</v>
      </c>
      <c r="Q559" t="n">
        <v>0</v>
      </c>
      <c r="R559" s="2" t="inlineStr"/>
    </row>
    <row r="560" ht="15" customHeight="1">
      <c r="A560" t="inlineStr">
        <is>
          <t>A 60035-2023</t>
        </is>
      </c>
      <c r="B560" s="1" t="n">
        <v>45254</v>
      </c>
      <c r="C560" s="1" t="n">
        <v>45999</v>
      </c>
      <c r="D560" t="inlineStr">
        <is>
          <t>VÄSTERBOTTENS LÄN</t>
        </is>
      </c>
      <c r="E560" t="inlineStr">
        <is>
          <t>VILHELMINA</t>
        </is>
      </c>
      <c r="G560" t="n">
        <v>2</v>
      </c>
      <c r="H560" t="n">
        <v>0</v>
      </c>
      <c r="I560" t="n">
        <v>0</v>
      </c>
      <c r="J560" t="n">
        <v>0</v>
      </c>
      <c r="K560" t="n">
        <v>0</v>
      </c>
      <c r="L560" t="n">
        <v>0</v>
      </c>
      <c r="M560" t="n">
        <v>0</v>
      </c>
      <c r="N560" t="n">
        <v>0</v>
      </c>
      <c r="O560" t="n">
        <v>0</v>
      </c>
      <c r="P560" t="n">
        <v>0</v>
      </c>
      <c r="Q560" t="n">
        <v>0</v>
      </c>
      <c r="R560" s="2" t="inlineStr"/>
    </row>
    <row r="561" ht="15" customHeight="1">
      <c r="A561" t="inlineStr">
        <is>
          <t>A 2054-2023</t>
        </is>
      </c>
      <c r="B561" s="1" t="n">
        <v>44939</v>
      </c>
      <c r="C561" s="1" t="n">
        <v>45999</v>
      </c>
      <c r="D561" t="inlineStr">
        <is>
          <t>VÄSTERBOTTENS LÄN</t>
        </is>
      </c>
      <c r="E561" t="inlineStr">
        <is>
          <t>VILHELMINA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54931-2023</t>
        </is>
      </c>
      <c r="B562" s="1" t="n">
        <v>45229</v>
      </c>
      <c r="C562" s="1" t="n">
        <v>45999</v>
      </c>
      <c r="D562" t="inlineStr">
        <is>
          <t>VÄSTERBOTTENS LÄN</t>
        </is>
      </c>
      <c r="E562" t="inlineStr">
        <is>
          <t>VILHELMINA</t>
        </is>
      </c>
      <c r="G562" t="n">
        <v>14.5</v>
      </c>
      <c r="H562" t="n">
        <v>0</v>
      </c>
      <c r="I562" t="n">
        <v>0</v>
      </c>
      <c r="J562" t="n">
        <v>0</v>
      </c>
      <c r="K562" t="n">
        <v>0</v>
      </c>
      <c r="L562" t="n">
        <v>0</v>
      </c>
      <c r="M562" t="n">
        <v>0</v>
      </c>
      <c r="N562" t="n">
        <v>0</v>
      </c>
      <c r="O562" t="n">
        <v>0</v>
      </c>
      <c r="P562" t="n">
        <v>0</v>
      </c>
      <c r="Q562" t="n">
        <v>0</v>
      </c>
      <c r="R562" s="2" t="inlineStr"/>
    </row>
    <row r="563" ht="15" customHeight="1">
      <c r="A563" t="inlineStr">
        <is>
          <t>A 42976-2024</t>
        </is>
      </c>
      <c r="B563" s="1" t="n">
        <v>45567.37387731481</v>
      </c>
      <c r="C563" s="1" t="n">
        <v>45999</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45672-2023</t>
        </is>
      </c>
      <c r="B564" s="1" t="n">
        <v>45194</v>
      </c>
      <c r="C564" s="1" t="n">
        <v>45999</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45999</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26663-2023</t>
        </is>
      </c>
      <c r="B566" s="1" t="n">
        <v>45092.94042824074</v>
      </c>
      <c r="C566" s="1" t="n">
        <v>45999</v>
      </c>
      <c r="D566" t="inlineStr">
        <is>
          <t>VÄSTERBOTTENS LÄN</t>
        </is>
      </c>
      <c r="E566" t="inlineStr">
        <is>
          <t>VILHELMINA</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7982-2025</t>
        </is>
      </c>
      <c r="B567" s="1" t="n">
        <v>45707.46905092592</v>
      </c>
      <c r="C567" s="1" t="n">
        <v>45999</v>
      </c>
      <c r="D567" t="inlineStr">
        <is>
          <t>VÄSTERBOTTENS LÄN</t>
        </is>
      </c>
      <c r="E567" t="inlineStr">
        <is>
          <t>VILHELMINA</t>
        </is>
      </c>
      <c r="G567" t="n">
        <v>6</v>
      </c>
      <c r="H567" t="n">
        <v>0</v>
      </c>
      <c r="I567" t="n">
        <v>0</v>
      </c>
      <c r="J567" t="n">
        <v>0</v>
      </c>
      <c r="K567" t="n">
        <v>0</v>
      </c>
      <c r="L567" t="n">
        <v>0</v>
      </c>
      <c r="M567" t="n">
        <v>0</v>
      </c>
      <c r="N567" t="n">
        <v>0</v>
      </c>
      <c r="O567" t="n">
        <v>0</v>
      </c>
      <c r="P567" t="n">
        <v>0</v>
      </c>
      <c r="Q567" t="n">
        <v>0</v>
      </c>
      <c r="R567" s="2" t="inlineStr"/>
    </row>
    <row r="568" ht="15" customHeight="1">
      <c r="A568" t="inlineStr">
        <is>
          <t>A 9197-2023</t>
        </is>
      </c>
      <c r="B568" s="1" t="n">
        <v>44977</v>
      </c>
      <c r="C568" s="1" t="n">
        <v>45999</v>
      </c>
      <c r="D568" t="inlineStr">
        <is>
          <t>VÄSTERBOTTENS LÄN</t>
        </is>
      </c>
      <c r="E568" t="inlineStr">
        <is>
          <t>VILHELMINA</t>
        </is>
      </c>
      <c r="G568" t="n">
        <v>8.9</v>
      </c>
      <c r="H568" t="n">
        <v>0</v>
      </c>
      <c r="I568" t="n">
        <v>0</v>
      </c>
      <c r="J568" t="n">
        <v>0</v>
      </c>
      <c r="K568" t="n">
        <v>0</v>
      </c>
      <c r="L568" t="n">
        <v>0</v>
      </c>
      <c r="M568" t="n">
        <v>0</v>
      </c>
      <c r="N568" t="n">
        <v>0</v>
      </c>
      <c r="O568" t="n">
        <v>0</v>
      </c>
      <c r="P568" t="n">
        <v>0</v>
      </c>
      <c r="Q568" t="n">
        <v>0</v>
      </c>
      <c r="R568" s="2" t="inlineStr"/>
    </row>
    <row r="569" ht="15" customHeight="1">
      <c r="A569" t="inlineStr">
        <is>
          <t>A 15176-2022</t>
        </is>
      </c>
      <c r="B569" s="1" t="n">
        <v>44658</v>
      </c>
      <c r="C569" s="1" t="n">
        <v>45999</v>
      </c>
      <c r="D569" t="inlineStr">
        <is>
          <t>VÄSTERBOTTENS LÄN</t>
        </is>
      </c>
      <c r="E569" t="inlineStr">
        <is>
          <t>VILHELMINA</t>
        </is>
      </c>
      <c r="G569" t="n">
        <v>1.6</v>
      </c>
      <c r="H569" t="n">
        <v>0</v>
      </c>
      <c r="I569" t="n">
        <v>0</v>
      </c>
      <c r="J569" t="n">
        <v>0</v>
      </c>
      <c r="K569" t="n">
        <v>0</v>
      </c>
      <c r="L569" t="n">
        <v>0</v>
      </c>
      <c r="M569" t="n">
        <v>0</v>
      </c>
      <c r="N569" t="n">
        <v>0</v>
      </c>
      <c r="O569" t="n">
        <v>0</v>
      </c>
      <c r="P569" t="n">
        <v>0</v>
      </c>
      <c r="Q569" t="n">
        <v>0</v>
      </c>
      <c r="R569" s="2" t="inlineStr"/>
    </row>
    <row r="570" ht="15" customHeight="1">
      <c r="A570" t="inlineStr">
        <is>
          <t>A 35755-2023</t>
        </is>
      </c>
      <c r="B570" s="1" t="n">
        <v>45147.9540625</v>
      </c>
      <c r="C570" s="1" t="n">
        <v>45999</v>
      </c>
      <c r="D570" t="inlineStr">
        <is>
          <t>VÄSTERBOTTENS LÄN</t>
        </is>
      </c>
      <c r="E570" t="inlineStr">
        <is>
          <t>VILHELMINA</t>
        </is>
      </c>
      <c r="F570" t="inlineStr">
        <is>
          <t>SCA</t>
        </is>
      </c>
      <c r="G570" t="n">
        <v>5.9</v>
      </c>
      <c r="H570" t="n">
        <v>0</v>
      </c>
      <c r="I570" t="n">
        <v>0</v>
      </c>
      <c r="J570" t="n">
        <v>0</v>
      </c>
      <c r="K570" t="n">
        <v>0</v>
      </c>
      <c r="L570" t="n">
        <v>0</v>
      </c>
      <c r="M570" t="n">
        <v>0</v>
      </c>
      <c r="N570" t="n">
        <v>0</v>
      </c>
      <c r="O570" t="n">
        <v>0</v>
      </c>
      <c r="P570" t="n">
        <v>0</v>
      </c>
      <c r="Q570" t="n">
        <v>0</v>
      </c>
      <c r="R570" s="2" t="inlineStr"/>
    </row>
    <row r="571" ht="15" customHeight="1">
      <c r="A571" t="inlineStr">
        <is>
          <t>A 36219-2023</t>
        </is>
      </c>
      <c r="B571" s="1" t="n">
        <v>45149.95310185185</v>
      </c>
      <c r="C571" s="1" t="n">
        <v>45999</v>
      </c>
      <c r="D571" t="inlineStr">
        <is>
          <t>VÄSTERBOTTENS LÄN</t>
        </is>
      </c>
      <c r="E571" t="inlineStr">
        <is>
          <t>VILHELMINA</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63877-2023</t>
        </is>
      </c>
      <c r="B572" s="1" t="n">
        <v>45278</v>
      </c>
      <c r="C572" s="1" t="n">
        <v>45999</v>
      </c>
      <c r="D572" t="inlineStr">
        <is>
          <t>VÄSTERBOTTENS LÄN</t>
        </is>
      </c>
      <c r="E572" t="inlineStr">
        <is>
          <t>VILHELMINA</t>
        </is>
      </c>
      <c r="G572" t="n">
        <v>1.2</v>
      </c>
      <c r="H572" t="n">
        <v>0</v>
      </c>
      <c r="I572" t="n">
        <v>0</v>
      </c>
      <c r="J572" t="n">
        <v>0</v>
      </c>
      <c r="K572" t="n">
        <v>0</v>
      </c>
      <c r="L572" t="n">
        <v>0</v>
      </c>
      <c r="M572" t="n">
        <v>0</v>
      </c>
      <c r="N572" t="n">
        <v>0</v>
      </c>
      <c r="O572" t="n">
        <v>0</v>
      </c>
      <c r="P572" t="n">
        <v>0</v>
      </c>
      <c r="Q572" t="n">
        <v>0</v>
      </c>
      <c r="R572" s="2" t="inlineStr"/>
    </row>
    <row r="573" ht="15" customHeight="1">
      <c r="A573" t="inlineStr">
        <is>
          <t>A 35758-2023</t>
        </is>
      </c>
      <c r="B573" s="1" t="n">
        <v>45147.95452546296</v>
      </c>
      <c r="C573" s="1" t="n">
        <v>45999</v>
      </c>
      <c r="D573" t="inlineStr">
        <is>
          <t>VÄSTERBOTTENS LÄN</t>
        </is>
      </c>
      <c r="E573" t="inlineStr">
        <is>
          <t>VILHELMINA</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48472-2023</t>
        </is>
      </c>
      <c r="B574" s="1" t="n">
        <v>45206.95761574074</v>
      </c>
      <c r="C574" s="1" t="n">
        <v>45999</v>
      </c>
      <c r="D574" t="inlineStr">
        <is>
          <t>VÄSTERBOTTENS LÄN</t>
        </is>
      </c>
      <c r="E574" t="inlineStr">
        <is>
          <t>VILHELMINA</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43637-2023</t>
        </is>
      </c>
      <c r="B575" s="1" t="n">
        <v>45186.51590277778</v>
      </c>
      <c r="C575" s="1" t="n">
        <v>45999</v>
      </c>
      <c r="D575" t="inlineStr">
        <is>
          <t>VÄSTERBOTTENS LÄN</t>
        </is>
      </c>
      <c r="E575" t="inlineStr">
        <is>
          <t>VILHELMINA</t>
        </is>
      </c>
      <c r="G575" t="n">
        <v>3.3</v>
      </c>
      <c r="H575" t="n">
        <v>0</v>
      </c>
      <c r="I575" t="n">
        <v>0</v>
      </c>
      <c r="J575" t="n">
        <v>0</v>
      </c>
      <c r="K575" t="n">
        <v>0</v>
      </c>
      <c r="L575" t="n">
        <v>0</v>
      </c>
      <c r="M575" t="n">
        <v>0</v>
      </c>
      <c r="N575" t="n">
        <v>0</v>
      </c>
      <c r="O575" t="n">
        <v>0</v>
      </c>
      <c r="P575" t="n">
        <v>0</v>
      </c>
      <c r="Q575" t="n">
        <v>0</v>
      </c>
      <c r="R575" s="2" t="inlineStr"/>
    </row>
    <row r="576" ht="15" customHeight="1">
      <c r="A576" t="inlineStr">
        <is>
          <t>A 41644-2024</t>
        </is>
      </c>
      <c r="B576" s="1" t="n">
        <v>45560</v>
      </c>
      <c r="C576" s="1" t="n">
        <v>45999</v>
      </c>
      <c r="D576" t="inlineStr">
        <is>
          <t>VÄSTERBOTTENS LÄN</t>
        </is>
      </c>
      <c r="E576" t="inlineStr">
        <is>
          <t>VILHELMINA</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16608-2024</t>
        </is>
      </c>
      <c r="B577" s="1" t="n">
        <v>45408</v>
      </c>
      <c r="C577" s="1" t="n">
        <v>45999</v>
      </c>
      <c r="D577" t="inlineStr">
        <is>
          <t>VÄSTERBOTTENS LÄN</t>
        </is>
      </c>
      <c r="E577" t="inlineStr">
        <is>
          <t>VILHELMINA</t>
        </is>
      </c>
      <c r="G577" t="n">
        <v>17.5</v>
      </c>
      <c r="H577" t="n">
        <v>0</v>
      </c>
      <c r="I577" t="n">
        <v>0</v>
      </c>
      <c r="J577" t="n">
        <v>0</v>
      </c>
      <c r="K577" t="n">
        <v>0</v>
      </c>
      <c r="L577" t="n">
        <v>0</v>
      </c>
      <c r="M577" t="n">
        <v>0</v>
      </c>
      <c r="N577" t="n">
        <v>0</v>
      </c>
      <c r="O577" t="n">
        <v>0</v>
      </c>
      <c r="P577" t="n">
        <v>0</v>
      </c>
      <c r="Q577" t="n">
        <v>0</v>
      </c>
      <c r="R577" s="2" t="inlineStr"/>
    </row>
    <row r="578" ht="15" customHeight="1">
      <c r="A578" t="inlineStr">
        <is>
          <t>A 12368-2025</t>
        </is>
      </c>
      <c r="B578" s="1" t="n">
        <v>45730.37633101852</v>
      </c>
      <c r="C578" s="1" t="n">
        <v>45999</v>
      </c>
      <c r="D578" t="inlineStr">
        <is>
          <t>VÄSTERBOTTENS LÄN</t>
        </is>
      </c>
      <c r="E578" t="inlineStr">
        <is>
          <t>VILHELMINA</t>
        </is>
      </c>
      <c r="F578" t="inlineStr">
        <is>
          <t>Övriga statliga verk och myndigheter</t>
        </is>
      </c>
      <c r="G578" t="n">
        <v>14.8</v>
      </c>
      <c r="H578" t="n">
        <v>0</v>
      </c>
      <c r="I578" t="n">
        <v>0</v>
      </c>
      <c r="J578" t="n">
        <v>0</v>
      </c>
      <c r="K578" t="n">
        <v>0</v>
      </c>
      <c r="L578" t="n">
        <v>0</v>
      </c>
      <c r="M578" t="n">
        <v>0</v>
      </c>
      <c r="N578" t="n">
        <v>0</v>
      </c>
      <c r="O578" t="n">
        <v>0</v>
      </c>
      <c r="P578" t="n">
        <v>0</v>
      </c>
      <c r="Q578" t="n">
        <v>0</v>
      </c>
      <c r="R578" s="2" t="inlineStr"/>
    </row>
    <row r="579" ht="15" customHeight="1">
      <c r="A579" t="inlineStr">
        <is>
          <t>A 12373-2025</t>
        </is>
      </c>
      <c r="B579" s="1" t="n">
        <v>45730</v>
      </c>
      <c r="C579" s="1" t="n">
        <v>45999</v>
      </c>
      <c r="D579" t="inlineStr">
        <is>
          <t>VÄSTERBOTTENS LÄN</t>
        </is>
      </c>
      <c r="E579" t="inlineStr">
        <is>
          <t>VILHELMINA</t>
        </is>
      </c>
      <c r="F579" t="inlineStr">
        <is>
          <t>Övriga statliga verk och myndigheter</t>
        </is>
      </c>
      <c r="G579" t="n">
        <v>25.5</v>
      </c>
      <c r="H579" t="n">
        <v>0</v>
      </c>
      <c r="I579" t="n">
        <v>0</v>
      </c>
      <c r="J579" t="n">
        <v>0</v>
      </c>
      <c r="K579" t="n">
        <v>0</v>
      </c>
      <c r="L579" t="n">
        <v>0</v>
      </c>
      <c r="M579" t="n">
        <v>0</v>
      </c>
      <c r="N579" t="n">
        <v>0</v>
      </c>
      <c r="O579" t="n">
        <v>0</v>
      </c>
      <c r="P579" t="n">
        <v>0</v>
      </c>
      <c r="Q579" t="n">
        <v>0</v>
      </c>
      <c r="R579" s="2" t="inlineStr"/>
    </row>
    <row r="580" ht="15" customHeight="1">
      <c r="A580" t="inlineStr">
        <is>
          <t>A 60782-2023</t>
        </is>
      </c>
      <c r="B580" s="1" t="n">
        <v>45259</v>
      </c>
      <c r="C580" s="1" t="n">
        <v>45999</v>
      </c>
      <c r="D580" t="inlineStr">
        <is>
          <t>VÄSTERBOTTENS LÄN</t>
        </is>
      </c>
      <c r="E580" t="inlineStr">
        <is>
          <t>VILHELMINA</t>
        </is>
      </c>
      <c r="G580" t="n">
        <v>12.7</v>
      </c>
      <c r="H580" t="n">
        <v>0</v>
      </c>
      <c r="I580" t="n">
        <v>0</v>
      </c>
      <c r="J580" t="n">
        <v>0</v>
      </c>
      <c r="K580" t="n">
        <v>0</v>
      </c>
      <c r="L580" t="n">
        <v>0</v>
      </c>
      <c r="M580" t="n">
        <v>0</v>
      </c>
      <c r="N580" t="n">
        <v>0</v>
      </c>
      <c r="O580" t="n">
        <v>0</v>
      </c>
      <c r="P580" t="n">
        <v>0</v>
      </c>
      <c r="Q580" t="n">
        <v>0</v>
      </c>
      <c r="R580" s="2" t="inlineStr"/>
    </row>
    <row r="581" ht="15" customHeight="1">
      <c r="A581" t="inlineStr">
        <is>
          <t>A 9815-2024</t>
        </is>
      </c>
      <c r="B581" s="1" t="n">
        <v>45362.96927083333</v>
      </c>
      <c r="C581" s="1" t="n">
        <v>45999</v>
      </c>
      <c r="D581" t="inlineStr">
        <is>
          <t>VÄSTERBOTTENS LÄN</t>
        </is>
      </c>
      <c r="E581" t="inlineStr">
        <is>
          <t>VILHELMINA</t>
        </is>
      </c>
      <c r="G581" t="n">
        <v>1.3</v>
      </c>
      <c r="H581" t="n">
        <v>0</v>
      </c>
      <c r="I581" t="n">
        <v>0</v>
      </c>
      <c r="J581" t="n">
        <v>0</v>
      </c>
      <c r="K581" t="n">
        <v>0</v>
      </c>
      <c r="L581" t="n">
        <v>0</v>
      </c>
      <c r="M581" t="n">
        <v>0</v>
      </c>
      <c r="N581" t="n">
        <v>0</v>
      </c>
      <c r="O581" t="n">
        <v>0</v>
      </c>
      <c r="P581" t="n">
        <v>0</v>
      </c>
      <c r="Q581" t="n">
        <v>0</v>
      </c>
      <c r="R581" s="2" t="inlineStr"/>
    </row>
    <row r="582" ht="15" customHeight="1">
      <c r="A582" t="inlineStr">
        <is>
          <t>A 60151-2024</t>
        </is>
      </c>
      <c r="B582" s="1" t="n">
        <v>45642.61490740741</v>
      </c>
      <c r="C582" s="1" t="n">
        <v>45999</v>
      </c>
      <c r="D582" t="inlineStr">
        <is>
          <t>VÄSTERBOTTENS LÄN</t>
        </is>
      </c>
      <c r="E582" t="inlineStr">
        <is>
          <t>VILHELMINA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8908-2023</t>
        </is>
      </c>
      <c r="B583" s="1" t="n">
        <v>44972</v>
      </c>
      <c r="C583" s="1" t="n">
        <v>45999</v>
      </c>
      <c r="D583" t="inlineStr">
        <is>
          <t>VÄSTERBOTTENS LÄN</t>
        </is>
      </c>
      <c r="E583" t="inlineStr">
        <is>
          <t>VILHELMINA</t>
        </is>
      </c>
      <c r="F583" t="inlineStr">
        <is>
          <t>Allmännings- och besparingsskogar</t>
        </is>
      </c>
      <c r="G583" t="n">
        <v>22.3</v>
      </c>
      <c r="H583" t="n">
        <v>0</v>
      </c>
      <c r="I583" t="n">
        <v>0</v>
      </c>
      <c r="J583" t="n">
        <v>0</v>
      </c>
      <c r="K583" t="n">
        <v>0</v>
      </c>
      <c r="L583" t="n">
        <v>0</v>
      </c>
      <c r="M583" t="n">
        <v>0</v>
      </c>
      <c r="N583" t="n">
        <v>0</v>
      </c>
      <c r="O583" t="n">
        <v>0</v>
      </c>
      <c r="P583" t="n">
        <v>0</v>
      </c>
      <c r="Q583" t="n">
        <v>0</v>
      </c>
      <c r="R583" s="2" t="inlineStr"/>
    </row>
    <row r="584" ht="15" customHeight="1">
      <c r="A584" t="inlineStr">
        <is>
          <t>A 26381-2024</t>
        </is>
      </c>
      <c r="B584" s="1" t="n">
        <v>45469</v>
      </c>
      <c r="C584" s="1" t="n">
        <v>45999</v>
      </c>
      <c r="D584" t="inlineStr">
        <is>
          <t>VÄSTERBOTTENS LÄN</t>
        </is>
      </c>
      <c r="E584" t="inlineStr">
        <is>
          <t>VILHELMINA</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47483-2023</t>
        </is>
      </c>
      <c r="B585" s="1" t="n">
        <v>45202.9413425926</v>
      </c>
      <c r="C585" s="1" t="n">
        <v>45999</v>
      </c>
      <c r="D585" t="inlineStr">
        <is>
          <t>VÄSTERBOTTENS LÄN</t>
        </is>
      </c>
      <c r="E585" t="inlineStr">
        <is>
          <t>VILHELMINA</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6665-2021</t>
        </is>
      </c>
      <c r="B586" s="1" t="n">
        <v>44235</v>
      </c>
      <c r="C586" s="1" t="n">
        <v>45999</v>
      </c>
      <c r="D586" t="inlineStr">
        <is>
          <t>VÄSTERBOTTENS LÄN</t>
        </is>
      </c>
      <c r="E586" t="inlineStr">
        <is>
          <t>VILHELMINA</t>
        </is>
      </c>
      <c r="G586" t="n">
        <v>20</v>
      </c>
      <c r="H586" t="n">
        <v>0</v>
      </c>
      <c r="I586" t="n">
        <v>0</v>
      </c>
      <c r="J586" t="n">
        <v>0</v>
      </c>
      <c r="K586" t="n">
        <v>0</v>
      </c>
      <c r="L586" t="n">
        <v>0</v>
      </c>
      <c r="M586" t="n">
        <v>0</v>
      </c>
      <c r="N586" t="n">
        <v>0</v>
      </c>
      <c r="O586" t="n">
        <v>0</v>
      </c>
      <c r="P586" t="n">
        <v>0</v>
      </c>
      <c r="Q586" t="n">
        <v>0</v>
      </c>
      <c r="R586" s="2" t="inlineStr"/>
    </row>
    <row r="587" ht="15" customHeight="1">
      <c r="A587" t="inlineStr">
        <is>
          <t>A 48424-2023</t>
        </is>
      </c>
      <c r="B587" s="1" t="n">
        <v>45205</v>
      </c>
      <c r="C587" s="1" t="n">
        <v>45999</v>
      </c>
      <c r="D587" t="inlineStr">
        <is>
          <t>VÄSTERBOTTENS LÄN</t>
        </is>
      </c>
      <c r="E587" t="inlineStr">
        <is>
          <t>VILHELMINA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44714-2021</t>
        </is>
      </c>
      <c r="B588" s="1" t="n">
        <v>44435</v>
      </c>
      <c r="C588" s="1" t="n">
        <v>45999</v>
      </c>
      <c r="D588" t="inlineStr">
        <is>
          <t>VÄSTERBOTTENS LÄN</t>
        </is>
      </c>
      <c r="E588" t="inlineStr">
        <is>
          <t>VILHELMINA</t>
        </is>
      </c>
      <c r="G588" t="n">
        <v>4.3</v>
      </c>
      <c r="H588" t="n">
        <v>0</v>
      </c>
      <c r="I588" t="n">
        <v>0</v>
      </c>
      <c r="J588" t="n">
        <v>0</v>
      </c>
      <c r="K588" t="n">
        <v>0</v>
      </c>
      <c r="L588" t="n">
        <v>0</v>
      </c>
      <c r="M588" t="n">
        <v>0</v>
      </c>
      <c r="N588" t="n">
        <v>0</v>
      </c>
      <c r="O588" t="n">
        <v>0</v>
      </c>
      <c r="P588" t="n">
        <v>0</v>
      </c>
      <c r="Q588" t="n">
        <v>0</v>
      </c>
      <c r="R588" s="2" t="inlineStr"/>
    </row>
    <row r="589" ht="15" customHeight="1">
      <c r="A589" t="inlineStr">
        <is>
          <t>A 17186-2025</t>
        </is>
      </c>
      <c r="B589" s="1" t="n">
        <v>45756</v>
      </c>
      <c r="C589" s="1" t="n">
        <v>45999</v>
      </c>
      <c r="D589" t="inlineStr">
        <is>
          <t>VÄSTERBOTTENS LÄN</t>
        </is>
      </c>
      <c r="E589" t="inlineStr">
        <is>
          <t>VILHELMINA</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17302-2025</t>
        </is>
      </c>
      <c r="B590" s="1" t="n">
        <v>45756</v>
      </c>
      <c r="C590" s="1" t="n">
        <v>45999</v>
      </c>
      <c r="D590" t="inlineStr">
        <is>
          <t>VÄSTERBOTTENS LÄN</t>
        </is>
      </c>
      <c r="E590" t="inlineStr">
        <is>
          <t>VILHELMINA</t>
        </is>
      </c>
      <c r="G590" t="n">
        <v>6.6</v>
      </c>
      <c r="H590" t="n">
        <v>0</v>
      </c>
      <c r="I590" t="n">
        <v>0</v>
      </c>
      <c r="J590" t="n">
        <v>0</v>
      </c>
      <c r="K590" t="n">
        <v>0</v>
      </c>
      <c r="L590" t="n">
        <v>0</v>
      </c>
      <c r="M590" t="n">
        <v>0</v>
      </c>
      <c r="N590" t="n">
        <v>0</v>
      </c>
      <c r="O590" t="n">
        <v>0</v>
      </c>
      <c r="P590" t="n">
        <v>0</v>
      </c>
      <c r="Q590" t="n">
        <v>0</v>
      </c>
      <c r="R590" s="2" t="inlineStr"/>
    </row>
    <row r="591" ht="15" customHeight="1">
      <c r="A591" t="inlineStr">
        <is>
          <t>A 17314-2025</t>
        </is>
      </c>
      <c r="B591" s="1" t="n">
        <v>45756</v>
      </c>
      <c r="C591" s="1" t="n">
        <v>45999</v>
      </c>
      <c r="D591" t="inlineStr">
        <is>
          <t>VÄSTERBOTTENS LÄN</t>
        </is>
      </c>
      <c r="E591" t="inlineStr">
        <is>
          <t>VILHELMINA</t>
        </is>
      </c>
      <c r="G591" t="n">
        <v>3.4</v>
      </c>
      <c r="H591" t="n">
        <v>0</v>
      </c>
      <c r="I591" t="n">
        <v>0</v>
      </c>
      <c r="J591" t="n">
        <v>0</v>
      </c>
      <c r="K591" t="n">
        <v>0</v>
      </c>
      <c r="L591" t="n">
        <v>0</v>
      </c>
      <c r="M591" t="n">
        <v>0</v>
      </c>
      <c r="N591" t="n">
        <v>0</v>
      </c>
      <c r="O591" t="n">
        <v>0</v>
      </c>
      <c r="P591" t="n">
        <v>0</v>
      </c>
      <c r="Q591" t="n">
        <v>0</v>
      </c>
      <c r="R591" s="2" t="inlineStr"/>
    </row>
    <row r="592" ht="15" customHeight="1">
      <c r="A592" t="inlineStr">
        <is>
          <t>A 19221-2025</t>
        </is>
      </c>
      <c r="B592" s="1" t="n">
        <v>45769</v>
      </c>
      <c r="C592" s="1" t="n">
        <v>45999</v>
      </c>
      <c r="D592" t="inlineStr">
        <is>
          <t>VÄSTERBOTTENS LÄN</t>
        </is>
      </c>
      <c r="E592" t="inlineStr">
        <is>
          <t>VILHELMINA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8556-2025</t>
        </is>
      </c>
      <c r="B593" s="1" t="n">
        <v>45709</v>
      </c>
      <c r="C593" s="1" t="n">
        <v>45999</v>
      </c>
      <c r="D593" t="inlineStr">
        <is>
          <t>VÄSTERBOTTENS LÄN</t>
        </is>
      </c>
      <c r="E593" t="inlineStr">
        <is>
          <t>VILHELMINA</t>
        </is>
      </c>
      <c r="G593" t="n">
        <v>1</v>
      </c>
      <c r="H593" t="n">
        <v>0</v>
      </c>
      <c r="I593" t="n">
        <v>0</v>
      </c>
      <c r="J593" t="n">
        <v>0</v>
      </c>
      <c r="K593" t="n">
        <v>0</v>
      </c>
      <c r="L593" t="n">
        <v>0</v>
      </c>
      <c r="M593" t="n">
        <v>0</v>
      </c>
      <c r="N593" t="n">
        <v>0</v>
      </c>
      <c r="O593" t="n">
        <v>0</v>
      </c>
      <c r="P593" t="n">
        <v>0</v>
      </c>
      <c r="Q593" t="n">
        <v>0</v>
      </c>
      <c r="R593" s="2" t="inlineStr"/>
    </row>
    <row r="594" ht="15" customHeight="1">
      <c r="A594" t="inlineStr">
        <is>
          <t>A 57324-2022</t>
        </is>
      </c>
      <c r="B594" s="1" t="n">
        <v>44889</v>
      </c>
      <c r="C594" s="1" t="n">
        <v>45999</v>
      </c>
      <c r="D594" t="inlineStr">
        <is>
          <t>VÄSTERBOTTENS LÄN</t>
        </is>
      </c>
      <c r="E594" t="inlineStr">
        <is>
          <t>VILHELMINA</t>
        </is>
      </c>
      <c r="G594" t="n">
        <v>1.7</v>
      </c>
      <c r="H594" t="n">
        <v>0</v>
      </c>
      <c r="I594" t="n">
        <v>0</v>
      </c>
      <c r="J594" t="n">
        <v>0</v>
      </c>
      <c r="K594" t="n">
        <v>0</v>
      </c>
      <c r="L594" t="n">
        <v>0</v>
      </c>
      <c r="M594" t="n">
        <v>0</v>
      </c>
      <c r="N594" t="n">
        <v>0</v>
      </c>
      <c r="O594" t="n">
        <v>0</v>
      </c>
      <c r="P594" t="n">
        <v>0</v>
      </c>
      <c r="Q594" t="n">
        <v>0</v>
      </c>
      <c r="R594" s="2" t="inlineStr"/>
    </row>
    <row r="595" ht="15" customHeight="1">
      <c r="A595" t="inlineStr">
        <is>
          <t>A 14254-2025</t>
        </is>
      </c>
      <c r="B595" s="1" t="n">
        <v>45740.61644675926</v>
      </c>
      <c r="C595" s="1" t="n">
        <v>45999</v>
      </c>
      <c r="D595" t="inlineStr">
        <is>
          <t>VÄSTERBOTTENS LÄN</t>
        </is>
      </c>
      <c r="E595" t="inlineStr">
        <is>
          <t>VILHELMINA</t>
        </is>
      </c>
      <c r="G595" t="n">
        <v>2</v>
      </c>
      <c r="H595" t="n">
        <v>0</v>
      </c>
      <c r="I595" t="n">
        <v>0</v>
      </c>
      <c r="J595" t="n">
        <v>0</v>
      </c>
      <c r="K595" t="n">
        <v>0</v>
      </c>
      <c r="L595" t="n">
        <v>0</v>
      </c>
      <c r="M595" t="n">
        <v>0</v>
      </c>
      <c r="N595" t="n">
        <v>0</v>
      </c>
      <c r="O595" t="n">
        <v>0</v>
      </c>
      <c r="P595" t="n">
        <v>0</v>
      </c>
      <c r="Q595" t="n">
        <v>0</v>
      </c>
      <c r="R595" s="2" t="inlineStr"/>
    </row>
    <row r="596" ht="15" customHeight="1">
      <c r="A596" t="inlineStr">
        <is>
          <t>A 17307-2025</t>
        </is>
      </c>
      <c r="B596" s="1" t="n">
        <v>45756</v>
      </c>
      <c r="C596" s="1" t="n">
        <v>45999</v>
      </c>
      <c r="D596" t="inlineStr">
        <is>
          <t>VÄSTERBOTTENS LÄN</t>
        </is>
      </c>
      <c r="E596" t="inlineStr">
        <is>
          <t>VILHELMINA</t>
        </is>
      </c>
      <c r="G596" t="n">
        <v>11.2</v>
      </c>
      <c r="H596" t="n">
        <v>0</v>
      </c>
      <c r="I596" t="n">
        <v>0</v>
      </c>
      <c r="J596" t="n">
        <v>0</v>
      </c>
      <c r="K596" t="n">
        <v>0</v>
      </c>
      <c r="L596" t="n">
        <v>0</v>
      </c>
      <c r="M596" t="n">
        <v>0</v>
      </c>
      <c r="N596" t="n">
        <v>0</v>
      </c>
      <c r="O596" t="n">
        <v>0</v>
      </c>
      <c r="P596" t="n">
        <v>0</v>
      </c>
      <c r="Q596" t="n">
        <v>0</v>
      </c>
      <c r="R596" s="2" t="inlineStr"/>
    </row>
    <row r="597" ht="15" customHeight="1">
      <c r="A597" t="inlineStr">
        <is>
          <t>A 35006-2023</t>
        </is>
      </c>
      <c r="B597" s="1" t="n">
        <v>45142.95103009259</v>
      </c>
      <c r="C597" s="1" t="n">
        <v>45999</v>
      </c>
      <c r="D597" t="inlineStr">
        <is>
          <t>VÄSTERBOTTENS LÄN</t>
        </is>
      </c>
      <c r="E597" t="inlineStr">
        <is>
          <t>VILHELMINA</t>
        </is>
      </c>
      <c r="F597" t="inlineStr">
        <is>
          <t>SCA</t>
        </is>
      </c>
      <c r="G597" t="n">
        <v>11.6</v>
      </c>
      <c r="H597" t="n">
        <v>0</v>
      </c>
      <c r="I597" t="n">
        <v>0</v>
      </c>
      <c r="J597" t="n">
        <v>0</v>
      </c>
      <c r="K597" t="n">
        <v>0</v>
      </c>
      <c r="L597" t="n">
        <v>0</v>
      </c>
      <c r="M597" t="n">
        <v>0</v>
      </c>
      <c r="N597" t="n">
        <v>0</v>
      </c>
      <c r="O597" t="n">
        <v>0</v>
      </c>
      <c r="P597" t="n">
        <v>0</v>
      </c>
      <c r="Q597" t="n">
        <v>0</v>
      </c>
      <c r="R597" s="2" t="inlineStr"/>
    </row>
    <row r="598" ht="15" customHeight="1">
      <c r="A598" t="inlineStr">
        <is>
          <t>A 252-2025</t>
        </is>
      </c>
      <c r="B598" s="1" t="n">
        <v>45660.42734953704</v>
      </c>
      <c r="C598" s="1" t="n">
        <v>45999</v>
      </c>
      <c r="D598" t="inlineStr">
        <is>
          <t>VÄSTERBOTTENS LÄN</t>
        </is>
      </c>
      <c r="E598" t="inlineStr">
        <is>
          <t>VILHELMINA</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48423-2023</t>
        </is>
      </c>
      <c r="B599" s="1" t="n">
        <v>45205</v>
      </c>
      <c r="C599" s="1" t="n">
        <v>45999</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35888-2025</t>
        </is>
      </c>
      <c r="B600" s="1" t="n">
        <v>45862.44034722223</v>
      </c>
      <c r="C600" s="1" t="n">
        <v>45999</v>
      </c>
      <c r="D600" t="inlineStr">
        <is>
          <t>VÄSTERBOTTENS LÄN</t>
        </is>
      </c>
      <c r="E600" t="inlineStr">
        <is>
          <t>VILHELMINA</t>
        </is>
      </c>
      <c r="G600" t="n">
        <v>2.4</v>
      </c>
      <c r="H600" t="n">
        <v>0</v>
      </c>
      <c r="I600" t="n">
        <v>0</v>
      </c>
      <c r="J600" t="n">
        <v>0</v>
      </c>
      <c r="K600" t="n">
        <v>0</v>
      </c>
      <c r="L600" t="n">
        <v>0</v>
      </c>
      <c r="M600" t="n">
        <v>0</v>
      </c>
      <c r="N600" t="n">
        <v>0</v>
      </c>
      <c r="O600" t="n">
        <v>0</v>
      </c>
      <c r="P600" t="n">
        <v>0</v>
      </c>
      <c r="Q600" t="n">
        <v>0</v>
      </c>
      <c r="R600" s="2" t="inlineStr"/>
    </row>
    <row r="601" ht="15" customHeight="1">
      <c r="A601" t="inlineStr">
        <is>
          <t>A 35886-2025</t>
        </is>
      </c>
      <c r="B601" s="1" t="n">
        <v>45862</v>
      </c>
      <c r="C601" s="1" t="n">
        <v>45999</v>
      </c>
      <c r="D601" t="inlineStr">
        <is>
          <t>VÄSTERBOTTENS LÄN</t>
        </is>
      </c>
      <c r="E601" t="inlineStr">
        <is>
          <t>VILHELMINA</t>
        </is>
      </c>
      <c r="G601" t="n">
        <v>7</v>
      </c>
      <c r="H601" t="n">
        <v>0</v>
      </c>
      <c r="I601" t="n">
        <v>0</v>
      </c>
      <c r="J601" t="n">
        <v>0</v>
      </c>
      <c r="K601" t="n">
        <v>0</v>
      </c>
      <c r="L601" t="n">
        <v>0</v>
      </c>
      <c r="M601" t="n">
        <v>0</v>
      </c>
      <c r="N601" t="n">
        <v>0</v>
      </c>
      <c r="O601" t="n">
        <v>0</v>
      </c>
      <c r="P601" t="n">
        <v>0</v>
      </c>
      <c r="Q601" t="n">
        <v>0</v>
      </c>
      <c r="R601" s="2" t="inlineStr"/>
    </row>
    <row r="602" ht="15" customHeight="1">
      <c r="A602" t="inlineStr">
        <is>
          <t>A 38597-2025</t>
        </is>
      </c>
      <c r="B602" s="1" t="n">
        <v>45884.49061342593</v>
      </c>
      <c r="C602" s="1" t="n">
        <v>45999</v>
      </c>
      <c r="D602" t="inlineStr">
        <is>
          <t>VÄSTERBOTTENS LÄN</t>
        </is>
      </c>
      <c r="E602" t="inlineStr">
        <is>
          <t>VILHELMINA</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38357-2025</t>
        </is>
      </c>
      <c r="B603" s="1" t="n">
        <v>45883.53263888889</v>
      </c>
      <c r="C603" s="1" t="n">
        <v>45999</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38409-2025</t>
        </is>
      </c>
      <c r="B604" s="1" t="n">
        <v>45883.59429398148</v>
      </c>
      <c r="C604" s="1" t="n">
        <v>45999</v>
      </c>
      <c r="D604" t="inlineStr">
        <is>
          <t>VÄSTERBOTTENS LÄN</t>
        </is>
      </c>
      <c r="E604" t="inlineStr">
        <is>
          <t>VILHELMINA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43817-2025</t>
        </is>
      </c>
      <c r="B605" s="1" t="n">
        <v>45912</v>
      </c>
      <c r="C605" s="1" t="n">
        <v>45999</v>
      </c>
      <c r="D605" t="inlineStr">
        <is>
          <t>VÄSTERBOTTENS LÄN</t>
        </is>
      </c>
      <c r="E605" t="inlineStr">
        <is>
          <t>VILHELMINA</t>
        </is>
      </c>
      <c r="G605" t="n">
        <v>23.1</v>
      </c>
      <c r="H605" t="n">
        <v>0</v>
      </c>
      <c r="I605" t="n">
        <v>0</v>
      </c>
      <c r="J605" t="n">
        <v>0</v>
      </c>
      <c r="K605" t="n">
        <v>0</v>
      </c>
      <c r="L605" t="n">
        <v>0</v>
      </c>
      <c r="M605" t="n">
        <v>0</v>
      </c>
      <c r="N605" t="n">
        <v>0</v>
      </c>
      <c r="O605" t="n">
        <v>0</v>
      </c>
      <c r="P605" t="n">
        <v>0</v>
      </c>
      <c r="Q605" t="n">
        <v>0</v>
      </c>
      <c r="R605" s="2" t="inlineStr"/>
    </row>
    <row r="606" ht="15" customHeight="1">
      <c r="A606" t="inlineStr">
        <is>
          <t>A 38355-2025</t>
        </is>
      </c>
      <c r="B606" s="1" t="n">
        <v>45883.53228009259</v>
      </c>
      <c r="C606" s="1" t="n">
        <v>45999</v>
      </c>
      <c r="D606" t="inlineStr">
        <is>
          <t>VÄSTERBOTTENS LÄN</t>
        </is>
      </c>
      <c r="E606" t="inlineStr">
        <is>
          <t>VILHELMINA</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38356-2025</t>
        </is>
      </c>
      <c r="B607" s="1" t="n">
        <v>45883.53247685185</v>
      </c>
      <c r="C607" s="1" t="n">
        <v>45999</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38212-2025</t>
        </is>
      </c>
      <c r="B608" s="1" t="n">
        <v>45882.95137731481</v>
      </c>
      <c r="C608" s="1" t="n">
        <v>45999</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38243-2025</t>
        </is>
      </c>
      <c r="B609" s="1" t="n">
        <v>45883.36553240741</v>
      </c>
      <c r="C609" s="1" t="n">
        <v>45999</v>
      </c>
      <c r="D609" t="inlineStr">
        <is>
          <t>VÄSTERBOTTENS LÄN</t>
        </is>
      </c>
      <c r="E609" t="inlineStr">
        <is>
          <t>VILHELMINA</t>
        </is>
      </c>
      <c r="G609" t="n">
        <v>4.7</v>
      </c>
      <c r="H609" t="n">
        <v>0</v>
      </c>
      <c r="I609" t="n">
        <v>0</v>
      </c>
      <c r="J609" t="n">
        <v>0</v>
      </c>
      <c r="K609" t="n">
        <v>0</v>
      </c>
      <c r="L609" t="n">
        <v>0</v>
      </c>
      <c r="M609" t="n">
        <v>0</v>
      </c>
      <c r="N609" t="n">
        <v>0</v>
      </c>
      <c r="O609" t="n">
        <v>0</v>
      </c>
      <c r="P609" t="n">
        <v>0</v>
      </c>
      <c r="Q609" t="n">
        <v>0</v>
      </c>
      <c r="R609" s="2" t="inlineStr"/>
    </row>
    <row r="610" ht="15" customHeight="1">
      <c r="A610" t="inlineStr">
        <is>
          <t>A 38211-2025</t>
        </is>
      </c>
      <c r="B610" s="1" t="n">
        <v>45882.93524305556</v>
      </c>
      <c r="C610" s="1" t="n">
        <v>45999</v>
      </c>
      <c r="D610" t="inlineStr">
        <is>
          <t>VÄSTERBOTTENS LÄN</t>
        </is>
      </c>
      <c r="E610" t="inlineStr">
        <is>
          <t>VILHELMINA</t>
        </is>
      </c>
      <c r="G610" t="n">
        <v>13.8</v>
      </c>
      <c r="H610" t="n">
        <v>0</v>
      </c>
      <c r="I610" t="n">
        <v>0</v>
      </c>
      <c r="J610" t="n">
        <v>0</v>
      </c>
      <c r="K610" t="n">
        <v>0</v>
      </c>
      <c r="L610" t="n">
        <v>0</v>
      </c>
      <c r="M610" t="n">
        <v>0</v>
      </c>
      <c r="N610" t="n">
        <v>0</v>
      </c>
      <c r="O610" t="n">
        <v>0</v>
      </c>
      <c r="P610" t="n">
        <v>0</v>
      </c>
      <c r="Q610" t="n">
        <v>0</v>
      </c>
      <c r="R610" s="2" t="inlineStr"/>
    </row>
    <row r="611" ht="15" customHeight="1">
      <c r="A611" t="inlineStr">
        <is>
          <t>A 36569-2025</t>
        </is>
      </c>
      <c r="B611" s="1" t="n">
        <v>45870</v>
      </c>
      <c r="C611" s="1" t="n">
        <v>45999</v>
      </c>
      <c r="D611" t="inlineStr">
        <is>
          <t>VÄSTERBOTTENS LÄN</t>
        </is>
      </c>
      <c r="E611" t="inlineStr">
        <is>
          <t>VILHELMINA</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48422-2023</t>
        </is>
      </c>
      <c r="B612" s="1" t="n">
        <v>45205</v>
      </c>
      <c r="C612" s="1" t="n">
        <v>45999</v>
      </c>
      <c r="D612" t="inlineStr">
        <is>
          <t>VÄSTERBOTTENS LÄN</t>
        </is>
      </c>
      <c r="E612" t="inlineStr">
        <is>
          <t>VILHELMINA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36973-2025</t>
        </is>
      </c>
      <c r="B613" s="1" t="n">
        <v>45874.63747685185</v>
      </c>
      <c r="C613" s="1" t="n">
        <v>45999</v>
      </c>
      <c r="D613" t="inlineStr">
        <is>
          <t>VÄSTERBOTTENS LÄN</t>
        </is>
      </c>
      <c r="E613" t="inlineStr">
        <is>
          <t>VILHELMINA</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48483-2023</t>
        </is>
      </c>
      <c r="B614" s="1" t="n">
        <v>45206.95854166667</v>
      </c>
      <c r="C614" s="1" t="n">
        <v>45999</v>
      </c>
      <c r="D614" t="inlineStr">
        <is>
          <t>VÄSTERBOTTENS LÄN</t>
        </is>
      </c>
      <c r="E614" t="inlineStr">
        <is>
          <t>VILHELMINA</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48505-2023</t>
        </is>
      </c>
      <c r="B615" s="1" t="n">
        <v>45207.93900462963</v>
      </c>
      <c r="C615" s="1" t="n">
        <v>45999</v>
      </c>
      <c r="D615" t="inlineStr">
        <is>
          <t>VÄSTERBOTTENS LÄN</t>
        </is>
      </c>
      <c r="E615" t="inlineStr">
        <is>
          <t>VILHELMINA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50489-2023</t>
        </is>
      </c>
      <c r="B616" s="1" t="n">
        <v>45216.95556712963</v>
      </c>
      <c r="C616" s="1" t="n">
        <v>45999</v>
      </c>
      <c r="D616" t="inlineStr">
        <is>
          <t>VÄSTERBOTTENS LÄN</t>
        </is>
      </c>
      <c r="E616" t="inlineStr">
        <is>
          <t>VILHELMINA</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50506-2023</t>
        </is>
      </c>
      <c r="B617" s="1" t="n">
        <v>45216.9580787037</v>
      </c>
      <c r="C617" s="1" t="n">
        <v>45999</v>
      </c>
      <c r="D617" t="inlineStr">
        <is>
          <t>VÄSTERBOTTENS LÄN</t>
        </is>
      </c>
      <c r="E617" t="inlineStr">
        <is>
          <t>VILHELMINA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38242-2025</t>
        </is>
      </c>
      <c r="B618" s="1" t="n">
        <v>45883.36547453704</v>
      </c>
      <c r="C618" s="1" t="n">
        <v>45999</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36669-2025</t>
        </is>
      </c>
      <c r="B619" s="1" t="n">
        <v>45873</v>
      </c>
      <c r="C619" s="1" t="n">
        <v>45999</v>
      </c>
      <c r="D619" t="inlineStr">
        <is>
          <t>VÄSTERBOTTENS LÄN</t>
        </is>
      </c>
      <c r="E619" t="inlineStr">
        <is>
          <t>VILHELMINA</t>
        </is>
      </c>
      <c r="G619" t="n">
        <v>12.5</v>
      </c>
      <c r="H619" t="n">
        <v>0</v>
      </c>
      <c r="I619" t="n">
        <v>0</v>
      </c>
      <c r="J619" t="n">
        <v>0</v>
      </c>
      <c r="K619" t="n">
        <v>0</v>
      </c>
      <c r="L619" t="n">
        <v>0</v>
      </c>
      <c r="M619" t="n">
        <v>0</v>
      </c>
      <c r="N619" t="n">
        <v>0</v>
      </c>
      <c r="O619" t="n">
        <v>0</v>
      </c>
      <c r="P619" t="n">
        <v>0</v>
      </c>
      <c r="Q619" t="n">
        <v>0</v>
      </c>
      <c r="R619" s="2" t="inlineStr"/>
    </row>
    <row r="620" ht="15" customHeight="1">
      <c r="A620" t="inlineStr">
        <is>
          <t>A 38360-2025</t>
        </is>
      </c>
      <c r="B620" s="1" t="n">
        <v>45883.53290509259</v>
      </c>
      <c r="C620" s="1" t="n">
        <v>45999</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38384-2025</t>
        </is>
      </c>
      <c r="B621" s="1" t="n">
        <v>45883</v>
      </c>
      <c r="C621" s="1" t="n">
        <v>45999</v>
      </c>
      <c r="D621" t="inlineStr">
        <is>
          <t>VÄSTERBOTTENS LÄN</t>
        </is>
      </c>
      <c r="E621" t="inlineStr">
        <is>
          <t>VILHELMINA</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38387-2025</t>
        </is>
      </c>
      <c r="B622" s="1" t="n">
        <v>45883.57451388889</v>
      </c>
      <c r="C622" s="1" t="n">
        <v>45999</v>
      </c>
      <c r="D622" t="inlineStr">
        <is>
          <t>VÄSTERBOTTENS LÄN</t>
        </is>
      </c>
      <c r="E622" t="inlineStr">
        <is>
          <t>VILHELMINA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38454-2025</t>
        </is>
      </c>
      <c r="B623" s="1" t="n">
        <v>45883.67839120371</v>
      </c>
      <c r="C623" s="1" t="n">
        <v>45999</v>
      </c>
      <c r="D623" t="inlineStr">
        <is>
          <t>VÄSTERBOTTENS LÄN</t>
        </is>
      </c>
      <c r="E623" t="inlineStr">
        <is>
          <t>VILHELMINA</t>
        </is>
      </c>
      <c r="G623" t="n">
        <v>4.8</v>
      </c>
      <c r="H623" t="n">
        <v>0</v>
      </c>
      <c r="I623" t="n">
        <v>0</v>
      </c>
      <c r="J623" t="n">
        <v>0</v>
      </c>
      <c r="K623" t="n">
        <v>0</v>
      </c>
      <c r="L623" t="n">
        <v>0</v>
      </c>
      <c r="M623" t="n">
        <v>0</v>
      </c>
      <c r="N623" t="n">
        <v>0</v>
      </c>
      <c r="O623" t="n">
        <v>0</v>
      </c>
      <c r="P623" t="n">
        <v>0</v>
      </c>
      <c r="Q623" t="n">
        <v>0</v>
      </c>
      <c r="R623" s="2" t="inlineStr"/>
    </row>
    <row r="624" ht="15" customHeight="1">
      <c r="A624" t="inlineStr">
        <is>
          <t>A 38569-2024</t>
        </is>
      </c>
      <c r="B624" s="1" t="n">
        <v>45546.63689814815</v>
      </c>
      <c r="C624" s="1" t="n">
        <v>45999</v>
      </c>
      <c r="D624" t="inlineStr">
        <is>
          <t>VÄSTERBOTTENS LÄN</t>
        </is>
      </c>
      <c r="E624" t="inlineStr">
        <is>
          <t>VILHELMINA</t>
        </is>
      </c>
      <c r="G624" t="n">
        <v>31.5</v>
      </c>
      <c r="H624" t="n">
        <v>0</v>
      </c>
      <c r="I624" t="n">
        <v>0</v>
      </c>
      <c r="J624" t="n">
        <v>0</v>
      </c>
      <c r="K624" t="n">
        <v>0</v>
      </c>
      <c r="L624" t="n">
        <v>0</v>
      </c>
      <c r="M624" t="n">
        <v>0</v>
      </c>
      <c r="N624" t="n">
        <v>0</v>
      </c>
      <c r="O624" t="n">
        <v>0</v>
      </c>
      <c r="P624" t="n">
        <v>0</v>
      </c>
      <c r="Q624" t="n">
        <v>0</v>
      </c>
      <c r="R624" s="2" t="inlineStr"/>
    </row>
    <row r="625" ht="15" customHeight="1">
      <c r="A625" t="inlineStr">
        <is>
          <t>A 36944-2025</t>
        </is>
      </c>
      <c r="B625" s="1" t="n">
        <v>45874.59450231482</v>
      </c>
      <c r="C625" s="1" t="n">
        <v>45999</v>
      </c>
      <c r="D625" t="inlineStr">
        <is>
          <t>VÄSTERBOTTENS LÄN</t>
        </is>
      </c>
      <c r="E625" t="inlineStr">
        <is>
          <t>VILHELMINA</t>
        </is>
      </c>
      <c r="F625" t="inlineStr">
        <is>
          <t>SCA</t>
        </is>
      </c>
      <c r="G625" t="n">
        <v>17.4</v>
      </c>
      <c r="H625" t="n">
        <v>0</v>
      </c>
      <c r="I625" t="n">
        <v>0</v>
      </c>
      <c r="J625" t="n">
        <v>0</v>
      </c>
      <c r="K625" t="n">
        <v>0</v>
      </c>
      <c r="L625" t="n">
        <v>0</v>
      </c>
      <c r="M625" t="n">
        <v>0</v>
      </c>
      <c r="N625" t="n">
        <v>0</v>
      </c>
      <c r="O625" t="n">
        <v>0</v>
      </c>
      <c r="P625" t="n">
        <v>0</v>
      </c>
      <c r="Q625" t="n">
        <v>0</v>
      </c>
      <c r="R625" s="2" t="inlineStr"/>
    </row>
    <row r="626" ht="15" customHeight="1">
      <c r="A626" t="inlineStr">
        <is>
          <t>A 59030-2022</t>
        </is>
      </c>
      <c r="B626" s="1" t="n">
        <v>44903</v>
      </c>
      <c r="C626" s="1" t="n">
        <v>45999</v>
      </c>
      <c r="D626" t="inlineStr">
        <is>
          <t>VÄSTERBOTTENS LÄN</t>
        </is>
      </c>
      <c r="E626" t="inlineStr">
        <is>
          <t>VILHELMINA</t>
        </is>
      </c>
      <c r="G626" t="n">
        <v>17.8</v>
      </c>
      <c r="H626" t="n">
        <v>0</v>
      </c>
      <c r="I626" t="n">
        <v>0</v>
      </c>
      <c r="J626" t="n">
        <v>0</v>
      </c>
      <c r="K626" t="n">
        <v>0</v>
      </c>
      <c r="L626" t="n">
        <v>0</v>
      </c>
      <c r="M626" t="n">
        <v>0</v>
      </c>
      <c r="N626" t="n">
        <v>0</v>
      </c>
      <c r="O626" t="n">
        <v>0</v>
      </c>
      <c r="P626" t="n">
        <v>0</v>
      </c>
      <c r="Q626" t="n">
        <v>0</v>
      </c>
      <c r="R626" s="2" t="inlineStr"/>
    </row>
    <row r="627" ht="15" customHeight="1">
      <c r="A627" t="inlineStr">
        <is>
          <t>A 37015-2025</t>
        </is>
      </c>
      <c r="B627" s="1" t="n">
        <v>45874.71912037037</v>
      </c>
      <c r="C627" s="1" t="n">
        <v>45999</v>
      </c>
      <c r="D627" t="inlineStr">
        <is>
          <t>VÄSTERBOTTENS LÄN</t>
        </is>
      </c>
      <c r="E627" t="inlineStr">
        <is>
          <t>VILHELMINA</t>
        </is>
      </c>
      <c r="F627" t="inlineStr">
        <is>
          <t>SCA</t>
        </is>
      </c>
      <c r="G627" t="n">
        <v>7.9</v>
      </c>
      <c r="H627" t="n">
        <v>0</v>
      </c>
      <c r="I627" t="n">
        <v>0</v>
      </c>
      <c r="J627" t="n">
        <v>0</v>
      </c>
      <c r="K627" t="n">
        <v>0</v>
      </c>
      <c r="L627" t="n">
        <v>0</v>
      </c>
      <c r="M627" t="n">
        <v>0</v>
      </c>
      <c r="N627" t="n">
        <v>0</v>
      </c>
      <c r="O627" t="n">
        <v>0</v>
      </c>
      <c r="P627" t="n">
        <v>0</v>
      </c>
      <c r="Q627" t="n">
        <v>0</v>
      </c>
      <c r="R627" s="2" t="inlineStr"/>
    </row>
    <row r="628" ht="15" customHeight="1">
      <c r="A628" t="inlineStr">
        <is>
          <t>A 37302-2025</t>
        </is>
      </c>
      <c r="B628" s="1" t="n">
        <v>45876</v>
      </c>
      <c r="C628" s="1" t="n">
        <v>45999</v>
      </c>
      <c r="D628" t="inlineStr">
        <is>
          <t>VÄSTERBOTTENS LÄN</t>
        </is>
      </c>
      <c r="E628" t="inlineStr">
        <is>
          <t>VILHELMINA</t>
        </is>
      </c>
      <c r="F628" t="inlineStr">
        <is>
          <t>SCA</t>
        </is>
      </c>
      <c r="G628" t="n">
        <v>7.6</v>
      </c>
      <c r="H628" t="n">
        <v>0</v>
      </c>
      <c r="I628" t="n">
        <v>0</v>
      </c>
      <c r="J628" t="n">
        <v>0</v>
      </c>
      <c r="K628" t="n">
        <v>0</v>
      </c>
      <c r="L628" t="n">
        <v>0</v>
      </c>
      <c r="M628" t="n">
        <v>0</v>
      </c>
      <c r="N628" t="n">
        <v>0</v>
      </c>
      <c r="O628" t="n">
        <v>0</v>
      </c>
      <c r="P628" t="n">
        <v>0</v>
      </c>
      <c r="Q628" t="n">
        <v>0</v>
      </c>
      <c r="R628" s="2" t="inlineStr"/>
    </row>
    <row r="629" ht="15" customHeight="1">
      <c r="A629" t="inlineStr">
        <is>
          <t>A 38430-2025</t>
        </is>
      </c>
      <c r="B629" s="1" t="n">
        <v>45883.6364699074</v>
      </c>
      <c r="C629" s="1" t="n">
        <v>45999</v>
      </c>
      <c r="D629" t="inlineStr">
        <is>
          <t>VÄSTERBOTTENS LÄN</t>
        </is>
      </c>
      <c r="E629" t="inlineStr">
        <is>
          <t>VILHELMINA</t>
        </is>
      </c>
      <c r="G629" t="n">
        <v>36.7</v>
      </c>
      <c r="H629" t="n">
        <v>0</v>
      </c>
      <c r="I629" t="n">
        <v>0</v>
      </c>
      <c r="J629" t="n">
        <v>0</v>
      </c>
      <c r="K629" t="n">
        <v>0</v>
      </c>
      <c r="L629" t="n">
        <v>0</v>
      </c>
      <c r="M629" t="n">
        <v>0</v>
      </c>
      <c r="N629" t="n">
        <v>0</v>
      </c>
      <c r="O629" t="n">
        <v>0</v>
      </c>
      <c r="P629" t="n">
        <v>0</v>
      </c>
      <c r="Q629" t="n">
        <v>0</v>
      </c>
      <c r="R629" s="2" t="inlineStr"/>
    </row>
    <row r="630" ht="15" customHeight="1">
      <c r="A630" t="inlineStr">
        <is>
          <t>A 37269-2025</t>
        </is>
      </c>
      <c r="B630" s="1" t="n">
        <v>45876</v>
      </c>
      <c r="C630" s="1" t="n">
        <v>45999</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33318-2024</t>
        </is>
      </c>
      <c r="B631" s="1" t="n">
        <v>45518.97211805556</v>
      </c>
      <c r="C631" s="1" t="n">
        <v>45999</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33321-2024</t>
        </is>
      </c>
      <c r="B632" s="1" t="n">
        <v>45518.97256944444</v>
      </c>
      <c r="C632" s="1" t="n">
        <v>45999</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15884-2025</t>
        </is>
      </c>
      <c r="B633" s="1" t="n">
        <v>45749</v>
      </c>
      <c r="C633" s="1" t="n">
        <v>45999</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38580-2025</t>
        </is>
      </c>
      <c r="B634" s="1" t="n">
        <v>45884.46951388889</v>
      </c>
      <c r="C634" s="1" t="n">
        <v>45999</v>
      </c>
      <c r="D634" t="inlineStr">
        <is>
          <t>VÄSTERBOTTENS LÄN</t>
        </is>
      </c>
      <c r="E634" t="inlineStr">
        <is>
          <t>VILHELMINA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62630-2022</t>
        </is>
      </c>
      <c r="B635" s="1" t="n">
        <v>44917</v>
      </c>
      <c r="C635" s="1" t="n">
        <v>45999</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38427-2025</t>
        </is>
      </c>
      <c r="B636" s="1" t="n">
        <v>45883.63611111111</v>
      </c>
      <c r="C636" s="1" t="n">
        <v>45999</v>
      </c>
      <c r="D636" t="inlineStr">
        <is>
          <t>VÄSTERBOTTENS LÄN</t>
        </is>
      </c>
      <c r="E636" t="inlineStr">
        <is>
          <t>VILHELMINA</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38429-2025</t>
        </is>
      </c>
      <c r="B637" s="1" t="n">
        <v>45883.63638888889</v>
      </c>
      <c r="C637" s="1" t="n">
        <v>45999</v>
      </c>
      <c r="D637" t="inlineStr">
        <is>
          <t>VÄSTERBOTTENS LÄN</t>
        </is>
      </c>
      <c r="E637" t="inlineStr">
        <is>
          <t>VILHELMINA</t>
        </is>
      </c>
      <c r="G637" t="n">
        <v>5.5</v>
      </c>
      <c r="H637" t="n">
        <v>0</v>
      </c>
      <c r="I637" t="n">
        <v>0</v>
      </c>
      <c r="J637" t="n">
        <v>0</v>
      </c>
      <c r="K637" t="n">
        <v>0</v>
      </c>
      <c r="L637" t="n">
        <v>0</v>
      </c>
      <c r="M637" t="n">
        <v>0</v>
      </c>
      <c r="N637" t="n">
        <v>0</v>
      </c>
      <c r="O637" t="n">
        <v>0</v>
      </c>
      <c r="P637" t="n">
        <v>0</v>
      </c>
      <c r="Q637" t="n">
        <v>0</v>
      </c>
      <c r="R637" s="2" t="inlineStr"/>
    </row>
    <row r="638" ht="15" customHeight="1">
      <c r="A638" t="inlineStr">
        <is>
          <t>A 37369-2025</t>
        </is>
      </c>
      <c r="B638" s="1" t="n">
        <v>45877.34444444445</v>
      </c>
      <c r="C638" s="1" t="n">
        <v>45999</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47440-2024</t>
        </is>
      </c>
      <c r="B639" s="1" t="n">
        <v>45587</v>
      </c>
      <c r="C639" s="1" t="n">
        <v>45999</v>
      </c>
      <c r="D639" t="inlineStr">
        <is>
          <t>VÄSTERBOTTENS LÄN</t>
        </is>
      </c>
      <c r="E639" t="inlineStr">
        <is>
          <t>VILHELMINA</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48088-2024</t>
        </is>
      </c>
      <c r="B640" s="1" t="n">
        <v>45589</v>
      </c>
      <c r="C640" s="1" t="n">
        <v>45999</v>
      </c>
      <c r="D640" t="inlineStr">
        <is>
          <t>VÄSTERBOTTENS LÄN</t>
        </is>
      </c>
      <c r="E640" t="inlineStr">
        <is>
          <t>VILHELMINA</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37376-2025</t>
        </is>
      </c>
      <c r="B641" s="1" t="n">
        <v>45877.36513888889</v>
      </c>
      <c r="C641" s="1" t="n">
        <v>45999</v>
      </c>
      <c r="D641" t="inlineStr">
        <is>
          <t>VÄSTERBOTTENS LÄN</t>
        </is>
      </c>
      <c r="E641" t="inlineStr">
        <is>
          <t>VILHELMINA</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38540-2025</t>
        </is>
      </c>
      <c r="B642" s="1" t="n">
        <v>45884.42768518518</v>
      </c>
      <c r="C642" s="1" t="n">
        <v>45999</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38543-2025</t>
        </is>
      </c>
      <c r="B643" s="1" t="n">
        <v>45884.42813657408</v>
      </c>
      <c r="C643" s="1" t="n">
        <v>45999</v>
      </c>
      <c r="D643" t="inlineStr">
        <is>
          <t>VÄSTERBOTTENS LÄN</t>
        </is>
      </c>
      <c r="E643" t="inlineStr">
        <is>
          <t>VILHELMINA</t>
        </is>
      </c>
      <c r="G643" t="n">
        <v>2.4</v>
      </c>
      <c r="H643" t="n">
        <v>0</v>
      </c>
      <c r="I643" t="n">
        <v>0</v>
      </c>
      <c r="J643" t="n">
        <v>0</v>
      </c>
      <c r="K643" t="n">
        <v>0</v>
      </c>
      <c r="L643" t="n">
        <v>0</v>
      </c>
      <c r="M643" t="n">
        <v>0</v>
      </c>
      <c r="N643" t="n">
        <v>0</v>
      </c>
      <c r="O643" t="n">
        <v>0</v>
      </c>
      <c r="P643" t="n">
        <v>0</v>
      </c>
      <c r="Q643" t="n">
        <v>0</v>
      </c>
      <c r="R643" s="2" t="inlineStr"/>
    </row>
    <row r="644" ht="15" customHeight="1">
      <c r="A644" t="inlineStr">
        <is>
          <t>A 58505-2024</t>
        </is>
      </c>
      <c r="B644" s="1" t="n">
        <v>45635</v>
      </c>
      <c r="C644" s="1" t="n">
        <v>45999</v>
      </c>
      <c r="D644" t="inlineStr">
        <is>
          <t>VÄSTERBOTTENS LÄN</t>
        </is>
      </c>
      <c r="E644" t="inlineStr">
        <is>
          <t>VILHELMINA</t>
        </is>
      </c>
      <c r="G644" t="n">
        <v>2.9</v>
      </c>
      <c r="H644" t="n">
        <v>0</v>
      </c>
      <c r="I644" t="n">
        <v>0</v>
      </c>
      <c r="J644" t="n">
        <v>0</v>
      </c>
      <c r="K644" t="n">
        <v>0</v>
      </c>
      <c r="L644" t="n">
        <v>0</v>
      </c>
      <c r="M644" t="n">
        <v>0</v>
      </c>
      <c r="N644" t="n">
        <v>0</v>
      </c>
      <c r="O644" t="n">
        <v>0</v>
      </c>
      <c r="P644" t="n">
        <v>0</v>
      </c>
      <c r="Q644" t="n">
        <v>0</v>
      </c>
      <c r="R644" s="2" t="inlineStr"/>
    </row>
    <row r="645" ht="15" customHeight="1">
      <c r="A645" t="inlineStr">
        <is>
          <t>A 37368-2025</t>
        </is>
      </c>
      <c r="B645" s="1" t="n">
        <v>45877.34436342592</v>
      </c>
      <c r="C645" s="1" t="n">
        <v>45999</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39035-2024</t>
        </is>
      </c>
      <c r="B646" s="1" t="n">
        <v>45548.46918981482</v>
      </c>
      <c r="C646" s="1" t="n">
        <v>45999</v>
      </c>
      <c r="D646" t="inlineStr">
        <is>
          <t>VÄSTERBOTTENS LÄN</t>
        </is>
      </c>
      <c r="E646" t="inlineStr">
        <is>
          <t>VILHELMINA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47548-2024</t>
        </is>
      </c>
      <c r="B647" s="1" t="n">
        <v>45587</v>
      </c>
      <c r="C647" s="1" t="n">
        <v>45999</v>
      </c>
      <c r="D647" t="inlineStr">
        <is>
          <t>VÄSTERBOTTENS LÄN</t>
        </is>
      </c>
      <c r="E647" t="inlineStr">
        <is>
          <t>VILHELMINA</t>
        </is>
      </c>
      <c r="F647" t="inlineStr">
        <is>
          <t>SCA</t>
        </is>
      </c>
      <c r="G647" t="n">
        <v>7.7</v>
      </c>
      <c r="H647" t="n">
        <v>0</v>
      </c>
      <c r="I647" t="n">
        <v>0</v>
      </c>
      <c r="J647" t="n">
        <v>0</v>
      </c>
      <c r="K647" t="n">
        <v>0</v>
      </c>
      <c r="L647" t="n">
        <v>0</v>
      </c>
      <c r="M647" t="n">
        <v>0</v>
      </c>
      <c r="N647" t="n">
        <v>0</v>
      </c>
      <c r="O647" t="n">
        <v>0</v>
      </c>
      <c r="P647" t="n">
        <v>0</v>
      </c>
      <c r="Q647" t="n">
        <v>0</v>
      </c>
      <c r="R647" s="2" t="inlineStr"/>
    </row>
    <row r="648" ht="15" customHeight="1">
      <c r="A648" t="inlineStr">
        <is>
          <t>A 23459-2025</t>
        </is>
      </c>
      <c r="B648" s="1" t="n">
        <v>45792</v>
      </c>
      <c r="C648" s="1" t="n">
        <v>45999</v>
      </c>
      <c r="D648" t="inlineStr">
        <is>
          <t>VÄSTERBOTTENS LÄN</t>
        </is>
      </c>
      <c r="E648" t="inlineStr">
        <is>
          <t>VILHELMINA</t>
        </is>
      </c>
      <c r="F648" t="inlineStr">
        <is>
          <t>SCA</t>
        </is>
      </c>
      <c r="G648" t="n">
        <v>7.4</v>
      </c>
      <c r="H648" t="n">
        <v>0</v>
      </c>
      <c r="I648" t="n">
        <v>0</v>
      </c>
      <c r="J648" t="n">
        <v>0</v>
      </c>
      <c r="K648" t="n">
        <v>0</v>
      </c>
      <c r="L648" t="n">
        <v>0</v>
      </c>
      <c r="M648" t="n">
        <v>0</v>
      </c>
      <c r="N648" t="n">
        <v>0</v>
      </c>
      <c r="O648" t="n">
        <v>0</v>
      </c>
      <c r="P648" t="n">
        <v>0</v>
      </c>
      <c r="Q648" t="n">
        <v>0</v>
      </c>
      <c r="R648" s="2" t="inlineStr"/>
    </row>
    <row r="649" ht="15" customHeight="1">
      <c r="A649" t="inlineStr">
        <is>
          <t>A 23461-2025</t>
        </is>
      </c>
      <c r="B649" s="1" t="n">
        <v>45792</v>
      </c>
      <c r="C649" s="1" t="n">
        <v>45999</v>
      </c>
      <c r="D649" t="inlineStr">
        <is>
          <t>VÄSTERBOTTENS LÄN</t>
        </is>
      </c>
      <c r="E649" t="inlineStr">
        <is>
          <t>VILHELMINA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23281-2025</t>
        </is>
      </c>
      <c r="B650" s="1" t="n">
        <v>45791.57324074074</v>
      </c>
      <c r="C650" s="1" t="n">
        <v>45999</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16626-2024</t>
        </is>
      </c>
      <c r="B651" s="1" t="n">
        <v>45408</v>
      </c>
      <c r="C651" s="1" t="n">
        <v>45999</v>
      </c>
      <c r="D651" t="inlineStr">
        <is>
          <t>VÄSTERBOTTENS LÄN</t>
        </is>
      </c>
      <c r="E651" t="inlineStr">
        <is>
          <t>VILHELMINA</t>
        </is>
      </c>
      <c r="G651" t="n">
        <v>15.5</v>
      </c>
      <c r="H651" t="n">
        <v>0</v>
      </c>
      <c r="I651" t="n">
        <v>0</v>
      </c>
      <c r="J651" t="n">
        <v>0</v>
      </c>
      <c r="K651" t="n">
        <v>0</v>
      </c>
      <c r="L651" t="n">
        <v>0</v>
      </c>
      <c r="M651" t="n">
        <v>0</v>
      </c>
      <c r="N651" t="n">
        <v>0</v>
      </c>
      <c r="O651" t="n">
        <v>0</v>
      </c>
      <c r="P651" t="n">
        <v>0</v>
      </c>
      <c r="Q651" t="n">
        <v>0</v>
      </c>
      <c r="R651" s="2" t="inlineStr"/>
    </row>
    <row r="652" ht="15" customHeight="1">
      <c r="A652" t="inlineStr">
        <is>
          <t>A 22108-2024</t>
        </is>
      </c>
      <c r="B652" s="1" t="n">
        <v>45443</v>
      </c>
      <c r="C652" s="1" t="n">
        <v>45999</v>
      </c>
      <c r="D652" t="inlineStr">
        <is>
          <t>VÄSTERBOTTENS LÄN</t>
        </is>
      </c>
      <c r="E652" t="inlineStr">
        <is>
          <t>VILHELMINA</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39138-2025</t>
        </is>
      </c>
      <c r="B653" s="1" t="n">
        <v>45888.59435185185</v>
      </c>
      <c r="C653" s="1" t="n">
        <v>45999</v>
      </c>
      <c r="D653" t="inlineStr">
        <is>
          <t>VÄSTERBOTTENS LÄN</t>
        </is>
      </c>
      <c r="E653" t="inlineStr">
        <is>
          <t>VILHELMINA</t>
        </is>
      </c>
      <c r="G653" t="n">
        <v>6.7</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45999</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47242-2024</t>
        </is>
      </c>
      <c r="B655" s="1" t="n">
        <v>45586</v>
      </c>
      <c r="C655" s="1" t="n">
        <v>45999</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55456-2025</t>
        </is>
      </c>
      <c r="B656" s="1" t="n">
        <v>45971.51086805556</v>
      </c>
      <c r="C656" s="1" t="n">
        <v>45999</v>
      </c>
      <c r="D656" t="inlineStr">
        <is>
          <t>VÄSTERBOTTENS LÄN</t>
        </is>
      </c>
      <c r="E656" t="inlineStr">
        <is>
          <t>VILHELMINA</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39320-2025</t>
        </is>
      </c>
      <c r="B657" s="1" t="n">
        <v>45889.46940972222</v>
      </c>
      <c r="C657" s="1" t="n">
        <v>45999</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39533-2025</t>
        </is>
      </c>
      <c r="B658" s="1" t="n">
        <v>45890.44863425926</v>
      </c>
      <c r="C658" s="1" t="n">
        <v>45999</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39571-2025</t>
        </is>
      </c>
      <c r="B659" s="1" t="n">
        <v>45890.49021990741</v>
      </c>
      <c r="C659" s="1" t="n">
        <v>45999</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39378-2025</t>
        </is>
      </c>
      <c r="B660" s="1" t="n">
        <v>45889.59453703704</v>
      </c>
      <c r="C660" s="1" t="n">
        <v>45999</v>
      </c>
      <c r="D660" t="inlineStr">
        <is>
          <t>VÄSTERBOTTENS LÄN</t>
        </is>
      </c>
      <c r="E660" t="inlineStr">
        <is>
          <t>VILHELMINA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5435-2024</t>
        </is>
      </c>
      <c r="B661" s="1" t="n">
        <v>45331</v>
      </c>
      <c r="C661" s="1" t="n">
        <v>45999</v>
      </c>
      <c r="D661" t="inlineStr">
        <is>
          <t>VÄSTERBOTTENS LÄN</t>
        </is>
      </c>
      <c r="E661" t="inlineStr">
        <is>
          <t>VILHELMINA</t>
        </is>
      </c>
      <c r="G661" t="n">
        <v>6</v>
      </c>
      <c r="H661" t="n">
        <v>0</v>
      </c>
      <c r="I661" t="n">
        <v>0</v>
      </c>
      <c r="J661" t="n">
        <v>0</v>
      </c>
      <c r="K661" t="n">
        <v>0</v>
      </c>
      <c r="L661" t="n">
        <v>0</v>
      </c>
      <c r="M661" t="n">
        <v>0</v>
      </c>
      <c r="N661" t="n">
        <v>0</v>
      </c>
      <c r="O661" t="n">
        <v>0</v>
      </c>
      <c r="P661" t="n">
        <v>0</v>
      </c>
      <c r="Q661" t="n">
        <v>0</v>
      </c>
      <c r="R661" s="2" t="inlineStr"/>
    </row>
    <row r="662" ht="15" customHeight="1">
      <c r="A662" t="inlineStr">
        <is>
          <t>A 55634-2025</t>
        </is>
      </c>
      <c r="B662" s="1" t="n">
        <v>45972.34466435185</v>
      </c>
      <c r="C662" s="1" t="n">
        <v>45999</v>
      </c>
      <c r="D662" t="inlineStr">
        <is>
          <t>VÄSTERBOTTENS LÄN</t>
        </is>
      </c>
      <c r="E662" t="inlineStr">
        <is>
          <t>VILHELMINA</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39534-2025</t>
        </is>
      </c>
      <c r="B663" s="1" t="n">
        <v>45890.44875</v>
      </c>
      <c r="C663" s="1" t="n">
        <v>45999</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47035-2025</t>
        </is>
      </c>
      <c r="B664" s="1" t="n">
        <v>45929.59428240741</v>
      </c>
      <c r="C664" s="1" t="n">
        <v>45999</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39558-2025</t>
        </is>
      </c>
      <c r="B665" s="1" t="n">
        <v>45890.46978009259</v>
      </c>
      <c r="C665" s="1" t="n">
        <v>45999</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40196-2025</t>
        </is>
      </c>
      <c r="B666" s="1" t="n">
        <v>45894.65951388889</v>
      </c>
      <c r="C666" s="1" t="n">
        <v>45999</v>
      </c>
      <c r="D666" t="inlineStr">
        <is>
          <t>VÄSTERBOTTENS LÄN</t>
        </is>
      </c>
      <c r="E666" t="inlineStr">
        <is>
          <t>VILHELMINA</t>
        </is>
      </c>
      <c r="G666" t="n">
        <v>23.3</v>
      </c>
      <c r="H666" t="n">
        <v>0</v>
      </c>
      <c r="I666" t="n">
        <v>0</v>
      </c>
      <c r="J666" t="n">
        <v>0</v>
      </c>
      <c r="K666" t="n">
        <v>0</v>
      </c>
      <c r="L666" t="n">
        <v>0</v>
      </c>
      <c r="M666" t="n">
        <v>0</v>
      </c>
      <c r="N666" t="n">
        <v>0</v>
      </c>
      <c r="O666" t="n">
        <v>0</v>
      </c>
      <c r="P666" t="n">
        <v>0</v>
      </c>
      <c r="Q666" t="n">
        <v>0</v>
      </c>
      <c r="R666" s="2" t="inlineStr"/>
    </row>
    <row r="667" ht="15" customHeight="1">
      <c r="A667" t="inlineStr">
        <is>
          <t>A 40220-2025</t>
        </is>
      </c>
      <c r="B667" s="1" t="n">
        <v>45894</v>
      </c>
      <c r="C667" s="1" t="n">
        <v>45999</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46970-2025</t>
        </is>
      </c>
      <c r="B668" s="1" t="n">
        <v>45929.50732638889</v>
      </c>
      <c r="C668" s="1" t="n">
        <v>45999</v>
      </c>
      <c r="D668" t="inlineStr">
        <is>
          <t>VÄSTERBOTTENS LÄN</t>
        </is>
      </c>
      <c r="E668" t="inlineStr">
        <is>
          <t>VILHELMINA</t>
        </is>
      </c>
      <c r="G668" t="n">
        <v>6.4</v>
      </c>
      <c r="H668" t="n">
        <v>0</v>
      </c>
      <c r="I668" t="n">
        <v>0</v>
      </c>
      <c r="J668" t="n">
        <v>0</v>
      </c>
      <c r="K668" t="n">
        <v>0</v>
      </c>
      <c r="L668" t="n">
        <v>0</v>
      </c>
      <c r="M668" t="n">
        <v>0</v>
      </c>
      <c r="N668" t="n">
        <v>0</v>
      </c>
      <c r="O668" t="n">
        <v>0</v>
      </c>
      <c r="P668" t="n">
        <v>0</v>
      </c>
      <c r="Q668" t="n">
        <v>0</v>
      </c>
      <c r="R668" s="2" t="inlineStr"/>
    </row>
    <row r="669" ht="15" customHeight="1">
      <c r="A669" t="inlineStr">
        <is>
          <t>A 40144-2025</t>
        </is>
      </c>
      <c r="B669" s="1" t="n">
        <v>45894.57322916666</v>
      </c>
      <c r="C669" s="1" t="n">
        <v>45999</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46934-2025</t>
        </is>
      </c>
      <c r="B670" s="1" t="n">
        <v>45929</v>
      </c>
      <c r="C670" s="1" t="n">
        <v>45999</v>
      </c>
      <c r="D670" t="inlineStr">
        <is>
          <t>VÄSTERBOTTENS LÄN</t>
        </is>
      </c>
      <c r="E670" t="inlineStr">
        <is>
          <t>VILHELMINA</t>
        </is>
      </c>
      <c r="F670" t="inlineStr">
        <is>
          <t>SCA</t>
        </is>
      </c>
      <c r="G670" t="n">
        <v>20</v>
      </c>
      <c r="H670" t="n">
        <v>0</v>
      </c>
      <c r="I670" t="n">
        <v>0</v>
      </c>
      <c r="J670" t="n">
        <v>0</v>
      </c>
      <c r="K670" t="n">
        <v>0</v>
      </c>
      <c r="L670" t="n">
        <v>0</v>
      </c>
      <c r="M670" t="n">
        <v>0</v>
      </c>
      <c r="N670" t="n">
        <v>0</v>
      </c>
      <c r="O670" t="n">
        <v>0</v>
      </c>
      <c r="P670" t="n">
        <v>0</v>
      </c>
      <c r="Q670" t="n">
        <v>0</v>
      </c>
      <c r="R670" s="2" t="inlineStr"/>
    </row>
    <row r="671" ht="15" customHeight="1">
      <c r="A671" t="inlineStr">
        <is>
          <t>A 52815-2025</t>
        </is>
      </c>
      <c r="B671" s="1" t="n">
        <v>45957</v>
      </c>
      <c r="C671" s="1" t="n">
        <v>45999</v>
      </c>
      <c r="D671" t="inlineStr">
        <is>
          <t>VÄSTERBOTTENS LÄN</t>
        </is>
      </c>
      <c r="E671" t="inlineStr">
        <is>
          <t>VILHELMINA</t>
        </is>
      </c>
      <c r="G671" t="n">
        <v>2.3</v>
      </c>
      <c r="H671" t="n">
        <v>0</v>
      </c>
      <c r="I671" t="n">
        <v>0</v>
      </c>
      <c r="J671" t="n">
        <v>0</v>
      </c>
      <c r="K671" t="n">
        <v>0</v>
      </c>
      <c r="L671" t="n">
        <v>0</v>
      </c>
      <c r="M671" t="n">
        <v>0</v>
      </c>
      <c r="N671" t="n">
        <v>0</v>
      </c>
      <c r="O671" t="n">
        <v>0</v>
      </c>
      <c r="P671" t="n">
        <v>0</v>
      </c>
      <c r="Q671" t="n">
        <v>0</v>
      </c>
      <c r="R671" s="2" t="inlineStr"/>
    </row>
    <row r="672" ht="15" customHeight="1">
      <c r="A672" t="inlineStr">
        <is>
          <t>A 52816-2025</t>
        </is>
      </c>
      <c r="B672" s="1" t="n">
        <v>45957</v>
      </c>
      <c r="C672" s="1" t="n">
        <v>45999</v>
      </c>
      <c r="D672" t="inlineStr">
        <is>
          <t>VÄSTERBOTTENS LÄN</t>
        </is>
      </c>
      <c r="E672" t="inlineStr">
        <is>
          <t>VILHELMINA</t>
        </is>
      </c>
      <c r="G672" t="n">
        <v>4.9</v>
      </c>
      <c r="H672" t="n">
        <v>0</v>
      </c>
      <c r="I672" t="n">
        <v>0</v>
      </c>
      <c r="J672" t="n">
        <v>0</v>
      </c>
      <c r="K672" t="n">
        <v>0</v>
      </c>
      <c r="L672" t="n">
        <v>0</v>
      </c>
      <c r="M672" t="n">
        <v>0</v>
      </c>
      <c r="N672" t="n">
        <v>0</v>
      </c>
      <c r="O672" t="n">
        <v>0</v>
      </c>
      <c r="P672" t="n">
        <v>0</v>
      </c>
      <c r="Q672" t="n">
        <v>0</v>
      </c>
      <c r="R672" s="2" t="inlineStr"/>
    </row>
    <row r="673" ht="15" customHeight="1">
      <c r="A673" t="inlineStr">
        <is>
          <t>A 52827-2025</t>
        </is>
      </c>
      <c r="B673" s="1" t="n">
        <v>45957</v>
      </c>
      <c r="C673" s="1" t="n">
        <v>45999</v>
      </c>
      <c r="D673" t="inlineStr">
        <is>
          <t>VÄSTERBOTTENS LÄN</t>
        </is>
      </c>
      <c r="E673" t="inlineStr">
        <is>
          <t>VILHELMINA</t>
        </is>
      </c>
      <c r="G673" t="n">
        <v>6.3</v>
      </c>
      <c r="H673" t="n">
        <v>0</v>
      </c>
      <c r="I673" t="n">
        <v>0</v>
      </c>
      <c r="J673" t="n">
        <v>0</v>
      </c>
      <c r="K673" t="n">
        <v>0</v>
      </c>
      <c r="L673" t="n">
        <v>0</v>
      </c>
      <c r="M673" t="n">
        <v>0</v>
      </c>
      <c r="N673" t="n">
        <v>0</v>
      </c>
      <c r="O673" t="n">
        <v>0</v>
      </c>
      <c r="P673" t="n">
        <v>0</v>
      </c>
      <c r="Q673" t="n">
        <v>0</v>
      </c>
      <c r="R673" s="2" t="inlineStr"/>
    </row>
    <row r="674" ht="15" customHeight="1">
      <c r="A674" t="inlineStr">
        <is>
          <t>A 52830-2025</t>
        </is>
      </c>
      <c r="B674" s="1" t="n">
        <v>45957</v>
      </c>
      <c r="C674" s="1" t="n">
        <v>45999</v>
      </c>
      <c r="D674" t="inlineStr">
        <is>
          <t>VÄSTERBOTTENS LÄN</t>
        </is>
      </c>
      <c r="E674" t="inlineStr">
        <is>
          <t>VILHELMINA</t>
        </is>
      </c>
      <c r="G674" t="n">
        <v>8.6</v>
      </c>
      <c r="H674" t="n">
        <v>0</v>
      </c>
      <c r="I674" t="n">
        <v>0</v>
      </c>
      <c r="J674" t="n">
        <v>0</v>
      </c>
      <c r="K674" t="n">
        <v>0</v>
      </c>
      <c r="L674" t="n">
        <v>0</v>
      </c>
      <c r="M674" t="n">
        <v>0</v>
      </c>
      <c r="N674" t="n">
        <v>0</v>
      </c>
      <c r="O674" t="n">
        <v>0</v>
      </c>
      <c r="P674" t="n">
        <v>0</v>
      </c>
      <c r="Q674" t="n">
        <v>0</v>
      </c>
      <c r="R674" s="2" t="inlineStr"/>
    </row>
    <row r="675" ht="15" customHeight="1">
      <c r="A675" t="inlineStr">
        <is>
          <t>A 2043-2023</t>
        </is>
      </c>
      <c r="B675" s="1" t="n">
        <v>44939</v>
      </c>
      <c r="C675" s="1" t="n">
        <v>45999</v>
      </c>
      <c r="D675" t="inlineStr">
        <is>
          <t>VÄSTERBOTTENS LÄN</t>
        </is>
      </c>
      <c r="E675" t="inlineStr">
        <is>
          <t>VILHELMINA</t>
        </is>
      </c>
      <c r="F675" t="inlineStr">
        <is>
          <t>Sveaskog</t>
        </is>
      </c>
      <c r="G675" t="n">
        <v>10.5</v>
      </c>
      <c r="H675" t="n">
        <v>0</v>
      </c>
      <c r="I675" t="n">
        <v>0</v>
      </c>
      <c r="J675" t="n">
        <v>0</v>
      </c>
      <c r="K675" t="n">
        <v>0</v>
      </c>
      <c r="L675" t="n">
        <v>0</v>
      </c>
      <c r="M675" t="n">
        <v>0</v>
      </c>
      <c r="N675" t="n">
        <v>0</v>
      </c>
      <c r="O675" t="n">
        <v>0</v>
      </c>
      <c r="P675" t="n">
        <v>0</v>
      </c>
      <c r="Q675" t="n">
        <v>0</v>
      </c>
      <c r="R675" s="2" t="inlineStr"/>
    </row>
    <row r="676" ht="15" customHeight="1">
      <c r="A676" t="inlineStr">
        <is>
          <t>A 55742-2025</t>
        </is>
      </c>
      <c r="B676" s="1" t="n">
        <v>45972</v>
      </c>
      <c r="C676" s="1" t="n">
        <v>45999</v>
      </c>
      <c r="D676" t="inlineStr">
        <is>
          <t>VÄSTERBOTTENS LÄN</t>
        </is>
      </c>
      <c r="E676" t="inlineStr">
        <is>
          <t>VILHELMINA</t>
        </is>
      </c>
      <c r="G676" t="n">
        <v>36.2</v>
      </c>
      <c r="H676" t="n">
        <v>0</v>
      </c>
      <c r="I676" t="n">
        <v>0</v>
      </c>
      <c r="J676" t="n">
        <v>0</v>
      </c>
      <c r="K676" t="n">
        <v>0</v>
      </c>
      <c r="L676" t="n">
        <v>0</v>
      </c>
      <c r="M676" t="n">
        <v>0</v>
      </c>
      <c r="N676" t="n">
        <v>0</v>
      </c>
      <c r="O676" t="n">
        <v>0</v>
      </c>
      <c r="P676" t="n">
        <v>0</v>
      </c>
      <c r="Q676" t="n">
        <v>0</v>
      </c>
      <c r="R676" s="2" t="inlineStr"/>
    </row>
    <row r="677" ht="15" customHeight="1">
      <c r="A677" t="inlineStr">
        <is>
          <t>A 20846-2025</t>
        </is>
      </c>
      <c r="B677" s="1" t="n">
        <v>45777</v>
      </c>
      <c r="C677" s="1" t="n">
        <v>45999</v>
      </c>
      <c r="D677" t="inlineStr">
        <is>
          <t>VÄSTERBOTTENS LÄN</t>
        </is>
      </c>
      <c r="E677" t="inlineStr">
        <is>
          <t>VILHELMINA</t>
        </is>
      </c>
      <c r="G677" t="n">
        <v>19.1</v>
      </c>
      <c r="H677" t="n">
        <v>0</v>
      </c>
      <c r="I677" t="n">
        <v>0</v>
      </c>
      <c r="J677" t="n">
        <v>0</v>
      </c>
      <c r="K677" t="n">
        <v>0</v>
      </c>
      <c r="L677" t="n">
        <v>0</v>
      </c>
      <c r="M677" t="n">
        <v>0</v>
      </c>
      <c r="N677" t="n">
        <v>0</v>
      </c>
      <c r="O677" t="n">
        <v>0</v>
      </c>
      <c r="P677" t="n">
        <v>0</v>
      </c>
      <c r="Q677" t="n">
        <v>0</v>
      </c>
      <c r="R677" s="2" t="inlineStr"/>
    </row>
    <row r="678" ht="15" customHeight="1">
      <c r="A678" t="inlineStr">
        <is>
          <t>A 55736-2025</t>
        </is>
      </c>
      <c r="B678" s="1" t="n">
        <v>45972</v>
      </c>
      <c r="C678" s="1" t="n">
        <v>45999</v>
      </c>
      <c r="D678" t="inlineStr">
        <is>
          <t>VÄSTERBOTTENS LÄN</t>
        </is>
      </c>
      <c r="E678" t="inlineStr">
        <is>
          <t>VILHELMINA</t>
        </is>
      </c>
      <c r="G678" t="n">
        <v>22.9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45999</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45999</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45999</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52828-2025</t>
        </is>
      </c>
      <c r="B682" s="1" t="n">
        <v>45957</v>
      </c>
      <c r="C682" s="1" t="n">
        <v>45999</v>
      </c>
      <c r="D682" t="inlineStr">
        <is>
          <t>VÄSTERBOTTENS LÄN</t>
        </is>
      </c>
      <c r="E682" t="inlineStr">
        <is>
          <t>VILHELMINA</t>
        </is>
      </c>
      <c r="G682" t="n">
        <v>1.2</v>
      </c>
      <c r="H682" t="n">
        <v>0</v>
      </c>
      <c r="I682" t="n">
        <v>0</v>
      </c>
      <c r="J682" t="n">
        <v>0</v>
      </c>
      <c r="K682" t="n">
        <v>0</v>
      </c>
      <c r="L682" t="n">
        <v>0</v>
      </c>
      <c r="M682" t="n">
        <v>0</v>
      </c>
      <c r="N682" t="n">
        <v>0</v>
      </c>
      <c r="O682" t="n">
        <v>0</v>
      </c>
      <c r="P682" t="n">
        <v>0</v>
      </c>
      <c r="Q682" t="n">
        <v>0</v>
      </c>
      <c r="R682" s="2" t="inlineStr"/>
    </row>
    <row r="683" ht="15" customHeight="1">
      <c r="A683" t="inlineStr">
        <is>
          <t>A 52813-2025</t>
        </is>
      </c>
      <c r="B683" s="1" t="n">
        <v>45957</v>
      </c>
      <c r="C683" s="1" t="n">
        <v>45999</v>
      </c>
      <c r="D683" t="inlineStr">
        <is>
          <t>VÄSTERBOTTENS LÄN</t>
        </is>
      </c>
      <c r="E683" t="inlineStr">
        <is>
          <t>VILHELMINA</t>
        </is>
      </c>
      <c r="G683" t="n">
        <v>3.1</v>
      </c>
      <c r="H683" t="n">
        <v>0</v>
      </c>
      <c r="I683" t="n">
        <v>0</v>
      </c>
      <c r="J683" t="n">
        <v>0</v>
      </c>
      <c r="K683" t="n">
        <v>0</v>
      </c>
      <c r="L683" t="n">
        <v>0</v>
      </c>
      <c r="M683" t="n">
        <v>0</v>
      </c>
      <c r="N683" t="n">
        <v>0</v>
      </c>
      <c r="O683" t="n">
        <v>0</v>
      </c>
      <c r="P683" t="n">
        <v>0</v>
      </c>
      <c r="Q683" t="n">
        <v>0</v>
      </c>
      <c r="R683" s="2" t="inlineStr"/>
    </row>
    <row r="684" ht="15" customHeight="1">
      <c r="A684" t="inlineStr">
        <is>
          <t>A 52814-2025</t>
        </is>
      </c>
      <c r="B684" s="1" t="n">
        <v>45957</v>
      </c>
      <c r="C684" s="1" t="n">
        <v>45999</v>
      </c>
      <c r="D684" t="inlineStr">
        <is>
          <t>VÄSTERBOTTENS LÄN</t>
        </is>
      </c>
      <c r="E684" t="inlineStr">
        <is>
          <t>VILHELMINA</t>
        </is>
      </c>
      <c r="G684" t="n">
        <v>4.1</v>
      </c>
      <c r="H684" t="n">
        <v>0</v>
      </c>
      <c r="I684" t="n">
        <v>0</v>
      </c>
      <c r="J684" t="n">
        <v>0</v>
      </c>
      <c r="K684" t="n">
        <v>0</v>
      </c>
      <c r="L684" t="n">
        <v>0</v>
      </c>
      <c r="M684" t="n">
        <v>0</v>
      </c>
      <c r="N684" t="n">
        <v>0</v>
      </c>
      <c r="O684" t="n">
        <v>0</v>
      </c>
      <c r="P684" t="n">
        <v>0</v>
      </c>
      <c r="Q684" t="n">
        <v>0</v>
      </c>
      <c r="R684" s="2" t="inlineStr"/>
    </row>
    <row r="685" ht="15" customHeight="1">
      <c r="A685" t="inlineStr">
        <is>
          <t>A 22440-2025</t>
        </is>
      </c>
      <c r="B685" s="1" t="n">
        <v>45786</v>
      </c>
      <c r="C685" s="1" t="n">
        <v>45999</v>
      </c>
      <c r="D685" t="inlineStr">
        <is>
          <t>VÄSTERBOTTENS LÄN</t>
        </is>
      </c>
      <c r="E685" t="inlineStr">
        <is>
          <t>VILHELMINA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58934-2024</t>
        </is>
      </c>
      <c r="B686" s="1" t="n">
        <v>45636</v>
      </c>
      <c r="C686" s="1" t="n">
        <v>45999</v>
      </c>
      <c r="D686" t="inlineStr">
        <is>
          <t>VÄSTERBOTTENS LÄN</t>
        </is>
      </c>
      <c r="E686" t="inlineStr">
        <is>
          <t>VILHELMINA</t>
        </is>
      </c>
      <c r="F686" t="inlineStr">
        <is>
          <t>Allmännings- och besparingsskogar</t>
        </is>
      </c>
      <c r="G686" t="n">
        <v>45.6</v>
      </c>
      <c r="H686" t="n">
        <v>0</v>
      </c>
      <c r="I686" t="n">
        <v>0</v>
      </c>
      <c r="J686" t="n">
        <v>0</v>
      </c>
      <c r="K686" t="n">
        <v>0</v>
      </c>
      <c r="L686" t="n">
        <v>0</v>
      </c>
      <c r="M686" t="n">
        <v>0</v>
      </c>
      <c r="N686" t="n">
        <v>0</v>
      </c>
      <c r="O686" t="n">
        <v>0</v>
      </c>
      <c r="P686" t="n">
        <v>0</v>
      </c>
      <c r="Q686" t="n">
        <v>0</v>
      </c>
      <c r="R686" s="2" t="inlineStr"/>
    </row>
    <row r="687" ht="15" customHeight="1">
      <c r="A687" t="inlineStr">
        <is>
          <t>A 41171-2025</t>
        </is>
      </c>
      <c r="B687" s="1" t="n">
        <v>45898</v>
      </c>
      <c r="C687" s="1" t="n">
        <v>45999</v>
      </c>
      <c r="D687" t="inlineStr">
        <is>
          <t>VÄSTERBOTTENS LÄN</t>
        </is>
      </c>
      <c r="E687" t="inlineStr">
        <is>
          <t>VILHELMINA</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52829-2025</t>
        </is>
      </c>
      <c r="B688" s="1" t="n">
        <v>45957</v>
      </c>
      <c r="C688" s="1" t="n">
        <v>45999</v>
      </c>
      <c r="D688" t="inlineStr">
        <is>
          <t>VÄSTERBOTTENS LÄN</t>
        </is>
      </c>
      <c r="E688" t="inlineStr">
        <is>
          <t>VILHELMINA</t>
        </is>
      </c>
      <c r="G688" t="n">
        <v>4.3</v>
      </c>
      <c r="H688" t="n">
        <v>0</v>
      </c>
      <c r="I688" t="n">
        <v>0</v>
      </c>
      <c r="J688" t="n">
        <v>0</v>
      </c>
      <c r="K688" t="n">
        <v>0</v>
      </c>
      <c r="L688" t="n">
        <v>0</v>
      </c>
      <c r="M688" t="n">
        <v>0</v>
      </c>
      <c r="N688" t="n">
        <v>0</v>
      </c>
      <c r="O688" t="n">
        <v>0</v>
      </c>
      <c r="P688" t="n">
        <v>0</v>
      </c>
      <c r="Q688" t="n">
        <v>0</v>
      </c>
      <c r="R688" s="2" t="inlineStr"/>
    </row>
    <row r="689" ht="15" customHeight="1">
      <c r="A689" t="inlineStr">
        <is>
          <t>A 47589-2025</t>
        </is>
      </c>
      <c r="B689" s="1" t="n">
        <v>45931</v>
      </c>
      <c r="C689" s="1" t="n">
        <v>45999</v>
      </c>
      <c r="D689" t="inlineStr">
        <is>
          <t>VÄSTERBOTTENS LÄN</t>
        </is>
      </c>
      <c r="E689" t="inlineStr">
        <is>
          <t>VILHELMINA</t>
        </is>
      </c>
      <c r="G689" t="n">
        <v>24.8</v>
      </c>
      <c r="H689" t="n">
        <v>0</v>
      </c>
      <c r="I689" t="n">
        <v>0</v>
      </c>
      <c r="J689" t="n">
        <v>0</v>
      </c>
      <c r="K689" t="n">
        <v>0</v>
      </c>
      <c r="L689" t="n">
        <v>0</v>
      </c>
      <c r="M689" t="n">
        <v>0</v>
      </c>
      <c r="N689" t="n">
        <v>0</v>
      </c>
      <c r="O689" t="n">
        <v>0</v>
      </c>
      <c r="P689" t="n">
        <v>0</v>
      </c>
      <c r="Q689" t="n">
        <v>0</v>
      </c>
      <c r="R689" s="2" t="inlineStr"/>
    </row>
    <row r="690" ht="15" customHeight="1">
      <c r="A690" t="inlineStr">
        <is>
          <t>A 51947-2025</t>
        </is>
      </c>
      <c r="B690" s="1" t="n">
        <v>45952</v>
      </c>
      <c r="C690" s="1" t="n">
        <v>45999</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22457-2025</t>
        </is>
      </c>
      <c r="B691" s="1" t="n">
        <v>45786</v>
      </c>
      <c r="C691" s="1" t="n">
        <v>45999</v>
      </c>
      <c r="D691" t="inlineStr">
        <is>
          <t>VÄSTERBOTTENS LÄN</t>
        </is>
      </c>
      <c r="E691" t="inlineStr">
        <is>
          <t>VILHELMINA</t>
        </is>
      </c>
      <c r="G691" t="n">
        <v>10.8</v>
      </c>
      <c r="H691" t="n">
        <v>0</v>
      </c>
      <c r="I691" t="n">
        <v>0</v>
      </c>
      <c r="J691" t="n">
        <v>0</v>
      </c>
      <c r="K691" t="n">
        <v>0</v>
      </c>
      <c r="L691" t="n">
        <v>0</v>
      </c>
      <c r="M691" t="n">
        <v>0</v>
      </c>
      <c r="N691" t="n">
        <v>0</v>
      </c>
      <c r="O691" t="n">
        <v>0</v>
      </c>
      <c r="P691" t="n">
        <v>0</v>
      </c>
      <c r="Q691" t="n">
        <v>0</v>
      </c>
      <c r="R691" s="2" t="inlineStr"/>
    </row>
    <row r="692" ht="15" customHeight="1">
      <c r="A692" t="inlineStr">
        <is>
          <t>A 56396-2022</t>
        </is>
      </c>
      <c r="B692" s="1" t="n">
        <v>44890</v>
      </c>
      <c r="C692" s="1" t="n">
        <v>45999</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41704-2025</t>
        </is>
      </c>
      <c r="B693" s="1" t="n">
        <v>45902</v>
      </c>
      <c r="C693" s="1" t="n">
        <v>45999</v>
      </c>
      <c r="D693" t="inlineStr">
        <is>
          <t>VÄSTERBOTTENS LÄN</t>
        </is>
      </c>
      <c r="E693" t="inlineStr">
        <is>
          <t>VILHELMINA</t>
        </is>
      </c>
      <c r="G693" t="n">
        <v>3.3</v>
      </c>
      <c r="H693" t="n">
        <v>0</v>
      </c>
      <c r="I693" t="n">
        <v>0</v>
      </c>
      <c r="J693" t="n">
        <v>0</v>
      </c>
      <c r="K693" t="n">
        <v>0</v>
      </c>
      <c r="L693" t="n">
        <v>0</v>
      </c>
      <c r="M693" t="n">
        <v>0</v>
      </c>
      <c r="N693" t="n">
        <v>0</v>
      </c>
      <c r="O693" t="n">
        <v>0</v>
      </c>
      <c r="P693" t="n">
        <v>0</v>
      </c>
      <c r="Q693" t="n">
        <v>0</v>
      </c>
      <c r="R693" s="2" t="inlineStr"/>
    </row>
    <row r="694" ht="15" customHeight="1">
      <c r="A694" t="inlineStr">
        <is>
          <t>A 42360-2025</t>
        </is>
      </c>
      <c r="B694" s="1" t="n">
        <v>45904</v>
      </c>
      <c r="C694" s="1" t="n">
        <v>45999</v>
      </c>
      <c r="D694" t="inlineStr">
        <is>
          <t>VÄSTERBOTTENS LÄN</t>
        </is>
      </c>
      <c r="E694" t="inlineStr">
        <is>
          <t>VILHELMINA</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42382-2025</t>
        </is>
      </c>
      <c r="B695" s="1" t="n">
        <v>45904</v>
      </c>
      <c r="C695" s="1" t="n">
        <v>45999</v>
      </c>
      <c r="D695" t="inlineStr">
        <is>
          <t>VÄSTERBOTTENS LÄN</t>
        </is>
      </c>
      <c r="E695" t="inlineStr">
        <is>
          <t>VILHELMINA</t>
        </is>
      </c>
      <c r="F695" t="inlineStr">
        <is>
          <t>Övriga Aktiebolag</t>
        </is>
      </c>
      <c r="G695" t="n">
        <v>6.2</v>
      </c>
      <c r="H695" t="n">
        <v>0</v>
      </c>
      <c r="I695" t="n">
        <v>0</v>
      </c>
      <c r="J695" t="n">
        <v>0</v>
      </c>
      <c r="K695" t="n">
        <v>0</v>
      </c>
      <c r="L695" t="n">
        <v>0</v>
      </c>
      <c r="M695" t="n">
        <v>0</v>
      </c>
      <c r="N695" t="n">
        <v>0</v>
      </c>
      <c r="O695" t="n">
        <v>0</v>
      </c>
      <c r="P695" t="n">
        <v>0</v>
      </c>
      <c r="Q695" t="n">
        <v>0</v>
      </c>
      <c r="R695" s="2" t="inlineStr"/>
    </row>
    <row r="696" ht="15" customHeight="1">
      <c r="A696" t="inlineStr">
        <is>
          <t>A 48651-2025</t>
        </is>
      </c>
      <c r="B696" s="1" t="n">
        <v>45936.55251157407</v>
      </c>
      <c r="C696" s="1" t="n">
        <v>45999</v>
      </c>
      <c r="D696" t="inlineStr">
        <is>
          <t>VÄSTERBOTTENS LÄN</t>
        </is>
      </c>
      <c r="E696" t="inlineStr">
        <is>
          <t>VILHELMINA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61778-2023</t>
        </is>
      </c>
      <c r="B697" s="1" t="n">
        <v>45265.95667824074</v>
      </c>
      <c r="C697" s="1" t="n">
        <v>45999</v>
      </c>
      <c r="D697" t="inlineStr">
        <is>
          <t>VÄSTERBOTTENS LÄN</t>
        </is>
      </c>
      <c r="E697" t="inlineStr">
        <is>
          <t>VILHELMINA</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12990-2025</t>
        </is>
      </c>
      <c r="B698" s="1" t="n">
        <v>45734</v>
      </c>
      <c r="C698" s="1" t="n">
        <v>45999</v>
      </c>
      <c r="D698" t="inlineStr">
        <is>
          <t>VÄSTERBOTTENS LÄN</t>
        </is>
      </c>
      <c r="E698" t="inlineStr">
        <is>
          <t>VILHELMINA</t>
        </is>
      </c>
      <c r="G698" t="n">
        <v>11.2</v>
      </c>
      <c r="H698" t="n">
        <v>0</v>
      </c>
      <c r="I698" t="n">
        <v>0</v>
      </c>
      <c r="J698" t="n">
        <v>0</v>
      </c>
      <c r="K698" t="n">
        <v>0</v>
      </c>
      <c r="L698" t="n">
        <v>0</v>
      </c>
      <c r="M698" t="n">
        <v>0</v>
      </c>
      <c r="N698" t="n">
        <v>0</v>
      </c>
      <c r="O698" t="n">
        <v>0</v>
      </c>
      <c r="P698" t="n">
        <v>0</v>
      </c>
      <c r="Q698" t="n">
        <v>0</v>
      </c>
      <c r="R698" s="2" t="inlineStr"/>
    </row>
    <row r="699" ht="15" customHeight="1">
      <c r="A699" t="inlineStr">
        <is>
          <t>A 23415-2025</t>
        </is>
      </c>
      <c r="B699" s="1" t="n">
        <v>45792.34643518519</v>
      </c>
      <c r="C699" s="1" t="n">
        <v>45999</v>
      </c>
      <c r="D699" t="inlineStr">
        <is>
          <t>VÄSTERBOTTENS LÄN</t>
        </is>
      </c>
      <c r="E699" t="inlineStr">
        <is>
          <t>VILHELMINA</t>
        </is>
      </c>
      <c r="F699" t="inlineStr">
        <is>
          <t>SCA</t>
        </is>
      </c>
      <c r="G699" t="n">
        <v>36.9</v>
      </c>
      <c r="H699" t="n">
        <v>0</v>
      </c>
      <c r="I699" t="n">
        <v>0</v>
      </c>
      <c r="J699" t="n">
        <v>0</v>
      </c>
      <c r="K699" t="n">
        <v>0</v>
      </c>
      <c r="L699" t="n">
        <v>0</v>
      </c>
      <c r="M699" t="n">
        <v>0</v>
      </c>
      <c r="N699" t="n">
        <v>0</v>
      </c>
      <c r="O699" t="n">
        <v>0</v>
      </c>
      <c r="P699" t="n">
        <v>0</v>
      </c>
      <c r="Q699" t="n">
        <v>0</v>
      </c>
      <c r="R699" s="2" t="inlineStr"/>
    </row>
    <row r="700" ht="15" customHeight="1">
      <c r="A700" t="inlineStr">
        <is>
          <t>A 24988-2025</t>
        </is>
      </c>
      <c r="B700" s="1" t="n">
        <v>45799</v>
      </c>
      <c r="C700" s="1" t="n">
        <v>45999</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22617-2025</t>
        </is>
      </c>
      <c r="B701" s="1" t="n">
        <v>45789</v>
      </c>
      <c r="C701" s="1" t="n">
        <v>45999</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48062-2024</t>
        </is>
      </c>
      <c r="B702" s="1" t="n">
        <v>45589</v>
      </c>
      <c r="C702" s="1" t="n">
        <v>45999</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23406-2025</t>
        </is>
      </c>
      <c r="B703" s="1" t="n">
        <v>45792.34540509259</v>
      </c>
      <c r="C703" s="1" t="n">
        <v>45999</v>
      </c>
      <c r="D703" t="inlineStr">
        <is>
          <t>VÄSTERBOTTENS LÄN</t>
        </is>
      </c>
      <c r="E703" t="inlineStr">
        <is>
          <t>VILHELMINA</t>
        </is>
      </c>
      <c r="F703" t="inlineStr">
        <is>
          <t>SCA</t>
        </is>
      </c>
      <c r="G703" t="n">
        <v>15.4</v>
      </c>
      <c r="H703" t="n">
        <v>0</v>
      </c>
      <c r="I703" t="n">
        <v>0</v>
      </c>
      <c r="J703" t="n">
        <v>0</v>
      </c>
      <c r="K703" t="n">
        <v>0</v>
      </c>
      <c r="L703" t="n">
        <v>0</v>
      </c>
      <c r="M703" t="n">
        <v>0</v>
      </c>
      <c r="N703" t="n">
        <v>0</v>
      </c>
      <c r="O703" t="n">
        <v>0</v>
      </c>
      <c r="P703" t="n">
        <v>0</v>
      </c>
      <c r="Q703" t="n">
        <v>0</v>
      </c>
      <c r="R703" s="2" t="inlineStr"/>
    </row>
    <row r="704" ht="15" customHeight="1">
      <c r="A704" t="inlineStr">
        <is>
          <t>A 17467-2025</t>
        </is>
      </c>
      <c r="B704" s="1" t="n">
        <v>45757</v>
      </c>
      <c r="C704" s="1" t="n">
        <v>45999</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146-2025</t>
        </is>
      </c>
      <c r="B705" s="1" t="n">
        <v>45659</v>
      </c>
      <c r="C705" s="1" t="n">
        <v>45999</v>
      </c>
      <c r="D705" t="inlineStr">
        <is>
          <t>VÄSTERBOTTENS LÄN</t>
        </is>
      </c>
      <c r="E705" t="inlineStr">
        <is>
          <t>VILHELMINA</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15792-2025</t>
        </is>
      </c>
      <c r="B706" s="1" t="n">
        <v>45748.63356481482</v>
      </c>
      <c r="C706" s="1" t="n">
        <v>45999</v>
      </c>
      <c r="D706" t="inlineStr">
        <is>
          <t>VÄSTERBOTTENS LÄN</t>
        </is>
      </c>
      <c r="E706" t="inlineStr">
        <is>
          <t>VILHELMINA</t>
        </is>
      </c>
      <c r="G706" t="n">
        <v>5.5</v>
      </c>
      <c r="H706" t="n">
        <v>0</v>
      </c>
      <c r="I706" t="n">
        <v>0</v>
      </c>
      <c r="J706" t="n">
        <v>0</v>
      </c>
      <c r="K706" t="n">
        <v>0</v>
      </c>
      <c r="L706" t="n">
        <v>0</v>
      </c>
      <c r="M706" t="n">
        <v>0</v>
      </c>
      <c r="N706" t="n">
        <v>0</v>
      </c>
      <c r="O706" t="n">
        <v>0</v>
      </c>
      <c r="P706" t="n">
        <v>0</v>
      </c>
      <c r="Q706" t="n">
        <v>0</v>
      </c>
      <c r="R706" s="2" t="inlineStr"/>
    </row>
    <row r="707" ht="15" customHeight="1">
      <c r="A707" t="inlineStr">
        <is>
          <t>A 19873-2024</t>
        </is>
      </c>
      <c r="B707" s="1" t="n">
        <v>45433</v>
      </c>
      <c r="C707" s="1" t="n">
        <v>45999</v>
      </c>
      <c r="D707" t="inlineStr">
        <is>
          <t>VÄSTERBOTTENS LÄN</t>
        </is>
      </c>
      <c r="E707" t="inlineStr">
        <is>
          <t>VILHELMINA</t>
        </is>
      </c>
      <c r="G707" t="n">
        <v>8.6</v>
      </c>
      <c r="H707" t="n">
        <v>0</v>
      </c>
      <c r="I707" t="n">
        <v>0</v>
      </c>
      <c r="J707" t="n">
        <v>0</v>
      </c>
      <c r="K707" t="n">
        <v>0</v>
      </c>
      <c r="L707" t="n">
        <v>0</v>
      </c>
      <c r="M707" t="n">
        <v>0</v>
      </c>
      <c r="N707" t="n">
        <v>0</v>
      </c>
      <c r="O707" t="n">
        <v>0</v>
      </c>
      <c r="P707" t="n">
        <v>0</v>
      </c>
      <c r="Q707" t="n">
        <v>0</v>
      </c>
      <c r="R707" s="2" t="inlineStr"/>
    </row>
    <row r="708" ht="15" customHeight="1">
      <c r="A708" t="inlineStr">
        <is>
          <t>A 25308-2025</t>
        </is>
      </c>
      <c r="B708" s="1" t="n">
        <v>45800</v>
      </c>
      <c r="C708" s="1" t="n">
        <v>45999</v>
      </c>
      <c r="D708" t="inlineStr">
        <is>
          <t>VÄSTERBOTTENS LÄN</t>
        </is>
      </c>
      <c r="E708" t="inlineStr">
        <is>
          <t>VILHELMINA</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47011-2024</t>
        </is>
      </c>
      <c r="B709" s="1" t="n">
        <v>45586.38592592593</v>
      </c>
      <c r="C709" s="1" t="n">
        <v>45999</v>
      </c>
      <c r="D709" t="inlineStr">
        <is>
          <t>VÄSTERBOTTENS LÄN</t>
        </is>
      </c>
      <c r="E709" t="inlineStr">
        <is>
          <t>VILHELMINA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55697-2024</t>
        </is>
      </c>
      <c r="B710" s="1" t="n">
        <v>45622</v>
      </c>
      <c r="C710" s="1" t="n">
        <v>45999</v>
      </c>
      <c r="D710" t="inlineStr">
        <is>
          <t>VÄSTERBOTTENS LÄN</t>
        </is>
      </c>
      <c r="E710" t="inlineStr">
        <is>
          <t>VILHELMINA</t>
        </is>
      </c>
      <c r="G710" t="n">
        <v>3.2</v>
      </c>
      <c r="H710" t="n">
        <v>0</v>
      </c>
      <c r="I710" t="n">
        <v>0</v>
      </c>
      <c r="J710" t="n">
        <v>0</v>
      </c>
      <c r="K710" t="n">
        <v>0</v>
      </c>
      <c r="L710" t="n">
        <v>0</v>
      </c>
      <c r="M710" t="n">
        <v>0</v>
      </c>
      <c r="N710" t="n">
        <v>0</v>
      </c>
      <c r="O710" t="n">
        <v>0</v>
      </c>
      <c r="P710" t="n">
        <v>0</v>
      </c>
      <c r="Q710" t="n">
        <v>0</v>
      </c>
      <c r="R710" s="2" t="inlineStr"/>
    </row>
    <row r="711" ht="15" customHeight="1">
      <c r="A711" t="inlineStr">
        <is>
          <t>A 60549-2022</t>
        </is>
      </c>
      <c r="B711" s="1" t="n">
        <v>44911.51318287037</v>
      </c>
      <c r="C711" s="1" t="n">
        <v>45999</v>
      </c>
      <c r="D711" t="inlineStr">
        <is>
          <t>VÄSTERBOTTENS LÄN</t>
        </is>
      </c>
      <c r="E711" t="inlineStr">
        <is>
          <t>VILHELMINA</t>
        </is>
      </c>
      <c r="G711" t="n">
        <v>3.8</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45999</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10548-2022</t>
        </is>
      </c>
      <c r="B713" s="1" t="n">
        <v>44623</v>
      </c>
      <c r="C713" s="1" t="n">
        <v>45999</v>
      </c>
      <c r="D713" t="inlineStr">
        <is>
          <t>VÄSTERBOTTENS LÄN</t>
        </is>
      </c>
      <c r="E713" t="inlineStr">
        <is>
          <t>VILHELMINA</t>
        </is>
      </c>
      <c r="F713" t="inlineStr">
        <is>
          <t>SCA</t>
        </is>
      </c>
      <c r="G713" t="n">
        <v>11.5</v>
      </c>
      <c r="H713" t="n">
        <v>0</v>
      </c>
      <c r="I713" t="n">
        <v>0</v>
      </c>
      <c r="J713" t="n">
        <v>0</v>
      </c>
      <c r="K713" t="n">
        <v>0</v>
      </c>
      <c r="L713" t="n">
        <v>0</v>
      </c>
      <c r="M713" t="n">
        <v>0</v>
      </c>
      <c r="N713" t="n">
        <v>0</v>
      </c>
      <c r="O713" t="n">
        <v>0</v>
      </c>
      <c r="P713" t="n">
        <v>0</v>
      </c>
      <c r="Q713" t="n">
        <v>0</v>
      </c>
      <c r="R713" s="2" t="inlineStr"/>
    </row>
    <row r="714" ht="15" customHeight="1">
      <c r="A714" t="inlineStr">
        <is>
          <t>A 30746-2025</t>
        </is>
      </c>
      <c r="B714" s="1" t="n">
        <v>45831.58256944444</v>
      </c>
      <c r="C714" s="1" t="n">
        <v>45999</v>
      </c>
      <c r="D714" t="inlineStr">
        <is>
          <t>VÄSTERBOTTENS LÄN</t>
        </is>
      </c>
      <c r="E714" t="inlineStr">
        <is>
          <t>VILHELMINA</t>
        </is>
      </c>
      <c r="G714" t="n">
        <v>5.7</v>
      </c>
      <c r="H714" t="n">
        <v>0</v>
      </c>
      <c r="I714" t="n">
        <v>0</v>
      </c>
      <c r="J714" t="n">
        <v>0</v>
      </c>
      <c r="K714" t="n">
        <v>0</v>
      </c>
      <c r="L714" t="n">
        <v>0</v>
      </c>
      <c r="M714" t="n">
        <v>0</v>
      </c>
      <c r="N714" t="n">
        <v>0</v>
      </c>
      <c r="O714" t="n">
        <v>0</v>
      </c>
      <c r="P714" t="n">
        <v>0</v>
      </c>
      <c r="Q714" t="n">
        <v>0</v>
      </c>
      <c r="R714" s="2" t="inlineStr"/>
    </row>
    <row r="715" ht="15" customHeight="1">
      <c r="A715" t="inlineStr">
        <is>
          <t>A 23826-2025</t>
        </is>
      </c>
      <c r="B715" s="1" t="n">
        <v>45793.59461805555</v>
      </c>
      <c r="C715" s="1" t="n">
        <v>45999</v>
      </c>
      <c r="D715" t="inlineStr">
        <is>
          <t>VÄSTERBOTTENS LÄN</t>
        </is>
      </c>
      <c r="E715" t="inlineStr">
        <is>
          <t>VILHELMINA</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35760-2023</t>
        </is>
      </c>
      <c r="B716" s="1" t="n">
        <v>45147</v>
      </c>
      <c r="C716" s="1" t="n">
        <v>45999</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23764-2025</t>
        </is>
      </c>
      <c r="B717" s="1" t="n">
        <v>45793</v>
      </c>
      <c r="C717" s="1" t="n">
        <v>45999</v>
      </c>
      <c r="D717" t="inlineStr">
        <is>
          <t>VÄSTERBOTTENS LÄN</t>
        </is>
      </c>
      <c r="E717" t="inlineStr">
        <is>
          <t>VILHELMINA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33319-2024</t>
        </is>
      </c>
      <c r="B718" s="1" t="n">
        <v>45518</v>
      </c>
      <c r="C718" s="1" t="n">
        <v>45999</v>
      </c>
      <c r="D718" t="inlineStr">
        <is>
          <t>VÄSTERBOTTENS LÄN</t>
        </is>
      </c>
      <c r="E718" t="inlineStr">
        <is>
          <t>VILHELMINA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37912-2025</t>
        </is>
      </c>
      <c r="B719" s="1" t="n">
        <v>45880</v>
      </c>
      <c r="C719" s="1" t="n">
        <v>45999</v>
      </c>
      <c r="D719" t="inlineStr">
        <is>
          <t>VÄSTERBOTTENS LÄN</t>
        </is>
      </c>
      <c r="E719" t="inlineStr">
        <is>
          <t>VILHELMINA</t>
        </is>
      </c>
      <c r="F719" t="inlineStr">
        <is>
          <t>SCA</t>
        </is>
      </c>
      <c r="G719" t="n">
        <v>23.9</v>
      </c>
      <c r="H719" t="n">
        <v>0</v>
      </c>
      <c r="I719" t="n">
        <v>0</v>
      </c>
      <c r="J719" t="n">
        <v>0</v>
      </c>
      <c r="K719" t="n">
        <v>0</v>
      </c>
      <c r="L719" t="n">
        <v>0</v>
      </c>
      <c r="M719" t="n">
        <v>0</v>
      </c>
      <c r="N719" t="n">
        <v>0</v>
      </c>
      <c r="O719" t="n">
        <v>0</v>
      </c>
      <c r="P719" t="n">
        <v>0</v>
      </c>
      <c r="Q719" t="n">
        <v>0</v>
      </c>
      <c r="R719" s="2" t="inlineStr"/>
    </row>
    <row r="720" ht="15" customHeight="1">
      <c r="A720" t="inlineStr">
        <is>
          <t>A 15639-2024</t>
        </is>
      </c>
      <c r="B720" s="1" t="n">
        <v>45403</v>
      </c>
      <c r="C720" s="1" t="n">
        <v>45999</v>
      </c>
      <c r="D720" t="inlineStr">
        <is>
          <t>VÄSTERBOTTENS LÄN</t>
        </is>
      </c>
      <c r="E720" t="inlineStr">
        <is>
          <t>VILHELMINA</t>
        </is>
      </c>
      <c r="G720" t="n">
        <v>81.90000000000001</v>
      </c>
      <c r="H720" t="n">
        <v>0</v>
      </c>
      <c r="I720" t="n">
        <v>0</v>
      </c>
      <c r="J720" t="n">
        <v>0</v>
      </c>
      <c r="K720" t="n">
        <v>0</v>
      </c>
      <c r="L720" t="n">
        <v>0</v>
      </c>
      <c r="M720" t="n">
        <v>0</v>
      </c>
      <c r="N720" t="n">
        <v>0</v>
      </c>
      <c r="O720" t="n">
        <v>0</v>
      </c>
      <c r="P720" t="n">
        <v>0</v>
      </c>
      <c r="Q720" t="n">
        <v>0</v>
      </c>
      <c r="R720" s="2" t="inlineStr"/>
    </row>
    <row r="721" ht="15" customHeight="1">
      <c r="A721" t="inlineStr">
        <is>
          <t>A 52565-2025</t>
        </is>
      </c>
      <c r="B721" s="1" t="n">
        <v>45954.59429398148</v>
      </c>
      <c r="C721" s="1" t="n">
        <v>45999</v>
      </c>
      <c r="D721" t="inlineStr">
        <is>
          <t>VÄSTERBOTTENS LÄN</t>
        </is>
      </c>
      <c r="E721" t="inlineStr">
        <is>
          <t>VILHELMINA</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23686-2025</t>
        </is>
      </c>
      <c r="B722" s="1" t="n">
        <v>45793</v>
      </c>
      <c r="C722" s="1" t="n">
        <v>45999</v>
      </c>
      <c r="D722" t="inlineStr">
        <is>
          <t>VÄSTERBOTTENS LÄN</t>
        </is>
      </c>
      <c r="E722" t="inlineStr">
        <is>
          <t>VILHELMINA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36215-2023</t>
        </is>
      </c>
      <c r="B723" s="1" t="n">
        <v>45149.95266203704</v>
      </c>
      <c r="C723" s="1" t="n">
        <v>45999</v>
      </c>
      <c r="D723" t="inlineStr">
        <is>
          <t>VÄSTERBOTTENS LÄN</t>
        </is>
      </c>
      <c r="E723" t="inlineStr">
        <is>
          <t>VILHELMINA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43987-2024</t>
        </is>
      </c>
      <c r="B724" s="1" t="n">
        <v>45572.51092592593</v>
      </c>
      <c r="C724" s="1" t="n">
        <v>45999</v>
      </c>
      <c r="D724" t="inlineStr">
        <is>
          <t>VÄSTERBOTTENS LÄN</t>
        </is>
      </c>
      <c r="E724" t="inlineStr">
        <is>
          <t>VILHELMINA</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664-2022</t>
        </is>
      </c>
      <c r="B725" s="1" t="n">
        <v>44568</v>
      </c>
      <c r="C725" s="1" t="n">
        <v>45999</v>
      </c>
      <c r="D725" t="inlineStr">
        <is>
          <t>VÄSTERBOTTENS LÄN</t>
        </is>
      </c>
      <c r="E725" t="inlineStr">
        <is>
          <t>VILHELMINA</t>
        </is>
      </c>
      <c r="G725" t="n">
        <v>1.8</v>
      </c>
      <c r="H725" t="n">
        <v>0</v>
      </c>
      <c r="I725" t="n">
        <v>0</v>
      </c>
      <c r="J725" t="n">
        <v>0</v>
      </c>
      <c r="K725" t="n">
        <v>0</v>
      </c>
      <c r="L725" t="n">
        <v>0</v>
      </c>
      <c r="M725" t="n">
        <v>0</v>
      </c>
      <c r="N725" t="n">
        <v>0</v>
      </c>
      <c r="O725" t="n">
        <v>0</v>
      </c>
      <c r="P725" t="n">
        <v>0</v>
      </c>
      <c r="Q725" t="n">
        <v>0</v>
      </c>
      <c r="R725" s="2" t="inlineStr"/>
    </row>
    <row r="726" ht="15" customHeight="1">
      <c r="A726" t="inlineStr">
        <is>
          <t>A 48816-2025</t>
        </is>
      </c>
      <c r="B726" s="1" t="n">
        <v>45937.36527777778</v>
      </c>
      <c r="C726" s="1" t="n">
        <v>45999</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52398-2025</t>
        </is>
      </c>
      <c r="B727" s="1" t="n">
        <v>45954.34572916666</v>
      </c>
      <c r="C727" s="1" t="n">
        <v>45999</v>
      </c>
      <c r="D727" t="inlineStr">
        <is>
          <t>VÄSTERBOTTENS LÄN</t>
        </is>
      </c>
      <c r="E727" t="inlineStr">
        <is>
          <t>VILHELMINA</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48904-2025</t>
        </is>
      </c>
      <c r="B728" s="1" t="n">
        <v>45937.4828125</v>
      </c>
      <c r="C728" s="1" t="n">
        <v>45999</v>
      </c>
      <c r="D728" t="inlineStr">
        <is>
          <t>VÄSTERBOTTENS LÄN</t>
        </is>
      </c>
      <c r="E728" t="inlineStr">
        <is>
          <t>VILHELMINA</t>
        </is>
      </c>
      <c r="F728" t="inlineStr">
        <is>
          <t>Sveaskog</t>
        </is>
      </c>
      <c r="G728" t="n">
        <v>4.7</v>
      </c>
      <c r="H728" t="n">
        <v>0</v>
      </c>
      <c r="I728" t="n">
        <v>0</v>
      </c>
      <c r="J728" t="n">
        <v>0</v>
      </c>
      <c r="K728" t="n">
        <v>0</v>
      </c>
      <c r="L728" t="n">
        <v>0</v>
      </c>
      <c r="M728" t="n">
        <v>0</v>
      </c>
      <c r="N728" t="n">
        <v>0</v>
      </c>
      <c r="O728" t="n">
        <v>0</v>
      </c>
      <c r="P728" t="n">
        <v>0</v>
      </c>
      <c r="Q728" t="n">
        <v>0</v>
      </c>
      <c r="R728" s="2" t="inlineStr"/>
    </row>
    <row r="729" ht="15" customHeight="1">
      <c r="A729" t="inlineStr">
        <is>
          <t>A 11538-2024</t>
        </is>
      </c>
      <c r="B729" s="1" t="n">
        <v>45372</v>
      </c>
      <c r="C729" s="1" t="n">
        <v>45999</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52789-2025</t>
        </is>
      </c>
      <c r="B730" s="1" t="n">
        <v>45957.42777777778</v>
      </c>
      <c r="C730" s="1" t="n">
        <v>45999</v>
      </c>
      <c r="D730" t="inlineStr">
        <is>
          <t>VÄSTERBOTTENS LÄN</t>
        </is>
      </c>
      <c r="E730" t="inlineStr">
        <is>
          <t>VILHELMINA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24224-2025</t>
        </is>
      </c>
      <c r="B731" s="1" t="n">
        <v>45797</v>
      </c>
      <c r="C731" s="1" t="n">
        <v>45999</v>
      </c>
      <c r="D731" t="inlineStr">
        <is>
          <t>VÄSTERBOTTENS LÄN</t>
        </is>
      </c>
      <c r="E731" t="inlineStr">
        <is>
          <t>VILHELMINA</t>
        </is>
      </c>
      <c r="G731" t="n">
        <v>27.2</v>
      </c>
      <c r="H731" t="n">
        <v>0</v>
      </c>
      <c r="I731" t="n">
        <v>0</v>
      </c>
      <c r="J731" t="n">
        <v>0</v>
      </c>
      <c r="K731" t="n">
        <v>0</v>
      </c>
      <c r="L731" t="n">
        <v>0</v>
      </c>
      <c r="M731" t="n">
        <v>0</v>
      </c>
      <c r="N731" t="n">
        <v>0</v>
      </c>
      <c r="O731" t="n">
        <v>0</v>
      </c>
      <c r="P731" t="n">
        <v>0</v>
      </c>
      <c r="Q731" t="n">
        <v>0</v>
      </c>
      <c r="R731" s="2" t="inlineStr"/>
    </row>
    <row r="732" ht="15" customHeight="1">
      <c r="A732" t="inlineStr">
        <is>
          <t>A 49103-2025</t>
        </is>
      </c>
      <c r="B732" s="1" t="n">
        <v>45937</v>
      </c>
      <c r="C732" s="1" t="n">
        <v>45999</v>
      </c>
      <c r="D732" t="inlineStr">
        <is>
          <t>VÄSTERBOTTENS LÄN</t>
        </is>
      </c>
      <c r="E732" t="inlineStr">
        <is>
          <t>VILHELMINA</t>
        </is>
      </c>
      <c r="G732" t="n">
        <v>2.5</v>
      </c>
      <c r="H732" t="n">
        <v>0</v>
      </c>
      <c r="I732" t="n">
        <v>0</v>
      </c>
      <c r="J732" t="n">
        <v>0</v>
      </c>
      <c r="K732" t="n">
        <v>0</v>
      </c>
      <c r="L732" t="n">
        <v>0</v>
      </c>
      <c r="M732" t="n">
        <v>0</v>
      </c>
      <c r="N732" t="n">
        <v>0</v>
      </c>
      <c r="O732" t="n">
        <v>0</v>
      </c>
      <c r="P732" t="n">
        <v>0</v>
      </c>
      <c r="Q732" t="n">
        <v>0</v>
      </c>
      <c r="R732" s="2" t="inlineStr"/>
    </row>
    <row r="733" ht="15" customHeight="1">
      <c r="A733" t="inlineStr">
        <is>
          <t>A 53015-2025</t>
        </is>
      </c>
      <c r="B733" s="1" t="n">
        <v>45957.82777777778</v>
      </c>
      <c r="C733" s="1" t="n">
        <v>45999</v>
      </c>
      <c r="D733" t="inlineStr">
        <is>
          <t>VÄSTERBOTTENS LÄN</t>
        </is>
      </c>
      <c r="E733" t="inlineStr">
        <is>
          <t>VILHELMINA</t>
        </is>
      </c>
      <c r="G733" t="n">
        <v>17.2</v>
      </c>
      <c r="H733" t="n">
        <v>0</v>
      </c>
      <c r="I733" t="n">
        <v>0</v>
      </c>
      <c r="J733" t="n">
        <v>0</v>
      </c>
      <c r="K733" t="n">
        <v>0</v>
      </c>
      <c r="L733" t="n">
        <v>0</v>
      </c>
      <c r="M733" t="n">
        <v>0</v>
      </c>
      <c r="N733" t="n">
        <v>0</v>
      </c>
      <c r="O733" t="n">
        <v>0</v>
      </c>
      <c r="P733" t="n">
        <v>0</v>
      </c>
      <c r="Q733" t="n">
        <v>0</v>
      </c>
      <c r="R733" s="2" t="inlineStr"/>
    </row>
    <row r="734" ht="15" customHeight="1">
      <c r="A734" t="inlineStr">
        <is>
          <t>A 25180-2025</t>
        </is>
      </c>
      <c r="B734" s="1" t="n">
        <v>45800.44892361111</v>
      </c>
      <c r="C734" s="1" t="n">
        <v>45999</v>
      </c>
      <c r="D734" t="inlineStr">
        <is>
          <t>VÄSTERBOTTENS LÄN</t>
        </is>
      </c>
      <c r="E734" t="inlineStr">
        <is>
          <t>VILHELMINA</t>
        </is>
      </c>
      <c r="F734" t="inlineStr">
        <is>
          <t>SCA</t>
        </is>
      </c>
      <c r="G734" t="n">
        <v>10.8</v>
      </c>
      <c r="H734" t="n">
        <v>0</v>
      </c>
      <c r="I734" t="n">
        <v>0</v>
      </c>
      <c r="J734" t="n">
        <v>0</v>
      </c>
      <c r="K734" t="n">
        <v>0</v>
      </c>
      <c r="L734" t="n">
        <v>0</v>
      </c>
      <c r="M734" t="n">
        <v>0</v>
      </c>
      <c r="N734" t="n">
        <v>0</v>
      </c>
      <c r="O734" t="n">
        <v>0</v>
      </c>
      <c r="P734" t="n">
        <v>0</v>
      </c>
      <c r="Q734" t="n">
        <v>0</v>
      </c>
      <c r="R734" s="2" t="inlineStr"/>
    </row>
    <row r="735" ht="15" customHeight="1">
      <c r="A735" t="inlineStr">
        <is>
          <t>A 17587-2024</t>
        </is>
      </c>
      <c r="B735" s="1" t="n">
        <v>45415.94033564815</v>
      </c>
      <c r="C735" s="1" t="n">
        <v>45999</v>
      </c>
      <c r="D735" t="inlineStr">
        <is>
          <t>VÄSTERBOTTENS LÄN</t>
        </is>
      </c>
      <c r="E735" t="inlineStr">
        <is>
          <t>VILHELMINA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40732-2024</t>
        </is>
      </c>
      <c r="B736" s="1" t="n">
        <v>45558</v>
      </c>
      <c r="C736" s="1" t="n">
        <v>45999</v>
      </c>
      <c r="D736" t="inlineStr">
        <is>
          <t>VÄSTERBOTTENS LÄN</t>
        </is>
      </c>
      <c r="E736" t="inlineStr">
        <is>
          <t>VILHELMINA</t>
        </is>
      </c>
      <c r="F736" t="inlineStr">
        <is>
          <t>Allmännings- och besparingsskogar</t>
        </is>
      </c>
      <c r="G736" t="n">
        <v>90</v>
      </c>
      <c r="H736" t="n">
        <v>0</v>
      </c>
      <c r="I736" t="n">
        <v>0</v>
      </c>
      <c r="J736" t="n">
        <v>0</v>
      </c>
      <c r="K736" t="n">
        <v>0</v>
      </c>
      <c r="L736" t="n">
        <v>0</v>
      </c>
      <c r="M736" t="n">
        <v>0</v>
      </c>
      <c r="N736" t="n">
        <v>0</v>
      </c>
      <c r="O736" t="n">
        <v>0</v>
      </c>
      <c r="P736" t="n">
        <v>0</v>
      </c>
      <c r="Q736" t="n">
        <v>0</v>
      </c>
      <c r="R736" s="2" t="inlineStr"/>
    </row>
    <row r="737" ht="15" customHeight="1">
      <c r="A737" t="inlineStr">
        <is>
          <t>A 44015-2025</t>
        </is>
      </c>
      <c r="B737" s="1" t="n">
        <v>45915</v>
      </c>
      <c r="C737" s="1" t="n">
        <v>45999</v>
      </c>
      <c r="D737" t="inlineStr">
        <is>
          <t>VÄSTERBOTTENS LÄN</t>
        </is>
      </c>
      <c r="E737" t="inlineStr">
        <is>
          <t>VILHELMINA</t>
        </is>
      </c>
      <c r="G737" t="n">
        <v>1</v>
      </c>
      <c r="H737" t="n">
        <v>0</v>
      </c>
      <c r="I737" t="n">
        <v>0</v>
      </c>
      <c r="J737" t="n">
        <v>0</v>
      </c>
      <c r="K737" t="n">
        <v>0</v>
      </c>
      <c r="L737" t="n">
        <v>0</v>
      </c>
      <c r="M737" t="n">
        <v>0</v>
      </c>
      <c r="N737" t="n">
        <v>0</v>
      </c>
      <c r="O737" t="n">
        <v>0</v>
      </c>
      <c r="P737" t="n">
        <v>0</v>
      </c>
      <c r="Q737" t="n">
        <v>0</v>
      </c>
      <c r="R737" s="2" t="inlineStr"/>
    </row>
    <row r="738" ht="15" customHeight="1">
      <c r="A738" t="inlineStr">
        <is>
          <t>A 24870-2025</t>
        </is>
      </c>
      <c r="B738" s="1" t="n">
        <v>45799.49025462963</v>
      </c>
      <c r="C738" s="1" t="n">
        <v>45999</v>
      </c>
      <c r="D738" t="inlineStr">
        <is>
          <t>VÄSTERBOTTENS LÄN</t>
        </is>
      </c>
      <c r="E738" t="inlineStr">
        <is>
          <t>VILHELMINA</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25239-2025</t>
        </is>
      </c>
      <c r="B739" s="1" t="n">
        <v>45800</v>
      </c>
      <c r="C739" s="1" t="n">
        <v>45999</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25309-2025</t>
        </is>
      </c>
      <c r="B740" s="1" t="n">
        <v>45800.57380787037</v>
      </c>
      <c r="C740" s="1" t="n">
        <v>45999</v>
      </c>
      <c r="D740" t="inlineStr">
        <is>
          <t>VÄSTERBOTTENS LÄN</t>
        </is>
      </c>
      <c r="E740" t="inlineStr">
        <is>
          <t>VILHELMINA</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46318-2022</t>
        </is>
      </c>
      <c r="B741" s="1" t="n">
        <v>44847</v>
      </c>
      <c r="C741" s="1" t="n">
        <v>45999</v>
      </c>
      <c r="D741" t="inlineStr">
        <is>
          <t>VÄSTERBOTTENS LÄN</t>
        </is>
      </c>
      <c r="E741" t="inlineStr">
        <is>
          <t>VILHELMINA</t>
        </is>
      </c>
      <c r="G741" t="n">
        <v>11.7</v>
      </c>
      <c r="H741" t="n">
        <v>0</v>
      </c>
      <c r="I741" t="n">
        <v>0</v>
      </c>
      <c r="J741" t="n">
        <v>0</v>
      </c>
      <c r="K741" t="n">
        <v>0</v>
      </c>
      <c r="L741" t="n">
        <v>0</v>
      </c>
      <c r="M741" t="n">
        <v>0</v>
      </c>
      <c r="N741" t="n">
        <v>0</v>
      </c>
      <c r="O741" t="n">
        <v>0</v>
      </c>
      <c r="P741" t="n">
        <v>0</v>
      </c>
      <c r="Q741" t="n">
        <v>0</v>
      </c>
      <c r="R741" s="2" t="inlineStr"/>
    </row>
    <row r="742" ht="15" customHeight="1">
      <c r="A742" t="inlineStr">
        <is>
          <t>A 24871-2025</t>
        </is>
      </c>
      <c r="B742" s="1" t="n">
        <v>45799.49028935185</v>
      </c>
      <c r="C742" s="1" t="n">
        <v>45999</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37322-2022</t>
        </is>
      </c>
      <c r="B743" s="1" t="n">
        <v>44806</v>
      </c>
      <c r="C743" s="1" t="n">
        <v>45999</v>
      </c>
      <c r="D743" t="inlineStr">
        <is>
          <t>VÄSTERBOTTENS LÄN</t>
        </is>
      </c>
      <c r="E743" t="inlineStr">
        <is>
          <t>VILHELMINA</t>
        </is>
      </c>
      <c r="F743" t="inlineStr">
        <is>
          <t>Övriga statliga verk och myndigheter</t>
        </is>
      </c>
      <c r="G743" t="n">
        <v>15.4</v>
      </c>
      <c r="H743" t="n">
        <v>0</v>
      </c>
      <c r="I743" t="n">
        <v>0</v>
      </c>
      <c r="J743" t="n">
        <v>0</v>
      </c>
      <c r="K743" t="n">
        <v>0</v>
      </c>
      <c r="L743" t="n">
        <v>0</v>
      </c>
      <c r="M743" t="n">
        <v>0</v>
      </c>
      <c r="N743" t="n">
        <v>0</v>
      </c>
      <c r="O743" t="n">
        <v>0</v>
      </c>
      <c r="P743" t="n">
        <v>0</v>
      </c>
      <c r="Q743" t="n">
        <v>0</v>
      </c>
      <c r="R743" s="2" t="inlineStr"/>
    </row>
    <row r="744" ht="15" customHeight="1">
      <c r="A744" t="inlineStr">
        <is>
          <t>A 25062-2025</t>
        </is>
      </c>
      <c r="B744" s="1" t="n">
        <v>45799.69844907407</v>
      </c>
      <c r="C744" s="1" t="n">
        <v>45999</v>
      </c>
      <c r="D744" t="inlineStr">
        <is>
          <t>VÄSTERBOTTENS LÄN</t>
        </is>
      </c>
      <c r="E744" t="inlineStr">
        <is>
          <t>VILHELMINA</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25176-2025</t>
        </is>
      </c>
      <c r="B745" s="1" t="n">
        <v>45800.44840277778</v>
      </c>
      <c r="C745" s="1" t="n">
        <v>45999</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57023-2025</t>
        </is>
      </c>
      <c r="B746" s="1" t="n">
        <v>45979.25059027778</v>
      </c>
      <c r="C746" s="1" t="n">
        <v>45999</v>
      </c>
      <c r="D746" t="inlineStr">
        <is>
          <t>VÄSTERBOTTENS LÄN</t>
        </is>
      </c>
      <c r="E746" t="inlineStr">
        <is>
          <t>VILHELMINA</t>
        </is>
      </c>
      <c r="G746" t="n">
        <v>37.7</v>
      </c>
      <c r="H746" t="n">
        <v>0</v>
      </c>
      <c r="I746" t="n">
        <v>0</v>
      </c>
      <c r="J746" t="n">
        <v>0</v>
      </c>
      <c r="K746" t="n">
        <v>0</v>
      </c>
      <c r="L746" t="n">
        <v>0</v>
      </c>
      <c r="M746" t="n">
        <v>0</v>
      </c>
      <c r="N746" t="n">
        <v>0</v>
      </c>
      <c r="O746" t="n">
        <v>0</v>
      </c>
      <c r="P746" t="n">
        <v>0</v>
      </c>
      <c r="Q746" t="n">
        <v>0</v>
      </c>
      <c r="R746" s="2" t="inlineStr"/>
    </row>
    <row r="747" ht="15" customHeight="1">
      <c r="A747" t="inlineStr">
        <is>
          <t>A 57565-2025</t>
        </is>
      </c>
      <c r="B747" s="1" t="n">
        <v>45980.71736111111</v>
      </c>
      <c r="C747" s="1" t="n">
        <v>45999</v>
      </c>
      <c r="D747" t="inlineStr">
        <is>
          <t>VÄSTERBOTTENS LÄN</t>
        </is>
      </c>
      <c r="E747" t="inlineStr">
        <is>
          <t>VILHELMINA</t>
        </is>
      </c>
      <c r="G747" t="n">
        <v>22.9</v>
      </c>
      <c r="H747" t="n">
        <v>0</v>
      </c>
      <c r="I747" t="n">
        <v>0</v>
      </c>
      <c r="J747" t="n">
        <v>0</v>
      </c>
      <c r="K747" t="n">
        <v>0</v>
      </c>
      <c r="L747" t="n">
        <v>0</v>
      </c>
      <c r="M747" t="n">
        <v>0</v>
      </c>
      <c r="N747" t="n">
        <v>0</v>
      </c>
      <c r="O747" t="n">
        <v>0</v>
      </c>
      <c r="P747" t="n">
        <v>0</v>
      </c>
      <c r="Q747" t="n">
        <v>0</v>
      </c>
      <c r="R747" s="2" t="inlineStr"/>
    </row>
    <row r="748" ht="15" customHeight="1">
      <c r="A748" t="inlineStr">
        <is>
          <t>A 52811-2025</t>
        </is>
      </c>
      <c r="B748" s="1" t="n">
        <v>45957.44878472222</v>
      </c>
      <c r="C748" s="1" t="n">
        <v>45999</v>
      </c>
      <c r="D748" t="inlineStr">
        <is>
          <t>VÄSTERBOTTENS LÄN</t>
        </is>
      </c>
      <c r="E748" t="inlineStr">
        <is>
          <t>VILHELMINA</t>
        </is>
      </c>
      <c r="G748" t="n">
        <v>1.8</v>
      </c>
      <c r="H748" t="n">
        <v>0</v>
      </c>
      <c r="I748" t="n">
        <v>0</v>
      </c>
      <c r="J748" t="n">
        <v>0</v>
      </c>
      <c r="K748" t="n">
        <v>0</v>
      </c>
      <c r="L748" t="n">
        <v>0</v>
      </c>
      <c r="M748" t="n">
        <v>0</v>
      </c>
      <c r="N748" t="n">
        <v>0</v>
      </c>
      <c r="O748" t="n">
        <v>0</v>
      </c>
      <c r="P748" t="n">
        <v>0</v>
      </c>
      <c r="Q748" t="n">
        <v>0</v>
      </c>
      <c r="R748" s="2" t="inlineStr"/>
    </row>
    <row r="749" ht="15" customHeight="1">
      <c r="A749" t="inlineStr">
        <is>
          <t>A 57207-2025</t>
        </is>
      </c>
      <c r="B749" s="1" t="n">
        <v>45979.59443287037</v>
      </c>
      <c r="C749" s="1" t="n">
        <v>45999</v>
      </c>
      <c r="D749" t="inlineStr">
        <is>
          <t>VÄSTERBOTTENS LÄN</t>
        </is>
      </c>
      <c r="E749" t="inlineStr">
        <is>
          <t>VILHELMINA</t>
        </is>
      </c>
      <c r="G749" t="n">
        <v>2.3</v>
      </c>
      <c r="H749" t="n">
        <v>0</v>
      </c>
      <c r="I749" t="n">
        <v>0</v>
      </c>
      <c r="J749" t="n">
        <v>0</v>
      </c>
      <c r="K749" t="n">
        <v>0</v>
      </c>
      <c r="L749" t="n">
        <v>0</v>
      </c>
      <c r="M749" t="n">
        <v>0</v>
      </c>
      <c r="N749" t="n">
        <v>0</v>
      </c>
      <c r="O749" t="n">
        <v>0</v>
      </c>
      <c r="P749" t="n">
        <v>0</v>
      </c>
      <c r="Q749" t="n">
        <v>0</v>
      </c>
      <c r="R749" s="2" t="inlineStr"/>
    </row>
    <row r="750" ht="15" customHeight="1">
      <c r="A750" t="inlineStr">
        <is>
          <t>A 25524-2025</t>
        </is>
      </c>
      <c r="B750" s="1" t="n">
        <v>45803.38644675926</v>
      </c>
      <c r="C750" s="1" t="n">
        <v>45999</v>
      </c>
      <c r="D750" t="inlineStr">
        <is>
          <t>VÄSTERBOTTENS LÄN</t>
        </is>
      </c>
      <c r="E750" t="inlineStr">
        <is>
          <t>VILHELMINA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49680-2025</t>
        </is>
      </c>
      <c r="B751" s="1" t="n">
        <v>45939.65079861111</v>
      </c>
      <c r="C751" s="1" t="n">
        <v>45999</v>
      </c>
      <c r="D751" t="inlineStr">
        <is>
          <t>VÄSTERBOTTENS LÄN</t>
        </is>
      </c>
      <c r="E751" t="inlineStr">
        <is>
          <t>VILHELMINA</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59031-2024</t>
        </is>
      </c>
      <c r="B752" s="1" t="n">
        <v>45636</v>
      </c>
      <c r="C752" s="1" t="n">
        <v>45999</v>
      </c>
      <c r="D752" t="inlineStr">
        <is>
          <t>VÄSTERBOTTENS LÄN</t>
        </is>
      </c>
      <c r="E752" t="inlineStr">
        <is>
          <t>VILHELMINA</t>
        </is>
      </c>
      <c r="G752" t="n">
        <v>40</v>
      </c>
      <c r="H752" t="n">
        <v>0</v>
      </c>
      <c r="I752" t="n">
        <v>0</v>
      </c>
      <c r="J752" t="n">
        <v>0</v>
      </c>
      <c r="K752" t="n">
        <v>0</v>
      </c>
      <c r="L752" t="n">
        <v>0</v>
      </c>
      <c r="M752" t="n">
        <v>0</v>
      </c>
      <c r="N752" t="n">
        <v>0</v>
      </c>
      <c r="O752" t="n">
        <v>0</v>
      </c>
      <c r="P752" t="n">
        <v>0</v>
      </c>
      <c r="Q752" t="n">
        <v>0</v>
      </c>
      <c r="R752" s="2" t="inlineStr"/>
    </row>
    <row r="753" ht="15" customHeight="1">
      <c r="A753" t="inlineStr">
        <is>
          <t>A 25770-2025</t>
        </is>
      </c>
      <c r="B753" s="1" t="n">
        <v>45804.3449537037</v>
      </c>
      <c r="C753" s="1" t="n">
        <v>45999</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56627-2024</t>
        </is>
      </c>
      <c r="B754" s="1" t="n">
        <v>45625</v>
      </c>
      <c r="C754" s="1" t="n">
        <v>45999</v>
      </c>
      <c r="D754" t="inlineStr">
        <is>
          <t>VÄSTERBOTTENS LÄN</t>
        </is>
      </c>
      <c r="E754" t="inlineStr">
        <is>
          <t>VILHELMINA</t>
        </is>
      </c>
      <c r="F754" t="inlineStr">
        <is>
          <t>Allmännings- och besparingsskogar</t>
        </is>
      </c>
      <c r="G754" t="n">
        <v>21.5</v>
      </c>
      <c r="H754" t="n">
        <v>0</v>
      </c>
      <c r="I754" t="n">
        <v>0</v>
      </c>
      <c r="J754" t="n">
        <v>0</v>
      </c>
      <c r="K754" t="n">
        <v>0</v>
      </c>
      <c r="L754" t="n">
        <v>0</v>
      </c>
      <c r="M754" t="n">
        <v>0</v>
      </c>
      <c r="N754" t="n">
        <v>0</v>
      </c>
      <c r="O754" t="n">
        <v>0</v>
      </c>
      <c r="P754" t="n">
        <v>0</v>
      </c>
      <c r="Q754" t="n">
        <v>0</v>
      </c>
      <c r="R754" s="2" t="inlineStr"/>
    </row>
    <row r="755" ht="15" customHeight="1">
      <c r="A755" t="inlineStr">
        <is>
          <t>A 35409-2024</t>
        </is>
      </c>
      <c r="B755" s="1" t="n">
        <v>45531</v>
      </c>
      <c r="C755" s="1" t="n">
        <v>45999</v>
      </c>
      <c r="D755" t="inlineStr">
        <is>
          <t>VÄSTERBOTTENS LÄN</t>
        </is>
      </c>
      <c r="E755" t="inlineStr">
        <is>
          <t>VILHELMINA</t>
        </is>
      </c>
      <c r="F755" t="inlineStr">
        <is>
          <t>SCA</t>
        </is>
      </c>
      <c r="G755" t="n">
        <v>13.1</v>
      </c>
      <c r="H755" t="n">
        <v>0</v>
      </c>
      <c r="I755" t="n">
        <v>0</v>
      </c>
      <c r="J755" t="n">
        <v>0</v>
      </c>
      <c r="K755" t="n">
        <v>0</v>
      </c>
      <c r="L755" t="n">
        <v>0</v>
      </c>
      <c r="M755" t="n">
        <v>0</v>
      </c>
      <c r="N755" t="n">
        <v>0</v>
      </c>
      <c r="O755" t="n">
        <v>0</v>
      </c>
      <c r="P755" t="n">
        <v>0</v>
      </c>
      <c r="Q755" t="n">
        <v>0</v>
      </c>
      <c r="R755" s="2" t="inlineStr"/>
    </row>
    <row r="756" ht="15" customHeight="1">
      <c r="A756" t="inlineStr">
        <is>
          <t>A 44017-2025</t>
        </is>
      </c>
      <c r="B756" s="1" t="n">
        <v>45915</v>
      </c>
      <c r="C756" s="1" t="n">
        <v>45999</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25942-2025</t>
        </is>
      </c>
      <c r="B757" s="1" t="n">
        <v>45804.59461805555</v>
      </c>
      <c r="C757" s="1" t="n">
        <v>45999</v>
      </c>
      <c r="D757" t="inlineStr">
        <is>
          <t>VÄSTERBOTTENS LÄN</t>
        </is>
      </c>
      <c r="E757" t="inlineStr">
        <is>
          <t>VILHELMINA</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46908-2024</t>
        </is>
      </c>
      <c r="B758" s="1" t="n">
        <v>45583</v>
      </c>
      <c r="C758" s="1" t="n">
        <v>45999</v>
      </c>
      <c r="D758" t="inlineStr">
        <is>
          <t>VÄSTERBOTTENS LÄN</t>
        </is>
      </c>
      <c r="E758" t="inlineStr">
        <is>
          <t>VILHELMINA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26098-2025</t>
        </is>
      </c>
      <c r="B759" s="1" t="n">
        <v>45805</v>
      </c>
      <c r="C759" s="1" t="n">
        <v>45999</v>
      </c>
      <c r="D759" t="inlineStr">
        <is>
          <t>VÄSTERBOTTENS LÄN</t>
        </is>
      </c>
      <c r="E759" t="inlineStr">
        <is>
          <t>VILHELMINA</t>
        </is>
      </c>
      <c r="F759" t="inlineStr">
        <is>
          <t>Övriga statliga verk och myndigheter</t>
        </is>
      </c>
      <c r="G759" t="n">
        <v>5.4</v>
      </c>
      <c r="H759" t="n">
        <v>0</v>
      </c>
      <c r="I759" t="n">
        <v>0</v>
      </c>
      <c r="J759" t="n">
        <v>0</v>
      </c>
      <c r="K759" t="n">
        <v>0</v>
      </c>
      <c r="L759" t="n">
        <v>0</v>
      </c>
      <c r="M759" t="n">
        <v>0</v>
      </c>
      <c r="N759" t="n">
        <v>0</v>
      </c>
      <c r="O759" t="n">
        <v>0</v>
      </c>
      <c r="P759" t="n">
        <v>0</v>
      </c>
      <c r="Q759" t="n">
        <v>0</v>
      </c>
      <c r="R759" s="2" t="inlineStr"/>
    </row>
    <row r="760" ht="15" customHeight="1">
      <c r="A760" t="inlineStr">
        <is>
          <t>A 58074-2025</t>
        </is>
      </c>
      <c r="B760" s="1" t="n">
        <v>45982.55253472222</v>
      </c>
      <c r="C760" s="1" t="n">
        <v>45999</v>
      </c>
      <c r="D760" t="inlineStr">
        <is>
          <t>VÄSTERBOTTENS LÄN</t>
        </is>
      </c>
      <c r="E760" t="inlineStr">
        <is>
          <t>VILHELMINA</t>
        </is>
      </c>
      <c r="F760" t="inlineStr">
        <is>
          <t>SCA</t>
        </is>
      </c>
      <c r="G760" t="n">
        <v>12.4</v>
      </c>
      <c r="H760" t="n">
        <v>0</v>
      </c>
      <c r="I760" t="n">
        <v>0</v>
      </c>
      <c r="J760" t="n">
        <v>0</v>
      </c>
      <c r="K760" t="n">
        <v>0</v>
      </c>
      <c r="L760" t="n">
        <v>0</v>
      </c>
      <c r="M760" t="n">
        <v>0</v>
      </c>
      <c r="N760" t="n">
        <v>0</v>
      </c>
      <c r="O760" t="n">
        <v>0</v>
      </c>
      <c r="P760" t="n">
        <v>0</v>
      </c>
      <c r="Q760" t="n">
        <v>0</v>
      </c>
      <c r="R760" s="2" t="inlineStr"/>
    </row>
    <row r="761" ht="15" customHeight="1">
      <c r="A761" t="inlineStr">
        <is>
          <t>A 27355-2023</t>
        </is>
      </c>
      <c r="B761" s="1" t="n">
        <v>45096</v>
      </c>
      <c r="C761" s="1" t="n">
        <v>45999</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58946-2024</t>
        </is>
      </c>
      <c r="B762" s="1" t="n">
        <v>45636.55063657407</v>
      </c>
      <c r="C762" s="1" t="n">
        <v>45999</v>
      </c>
      <c r="D762" t="inlineStr">
        <is>
          <t>VÄSTERBOTTENS LÄN</t>
        </is>
      </c>
      <c r="E762" t="inlineStr">
        <is>
          <t>VILHELMINA</t>
        </is>
      </c>
      <c r="F762" t="inlineStr">
        <is>
          <t>Kommuner</t>
        </is>
      </c>
      <c r="G762" t="n">
        <v>4.9</v>
      </c>
      <c r="H762" t="n">
        <v>0</v>
      </c>
      <c r="I762" t="n">
        <v>0</v>
      </c>
      <c r="J762" t="n">
        <v>0</v>
      </c>
      <c r="K762" t="n">
        <v>0</v>
      </c>
      <c r="L762" t="n">
        <v>0</v>
      </c>
      <c r="M762" t="n">
        <v>0</v>
      </c>
      <c r="N762" t="n">
        <v>0</v>
      </c>
      <c r="O762" t="n">
        <v>0</v>
      </c>
      <c r="P762" t="n">
        <v>0</v>
      </c>
      <c r="Q762" t="n">
        <v>0</v>
      </c>
      <c r="R762" s="2" t="inlineStr"/>
    </row>
    <row r="763" ht="15" customHeight="1">
      <c r="A763" t="inlineStr">
        <is>
          <t>A 44626-2025</t>
        </is>
      </c>
      <c r="B763" s="1" t="n">
        <v>45917</v>
      </c>
      <c r="C763" s="1" t="n">
        <v>45999</v>
      </c>
      <c r="D763" t="inlineStr">
        <is>
          <t>VÄSTERBOTTENS LÄN</t>
        </is>
      </c>
      <c r="E763" t="inlineStr">
        <is>
          <t>VILHELMINA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21345-2024</t>
        </is>
      </c>
      <c r="B764" s="1" t="n">
        <v>45440.92866898148</v>
      </c>
      <c r="C764" s="1" t="n">
        <v>45999</v>
      </c>
      <c r="D764" t="inlineStr">
        <is>
          <t>VÄSTERBOTTENS LÄN</t>
        </is>
      </c>
      <c r="E764" t="inlineStr">
        <is>
          <t>VILHELMINA</t>
        </is>
      </c>
      <c r="G764" t="n">
        <v>3</v>
      </c>
      <c r="H764" t="n">
        <v>0</v>
      </c>
      <c r="I764" t="n">
        <v>0</v>
      </c>
      <c r="J764" t="n">
        <v>0</v>
      </c>
      <c r="K764" t="n">
        <v>0</v>
      </c>
      <c r="L764" t="n">
        <v>0</v>
      </c>
      <c r="M764" t="n">
        <v>0</v>
      </c>
      <c r="N764" t="n">
        <v>0</v>
      </c>
      <c r="O764" t="n">
        <v>0</v>
      </c>
      <c r="P764" t="n">
        <v>0</v>
      </c>
      <c r="Q764" t="n">
        <v>0</v>
      </c>
      <c r="R764" s="2" t="inlineStr"/>
    </row>
    <row r="765" ht="15" customHeight="1">
      <c r="A765" t="inlineStr">
        <is>
          <t>A 45027-2025</t>
        </is>
      </c>
      <c r="B765" s="1" t="n">
        <v>45918</v>
      </c>
      <c r="C765" s="1" t="n">
        <v>45999</v>
      </c>
      <c r="D765" t="inlineStr">
        <is>
          <t>VÄSTERBOTTENS LÄN</t>
        </is>
      </c>
      <c r="E765" t="inlineStr">
        <is>
          <t>VILHELMINA</t>
        </is>
      </c>
      <c r="G765" t="n">
        <v>14.3</v>
      </c>
      <c r="H765" t="n">
        <v>0</v>
      </c>
      <c r="I765" t="n">
        <v>0</v>
      </c>
      <c r="J765" t="n">
        <v>0</v>
      </c>
      <c r="K765" t="n">
        <v>0</v>
      </c>
      <c r="L765" t="n">
        <v>0</v>
      </c>
      <c r="M765" t="n">
        <v>0</v>
      </c>
      <c r="N765" t="n">
        <v>0</v>
      </c>
      <c r="O765" t="n">
        <v>0</v>
      </c>
      <c r="P765" t="n">
        <v>0</v>
      </c>
      <c r="Q765" t="n">
        <v>0</v>
      </c>
      <c r="R765" s="2" t="inlineStr"/>
    </row>
    <row r="766" ht="15" customHeight="1">
      <c r="A766" t="inlineStr">
        <is>
          <t>A 8859-2023</t>
        </is>
      </c>
      <c r="B766" s="1" t="n">
        <v>44978</v>
      </c>
      <c r="C766" s="1" t="n">
        <v>45999</v>
      </c>
      <c r="D766" t="inlineStr">
        <is>
          <t>VÄSTERBOTTENS LÄN</t>
        </is>
      </c>
      <c r="E766" t="inlineStr">
        <is>
          <t>VILHELMINA</t>
        </is>
      </c>
      <c r="G766" t="n">
        <v>6.3</v>
      </c>
      <c r="H766" t="n">
        <v>0</v>
      </c>
      <c r="I766" t="n">
        <v>0</v>
      </c>
      <c r="J766" t="n">
        <v>0</v>
      </c>
      <c r="K766" t="n">
        <v>0</v>
      </c>
      <c r="L766" t="n">
        <v>0</v>
      </c>
      <c r="M766" t="n">
        <v>0</v>
      </c>
      <c r="N766" t="n">
        <v>0</v>
      </c>
      <c r="O766" t="n">
        <v>0</v>
      </c>
      <c r="P766" t="n">
        <v>0</v>
      </c>
      <c r="Q766" t="n">
        <v>0</v>
      </c>
      <c r="R766" s="2" t="inlineStr"/>
    </row>
    <row r="767" ht="15" customHeight="1">
      <c r="A767" t="inlineStr">
        <is>
          <t>A 26722-2025</t>
        </is>
      </c>
      <c r="B767" s="1" t="n">
        <v>45810</v>
      </c>
      <c r="C767" s="1" t="n">
        <v>45999</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57792-2025</t>
        </is>
      </c>
      <c r="B768" s="1" t="n">
        <v>45981.57957175926</v>
      </c>
      <c r="C768" s="1" t="n">
        <v>45999</v>
      </c>
      <c r="D768" t="inlineStr">
        <is>
          <t>VÄSTERBOTTENS LÄN</t>
        </is>
      </c>
      <c r="E768" t="inlineStr">
        <is>
          <t>VILHELMINA</t>
        </is>
      </c>
      <c r="G768" t="n">
        <v>1.3</v>
      </c>
      <c r="H768" t="n">
        <v>0</v>
      </c>
      <c r="I768" t="n">
        <v>0</v>
      </c>
      <c r="J768" t="n">
        <v>0</v>
      </c>
      <c r="K768" t="n">
        <v>0</v>
      </c>
      <c r="L768" t="n">
        <v>0</v>
      </c>
      <c r="M768" t="n">
        <v>0</v>
      </c>
      <c r="N768" t="n">
        <v>0</v>
      </c>
      <c r="O768" t="n">
        <v>0</v>
      </c>
      <c r="P768" t="n">
        <v>0</v>
      </c>
      <c r="Q768" t="n">
        <v>0</v>
      </c>
      <c r="R768" s="2" t="inlineStr"/>
    </row>
    <row r="769" ht="15" customHeight="1">
      <c r="A769" t="inlineStr">
        <is>
          <t>A 26744-2025</t>
        </is>
      </c>
      <c r="B769" s="1" t="n">
        <v>45810.53185185185</v>
      </c>
      <c r="C769" s="1" t="n">
        <v>45999</v>
      </c>
      <c r="D769" t="inlineStr">
        <is>
          <t>VÄSTERBOTTENS LÄN</t>
        </is>
      </c>
      <c r="E769" t="inlineStr">
        <is>
          <t>VILHELMINA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38297-2024</t>
        </is>
      </c>
      <c r="B770" s="1" t="n">
        <v>45545</v>
      </c>
      <c r="C770" s="1" t="n">
        <v>45999</v>
      </c>
      <c r="D770" t="inlineStr">
        <is>
          <t>VÄSTERBOTTENS LÄN</t>
        </is>
      </c>
      <c r="E770" t="inlineStr">
        <is>
          <t>VILHELMINA</t>
        </is>
      </c>
      <c r="G770" t="n">
        <v>139.8</v>
      </c>
      <c r="H770" t="n">
        <v>0</v>
      </c>
      <c r="I770" t="n">
        <v>0</v>
      </c>
      <c r="J770" t="n">
        <v>0</v>
      </c>
      <c r="K770" t="n">
        <v>0</v>
      </c>
      <c r="L770" t="n">
        <v>0</v>
      </c>
      <c r="M770" t="n">
        <v>0</v>
      </c>
      <c r="N770" t="n">
        <v>0</v>
      </c>
      <c r="O770" t="n">
        <v>0</v>
      </c>
      <c r="P770" t="n">
        <v>0</v>
      </c>
      <c r="Q770" t="n">
        <v>0</v>
      </c>
      <c r="R770" s="2" t="inlineStr"/>
    </row>
    <row r="771" ht="15" customHeight="1">
      <c r="A771" t="inlineStr">
        <is>
          <t>A 26790-2025</t>
        </is>
      </c>
      <c r="B771" s="1" t="n">
        <v>45810.59417824074</v>
      </c>
      <c r="C771" s="1" t="n">
        <v>45999</v>
      </c>
      <c r="D771" t="inlineStr">
        <is>
          <t>VÄSTERBOTTENS LÄN</t>
        </is>
      </c>
      <c r="E771" t="inlineStr">
        <is>
          <t>VILHELMINA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26745-2025</t>
        </is>
      </c>
      <c r="B772" s="1" t="n">
        <v>45810.53188657408</v>
      </c>
      <c r="C772" s="1" t="n">
        <v>45999</v>
      </c>
      <c r="D772" t="inlineStr">
        <is>
          <t>VÄSTERBOTTENS LÄN</t>
        </is>
      </c>
      <c r="E772" t="inlineStr">
        <is>
          <t>VILHELMINA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50282-2025</t>
        </is>
      </c>
      <c r="B773" s="1" t="n">
        <v>45944.3862037037</v>
      </c>
      <c r="C773" s="1" t="n">
        <v>45999</v>
      </c>
      <c r="D773" t="inlineStr">
        <is>
          <t>VÄSTERBOTTENS LÄN</t>
        </is>
      </c>
      <c r="E773" t="inlineStr">
        <is>
          <t>VILHELMINA</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50148-2025</t>
        </is>
      </c>
      <c r="B774" s="1" t="n">
        <v>45943.57296296296</v>
      </c>
      <c r="C774" s="1" t="n">
        <v>45999</v>
      </c>
      <c r="D774" t="inlineStr">
        <is>
          <t>VÄSTERBOTTENS LÄN</t>
        </is>
      </c>
      <c r="E774" t="inlineStr">
        <is>
          <t>VILHELMINA</t>
        </is>
      </c>
      <c r="G774" t="n">
        <v>18.9</v>
      </c>
      <c r="H774" t="n">
        <v>0</v>
      </c>
      <c r="I774" t="n">
        <v>0</v>
      </c>
      <c r="J774" t="n">
        <v>0</v>
      </c>
      <c r="K774" t="n">
        <v>0</v>
      </c>
      <c r="L774" t="n">
        <v>0</v>
      </c>
      <c r="M774" t="n">
        <v>0</v>
      </c>
      <c r="N774" t="n">
        <v>0</v>
      </c>
      <c r="O774" t="n">
        <v>0</v>
      </c>
      <c r="P774" t="n">
        <v>0</v>
      </c>
      <c r="Q774" t="n">
        <v>0</v>
      </c>
      <c r="R774" s="2" t="inlineStr"/>
    </row>
    <row r="775" ht="15" customHeight="1">
      <c r="A775" t="inlineStr">
        <is>
          <t>A 58300-2025</t>
        </is>
      </c>
      <c r="B775" s="1" t="n">
        <v>45985</v>
      </c>
      <c r="C775" s="1" t="n">
        <v>45999</v>
      </c>
      <c r="D775" t="inlineStr">
        <is>
          <t>VÄSTERBOTTENS LÄN</t>
        </is>
      </c>
      <c r="E775" t="inlineStr">
        <is>
          <t>VILHELMINA</t>
        </is>
      </c>
      <c r="G775" t="n">
        <v>2.4</v>
      </c>
      <c r="H775" t="n">
        <v>0</v>
      </c>
      <c r="I775" t="n">
        <v>0</v>
      </c>
      <c r="J775" t="n">
        <v>0</v>
      </c>
      <c r="K775" t="n">
        <v>0</v>
      </c>
      <c r="L775" t="n">
        <v>0</v>
      </c>
      <c r="M775" t="n">
        <v>0</v>
      </c>
      <c r="N775" t="n">
        <v>0</v>
      </c>
      <c r="O775" t="n">
        <v>0</v>
      </c>
      <c r="P775" t="n">
        <v>0</v>
      </c>
      <c r="Q775" t="n">
        <v>0</v>
      </c>
      <c r="R775" s="2" t="inlineStr"/>
    </row>
    <row r="776" ht="15" customHeight="1">
      <c r="A776" t="inlineStr">
        <is>
          <t>A 56624-2024</t>
        </is>
      </c>
      <c r="B776" s="1" t="n">
        <v>45625</v>
      </c>
      <c r="C776" s="1" t="n">
        <v>45999</v>
      </c>
      <c r="D776" t="inlineStr">
        <is>
          <t>VÄSTERBOTTENS LÄN</t>
        </is>
      </c>
      <c r="E776" t="inlineStr">
        <is>
          <t>VILHELMINA</t>
        </is>
      </c>
      <c r="F776" t="inlineStr">
        <is>
          <t>Allmännings- och besparingsskogar</t>
        </is>
      </c>
      <c r="G776" t="n">
        <v>17.8</v>
      </c>
      <c r="H776" t="n">
        <v>0</v>
      </c>
      <c r="I776" t="n">
        <v>0</v>
      </c>
      <c r="J776" t="n">
        <v>0</v>
      </c>
      <c r="K776" t="n">
        <v>0</v>
      </c>
      <c r="L776" t="n">
        <v>0</v>
      </c>
      <c r="M776" t="n">
        <v>0</v>
      </c>
      <c r="N776" t="n">
        <v>0</v>
      </c>
      <c r="O776" t="n">
        <v>0</v>
      </c>
      <c r="P776" t="n">
        <v>0</v>
      </c>
      <c r="Q776" t="n">
        <v>0</v>
      </c>
      <c r="R776" s="2" t="inlineStr"/>
    </row>
    <row r="777" ht="15" customHeight="1">
      <c r="A777" t="inlineStr">
        <is>
          <t>A 58420-2025</t>
        </is>
      </c>
      <c r="B777" s="1" t="n">
        <v>45985.58819444444</v>
      </c>
      <c r="C777" s="1" t="n">
        <v>45999</v>
      </c>
      <c r="D777" t="inlineStr">
        <is>
          <t>VÄSTERBOTTENS LÄN</t>
        </is>
      </c>
      <c r="E777" t="inlineStr">
        <is>
          <t>VILHELMINA</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59022-2024</t>
        </is>
      </c>
      <c r="B778" s="1" t="n">
        <v>45636</v>
      </c>
      <c r="C778" s="1" t="n">
        <v>45999</v>
      </c>
      <c r="D778" t="inlineStr">
        <is>
          <t>VÄSTERBOTTENS LÄN</t>
        </is>
      </c>
      <c r="E778" t="inlineStr">
        <is>
          <t>VILHELMINA</t>
        </is>
      </c>
      <c r="F778" t="inlineStr">
        <is>
          <t>Allmännings- och besparingsskogar</t>
        </is>
      </c>
      <c r="G778" t="n">
        <v>35</v>
      </c>
      <c r="H778" t="n">
        <v>0</v>
      </c>
      <c r="I778" t="n">
        <v>0</v>
      </c>
      <c r="J778" t="n">
        <v>0</v>
      </c>
      <c r="K778" t="n">
        <v>0</v>
      </c>
      <c r="L778" t="n">
        <v>0</v>
      </c>
      <c r="M778" t="n">
        <v>0</v>
      </c>
      <c r="N778" t="n">
        <v>0</v>
      </c>
      <c r="O778" t="n">
        <v>0</v>
      </c>
      <c r="P778" t="n">
        <v>0</v>
      </c>
      <c r="Q778" t="n">
        <v>0</v>
      </c>
      <c r="R778" s="2" t="inlineStr"/>
    </row>
    <row r="779" ht="15" customHeight="1">
      <c r="A779" t="inlineStr">
        <is>
          <t>A 59011-2024</t>
        </is>
      </c>
      <c r="B779" s="1" t="n">
        <v>45636</v>
      </c>
      <c r="C779" s="1" t="n">
        <v>45999</v>
      </c>
      <c r="D779" t="inlineStr">
        <is>
          <t>VÄSTERBOTTENS LÄN</t>
        </is>
      </c>
      <c r="E779" t="inlineStr">
        <is>
          <t>VILHELMINA</t>
        </is>
      </c>
      <c r="F779" t="inlineStr">
        <is>
          <t>Allmännings- och besparingsskogar</t>
        </is>
      </c>
      <c r="G779" t="n">
        <v>36</v>
      </c>
      <c r="H779" t="n">
        <v>0</v>
      </c>
      <c r="I779" t="n">
        <v>0</v>
      </c>
      <c r="J779" t="n">
        <v>0</v>
      </c>
      <c r="K779" t="n">
        <v>0</v>
      </c>
      <c r="L779" t="n">
        <v>0</v>
      </c>
      <c r="M779" t="n">
        <v>0</v>
      </c>
      <c r="N779" t="n">
        <v>0</v>
      </c>
      <c r="O779" t="n">
        <v>0</v>
      </c>
      <c r="P779" t="n">
        <v>0</v>
      </c>
      <c r="Q779" t="n">
        <v>0</v>
      </c>
      <c r="R779" s="2" t="inlineStr"/>
    </row>
    <row r="780" ht="15" customHeight="1">
      <c r="A780" t="inlineStr">
        <is>
          <t>A 59003-2024</t>
        </is>
      </c>
      <c r="B780" s="1" t="n">
        <v>45636</v>
      </c>
      <c r="C780" s="1" t="n">
        <v>45999</v>
      </c>
      <c r="D780" t="inlineStr">
        <is>
          <t>VÄSTERBOTTENS LÄN</t>
        </is>
      </c>
      <c r="E780" t="inlineStr">
        <is>
          <t>VILHELMINA</t>
        </is>
      </c>
      <c r="F780" t="inlineStr">
        <is>
          <t>Allmännings- och besparingsskogar</t>
        </is>
      </c>
      <c r="G780" t="n">
        <v>22</v>
      </c>
      <c r="H780" t="n">
        <v>0</v>
      </c>
      <c r="I780" t="n">
        <v>0</v>
      </c>
      <c r="J780" t="n">
        <v>0</v>
      </c>
      <c r="K780" t="n">
        <v>0</v>
      </c>
      <c r="L780" t="n">
        <v>0</v>
      </c>
      <c r="M780" t="n">
        <v>0</v>
      </c>
      <c r="N780" t="n">
        <v>0</v>
      </c>
      <c r="O780" t="n">
        <v>0</v>
      </c>
      <c r="P780" t="n">
        <v>0</v>
      </c>
      <c r="Q780" t="n">
        <v>0</v>
      </c>
      <c r="R780" s="2" t="inlineStr"/>
    </row>
    <row r="781" ht="15" customHeight="1">
      <c r="A781" t="inlineStr">
        <is>
          <t>A 56629-2024</t>
        </is>
      </c>
      <c r="B781" s="1" t="n">
        <v>45625</v>
      </c>
      <c r="C781" s="1" t="n">
        <v>45999</v>
      </c>
      <c r="D781" t="inlineStr">
        <is>
          <t>VÄSTERBOTTENS LÄN</t>
        </is>
      </c>
      <c r="E781" t="inlineStr">
        <is>
          <t>VILHELMINA</t>
        </is>
      </c>
      <c r="F781" t="inlineStr">
        <is>
          <t>Allmännings- och besparingsskogar</t>
        </is>
      </c>
      <c r="G781" t="n">
        <v>20</v>
      </c>
      <c r="H781" t="n">
        <v>0</v>
      </c>
      <c r="I781" t="n">
        <v>0</v>
      </c>
      <c r="J781" t="n">
        <v>0</v>
      </c>
      <c r="K781" t="n">
        <v>0</v>
      </c>
      <c r="L781" t="n">
        <v>0</v>
      </c>
      <c r="M781" t="n">
        <v>0</v>
      </c>
      <c r="N781" t="n">
        <v>0</v>
      </c>
      <c r="O781" t="n">
        <v>0</v>
      </c>
      <c r="P781" t="n">
        <v>0</v>
      </c>
      <c r="Q781" t="n">
        <v>0</v>
      </c>
      <c r="R781" s="2" t="inlineStr"/>
    </row>
    <row r="782" ht="15" customHeight="1">
      <c r="A782" t="inlineStr">
        <is>
          <t>A 50305-2025</t>
        </is>
      </c>
      <c r="B782" s="1" t="n">
        <v>45944.42415509259</v>
      </c>
      <c r="C782" s="1" t="n">
        <v>45999</v>
      </c>
      <c r="D782" t="inlineStr">
        <is>
          <t>VÄSTERBOTTENS LÄN</t>
        </is>
      </c>
      <c r="E782" t="inlineStr">
        <is>
          <t>VILHELMINA</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45435-2025</t>
        </is>
      </c>
      <c r="B783" s="1" t="n">
        <v>45922.46759259259</v>
      </c>
      <c r="C783" s="1" t="n">
        <v>45999</v>
      </c>
      <c r="D783" t="inlineStr">
        <is>
          <t>VÄSTERBOTTENS LÄN</t>
        </is>
      </c>
      <c r="E783" t="inlineStr">
        <is>
          <t>VILHELMINA</t>
        </is>
      </c>
      <c r="G783" t="n">
        <v>4.6</v>
      </c>
      <c r="H783" t="n">
        <v>0</v>
      </c>
      <c r="I783" t="n">
        <v>0</v>
      </c>
      <c r="J783" t="n">
        <v>0</v>
      </c>
      <c r="K783" t="n">
        <v>0</v>
      </c>
      <c r="L783" t="n">
        <v>0</v>
      </c>
      <c r="M783" t="n">
        <v>0</v>
      </c>
      <c r="N783" t="n">
        <v>0</v>
      </c>
      <c r="O783" t="n">
        <v>0</v>
      </c>
      <c r="P783" t="n">
        <v>0</v>
      </c>
      <c r="Q783" t="n">
        <v>0</v>
      </c>
      <c r="R783" s="2" t="inlineStr"/>
    </row>
    <row r="784" ht="15" customHeight="1">
      <c r="A784" t="inlineStr">
        <is>
          <t>A 27601-2025</t>
        </is>
      </c>
      <c r="B784" s="1" t="n">
        <v>45813.52791666667</v>
      </c>
      <c r="C784" s="1" t="n">
        <v>45999</v>
      </c>
      <c r="D784" t="inlineStr">
        <is>
          <t>VÄSTERBOTTENS LÄN</t>
        </is>
      </c>
      <c r="E784" t="inlineStr">
        <is>
          <t>VILHELMINA</t>
        </is>
      </c>
      <c r="F784" t="inlineStr">
        <is>
          <t>Övriga statliga verk och myndigheter</t>
        </is>
      </c>
      <c r="G784" t="n">
        <v>36.5</v>
      </c>
      <c r="H784" t="n">
        <v>0</v>
      </c>
      <c r="I784" t="n">
        <v>0</v>
      </c>
      <c r="J784" t="n">
        <v>0</v>
      </c>
      <c r="K784" t="n">
        <v>0</v>
      </c>
      <c r="L784" t="n">
        <v>0</v>
      </c>
      <c r="M784" t="n">
        <v>0</v>
      </c>
      <c r="N784" t="n">
        <v>0</v>
      </c>
      <c r="O784" t="n">
        <v>0</v>
      </c>
      <c r="P784" t="n">
        <v>0</v>
      </c>
      <c r="Q784" t="n">
        <v>0</v>
      </c>
      <c r="R784" s="2" t="inlineStr"/>
    </row>
    <row r="785" ht="15" customHeight="1">
      <c r="A785" t="inlineStr">
        <is>
          <t>A 27945-2025</t>
        </is>
      </c>
      <c r="B785" s="1" t="n">
        <v>45817</v>
      </c>
      <c r="C785" s="1" t="n">
        <v>45999</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45999</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21965-2025</t>
        </is>
      </c>
      <c r="B787" s="1" t="n">
        <v>45784</v>
      </c>
      <c r="C787" s="1" t="n">
        <v>45999</v>
      </c>
      <c r="D787" t="inlineStr">
        <is>
          <t>VÄSTERBOTTENS LÄN</t>
        </is>
      </c>
      <c r="E787" t="inlineStr">
        <is>
          <t>VILHELMINA</t>
        </is>
      </c>
      <c r="G787" t="n">
        <v>7.4</v>
      </c>
      <c r="H787" t="n">
        <v>0</v>
      </c>
      <c r="I787" t="n">
        <v>0</v>
      </c>
      <c r="J787" t="n">
        <v>0</v>
      </c>
      <c r="K787" t="n">
        <v>0</v>
      </c>
      <c r="L787" t="n">
        <v>0</v>
      </c>
      <c r="M787" t="n">
        <v>0</v>
      </c>
      <c r="N787" t="n">
        <v>0</v>
      </c>
      <c r="O787" t="n">
        <v>0</v>
      </c>
      <c r="P787" t="n">
        <v>0</v>
      </c>
      <c r="Q787" t="n">
        <v>0</v>
      </c>
      <c r="R787" s="2" t="inlineStr"/>
    </row>
    <row r="788" ht="15" customHeight="1">
      <c r="A788" t="inlineStr">
        <is>
          <t>A 28019-2025</t>
        </is>
      </c>
      <c r="B788" s="1" t="n">
        <v>45817.61545138889</v>
      </c>
      <c r="C788" s="1" t="n">
        <v>45999</v>
      </c>
      <c r="D788" t="inlineStr">
        <is>
          <t>VÄSTERBOTTENS LÄN</t>
        </is>
      </c>
      <c r="E788" t="inlineStr">
        <is>
          <t>VILHELMINA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27943-2025</t>
        </is>
      </c>
      <c r="B789" s="1" t="n">
        <v>45817.51078703703</v>
      </c>
      <c r="C789" s="1" t="n">
        <v>45999</v>
      </c>
      <c r="D789" t="inlineStr">
        <is>
          <t>VÄSTERBOTTENS LÄN</t>
        </is>
      </c>
      <c r="E789" t="inlineStr">
        <is>
          <t>VILHELMINA</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27952-2025</t>
        </is>
      </c>
      <c r="B790" s="1" t="n">
        <v>45817.53157407408</v>
      </c>
      <c r="C790" s="1" t="n">
        <v>45999</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28016-2025</t>
        </is>
      </c>
      <c r="B791" s="1" t="n">
        <v>45817.61506944444</v>
      </c>
      <c r="C791" s="1" t="n">
        <v>45999</v>
      </c>
      <c r="D791" t="inlineStr">
        <is>
          <t>VÄSTERBOTTENS LÄN</t>
        </is>
      </c>
      <c r="E791" t="inlineStr">
        <is>
          <t>VILHELMINA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28050-2025</t>
        </is>
      </c>
      <c r="B792" s="1" t="n">
        <v>45817.65658564815</v>
      </c>
      <c r="C792" s="1" t="n">
        <v>45999</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45271-2025</t>
        </is>
      </c>
      <c r="B793" s="1" t="n">
        <v>45919</v>
      </c>
      <c r="C793" s="1" t="n">
        <v>45999</v>
      </c>
      <c r="D793" t="inlineStr">
        <is>
          <t>VÄSTERBOTTENS LÄN</t>
        </is>
      </c>
      <c r="E793" t="inlineStr">
        <is>
          <t>VILHELMINA</t>
        </is>
      </c>
      <c r="G793" t="n">
        <v>8.6</v>
      </c>
      <c r="H793" t="n">
        <v>0</v>
      </c>
      <c r="I793" t="n">
        <v>0</v>
      </c>
      <c r="J793" t="n">
        <v>0</v>
      </c>
      <c r="K793" t="n">
        <v>0</v>
      </c>
      <c r="L793" t="n">
        <v>0</v>
      </c>
      <c r="M793" t="n">
        <v>0</v>
      </c>
      <c r="N793" t="n">
        <v>0</v>
      </c>
      <c r="O793" t="n">
        <v>0</v>
      </c>
      <c r="P793" t="n">
        <v>0</v>
      </c>
      <c r="Q793" t="n">
        <v>0</v>
      </c>
      <c r="R793" s="2" t="inlineStr"/>
    </row>
    <row r="794" ht="15" customHeight="1">
      <c r="A794" t="inlineStr">
        <is>
          <t>A 18564-2022</t>
        </is>
      </c>
      <c r="B794" s="1" t="n">
        <v>44686</v>
      </c>
      <c r="C794" s="1" t="n">
        <v>45999</v>
      </c>
      <c r="D794" t="inlineStr">
        <is>
          <t>VÄSTERBOTTENS LÄN</t>
        </is>
      </c>
      <c r="E794" t="inlineStr">
        <is>
          <t>VILHELMINA</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28071-2025</t>
        </is>
      </c>
      <c r="B795" s="1" t="n">
        <v>45817.67755787037</v>
      </c>
      <c r="C795" s="1" t="n">
        <v>45999</v>
      </c>
      <c r="D795" t="inlineStr">
        <is>
          <t>VÄSTERBOTTENS LÄN</t>
        </is>
      </c>
      <c r="E795" t="inlineStr">
        <is>
          <t>VILHELMINA</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50922-2025</t>
        </is>
      </c>
      <c r="B796" s="1" t="n">
        <v>45946.67149305555</v>
      </c>
      <c r="C796" s="1" t="n">
        <v>45999</v>
      </c>
      <c r="D796" t="inlineStr">
        <is>
          <t>VÄSTERBOTTENS LÄN</t>
        </is>
      </c>
      <c r="E796" t="inlineStr">
        <is>
          <t>VILHELMINA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28897-2025</t>
        </is>
      </c>
      <c r="B797" s="1" t="n">
        <v>45820.6360300926</v>
      </c>
      <c r="C797" s="1" t="n">
        <v>45999</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38125-2024</t>
        </is>
      </c>
      <c r="B798" s="1" t="n">
        <v>45545.40717592592</v>
      </c>
      <c r="C798" s="1" t="n">
        <v>45999</v>
      </c>
      <c r="D798" t="inlineStr">
        <is>
          <t>VÄSTERBOTTENS LÄN</t>
        </is>
      </c>
      <c r="E798" t="inlineStr">
        <is>
          <t>VILHELMINA</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45749-2025</t>
        </is>
      </c>
      <c r="B799" s="1" t="n">
        <v>45923.48195601852</v>
      </c>
      <c r="C799" s="1" t="n">
        <v>45999</v>
      </c>
      <c r="D799" t="inlineStr">
        <is>
          <t>VÄSTERBOTTENS LÄN</t>
        </is>
      </c>
      <c r="E799" t="inlineStr">
        <is>
          <t>VILHELMINA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29203-2025</t>
        </is>
      </c>
      <c r="B800" s="1" t="n">
        <v>45823</v>
      </c>
      <c r="C800" s="1" t="n">
        <v>45999</v>
      </c>
      <c r="D800" t="inlineStr">
        <is>
          <t>VÄSTERBOTTENS LÄN</t>
        </is>
      </c>
      <c r="E800" t="inlineStr">
        <is>
          <t>VILHELMINA</t>
        </is>
      </c>
      <c r="G800" t="n">
        <v>2.3</v>
      </c>
      <c r="H800" t="n">
        <v>0</v>
      </c>
      <c r="I800" t="n">
        <v>0</v>
      </c>
      <c r="J800" t="n">
        <v>0</v>
      </c>
      <c r="K800" t="n">
        <v>0</v>
      </c>
      <c r="L800" t="n">
        <v>0</v>
      </c>
      <c r="M800" t="n">
        <v>0</v>
      </c>
      <c r="N800" t="n">
        <v>0</v>
      </c>
      <c r="O800" t="n">
        <v>0</v>
      </c>
      <c r="P800" t="n">
        <v>0</v>
      </c>
      <c r="Q800" t="n">
        <v>0</v>
      </c>
      <c r="R800" s="2" t="inlineStr"/>
    </row>
    <row r="801" ht="15" customHeight="1">
      <c r="A801" t="inlineStr">
        <is>
          <t>A 29120-2025</t>
        </is>
      </c>
      <c r="B801" s="1" t="n">
        <v>45821</v>
      </c>
      <c r="C801" s="1" t="n">
        <v>45999</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29234-2025</t>
        </is>
      </c>
      <c r="B802" s="1" t="n">
        <v>45824.34478009259</v>
      </c>
      <c r="C802" s="1" t="n">
        <v>45999</v>
      </c>
      <c r="D802" t="inlineStr">
        <is>
          <t>VÄSTERBOTTENS LÄN</t>
        </is>
      </c>
      <c r="E802" t="inlineStr">
        <is>
          <t>VILHELMINA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38126-2024</t>
        </is>
      </c>
      <c r="B803" s="1" t="n">
        <v>45545</v>
      </c>
      <c r="C803" s="1" t="n">
        <v>45999</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38130-2024</t>
        </is>
      </c>
      <c r="B804" s="1" t="n">
        <v>45545</v>
      </c>
      <c r="C804" s="1" t="n">
        <v>45999</v>
      </c>
      <c r="D804" t="inlineStr">
        <is>
          <t>VÄSTERBOTTENS LÄN</t>
        </is>
      </c>
      <c r="E804" t="inlineStr">
        <is>
          <t>VILHELMINA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54738-2025</t>
        </is>
      </c>
      <c r="B805" s="1" t="n">
        <v>45966</v>
      </c>
      <c r="C805" s="1" t="n">
        <v>45999</v>
      </c>
      <c r="D805" t="inlineStr">
        <is>
          <t>VÄSTERBOTTENS LÄN</t>
        </is>
      </c>
      <c r="E805" t="inlineStr">
        <is>
          <t>VILHELMINA</t>
        </is>
      </c>
      <c r="G805" t="n">
        <v>6.6</v>
      </c>
      <c r="H805" t="n">
        <v>0</v>
      </c>
      <c r="I805" t="n">
        <v>0</v>
      </c>
      <c r="J805" t="n">
        <v>0</v>
      </c>
      <c r="K805" t="n">
        <v>0</v>
      </c>
      <c r="L805" t="n">
        <v>0</v>
      </c>
      <c r="M805" t="n">
        <v>0</v>
      </c>
      <c r="N805" t="n">
        <v>0</v>
      </c>
      <c r="O805" t="n">
        <v>0</v>
      </c>
      <c r="P805" t="n">
        <v>0</v>
      </c>
      <c r="Q805" t="n">
        <v>0</v>
      </c>
      <c r="R805" s="2" t="inlineStr"/>
    </row>
    <row r="806" ht="15" customHeight="1">
      <c r="A806" t="inlineStr">
        <is>
          <t>A 51042-2025</t>
        </is>
      </c>
      <c r="B806" s="1" t="n">
        <v>45947.42334490741</v>
      </c>
      <c r="C806" s="1" t="n">
        <v>45999</v>
      </c>
      <c r="D806" t="inlineStr">
        <is>
          <t>VÄSTERBOTTENS LÄN</t>
        </is>
      </c>
      <c r="E806" t="inlineStr">
        <is>
          <t>VILHELMINA</t>
        </is>
      </c>
      <c r="G806" t="n">
        <v>12.6</v>
      </c>
      <c r="H806" t="n">
        <v>0</v>
      </c>
      <c r="I806" t="n">
        <v>0</v>
      </c>
      <c r="J806" t="n">
        <v>0</v>
      </c>
      <c r="K806" t="n">
        <v>0</v>
      </c>
      <c r="L806" t="n">
        <v>0</v>
      </c>
      <c r="M806" t="n">
        <v>0</v>
      </c>
      <c r="N806" t="n">
        <v>0</v>
      </c>
      <c r="O806" t="n">
        <v>0</v>
      </c>
      <c r="P806" t="n">
        <v>0</v>
      </c>
      <c r="Q806" t="n">
        <v>0</v>
      </c>
      <c r="R806" s="2" t="inlineStr"/>
    </row>
    <row r="807" ht="15" customHeight="1">
      <c r="A807" t="inlineStr">
        <is>
          <t>A 55095-2025</t>
        </is>
      </c>
      <c r="B807" s="1" t="n">
        <v>45968.34498842592</v>
      </c>
      <c r="C807" s="1" t="n">
        <v>45999</v>
      </c>
      <c r="D807" t="inlineStr">
        <is>
          <t>VÄSTERBOTTENS LÄN</t>
        </is>
      </c>
      <c r="E807" t="inlineStr">
        <is>
          <t>VILHELMINA</t>
        </is>
      </c>
      <c r="F807" t="inlineStr">
        <is>
          <t>SCA</t>
        </is>
      </c>
      <c r="G807" t="n">
        <v>8</v>
      </c>
      <c r="H807" t="n">
        <v>0</v>
      </c>
      <c r="I807" t="n">
        <v>0</v>
      </c>
      <c r="J807" t="n">
        <v>0</v>
      </c>
      <c r="K807" t="n">
        <v>0</v>
      </c>
      <c r="L807" t="n">
        <v>0</v>
      </c>
      <c r="M807" t="n">
        <v>0</v>
      </c>
      <c r="N807" t="n">
        <v>0</v>
      </c>
      <c r="O807" t="n">
        <v>0</v>
      </c>
      <c r="P807" t="n">
        <v>0</v>
      </c>
      <c r="Q807" t="n">
        <v>0</v>
      </c>
      <c r="R807" s="2" t="inlineStr"/>
    </row>
    <row r="808" ht="15" customHeight="1">
      <c r="A808" t="inlineStr">
        <is>
          <t>A 29468-2025</t>
        </is>
      </c>
      <c r="B808" s="1" t="n">
        <v>45824.69888888889</v>
      </c>
      <c r="C808" s="1" t="n">
        <v>45999</v>
      </c>
      <c r="D808" t="inlineStr">
        <is>
          <t>VÄSTERBOTTENS LÄN</t>
        </is>
      </c>
      <c r="E808" t="inlineStr">
        <is>
          <t>VILHELMINA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29466-2025</t>
        </is>
      </c>
      <c r="B809" s="1" t="n">
        <v>45824.69865740741</v>
      </c>
      <c r="C809" s="1" t="n">
        <v>45999</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29940-2025</t>
        </is>
      </c>
      <c r="B810" s="1" t="n">
        <v>45826.45104166667</v>
      </c>
      <c r="C810" s="1" t="n">
        <v>45999</v>
      </c>
      <c r="D810" t="inlineStr">
        <is>
          <t>VÄSTERBOTTENS LÄN</t>
        </is>
      </c>
      <c r="E810" t="inlineStr">
        <is>
          <t>VILHELMINA</t>
        </is>
      </c>
      <c r="F810" t="inlineStr">
        <is>
          <t>Sveaskog</t>
        </is>
      </c>
      <c r="G810" t="n">
        <v>11.6</v>
      </c>
      <c r="H810" t="n">
        <v>0</v>
      </c>
      <c r="I810" t="n">
        <v>0</v>
      </c>
      <c r="J810" t="n">
        <v>0</v>
      </c>
      <c r="K810" t="n">
        <v>0</v>
      </c>
      <c r="L810" t="n">
        <v>0</v>
      </c>
      <c r="M810" t="n">
        <v>0</v>
      </c>
      <c r="N810" t="n">
        <v>0</v>
      </c>
      <c r="O810" t="n">
        <v>0</v>
      </c>
      <c r="P810" t="n">
        <v>0</v>
      </c>
      <c r="Q810" t="n">
        <v>0</v>
      </c>
      <c r="R810" s="2" t="inlineStr"/>
    </row>
    <row r="811" ht="15" customHeight="1">
      <c r="A811" t="inlineStr">
        <is>
          <t>A 59629-2025</t>
        </is>
      </c>
      <c r="B811" s="1" t="n">
        <v>45992.39248842592</v>
      </c>
      <c r="C811" s="1" t="n">
        <v>45999</v>
      </c>
      <c r="D811" t="inlineStr">
        <is>
          <t>VÄSTERBOTTENS LÄN</t>
        </is>
      </c>
      <c r="E811" t="inlineStr">
        <is>
          <t>VILHELMINA</t>
        </is>
      </c>
      <c r="G811" t="n">
        <v>12.6</v>
      </c>
      <c r="H811" t="n">
        <v>0</v>
      </c>
      <c r="I811" t="n">
        <v>0</v>
      </c>
      <c r="J811" t="n">
        <v>0</v>
      </c>
      <c r="K811" t="n">
        <v>0</v>
      </c>
      <c r="L811" t="n">
        <v>0</v>
      </c>
      <c r="M811" t="n">
        <v>0</v>
      </c>
      <c r="N811" t="n">
        <v>0</v>
      </c>
      <c r="O811" t="n">
        <v>0</v>
      </c>
      <c r="P811" t="n">
        <v>0</v>
      </c>
      <c r="Q811" t="n">
        <v>0</v>
      </c>
      <c r="R811" s="2" t="inlineStr"/>
    </row>
    <row r="812" ht="15" customHeight="1">
      <c r="A812" t="inlineStr">
        <is>
          <t>A 54920-2025</t>
        </is>
      </c>
      <c r="B812" s="1" t="n">
        <v>45967.38887731481</v>
      </c>
      <c r="C812" s="1" t="n">
        <v>45999</v>
      </c>
      <c r="D812" t="inlineStr">
        <is>
          <t>VÄSTERBOTTENS LÄN</t>
        </is>
      </c>
      <c r="E812" t="inlineStr">
        <is>
          <t>VILHELMINA</t>
        </is>
      </c>
      <c r="G812" t="n">
        <v>28.1</v>
      </c>
      <c r="H812" t="n">
        <v>0</v>
      </c>
      <c r="I812" t="n">
        <v>0</v>
      </c>
      <c r="J812" t="n">
        <v>0</v>
      </c>
      <c r="K812" t="n">
        <v>0</v>
      </c>
      <c r="L812" t="n">
        <v>0</v>
      </c>
      <c r="M812" t="n">
        <v>0</v>
      </c>
      <c r="N812" t="n">
        <v>0</v>
      </c>
      <c r="O812" t="n">
        <v>0</v>
      </c>
      <c r="P812" t="n">
        <v>0</v>
      </c>
      <c r="Q812" t="n">
        <v>0</v>
      </c>
      <c r="R812" s="2" t="inlineStr"/>
    </row>
    <row r="813" ht="15" customHeight="1">
      <c r="A813" t="inlineStr">
        <is>
          <t>A 54955-2025</t>
        </is>
      </c>
      <c r="B813" s="1" t="n">
        <v>45967</v>
      </c>
      <c r="C813" s="1" t="n">
        <v>45999</v>
      </c>
      <c r="D813" t="inlineStr">
        <is>
          <t>VÄSTERBOTTENS LÄN</t>
        </is>
      </c>
      <c r="E813" t="inlineStr">
        <is>
          <t>VILHELMINA</t>
        </is>
      </c>
      <c r="G813" t="n">
        <v>15.6</v>
      </c>
      <c r="H813" t="n">
        <v>0</v>
      </c>
      <c r="I813" t="n">
        <v>0</v>
      </c>
      <c r="J813" t="n">
        <v>0</v>
      </c>
      <c r="K813" t="n">
        <v>0</v>
      </c>
      <c r="L813" t="n">
        <v>0</v>
      </c>
      <c r="M813" t="n">
        <v>0</v>
      </c>
      <c r="N813" t="n">
        <v>0</v>
      </c>
      <c r="O813" t="n">
        <v>0</v>
      </c>
      <c r="P813" t="n">
        <v>0</v>
      </c>
      <c r="Q813" t="n">
        <v>0</v>
      </c>
      <c r="R813" s="2" t="inlineStr"/>
    </row>
    <row r="814" ht="15" customHeight="1">
      <c r="A814" t="inlineStr">
        <is>
          <t>A 29942-2025</t>
        </is>
      </c>
      <c r="B814" s="1" t="n">
        <v>45826.45702546297</v>
      </c>
      <c r="C814" s="1" t="n">
        <v>45999</v>
      </c>
      <c r="D814" t="inlineStr">
        <is>
          <t>VÄSTERBOTTENS LÄN</t>
        </is>
      </c>
      <c r="E814" t="inlineStr">
        <is>
          <t>VILHELMINA</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45999</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55092-2025</t>
        </is>
      </c>
      <c r="B816" s="1" t="n">
        <v>45968.34462962963</v>
      </c>
      <c r="C816" s="1" t="n">
        <v>45999</v>
      </c>
      <c r="D816" t="inlineStr">
        <is>
          <t>VÄSTERBOTTENS LÄN</t>
        </is>
      </c>
      <c r="E816" t="inlineStr">
        <is>
          <t>VILHELMINA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51651-2025</t>
        </is>
      </c>
      <c r="B817" s="1" t="n">
        <v>45951.46043981481</v>
      </c>
      <c r="C817" s="1" t="n">
        <v>45999</v>
      </c>
      <c r="D817" t="inlineStr">
        <is>
          <t>VÄSTERBOTTENS LÄN</t>
        </is>
      </c>
      <c r="E817" t="inlineStr">
        <is>
          <t>VILHELMINA</t>
        </is>
      </c>
      <c r="G817" t="n">
        <v>6.9</v>
      </c>
      <c r="H817" t="n">
        <v>0</v>
      </c>
      <c r="I817" t="n">
        <v>0</v>
      </c>
      <c r="J817" t="n">
        <v>0</v>
      </c>
      <c r="K817" t="n">
        <v>0</v>
      </c>
      <c r="L817" t="n">
        <v>0</v>
      </c>
      <c r="M817" t="n">
        <v>0</v>
      </c>
      <c r="N817" t="n">
        <v>0</v>
      </c>
      <c r="O817" t="n">
        <v>0</v>
      </c>
      <c r="P817" t="n">
        <v>0</v>
      </c>
      <c r="Q817" t="n">
        <v>0</v>
      </c>
      <c r="R817" s="2" t="inlineStr"/>
    </row>
    <row r="818" ht="15" customHeight="1">
      <c r="A818" t="inlineStr">
        <is>
          <t>A 51657-2025</t>
        </is>
      </c>
      <c r="B818" s="1" t="n">
        <v>45951.47362268518</v>
      </c>
      <c r="C818" s="1" t="n">
        <v>45999</v>
      </c>
      <c r="D818" t="inlineStr">
        <is>
          <t>VÄSTERBOTTENS LÄN</t>
        </is>
      </c>
      <c r="E818" t="inlineStr">
        <is>
          <t>VILHELMINA</t>
        </is>
      </c>
      <c r="G818" t="n">
        <v>14.4</v>
      </c>
      <c r="H818" t="n">
        <v>0</v>
      </c>
      <c r="I818" t="n">
        <v>0</v>
      </c>
      <c r="J818" t="n">
        <v>0</v>
      </c>
      <c r="K818" t="n">
        <v>0</v>
      </c>
      <c r="L818" t="n">
        <v>0</v>
      </c>
      <c r="M818" t="n">
        <v>0</v>
      </c>
      <c r="N818" t="n">
        <v>0</v>
      </c>
      <c r="O818" t="n">
        <v>0</v>
      </c>
      <c r="P818" t="n">
        <v>0</v>
      </c>
      <c r="Q818" t="n">
        <v>0</v>
      </c>
      <c r="R818" s="2" t="inlineStr"/>
    </row>
    <row r="819" ht="15" customHeight="1">
      <c r="A819" t="inlineStr">
        <is>
          <t>A 30553-2025</t>
        </is>
      </c>
      <c r="B819" s="1" t="n">
        <v>45831.38579861111</v>
      </c>
      <c r="C819" s="1" t="n">
        <v>45999</v>
      </c>
      <c r="D819" t="inlineStr">
        <is>
          <t>VÄSTERBOTTENS LÄN</t>
        </is>
      </c>
      <c r="E819" t="inlineStr">
        <is>
          <t>VILHELMINA</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59505-2025</t>
        </is>
      </c>
      <c r="B820" s="1" t="n">
        <v>45989</v>
      </c>
      <c r="C820" s="1" t="n">
        <v>45999</v>
      </c>
      <c r="D820" t="inlineStr">
        <is>
          <t>VÄSTERBOTTENS LÄN</t>
        </is>
      </c>
      <c r="E820" t="inlineStr">
        <is>
          <t>VILHELMINA</t>
        </is>
      </c>
      <c r="G820" t="n">
        <v>5.9</v>
      </c>
      <c r="H820" t="n">
        <v>0</v>
      </c>
      <c r="I820" t="n">
        <v>0</v>
      </c>
      <c r="J820" t="n">
        <v>0</v>
      </c>
      <c r="K820" t="n">
        <v>0</v>
      </c>
      <c r="L820" t="n">
        <v>0</v>
      </c>
      <c r="M820" t="n">
        <v>0</v>
      </c>
      <c r="N820" t="n">
        <v>0</v>
      </c>
      <c r="O820" t="n">
        <v>0</v>
      </c>
      <c r="P820" t="n">
        <v>0</v>
      </c>
      <c r="Q820" t="n">
        <v>0</v>
      </c>
      <c r="R820" s="2" t="inlineStr"/>
    </row>
    <row r="821" ht="15" customHeight="1">
      <c r="A821" t="inlineStr">
        <is>
          <t>A 60065-2025</t>
        </is>
      </c>
      <c r="B821" s="1" t="n">
        <v>45993.65892361111</v>
      </c>
      <c r="C821" s="1" t="n">
        <v>45999</v>
      </c>
      <c r="D821" t="inlineStr">
        <is>
          <t>VÄSTERBOTTENS LÄN</t>
        </is>
      </c>
      <c r="E821" t="inlineStr">
        <is>
          <t>VILHELMINA</t>
        </is>
      </c>
      <c r="G821" t="n">
        <v>5.8</v>
      </c>
      <c r="H821" t="n">
        <v>0</v>
      </c>
      <c r="I821" t="n">
        <v>0</v>
      </c>
      <c r="J821" t="n">
        <v>0</v>
      </c>
      <c r="K821" t="n">
        <v>0</v>
      </c>
      <c r="L821" t="n">
        <v>0</v>
      </c>
      <c r="M821" t="n">
        <v>0</v>
      </c>
      <c r="N821" t="n">
        <v>0</v>
      </c>
      <c r="O821" t="n">
        <v>0</v>
      </c>
      <c r="P821" t="n">
        <v>0</v>
      </c>
      <c r="Q821" t="n">
        <v>0</v>
      </c>
      <c r="R821" s="2" t="inlineStr"/>
    </row>
    <row r="822" ht="15" customHeight="1">
      <c r="A822" t="inlineStr">
        <is>
          <t>A 31696-2024</t>
        </is>
      </c>
      <c r="B822" s="1" t="n">
        <v>45508</v>
      </c>
      <c r="C822" s="1" t="n">
        <v>45999</v>
      </c>
      <c r="D822" t="inlineStr">
        <is>
          <t>VÄSTERBOTTENS LÄN</t>
        </is>
      </c>
      <c r="E822" t="inlineStr">
        <is>
          <t>VILHELMINA</t>
        </is>
      </c>
      <c r="G822" t="n">
        <v>12.4</v>
      </c>
      <c r="H822" t="n">
        <v>0</v>
      </c>
      <c r="I822" t="n">
        <v>0</v>
      </c>
      <c r="J822" t="n">
        <v>0</v>
      </c>
      <c r="K822" t="n">
        <v>0</v>
      </c>
      <c r="L822" t="n">
        <v>0</v>
      </c>
      <c r="M822" t="n">
        <v>0</v>
      </c>
      <c r="N822" t="n">
        <v>0</v>
      </c>
      <c r="O822" t="n">
        <v>0</v>
      </c>
      <c r="P822" t="n">
        <v>0</v>
      </c>
      <c r="Q822" t="n">
        <v>0</v>
      </c>
      <c r="R822" s="2" t="inlineStr"/>
    </row>
    <row r="823" ht="15" customHeight="1">
      <c r="A823" t="inlineStr">
        <is>
          <t>A 32683-2024</t>
        </is>
      </c>
      <c r="B823" s="1" t="n">
        <v>45515</v>
      </c>
      <c r="C823" s="1" t="n">
        <v>45999</v>
      </c>
      <c r="D823" t="inlineStr">
        <is>
          <t>VÄSTERBOTTENS LÄN</t>
        </is>
      </c>
      <c r="E823" t="inlineStr">
        <is>
          <t>VILHELMINA</t>
        </is>
      </c>
      <c r="G823" t="n">
        <v>6.1</v>
      </c>
      <c r="H823" t="n">
        <v>0</v>
      </c>
      <c r="I823" t="n">
        <v>0</v>
      </c>
      <c r="J823" t="n">
        <v>0</v>
      </c>
      <c r="K823" t="n">
        <v>0</v>
      </c>
      <c r="L823" t="n">
        <v>0</v>
      </c>
      <c r="M823" t="n">
        <v>0</v>
      </c>
      <c r="N823" t="n">
        <v>0</v>
      </c>
      <c r="O823" t="n">
        <v>0</v>
      </c>
      <c r="P823" t="n">
        <v>0</v>
      </c>
      <c r="Q823" t="n">
        <v>0</v>
      </c>
      <c r="R823" s="2" t="inlineStr"/>
    </row>
    <row r="824" ht="15" customHeight="1">
      <c r="A824" t="inlineStr">
        <is>
          <t>A 60057-2025</t>
        </is>
      </c>
      <c r="B824" s="1" t="n">
        <v>45993.65197916667</v>
      </c>
      <c r="C824" s="1" t="n">
        <v>45999</v>
      </c>
      <c r="D824" t="inlineStr">
        <is>
          <t>VÄSTERBOTTENS LÄN</t>
        </is>
      </c>
      <c r="E824" t="inlineStr">
        <is>
          <t>VILHELMINA</t>
        </is>
      </c>
      <c r="G824" t="n">
        <v>0.6</v>
      </c>
      <c r="H824" t="n">
        <v>0</v>
      </c>
      <c r="I824" t="n">
        <v>0</v>
      </c>
      <c r="J824" t="n">
        <v>0</v>
      </c>
      <c r="K824" t="n">
        <v>0</v>
      </c>
      <c r="L824" t="n">
        <v>0</v>
      </c>
      <c r="M824" t="n">
        <v>0</v>
      </c>
      <c r="N824" t="n">
        <v>0</v>
      </c>
      <c r="O824" t="n">
        <v>0</v>
      </c>
      <c r="P824" t="n">
        <v>0</v>
      </c>
      <c r="Q824" t="n">
        <v>0</v>
      </c>
      <c r="R824" s="2" t="inlineStr"/>
    </row>
    <row r="825" ht="15" customHeight="1">
      <c r="A825" t="inlineStr">
        <is>
          <t>A 52034-2025</t>
        </is>
      </c>
      <c r="B825" s="1" t="n">
        <v>45952.61252314815</v>
      </c>
      <c r="C825" s="1" t="n">
        <v>45999</v>
      </c>
      <c r="D825" t="inlineStr">
        <is>
          <t>VÄSTERBOTTENS LÄN</t>
        </is>
      </c>
      <c r="E825" t="inlineStr">
        <is>
          <t>VILHELMINA</t>
        </is>
      </c>
      <c r="G825" t="n">
        <v>9.6</v>
      </c>
      <c r="H825" t="n">
        <v>0</v>
      </c>
      <c r="I825" t="n">
        <v>0</v>
      </c>
      <c r="J825" t="n">
        <v>0</v>
      </c>
      <c r="K825" t="n">
        <v>0</v>
      </c>
      <c r="L825" t="n">
        <v>0</v>
      </c>
      <c r="M825" t="n">
        <v>0</v>
      </c>
      <c r="N825" t="n">
        <v>0</v>
      </c>
      <c r="O825" t="n">
        <v>0</v>
      </c>
      <c r="P825" t="n">
        <v>0</v>
      </c>
      <c r="Q825" t="n">
        <v>0</v>
      </c>
      <c r="R825" s="2" t="inlineStr"/>
    </row>
    <row r="826" ht="15" customHeight="1">
      <c r="A826" t="inlineStr">
        <is>
          <t>A 58471-2025</t>
        </is>
      </c>
      <c r="B826" s="1" t="n">
        <v>45985</v>
      </c>
      <c r="C826" s="1" t="n">
        <v>45999</v>
      </c>
      <c r="D826" t="inlineStr">
        <is>
          <t>VÄSTERBOTTENS LÄN</t>
        </is>
      </c>
      <c r="E826" t="inlineStr">
        <is>
          <t>VILHELMINA</t>
        </is>
      </c>
      <c r="G826" t="n">
        <v>4.5</v>
      </c>
      <c r="H826" t="n">
        <v>0</v>
      </c>
      <c r="I826" t="n">
        <v>0</v>
      </c>
      <c r="J826" t="n">
        <v>0</v>
      </c>
      <c r="K826" t="n">
        <v>0</v>
      </c>
      <c r="L826" t="n">
        <v>0</v>
      </c>
      <c r="M826" t="n">
        <v>0</v>
      </c>
      <c r="N826" t="n">
        <v>0</v>
      </c>
      <c r="O826" t="n">
        <v>0</v>
      </c>
      <c r="P826" t="n">
        <v>0</v>
      </c>
      <c r="Q826" t="n">
        <v>0</v>
      </c>
      <c r="R826" s="2" t="inlineStr"/>
    </row>
    <row r="827" ht="15" customHeight="1">
      <c r="A827" t="inlineStr">
        <is>
          <t>A 58999-2024</t>
        </is>
      </c>
      <c r="B827" s="1" t="n">
        <v>45636</v>
      </c>
      <c r="C827" s="1" t="n">
        <v>45999</v>
      </c>
      <c r="D827" t="inlineStr">
        <is>
          <t>VÄSTERBOTTENS LÄN</t>
        </is>
      </c>
      <c r="E827" t="inlineStr">
        <is>
          <t>VILHELMINA</t>
        </is>
      </c>
      <c r="F827" t="inlineStr">
        <is>
          <t>Allmännings- och besparingsskogar</t>
        </is>
      </c>
      <c r="G827" t="n">
        <v>12.3</v>
      </c>
      <c r="H827" t="n">
        <v>0</v>
      </c>
      <c r="I827" t="n">
        <v>0</v>
      </c>
      <c r="J827" t="n">
        <v>0</v>
      </c>
      <c r="K827" t="n">
        <v>0</v>
      </c>
      <c r="L827" t="n">
        <v>0</v>
      </c>
      <c r="M827" t="n">
        <v>0</v>
      </c>
      <c r="N827" t="n">
        <v>0</v>
      </c>
      <c r="O827" t="n">
        <v>0</v>
      </c>
      <c r="P827" t="n">
        <v>0</v>
      </c>
      <c r="Q827" t="n">
        <v>0</v>
      </c>
      <c r="R827" s="2" t="inlineStr"/>
    </row>
    <row r="828" ht="15" customHeight="1">
      <c r="A828" t="inlineStr">
        <is>
          <t>A 60069-2025</t>
        </is>
      </c>
      <c r="B828" s="1" t="n">
        <v>45993.66409722222</v>
      </c>
      <c r="C828" s="1" t="n">
        <v>45999</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60075-2025</t>
        </is>
      </c>
      <c r="B829" s="1" t="n">
        <v>45993.67761574074</v>
      </c>
      <c r="C829" s="1" t="n">
        <v>45999</v>
      </c>
      <c r="D829" t="inlineStr">
        <is>
          <t>VÄSTERBOTTENS LÄN</t>
        </is>
      </c>
      <c r="E829" t="inlineStr">
        <is>
          <t>VILHELMINA</t>
        </is>
      </c>
      <c r="G829" t="n">
        <v>36.9</v>
      </c>
      <c r="H829" t="n">
        <v>0</v>
      </c>
      <c r="I829" t="n">
        <v>0</v>
      </c>
      <c r="J829" t="n">
        <v>0</v>
      </c>
      <c r="K829" t="n">
        <v>0</v>
      </c>
      <c r="L829" t="n">
        <v>0</v>
      </c>
      <c r="M829" t="n">
        <v>0</v>
      </c>
      <c r="N829" t="n">
        <v>0</v>
      </c>
      <c r="O829" t="n">
        <v>0</v>
      </c>
      <c r="P829" t="n">
        <v>0</v>
      </c>
      <c r="Q829" t="n">
        <v>0</v>
      </c>
      <c r="R829" s="2" t="inlineStr"/>
    </row>
    <row r="830" ht="15" customHeight="1">
      <c r="A830" t="inlineStr">
        <is>
          <t>A 51704-2025</t>
        </is>
      </c>
      <c r="B830" s="1" t="n">
        <v>45951.55436342592</v>
      </c>
      <c r="C830" s="1" t="n">
        <v>45999</v>
      </c>
      <c r="D830" t="inlineStr">
        <is>
          <t>VÄSTERBOTTENS LÄN</t>
        </is>
      </c>
      <c r="E830" t="inlineStr">
        <is>
          <t>VILHELMINA</t>
        </is>
      </c>
      <c r="G830" t="n">
        <v>2.9</v>
      </c>
      <c r="H830" t="n">
        <v>0</v>
      </c>
      <c r="I830" t="n">
        <v>0</v>
      </c>
      <c r="J830" t="n">
        <v>0</v>
      </c>
      <c r="K830" t="n">
        <v>0</v>
      </c>
      <c r="L830" t="n">
        <v>0</v>
      </c>
      <c r="M830" t="n">
        <v>0</v>
      </c>
      <c r="N830" t="n">
        <v>0</v>
      </c>
      <c r="O830" t="n">
        <v>0</v>
      </c>
      <c r="P830" t="n">
        <v>0</v>
      </c>
      <c r="Q830" t="n">
        <v>0</v>
      </c>
      <c r="R830" s="2" t="inlineStr"/>
    </row>
    <row r="831" ht="15" customHeight="1">
      <c r="A831" t="inlineStr">
        <is>
          <t>A 59915-2025</t>
        </is>
      </c>
      <c r="B831" s="1" t="n">
        <v>45993.37083333333</v>
      </c>
      <c r="C831" s="1" t="n">
        <v>45999</v>
      </c>
      <c r="D831" t="inlineStr">
        <is>
          <t>VÄSTERBOTTENS LÄN</t>
        </is>
      </c>
      <c r="E831" t="inlineStr">
        <is>
          <t>VILHELMINA</t>
        </is>
      </c>
      <c r="G831" t="n">
        <v>27.8</v>
      </c>
      <c r="H831" t="n">
        <v>0</v>
      </c>
      <c r="I831" t="n">
        <v>0</v>
      </c>
      <c r="J831" t="n">
        <v>0</v>
      </c>
      <c r="K831" t="n">
        <v>0</v>
      </c>
      <c r="L831" t="n">
        <v>0</v>
      </c>
      <c r="M831" t="n">
        <v>0</v>
      </c>
      <c r="N831" t="n">
        <v>0</v>
      </c>
      <c r="O831" t="n">
        <v>0</v>
      </c>
      <c r="P831" t="n">
        <v>0</v>
      </c>
      <c r="Q831" t="n">
        <v>0</v>
      </c>
      <c r="R831" s="2" t="inlineStr"/>
    </row>
    <row r="832" ht="15" customHeight="1">
      <c r="A832" t="inlineStr">
        <is>
          <t>A 59506-2025</t>
        </is>
      </c>
      <c r="B832" s="1" t="n">
        <v>45989</v>
      </c>
      <c r="C832" s="1" t="n">
        <v>45999</v>
      </c>
      <c r="D832" t="inlineStr">
        <is>
          <t>VÄSTERBOTTENS LÄN</t>
        </is>
      </c>
      <c r="E832" t="inlineStr">
        <is>
          <t>VILHELMINA</t>
        </is>
      </c>
      <c r="G832" t="n">
        <v>4.9</v>
      </c>
      <c r="H832" t="n">
        <v>0</v>
      </c>
      <c r="I832" t="n">
        <v>0</v>
      </c>
      <c r="J832" t="n">
        <v>0</v>
      </c>
      <c r="K832" t="n">
        <v>0</v>
      </c>
      <c r="L832" t="n">
        <v>0</v>
      </c>
      <c r="M832" t="n">
        <v>0</v>
      </c>
      <c r="N832" t="n">
        <v>0</v>
      </c>
      <c r="O832" t="n">
        <v>0</v>
      </c>
      <c r="P832" t="n">
        <v>0</v>
      </c>
      <c r="Q832" t="n">
        <v>0</v>
      </c>
      <c r="R832" s="2" t="inlineStr"/>
    </row>
    <row r="833" ht="15" customHeight="1">
      <c r="A833" t="inlineStr">
        <is>
          <t>A 51701-2025</t>
        </is>
      </c>
      <c r="B833" s="1" t="n">
        <v>45951.55298611111</v>
      </c>
      <c r="C833" s="1" t="n">
        <v>45999</v>
      </c>
      <c r="D833" t="inlineStr">
        <is>
          <t>VÄSTERBOTTENS LÄN</t>
        </is>
      </c>
      <c r="E833" t="inlineStr">
        <is>
          <t>VILHELMINA</t>
        </is>
      </c>
      <c r="G833" t="n">
        <v>4.1</v>
      </c>
      <c r="H833" t="n">
        <v>0</v>
      </c>
      <c r="I833" t="n">
        <v>0</v>
      </c>
      <c r="J833" t="n">
        <v>0</v>
      </c>
      <c r="K833" t="n">
        <v>0</v>
      </c>
      <c r="L833" t="n">
        <v>0</v>
      </c>
      <c r="M833" t="n">
        <v>0</v>
      </c>
      <c r="N833" t="n">
        <v>0</v>
      </c>
      <c r="O833" t="n">
        <v>0</v>
      </c>
      <c r="P833" t="n">
        <v>0</v>
      </c>
      <c r="Q833" t="n">
        <v>0</v>
      </c>
      <c r="R833" s="2" t="inlineStr"/>
    </row>
    <row r="834" ht="15" customHeight="1">
      <c r="A834" t="inlineStr">
        <is>
          <t>A 31724-2025</t>
        </is>
      </c>
      <c r="B834" s="1" t="n">
        <v>45834</v>
      </c>
      <c r="C834" s="1" t="n">
        <v>45999</v>
      </c>
      <c r="D834" t="inlineStr">
        <is>
          <t>VÄSTERBOTTENS LÄN</t>
        </is>
      </c>
      <c r="E834" t="inlineStr">
        <is>
          <t>VILHELMINA</t>
        </is>
      </c>
      <c r="G834" t="n">
        <v>19.7</v>
      </c>
      <c r="H834" t="n">
        <v>0</v>
      </c>
      <c r="I834" t="n">
        <v>0</v>
      </c>
      <c r="J834" t="n">
        <v>0</v>
      </c>
      <c r="K834" t="n">
        <v>0</v>
      </c>
      <c r="L834" t="n">
        <v>0</v>
      </c>
      <c r="M834" t="n">
        <v>0</v>
      </c>
      <c r="N834" t="n">
        <v>0</v>
      </c>
      <c r="O834" t="n">
        <v>0</v>
      </c>
      <c r="P834" t="n">
        <v>0</v>
      </c>
      <c r="Q834" t="n">
        <v>0</v>
      </c>
      <c r="R834" s="2" t="inlineStr"/>
    </row>
    <row r="835" ht="15" customHeight="1">
      <c r="A835" t="inlineStr">
        <is>
          <t>A 31730-2025</t>
        </is>
      </c>
      <c r="B835" s="1" t="n">
        <v>45834</v>
      </c>
      <c r="C835" s="1" t="n">
        <v>45999</v>
      </c>
      <c r="D835" t="inlineStr">
        <is>
          <t>VÄSTERBOTTENS LÄN</t>
        </is>
      </c>
      <c r="E835" t="inlineStr">
        <is>
          <t>VILHELMINA</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57812-2025</t>
        </is>
      </c>
      <c r="B836" s="1" t="n">
        <v>45981</v>
      </c>
      <c r="C836" s="1" t="n">
        <v>45999</v>
      </c>
      <c r="D836" t="inlineStr">
        <is>
          <t>VÄSTERBOTTENS LÄN</t>
        </is>
      </c>
      <c r="E836" t="inlineStr">
        <is>
          <t>VILHELMINA</t>
        </is>
      </c>
      <c r="G836" t="n">
        <v>5.9</v>
      </c>
      <c r="H836" t="n">
        <v>0</v>
      </c>
      <c r="I836" t="n">
        <v>0</v>
      </c>
      <c r="J836" t="n">
        <v>0</v>
      </c>
      <c r="K836" t="n">
        <v>0</v>
      </c>
      <c r="L836" t="n">
        <v>0</v>
      </c>
      <c r="M836" t="n">
        <v>0</v>
      </c>
      <c r="N836" t="n">
        <v>0</v>
      </c>
      <c r="O836" t="n">
        <v>0</v>
      </c>
      <c r="P836" t="n">
        <v>0</v>
      </c>
      <c r="Q836" t="n">
        <v>0</v>
      </c>
      <c r="R836" s="2" t="inlineStr"/>
    </row>
    <row r="837" ht="15" customHeight="1">
      <c r="A837" t="inlineStr">
        <is>
          <t>A 31307-2025</t>
        </is>
      </c>
      <c r="B837" s="1" t="n">
        <v>45833</v>
      </c>
      <c r="C837" s="1" t="n">
        <v>45999</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55695-2024</t>
        </is>
      </c>
      <c r="B838" s="1" t="n">
        <v>45622</v>
      </c>
      <c r="C838" s="1" t="n">
        <v>45999</v>
      </c>
      <c r="D838" t="inlineStr">
        <is>
          <t>VÄSTERBOTTENS LÄN</t>
        </is>
      </c>
      <c r="E838" t="inlineStr">
        <is>
          <t>VILHELMINA</t>
        </is>
      </c>
      <c r="G838" t="n">
        <v>7</v>
      </c>
      <c r="H838" t="n">
        <v>0</v>
      </c>
      <c r="I838" t="n">
        <v>0</v>
      </c>
      <c r="J838" t="n">
        <v>0</v>
      </c>
      <c r="K838" t="n">
        <v>0</v>
      </c>
      <c r="L838" t="n">
        <v>0</v>
      </c>
      <c r="M838" t="n">
        <v>0</v>
      </c>
      <c r="N838" t="n">
        <v>0</v>
      </c>
      <c r="O838" t="n">
        <v>0</v>
      </c>
      <c r="P838" t="n">
        <v>0</v>
      </c>
      <c r="Q838" t="n">
        <v>0</v>
      </c>
      <c r="R838" s="2" t="inlineStr"/>
    </row>
    <row r="839" ht="15" customHeight="1">
      <c r="A839" t="inlineStr">
        <is>
          <t>A 31733-2025</t>
        </is>
      </c>
      <c r="B839" s="1" t="n">
        <v>45834.47035879629</v>
      </c>
      <c r="C839" s="1" t="n">
        <v>45999</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31308-2025</t>
        </is>
      </c>
      <c r="B840" s="1" t="n">
        <v>45833</v>
      </c>
      <c r="C840" s="1" t="n">
        <v>45999</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60697-2025</t>
        </is>
      </c>
      <c r="B841" s="1" t="n">
        <v>45996.59995370371</v>
      </c>
      <c r="C841" s="1" t="n">
        <v>45999</v>
      </c>
      <c r="D841" t="inlineStr">
        <is>
          <t>VÄSTERBOTTENS LÄN</t>
        </is>
      </c>
      <c r="E841" t="inlineStr">
        <is>
          <t>VILHELMINA</t>
        </is>
      </c>
      <c r="G841" t="n">
        <v>2.1</v>
      </c>
      <c r="H841" t="n">
        <v>0</v>
      </c>
      <c r="I841" t="n">
        <v>0</v>
      </c>
      <c r="J841" t="n">
        <v>0</v>
      </c>
      <c r="K841" t="n">
        <v>0</v>
      </c>
      <c r="L841" t="n">
        <v>0</v>
      </c>
      <c r="M841" t="n">
        <v>0</v>
      </c>
      <c r="N841" t="n">
        <v>0</v>
      </c>
      <c r="O841" t="n">
        <v>0</v>
      </c>
      <c r="P841" t="n">
        <v>0</v>
      </c>
      <c r="Q841" t="n">
        <v>0</v>
      </c>
      <c r="R841" s="2" t="inlineStr"/>
    </row>
    <row r="842" ht="15" customHeight="1">
      <c r="A842" t="inlineStr">
        <is>
          <t>A 23360-2025</t>
        </is>
      </c>
      <c r="B842" s="1" t="n">
        <v>45791</v>
      </c>
      <c r="C842" s="1" t="n">
        <v>45999</v>
      </c>
      <c r="D842" t="inlineStr">
        <is>
          <t>VÄSTERBOTTENS LÄN</t>
        </is>
      </c>
      <c r="E842" t="inlineStr">
        <is>
          <t>VILHELMINA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39677-2024</t>
        </is>
      </c>
      <c r="B843" s="1" t="n">
        <v>45552</v>
      </c>
      <c r="C843" s="1" t="n">
        <v>45999</v>
      </c>
      <c r="D843" t="inlineStr">
        <is>
          <t>VÄSTERBOTTENS LÄN</t>
        </is>
      </c>
      <c r="E843" t="inlineStr">
        <is>
          <t>VILHELMINA</t>
        </is>
      </c>
      <c r="F843" t="inlineStr">
        <is>
          <t>SCA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47010-2024</t>
        </is>
      </c>
      <c r="B844" s="1" t="n">
        <v>45586</v>
      </c>
      <c r="C844" s="1" t="n">
        <v>45999</v>
      </c>
      <c r="D844" t="inlineStr">
        <is>
          <t>VÄSTERBOTTENS LÄN</t>
        </is>
      </c>
      <c r="E844" t="inlineStr">
        <is>
          <t>VILHELMINA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60713-2025</t>
        </is>
      </c>
      <c r="B845" s="1" t="n">
        <v>45996.63483796296</v>
      </c>
      <c r="C845" s="1" t="n">
        <v>45999</v>
      </c>
      <c r="D845" t="inlineStr">
        <is>
          <t>VÄSTERBOTTENS LÄN</t>
        </is>
      </c>
      <c r="E845" t="inlineStr">
        <is>
          <t>VILHELMINA</t>
        </is>
      </c>
      <c r="G845" t="n">
        <v>2.4</v>
      </c>
      <c r="H845" t="n">
        <v>0</v>
      </c>
      <c r="I845" t="n">
        <v>0</v>
      </c>
      <c r="J845" t="n">
        <v>0</v>
      </c>
      <c r="K845" t="n">
        <v>0</v>
      </c>
      <c r="L845" t="n">
        <v>0</v>
      </c>
      <c r="M845" t="n">
        <v>0</v>
      </c>
      <c r="N845" t="n">
        <v>0</v>
      </c>
      <c r="O845" t="n">
        <v>0</v>
      </c>
      <c r="P845" t="n">
        <v>0</v>
      </c>
      <c r="Q845" t="n">
        <v>0</v>
      </c>
      <c r="R845" s="2" t="inlineStr"/>
    </row>
    <row r="846" ht="15" customHeight="1">
      <c r="A846" t="inlineStr">
        <is>
          <t>A 60549-2025</t>
        </is>
      </c>
      <c r="B846" s="1" t="n">
        <v>45995.71637731481</v>
      </c>
      <c r="C846" s="1" t="n">
        <v>45999</v>
      </c>
      <c r="D846" t="inlineStr">
        <is>
          <t>VÄSTERBOTTENS LÄN</t>
        </is>
      </c>
      <c r="E846" t="inlineStr">
        <is>
          <t>VILHELMINA</t>
        </is>
      </c>
      <c r="G846" t="n">
        <v>19.6</v>
      </c>
      <c r="H846" t="n">
        <v>0</v>
      </c>
      <c r="I846" t="n">
        <v>0</v>
      </c>
      <c r="J846" t="n">
        <v>0</v>
      </c>
      <c r="K846" t="n">
        <v>0</v>
      </c>
      <c r="L846" t="n">
        <v>0</v>
      </c>
      <c r="M846" t="n">
        <v>0</v>
      </c>
      <c r="N846" t="n">
        <v>0</v>
      </c>
      <c r="O846" t="n">
        <v>0</v>
      </c>
      <c r="P846" t="n">
        <v>0</v>
      </c>
      <c r="Q846" t="n">
        <v>0</v>
      </c>
      <c r="R846" s="2" t="inlineStr"/>
    </row>
    <row r="847" ht="15" customHeight="1">
      <c r="A847" t="inlineStr">
        <is>
          <t>A 60701-2025</t>
        </is>
      </c>
      <c r="B847" s="1" t="n">
        <v>45996.60284722222</v>
      </c>
      <c r="C847" s="1" t="n">
        <v>45999</v>
      </c>
      <c r="D847" t="inlineStr">
        <is>
          <t>VÄSTERBOTTENS LÄN</t>
        </is>
      </c>
      <c r="E847" t="inlineStr">
        <is>
          <t>VILHELMINA</t>
        </is>
      </c>
      <c r="G847" t="n">
        <v>6.2</v>
      </c>
      <c r="H847" t="n">
        <v>0</v>
      </c>
      <c r="I847" t="n">
        <v>0</v>
      </c>
      <c r="J847" t="n">
        <v>0</v>
      </c>
      <c r="K847" t="n">
        <v>0</v>
      </c>
      <c r="L847" t="n">
        <v>0</v>
      </c>
      <c r="M847" t="n">
        <v>0</v>
      </c>
      <c r="N847" t="n">
        <v>0</v>
      </c>
      <c r="O847" t="n">
        <v>0</v>
      </c>
      <c r="P847" t="n">
        <v>0</v>
      </c>
      <c r="Q847" t="n">
        <v>0</v>
      </c>
      <c r="R847" s="2" t="inlineStr"/>
    </row>
    <row r="848" ht="15" customHeight="1">
      <c r="A848" t="inlineStr">
        <is>
          <t>A 33142-2025</t>
        </is>
      </c>
      <c r="B848" s="1" t="n">
        <v>45840</v>
      </c>
      <c r="C848" s="1" t="n">
        <v>45999</v>
      </c>
      <c r="D848" t="inlineStr">
        <is>
          <t>VÄSTERBOTTENS LÄN</t>
        </is>
      </c>
      <c r="E848" t="inlineStr">
        <is>
          <t>VILHELMINA</t>
        </is>
      </c>
      <c r="G848" t="n">
        <v>15.2</v>
      </c>
      <c r="H848" t="n">
        <v>0</v>
      </c>
      <c r="I848" t="n">
        <v>0</v>
      </c>
      <c r="J848" t="n">
        <v>0</v>
      </c>
      <c r="K848" t="n">
        <v>0</v>
      </c>
      <c r="L848" t="n">
        <v>0</v>
      </c>
      <c r="M848" t="n">
        <v>0</v>
      </c>
      <c r="N848" t="n">
        <v>0</v>
      </c>
      <c r="O848" t="n">
        <v>0</v>
      </c>
      <c r="P848" t="n">
        <v>0</v>
      </c>
      <c r="Q848" t="n">
        <v>0</v>
      </c>
      <c r="R848" s="2" t="inlineStr"/>
    </row>
    <row r="849" ht="15" customHeight="1">
      <c r="A849" t="inlineStr">
        <is>
          <t>A 37346-2024</t>
        </is>
      </c>
      <c r="B849" s="1" t="n">
        <v>45540</v>
      </c>
      <c r="C849" s="1" t="n">
        <v>45999</v>
      </c>
      <c r="D849" t="inlineStr">
        <is>
          <t>VÄSTERBOTTENS LÄN</t>
        </is>
      </c>
      <c r="E849" t="inlineStr">
        <is>
          <t>VILHELMINA</t>
        </is>
      </c>
      <c r="G849" t="n">
        <v>96.3</v>
      </c>
      <c r="H849" t="n">
        <v>0</v>
      </c>
      <c r="I849" t="n">
        <v>0</v>
      </c>
      <c r="J849" t="n">
        <v>0</v>
      </c>
      <c r="K849" t="n">
        <v>0</v>
      </c>
      <c r="L849" t="n">
        <v>0</v>
      </c>
      <c r="M849" t="n">
        <v>0</v>
      </c>
      <c r="N849" t="n">
        <v>0</v>
      </c>
      <c r="O849" t="n">
        <v>0</v>
      </c>
      <c r="P849" t="n">
        <v>0</v>
      </c>
      <c r="Q849" t="n">
        <v>0</v>
      </c>
      <c r="R849" s="2" t="inlineStr"/>
    </row>
    <row r="850" ht="15" customHeight="1">
      <c r="A850" t="inlineStr">
        <is>
          <t>A 52334-2025</t>
        </is>
      </c>
      <c r="B850" s="1" t="n">
        <v>45953.68225694444</v>
      </c>
      <c r="C850" s="1" t="n">
        <v>45999</v>
      </c>
      <c r="D850" t="inlineStr">
        <is>
          <t>VÄSTERBOTTENS LÄN</t>
        </is>
      </c>
      <c r="E850" t="inlineStr">
        <is>
          <t>VILHELMINA</t>
        </is>
      </c>
      <c r="G850" t="n">
        <v>0.9</v>
      </c>
      <c r="H850" t="n">
        <v>0</v>
      </c>
      <c r="I850" t="n">
        <v>0</v>
      </c>
      <c r="J850" t="n">
        <v>0</v>
      </c>
      <c r="K850" t="n">
        <v>0</v>
      </c>
      <c r="L850" t="n">
        <v>0</v>
      </c>
      <c r="M850" t="n">
        <v>0</v>
      </c>
      <c r="N850" t="n">
        <v>0</v>
      </c>
      <c r="O850" t="n">
        <v>0</v>
      </c>
      <c r="P850" t="n">
        <v>0</v>
      </c>
      <c r="Q850" t="n">
        <v>0</v>
      </c>
      <c r="R850" s="2" t="inlineStr"/>
    </row>
    <row r="851" ht="15" customHeight="1">
      <c r="A851" t="inlineStr">
        <is>
          <t>A 32947-2025</t>
        </is>
      </c>
      <c r="B851" s="1" t="n">
        <v>45839</v>
      </c>
      <c r="C851" s="1" t="n">
        <v>45999</v>
      </c>
      <c r="D851" t="inlineStr">
        <is>
          <t>VÄSTERBOTTENS LÄN</t>
        </is>
      </c>
      <c r="E851" t="inlineStr">
        <is>
          <t>VILHELMINA</t>
        </is>
      </c>
      <c r="G851" t="n">
        <v>19.1</v>
      </c>
      <c r="H851" t="n">
        <v>0</v>
      </c>
      <c r="I851" t="n">
        <v>0</v>
      </c>
      <c r="J851" t="n">
        <v>0</v>
      </c>
      <c r="K851" t="n">
        <v>0</v>
      </c>
      <c r="L851" t="n">
        <v>0</v>
      </c>
      <c r="M851" t="n">
        <v>0</v>
      </c>
      <c r="N851" t="n">
        <v>0</v>
      </c>
      <c r="O851" t="n">
        <v>0</v>
      </c>
      <c r="P851" t="n">
        <v>0</v>
      </c>
      <c r="Q851" t="n">
        <v>0</v>
      </c>
      <c r="R851" s="2" t="inlineStr"/>
    </row>
    <row r="852" ht="15" customHeight="1">
      <c r="A852" t="inlineStr">
        <is>
          <t>A 60518-2025</t>
        </is>
      </c>
      <c r="B852" s="1" t="n">
        <v>45994</v>
      </c>
      <c r="C852" s="1" t="n">
        <v>45999</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39670-2024</t>
        </is>
      </c>
      <c r="B853" s="1" t="n">
        <v>45552.5315162037</v>
      </c>
      <c r="C853" s="1" t="n">
        <v>45999</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33319-2025</t>
        </is>
      </c>
      <c r="B854" s="1" t="n">
        <v>45841</v>
      </c>
      <c r="C854" s="1" t="n">
        <v>45999</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33320-2025</t>
        </is>
      </c>
      <c r="B855" s="1" t="n">
        <v>45841.34461805555</v>
      </c>
      <c r="C855" s="1" t="n">
        <v>45999</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37514-2024</t>
        </is>
      </c>
      <c r="B856" s="1" t="n">
        <v>45541.38586805556</v>
      </c>
      <c r="C856" s="1" t="n">
        <v>45999</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21370-2024</t>
        </is>
      </c>
      <c r="B857" s="1" t="n">
        <v>45440.95310185185</v>
      </c>
      <c r="C857" s="1" t="n">
        <v>45999</v>
      </c>
      <c r="D857" t="inlineStr">
        <is>
          <t>VÄSTERBOTTENS LÄN</t>
        </is>
      </c>
      <c r="E857" t="inlineStr">
        <is>
          <t>VILHELMINA</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19423-2022</t>
        </is>
      </c>
      <c r="B858" s="1" t="n">
        <v>44693.32515046297</v>
      </c>
      <c r="C858" s="1" t="n">
        <v>45999</v>
      </c>
      <c r="D858" t="inlineStr">
        <is>
          <t>VÄSTERBOTTENS LÄN</t>
        </is>
      </c>
      <c r="E858" t="inlineStr">
        <is>
          <t>VILHELMINA</t>
        </is>
      </c>
      <c r="G858" t="n">
        <v>1.9</v>
      </c>
      <c r="H858" t="n">
        <v>0</v>
      </c>
      <c r="I858" t="n">
        <v>0</v>
      </c>
      <c r="J858" t="n">
        <v>0</v>
      </c>
      <c r="K858" t="n">
        <v>0</v>
      </c>
      <c r="L858" t="n">
        <v>0</v>
      </c>
      <c r="M858" t="n">
        <v>0</v>
      </c>
      <c r="N858" t="n">
        <v>0</v>
      </c>
      <c r="O858" t="n">
        <v>0</v>
      </c>
      <c r="P858" t="n">
        <v>0</v>
      </c>
      <c r="Q858" t="n">
        <v>0</v>
      </c>
      <c r="R858" s="2" t="inlineStr"/>
    </row>
    <row r="859" ht="15" customHeight="1">
      <c r="A859" t="inlineStr">
        <is>
          <t>A 33641-2025</t>
        </is>
      </c>
      <c r="B859" s="1" t="n">
        <v>45841.65045138889</v>
      </c>
      <c r="C859" s="1" t="n">
        <v>45999</v>
      </c>
      <c r="D859" t="inlineStr">
        <is>
          <t>VÄSTERBOTTENS LÄN</t>
        </is>
      </c>
      <c r="E859" t="inlineStr">
        <is>
          <t>VILHELMINA</t>
        </is>
      </c>
      <c r="G859" t="n">
        <v>7.3</v>
      </c>
      <c r="H859" t="n">
        <v>0</v>
      </c>
      <c r="I859" t="n">
        <v>0</v>
      </c>
      <c r="J859" t="n">
        <v>0</v>
      </c>
      <c r="K859" t="n">
        <v>0</v>
      </c>
      <c r="L859" t="n">
        <v>0</v>
      </c>
      <c r="M859" t="n">
        <v>0</v>
      </c>
      <c r="N859" t="n">
        <v>0</v>
      </c>
      <c r="O859" t="n">
        <v>0</v>
      </c>
      <c r="P859" t="n">
        <v>0</v>
      </c>
      <c r="Q859" t="n">
        <v>0</v>
      </c>
      <c r="R859" s="2" t="inlineStr"/>
    </row>
    <row r="860" ht="15" customHeight="1">
      <c r="A860" t="inlineStr">
        <is>
          <t>A 34719-2024</t>
        </is>
      </c>
      <c r="B860" s="1" t="n">
        <v>45526.56435185186</v>
      </c>
      <c r="C860" s="1" t="n">
        <v>45999</v>
      </c>
      <c r="D860" t="inlineStr">
        <is>
          <t>VÄSTERBOTTENS LÄN</t>
        </is>
      </c>
      <c r="E860" t="inlineStr">
        <is>
          <t>VILHELMINA</t>
        </is>
      </c>
      <c r="G860" t="n">
        <v>1.7</v>
      </c>
      <c r="H860" t="n">
        <v>0</v>
      </c>
      <c r="I860" t="n">
        <v>0</v>
      </c>
      <c r="J860" t="n">
        <v>0</v>
      </c>
      <c r="K860" t="n">
        <v>0</v>
      </c>
      <c r="L860" t="n">
        <v>0</v>
      </c>
      <c r="M860" t="n">
        <v>0</v>
      </c>
      <c r="N860" t="n">
        <v>0</v>
      </c>
      <c r="O860" t="n">
        <v>0</v>
      </c>
      <c r="P860" t="n">
        <v>0</v>
      </c>
      <c r="Q860" t="n">
        <v>0</v>
      </c>
      <c r="R860" s="2" t="inlineStr"/>
    </row>
    <row r="861" ht="15" customHeight="1">
      <c r="A861" t="inlineStr">
        <is>
          <t>A 34630-2024</t>
        </is>
      </c>
      <c r="B861" s="1" t="n">
        <v>45526.46234953704</v>
      </c>
      <c r="C861" s="1" t="n">
        <v>45999</v>
      </c>
      <c r="D861" t="inlineStr">
        <is>
          <t>VÄSTERBOTTENS LÄN</t>
        </is>
      </c>
      <c r="E861" t="inlineStr">
        <is>
          <t>VILHELMINA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34413-2025</t>
        </is>
      </c>
      <c r="B862" s="1" t="n">
        <v>45845</v>
      </c>
      <c r="C862" s="1" t="n">
        <v>45999</v>
      </c>
      <c r="D862" t="inlineStr">
        <is>
          <t>VÄSTERBOTTENS LÄN</t>
        </is>
      </c>
      <c r="E862" t="inlineStr">
        <is>
          <t>VILHELMINA</t>
        </is>
      </c>
      <c r="G862" t="n">
        <v>6.8</v>
      </c>
      <c r="H862" t="n">
        <v>0</v>
      </c>
      <c r="I862" t="n">
        <v>0</v>
      </c>
      <c r="J862" t="n">
        <v>0</v>
      </c>
      <c r="K862" t="n">
        <v>0</v>
      </c>
      <c r="L862" t="n">
        <v>0</v>
      </c>
      <c r="M862" t="n">
        <v>0</v>
      </c>
      <c r="N862" t="n">
        <v>0</v>
      </c>
      <c r="O862" t="n">
        <v>0</v>
      </c>
      <c r="P862" t="n">
        <v>0</v>
      </c>
      <c r="Q862" t="n">
        <v>0</v>
      </c>
      <c r="R862" s="2" t="inlineStr"/>
    </row>
    <row r="863" ht="15" customHeight="1">
      <c r="A863" t="inlineStr">
        <is>
          <t>A 7102-2024</t>
        </is>
      </c>
      <c r="B863" s="1" t="n">
        <v>45343</v>
      </c>
      <c r="C863" s="1" t="n">
        <v>45999</v>
      </c>
      <c r="D863" t="inlineStr">
        <is>
          <t>VÄSTERBOTTENS LÄN</t>
        </is>
      </c>
      <c r="E863" t="inlineStr">
        <is>
          <t>VILHELMINA</t>
        </is>
      </c>
      <c r="G863" t="n">
        <v>3.2</v>
      </c>
      <c r="H863" t="n">
        <v>0</v>
      </c>
      <c r="I863" t="n">
        <v>0</v>
      </c>
      <c r="J863" t="n">
        <v>0</v>
      </c>
      <c r="K863" t="n">
        <v>0</v>
      </c>
      <c r="L863" t="n">
        <v>0</v>
      </c>
      <c r="M863" t="n">
        <v>0</v>
      </c>
      <c r="N863" t="n">
        <v>0</v>
      </c>
      <c r="O863" t="n">
        <v>0</v>
      </c>
      <c r="P863" t="n">
        <v>0</v>
      </c>
      <c r="Q863" t="n">
        <v>0</v>
      </c>
      <c r="R863" s="2" t="inlineStr"/>
    </row>
    <row r="864" ht="15" customHeight="1">
      <c r="A864" t="inlineStr">
        <is>
          <t>A 2488-2023</t>
        </is>
      </c>
      <c r="B864" s="1" t="n">
        <v>44943</v>
      </c>
      <c r="C864" s="1" t="n">
        <v>45999</v>
      </c>
      <c r="D864" t="inlineStr">
        <is>
          <t>VÄSTERBOTTENS LÄN</t>
        </is>
      </c>
      <c r="E864" t="inlineStr">
        <is>
          <t>VILHELMINA</t>
        </is>
      </c>
      <c r="G864" t="n">
        <v>69.3</v>
      </c>
      <c r="H864" t="n">
        <v>0</v>
      </c>
      <c r="I864" t="n">
        <v>0</v>
      </c>
      <c r="J864" t="n">
        <v>0</v>
      </c>
      <c r="K864" t="n">
        <v>0</v>
      </c>
      <c r="L864" t="n">
        <v>0</v>
      </c>
      <c r="M864" t="n">
        <v>0</v>
      </c>
      <c r="N864" t="n">
        <v>0</v>
      </c>
      <c r="O864" t="n">
        <v>0</v>
      </c>
      <c r="P864" t="n">
        <v>0</v>
      </c>
      <c r="Q864" t="n">
        <v>0</v>
      </c>
      <c r="R864" s="2" t="inlineStr"/>
    </row>
    <row r="865" ht="15" customHeight="1">
      <c r="A865" t="inlineStr">
        <is>
          <t>A 26401-2022</t>
        </is>
      </c>
      <c r="B865" s="1" t="n">
        <v>44735</v>
      </c>
      <c r="C865" s="1" t="n">
        <v>45999</v>
      </c>
      <c r="D865" t="inlineStr">
        <is>
          <t>VÄSTERBOTTENS LÄN</t>
        </is>
      </c>
      <c r="E865" t="inlineStr">
        <is>
          <t>VILHELMINA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34253-2025</t>
        </is>
      </c>
      <c r="B866" s="1" t="n">
        <v>45845</v>
      </c>
      <c r="C866" s="1" t="n">
        <v>45999</v>
      </c>
      <c r="D866" t="inlineStr">
        <is>
          <t>VÄSTERBOTTENS LÄN</t>
        </is>
      </c>
      <c r="E866" t="inlineStr">
        <is>
          <t>VILHELMINA</t>
        </is>
      </c>
      <c r="G866" t="n">
        <v>14.3</v>
      </c>
      <c r="H866" t="n">
        <v>0</v>
      </c>
      <c r="I866" t="n">
        <v>0</v>
      </c>
      <c r="J866" t="n">
        <v>0</v>
      </c>
      <c r="K866" t="n">
        <v>0</v>
      </c>
      <c r="L866" t="n">
        <v>0</v>
      </c>
      <c r="M866" t="n">
        <v>0</v>
      </c>
      <c r="N866" t="n">
        <v>0</v>
      </c>
      <c r="O866" t="n">
        <v>0</v>
      </c>
      <c r="P866" t="n">
        <v>0</v>
      </c>
      <c r="Q866" t="n">
        <v>0</v>
      </c>
      <c r="R866" s="2" t="inlineStr"/>
    </row>
    <row r="867" ht="15" customHeight="1">
      <c r="A867" t="inlineStr">
        <is>
          <t>A 34569-2025</t>
        </is>
      </c>
      <c r="B867" s="1" t="n">
        <v>45847.58480324074</v>
      </c>
      <c r="C867" s="1" t="n">
        <v>45999</v>
      </c>
      <c r="D867" t="inlineStr">
        <is>
          <t>VÄSTERBOTTENS LÄN</t>
        </is>
      </c>
      <c r="E867" t="inlineStr">
        <is>
          <t>VILHELMINA</t>
        </is>
      </c>
      <c r="G867" t="n">
        <v>5.3</v>
      </c>
      <c r="H867" t="n">
        <v>0</v>
      </c>
      <c r="I867" t="n">
        <v>0</v>
      </c>
      <c r="J867" t="n">
        <v>0</v>
      </c>
      <c r="K867" t="n">
        <v>0</v>
      </c>
      <c r="L867" t="n">
        <v>0</v>
      </c>
      <c r="M867" t="n">
        <v>0</v>
      </c>
      <c r="N867" t="n">
        <v>0</v>
      </c>
      <c r="O867" t="n">
        <v>0</v>
      </c>
      <c r="P867" t="n">
        <v>0</v>
      </c>
      <c r="Q867" t="n">
        <v>0</v>
      </c>
      <c r="R867" s="2" t="inlineStr"/>
    </row>
    <row r="868" ht="15" customHeight="1">
      <c r="A868" t="inlineStr">
        <is>
          <t>A 34542-2025</t>
        </is>
      </c>
      <c r="B868" s="1" t="n">
        <v>45847.53211805555</v>
      </c>
      <c r="C868" s="1" t="n">
        <v>45999</v>
      </c>
      <c r="D868" t="inlineStr">
        <is>
          <t>VÄSTERBOTTENS LÄN</t>
        </is>
      </c>
      <c r="E868" t="inlineStr">
        <is>
          <t>VILHELMINA</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34563-2025</t>
        </is>
      </c>
      <c r="B869" s="1" t="n">
        <v>45847.57950231482</v>
      </c>
      <c r="C869" s="1" t="n">
        <v>45999</v>
      </c>
      <c r="D869" t="inlineStr">
        <is>
          <t>VÄSTERBOTTENS LÄN</t>
        </is>
      </c>
      <c r="E869" t="inlineStr">
        <is>
          <t>VILHELMINA</t>
        </is>
      </c>
      <c r="G869" t="n">
        <v>20.6</v>
      </c>
      <c r="H869" t="n">
        <v>0</v>
      </c>
      <c r="I869" t="n">
        <v>0</v>
      </c>
      <c r="J869" t="n">
        <v>0</v>
      </c>
      <c r="K869" t="n">
        <v>0</v>
      </c>
      <c r="L869" t="n">
        <v>0</v>
      </c>
      <c r="M869" t="n">
        <v>0</v>
      </c>
      <c r="N869" t="n">
        <v>0</v>
      </c>
      <c r="O869" t="n">
        <v>0</v>
      </c>
      <c r="P869" t="n">
        <v>0</v>
      </c>
      <c r="Q869" t="n">
        <v>0</v>
      </c>
      <c r="R869" s="2" t="inlineStr"/>
    </row>
    <row r="870" ht="15" customHeight="1">
      <c r="A870" t="inlineStr">
        <is>
          <t>A 9534-2023</t>
        </is>
      </c>
      <c r="B870" s="1" t="n">
        <v>44981.72646990741</v>
      </c>
      <c r="C870" s="1" t="n">
        <v>45999</v>
      </c>
      <c r="D870" t="inlineStr">
        <is>
          <t>VÄSTERBOTTENS LÄN</t>
        </is>
      </c>
      <c r="E870" t="inlineStr">
        <is>
          <t>VILHELMINA</t>
        </is>
      </c>
      <c r="G870" t="n">
        <v>1.7</v>
      </c>
      <c r="H870" t="n">
        <v>0</v>
      </c>
      <c r="I870" t="n">
        <v>0</v>
      </c>
      <c r="J870" t="n">
        <v>0</v>
      </c>
      <c r="K870" t="n">
        <v>0</v>
      </c>
      <c r="L870" t="n">
        <v>0</v>
      </c>
      <c r="M870" t="n">
        <v>0</v>
      </c>
      <c r="N870" t="n">
        <v>0</v>
      </c>
      <c r="O870" t="n">
        <v>0</v>
      </c>
      <c r="P870" t="n">
        <v>0</v>
      </c>
      <c r="Q870" t="n">
        <v>0</v>
      </c>
      <c r="R870" s="2" t="inlineStr"/>
    </row>
    <row r="871" ht="15" customHeight="1">
      <c r="A871" t="inlineStr">
        <is>
          <t>A 56747-2023</t>
        </is>
      </c>
      <c r="B871" s="1" t="n">
        <v>45238</v>
      </c>
      <c r="C871" s="1" t="n">
        <v>45999</v>
      </c>
      <c r="D871" t="inlineStr">
        <is>
          <t>VÄSTERBOTTENS LÄN</t>
        </is>
      </c>
      <c r="E871" t="inlineStr">
        <is>
          <t>VILHELMINA</t>
        </is>
      </c>
      <c r="F871" t="inlineStr">
        <is>
          <t>Allmännings- och besparingsskogar</t>
        </is>
      </c>
      <c r="G871" t="n">
        <v>16.2</v>
      </c>
      <c r="H871" t="n">
        <v>0</v>
      </c>
      <c r="I871" t="n">
        <v>0</v>
      </c>
      <c r="J871" t="n">
        <v>0</v>
      </c>
      <c r="K871" t="n">
        <v>0</v>
      </c>
      <c r="L871" t="n">
        <v>0</v>
      </c>
      <c r="M871" t="n">
        <v>0</v>
      </c>
      <c r="N871" t="n">
        <v>0</v>
      </c>
      <c r="O871" t="n">
        <v>0</v>
      </c>
      <c r="P871" t="n">
        <v>0</v>
      </c>
      <c r="Q871" t="n">
        <v>0</v>
      </c>
      <c r="R871" s="2" t="inlineStr"/>
    </row>
    <row r="872" ht="15" customHeight="1">
      <c r="A872" t="inlineStr">
        <is>
          <t>A 56758-2023</t>
        </is>
      </c>
      <c r="B872" s="1" t="n">
        <v>45238</v>
      </c>
      <c r="C872" s="1" t="n">
        <v>45999</v>
      </c>
      <c r="D872" t="inlineStr">
        <is>
          <t>VÄSTERBOTTENS LÄN</t>
        </is>
      </c>
      <c r="E872" t="inlineStr">
        <is>
          <t>VILHELMINA</t>
        </is>
      </c>
      <c r="F872" t="inlineStr">
        <is>
          <t>Allmännings- och besparingsskogar</t>
        </is>
      </c>
      <c r="G872" t="n">
        <v>371.4</v>
      </c>
      <c r="H872" t="n">
        <v>0</v>
      </c>
      <c r="I872" t="n">
        <v>0</v>
      </c>
      <c r="J872" t="n">
        <v>0</v>
      </c>
      <c r="K872" t="n">
        <v>0</v>
      </c>
      <c r="L872" t="n">
        <v>0</v>
      </c>
      <c r="M872" t="n">
        <v>0</v>
      </c>
      <c r="N872" t="n">
        <v>0</v>
      </c>
      <c r="O872" t="n">
        <v>0</v>
      </c>
      <c r="P872" t="n">
        <v>0</v>
      </c>
      <c r="Q872" t="n">
        <v>0</v>
      </c>
      <c r="R872" s="2" t="inlineStr"/>
    </row>
    <row r="873" ht="15" customHeight="1">
      <c r="A873" t="inlineStr">
        <is>
          <t>A 9916-2021</t>
        </is>
      </c>
      <c r="B873" s="1" t="n">
        <v>44253</v>
      </c>
      <c r="C873" s="1" t="n">
        <v>45999</v>
      </c>
      <c r="D873" t="inlineStr">
        <is>
          <t>VÄSTERBOTTENS LÄN</t>
        </is>
      </c>
      <c r="E873" t="inlineStr">
        <is>
          <t>VILHELMINA</t>
        </is>
      </c>
      <c r="G873" t="n">
        <v>1</v>
      </c>
      <c r="H873" t="n">
        <v>0</v>
      </c>
      <c r="I873" t="n">
        <v>0</v>
      </c>
      <c r="J873" t="n">
        <v>0</v>
      </c>
      <c r="K873" t="n">
        <v>0</v>
      </c>
      <c r="L873" t="n">
        <v>0</v>
      </c>
      <c r="M873" t="n">
        <v>0</v>
      </c>
      <c r="N873" t="n">
        <v>0</v>
      </c>
      <c r="O873" t="n">
        <v>0</v>
      </c>
      <c r="P873" t="n">
        <v>0</v>
      </c>
      <c r="Q873" t="n">
        <v>0</v>
      </c>
      <c r="R873" s="2" t="inlineStr"/>
    </row>
    <row r="874" ht="15" customHeight="1">
      <c r="A874" t="inlineStr">
        <is>
          <t>A 3435-2021</t>
        </is>
      </c>
      <c r="B874" s="1" t="n">
        <v>44216</v>
      </c>
      <c r="C874" s="1" t="n">
        <v>45999</v>
      </c>
      <c r="D874" t="inlineStr">
        <is>
          <t>VÄSTERBOTTENS LÄN</t>
        </is>
      </c>
      <c r="E874" t="inlineStr">
        <is>
          <t>VILHELMINA</t>
        </is>
      </c>
      <c r="G874" t="n">
        <v>20.5</v>
      </c>
      <c r="H874" t="n">
        <v>0</v>
      </c>
      <c r="I874" t="n">
        <v>0</v>
      </c>
      <c r="J874" t="n">
        <v>0</v>
      </c>
      <c r="K874" t="n">
        <v>0</v>
      </c>
      <c r="L874" t="n">
        <v>0</v>
      </c>
      <c r="M874" t="n">
        <v>0</v>
      </c>
      <c r="N874" t="n">
        <v>0</v>
      </c>
      <c r="O874" t="n">
        <v>0</v>
      </c>
      <c r="P874" t="n">
        <v>0</v>
      </c>
      <c r="Q874" t="n">
        <v>0</v>
      </c>
      <c r="R874" s="2" t="inlineStr"/>
    </row>
    <row r="875" ht="15" customHeight="1">
      <c r="A875" t="inlineStr">
        <is>
          <t>A 35285-2025</t>
        </is>
      </c>
      <c r="B875" s="1" t="n">
        <v>45854</v>
      </c>
      <c r="C875" s="1" t="n">
        <v>45999</v>
      </c>
      <c r="D875" t="inlineStr">
        <is>
          <t>VÄSTERBOTTENS LÄN</t>
        </is>
      </c>
      <c r="E875" t="inlineStr">
        <is>
          <t>VILHELMINA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35287-2025</t>
        </is>
      </c>
      <c r="B876" s="1" t="n">
        <v>45854.3653587963</v>
      </c>
      <c r="C876" s="1" t="n">
        <v>45999</v>
      </c>
      <c r="D876" t="inlineStr">
        <is>
          <t>VÄSTERBOTTENS LÄN</t>
        </is>
      </c>
      <c r="E876" t="inlineStr">
        <is>
          <t>VILHELMINA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35288-2025</t>
        </is>
      </c>
      <c r="B877" s="1" t="n">
        <v>45854.36543981481</v>
      </c>
      <c r="C877" s="1" t="n">
        <v>45999</v>
      </c>
      <c r="D877" t="inlineStr">
        <is>
          <t>VÄSTERBOTTENS LÄN</t>
        </is>
      </c>
      <c r="E877" t="inlineStr">
        <is>
          <t>VILHELMINA</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35230-2025</t>
        </is>
      </c>
      <c r="B878" s="1" t="n">
        <v>45853.59447916667</v>
      </c>
      <c r="C878" s="1" t="n">
        <v>45999</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35231-2025</t>
        </is>
      </c>
      <c r="B879" s="1" t="n">
        <v>45853.59453703704</v>
      </c>
      <c r="C879" s="1" t="n">
        <v>45999</v>
      </c>
      <c r="D879" t="inlineStr">
        <is>
          <t>VÄSTERBOTTENS LÄN</t>
        </is>
      </c>
      <c r="E879" t="inlineStr">
        <is>
          <t>VILHELMINA</t>
        </is>
      </c>
      <c r="F879" t="inlineStr">
        <is>
          <t>SCA</t>
        </is>
      </c>
      <c r="G879" t="n">
        <v>4.3</v>
      </c>
      <c r="H879" t="n">
        <v>0</v>
      </c>
      <c r="I879" t="n">
        <v>0</v>
      </c>
      <c r="J879" t="n">
        <v>0</v>
      </c>
      <c r="K879" t="n">
        <v>0</v>
      </c>
      <c r="L879" t="n">
        <v>0</v>
      </c>
      <c r="M879" t="n">
        <v>0</v>
      </c>
      <c r="N879" t="n">
        <v>0</v>
      </c>
      <c r="O879" t="n">
        <v>0</v>
      </c>
      <c r="P879" t="n">
        <v>0</v>
      </c>
      <c r="Q879" t="n">
        <v>0</v>
      </c>
      <c r="R879" s="2" t="inlineStr"/>
    </row>
    <row r="880" ht="15" customHeight="1">
      <c r="A880" t="inlineStr">
        <is>
          <t>A 55327-2023</t>
        </is>
      </c>
      <c r="B880" s="1" t="n">
        <v>45237.97375</v>
      </c>
      <c r="C880" s="1" t="n">
        <v>45999</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48229-2024</t>
        </is>
      </c>
      <c r="B881" s="1" t="n">
        <v>45590.37554398148</v>
      </c>
      <c r="C881" s="1" t="n">
        <v>45999</v>
      </c>
      <c r="D881" t="inlineStr">
        <is>
          <t>VÄSTERBOTTENS LÄN</t>
        </is>
      </c>
      <c r="E881" t="inlineStr">
        <is>
          <t>VILHELMINA</t>
        </is>
      </c>
      <c r="G881" t="n">
        <v>11.6</v>
      </c>
      <c r="H881" t="n">
        <v>0</v>
      </c>
      <c r="I881" t="n">
        <v>0</v>
      </c>
      <c r="J881" t="n">
        <v>0</v>
      </c>
      <c r="K881" t="n">
        <v>0</v>
      </c>
      <c r="L881" t="n">
        <v>0</v>
      </c>
      <c r="M881" t="n">
        <v>0</v>
      </c>
      <c r="N881" t="n">
        <v>0</v>
      </c>
      <c r="O881" t="n">
        <v>0</v>
      </c>
      <c r="P881" t="n">
        <v>0</v>
      </c>
      <c r="Q881" t="n">
        <v>0</v>
      </c>
      <c r="R881" s="2" t="inlineStr"/>
    </row>
    <row r="882" ht="15" customHeight="1">
      <c r="A882" t="inlineStr">
        <is>
          <t>A 25551-2024</t>
        </is>
      </c>
      <c r="B882" s="1" t="n">
        <v>45463</v>
      </c>
      <c r="C882" s="1" t="n">
        <v>45999</v>
      </c>
      <c r="D882" t="inlineStr">
        <is>
          <t>VÄSTERBOTTENS LÄN</t>
        </is>
      </c>
      <c r="E882" t="inlineStr">
        <is>
          <t>VILHELMINA</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29954-2023</t>
        </is>
      </c>
      <c r="B883" s="1" t="n">
        <v>45107</v>
      </c>
      <c r="C883" s="1" t="n">
        <v>45999</v>
      </c>
      <c r="D883" t="inlineStr">
        <is>
          <t>VÄSTERBOTTENS LÄN</t>
        </is>
      </c>
      <c r="E883" t="inlineStr">
        <is>
          <t>VILHELMINA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37714-2024</t>
        </is>
      </c>
      <c r="B884" s="1" t="n">
        <v>45541.63569444444</v>
      </c>
      <c r="C884" s="1" t="n">
        <v>45999</v>
      </c>
      <c r="D884" t="inlineStr">
        <is>
          <t>VÄSTERBOTTENS LÄN</t>
        </is>
      </c>
      <c r="E884" t="inlineStr">
        <is>
          <t>VILHELMINA</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37715-2024</t>
        </is>
      </c>
      <c r="B885" s="1" t="n">
        <v>45541.63581018519</v>
      </c>
      <c r="C885" s="1" t="n">
        <v>45999</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44285-2024</t>
        </is>
      </c>
      <c r="B886" s="1" t="n">
        <v>45573</v>
      </c>
      <c r="C886" s="1" t="n">
        <v>45999</v>
      </c>
      <c r="D886" t="inlineStr">
        <is>
          <t>VÄSTERBOTTENS LÄN</t>
        </is>
      </c>
      <c r="E886" t="inlineStr">
        <is>
          <t>VILHELMINA</t>
        </is>
      </c>
      <c r="G886" t="n">
        <v>30.9</v>
      </c>
      <c r="H886" t="n">
        <v>0</v>
      </c>
      <c r="I886" t="n">
        <v>0</v>
      </c>
      <c r="J886" t="n">
        <v>0</v>
      </c>
      <c r="K886" t="n">
        <v>0</v>
      </c>
      <c r="L886" t="n">
        <v>0</v>
      </c>
      <c r="M886" t="n">
        <v>0</v>
      </c>
      <c r="N886" t="n">
        <v>0</v>
      </c>
      <c r="O886" t="n">
        <v>0</v>
      </c>
      <c r="P886" t="n">
        <v>0</v>
      </c>
      <c r="Q886" t="n">
        <v>0</v>
      </c>
      <c r="R886" s="2" t="inlineStr"/>
    </row>
    <row r="887" ht="15" customHeight="1">
      <c r="A887" t="inlineStr">
        <is>
          <t>A 64421-2023</t>
        </is>
      </c>
      <c r="B887" s="1" t="n">
        <v>45280</v>
      </c>
      <c r="C887" s="1" t="n">
        <v>45999</v>
      </c>
      <c r="D887" t="inlineStr">
        <is>
          <t>VÄSTERBOTTENS LÄN</t>
        </is>
      </c>
      <c r="E887" t="inlineStr">
        <is>
          <t>VILHELMINA</t>
        </is>
      </c>
      <c r="G887" t="n">
        <v>4.9</v>
      </c>
      <c r="H887" t="n">
        <v>0</v>
      </c>
      <c r="I887" t="n">
        <v>0</v>
      </c>
      <c r="J887" t="n">
        <v>0</v>
      </c>
      <c r="K887" t="n">
        <v>0</v>
      </c>
      <c r="L887" t="n">
        <v>0</v>
      </c>
      <c r="M887" t="n">
        <v>0</v>
      </c>
      <c r="N887" t="n">
        <v>0</v>
      </c>
      <c r="O887" t="n">
        <v>0</v>
      </c>
      <c r="P887" t="n">
        <v>0</v>
      </c>
      <c r="Q887" t="n">
        <v>0</v>
      </c>
      <c r="R887" s="2" t="inlineStr"/>
    </row>
    <row r="888" ht="15" customHeight="1">
      <c r="A888" t="inlineStr">
        <is>
          <t>A 24828-2023</t>
        </is>
      </c>
      <c r="B888" s="1" t="n">
        <v>45084</v>
      </c>
      <c r="C888" s="1" t="n">
        <v>45999</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6664-2021</t>
        </is>
      </c>
      <c r="B889" s="1" t="n">
        <v>44235</v>
      </c>
      <c r="C889" s="1" t="n">
        <v>45999</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6699-2021</t>
        </is>
      </c>
      <c r="B890" s="1" t="n">
        <v>44235</v>
      </c>
      <c r="C890" s="1" t="n">
        <v>45999</v>
      </c>
      <c r="D890" t="inlineStr">
        <is>
          <t>VÄSTERBOTTENS LÄN</t>
        </is>
      </c>
      <c r="E890" t="inlineStr">
        <is>
          <t>VILHELMINA</t>
        </is>
      </c>
      <c r="G890" t="n">
        <v>6.9</v>
      </c>
      <c r="H890" t="n">
        <v>0</v>
      </c>
      <c r="I890" t="n">
        <v>0</v>
      </c>
      <c r="J890" t="n">
        <v>0</v>
      </c>
      <c r="K890" t="n">
        <v>0</v>
      </c>
      <c r="L890" t="n">
        <v>0</v>
      </c>
      <c r="M890" t="n">
        <v>0</v>
      </c>
      <c r="N890" t="n">
        <v>0</v>
      </c>
      <c r="O890" t="n">
        <v>0</v>
      </c>
      <c r="P890" t="n">
        <v>0</v>
      </c>
      <c r="Q890" t="n">
        <v>0</v>
      </c>
      <c r="R890" s="2" t="inlineStr"/>
    </row>
    <row r="891" ht="15" customHeight="1">
      <c r="A891" t="inlineStr">
        <is>
          <t>A 61779-2023</t>
        </is>
      </c>
      <c r="B891" s="1" t="n">
        <v>45265.95677083333</v>
      </c>
      <c r="C891" s="1" t="n">
        <v>45999</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12364-2025</t>
        </is>
      </c>
      <c r="B892" s="1" t="n">
        <v>45730.37515046296</v>
      </c>
      <c r="C892" s="1" t="n">
        <v>45999</v>
      </c>
      <c r="D892" t="inlineStr">
        <is>
          <t>VÄSTERBOTTENS LÄN</t>
        </is>
      </c>
      <c r="E892" t="inlineStr">
        <is>
          <t>VILHELMINA</t>
        </is>
      </c>
      <c r="F892" t="inlineStr">
        <is>
          <t>Övriga statliga verk och myndigheter</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12377-2025</t>
        </is>
      </c>
      <c r="B893" s="1" t="n">
        <v>45730</v>
      </c>
      <c r="C893" s="1" t="n">
        <v>45999</v>
      </c>
      <c r="D893" t="inlineStr">
        <is>
          <t>VÄSTERBOTTENS LÄN</t>
        </is>
      </c>
      <c r="E893" t="inlineStr">
        <is>
          <t>VILHELMINA</t>
        </is>
      </c>
      <c r="F893" t="inlineStr">
        <is>
          <t>Övriga statliga verk och myndigheter</t>
        </is>
      </c>
      <c r="G893" t="n">
        <v>37.1</v>
      </c>
      <c r="H893" t="n">
        <v>0</v>
      </c>
      <c r="I893" t="n">
        <v>0</v>
      </c>
      <c r="J893" t="n">
        <v>0</v>
      </c>
      <c r="K893" t="n">
        <v>0</v>
      </c>
      <c r="L893" t="n">
        <v>0</v>
      </c>
      <c r="M893" t="n">
        <v>0</v>
      </c>
      <c r="N893" t="n">
        <v>0</v>
      </c>
      <c r="O893" t="n">
        <v>0</v>
      </c>
      <c r="P893" t="n">
        <v>0</v>
      </c>
      <c r="Q893" t="n">
        <v>0</v>
      </c>
      <c r="R893" s="2" t="inlineStr"/>
    </row>
    <row r="894" ht="15" customHeight="1">
      <c r="A894" t="inlineStr">
        <is>
          <t>A 59671-2023</t>
        </is>
      </c>
      <c r="B894" s="1" t="n">
        <v>45254.96524305556</v>
      </c>
      <c r="C894" s="1" t="n">
        <v>45999</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54430-2024</t>
        </is>
      </c>
      <c r="B895" s="1" t="n">
        <v>45617.49107638889</v>
      </c>
      <c r="C895" s="1" t="n">
        <v>45999</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62405-2022</t>
        </is>
      </c>
      <c r="B896" s="1" t="n">
        <v>44923</v>
      </c>
      <c r="C896" s="1" t="n">
        <v>45999</v>
      </c>
      <c r="D896" t="inlineStr">
        <is>
          <t>VÄSTERBOTTENS LÄN</t>
        </is>
      </c>
      <c r="E896" t="inlineStr">
        <is>
          <t>VILHELMINA</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49886-2024</t>
        </is>
      </c>
      <c r="B897" s="1" t="n">
        <v>45597</v>
      </c>
      <c r="C897" s="1" t="n">
        <v>45999</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51134-2024</t>
        </is>
      </c>
      <c r="B898" s="1" t="n">
        <v>45603</v>
      </c>
      <c r="C898" s="1" t="n">
        <v>45999</v>
      </c>
      <c r="D898" t="inlineStr">
        <is>
          <t>VÄSTERBOTTENS LÄN</t>
        </is>
      </c>
      <c r="E898" t="inlineStr">
        <is>
          <t>VILHELMINA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50635-2021</t>
        </is>
      </c>
      <c r="B899" s="1" t="n">
        <v>44459.71978009259</v>
      </c>
      <c r="C899" s="1" t="n">
        <v>45999</v>
      </c>
      <c r="D899" t="inlineStr">
        <is>
          <t>VÄSTERBOTTENS LÄN</t>
        </is>
      </c>
      <c r="E899" t="inlineStr">
        <is>
          <t>VILHELMINA</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28870-2024</t>
        </is>
      </c>
      <c r="B900" s="1" t="n">
        <v>45478.94733796296</v>
      </c>
      <c r="C900" s="1" t="n">
        <v>45999</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54727-2024</t>
        </is>
      </c>
      <c r="B901" s="1" t="n">
        <v>45618.43804398148</v>
      </c>
      <c r="C901" s="1" t="n">
        <v>45999</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54804-2024</t>
        </is>
      </c>
      <c r="B902" s="1" t="n">
        <v>45618</v>
      </c>
      <c r="C902" s="1" t="n">
        <v>45999</v>
      </c>
      <c r="D902" t="inlineStr">
        <is>
          <t>VÄSTERBOTTENS LÄN</t>
        </is>
      </c>
      <c r="E902" t="inlineStr">
        <is>
          <t>VILHELMINA</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20653-2021</t>
        </is>
      </c>
      <c r="B903" s="1" t="n">
        <v>44316.41677083333</v>
      </c>
      <c r="C903" s="1" t="n">
        <v>45999</v>
      </c>
      <c r="D903" t="inlineStr">
        <is>
          <t>VÄSTERBOTTENS LÄN</t>
        </is>
      </c>
      <c r="E903" t="inlineStr">
        <is>
          <t>VILHELMINA</t>
        </is>
      </c>
      <c r="F903" t="inlineStr">
        <is>
          <t>Kommuner</t>
        </is>
      </c>
      <c r="G903" t="n">
        <v>2.5</v>
      </c>
      <c r="H903" t="n">
        <v>0</v>
      </c>
      <c r="I903" t="n">
        <v>0</v>
      </c>
      <c r="J903" t="n">
        <v>0</v>
      </c>
      <c r="K903" t="n">
        <v>0</v>
      </c>
      <c r="L903" t="n">
        <v>0</v>
      </c>
      <c r="M903" t="n">
        <v>0</v>
      </c>
      <c r="N903" t="n">
        <v>0</v>
      </c>
      <c r="O903" t="n">
        <v>0</v>
      </c>
      <c r="P903" t="n">
        <v>0</v>
      </c>
      <c r="Q903" t="n">
        <v>0</v>
      </c>
      <c r="R903" s="2" t="inlineStr"/>
    </row>
    <row r="904" ht="15" customHeight="1">
      <c r="A904" t="inlineStr">
        <is>
          <t>A 11114-2022</t>
        </is>
      </c>
      <c r="B904" s="1" t="n">
        <v>44628.925625</v>
      </c>
      <c r="C904" s="1" t="n">
        <v>45999</v>
      </c>
      <c r="D904" t="inlineStr">
        <is>
          <t>VÄSTERBOTTENS LÄN</t>
        </is>
      </c>
      <c r="E904" t="inlineStr">
        <is>
          <t>VILHELMINA</t>
        </is>
      </c>
      <c r="G904" t="n">
        <v>8.6</v>
      </c>
      <c r="H904" t="n">
        <v>0</v>
      </c>
      <c r="I904" t="n">
        <v>0</v>
      </c>
      <c r="J904" t="n">
        <v>0</v>
      </c>
      <c r="K904" t="n">
        <v>0</v>
      </c>
      <c r="L904" t="n">
        <v>0</v>
      </c>
      <c r="M904" t="n">
        <v>0</v>
      </c>
      <c r="N904" t="n">
        <v>0</v>
      </c>
      <c r="O904" t="n">
        <v>0</v>
      </c>
      <c r="P904" t="n">
        <v>0</v>
      </c>
      <c r="Q904" t="n">
        <v>0</v>
      </c>
      <c r="R904" s="2" t="inlineStr"/>
    </row>
    <row r="905" ht="15" customHeight="1">
      <c r="A905" t="inlineStr">
        <is>
          <t>A 56763-2023</t>
        </is>
      </c>
      <c r="B905" s="1" t="n">
        <v>45238</v>
      </c>
      <c r="C905" s="1" t="n">
        <v>45999</v>
      </c>
      <c r="D905" t="inlineStr">
        <is>
          <t>VÄSTERBOTTENS LÄN</t>
        </is>
      </c>
      <c r="E905" t="inlineStr">
        <is>
          <t>VILHELMINA</t>
        </is>
      </c>
      <c r="F905" t="inlineStr">
        <is>
          <t>Allmännings- och besparingsskogar</t>
        </is>
      </c>
      <c r="G905" t="n">
        <v>77</v>
      </c>
      <c r="H905" t="n">
        <v>0</v>
      </c>
      <c r="I905" t="n">
        <v>0</v>
      </c>
      <c r="J905" t="n">
        <v>0</v>
      </c>
      <c r="K905" t="n">
        <v>0</v>
      </c>
      <c r="L905" t="n">
        <v>0</v>
      </c>
      <c r="M905" t="n">
        <v>0</v>
      </c>
      <c r="N905" t="n">
        <v>0</v>
      </c>
      <c r="O905" t="n">
        <v>0</v>
      </c>
      <c r="P905" t="n">
        <v>0</v>
      </c>
      <c r="Q905" t="n">
        <v>0</v>
      </c>
      <c r="R905" s="2" t="inlineStr"/>
    </row>
    <row r="906" ht="15" customHeight="1">
      <c r="A906" t="inlineStr">
        <is>
          <t>A 35757-2023</t>
        </is>
      </c>
      <c r="B906" s="1" t="n">
        <v>45147.95444444445</v>
      </c>
      <c r="C906" s="1" t="n">
        <v>45999</v>
      </c>
      <c r="D906" t="inlineStr">
        <is>
          <t>VÄSTERBOTTENS LÄN</t>
        </is>
      </c>
      <c r="E906" t="inlineStr">
        <is>
          <t>VILHELMINA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72-2025</t>
        </is>
      </c>
      <c r="B907" s="1" t="n">
        <v>45659</v>
      </c>
      <c r="C907" s="1" t="n">
        <v>45999</v>
      </c>
      <c r="D907" t="inlineStr">
        <is>
          <t>VÄSTERBOTTENS LÄN</t>
        </is>
      </c>
      <c r="E907" t="inlineStr">
        <is>
          <t>VILHELMINA</t>
        </is>
      </c>
      <c r="G907" t="n">
        <v>0.9</v>
      </c>
      <c r="H907" t="n">
        <v>0</v>
      </c>
      <c r="I907" t="n">
        <v>0</v>
      </c>
      <c r="J907" t="n">
        <v>0</v>
      </c>
      <c r="K907" t="n">
        <v>0</v>
      </c>
      <c r="L907" t="n">
        <v>0</v>
      </c>
      <c r="M907" t="n">
        <v>0</v>
      </c>
      <c r="N907" t="n">
        <v>0</v>
      </c>
      <c r="O907" t="n">
        <v>0</v>
      </c>
      <c r="P907" t="n">
        <v>0</v>
      </c>
      <c r="Q907" t="n">
        <v>0</v>
      </c>
      <c r="R907" s="2" t="inlineStr"/>
    </row>
    <row r="908" ht="15" customHeight="1">
      <c r="A908" t="inlineStr">
        <is>
          <t>A 9181-2023</t>
        </is>
      </c>
      <c r="B908" s="1" t="n">
        <v>44972</v>
      </c>
      <c r="C908" s="1" t="n">
        <v>45999</v>
      </c>
      <c r="D908" t="inlineStr">
        <is>
          <t>VÄSTERBOTTENS LÄN</t>
        </is>
      </c>
      <c r="E908" t="inlineStr">
        <is>
          <t>VILHELMINA</t>
        </is>
      </c>
      <c r="F908" t="inlineStr">
        <is>
          <t>Allmännings- och besparingsskogar</t>
        </is>
      </c>
      <c r="G908" t="n">
        <v>220.1</v>
      </c>
      <c r="H908" t="n">
        <v>0</v>
      </c>
      <c r="I908" t="n">
        <v>0</v>
      </c>
      <c r="J908" t="n">
        <v>0</v>
      </c>
      <c r="K908" t="n">
        <v>0</v>
      </c>
      <c r="L908" t="n">
        <v>0</v>
      </c>
      <c r="M908" t="n">
        <v>0</v>
      </c>
      <c r="N908" t="n">
        <v>0</v>
      </c>
      <c r="O908" t="n">
        <v>0</v>
      </c>
      <c r="P908" t="n">
        <v>0</v>
      </c>
      <c r="Q908" t="n">
        <v>0</v>
      </c>
      <c r="R908" s="2" t="inlineStr"/>
    </row>
    <row r="909" ht="15" customHeight="1">
      <c r="A909" t="inlineStr">
        <is>
          <t>A 54457-2024</t>
        </is>
      </c>
      <c r="B909" s="1" t="n">
        <v>45617</v>
      </c>
      <c r="C909" s="1" t="n">
        <v>45999</v>
      </c>
      <c r="D909" t="inlineStr">
        <is>
          <t>VÄSTERBOTTENS LÄN</t>
        </is>
      </c>
      <c r="E909" t="inlineStr">
        <is>
          <t>VILHELMINA</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31851-2024</t>
        </is>
      </c>
      <c r="B910" s="1" t="n">
        <v>45509</v>
      </c>
      <c r="C910" s="1" t="n">
        <v>45999</v>
      </c>
      <c r="D910" t="inlineStr">
        <is>
          <t>VÄSTERBOTTENS LÄN</t>
        </is>
      </c>
      <c r="E910" t="inlineStr">
        <is>
          <t>VILHELMINA</t>
        </is>
      </c>
      <c r="G910" t="n">
        <v>5.1</v>
      </c>
      <c r="H910" t="n">
        <v>0</v>
      </c>
      <c r="I910" t="n">
        <v>0</v>
      </c>
      <c r="J910" t="n">
        <v>0</v>
      </c>
      <c r="K910" t="n">
        <v>0</v>
      </c>
      <c r="L910" t="n">
        <v>0</v>
      </c>
      <c r="M910" t="n">
        <v>0</v>
      </c>
      <c r="N910" t="n">
        <v>0</v>
      </c>
      <c r="O910" t="n">
        <v>0</v>
      </c>
      <c r="P910" t="n">
        <v>0</v>
      </c>
      <c r="Q910" t="n">
        <v>0</v>
      </c>
      <c r="R910" s="2" t="inlineStr"/>
    </row>
    <row r="911" ht="15" customHeight="1">
      <c r="A911" t="inlineStr">
        <is>
          <t>A 58943-2024</t>
        </is>
      </c>
      <c r="B911" s="1" t="n">
        <v>45636.5433449074</v>
      </c>
      <c r="C911" s="1" t="n">
        <v>45999</v>
      </c>
      <c r="D911" t="inlineStr">
        <is>
          <t>VÄSTERBOTTENS LÄN</t>
        </is>
      </c>
      <c r="E911" t="inlineStr">
        <is>
          <t>VILHELMINA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74-2025</t>
        </is>
      </c>
      <c r="B912" s="1" t="n">
        <v>45659</v>
      </c>
      <c r="C912" s="1" t="n">
        <v>45999</v>
      </c>
      <c r="D912" t="inlineStr">
        <is>
          <t>VÄSTERBOTTENS LÄN</t>
        </is>
      </c>
      <c r="E912" t="inlineStr">
        <is>
          <t>VILHELMINA</t>
        </is>
      </c>
      <c r="G912" t="n">
        <v>5.9</v>
      </c>
      <c r="H912" t="n">
        <v>0</v>
      </c>
      <c r="I912" t="n">
        <v>0</v>
      </c>
      <c r="J912" t="n">
        <v>0</v>
      </c>
      <c r="K912" t="n">
        <v>0</v>
      </c>
      <c r="L912" t="n">
        <v>0</v>
      </c>
      <c r="M912" t="n">
        <v>0</v>
      </c>
      <c r="N912" t="n">
        <v>0</v>
      </c>
      <c r="O912" t="n">
        <v>0</v>
      </c>
      <c r="P912" t="n">
        <v>0</v>
      </c>
      <c r="Q912" t="n">
        <v>0</v>
      </c>
      <c r="R912" s="2" t="inlineStr"/>
    </row>
    <row r="913" ht="15" customHeight="1">
      <c r="A913" t="inlineStr">
        <is>
          <t>A 78-2025</t>
        </is>
      </c>
      <c r="B913" s="1" t="n">
        <v>45659</v>
      </c>
      <c r="C913" s="1" t="n">
        <v>45999</v>
      </c>
      <c r="D913" t="inlineStr">
        <is>
          <t>VÄSTERBOTTENS LÄN</t>
        </is>
      </c>
      <c r="E913" t="inlineStr">
        <is>
          <t>VILHELMINA</t>
        </is>
      </c>
      <c r="G913" t="n">
        <v>7.3</v>
      </c>
      <c r="H913" t="n">
        <v>0</v>
      </c>
      <c r="I913" t="n">
        <v>0</v>
      </c>
      <c r="J913" t="n">
        <v>0</v>
      </c>
      <c r="K913" t="n">
        <v>0</v>
      </c>
      <c r="L913" t="n">
        <v>0</v>
      </c>
      <c r="M913" t="n">
        <v>0</v>
      </c>
      <c r="N913" t="n">
        <v>0</v>
      </c>
      <c r="O913" t="n">
        <v>0</v>
      </c>
      <c r="P913" t="n">
        <v>0</v>
      </c>
      <c r="Q913" t="n">
        <v>0</v>
      </c>
      <c r="R913" s="2" t="inlineStr"/>
    </row>
    <row r="914" ht="15" customHeight="1">
      <c r="A914" t="inlineStr">
        <is>
          <t>A 23278-2021</t>
        </is>
      </c>
      <c r="B914" s="1" t="n">
        <v>44328</v>
      </c>
      <c r="C914" s="1" t="n">
        <v>45999</v>
      </c>
      <c r="D914" t="inlineStr">
        <is>
          <t>VÄSTERBOTTENS LÄN</t>
        </is>
      </c>
      <c r="E914" t="inlineStr">
        <is>
          <t>VILHELMINA</t>
        </is>
      </c>
      <c r="F914" t="inlineStr">
        <is>
          <t>Allmännings- och besparingsskogar</t>
        </is>
      </c>
      <c r="G914" t="n">
        <v>13.6</v>
      </c>
      <c r="H914" t="n">
        <v>0</v>
      </c>
      <c r="I914" t="n">
        <v>0</v>
      </c>
      <c r="J914" t="n">
        <v>0</v>
      </c>
      <c r="K914" t="n">
        <v>0</v>
      </c>
      <c r="L914" t="n">
        <v>0</v>
      </c>
      <c r="M914" t="n">
        <v>0</v>
      </c>
      <c r="N914" t="n">
        <v>0</v>
      </c>
      <c r="O914" t="n">
        <v>0</v>
      </c>
      <c r="P914" t="n">
        <v>0</v>
      </c>
      <c r="Q914" t="n">
        <v>0</v>
      </c>
      <c r="R914" s="2" t="inlineStr"/>
    </row>
    <row r="915" ht="15" customHeight="1">
      <c r="A915" t="inlineStr">
        <is>
          <t>A 54387-2024</t>
        </is>
      </c>
      <c r="B915" s="1" t="n">
        <v>45617</v>
      </c>
      <c r="C915" s="1" t="n">
        <v>45999</v>
      </c>
      <c r="D915" t="inlineStr">
        <is>
          <t>VÄSTERBOTTENS LÄN</t>
        </is>
      </c>
      <c r="E915" t="inlineStr">
        <is>
          <t>VILHELMINA</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45158.31186342592</v>
      </c>
      <c r="C916" s="1" t="n">
        <v>45999</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27881-2022</t>
        </is>
      </c>
      <c r="B917" s="1" t="n">
        <v>44743</v>
      </c>
      <c r="C917" s="1" t="n">
        <v>45999</v>
      </c>
      <c r="D917" t="inlineStr">
        <is>
          <t>VÄSTERBOTTENS LÄN</t>
        </is>
      </c>
      <c r="E917" t="inlineStr">
        <is>
          <t>VILHELMINA</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49241-2024</t>
        </is>
      </c>
      <c r="B918" s="1" t="n">
        <v>45595</v>
      </c>
      <c r="C918" s="1" t="n">
        <v>45999</v>
      </c>
      <c r="D918" t="inlineStr">
        <is>
          <t>VÄSTERBOTTENS LÄN</t>
        </is>
      </c>
      <c r="E918" t="inlineStr">
        <is>
          <t>VILHELMINA</t>
        </is>
      </c>
      <c r="G918" t="n">
        <v>1.4</v>
      </c>
      <c r="H918" t="n">
        <v>0</v>
      </c>
      <c r="I918" t="n">
        <v>0</v>
      </c>
      <c r="J918" t="n">
        <v>0</v>
      </c>
      <c r="K918" t="n">
        <v>0</v>
      </c>
      <c r="L918" t="n">
        <v>0</v>
      </c>
      <c r="M918" t="n">
        <v>0</v>
      </c>
      <c r="N918" t="n">
        <v>0</v>
      </c>
      <c r="O918" t="n">
        <v>0</v>
      </c>
      <c r="P918" t="n">
        <v>0</v>
      </c>
      <c r="Q918" t="n">
        <v>0</v>
      </c>
      <c r="R918" s="2" t="inlineStr"/>
    </row>
    <row r="919" ht="15" customHeight="1">
      <c r="A919" t="inlineStr">
        <is>
          <t>A 5575-2025</t>
        </is>
      </c>
      <c r="B919" s="1" t="n">
        <v>45693.53200231482</v>
      </c>
      <c r="C919" s="1" t="n">
        <v>45999</v>
      </c>
      <c r="D919" t="inlineStr">
        <is>
          <t>VÄSTERBOTTENS LÄN</t>
        </is>
      </c>
      <c r="E919" t="inlineStr">
        <is>
          <t>VILHELMINA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24457-2024</t>
        </is>
      </c>
      <c r="B920" s="1" t="n">
        <v>45457.96708333334</v>
      </c>
      <c r="C920" s="1" t="n">
        <v>45999</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36214-2023</t>
        </is>
      </c>
      <c r="B921" s="1" t="n">
        <v>45149.95256944445</v>
      </c>
      <c r="C921" s="1" t="n">
        <v>45999</v>
      </c>
      <c r="D921" t="inlineStr">
        <is>
          <t>VÄSTERBOTTENS LÄN</t>
        </is>
      </c>
      <c r="E921" t="inlineStr">
        <is>
          <t>VILHELMINA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18781-2021</t>
        </is>
      </c>
      <c r="B922" s="1" t="n">
        <v>44307</v>
      </c>
      <c r="C922" s="1" t="n">
        <v>45999</v>
      </c>
      <c r="D922" t="inlineStr">
        <is>
          <t>VÄSTERBOTTENS LÄN</t>
        </is>
      </c>
      <c r="E922" t="inlineStr">
        <is>
          <t>VILHELMINA</t>
        </is>
      </c>
      <c r="G922" t="n">
        <v>3.5</v>
      </c>
      <c r="H922" t="n">
        <v>0</v>
      </c>
      <c r="I922" t="n">
        <v>0</v>
      </c>
      <c r="J922" t="n">
        <v>0</v>
      </c>
      <c r="K922" t="n">
        <v>0</v>
      </c>
      <c r="L922" t="n">
        <v>0</v>
      </c>
      <c r="M922" t="n">
        <v>0</v>
      </c>
      <c r="N922" t="n">
        <v>0</v>
      </c>
      <c r="O922" t="n">
        <v>0</v>
      </c>
      <c r="P922" t="n">
        <v>0</v>
      </c>
      <c r="Q922" t="n">
        <v>0</v>
      </c>
      <c r="R922" s="2" t="inlineStr"/>
    </row>
    <row r="923" ht="15" customHeight="1">
      <c r="A923" t="inlineStr">
        <is>
          <t>A 12593-2022</t>
        </is>
      </c>
      <c r="B923" s="1" t="n">
        <v>44640</v>
      </c>
      <c r="C923" s="1" t="n">
        <v>45999</v>
      </c>
      <c r="D923" t="inlineStr">
        <is>
          <t>VÄSTERBOTTENS LÄN</t>
        </is>
      </c>
      <c r="E923" t="inlineStr">
        <is>
          <t>VILHELMINA</t>
        </is>
      </c>
      <c r="G923" t="n">
        <v>10.4</v>
      </c>
      <c r="H923" t="n">
        <v>0</v>
      </c>
      <c r="I923" t="n">
        <v>0</v>
      </c>
      <c r="J923" t="n">
        <v>0</v>
      </c>
      <c r="K923" t="n">
        <v>0</v>
      </c>
      <c r="L923" t="n">
        <v>0</v>
      </c>
      <c r="M923" t="n">
        <v>0</v>
      </c>
      <c r="N923" t="n">
        <v>0</v>
      </c>
      <c r="O923" t="n">
        <v>0</v>
      </c>
      <c r="P923" t="n">
        <v>0</v>
      </c>
      <c r="Q923" t="n">
        <v>0</v>
      </c>
      <c r="R923" s="2" t="inlineStr"/>
    </row>
    <row r="924" ht="15" customHeight="1">
      <c r="A924" t="inlineStr">
        <is>
          <t>A 28695-2024</t>
        </is>
      </c>
      <c r="B924" s="1" t="n">
        <v>45478</v>
      </c>
      <c r="C924" s="1" t="n">
        <v>45999</v>
      </c>
      <c r="D924" t="inlineStr">
        <is>
          <t>VÄSTERBOTTENS LÄN</t>
        </is>
      </c>
      <c r="E924" t="inlineStr">
        <is>
          <t>VILHELMINA</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15782-2025</t>
        </is>
      </c>
      <c r="B925" s="1" t="n">
        <v>45748</v>
      </c>
      <c r="C925" s="1" t="n">
        <v>45999</v>
      </c>
      <c r="D925" t="inlineStr">
        <is>
          <t>VÄSTERBOTTENS LÄN</t>
        </is>
      </c>
      <c r="E925" t="inlineStr">
        <is>
          <t>VILHELMINA</t>
        </is>
      </c>
      <c r="G925" t="n">
        <v>2.5</v>
      </c>
      <c r="H925" t="n">
        <v>0</v>
      </c>
      <c r="I925" t="n">
        <v>0</v>
      </c>
      <c r="J925" t="n">
        <v>0</v>
      </c>
      <c r="K925" t="n">
        <v>0</v>
      </c>
      <c r="L925" t="n">
        <v>0</v>
      </c>
      <c r="M925" t="n">
        <v>0</v>
      </c>
      <c r="N925" t="n">
        <v>0</v>
      </c>
      <c r="O925" t="n">
        <v>0</v>
      </c>
      <c r="P925" t="n">
        <v>0</v>
      </c>
      <c r="Q925" t="n">
        <v>0</v>
      </c>
      <c r="R925" s="2" t="inlineStr"/>
    </row>
    <row r="926" ht="15" customHeight="1">
      <c r="A926" t="inlineStr">
        <is>
          <t>A 23543-2024</t>
        </is>
      </c>
      <c r="B926" s="1" t="n">
        <v>45453</v>
      </c>
      <c r="C926" s="1" t="n">
        <v>45999</v>
      </c>
      <c r="D926" t="inlineStr">
        <is>
          <t>VÄSTERBOTTENS LÄN</t>
        </is>
      </c>
      <c r="E926" t="inlineStr">
        <is>
          <t>VILHELMINA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45170.95747685185</v>
      </c>
      <c r="C927" s="1" t="n">
        <v>45999</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19600-2025</t>
        </is>
      </c>
      <c r="B928" s="1" t="n">
        <v>45770</v>
      </c>
      <c r="C928" s="1" t="n">
        <v>45999</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62101-2024</t>
        </is>
      </c>
      <c r="B929" s="1" t="n">
        <v>45656.51119212963</v>
      </c>
      <c r="C929" s="1" t="n">
        <v>45999</v>
      </c>
      <c r="D929" t="inlineStr">
        <is>
          <t>VÄSTERBOTTENS LÄN</t>
        </is>
      </c>
      <c r="E929" t="inlineStr">
        <is>
          <t>VILHELMINA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237-2025</t>
        </is>
      </c>
      <c r="B930" s="1" t="n">
        <v>45660.40270833333</v>
      </c>
      <c r="C930" s="1" t="n">
        <v>45999</v>
      </c>
      <c r="D930" t="inlineStr">
        <is>
          <t>VÄSTERBOTTENS LÄN</t>
        </is>
      </c>
      <c r="E930" t="inlineStr">
        <is>
          <t>VILHELMINA</t>
        </is>
      </c>
      <c r="G930" t="n">
        <v>4.6</v>
      </c>
      <c r="H930" t="n">
        <v>0</v>
      </c>
      <c r="I930" t="n">
        <v>0</v>
      </c>
      <c r="J930" t="n">
        <v>0</v>
      </c>
      <c r="K930" t="n">
        <v>0</v>
      </c>
      <c r="L930" t="n">
        <v>0</v>
      </c>
      <c r="M930" t="n">
        <v>0</v>
      </c>
      <c r="N930" t="n">
        <v>0</v>
      </c>
      <c r="O930" t="n">
        <v>0</v>
      </c>
      <c r="P930" t="n">
        <v>0</v>
      </c>
      <c r="Q930" t="n">
        <v>0</v>
      </c>
      <c r="R930" s="2" t="inlineStr"/>
    </row>
    <row r="931" ht="15" customHeight="1">
      <c r="A931" t="inlineStr">
        <is>
          <t>A 242-2025</t>
        </is>
      </c>
      <c r="B931" s="1" t="n">
        <v>45660.41033564815</v>
      </c>
      <c r="C931" s="1" t="n">
        <v>45999</v>
      </c>
      <c r="D931" t="inlineStr">
        <is>
          <t>VÄSTERBOTTENS LÄN</t>
        </is>
      </c>
      <c r="E931" t="inlineStr">
        <is>
          <t>VILHELMINA</t>
        </is>
      </c>
      <c r="G931" t="n">
        <v>2.7</v>
      </c>
      <c r="H931" t="n">
        <v>0</v>
      </c>
      <c r="I931" t="n">
        <v>0</v>
      </c>
      <c r="J931" t="n">
        <v>0</v>
      </c>
      <c r="K931" t="n">
        <v>0</v>
      </c>
      <c r="L931" t="n">
        <v>0</v>
      </c>
      <c r="M931" t="n">
        <v>0</v>
      </c>
      <c r="N931" t="n">
        <v>0</v>
      </c>
      <c r="O931" t="n">
        <v>0</v>
      </c>
      <c r="P931" t="n">
        <v>0</v>
      </c>
      <c r="Q931" t="n">
        <v>0</v>
      </c>
      <c r="R931" s="2" t="inlineStr"/>
    </row>
    <row r="932" ht="15" customHeight="1">
      <c r="A932" t="inlineStr">
        <is>
          <t>A 296-2025</t>
        </is>
      </c>
      <c r="B932" s="1" t="n">
        <v>45660.53215277778</v>
      </c>
      <c r="C932" s="1" t="n">
        <v>45999</v>
      </c>
      <c r="D932" t="inlineStr">
        <is>
          <t>VÄSTERBOTTENS LÄN</t>
        </is>
      </c>
      <c r="E932" t="inlineStr">
        <is>
          <t>VILHELMINA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468-2024</t>
        </is>
      </c>
      <c r="B933" s="1" t="n">
        <v>45297</v>
      </c>
      <c r="C933" s="1" t="n">
        <v>45999</v>
      </c>
      <c r="D933" t="inlineStr">
        <is>
          <t>VÄSTERBOTTENS LÄN</t>
        </is>
      </c>
      <c r="E933" t="inlineStr">
        <is>
          <t>VILHELMINA</t>
        </is>
      </c>
      <c r="G933" t="n">
        <v>6.7</v>
      </c>
      <c r="H933" t="n">
        <v>0</v>
      </c>
      <c r="I933" t="n">
        <v>0</v>
      </c>
      <c r="J933" t="n">
        <v>0</v>
      </c>
      <c r="K933" t="n">
        <v>0</v>
      </c>
      <c r="L933" t="n">
        <v>0</v>
      </c>
      <c r="M933" t="n">
        <v>0</v>
      </c>
      <c r="N933" t="n">
        <v>0</v>
      </c>
      <c r="O933" t="n">
        <v>0</v>
      </c>
      <c r="P933" t="n">
        <v>0</v>
      </c>
      <c r="Q933" t="n">
        <v>0</v>
      </c>
      <c r="R933" s="2" t="inlineStr"/>
    </row>
    <row r="934" ht="15" customHeight="1">
      <c r="A934" t="inlineStr">
        <is>
          <t>A 56830-2023</t>
        </is>
      </c>
      <c r="B934" s="1" t="n">
        <v>45238</v>
      </c>
      <c r="C934" s="1" t="n">
        <v>45999</v>
      </c>
      <c r="D934" t="inlineStr">
        <is>
          <t>VÄSTERBOTTENS LÄN</t>
        </is>
      </c>
      <c r="E934" t="inlineStr">
        <is>
          <t>VILHELMINA</t>
        </is>
      </c>
      <c r="F934" t="inlineStr">
        <is>
          <t>Allmännings- och besparingsskogar</t>
        </is>
      </c>
      <c r="G934" t="n">
        <v>66</v>
      </c>
      <c r="H934" t="n">
        <v>0</v>
      </c>
      <c r="I934" t="n">
        <v>0</v>
      </c>
      <c r="J934" t="n">
        <v>0</v>
      </c>
      <c r="K934" t="n">
        <v>0</v>
      </c>
      <c r="L934" t="n">
        <v>0</v>
      </c>
      <c r="M934" t="n">
        <v>0</v>
      </c>
      <c r="N934" t="n">
        <v>0</v>
      </c>
      <c r="O934" t="n">
        <v>0</v>
      </c>
      <c r="P934" t="n">
        <v>0</v>
      </c>
      <c r="Q934" t="n">
        <v>0</v>
      </c>
      <c r="R934" s="2" t="inlineStr"/>
    </row>
    <row r="935">
      <c r="A935" t="inlineStr">
        <is>
          <t>A 56847-2023</t>
        </is>
      </c>
      <c r="B935" s="1" t="n">
        <v>45238</v>
      </c>
      <c r="C935" s="1" t="n">
        <v>45999</v>
      </c>
      <c r="D935" t="inlineStr">
        <is>
          <t>VÄSTERBOTTENS LÄN</t>
        </is>
      </c>
      <c r="E935" t="inlineStr">
        <is>
          <t>VILHELMINA</t>
        </is>
      </c>
      <c r="F935" t="inlineStr">
        <is>
          <t>Allmännings- och besparingsskogar</t>
        </is>
      </c>
      <c r="G935" t="n">
        <v>41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2025-12-08T10:26:31Z</dcterms:created>
  <dcterms:modified xmlns:dcterms="http://purl.org/dc/terms/" xmlns:xsi="http://www.w3.org/2001/XMLSchema-instance" xsi:type="dcterms:W3CDTF">2025-12-08T10:26:32Z</dcterms:modified>
</cp:coreProperties>
</file>