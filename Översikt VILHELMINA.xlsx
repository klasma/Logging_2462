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45258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45258</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45258</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45258</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45258</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45258</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45258</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45258</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45258</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45258</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45258</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45258</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45258</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45258</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45258</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45258</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45258</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45258</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45258</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45258</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45258</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45258</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45258</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45258</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45258</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45258</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45258</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45258</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45258</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45258</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45258</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45258</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45258</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45258</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45258</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45258</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45258</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45258</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45258</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45258</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56948-2023</t>
        </is>
      </c>
      <c r="B42" s="1" t="n">
        <v>45239</v>
      </c>
      <c r="C42" s="1" t="n">
        <v>45258</v>
      </c>
      <c r="D42" t="inlineStr">
        <is>
          <t>VÄSTERBOTTENS LÄN</t>
        </is>
      </c>
      <c r="E42" t="inlineStr">
        <is>
          <t>VILHELMINA</t>
        </is>
      </c>
      <c r="F42" t="inlineStr">
        <is>
          <t>Allmännings- och besparingsskogar</t>
        </is>
      </c>
      <c r="G42" t="n">
        <v>10.1</v>
      </c>
      <c r="H42" t="n">
        <v>3</v>
      </c>
      <c r="I42" t="n">
        <v>3</v>
      </c>
      <c r="J42" t="n">
        <v>10</v>
      </c>
      <c r="K42" t="n">
        <v>0</v>
      </c>
      <c r="L42" t="n">
        <v>0</v>
      </c>
      <c r="M42" t="n">
        <v>0</v>
      </c>
      <c r="N42" t="n">
        <v>0</v>
      </c>
      <c r="O42" t="n">
        <v>10</v>
      </c>
      <c r="P42" t="n">
        <v>0</v>
      </c>
      <c r="Q42" t="n">
        <v>14</v>
      </c>
      <c r="R42" s="2" t="inlineStr">
        <is>
          <t>Garnlav
Harticka
Liten svartspik
Olivbrun gytterlav
Rosenticka
Skrovellav
Spillkråka
Tretåig hackspett
Ullticka
Vitgrynig nållav
Bårdlav
Luddlav
Stuplav
Skogsrör</t>
        </is>
      </c>
      <c r="S42">
        <f>HYPERLINK("https://klasma.github.io/Logging_2462/artfynd/A 56948-2023 artfynd.xlsx", "A 56948-2023")</f>
        <v/>
      </c>
      <c r="T42">
        <f>HYPERLINK("https://klasma.github.io/Logging_2462/kartor/A 56948-2023 karta.png", "A 56948-2023")</f>
        <v/>
      </c>
      <c r="V42">
        <f>HYPERLINK("https://klasma.github.io/Logging_2462/klagomål/A 56948-2023 FSC-klagomål.docx", "A 56948-2023")</f>
        <v/>
      </c>
      <c r="W42">
        <f>HYPERLINK("https://klasma.github.io/Logging_2462/klagomålsmail/A 56948-2023 FSC-klagomål mail.docx", "A 56948-2023")</f>
        <v/>
      </c>
      <c r="X42">
        <f>HYPERLINK("https://klasma.github.io/Logging_2462/tillsyn/A 56948-2023 tillsynsbegäran.docx", "A 56948-2023")</f>
        <v/>
      </c>
      <c r="Y42">
        <f>HYPERLINK("https://klasma.github.io/Logging_2462/tillsynsmail/A 56948-2023 tillsynsbegäran mail.docx", "A 56948-2023")</f>
        <v/>
      </c>
    </row>
    <row r="43" ht="15" customHeight="1">
      <c r="A43" t="inlineStr">
        <is>
          <t>A 45782-2022</t>
        </is>
      </c>
      <c r="B43" s="1" t="n">
        <v>44838</v>
      </c>
      <c r="C43" s="1" t="n">
        <v>45258</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row>
    <row r="44" ht="15" customHeight="1">
      <c r="A44" t="inlineStr">
        <is>
          <t>A 38412-2018</t>
        </is>
      </c>
      <c r="B44" s="1" t="n">
        <v>43336</v>
      </c>
      <c r="C44" s="1" t="n">
        <v>45258</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row>
    <row r="45" ht="15" customHeight="1">
      <c r="A45" t="inlineStr">
        <is>
          <t>A 48034-2020</t>
        </is>
      </c>
      <c r="B45" s="1" t="n">
        <v>44095</v>
      </c>
      <c r="C45" s="1" t="n">
        <v>45258</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row>
    <row r="46" ht="15" customHeight="1">
      <c r="A46" t="inlineStr">
        <is>
          <t>A 12014-2021</t>
        </is>
      </c>
      <c r="B46" s="1" t="n">
        <v>44266</v>
      </c>
      <c r="C46" s="1" t="n">
        <v>45258</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row>
    <row r="47" ht="15" customHeight="1">
      <c r="A47" t="inlineStr">
        <is>
          <t>A 45743-2022</t>
        </is>
      </c>
      <c r="B47" s="1" t="n">
        <v>44838</v>
      </c>
      <c r="C47" s="1" t="n">
        <v>45258</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row>
    <row r="48" ht="15" customHeight="1">
      <c r="A48" t="inlineStr">
        <is>
          <t>A 33664-2023</t>
        </is>
      </c>
      <c r="B48" s="1" t="n">
        <v>45119</v>
      </c>
      <c r="C48" s="1" t="n">
        <v>45258</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45258</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row>
    <row r="50" ht="15" customHeight="1">
      <c r="A50" t="inlineStr">
        <is>
          <t>A 48248-2023</t>
        </is>
      </c>
      <c r="B50" s="1" t="n">
        <v>45201</v>
      </c>
      <c r="C50" s="1" t="n">
        <v>45258</v>
      </c>
      <c r="D50" t="inlineStr">
        <is>
          <t>VÄSTERBOTTENS LÄN</t>
        </is>
      </c>
      <c r="E50" t="inlineStr">
        <is>
          <t>VILHELMINA</t>
        </is>
      </c>
      <c r="F50" t="inlineStr">
        <is>
          <t>Allmännings- och besparingsskogar</t>
        </is>
      </c>
      <c r="G50" t="n">
        <v>34.2</v>
      </c>
      <c r="H50" t="n">
        <v>2</v>
      </c>
      <c r="I50" t="n">
        <v>3</v>
      </c>
      <c r="J50" t="n">
        <v>8</v>
      </c>
      <c r="K50" t="n">
        <v>0</v>
      </c>
      <c r="L50" t="n">
        <v>0</v>
      </c>
      <c r="M50" t="n">
        <v>0</v>
      </c>
      <c r="N50" t="n">
        <v>0</v>
      </c>
      <c r="O50" t="n">
        <v>8</v>
      </c>
      <c r="P50" t="n">
        <v>0</v>
      </c>
      <c r="Q50" t="n">
        <v>12</v>
      </c>
      <c r="R50" s="2" t="inlineStr">
        <is>
          <t>Garnlav
Granticka
Järpe
Liten svartspik
Rödbrun blekspik
Skrovellav
Vitgrynig nållav
Vitskaftad svartspik
Bårdlav
Gulnål
Stuplav
Tjäder</t>
        </is>
      </c>
      <c r="S50">
        <f>HYPERLINK("https://klasma.github.io/Logging_2462/artfynd/A 48248-2023 artfynd.xlsx", "A 48248-2023")</f>
        <v/>
      </c>
      <c r="T50">
        <f>HYPERLINK("https://klasma.github.io/Logging_2462/kartor/A 48248-2023 karta.png", "A 48248-2023")</f>
        <v/>
      </c>
      <c r="V50">
        <f>HYPERLINK("https://klasma.github.io/Logging_2462/klagomål/A 48248-2023 FSC-klagomål.docx", "A 48248-2023")</f>
        <v/>
      </c>
      <c r="W50">
        <f>HYPERLINK("https://klasma.github.io/Logging_2462/klagomålsmail/A 48248-2023 FSC-klagomål mail.docx", "A 48248-2023")</f>
        <v/>
      </c>
      <c r="X50">
        <f>HYPERLINK("https://klasma.github.io/Logging_2462/tillsyn/A 48248-2023 tillsynsbegäran.docx", "A 48248-2023")</f>
        <v/>
      </c>
      <c r="Y50">
        <f>HYPERLINK("https://klasma.github.io/Logging_2462/tillsynsmail/A 48248-2023 tillsynsbegäran mail.docx", "A 48248-2023")</f>
        <v/>
      </c>
    </row>
    <row r="51" ht="15" customHeight="1">
      <c r="A51" t="inlineStr">
        <is>
          <t>A 60592-2019</t>
        </is>
      </c>
      <c r="B51" s="1" t="n">
        <v>43781</v>
      </c>
      <c r="C51" s="1" t="n">
        <v>45258</v>
      </c>
      <c r="D51" t="inlineStr">
        <is>
          <t>VÄSTERBOTTENS LÄN</t>
        </is>
      </c>
      <c r="E51" t="inlineStr">
        <is>
          <t>VILHELMINA</t>
        </is>
      </c>
      <c r="F51" t="inlineStr">
        <is>
          <t>Holmen skog AB</t>
        </is>
      </c>
      <c r="G51" t="n">
        <v>26.7</v>
      </c>
      <c r="H51" t="n">
        <v>1</v>
      </c>
      <c r="I51" t="n">
        <v>2</v>
      </c>
      <c r="J51" t="n">
        <v>9</v>
      </c>
      <c r="K51" t="n">
        <v>0</v>
      </c>
      <c r="L51" t="n">
        <v>0</v>
      </c>
      <c r="M51" t="n">
        <v>0</v>
      </c>
      <c r="N51" t="n">
        <v>0</v>
      </c>
      <c r="O51" t="n">
        <v>9</v>
      </c>
      <c r="P51" t="n">
        <v>0</v>
      </c>
      <c r="Q51" t="n">
        <v>11</v>
      </c>
      <c r="R51" s="2" t="inlineStr">
        <is>
          <t>Brunpudrad nållav
Gammelgransskål
Garnlav
Granticka
Gränsticka
Knottrig blåslav
Lunglav
Tretåig hackspett
Vitgrynig nållav
Luddlav
Stuplav</t>
        </is>
      </c>
      <c r="S51">
        <f>HYPERLINK("https://klasma.github.io/Logging_2462/artfynd/A 60592-2019 artfynd.xlsx", "A 60592-2019")</f>
        <v/>
      </c>
      <c r="T51">
        <f>HYPERLINK("https://klasma.github.io/Logging_2462/kartor/A 60592-2019 karta.png", "A 60592-2019")</f>
        <v/>
      </c>
      <c r="V51">
        <f>HYPERLINK("https://klasma.github.io/Logging_2462/klagomål/A 60592-2019 FSC-klagomål.docx", "A 60592-2019")</f>
        <v/>
      </c>
      <c r="W51">
        <f>HYPERLINK("https://klasma.github.io/Logging_2462/klagomålsmail/A 60592-2019 FSC-klagomål mail.docx", "A 60592-2019")</f>
        <v/>
      </c>
      <c r="X51">
        <f>HYPERLINK("https://klasma.github.io/Logging_2462/tillsyn/A 60592-2019 tillsynsbegäran.docx", "A 60592-2019")</f>
        <v/>
      </c>
      <c r="Y51">
        <f>HYPERLINK("https://klasma.github.io/Logging_2462/tillsynsmail/A 60592-2019 tillsynsbegäran mail.docx", "A 60592-2019")</f>
        <v/>
      </c>
    </row>
    <row r="52" ht="15" customHeight="1">
      <c r="A52" t="inlineStr">
        <is>
          <t>A 29360-2021</t>
        </is>
      </c>
      <c r="B52" s="1" t="n">
        <v>44361</v>
      </c>
      <c r="C52" s="1" t="n">
        <v>45258</v>
      </c>
      <c r="D52" t="inlineStr">
        <is>
          <t>VÄSTERBOTTENS LÄN</t>
        </is>
      </c>
      <c r="E52" t="inlineStr">
        <is>
          <t>VILHELMINA</t>
        </is>
      </c>
      <c r="F52" t="inlineStr">
        <is>
          <t>Allmännings- och besparingsskogar</t>
        </is>
      </c>
      <c r="G52" t="n">
        <v>71.09999999999999</v>
      </c>
      <c r="H52" t="n">
        <v>1</v>
      </c>
      <c r="I52" t="n">
        <v>3</v>
      </c>
      <c r="J52" t="n">
        <v>7</v>
      </c>
      <c r="K52" t="n">
        <v>1</v>
      </c>
      <c r="L52" t="n">
        <v>0</v>
      </c>
      <c r="M52" t="n">
        <v>0</v>
      </c>
      <c r="N52" t="n">
        <v>0</v>
      </c>
      <c r="O52" t="n">
        <v>8</v>
      </c>
      <c r="P52" t="n">
        <v>1</v>
      </c>
      <c r="Q52" t="n">
        <v>11</v>
      </c>
      <c r="R52" s="2" t="inlineStr">
        <is>
          <t>Tajgaskinn
Garnlav
Granticka
Harticka
Lunglav
Nordtagging
Skrovellav
Tretåig hackspett
Skinnlav
Stuplav
Trådticka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row>
    <row r="53" ht="15" customHeight="1">
      <c r="A53" t="inlineStr">
        <is>
          <t>A 33672-2023</t>
        </is>
      </c>
      <c r="B53" s="1" t="n">
        <v>45119</v>
      </c>
      <c r="C53" s="1" t="n">
        <v>45258</v>
      </c>
      <c r="D53" t="inlineStr">
        <is>
          <t>VÄSTERBOTTENS LÄN</t>
        </is>
      </c>
      <c r="E53" t="inlineStr">
        <is>
          <t>VILHELMINA</t>
        </is>
      </c>
      <c r="F53" t="inlineStr">
        <is>
          <t>Allmännings- och besparingsskogar</t>
        </is>
      </c>
      <c r="G53" t="n">
        <v>28.7</v>
      </c>
      <c r="H53" t="n">
        <v>1</v>
      </c>
      <c r="I53" t="n">
        <v>1</v>
      </c>
      <c r="J53" t="n">
        <v>8</v>
      </c>
      <c r="K53" t="n">
        <v>2</v>
      </c>
      <c r="L53" t="n">
        <v>0</v>
      </c>
      <c r="M53" t="n">
        <v>0</v>
      </c>
      <c r="N53" t="n">
        <v>0</v>
      </c>
      <c r="O53" t="n">
        <v>10</v>
      </c>
      <c r="P53" t="n">
        <v>2</v>
      </c>
      <c r="Q53" t="n">
        <v>11</v>
      </c>
      <c r="R53" s="2" t="inlineStr">
        <is>
          <t>Finporing
Ostticka
Doftskinn
Garnlav
Granticka
Harticka
Leptoporus mollis
Rosenticka
Tretåig hackspett
Ullticka
Trådticka</t>
        </is>
      </c>
      <c r="S53">
        <f>HYPERLINK("https://klasma.github.io/Logging_2462/artfynd/A 33672-2023 artfynd.xlsx", "A 33672-2023")</f>
        <v/>
      </c>
      <c r="T53">
        <f>HYPERLINK("https://klasma.github.io/Logging_2462/kartor/A 33672-2023 karta.png", "A 33672-2023")</f>
        <v/>
      </c>
      <c r="V53">
        <f>HYPERLINK("https://klasma.github.io/Logging_2462/klagomål/A 33672-2023 FSC-klagomål.docx", "A 33672-2023")</f>
        <v/>
      </c>
      <c r="W53">
        <f>HYPERLINK("https://klasma.github.io/Logging_2462/klagomålsmail/A 33672-2023 FSC-klagomål mail.docx", "A 33672-2023")</f>
        <v/>
      </c>
      <c r="X53">
        <f>HYPERLINK("https://klasma.github.io/Logging_2462/tillsyn/A 33672-2023 tillsynsbegäran.docx", "A 33672-2023")</f>
        <v/>
      </c>
      <c r="Y53">
        <f>HYPERLINK("https://klasma.github.io/Logging_2462/tillsynsmail/A 33672-2023 tillsynsbegäran mail.docx", "A 33672-2023")</f>
        <v/>
      </c>
    </row>
    <row r="54" ht="15" customHeight="1">
      <c r="A54" t="inlineStr">
        <is>
          <t>A 48247-2023</t>
        </is>
      </c>
      <c r="B54" s="1" t="n">
        <v>45201</v>
      </c>
      <c r="C54" s="1" t="n">
        <v>45258</v>
      </c>
      <c r="D54" t="inlineStr">
        <is>
          <t>VÄSTERBOTTENS LÄN</t>
        </is>
      </c>
      <c r="E54" t="inlineStr">
        <is>
          <t>VILHELMINA</t>
        </is>
      </c>
      <c r="F54" t="inlineStr">
        <is>
          <t>Allmännings- och besparingsskogar</t>
        </is>
      </c>
      <c r="G54" t="n">
        <v>29.7</v>
      </c>
      <c r="H54" t="n">
        <v>1</v>
      </c>
      <c r="I54" t="n">
        <v>0</v>
      </c>
      <c r="J54" t="n">
        <v>10</v>
      </c>
      <c r="K54" t="n">
        <v>1</v>
      </c>
      <c r="L54" t="n">
        <v>0</v>
      </c>
      <c r="M54" t="n">
        <v>0</v>
      </c>
      <c r="N54" t="n">
        <v>0</v>
      </c>
      <c r="O54" t="n">
        <v>11</v>
      </c>
      <c r="P54" t="n">
        <v>1</v>
      </c>
      <c r="Q54" t="n">
        <v>11</v>
      </c>
      <c r="R54" s="2" t="inlineStr">
        <is>
          <t>Liten sotlav
Gammelgransskål
Garnlav
Granticka
Harticka
Knottrig blåslav
Liten svartspik
Rödbrun blekspik
Tretåig hackspett
Ullticka
Vitgrynig nållav</t>
        </is>
      </c>
      <c r="S54">
        <f>HYPERLINK("https://klasma.github.io/Logging_2462/artfynd/A 48247-2023 artfynd.xlsx", "A 48247-2023")</f>
        <v/>
      </c>
      <c r="T54">
        <f>HYPERLINK("https://klasma.github.io/Logging_2462/kartor/A 48247-2023 karta.png", "A 48247-2023")</f>
        <v/>
      </c>
      <c r="V54">
        <f>HYPERLINK("https://klasma.github.io/Logging_2462/klagomål/A 48247-2023 FSC-klagomål.docx", "A 48247-2023")</f>
        <v/>
      </c>
      <c r="W54">
        <f>HYPERLINK("https://klasma.github.io/Logging_2462/klagomålsmail/A 48247-2023 FSC-klagomål mail.docx", "A 48247-2023")</f>
        <v/>
      </c>
      <c r="X54">
        <f>HYPERLINK("https://klasma.github.io/Logging_2462/tillsyn/A 48247-2023 tillsynsbegäran.docx", "A 48247-2023")</f>
        <v/>
      </c>
      <c r="Y54">
        <f>HYPERLINK("https://klasma.github.io/Logging_2462/tillsynsmail/A 48247-2023 tillsynsbegäran mail.docx", "A 48247-2023")</f>
        <v/>
      </c>
    </row>
    <row r="55" ht="15" customHeight="1">
      <c r="A55" t="inlineStr">
        <is>
          <t>A 49141-2023</t>
        </is>
      </c>
      <c r="B55" s="1" t="n">
        <v>45205</v>
      </c>
      <c r="C55" s="1" t="n">
        <v>45258</v>
      </c>
      <c r="D55" t="inlineStr">
        <is>
          <t>VÄSTERBOTTENS LÄN</t>
        </is>
      </c>
      <c r="E55" t="inlineStr">
        <is>
          <t>VILHELMINA</t>
        </is>
      </c>
      <c r="F55" t="inlineStr">
        <is>
          <t>Allmännings- och besparingsskogar</t>
        </is>
      </c>
      <c r="G55" t="n">
        <v>8.1</v>
      </c>
      <c r="H55" t="n">
        <v>2</v>
      </c>
      <c r="I55" t="n">
        <v>1</v>
      </c>
      <c r="J55" t="n">
        <v>10</v>
      </c>
      <c r="K55" t="n">
        <v>0</v>
      </c>
      <c r="L55" t="n">
        <v>0</v>
      </c>
      <c r="M55" t="n">
        <v>0</v>
      </c>
      <c r="N55" t="n">
        <v>0</v>
      </c>
      <c r="O55" t="n">
        <v>10</v>
      </c>
      <c r="P55" t="n">
        <v>0</v>
      </c>
      <c r="Q55" t="n">
        <v>11</v>
      </c>
      <c r="R55" s="2" t="inlineStr">
        <is>
          <t>Garnlav
Granticka
Liten svartspik
Lunglav
Skrovellav
Talltita
Tretåig hackspett
Ullticka
Vitgrynig nållav
Vitskaftad svartspik
Trådticka</t>
        </is>
      </c>
      <c r="S55">
        <f>HYPERLINK("https://klasma.github.io/Logging_2462/artfynd/A 49141-2023 artfynd.xlsx", "A 49141-2023")</f>
        <v/>
      </c>
      <c r="T55">
        <f>HYPERLINK("https://klasma.github.io/Logging_2462/kartor/A 49141-2023 karta.png", "A 49141-2023")</f>
        <v/>
      </c>
      <c r="V55">
        <f>HYPERLINK("https://klasma.github.io/Logging_2462/klagomål/A 49141-2023 FSC-klagomål.docx", "A 49141-2023")</f>
        <v/>
      </c>
      <c r="W55">
        <f>HYPERLINK("https://klasma.github.io/Logging_2462/klagomålsmail/A 49141-2023 FSC-klagomål mail.docx", "A 49141-2023")</f>
        <v/>
      </c>
      <c r="X55">
        <f>HYPERLINK("https://klasma.github.io/Logging_2462/tillsyn/A 49141-2023 tillsynsbegäran.docx", "A 49141-2023")</f>
        <v/>
      </c>
      <c r="Y55">
        <f>HYPERLINK("https://klasma.github.io/Logging_2462/tillsynsmail/A 49141-2023 tillsynsbegäran mail.docx", "A 49141-2023")</f>
        <v/>
      </c>
    </row>
    <row r="56" ht="15" customHeight="1">
      <c r="A56" t="inlineStr">
        <is>
          <t>A 50025-2019</t>
        </is>
      </c>
      <c r="B56" s="1" t="n">
        <v>43731</v>
      </c>
      <c r="C56" s="1" t="n">
        <v>45258</v>
      </c>
      <c r="D56" t="inlineStr">
        <is>
          <t>VÄSTERBOTTENS LÄN</t>
        </is>
      </c>
      <c r="E56" t="inlineStr">
        <is>
          <t>VILHELMINA</t>
        </is>
      </c>
      <c r="F56" t="inlineStr">
        <is>
          <t>Allmännings- och besparingsskogar</t>
        </is>
      </c>
      <c r="G56" t="n">
        <v>18.1</v>
      </c>
      <c r="H56" t="n">
        <v>0</v>
      </c>
      <c r="I56" t="n">
        <v>2</v>
      </c>
      <c r="J56" t="n">
        <v>5</v>
      </c>
      <c r="K56" t="n">
        <v>3</v>
      </c>
      <c r="L56" t="n">
        <v>0</v>
      </c>
      <c r="M56" t="n">
        <v>0</v>
      </c>
      <c r="N56" t="n">
        <v>0</v>
      </c>
      <c r="O56" t="n">
        <v>8</v>
      </c>
      <c r="P56" t="n">
        <v>3</v>
      </c>
      <c r="Q56" t="n">
        <v>10</v>
      </c>
      <c r="R56" s="2" t="inlineStr">
        <is>
          <t>Laxporing
Rynkskinn
Tajgaskinn
Granticka
Harticka
Knottrig blåslav
Rosenticka
Ullticka
Trådticka
Vedticka</t>
        </is>
      </c>
      <c r="S56">
        <f>HYPERLINK("https://klasma.github.io/Logging_2462/artfynd/A 50025-2019 artfynd.xlsx", "A 50025-2019")</f>
        <v/>
      </c>
      <c r="T56">
        <f>HYPERLINK("https://klasma.github.io/Logging_2462/kartor/A 50025-2019 karta.png", "A 50025-2019")</f>
        <v/>
      </c>
      <c r="V56">
        <f>HYPERLINK("https://klasma.github.io/Logging_2462/klagomål/A 50025-2019 FSC-klagomål.docx", "A 50025-2019")</f>
        <v/>
      </c>
      <c r="W56">
        <f>HYPERLINK("https://klasma.github.io/Logging_2462/klagomålsmail/A 50025-2019 FSC-klagomål mail.docx", "A 50025-2019")</f>
        <v/>
      </c>
      <c r="X56">
        <f>HYPERLINK("https://klasma.github.io/Logging_2462/tillsyn/A 50025-2019 tillsynsbegäran.docx", "A 50025-2019")</f>
        <v/>
      </c>
      <c r="Y56">
        <f>HYPERLINK("https://klasma.github.io/Logging_2462/tillsynsmail/A 50025-2019 tillsynsbegäran mail.docx", "A 50025-2019")</f>
        <v/>
      </c>
    </row>
    <row r="57" ht="15" customHeight="1">
      <c r="A57" t="inlineStr">
        <is>
          <t>A 17204-2022</t>
        </is>
      </c>
      <c r="B57" s="1" t="n">
        <v>44678</v>
      </c>
      <c r="C57" s="1" t="n">
        <v>45258</v>
      </c>
      <c r="D57" t="inlineStr">
        <is>
          <t>VÄSTERBOTTENS LÄN</t>
        </is>
      </c>
      <c r="E57" t="inlineStr">
        <is>
          <t>VILHELMINA</t>
        </is>
      </c>
      <c r="G57" t="n">
        <v>21.5</v>
      </c>
      <c r="H57" t="n">
        <v>1</v>
      </c>
      <c r="I57" t="n">
        <v>1</v>
      </c>
      <c r="J57" t="n">
        <v>9</v>
      </c>
      <c r="K57" t="n">
        <v>0</v>
      </c>
      <c r="L57" t="n">
        <v>0</v>
      </c>
      <c r="M57" t="n">
        <v>0</v>
      </c>
      <c r="N57" t="n">
        <v>0</v>
      </c>
      <c r="O57" t="n">
        <v>9</v>
      </c>
      <c r="P57" t="n">
        <v>0</v>
      </c>
      <c r="Q57" t="n">
        <v>10</v>
      </c>
      <c r="R57" s="2" t="inlineStr">
        <is>
          <t>Gammelgransskål
Garnlav
Granticka
Harticka
Rosenticka
Skrovellav
Tretåig hackspett
Ullticka
Vitgrynig nållav
Luddlav</t>
        </is>
      </c>
      <c r="S57">
        <f>HYPERLINK("https://klasma.github.io/Logging_2462/artfynd/A 17204-2022 artfynd.xlsx", "A 17204-2022")</f>
        <v/>
      </c>
      <c r="T57">
        <f>HYPERLINK("https://klasma.github.io/Logging_2462/kartor/A 17204-2022 karta.png", "A 17204-2022")</f>
        <v/>
      </c>
      <c r="V57">
        <f>HYPERLINK("https://klasma.github.io/Logging_2462/klagomål/A 17204-2022 FSC-klagomål.docx", "A 17204-2022")</f>
        <v/>
      </c>
      <c r="W57">
        <f>HYPERLINK("https://klasma.github.io/Logging_2462/klagomålsmail/A 17204-2022 FSC-klagomål mail.docx", "A 17204-2022")</f>
        <v/>
      </c>
      <c r="X57">
        <f>HYPERLINK("https://klasma.github.io/Logging_2462/tillsyn/A 17204-2022 tillsynsbegäran.docx", "A 17204-2022")</f>
        <v/>
      </c>
      <c r="Y57">
        <f>HYPERLINK("https://klasma.github.io/Logging_2462/tillsynsmail/A 17204-2022 tillsynsbegäran mail.docx", "A 17204-2022")</f>
        <v/>
      </c>
    </row>
    <row r="58" ht="15" customHeight="1">
      <c r="A58" t="inlineStr">
        <is>
          <t>A 48183-2023</t>
        </is>
      </c>
      <c r="B58" s="1" t="n">
        <v>45201</v>
      </c>
      <c r="C58" s="1" t="n">
        <v>45258</v>
      </c>
      <c r="D58" t="inlineStr">
        <is>
          <t>VÄSTERBOTTENS LÄN</t>
        </is>
      </c>
      <c r="E58" t="inlineStr">
        <is>
          <t>VILHELMINA</t>
        </is>
      </c>
      <c r="F58" t="inlineStr">
        <is>
          <t>Allmännings- och besparingsskogar</t>
        </is>
      </c>
      <c r="G58" t="n">
        <v>17.3</v>
      </c>
      <c r="H58" t="n">
        <v>1</v>
      </c>
      <c r="I58" t="n">
        <v>3</v>
      </c>
      <c r="J58" t="n">
        <v>7</v>
      </c>
      <c r="K58" t="n">
        <v>0</v>
      </c>
      <c r="L58" t="n">
        <v>0</v>
      </c>
      <c r="M58" t="n">
        <v>0</v>
      </c>
      <c r="N58" t="n">
        <v>0</v>
      </c>
      <c r="O58" t="n">
        <v>7</v>
      </c>
      <c r="P58" t="n">
        <v>0</v>
      </c>
      <c r="Q58" t="n">
        <v>10</v>
      </c>
      <c r="R58" s="2" t="inlineStr">
        <is>
          <t>Garnlav
Granticka
Liten svartspik
Lunglav
Skrovellav
Tretåig hackspett
Vitgrynig nållav
Luddlav
Skinnlav
Stuplav</t>
        </is>
      </c>
      <c r="S58">
        <f>HYPERLINK("https://klasma.github.io/Logging_2462/artfynd/A 48183-2023 artfynd.xlsx", "A 48183-2023")</f>
        <v/>
      </c>
      <c r="T58">
        <f>HYPERLINK("https://klasma.github.io/Logging_2462/kartor/A 48183-2023 karta.png", "A 48183-2023")</f>
        <v/>
      </c>
      <c r="V58">
        <f>HYPERLINK("https://klasma.github.io/Logging_2462/klagomål/A 48183-2023 FSC-klagomål.docx", "A 48183-2023")</f>
        <v/>
      </c>
      <c r="W58">
        <f>HYPERLINK("https://klasma.github.io/Logging_2462/klagomålsmail/A 48183-2023 FSC-klagomål mail.docx", "A 48183-2023")</f>
        <v/>
      </c>
      <c r="X58">
        <f>HYPERLINK("https://klasma.github.io/Logging_2462/tillsyn/A 48183-2023 tillsynsbegäran.docx", "A 48183-2023")</f>
        <v/>
      </c>
      <c r="Y58">
        <f>HYPERLINK("https://klasma.github.io/Logging_2462/tillsynsmail/A 48183-2023 tillsynsbegäran mail.docx", "A 48183-2023")</f>
        <v/>
      </c>
    </row>
    <row r="59" ht="15" customHeight="1">
      <c r="A59" t="inlineStr">
        <is>
          <t>A 49174-2023</t>
        </is>
      </c>
      <c r="B59" s="1" t="n">
        <v>45205</v>
      </c>
      <c r="C59" s="1" t="n">
        <v>45258</v>
      </c>
      <c r="D59" t="inlineStr">
        <is>
          <t>VÄSTERBOTTENS LÄN</t>
        </is>
      </c>
      <c r="E59" t="inlineStr">
        <is>
          <t>VILHELMINA</t>
        </is>
      </c>
      <c r="F59" t="inlineStr">
        <is>
          <t>Allmännings- och besparingsskogar</t>
        </is>
      </c>
      <c r="G59" t="n">
        <v>22.5</v>
      </c>
      <c r="H59" t="n">
        <v>2</v>
      </c>
      <c r="I59" t="n">
        <v>1</v>
      </c>
      <c r="J59" t="n">
        <v>7</v>
      </c>
      <c r="K59" t="n">
        <v>1</v>
      </c>
      <c r="L59" t="n">
        <v>0</v>
      </c>
      <c r="M59" t="n">
        <v>0</v>
      </c>
      <c r="N59" t="n">
        <v>0</v>
      </c>
      <c r="O59" t="n">
        <v>8</v>
      </c>
      <c r="P59" t="n">
        <v>1</v>
      </c>
      <c r="Q59" t="n">
        <v>10</v>
      </c>
      <c r="R59" s="2" t="inlineStr">
        <is>
          <t>Ostticka
Gammelgransskål
Garnlav
Harticka
Lunglav
Skrovellav
Tretåig hackspett
Ullticka
Stuplav
Tjäder</t>
        </is>
      </c>
      <c r="S59">
        <f>HYPERLINK("https://klasma.github.io/Logging_2462/artfynd/A 49174-2023 artfynd.xlsx", "A 49174-2023")</f>
        <v/>
      </c>
      <c r="T59">
        <f>HYPERLINK("https://klasma.github.io/Logging_2462/kartor/A 49174-2023 karta.png", "A 49174-2023")</f>
        <v/>
      </c>
      <c r="V59">
        <f>HYPERLINK("https://klasma.github.io/Logging_2462/klagomål/A 49174-2023 FSC-klagomål.docx", "A 49174-2023")</f>
        <v/>
      </c>
      <c r="W59">
        <f>HYPERLINK("https://klasma.github.io/Logging_2462/klagomålsmail/A 49174-2023 FSC-klagomål mail.docx", "A 49174-2023")</f>
        <v/>
      </c>
      <c r="X59">
        <f>HYPERLINK("https://klasma.github.io/Logging_2462/tillsyn/A 49174-2023 tillsynsbegäran.docx", "A 49174-2023")</f>
        <v/>
      </c>
      <c r="Y59">
        <f>HYPERLINK("https://klasma.github.io/Logging_2462/tillsynsmail/A 49174-2023 tillsynsbegäran mail.docx", "A 49174-2023")</f>
        <v/>
      </c>
    </row>
    <row r="60" ht="15" customHeight="1">
      <c r="A60" t="inlineStr">
        <is>
          <t>A 56840-2023</t>
        </is>
      </c>
      <c r="B60" s="1" t="n">
        <v>45238</v>
      </c>
      <c r="C60" s="1" t="n">
        <v>45258</v>
      </c>
      <c r="D60" t="inlineStr">
        <is>
          <t>VÄSTERBOTTENS LÄN</t>
        </is>
      </c>
      <c r="E60" t="inlineStr">
        <is>
          <t>VILHELMINA</t>
        </is>
      </c>
      <c r="F60" t="inlineStr">
        <is>
          <t>Allmännings- och besparingsskogar</t>
        </is>
      </c>
      <c r="G60" t="n">
        <v>55.3</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38406-2018</t>
        </is>
      </c>
      <c r="B61" s="1" t="n">
        <v>43336</v>
      </c>
      <c r="C61" s="1" t="n">
        <v>45258</v>
      </c>
      <c r="D61" t="inlineStr">
        <is>
          <t>VÄSTERBOTTENS LÄN</t>
        </is>
      </c>
      <c r="E61" t="inlineStr">
        <is>
          <t>VILHELMINA</t>
        </is>
      </c>
      <c r="G61" t="n">
        <v>3.4</v>
      </c>
      <c r="H61" t="n">
        <v>1</v>
      </c>
      <c r="I61" t="n">
        <v>1</v>
      </c>
      <c r="J61" t="n">
        <v>6</v>
      </c>
      <c r="K61" t="n">
        <v>2</v>
      </c>
      <c r="L61" t="n">
        <v>0</v>
      </c>
      <c r="M61" t="n">
        <v>0</v>
      </c>
      <c r="N61" t="n">
        <v>0</v>
      </c>
      <c r="O61" t="n">
        <v>8</v>
      </c>
      <c r="P61" t="n">
        <v>2</v>
      </c>
      <c r="Q61" t="n">
        <v>9</v>
      </c>
      <c r="R61" s="2" t="inlineStr">
        <is>
          <t>Rynkskinn
Ulltickeporing
Doftskinn
Garnlav
Granticka
Rosenticka
Tretåig hackspett
Ullticka
Trådticka</t>
        </is>
      </c>
      <c r="S61">
        <f>HYPERLINK("https://klasma.github.io/Logging_2462/artfynd/A 38406-2018 artfynd.xlsx", "A 38406-2018")</f>
        <v/>
      </c>
      <c r="T61">
        <f>HYPERLINK("https://klasma.github.io/Logging_2462/kartor/A 38406-2018 karta.png", "A 38406-2018")</f>
        <v/>
      </c>
      <c r="V61">
        <f>HYPERLINK("https://klasma.github.io/Logging_2462/klagomål/A 38406-2018 FSC-klagomål.docx", "A 38406-2018")</f>
        <v/>
      </c>
      <c r="W61">
        <f>HYPERLINK("https://klasma.github.io/Logging_2462/klagomålsmail/A 38406-2018 FSC-klagomål mail.docx", "A 38406-2018")</f>
        <v/>
      </c>
      <c r="X61">
        <f>HYPERLINK("https://klasma.github.io/Logging_2462/tillsyn/A 38406-2018 tillsynsbegäran.docx", "A 38406-2018")</f>
        <v/>
      </c>
      <c r="Y61">
        <f>HYPERLINK("https://klasma.github.io/Logging_2462/tillsynsmail/A 38406-2018 tillsynsbegäran mail.docx", "A 38406-2018")</f>
        <v/>
      </c>
    </row>
    <row r="62" ht="15" customHeight="1">
      <c r="A62" t="inlineStr">
        <is>
          <t>A 25504-2020</t>
        </is>
      </c>
      <c r="B62" s="1" t="n">
        <v>43983</v>
      </c>
      <c r="C62" s="1" t="n">
        <v>45258</v>
      </c>
      <c r="D62" t="inlineStr">
        <is>
          <t>VÄSTERBOTTENS LÄN</t>
        </is>
      </c>
      <c r="E62" t="inlineStr">
        <is>
          <t>VILHELMINA</t>
        </is>
      </c>
      <c r="F62" t="inlineStr">
        <is>
          <t>Allmännings- och besparingsskogar</t>
        </is>
      </c>
      <c r="G62" t="n">
        <v>18.6</v>
      </c>
      <c r="H62" t="n">
        <v>2</v>
      </c>
      <c r="I62" t="n">
        <v>2</v>
      </c>
      <c r="J62" t="n">
        <v>7</v>
      </c>
      <c r="K62" t="n">
        <v>0</v>
      </c>
      <c r="L62" t="n">
        <v>0</v>
      </c>
      <c r="M62" t="n">
        <v>0</v>
      </c>
      <c r="N62" t="n">
        <v>0</v>
      </c>
      <c r="O62" t="n">
        <v>7</v>
      </c>
      <c r="P62" t="n">
        <v>0</v>
      </c>
      <c r="Q62" t="n">
        <v>9</v>
      </c>
      <c r="R62" s="2" t="inlineStr">
        <is>
          <t>Gammelgransskål
Garnlav
Granticka
Gränsticka
Knottrig blåslav
Lappmes
Ullticka
Bårdlav
Spindelblomster</t>
        </is>
      </c>
      <c r="S62">
        <f>HYPERLINK("https://klasma.github.io/Logging_2462/artfynd/A 25504-2020 artfynd.xlsx", "A 25504-2020")</f>
        <v/>
      </c>
      <c r="T62">
        <f>HYPERLINK("https://klasma.github.io/Logging_2462/kartor/A 25504-2020 karta.png", "A 25504-2020")</f>
        <v/>
      </c>
      <c r="V62">
        <f>HYPERLINK("https://klasma.github.io/Logging_2462/klagomål/A 25504-2020 FSC-klagomål.docx", "A 25504-2020")</f>
        <v/>
      </c>
      <c r="W62">
        <f>HYPERLINK("https://klasma.github.io/Logging_2462/klagomålsmail/A 25504-2020 FSC-klagomål mail.docx", "A 25504-2020")</f>
        <v/>
      </c>
      <c r="X62">
        <f>HYPERLINK("https://klasma.github.io/Logging_2462/tillsyn/A 25504-2020 tillsynsbegäran.docx", "A 25504-2020")</f>
        <v/>
      </c>
      <c r="Y62">
        <f>HYPERLINK("https://klasma.github.io/Logging_2462/tillsynsmail/A 25504-2020 tillsynsbegäran mail.docx", "A 25504-2020")</f>
        <v/>
      </c>
    </row>
    <row r="63" ht="15" customHeight="1">
      <c r="A63" t="inlineStr">
        <is>
          <t>A 2196-2021</t>
        </is>
      </c>
      <c r="B63" s="1" t="n">
        <v>44211</v>
      </c>
      <c r="C63" s="1" t="n">
        <v>45258</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45258</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row>
    <row r="65" ht="15" customHeight="1">
      <c r="A65" t="inlineStr">
        <is>
          <t>A 51814-2018</t>
        </is>
      </c>
      <c r="B65" s="1" t="n">
        <v>43381</v>
      </c>
      <c r="C65" s="1" t="n">
        <v>45258</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row>
    <row r="66" ht="15" customHeight="1">
      <c r="A66" t="inlineStr">
        <is>
          <t>A 37271-2019</t>
        </is>
      </c>
      <c r="B66" s="1" t="n">
        <v>43677</v>
      </c>
      <c r="C66" s="1" t="n">
        <v>45258</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row>
    <row r="67" ht="15" customHeight="1">
      <c r="A67" t="inlineStr">
        <is>
          <t>A 29245-2020</t>
        </is>
      </c>
      <c r="B67" s="1" t="n">
        <v>44000</v>
      </c>
      <c r="C67" s="1" t="n">
        <v>45258</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row>
    <row r="68" ht="15" customHeight="1">
      <c r="A68" t="inlineStr">
        <is>
          <t>A 15852-2022</t>
        </is>
      </c>
      <c r="B68" s="1" t="n">
        <v>44664</v>
      </c>
      <c r="C68" s="1" t="n">
        <v>45258</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45258</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row>
    <row r="70" ht="15" customHeight="1">
      <c r="A70" t="inlineStr">
        <is>
          <t>A 34418-2023</t>
        </is>
      </c>
      <c r="B70" s="1" t="n">
        <v>45132</v>
      </c>
      <c r="C70" s="1" t="n">
        <v>45258</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row>
    <row r="71" ht="15" customHeight="1">
      <c r="A71" t="inlineStr">
        <is>
          <t>A 172-2021</t>
        </is>
      </c>
      <c r="B71" s="1" t="n">
        <v>44199</v>
      </c>
      <c r="C71" s="1" t="n">
        <v>45258</v>
      </c>
      <c r="D71" t="inlineStr">
        <is>
          <t>VÄSTERBOTTENS LÄN</t>
        </is>
      </c>
      <c r="E71" t="inlineStr">
        <is>
          <t>VILHELMINA</t>
        </is>
      </c>
      <c r="G71" t="n">
        <v>16.6</v>
      </c>
      <c r="H71" t="n">
        <v>1</v>
      </c>
      <c r="I71" t="n">
        <v>0</v>
      </c>
      <c r="J71" t="n">
        <v>6</v>
      </c>
      <c r="K71" t="n">
        <v>0</v>
      </c>
      <c r="L71" t="n">
        <v>0</v>
      </c>
      <c r="M71" t="n">
        <v>0</v>
      </c>
      <c r="N71" t="n">
        <v>0</v>
      </c>
      <c r="O71" t="n">
        <v>6</v>
      </c>
      <c r="P71" t="n">
        <v>0</v>
      </c>
      <c r="Q71" t="n">
        <v>6</v>
      </c>
      <c r="R71" s="2" t="inlineStr">
        <is>
          <t>Gammelgransskål
Garnlav
Granticka
Tretåig hackspett
Ullticka
Vitgrynig nållav</t>
        </is>
      </c>
      <c r="S71">
        <f>HYPERLINK("https://klasma.github.io/Logging_2462/artfynd/A 172-2021 artfynd.xlsx", "A 172-2021")</f>
        <v/>
      </c>
      <c r="T71">
        <f>HYPERLINK("https://klasma.github.io/Logging_2462/kartor/A 172-2021 karta.png", "A 172-2021")</f>
        <v/>
      </c>
      <c r="V71">
        <f>HYPERLINK("https://klasma.github.io/Logging_2462/klagomål/A 172-2021 FSC-klagomål.docx", "A 172-2021")</f>
        <v/>
      </c>
      <c r="W71">
        <f>HYPERLINK("https://klasma.github.io/Logging_2462/klagomålsmail/A 172-2021 FSC-klagomål mail.docx", "A 172-2021")</f>
        <v/>
      </c>
      <c r="X71">
        <f>HYPERLINK("https://klasma.github.io/Logging_2462/tillsyn/A 172-2021 tillsynsbegäran.docx", "A 172-2021")</f>
        <v/>
      </c>
      <c r="Y71">
        <f>HYPERLINK("https://klasma.github.io/Logging_2462/tillsynsmail/A 172-2021 tillsynsbegäran mail.docx", "A 172-2021")</f>
        <v/>
      </c>
    </row>
    <row r="72" ht="15" customHeight="1">
      <c r="A72" t="inlineStr">
        <is>
          <t>A 49135-2023</t>
        </is>
      </c>
      <c r="B72" s="1" t="n">
        <v>45205</v>
      </c>
      <c r="C72" s="1" t="n">
        <v>45258</v>
      </c>
      <c r="D72" t="inlineStr">
        <is>
          <t>VÄSTERBOTTENS LÄN</t>
        </is>
      </c>
      <c r="E72" t="inlineStr">
        <is>
          <t>VILHELMINA</t>
        </is>
      </c>
      <c r="F72" t="inlineStr">
        <is>
          <t>Allmännings- och besparingsskogar</t>
        </is>
      </c>
      <c r="G72" t="n">
        <v>5.1</v>
      </c>
      <c r="H72" t="n">
        <v>1</v>
      </c>
      <c r="I72" t="n">
        <v>1</v>
      </c>
      <c r="J72" t="n">
        <v>5</v>
      </c>
      <c r="K72" t="n">
        <v>0</v>
      </c>
      <c r="L72" t="n">
        <v>0</v>
      </c>
      <c r="M72" t="n">
        <v>0</v>
      </c>
      <c r="N72" t="n">
        <v>0</v>
      </c>
      <c r="O72" t="n">
        <v>5</v>
      </c>
      <c r="P72" t="n">
        <v>0</v>
      </c>
      <c r="Q72" t="n">
        <v>6</v>
      </c>
      <c r="R72" s="2" t="inlineStr">
        <is>
          <t>Blanksvart spiklav
Blågrå svartspik
Garnlav
Skrovellav
Tretåig hackspett
Skinnlav</t>
        </is>
      </c>
      <c r="S72">
        <f>HYPERLINK("https://klasma.github.io/Logging_2462/artfynd/A 49135-2023 artfynd.xlsx", "A 49135-2023")</f>
        <v/>
      </c>
      <c r="T72">
        <f>HYPERLINK("https://klasma.github.io/Logging_2462/kartor/A 49135-2023 karta.png", "A 49135-2023")</f>
        <v/>
      </c>
      <c r="V72">
        <f>HYPERLINK("https://klasma.github.io/Logging_2462/klagomål/A 49135-2023 FSC-klagomål.docx", "A 49135-2023")</f>
        <v/>
      </c>
      <c r="W72">
        <f>HYPERLINK("https://klasma.github.io/Logging_2462/klagomålsmail/A 49135-2023 FSC-klagomål mail.docx", "A 49135-2023")</f>
        <v/>
      </c>
      <c r="X72">
        <f>HYPERLINK("https://klasma.github.io/Logging_2462/tillsyn/A 49135-2023 tillsynsbegäran.docx", "A 49135-2023")</f>
        <v/>
      </c>
      <c r="Y72">
        <f>HYPERLINK("https://klasma.github.io/Logging_2462/tillsynsmail/A 49135-2023 tillsynsbegäran mail.docx", "A 49135-2023")</f>
        <v/>
      </c>
    </row>
    <row r="73" ht="15" customHeight="1">
      <c r="A73" t="inlineStr">
        <is>
          <t>A 49977-2023</t>
        </is>
      </c>
      <c r="B73" s="1" t="n">
        <v>45208</v>
      </c>
      <c r="C73" s="1" t="n">
        <v>45258</v>
      </c>
      <c r="D73" t="inlineStr">
        <is>
          <t>VÄSTERBOTTENS LÄN</t>
        </is>
      </c>
      <c r="E73" t="inlineStr">
        <is>
          <t>VILHELMINA</t>
        </is>
      </c>
      <c r="F73" t="inlineStr">
        <is>
          <t>Övriga statliga verk och myndigheter</t>
        </is>
      </c>
      <c r="G73" t="n">
        <v>8.1</v>
      </c>
      <c r="H73" t="n">
        <v>1</v>
      </c>
      <c r="I73" t="n">
        <v>2</v>
      </c>
      <c r="J73" t="n">
        <v>4</v>
      </c>
      <c r="K73" t="n">
        <v>0</v>
      </c>
      <c r="L73" t="n">
        <v>0</v>
      </c>
      <c r="M73" t="n">
        <v>0</v>
      </c>
      <c r="N73" t="n">
        <v>0</v>
      </c>
      <c r="O73" t="n">
        <v>4</v>
      </c>
      <c r="P73" t="n">
        <v>0</v>
      </c>
      <c r="Q73" t="n">
        <v>6</v>
      </c>
      <c r="R73" s="2" t="inlineStr">
        <is>
          <t>Leptoporus mollis
Skrovellav
Tretåig hackspett
Vitgrynig nållav
Bårdlav
Fjällig taggsvamp s.str.</t>
        </is>
      </c>
      <c r="S73">
        <f>HYPERLINK("https://klasma.github.io/Logging_2462/artfynd/A 49977-2023 artfynd.xlsx", "A 49977-2023")</f>
        <v/>
      </c>
      <c r="T73">
        <f>HYPERLINK("https://klasma.github.io/Logging_2462/kartor/A 49977-2023 karta.png", "A 49977-2023")</f>
        <v/>
      </c>
      <c r="V73">
        <f>HYPERLINK("https://klasma.github.io/Logging_2462/klagomål/A 49977-2023 FSC-klagomål.docx", "A 49977-2023")</f>
        <v/>
      </c>
      <c r="W73">
        <f>HYPERLINK("https://klasma.github.io/Logging_2462/klagomålsmail/A 49977-2023 FSC-klagomål mail.docx", "A 49977-2023")</f>
        <v/>
      </c>
      <c r="X73">
        <f>HYPERLINK("https://klasma.github.io/Logging_2462/tillsyn/A 49977-2023 tillsynsbegäran.docx", "A 49977-2023")</f>
        <v/>
      </c>
      <c r="Y73">
        <f>HYPERLINK("https://klasma.github.io/Logging_2462/tillsynsmail/A 49977-2023 tillsynsbegäran mail.docx", "A 49977-2023")</f>
        <v/>
      </c>
    </row>
    <row r="74" ht="15" customHeight="1">
      <c r="A74" t="inlineStr">
        <is>
          <t>A 26888-2019</t>
        </is>
      </c>
      <c r="B74" s="1" t="n">
        <v>43608</v>
      </c>
      <c r="C74" s="1" t="n">
        <v>45258</v>
      </c>
      <c r="D74" t="inlineStr">
        <is>
          <t>VÄSTERBOTTENS LÄN</t>
        </is>
      </c>
      <c r="E74" t="inlineStr">
        <is>
          <t>VILHELMINA</t>
        </is>
      </c>
      <c r="G74" t="n">
        <v>22</v>
      </c>
      <c r="H74" t="n">
        <v>1</v>
      </c>
      <c r="I74" t="n">
        <v>0</v>
      </c>
      <c r="J74" t="n">
        <v>4</v>
      </c>
      <c r="K74" t="n">
        <v>1</v>
      </c>
      <c r="L74" t="n">
        <v>0</v>
      </c>
      <c r="M74" t="n">
        <v>0</v>
      </c>
      <c r="N74" t="n">
        <v>0</v>
      </c>
      <c r="O74" t="n">
        <v>5</v>
      </c>
      <c r="P74" t="n">
        <v>1</v>
      </c>
      <c r="Q74" t="n">
        <v>5</v>
      </c>
      <c r="R74" s="2" t="inlineStr">
        <is>
          <t>Rynkskinn
Garnlav
Granticka
Tretåig hackspett
Ullticka</t>
        </is>
      </c>
      <c r="S74">
        <f>HYPERLINK("https://klasma.github.io/Logging_2462/artfynd/A 26888-2019 artfynd.xlsx", "A 26888-2019")</f>
        <v/>
      </c>
      <c r="T74">
        <f>HYPERLINK("https://klasma.github.io/Logging_2462/kartor/A 26888-2019 karta.png", "A 26888-2019")</f>
        <v/>
      </c>
      <c r="V74">
        <f>HYPERLINK("https://klasma.github.io/Logging_2462/klagomål/A 26888-2019 FSC-klagomål.docx", "A 26888-2019")</f>
        <v/>
      </c>
      <c r="W74">
        <f>HYPERLINK("https://klasma.github.io/Logging_2462/klagomålsmail/A 26888-2019 FSC-klagomål mail.docx", "A 26888-2019")</f>
        <v/>
      </c>
      <c r="X74">
        <f>HYPERLINK("https://klasma.github.io/Logging_2462/tillsyn/A 26888-2019 tillsynsbegäran.docx", "A 26888-2019")</f>
        <v/>
      </c>
      <c r="Y74">
        <f>HYPERLINK("https://klasma.github.io/Logging_2462/tillsynsmail/A 26888-2019 tillsynsbegäran mail.docx", "A 26888-2019")</f>
        <v/>
      </c>
    </row>
    <row r="75" ht="15" customHeight="1">
      <c r="A75" t="inlineStr">
        <is>
          <t>A 48237-2019</t>
        </is>
      </c>
      <c r="B75" s="1" t="n">
        <v>43726</v>
      </c>
      <c r="C75" s="1" t="n">
        <v>45258</v>
      </c>
      <c r="D75" t="inlineStr">
        <is>
          <t>VÄSTERBOTTENS LÄN</t>
        </is>
      </c>
      <c r="E75" t="inlineStr">
        <is>
          <t>VILHELMINA</t>
        </is>
      </c>
      <c r="G75" t="n">
        <v>9</v>
      </c>
      <c r="H75" t="n">
        <v>0</v>
      </c>
      <c r="I75" t="n">
        <v>3</v>
      </c>
      <c r="J75" t="n">
        <v>2</v>
      </c>
      <c r="K75" t="n">
        <v>0</v>
      </c>
      <c r="L75" t="n">
        <v>0</v>
      </c>
      <c r="M75" t="n">
        <v>0</v>
      </c>
      <c r="N75" t="n">
        <v>0</v>
      </c>
      <c r="O75" t="n">
        <v>2</v>
      </c>
      <c r="P75" t="n">
        <v>0</v>
      </c>
      <c r="Q75" t="n">
        <v>5</v>
      </c>
      <c r="R75" s="2" t="inlineStr">
        <is>
          <t>Lunglav
Skrovellav
Bårdlav
Skinnlav
Stuplav</t>
        </is>
      </c>
      <c r="S75">
        <f>HYPERLINK("https://klasma.github.io/Logging_2462/artfynd/A 48237-2019 artfynd.xlsx", "A 48237-2019")</f>
        <v/>
      </c>
      <c r="T75">
        <f>HYPERLINK("https://klasma.github.io/Logging_2462/kartor/A 48237-2019 karta.png", "A 48237-2019")</f>
        <v/>
      </c>
      <c r="V75">
        <f>HYPERLINK("https://klasma.github.io/Logging_2462/klagomål/A 48237-2019 FSC-klagomål.docx", "A 48237-2019")</f>
        <v/>
      </c>
      <c r="W75">
        <f>HYPERLINK("https://klasma.github.io/Logging_2462/klagomålsmail/A 48237-2019 FSC-klagomål mail.docx", "A 48237-2019")</f>
        <v/>
      </c>
      <c r="X75">
        <f>HYPERLINK("https://klasma.github.io/Logging_2462/tillsyn/A 48237-2019 tillsynsbegäran.docx", "A 48237-2019")</f>
        <v/>
      </c>
      <c r="Y75">
        <f>HYPERLINK("https://klasma.github.io/Logging_2462/tillsynsmail/A 48237-2019 tillsynsbegäran mail.docx", "A 48237-2019")</f>
        <v/>
      </c>
    </row>
    <row r="76" ht="15" customHeight="1">
      <c r="A76" t="inlineStr">
        <is>
          <t>A 8255-2022</t>
        </is>
      </c>
      <c r="B76" s="1" t="n">
        <v>44609</v>
      </c>
      <c r="C76" s="1" t="n">
        <v>45258</v>
      </c>
      <c r="D76" t="inlineStr">
        <is>
          <t>VÄSTERBOTTENS LÄN</t>
        </is>
      </c>
      <c r="E76" t="inlineStr">
        <is>
          <t>VILHELMINA</t>
        </is>
      </c>
      <c r="G76" t="n">
        <v>15.7</v>
      </c>
      <c r="H76" t="n">
        <v>0</v>
      </c>
      <c r="I76" t="n">
        <v>1</v>
      </c>
      <c r="J76" t="n">
        <v>4</v>
      </c>
      <c r="K76" t="n">
        <v>0</v>
      </c>
      <c r="L76" t="n">
        <v>0</v>
      </c>
      <c r="M76" t="n">
        <v>0</v>
      </c>
      <c r="N76" t="n">
        <v>0</v>
      </c>
      <c r="O76" t="n">
        <v>4</v>
      </c>
      <c r="P76" t="n">
        <v>0</v>
      </c>
      <c r="Q76" t="n">
        <v>5</v>
      </c>
      <c r="R76" s="2" t="inlineStr">
        <is>
          <t>Gammelgransskål
Granticka
Rosenticka
Skrovellav
Trådticka</t>
        </is>
      </c>
      <c r="S76">
        <f>HYPERLINK("https://klasma.github.io/Logging_2462/artfynd/A 8255-2022 artfynd.xlsx", "A 8255-2022")</f>
        <v/>
      </c>
      <c r="T76">
        <f>HYPERLINK("https://klasma.github.io/Logging_2462/kartor/A 8255-2022 karta.png", "A 8255-2022")</f>
        <v/>
      </c>
      <c r="V76">
        <f>HYPERLINK("https://klasma.github.io/Logging_2462/klagomål/A 8255-2022 FSC-klagomål.docx", "A 8255-2022")</f>
        <v/>
      </c>
      <c r="W76">
        <f>HYPERLINK("https://klasma.github.io/Logging_2462/klagomålsmail/A 8255-2022 FSC-klagomål mail.docx", "A 8255-2022")</f>
        <v/>
      </c>
      <c r="X76">
        <f>HYPERLINK("https://klasma.github.io/Logging_2462/tillsyn/A 8255-2022 tillsynsbegäran.docx", "A 8255-2022")</f>
        <v/>
      </c>
      <c r="Y76">
        <f>HYPERLINK("https://klasma.github.io/Logging_2462/tillsynsmail/A 8255-2022 tillsynsbegäran mail.docx", "A 8255-2022")</f>
        <v/>
      </c>
    </row>
    <row r="77" ht="15" customHeight="1">
      <c r="A77" t="inlineStr">
        <is>
          <t>A 19727-2023</t>
        </is>
      </c>
      <c r="B77" s="1" t="n">
        <v>45050</v>
      </c>
      <c r="C77" s="1" t="n">
        <v>45258</v>
      </c>
      <c r="D77" t="inlineStr">
        <is>
          <t>VÄSTERBOTTENS LÄN</t>
        </is>
      </c>
      <c r="E77" t="inlineStr">
        <is>
          <t>VILHELMINA</t>
        </is>
      </c>
      <c r="G77" t="n">
        <v>11.9</v>
      </c>
      <c r="H77" t="n">
        <v>2</v>
      </c>
      <c r="I77" t="n">
        <v>0</v>
      </c>
      <c r="J77" t="n">
        <v>5</v>
      </c>
      <c r="K77" t="n">
        <v>0</v>
      </c>
      <c r="L77" t="n">
        <v>0</v>
      </c>
      <c r="M77" t="n">
        <v>0</v>
      </c>
      <c r="N77" t="n">
        <v>0</v>
      </c>
      <c r="O77" t="n">
        <v>5</v>
      </c>
      <c r="P77" t="n">
        <v>0</v>
      </c>
      <c r="Q77" t="n">
        <v>5</v>
      </c>
      <c r="R77" s="2" t="inlineStr">
        <is>
          <t>Gammelgransskål
Garnlav
Harticka
Spillkråka
Tretåig hackspett</t>
        </is>
      </c>
      <c r="S77">
        <f>HYPERLINK("https://klasma.github.io/Logging_2462/artfynd/A 19727-2023 artfynd.xlsx", "A 19727-2023")</f>
        <v/>
      </c>
      <c r="T77">
        <f>HYPERLINK("https://klasma.github.io/Logging_2462/kartor/A 19727-2023 karta.png", "A 19727-2023")</f>
        <v/>
      </c>
      <c r="V77">
        <f>HYPERLINK("https://klasma.github.io/Logging_2462/klagomål/A 19727-2023 FSC-klagomål.docx", "A 19727-2023")</f>
        <v/>
      </c>
      <c r="W77">
        <f>HYPERLINK("https://klasma.github.io/Logging_2462/klagomålsmail/A 19727-2023 FSC-klagomål mail.docx", "A 19727-2023")</f>
        <v/>
      </c>
      <c r="X77">
        <f>HYPERLINK("https://klasma.github.io/Logging_2462/tillsyn/A 19727-2023 tillsynsbegäran.docx", "A 19727-2023")</f>
        <v/>
      </c>
      <c r="Y77">
        <f>HYPERLINK("https://klasma.github.io/Logging_2462/tillsynsmail/A 19727-2023 tillsynsbegäran mail.docx", "A 19727-2023")</f>
        <v/>
      </c>
    </row>
    <row r="78" ht="15" customHeight="1">
      <c r="A78" t="inlineStr">
        <is>
          <t>A 29234-2020</t>
        </is>
      </c>
      <c r="B78" s="1" t="n">
        <v>44000</v>
      </c>
      <c r="C78" s="1" t="n">
        <v>45258</v>
      </c>
      <c r="D78" t="inlineStr">
        <is>
          <t>VÄSTERBOTTENS LÄN</t>
        </is>
      </c>
      <c r="E78" t="inlineStr">
        <is>
          <t>VILHELMINA</t>
        </is>
      </c>
      <c r="F78" t="inlineStr">
        <is>
          <t>Allmännings- och besparingsskogar</t>
        </is>
      </c>
      <c r="G78" t="n">
        <v>14.1</v>
      </c>
      <c r="H78" t="n">
        <v>0</v>
      </c>
      <c r="I78" t="n">
        <v>1</v>
      </c>
      <c r="J78" t="n">
        <v>3</v>
      </c>
      <c r="K78" t="n">
        <v>0</v>
      </c>
      <c r="L78" t="n">
        <v>0</v>
      </c>
      <c r="M78" t="n">
        <v>0</v>
      </c>
      <c r="N78" t="n">
        <v>0</v>
      </c>
      <c r="O78" t="n">
        <v>3</v>
      </c>
      <c r="P78" t="n">
        <v>0</v>
      </c>
      <c r="Q78" t="n">
        <v>4</v>
      </c>
      <c r="R78" s="2" t="inlineStr">
        <is>
          <t>Garnlav
Granticka
Gränsticka
Stuplav</t>
        </is>
      </c>
      <c r="S78">
        <f>HYPERLINK("https://klasma.github.io/Logging_2462/artfynd/A 29234-2020 artfynd.xlsx", "A 29234-2020")</f>
        <v/>
      </c>
      <c r="T78">
        <f>HYPERLINK("https://klasma.github.io/Logging_2462/kartor/A 29234-2020 karta.png", "A 29234-2020")</f>
        <v/>
      </c>
      <c r="V78">
        <f>HYPERLINK("https://klasma.github.io/Logging_2462/klagomål/A 29234-2020 FSC-klagomål.docx", "A 29234-2020")</f>
        <v/>
      </c>
      <c r="W78">
        <f>HYPERLINK("https://klasma.github.io/Logging_2462/klagomålsmail/A 29234-2020 FSC-klagomål mail.docx", "A 29234-2020")</f>
        <v/>
      </c>
      <c r="X78">
        <f>HYPERLINK("https://klasma.github.io/Logging_2462/tillsyn/A 29234-2020 tillsynsbegäran.docx", "A 29234-2020")</f>
        <v/>
      </c>
      <c r="Y78">
        <f>HYPERLINK("https://klasma.github.io/Logging_2462/tillsynsmail/A 29234-2020 tillsynsbegäran mail.docx", "A 29234-2020")</f>
        <v/>
      </c>
    </row>
    <row r="79" ht="15" customHeight="1">
      <c r="A79" t="inlineStr">
        <is>
          <t>A 900-2021</t>
        </is>
      </c>
      <c r="B79" s="1" t="n">
        <v>44206</v>
      </c>
      <c r="C79" s="1" t="n">
        <v>45258</v>
      </c>
      <c r="D79" t="inlineStr">
        <is>
          <t>VÄSTERBOTTENS LÄN</t>
        </is>
      </c>
      <c r="E79" t="inlineStr">
        <is>
          <t>VILHELMINA</t>
        </is>
      </c>
      <c r="F79" t="inlineStr">
        <is>
          <t>SCA</t>
        </is>
      </c>
      <c r="G79" t="n">
        <v>2.3</v>
      </c>
      <c r="H79" t="n">
        <v>0</v>
      </c>
      <c r="I79" t="n">
        <v>3</v>
      </c>
      <c r="J79" t="n">
        <v>1</v>
      </c>
      <c r="K79" t="n">
        <v>0</v>
      </c>
      <c r="L79" t="n">
        <v>0</v>
      </c>
      <c r="M79" t="n">
        <v>0</v>
      </c>
      <c r="N79" t="n">
        <v>0</v>
      </c>
      <c r="O79" t="n">
        <v>1</v>
      </c>
      <c r="P79" t="n">
        <v>0</v>
      </c>
      <c r="Q79" t="n">
        <v>4</v>
      </c>
      <c r="R79" s="2" t="inlineStr">
        <is>
          <t>Lunglav
Bårdlav
Strutbräken
Stuplav</t>
        </is>
      </c>
      <c r="S79">
        <f>HYPERLINK("https://klasma.github.io/Logging_2462/artfynd/A 900-2021 artfynd.xlsx", "A 900-2021")</f>
        <v/>
      </c>
      <c r="T79">
        <f>HYPERLINK("https://klasma.github.io/Logging_2462/kartor/A 900-2021 karta.png", "A 900-2021")</f>
        <v/>
      </c>
      <c r="V79">
        <f>HYPERLINK("https://klasma.github.io/Logging_2462/klagomål/A 900-2021 FSC-klagomål.docx", "A 900-2021")</f>
        <v/>
      </c>
      <c r="W79">
        <f>HYPERLINK("https://klasma.github.io/Logging_2462/klagomålsmail/A 900-2021 FSC-klagomål mail.docx", "A 900-2021")</f>
        <v/>
      </c>
      <c r="X79">
        <f>HYPERLINK("https://klasma.github.io/Logging_2462/tillsyn/A 900-2021 tillsynsbegäran.docx", "A 900-2021")</f>
        <v/>
      </c>
      <c r="Y79">
        <f>HYPERLINK("https://klasma.github.io/Logging_2462/tillsynsmail/A 900-2021 tillsynsbegäran mail.docx", "A 900-2021")</f>
        <v/>
      </c>
    </row>
    <row r="80" ht="15" customHeight="1">
      <c r="A80" t="inlineStr">
        <is>
          <t>A 67294-2018</t>
        </is>
      </c>
      <c r="B80" s="1" t="n">
        <v>43432</v>
      </c>
      <c r="C80" s="1" t="n">
        <v>45258</v>
      </c>
      <c r="D80" t="inlineStr">
        <is>
          <t>VÄSTERBOTTENS LÄN</t>
        </is>
      </c>
      <c r="E80" t="inlineStr">
        <is>
          <t>VILHELMINA</t>
        </is>
      </c>
      <c r="F80" t="inlineStr">
        <is>
          <t>Allmännings- och besparingsskogar</t>
        </is>
      </c>
      <c r="G80" t="n">
        <v>11.8</v>
      </c>
      <c r="H80" t="n">
        <v>0</v>
      </c>
      <c r="I80" t="n">
        <v>0</v>
      </c>
      <c r="J80" t="n">
        <v>3</v>
      </c>
      <c r="K80" t="n">
        <v>0</v>
      </c>
      <c r="L80" t="n">
        <v>0</v>
      </c>
      <c r="M80" t="n">
        <v>0</v>
      </c>
      <c r="N80" t="n">
        <v>0</v>
      </c>
      <c r="O80" t="n">
        <v>3</v>
      </c>
      <c r="P80" t="n">
        <v>0</v>
      </c>
      <c r="Q80" t="n">
        <v>3</v>
      </c>
      <c r="R80" s="2" t="inlineStr">
        <is>
          <t>Garnlav
Granticka
Knottrig blåslav</t>
        </is>
      </c>
      <c r="S80">
        <f>HYPERLINK("https://klasma.github.io/Logging_2462/artfynd/A 67294-2018 artfynd.xlsx", "A 67294-2018")</f>
        <v/>
      </c>
      <c r="T80">
        <f>HYPERLINK("https://klasma.github.io/Logging_2462/kartor/A 67294-2018 karta.png", "A 67294-2018")</f>
        <v/>
      </c>
      <c r="V80">
        <f>HYPERLINK("https://klasma.github.io/Logging_2462/klagomål/A 67294-2018 FSC-klagomål.docx", "A 67294-2018")</f>
        <v/>
      </c>
      <c r="W80">
        <f>HYPERLINK("https://klasma.github.io/Logging_2462/klagomålsmail/A 67294-2018 FSC-klagomål mail.docx", "A 67294-2018")</f>
        <v/>
      </c>
      <c r="X80">
        <f>HYPERLINK("https://klasma.github.io/Logging_2462/tillsyn/A 67294-2018 tillsynsbegäran.docx", "A 67294-2018")</f>
        <v/>
      </c>
      <c r="Y80">
        <f>HYPERLINK("https://klasma.github.io/Logging_2462/tillsynsmail/A 67294-2018 tillsynsbegäran mail.docx", "A 67294-2018")</f>
        <v/>
      </c>
    </row>
    <row r="81" ht="15" customHeight="1">
      <c r="A81" t="inlineStr">
        <is>
          <t>A 26628-2020</t>
        </is>
      </c>
      <c r="B81" s="1" t="n">
        <v>43987</v>
      </c>
      <c r="C81" s="1" t="n">
        <v>45258</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26628-2020 artfynd.xlsx", "A 26628-2020")</f>
        <v/>
      </c>
      <c r="T81">
        <f>HYPERLINK("https://klasma.github.io/Logging_2462/kartor/A 26628-2020 karta.png", "A 26628-2020")</f>
        <v/>
      </c>
      <c r="V81">
        <f>HYPERLINK("https://klasma.github.io/Logging_2462/klagomål/A 26628-2020 FSC-klagomål.docx", "A 26628-2020")</f>
        <v/>
      </c>
      <c r="W81">
        <f>HYPERLINK("https://klasma.github.io/Logging_2462/klagomålsmail/A 26628-2020 FSC-klagomål mail.docx", "A 26628-2020")</f>
        <v/>
      </c>
      <c r="X81">
        <f>HYPERLINK("https://klasma.github.io/Logging_2462/tillsyn/A 26628-2020 tillsynsbegäran.docx", "A 26628-2020")</f>
        <v/>
      </c>
      <c r="Y81">
        <f>HYPERLINK("https://klasma.github.io/Logging_2462/tillsynsmail/A 26628-2020 tillsynsbegäran mail.docx", "A 26628-2020")</f>
        <v/>
      </c>
    </row>
    <row r="82" ht="15" customHeight="1">
      <c r="A82" t="inlineStr">
        <is>
          <t>A 35082-2020</t>
        </is>
      </c>
      <c r="B82" s="1" t="n">
        <v>44039</v>
      </c>
      <c r="C82" s="1" t="n">
        <v>45258</v>
      </c>
      <c r="D82" t="inlineStr">
        <is>
          <t>VÄSTERBOTTENS LÄN</t>
        </is>
      </c>
      <c r="E82" t="inlineStr">
        <is>
          <t>VILHELMINA</t>
        </is>
      </c>
      <c r="F82" t="inlineStr">
        <is>
          <t>SCA</t>
        </is>
      </c>
      <c r="G82" t="n">
        <v>8.9</v>
      </c>
      <c r="H82" t="n">
        <v>0</v>
      </c>
      <c r="I82" t="n">
        <v>1</v>
      </c>
      <c r="J82" t="n">
        <v>2</v>
      </c>
      <c r="K82" t="n">
        <v>0</v>
      </c>
      <c r="L82" t="n">
        <v>0</v>
      </c>
      <c r="M82" t="n">
        <v>0</v>
      </c>
      <c r="N82" t="n">
        <v>0</v>
      </c>
      <c r="O82" t="n">
        <v>2</v>
      </c>
      <c r="P82" t="n">
        <v>0</v>
      </c>
      <c r="Q82" t="n">
        <v>3</v>
      </c>
      <c r="R82" s="2" t="inlineStr">
        <is>
          <t>Granticka
Vitgrynig nållav
Vedticka</t>
        </is>
      </c>
      <c r="S82">
        <f>HYPERLINK("https://klasma.github.io/Logging_2462/artfynd/A 35082-2020 artfynd.xlsx", "A 35082-2020")</f>
        <v/>
      </c>
      <c r="T82">
        <f>HYPERLINK("https://klasma.github.io/Logging_2462/kartor/A 35082-2020 karta.png", "A 35082-2020")</f>
        <v/>
      </c>
      <c r="V82">
        <f>HYPERLINK("https://klasma.github.io/Logging_2462/klagomål/A 35082-2020 FSC-klagomål.docx", "A 35082-2020")</f>
        <v/>
      </c>
      <c r="W82">
        <f>HYPERLINK("https://klasma.github.io/Logging_2462/klagomålsmail/A 35082-2020 FSC-klagomål mail.docx", "A 35082-2020")</f>
        <v/>
      </c>
      <c r="X82">
        <f>HYPERLINK("https://klasma.github.io/Logging_2462/tillsyn/A 35082-2020 tillsynsbegäran.docx", "A 35082-2020")</f>
        <v/>
      </c>
      <c r="Y82">
        <f>HYPERLINK("https://klasma.github.io/Logging_2462/tillsynsmail/A 35082-2020 tillsynsbegäran mail.docx", "A 35082-2020")</f>
        <v/>
      </c>
    </row>
    <row r="83" ht="15" customHeight="1">
      <c r="A83" t="inlineStr">
        <is>
          <t>A 34718-2021</t>
        </is>
      </c>
      <c r="B83" s="1" t="n">
        <v>44382</v>
      </c>
      <c r="C83" s="1" t="n">
        <v>45258</v>
      </c>
      <c r="D83" t="inlineStr">
        <is>
          <t>VÄSTERBOTTENS LÄN</t>
        </is>
      </c>
      <c r="E83" t="inlineStr">
        <is>
          <t>VILHELMINA</t>
        </is>
      </c>
      <c r="F83" t="inlineStr">
        <is>
          <t>Allmännings- och besparingsskogar</t>
        </is>
      </c>
      <c r="G83" t="n">
        <v>8</v>
      </c>
      <c r="H83" t="n">
        <v>0</v>
      </c>
      <c r="I83" t="n">
        <v>0</v>
      </c>
      <c r="J83" t="n">
        <v>3</v>
      </c>
      <c r="K83" t="n">
        <v>0</v>
      </c>
      <c r="L83" t="n">
        <v>0</v>
      </c>
      <c r="M83" t="n">
        <v>0</v>
      </c>
      <c r="N83" t="n">
        <v>0</v>
      </c>
      <c r="O83" t="n">
        <v>3</v>
      </c>
      <c r="P83" t="n">
        <v>0</v>
      </c>
      <c r="Q83" t="n">
        <v>3</v>
      </c>
      <c r="R83" s="2" t="inlineStr">
        <is>
          <t>Garnlav
Granticka
Gränsticka</t>
        </is>
      </c>
      <c r="S83">
        <f>HYPERLINK("https://klasma.github.io/Logging_2462/artfynd/A 34718-2021 artfynd.xlsx", "A 34718-2021")</f>
        <v/>
      </c>
      <c r="T83">
        <f>HYPERLINK("https://klasma.github.io/Logging_2462/kartor/A 34718-2021 karta.png", "A 34718-2021")</f>
        <v/>
      </c>
      <c r="V83">
        <f>HYPERLINK("https://klasma.github.io/Logging_2462/klagomål/A 34718-2021 FSC-klagomål.docx", "A 34718-2021")</f>
        <v/>
      </c>
      <c r="W83">
        <f>HYPERLINK("https://klasma.github.io/Logging_2462/klagomålsmail/A 34718-2021 FSC-klagomål mail.docx", "A 34718-2021")</f>
        <v/>
      </c>
      <c r="X83">
        <f>HYPERLINK("https://klasma.github.io/Logging_2462/tillsyn/A 34718-2021 tillsynsbegäran.docx", "A 34718-2021")</f>
        <v/>
      </c>
      <c r="Y83">
        <f>HYPERLINK("https://klasma.github.io/Logging_2462/tillsynsmail/A 34718-2021 tillsynsbegäran mail.docx", "A 34718-2021")</f>
        <v/>
      </c>
    </row>
    <row r="84" ht="15" customHeight="1">
      <c r="A84" t="inlineStr">
        <is>
          <t>A 40687-2021</t>
        </is>
      </c>
      <c r="B84" s="1" t="n">
        <v>44420</v>
      </c>
      <c r="C84" s="1" t="n">
        <v>45258</v>
      </c>
      <c r="D84" t="inlineStr">
        <is>
          <t>VÄSTERBOTTENS LÄN</t>
        </is>
      </c>
      <c r="E84" t="inlineStr">
        <is>
          <t>VILHELMINA</t>
        </is>
      </c>
      <c r="G84" t="n">
        <v>5.4</v>
      </c>
      <c r="H84" t="n">
        <v>1</v>
      </c>
      <c r="I84" t="n">
        <v>1</v>
      </c>
      <c r="J84" t="n">
        <v>2</v>
      </c>
      <c r="K84" t="n">
        <v>0</v>
      </c>
      <c r="L84" t="n">
        <v>0</v>
      </c>
      <c r="M84" t="n">
        <v>0</v>
      </c>
      <c r="N84" t="n">
        <v>0</v>
      </c>
      <c r="O84" t="n">
        <v>2</v>
      </c>
      <c r="P84" t="n">
        <v>0</v>
      </c>
      <c r="Q84" t="n">
        <v>3</v>
      </c>
      <c r="R84" s="2" t="inlineStr">
        <is>
          <t>Garnlav
Granticka
Spindelblomster</t>
        </is>
      </c>
      <c r="S84">
        <f>HYPERLINK("https://klasma.github.io/Logging_2462/artfynd/A 40687-2021 artfynd.xlsx", "A 40687-2021")</f>
        <v/>
      </c>
      <c r="T84">
        <f>HYPERLINK("https://klasma.github.io/Logging_2462/kartor/A 40687-2021 karta.png", "A 40687-2021")</f>
        <v/>
      </c>
      <c r="V84">
        <f>HYPERLINK("https://klasma.github.io/Logging_2462/klagomål/A 40687-2021 FSC-klagomål.docx", "A 40687-2021")</f>
        <v/>
      </c>
      <c r="W84">
        <f>HYPERLINK("https://klasma.github.io/Logging_2462/klagomålsmail/A 40687-2021 FSC-klagomål mail.docx", "A 40687-2021")</f>
        <v/>
      </c>
      <c r="X84">
        <f>HYPERLINK("https://klasma.github.io/Logging_2462/tillsyn/A 40687-2021 tillsynsbegäran.docx", "A 40687-2021")</f>
        <v/>
      </c>
      <c r="Y84">
        <f>HYPERLINK("https://klasma.github.io/Logging_2462/tillsynsmail/A 40687-2021 tillsynsbegäran mail.docx", "A 40687-2021")</f>
        <v/>
      </c>
    </row>
    <row r="85" ht="15" customHeight="1">
      <c r="A85" t="inlineStr">
        <is>
          <t>A 25503-2022</t>
        </is>
      </c>
      <c r="B85" s="1" t="n">
        <v>44732</v>
      </c>
      <c r="C85" s="1" t="n">
        <v>45258</v>
      </c>
      <c r="D85" t="inlineStr">
        <is>
          <t>VÄSTERBOTTENS LÄN</t>
        </is>
      </c>
      <c r="E85" t="inlineStr">
        <is>
          <t>VILHELMINA</t>
        </is>
      </c>
      <c r="G85" t="n">
        <v>1.9</v>
      </c>
      <c r="H85" t="n">
        <v>0</v>
      </c>
      <c r="I85" t="n">
        <v>3</v>
      </c>
      <c r="J85" t="n">
        <v>0</v>
      </c>
      <c r="K85" t="n">
        <v>0</v>
      </c>
      <c r="L85" t="n">
        <v>0</v>
      </c>
      <c r="M85" t="n">
        <v>0</v>
      </c>
      <c r="N85" t="n">
        <v>0</v>
      </c>
      <c r="O85" t="n">
        <v>0</v>
      </c>
      <c r="P85" t="n">
        <v>0</v>
      </c>
      <c r="Q85" t="n">
        <v>3</v>
      </c>
      <c r="R85" s="2" t="inlineStr">
        <is>
          <t>Gulnål
Skinnlav
Stuplav</t>
        </is>
      </c>
      <c r="S85">
        <f>HYPERLINK("https://klasma.github.io/Logging_2462/artfynd/A 25503-2022 artfynd.xlsx", "A 25503-2022")</f>
        <v/>
      </c>
      <c r="T85">
        <f>HYPERLINK("https://klasma.github.io/Logging_2462/kartor/A 25503-2022 karta.png", "A 25503-2022")</f>
        <v/>
      </c>
      <c r="V85">
        <f>HYPERLINK("https://klasma.github.io/Logging_2462/klagomål/A 25503-2022 FSC-klagomål.docx", "A 25503-2022")</f>
        <v/>
      </c>
      <c r="W85">
        <f>HYPERLINK("https://klasma.github.io/Logging_2462/klagomålsmail/A 25503-2022 FSC-klagomål mail.docx", "A 25503-2022")</f>
        <v/>
      </c>
      <c r="X85">
        <f>HYPERLINK("https://klasma.github.io/Logging_2462/tillsyn/A 25503-2022 tillsynsbegäran.docx", "A 25503-2022")</f>
        <v/>
      </c>
      <c r="Y85">
        <f>HYPERLINK("https://klasma.github.io/Logging_2462/tillsynsmail/A 25503-2022 tillsynsbegäran mail.docx", "A 25503-2022")</f>
        <v/>
      </c>
    </row>
    <row r="86" ht="15" customHeight="1">
      <c r="A86" t="inlineStr">
        <is>
          <t>A 9157-2023</t>
        </is>
      </c>
      <c r="B86" s="1" t="n">
        <v>44972</v>
      </c>
      <c r="C86" s="1" t="n">
        <v>45258</v>
      </c>
      <c r="D86" t="inlineStr">
        <is>
          <t>VÄSTERBOTTENS LÄN</t>
        </is>
      </c>
      <c r="E86" t="inlineStr">
        <is>
          <t>VILHELMINA</t>
        </is>
      </c>
      <c r="F86" t="inlineStr">
        <is>
          <t>Allmännings- och besparingsskogar</t>
        </is>
      </c>
      <c r="G86" t="n">
        <v>408.3</v>
      </c>
      <c r="H86" t="n">
        <v>0</v>
      </c>
      <c r="I86" t="n">
        <v>0</v>
      </c>
      <c r="J86" t="n">
        <v>3</v>
      </c>
      <c r="K86" t="n">
        <v>0</v>
      </c>
      <c r="L86" t="n">
        <v>0</v>
      </c>
      <c r="M86" t="n">
        <v>0</v>
      </c>
      <c r="N86" t="n">
        <v>0</v>
      </c>
      <c r="O86" t="n">
        <v>3</v>
      </c>
      <c r="P86" t="n">
        <v>0</v>
      </c>
      <c r="Q86" t="n">
        <v>3</v>
      </c>
      <c r="R86" s="2" t="inlineStr">
        <is>
          <t>Garnlav
Granticka
Harticka</t>
        </is>
      </c>
      <c r="S86">
        <f>HYPERLINK("https://klasma.github.io/Logging_2462/artfynd/A 9157-2023 artfynd.xlsx", "A 9157-2023")</f>
        <v/>
      </c>
      <c r="T86">
        <f>HYPERLINK("https://klasma.github.io/Logging_2462/kartor/A 9157-2023 karta.png", "A 9157-2023")</f>
        <v/>
      </c>
      <c r="V86">
        <f>HYPERLINK("https://klasma.github.io/Logging_2462/klagomål/A 9157-2023 FSC-klagomål.docx", "A 9157-2023")</f>
        <v/>
      </c>
      <c r="W86">
        <f>HYPERLINK("https://klasma.github.io/Logging_2462/klagomålsmail/A 9157-2023 FSC-klagomål mail.docx", "A 9157-2023")</f>
        <v/>
      </c>
      <c r="X86">
        <f>HYPERLINK("https://klasma.github.io/Logging_2462/tillsyn/A 9157-2023 tillsynsbegäran.docx", "A 9157-2023")</f>
        <v/>
      </c>
      <c r="Y86">
        <f>HYPERLINK("https://klasma.github.io/Logging_2462/tillsynsmail/A 9157-2023 tillsynsbegäran mail.docx", "A 9157-2023")</f>
        <v/>
      </c>
    </row>
    <row r="87" ht="15" customHeight="1">
      <c r="A87" t="inlineStr">
        <is>
          <t>A 31199-2023</t>
        </is>
      </c>
      <c r="B87" s="1" t="n">
        <v>45113</v>
      </c>
      <c r="C87" s="1" t="n">
        <v>45258</v>
      </c>
      <c r="D87" t="inlineStr">
        <is>
          <t>VÄSTERBOTTENS LÄN</t>
        </is>
      </c>
      <c r="E87" t="inlineStr">
        <is>
          <t>VILHELMINA</t>
        </is>
      </c>
      <c r="F87" t="inlineStr">
        <is>
          <t>SCA</t>
        </is>
      </c>
      <c r="G87" t="n">
        <v>9.800000000000001</v>
      </c>
      <c r="H87" t="n">
        <v>0</v>
      </c>
      <c r="I87" t="n">
        <v>1</v>
      </c>
      <c r="J87" t="n">
        <v>2</v>
      </c>
      <c r="K87" t="n">
        <v>0</v>
      </c>
      <c r="L87" t="n">
        <v>0</v>
      </c>
      <c r="M87" t="n">
        <v>0</v>
      </c>
      <c r="N87" t="n">
        <v>0</v>
      </c>
      <c r="O87" t="n">
        <v>2</v>
      </c>
      <c r="P87" t="n">
        <v>0</v>
      </c>
      <c r="Q87" t="n">
        <v>3</v>
      </c>
      <c r="R87" s="2" t="inlineStr">
        <is>
          <t>Granticka
Vitgrynig nållav
Vedticka</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row>
    <row r="88" ht="15" customHeight="1">
      <c r="A88" t="inlineStr">
        <is>
          <t>A 12533-2019</t>
        </is>
      </c>
      <c r="B88" s="1" t="n">
        <v>43523</v>
      </c>
      <c r="C88" s="1" t="n">
        <v>45258</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45258</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45258</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45258</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45258</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6704-2021</t>
        </is>
      </c>
      <c r="B93" s="1" t="n">
        <v>44235</v>
      </c>
      <c r="C93" s="1" t="n">
        <v>45258</v>
      </c>
      <c r="D93" t="inlineStr">
        <is>
          <t>VÄSTERBOTTENS LÄN</t>
        </is>
      </c>
      <c r="E93" t="inlineStr">
        <is>
          <t>VILHELMINA</t>
        </is>
      </c>
      <c r="G93" t="n">
        <v>14.5</v>
      </c>
      <c r="H93" t="n">
        <v>1</v>
      </c>
      <c r="I93" t="n">
        <v>1</v>
      </c>
      <c r="J93" t="n">
        <v>1</v>
      </c>
      <c r="K93" t="n">
        <v>0</v>
      </c>
      <c r="L93" t="n">
        <v>0</v>
      </c>
      <c r="M93" t="n">
        <v>0</v>
      </c>
      <c r="N93" t="n">
        <v>0</v>
      </c>
      <c r="O93" t="n">
        <v>1</v>
      </c>
      <c r="P93" t="n">
        <v>0</v>
      </c>
      <c r="Q93" t="n">
        <v>2</v>
      </c>
      <c r="R93" s="2" t="inlineStr">
        <is>
          <t>Tretåig hackspett
Trådticka</t>
        </is>
      </c>
      <c r="S93">
        <f>HYPERLINK("https://klasma.github.io/Logging_2462/artfynd/A 6704-2021 artfynd.xlsx", "A 6704-2021")</f>
        <v/>
      </c>
      <c r="T93">
        <f>HYPERLINK("https://klasma.github.io/Logging_2462/kartor/A 6704-2021 karta.png", "A 6704-2021")</f>
        <v/>
      </c>
      <c r="V93">
        <f>HYPERLINK("https://klasma.github.io/Logging_2462/klagomål/A 6704-2021 FSC-klagomål.docx", "A 6704-2021")</f>
        <v/>
      </c>
      <c r="W93">
        <f>HYPERLINK("https://klasma.github.io/Logging_2462/klagomålsmail/A 6704-2021 FSC-klagomål mail.docx", "A 6704-2021")</f>
        <v/>
      </c>
      <c r="X93">
        <f>HYPERLINK("https://klasma.github.io/Logging_2462/tillsyn/A 6704-2021 tillsynsbegäran.docx", "A 6704-2021")</f>
        <v/>
      </c>
      <c r="Y93">
        <f>HYPERLINK("https://klasma.github.io/Logging_2462/tillsynsmail/A 6704-2021 tillsynsbegäran mail.docx", "A 6704-2021")</f>
        <v/>
      </c>
    </row>
    <row r="94" ht="15" customHeight="1">
      <c r="A94" t="inlineStr">
        <is>
          <t>A 19234-2021</t>
        </is>
      </c>
      <c r="B94" s="1" t="n">
        <v>44309</v>
      </c>
      <c r="C94" s="1" t="n">
        <v>45258</v>
      </c>
      <c r="D94" t="inlineStr">
        <is>
          <t>VÄSTERBOTTENS LÄN</t>
        </is>
      </c>
      <c r="E94" t="inlineStr">
        <is>
          <t>VILHELMINA</t>
        </is>
      </c>
      <c r="F94" t="inlineStr">
        <is>
          <t>Övriga Aktiebolag</t>
        </is>
      </c>
      <c r="G94" t="n">
        <v>12</v>
      </c>
      <c r="H94" t="n">
        <v>0</v>
      </c>
      <c r="I94" t="n">
        <v>0</v>
      </c>
      <c r="J94" t="n">
        <v>2</v>
      </c>
      <c r="K94" t="n">
        <v>0</v>
      </c>
      <c r="L94" t="n">
        <v>0</v>
      </c>
      <c r="M94" t="n">
        <v>0</v>
      </c>
      <c r="N94" t="n">
        <v>0</v>
      </c>
      <c r="O94" t="n">
        <v>2</v>
      </c>
      <c r="P94" t="n">
        <v>0</v>
      </c>
      <c r="Q94" t="n">
        <v>2</v>
      </c>
      <c r="R94" s="2" t="inlineStr">
        <is>
          <t>Granticka
Harticka</t>
        </is>
      </c>
      <c r="S94">
        <f>HYPERLINK("https://klasma.github.io/Logging_2462/artfynd/A 19234-2021 artfynd.xlsx", "A 19234-2021")</f>
        <v/>
      </c>
      <c r="T94">
        <f>HYPERLINK("https://klasma.github.io/Logging_2462/kartor/A 19234-2021 karta.png", "A 19234-2021")</f>
        <v/>
      </c>
      <c r="V94">
        <f>HYPERLINK("https://klasma.github.io/Logging_2462/klagomål/A 19234-2021 FSC-klagomål.docx", "A 19234-2021")</f>
        <v/>
      </c>
      <c r="W94">
        <f>HYPERLINK("https://klasma.github.io/Logging_2462/klagomålsmail/A 19234-2021 FSC-klagomål mail.docx", "A 19234-2021")</f>
        <v/>
      </c>
      <c r="X94">
        <f>HYPERLINK("https://klasma.github.io/Logging_2462/tillsyn/A 19234-2021 tillsynsbegäran.docx", "A 19234-2021")</f>
        <v/>
      </c>
      <c r="Y94">
        <f>HYPERLINK("https://klasma.github.io/Logging_2462/tillsynsmail/A 19234-2021 tillsynsbegäran mail.docx", "A 19234-2021")</f>
        <v/>
      </c>
    </row>
    <row r="95" ht="15" customHeight="1">
      <c r="A95" t="inlineStr">
        <is>
          <t>A 37785-2021</t>
        </is>
      </c>
      <c r="B95" s="1" t="n">
        <v>44401</v>
      </c>
      <c r="C95" s="1" t="n">
        <v>45258</v>
      </c>
      <c r="D95" t="inlineStr">
        <is>
          <t>VÄSTERBOTTENS LÄN</t>
        </is>
      </c>
      <c r="E95" t="inlineStr">
        <is>
          <t>VILHELMINA</t>
        </is>
      </c>
      <c r="G95" t="n">
        <v>51.5</v>
      </c>
      <c r="H95" t="n">
        <v>1</v>
      </c>
      <c r="I95" t="n">
        <v>0</v>
      </c>
      <c r="J95" t="n">
        <v>1</v>
      </c>
      <c r="K95" t="n">
        <v>0</v>
      </c>
      <c r="L95" t="n">
        <v>0</v>
      </c>
      <c r="M95" t="n">
        <v>0</v>
      </c>
      <c r="N95" t="n">
        <v>0</v>
      </c>
      <c r="O95" t="n">
        <v>1</v>
      </c>
      <c r="P95" t="n">
        <v>0</v>
      </c>
      <c r="Q95" t="n">
        <v>2</v>
      </c>
      <c r="R95" s="2" t="inlineStr">
        <is>
          <t>Ullticka
Fläcknycklar</t>
        </is>
      </c>
      <c r="S95">
        <f>HYPERLINK("https://klasma.github.io/Logging_2462/artfynd/A 37785-2021 artfynd.xlsx", "A 37785-2021")</f>
        <v/>
      </c>
      <c r="T95">
        <f>HYPERLINK("https://klasma.github.io/Logging_2462/kartor/A 37785-2021 karta.png", "A 37785-2021")</f>
        <v/>
      </c>
      <c r="V95">
        <f>HYPERLINK("https://klasma.github.io/Logging_2462/klagomål/A 37785-2021 FSC-klagomål.docx", "A 37785-2021")</f>
        <v/>
      </c>
      <c r="W95">
        <f>HYPERLINK("https://klasma.github.io/Logging_2462/klagomålsmail/A 37785-2021 FSC-klagomål mail.docx", "A 37785-2021")</f>
        <v/>
      </c>
      <c r="X95">
        <f>HYPERLINK("https://klasma.github.io/Logging_2462/tillsyn/A 37785-2021 tillsynsbegäran.docx", "A 37785-2021")</f>
        <v/>
      </c>
      <c r="Y95">
        <f>HYPERLINK("https://klasma.github.io/Logging_2462/tillsynsmail/A 37785-2021 tillsynsbegäran mail.docx", "A 37785-2021")</f>
        <v/>
      </c>
    </row>
    <row r="96" ht="15" customHeight="1">
      <c r="A96" t="inlineStr">
        <is>
          <t>A 65586-2021</t>
        </is>
      </c>
      <c r="B96" s="1" t="n">
        <v>44518</v>
      </c>
      <c r="C96" s="1" t="n">
        <v>45258</v>
      </c>
      <c r="D96" t="inlineStr">
        <is>
          <t>VÄSTERBOTTENS LÄN</t>
        </is>
      </c>
      <c r="E96" t="inlineStr">
        <is>
          <t>VILHELMINA</t>
        </is>
      </c>
      <c r="G96" t="n">
        <v>38</v>
      </c>
      <c r="H96" t="n">
        <v>2</v>
      </c>
      <c r="I96" t="n">
        <v>0</v>
      </c>
      <c r="J96" t="n">
        <v>1</v>
      </c>
      <c r="K96" t="n">
        <v>1</v>
      </c>
      <c r="L96" t="n">
        <v>0</v>
      </c>
      <c r="M96" t="n">
        <v>0</v>
      </c>
      <c r="N96" t="n">
        <v>0</v>
      </c>
      <c r="O96" t="n">
        <v>2</v>
      </c>
      <c r="P96" t="n">
        <v>1</v>
      </c>
      <c r="Q96" t="n">
        <v>2</v>
      </c>
      <c r="R96" s="2" t="inlineStr">
        <is>
          <t>Lappuggla
Tretåig hackspett</t>
        </is>
      </c>
      <c r="S96">
        <f>HYPERLINK("https://klasma.github.io/Logging_2462/artfynd/A 65586-2021 artfynd.xlsx", "A 65586-2021")</f>
        <v/>
      </c>
      <c r="T96">
        <f>HYPERLINK("https://klasma.github.io/Logging_2462/kartor/A 65586-2021 karta.png", "A 65586-2021")</f>
        <v/>
      </c>
      <c r="V96">
        <f>HYPERLINK("https://klasma.github.io/Logging_2462/klagomål/A 65586-2021 FSC-klagomål.docx", "A 65586-2021")</f>
        <v/>
      </c>
      <c r="W96">
        <f>HYPERLINK("https://klasma.github.io/Logging_2462/klagomålsmail/A 65586-2021 FSC-klagomål mail.docx", "A 65586-2021")</f>
        <v/>
      </c>
      <c r="X96">
        <f>HYPERLINK("https://klasma.github.io/Logging_2462/tillsyn/A 65586-2021 tillsynsbegäran.docx", "A 65586-2021")</f>
        <v/>
      </c>
      <c r="Y96">
        <f>HYPERLINK("https://klasma.github.io/Logging_2462/tillsynsmail/A 65586-2021 tillsynsbegäran mail.docx", "A 65586-2021")</f>
        <v/>
      </c>
    </row>
    <row r="97" ht="15" customHeight="1">
      <c r="A97" t="inlineStr">
        <is>
          <t>A 13604-2022</t>
        </is>
      </c>
      <c r="B97" s="1" t="n">
        <v>44648</v>
      </c>
      <c r="C97" s="1" t="n">
        <v>45258</v>
      </c>
      <c r="D97" t="inlineStr">
        <is>
          <t>VÄSTERBOTTENS LÄN</t>
        </is>
      </c>
      <c r="E97" t="inlineStr">
        <is>
          <t>VILHELMINA</t>
        </is>
      </c>
      <c r="G97" t="n">
        <v>17.4</v>
      </c>
      <c r="H97" t="n">
        <v>1</v>
      </c>
      <c r="I97" t="n">
        <v>1</v>
      </c>
      <c r="J97" t="n">
        <v>0</v>
      </c>
      <c r="K97" t="n">
        <v>0</v>
      </c>
      <c r="L97" t="n">
        <v>0</v>
      </c>
      <c r="M97" t="n">
        <v>0</v>
      </c>
      <c r="N97" t="n">
        <v>0</v>
      </c>
      <c r="O97" t="n">
        <v>0</v>
      </c>
      <c r="P97" t="n">
        <v>0</v>
      </c>
      <c r="Q97" t="n">
        <v>2</v>
      </c>
      <c r="R97" s="2" t="inlineStr">
        <is>
          <t>Maskfingersvamp
Fläcknycklar</t>
        </is>
      </c>
      <c r="S97">
        <f>HYPERLINK("https://klasma.github.io/Logging_2462/artfynd/A 13604-2022 artfynd.xlsx", "A 13604-2022")</f>
        <v/>
      </c>
      <c r="T97">
        <f>HYPERLINK("https://klasma.github.io/Logging_2462/kartor/A 13604-2022 karta.png", "A 13604-2022")</f>
        <v/>
      </c>
      <c r="V97">
        <f>HYPERLINK("https://klasma.github.io/Logging_2462/klagomål/A 13604-2022 FSC-klagomål.docx", "A 13604-2022")</f>
        <v/>
      </c>
      <c r="W97">
        <f>HYPERLINK("https://klasma.github.io/Logging_2462/klagomålsmail/A 13604-2022 FSC-klagomål mail.docx", "A 13604-2022")</f>
        <v/>
      </c>
      <c r="X97">
        <f>HYPERLINK("https://klasma.github.io/Logging_2462/tillsyn/A 13604-2022 tillsynsbegäran.docx", "A 13604-2022")</f>
        <v/>
      </c>
      <c r="Y97">
        <f>HYPERLINK("https://klasma.github.io/Logging_2462/tillsynsmail/A 13604-2022 tillsynsbegäran mail.docx", "A 13604-2022")</f>
        <v/>
      </c>
    </row>
    <row r="98" ht="15" customHeight="1">
      <c r="A98" t="inlineStr">
        <is>
          <t>A 32253-2022</t>
        </is>
      </c>
      <c r="B98" s="1" t="n">
        <v>44781</v>
      </c>
      <c r="C98" s="1" t="n">
        <v>45258</v>
      </c>
      <c r="D98" t="inlineStr">
        <is>
          <t>VÄSTERBOTTENS LÄN</t>
        </is>
      </c>
      <c r="E98" t="inlineStr">
        <is>
          <t>VILHELMINA</t>
        </is>
      </c>
      <c r="G98" t="n">
        <v>10.8</v>
      </c>
      <c r="H98" t="n">
        <v>0</v>
      </c>
      <c r="I98" t="n">
        <v>0</v>
      </c>
      <c r="J98" t="n">
        <v>1</v>
      </c>
      <c r="K98" t="n">
        <v>1</v>
      </c>
      <c r="L98" t="n">
        <v>0</v>
      </c>
      <c r="M98" t="n">
        <v>0</v>
      </c>
      <c r="N98" t="n">
        <v>0</v>
      </c>
      <c r="O98" t="n">
        <v>2</v>
      </c>
      <c r="P98" t="n">
        <v>1</v>
      </c>
      <c r="Q98" t="n">
        <v>2</v>
      </c>
      <c r="R98" s="2" t="inlineStr">
        <is>
          <t>Ostticka
Garnlav</t>
        </is>
      </c>
      <c r="S98">
        <f>HYPERLINK("https://klasma.github.io/Logging_2462/artfynd/A 32253-2022 artfynd.xlsx", "A 32253-2022")</f>
        <v/>
      </c>
      <c r="T98">
        <f>HYPERLINK("https://klasma.github.io/Logging_2462/kartor/A 32253-2022 karta.png", "A 32253-2022")</f>
        <v/>
      </c>
      <c r="V98">
        <f>HYPERLINK("https://klasma.github.io/Logging_2462/klagomål/A 32253-2022 FSC-klagomål.docx", "A 32253-2022")</f>
        <v/>
      </c>
      <c r="W98">
        <f>HYPERLINK("https://klasma.github.io/Logging_2462/klagomålsmail/A 32253-2022 FSC-klagomål mail.docx", "A 32253-2022")</f>
        <v/>
      </c>
      <c r="X98">
        <f>HYPERLINK("https://klasma.github.io/Logging_2462/tillsyn/A 32253-2022 tillsynsbegäran.docx", "A 32253-2022")</f>
        <v/>
      </c>
      <c r="Y98">
        <f>HYPERLINK("https://klasma.github.io/Logging_2462/tillsynsmail/A 32253-2022 tillsynsbegäran mail.docx", "A 32253-2022")</f>
        <v/>
      </c>
    </row>
    <row r="99" ht="15" customHeight="1">
      <c r="A99" t="inlineStr">
        <is>
          <t>A 28013-2023</t>
        </is>
      </c>
      <c r="B99" s="1" t="n">
        <v>45098</v>
      </c>
      <c r="C99" s="1" t="n">
        <v>45258</v>
      </c>
      <c r="D99" t="inlineStr">
        <is>
          <t>VÄSTERBOTTENS LÄN</t>
        </is>
      </c>
      <c r="E99" t="inlineStr">
        <is>
          <t>VILHELMINA</t>
        </is>
      </c>
      <c r="F99" t="inlineStr">
        <is>
          <t>SCA</t>
        </is>
      </c>
      <c r="G99" t="n">
        <v>7.8</v>
      </c>
      <c r="H99" t="n">
        <v>0</v>
      </c>
      <c r="I99" t="n">
        <v>0</v>
      </c>
      <c r="J99" t="n">
        <v>1</v>
      </c>
      <c r="K99" t="n">
        <v>1</v>
      </c>
      <c r="L99" t="n">
        <v>0</v>
      </c>
      <c r="M99" t="n">
        <v>0</v>
      </c>
      <c r="N99" t="n">
        <v>0</v>
      </c>
      <c r="O99" t="n">
        <v>2</v>
      </c>
      <c r="P99" t="n">
        <v>1</v>
      </c>
      <c r="Q99" t="n">
        <v>2</v>
      </c>
      <c r="R99" s="2" t="inlineStr">
        <is>
          <t>Tajgaskinn
Granticka</t>
        </is>
      </c>
      <c r="S99">
        <f>HYPERLINK("https://klasma.github.io/Logging_2462/artfynd/A 28013-2023 artfynd.xlsx", "A 28013-2023")</f>
        <v/>
      </c>
      <c r="T99">
        <f>HYPERLINK("https://klasma.github.io/Logging_2462/kartor/A 28013-2023 karta.png", "A 28013-2023")</f>
        <v/>
      </c>
      <c r="V99">
        <f>HYPERLINK("https://klasma.github.io/Logging_2462/klagomål/A 28013-2023 FSC-klagomål.docx", "A 28013-2023")</f>
        <v/>
      </c>
      <c r="W99">
        <f>HYPERLINK("https://klasma.github.io/Logging_2462/klagomålsmail/A 28013-2023 FSC-klagomål mail.docx", "A 28013-2023")</f>
        <v/>
      </c>
      <c r="X99">
        <f>HYPERLINK("https://klasma.github.io/Logging_2462/tillsyn/A 28013-2023 tillsynsbegäran.docx", "A 28013-2023")</f>
        <v/>
      </c>
      <c r="Y99">
        <f>HYPERLINK("https://klasma.github.io/Logging_2462/tillsynsmail/A 28013-2023 tillsynsbegäran mail.docx", "A 28013-2023")</f>
        <v/>
      </c>
    </row>
    <row r="100" ht="15" customHeight="1">
      <c r="A100" t="inlineStr">
        <is>
          <t>A 30717-2023</t>
        </is>
      </c>
      <c r="B100" s="1" t="n">
        <v>45112</v>
      </c>
      <c r="C100" s="1" t="n">
        <v>45258</v>
      </c>
      <c r="D100" t="inlineStr">
        <is>
          <t>VÄSTERBOTTENS LÄN</t>
        </is>
      </c>
      <c r="E100" t="inlineStr">
        <is>
          <t>VILHELMINA</t>
        </is>
      </c>
      <c r="G100" t="n">
        <v>22.7</v>
      </c>
      <c r="H100" t="n">
        <v>0</v>
      </c>
      <c r="I100" t="n">
        <v>0</v>
      </c>
      <c r="J100" t="n">
        <v>2</v>
      </c>
      <c r="K100" t="n">
        <v>0</v>
      </c>
      <c r="L100" t="n">
        <v>0</v>
      </c>
      <c r="M100" t="n">
        <v>0</v>
      </c>
      <c r="N100" t="n">
        <v>0</v>
      </c>
      <c r="O100" t="n">
        <v>2</v>
      </c>
      <c r="P100" t="n">
        <v>0</v>
      </c>
      <c r="Q100" t="n">
        <v>2</v>
      </c>
      <c r="R100" s="2" t="inlineStr">
        <is>
          <t>Garnlav
Ullticka</t>
        </is>
      </c>
      <c r="S100">
        <f>HYPERLINK("https://klasma.github.io/Logging_2462/artfynd/A 30717-2023 artfynd.xlsx", "A 30717-2023")</f>
        <v/>
      </c>
      <c r="T100">
        <f>HYPERLINK("https://klasma.github.io/Logging_2462/kartor/A 30717-2023 karta.png", "A 30717-2023")</f>
        <v/>
      </c>
      <c r="V100">
        <f>HYPERLINK("https://klasma.github.io/Logging_2462/klagomål/A 30717-2023 FSC-klagomål.docx", "A 30717-2023")</f>
        <v/>
      </c>
      <c r="W100">
        <f>HYPERLINK("https://klasma.github.io/Logging_2462/klagomålsmail/A 30717-2023 FSC-klagomål mail.docx", "A 30717-2023")</f>
        <v/>
      </c>
      <c r="X100">
        <f>HYPERLINK("https://klasma.github.io/Logging_2462/tillsyn/A 30717-2023 tillsynsbegäran.docx", "A 30717-2023")</f>
        <v/>
      </c>
      <c r="Y100">
        <f>HYPERLINK("https://klasma.github.io/Logging_2462/tillsynsmail/A 30717-2023 tillsynsbegäran mail.docx", "A 30717-2023")</f>
        <v/>
      </c>
    </row>
    <row r="101" ht="15" customHeight="1">
      <c r="A101" t="inlineStr">
        <is>
          <t>A 34089-2023</t>
        </is>
      </c>
      <c r="B101" s="1" t="n">
        <v>45125</v>
      </c>
      <c r="C101" s="1" t="n">
        <v>45258</v>
      </c>
      <c r="D101" t="inlineStr">
        <is>
          <t>VÄSTERBOTTENS LÄN</t>
        </is>
      </c>
      <c r="E101" t="inlineStr">
        <is>
          <t>VILHELMINA</t>
        </is>
      </c>
      <c r="G101" t="n">
        <v>24.1</v>
      </c>
      <c r="H101" t="n">
        <v>1</v>
      </c>
      <c r="I101" t="n">
        <v>0</v>
      </c>
      <c r="J101" t="n">
        <v>2</v>
      </c>
      <c r="K101" t="n">
        <v>0</v>
      </c>
      <c r="L101" t="n">
        <v>0</v>
      </c>
      <c r="M101" t="n">
        <v>0</v>
      </c>
      <c r="N101" t="n">
        <v>0</v>
      </c>
      <c r="O101" t="n">
        <v>2</v>
      </c>
      <c r="P101" t="n">
        <v>0</v>
      </c>
      <c r="Q101" t="n">
        <v>2</v>
      </c>
      <c r="R101" s="2" t="inlineStr">
        <is>
          <t>Garnlav
Tretåig hackspett</t>
        </is>
      </c>
      <c r="S101">
        <f>HYPERLINK("https://klasma.github.io/Logging_2462/artfynd/A 34089-2023 artfynd.xlsx", "A 34089-2023")</f>
        <v/>
      </c>
      <c r="T101">
        <f>HYPERLINK("https://klasma.github.io/Logging_2462/kartor/A 34089-2023 karta.png", "A 34089-2023")</f>
        <v/>
      </c>
      <c r="V101">
        <f>HYPERLINK("https://klasma.github.io/Logging_2462/klagomål/A 34089-2023 FSC-klagomål.docx", "A 34089-2023")</f>
        <v/>
      </c>
      <c r="W101">
        <f>HYPERLINK("https://klasma.github.io/Logging_2462/klagomålsmail/A 34089-2023 FSC-klagomål mail.docx", "A 34089-2023")</f>
        <v/>
      </c>
      <c r="X101">
        <f>HYPERLINK("https://klasma.github.io/Logging_2462/tillsyn/A 34089-2023 tillsynsbegäran.docx", "A 34089-2023")</f>
        <v/>
      </c>
      <c r="Y101">
        <f>HYPERLINK("https://klasma.github.io/Logging_2462/tillsynsmail/A 34089-2023 tillsynsbegäran mail.docx", "A 34089-2023")</f>
        <v/>
      </c>
    </row>
    <row r="102" ht="15" customHeight="1">
      <c r="A102" t="inlineStr">
        <is>
          <t>A 54609-2023</t>
        </is>
      </c>
      <c r="B102" s="1" t="n">
        <v>45233</v>
      </c>
      <c r="C102" s="1" t="n">
        <v>45258</v>
      </c>
      <c r="D102" t="inlineStr">
        <is>
          <t>VÄSTERBOTTENS LÄN</t>
        </is>
      </c>
      <c r="E102" t="inlineStr">
        <is>
          <t>VILHELMINA</t>
        </is>
      </c>
      <c r="F102" t="inlineStr">
        <is>
          <t>SCA</t>
        </is>
      </c>
      <c r="G102" t="n">
        <v>3.3</v>
      </c>
      <c r="H102" t="n">
        <v>2</v>
      </c>
      <c r="I102" t="n">
        <v>0</v>
      </c>
      <c r="J102" t="n">
        <v>2</v>
      </c>
      <c r="K102" t="n">
        <v>0</v>
      </c>
      <c r="L102" t="n">
        <v>0</v>
      </c>
      <c r="M102" t="n">
        <v>0</v>
      </c>
      <c r="N102" t="n">
        <v>0</v>
      </c>
      <c r="O102" t="n">
        <v>2</v>
      </c>
      <c r="P102" t="n">
        <v>0</v>
      </c>
      <c r="Q102" t="n">
        <v>2</v>
      </c>
      <c r="R102" s="2" t="inlineStr">
        <is>
          <t>Buskskvätta
Svartvit flugsnappare</t>
        </is>
      </c>
      <c r="S102">
        <f>HYPERLINK("https://klasma.github.io/Logging_2462/artfynd/A 54609-2023 artfynd.xlsx", "A 54609-2023")</f>
        <v/>
      </c>
      <c r="T102">
        <f>HYPERLINK("https://klasma.github.io/Logging_2462/kartor/A 54609-2023 karta.png", "A 54609-2023")</f>
        <v/>
      </c>
      <c r="V102">
        <f>HYPERLINK("https://klasma.github.io/Logging_2462/klagomål/A 54609-2023 FSC-klagomål.docx", "A 54609-2023")</f>
        <v/>
      </c>
      <c r="W102">
        <f>HYPERLINK("https://klasma.github.io/Logging_2462/klagomålsmail/A 54609-2023 FSC-klagomål mail.docx", "A 54609-2023")</f>
        <v/>
      </c>
      <c r="X102">
        <f>HYPERLINK("https://klasma.github.io/Logging_2462/tillsyn/A 54609-2023 tillsynsbegäran.docx", "A 54609-2023")</f>
        <v/>
      </c>
      <c r="Y102">
        <f>HYPERLINK("https://klasma.github.io/Logging_2462/tillsynsmail/A 54609-2023 tillsynsbegäran mail.docx", "A 54609-2023")</f>
        <v/>
      </c>
    </row>
    <row r="103" ht="15" customHeight="1">
      <c r="A103" t="inlineStr">
        <is>
          <t>A 51774-2019</t>
        </is>
      </c>
      <c r="B103" s="1" t="n">
        <v>43741</v>
      </c>
      <c r="C103" s="1" t="n">
        <v>45258</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row>
    <row r="104" ht="15" customHeight="1">
      <c r="A104" t="inlineStr">
        <is>
          <t>A 59424-2019</t>
        </is>
      </c>
      <c r="B104" s="1" t="n">
        <v>43775</v>
      </c>
      <c r="C104" s="1" t="n">
        <v>45258</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45258</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45258</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45258</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69626-2020</t>
        </is>
      </c>
      <c r="B108" s="1" t="n">
        <v>44195</v>
      </c>
      <c r="C108" s="1" t="n">
        <v>45258</v>
      </c>
      <c r="D108" t="inlineStr">
        <is>
          <t>VÄSTERBOTTENS LÄN</t>
        </is>
      </c>
      <c r="E108" t="inlineStr">
        <is>
          <t>VILHELMINA</t>
        </is>
      </c>
      <c r="G108" t="n">
        <v>10.2</v>
      </c>
      <c r="H108" t="n">
        <v>1</v>
      </c>
      <c r="I108" t="n">
        <v>0</v>
      </c>
      <c r="J108" t="n">
        <v>1</v>
      </c>
      <c r="K108" t="n">
        <v>0</v>
      </c>
      <c r="L108" t="n">
        <v>0</v>
      </c>
      <c r="M108" t="n">
        <v>0</v>
      </c>
      <c r="N108" t="n">
        <v>0</v>
      </c>
      <c r="O108" t="n">
        <v>1</v>
      </c>
      <c r="P108" t="n">
        <v>0</v>
      </c>
      <c r="Q108" t="n">
        <v>1</v>
      </c>
      <c r="R108" s="2" t="inlineStr">
        <is>
          <t>Tretåig hackspett</t>
        </is>
      </c>
      <c r="S108">
        <f>HYPERLINK("https://klasma.github.io/Logging_2462/artfynd/A 69626-2020 artfynd.xlsx", "A 69626-2020")</f>
        <v/>
      </c>
      <c r="T108">
        <f>HYPERLINK("https://klasma.github.io/Logging_2462/kartor/A 69626-2020 karta.png", "A 69626-2020")</f>
        <v/>
      </c>
      <c r="V108">
        <f>HYPERLINK("https://klasma.github.io/Logging_2462/klagomål/A 69626-2020 FSC-klagomål.docx", "A 69626-2020")</f>
        <v/>
      </c>
      <c r="W108">
        <f>HYPERLINK("https://klasma.github.io/Logging_2462/klagomålsmail/A 69626-2020 FSC-klagomål mail.docx", "A 69626-2020")</f>
        <v/>
      </c>
      <c r="X108">
        <f>HYPERLINK("https://klasma.github.io/Logging_2462/tillsyn/A 69626-2020 tillsynsbegäran.docx", "A 69626-2020")</f>
        <v/>
      </c>
      <c r="Y108">
        <f>HYPERLINK("https://klasma.github.io/Logging_2462/tillsynsmail/A 69626-2020 tillsynsbegäran mail.docx", "A 69626-2020")</f>
        <v/>
      </c>
    </row>
    <row r="109" ht="15" customHeight="1">
      <c r="A109" t="inlineStr">
        <is>
          <t>A 55739-2021</t>
        </is>
      </c>
      <c r="B109" s="1" t="n">
        <v>44476</v>
      </c>
      <c r="C109" s="1" t="n">
        <v>45258</v>
      </c>
      <c r="D109" t="inlineStr">
        <is>
          <t>VÄSTERBOTTENS LÄN</t>
        </is>
      </c>
      <c r="E109" t="inlineStr">
        <is>
          <t>VILHELMINA</t>
        </is>
      </c>
      <c r="G109" t="n">
        <v>5.5</v>
      </c>
      <c r="H109" t="n">
        <v>0</v>
      </c>
      <c r="I109" t="n">
        <v>0</v>
      </c>
      <c r="J109" t="n">
        <v>1</v>
      </c>
      <c r="K109" t="n">
        <v>0</v>
      </c>
      <c r="L109" t="n">
        <v>0</v>
      </c>
      <c r="M109" t="n">
        <v>0</v>
      </c>
      <c r="N109" t="n">
        <v>0</v>
      </c>
      <c r="O109" t="n">
        <v>1</v>
      </c>
      <c r="P109" t="n">
        <v>0</v>
      </c>
      <c r="Q109" t="n">
        <v>1</v>
      </c>
      <c r="R109" s="2" t="inlineStr">
        <is>
          <t>Garnlav</t>
        </is>
      </c>
      <c r="S109">
        <f>HYPERLINK("https://klasma.github.io/Logging_2462/artfynd/A 55739-2021 artfynd.xlsx", "A 55739-2021")</f>
        <v/>
      </c>
      <c r="T109">
        <f>HYPERLINK("https://klasma.github.io/Logging_2462/kartor/A 55739-2021 karta.png", "A 55739-2021")</f>
        <v/>
      </c>
      <c r="V109">
        <f>HYPERLINK("https://klasma.github.io/Logging_2462/klagomål/A 55739-2021 FSC-klagomål.docx", "A 55739-2021")</f>
        <v/>
      </c>
      <c r="W109">
        <f>HYPERLINK("https://klasma.github.io/Logging_2462/klagomålsmail/A 55739-2021 FSC-klagomål mail.docx", "A 55739-2021")</f>
        <v/>
      </c>
      <c r="X109">
        <f>HYPERLINK("https://klasma.github.io/Logging_2462/tillsyn/A 55739-2021 tillsynsbegäran.docx", "A 55739-2021")</f>
        <v/>
      </c>
      <c r="Y109">
        <f>HYPERLINK("https://klasma.github.io/Logging_2462/tillsynsmail/A 55739-2021 tillsynsbegäran mail.docx", "A 55739-2021")</f>
        <v/>
      </c>
    </row>
    <row r="110" ht="15" customHeight="1">
      <c r="A110" t="inlineStr">
        <is>
          <t>A 60369-2021</t>
        </is>
      </c>
      <c r="B110" s="1" t="n">
        <v>44494</v>
      </c>
      <c r="C110" s="1" t="n">
        <v>45258</v>
      </c>
      <c r="D110" t="inlineStr">
        <is>
          <t>VÄSTERBOTTENS LÄN</t>
        </is>
      </c>
      <c r="E110" t="inlineStr">
        <is>
          <t>VILHELMINA</t>
        </is>
      </c>
      <c r="G110" t="n">
        <v>0.6</v>
      </c>
      <c r="H110" t="n">
        <v>0</v>
      </c>
      <c r="I110" t="n">
        <v>1</v>
      </c>
      <c r="J110" t="n">
        <v>0</v>
      </c>
      <c r="K110" t="n">
        <v>0</v>
      </c>
      <c r="L110" t="n">
        <v>0</v>
      </c>
      <c r="M110" t="n">
        <v>0</v>
      </c>
      <c r="N110" t="n">
        <v>0</v>
      </c>
      <c r="O110" t="n">
        <v>0</v>
      </c>
      <c r="P110" t="n">
        <v>0</v>
      </c>
      <c r="Q110" t="n">
        <v>1</v>
      </c>
      <c r="R110" s="2" t="inlineStr">
        <is>
          <t>Stuplav</t>
        </is>
      </c>
      <c r="S110">
        <f>HYPERLINK("https://klasma.github.io/Logging_2462/artfynd/A 60369-2021 artfynd.xlsx", "A 60369-2021")</f>
        <v/>
      </c>
      <c r="T110">
        <f>HYPERLINK("https://klasma.github.io/Logging_2462/kartor/A 60369-2021 karta.png", "A 60369-2021")</f>
        <v/>
      </c>
      <c r="V110">
        <f>HYPERLINK("https://klasma.github.io/Logging_2462/klagomål/A 60369-2021 FSC-klagomål.docx", "A 60369-2021")</f>
        <v/>
      </c>
      <c r="W110">
        <f>HYPERLINK("https://klasma.github.io/Logging_2462/klagomålsmail/A 60369-2021 FSC-klagomål mail.docx", "A 60369-2021")</f>
        <v/>
      </c>
      <c r="X110">
        <f>HYPERLINK("https://klasma.github.io/Logging_2462/tillsyn/A 60369-2021 tillsynsbegäran.docx", "A 60369-2021")</f>
        <v/>
      </c>
      <c r="Y110">
        <f>HYPERLINK("https://klasma.github.io/Logging_2462/tillsynsmail/A 60369-2021 tillsynsbegäran mail.docx", "A 60369-2021")</f>
        <v/>
      </c>
    </row>
    <row r="111" ht="15" customHeight="1">
      <c r="A111" t="inlineStr">
        <is>
          <t>A 66924-2021</t>
        </is>
      </c>
      <c r="B111" s="1" t="n">
        <v>44522</v>
      </c>
      <c r="C111" s="1" t="n">
        <v>45258</v>
      </c>
      <c r="D111" t="inlineStr">
        <is>
          <t>VÄSTERBOTTENS LÄN</t>
        </is>
      </c>
      <c r="E111" t="inlineStr">
        <is>
          <t>VILHELMINA</t>
        </is>
      </c>
      <c r="F111" t="inlineStr">
        <is>
          <t>Allmännings- och besparingsskogar</t>
        </is>
      </c>
      <c r="G111" t="n">
        <v>335.4</v>
      </c>
      <c r="H111" t="n">
        <v>1</v>
      </c>
      <c r="I111" t="n">
        <v>0</v>
      </c>
      <c r="J111" t="n">
        <v>1</v>
      </c>
      <c r="K111" t="n">
        <v>0</v>
      </c>
      <c r="L111" t="n">
        <v>0</v>
      </c>
      <c r="M111" t="n">
        <v>0</v>
      </c>
      <c r="N111" t="n">
        <v>0</v>
      </c>
      <c r="O111" t="n">
        <v>1</v>
      </c>
      <c r="P111" t="n">
        <v>0</v>
      </c>
      <c r="Q111" t="n">
        <v>1</v>
      </c>
      <c r="R111" s="2" t="inlineStr">
        <is>
          <t>Utter</t>
        </is>
      </c>
      <c r="S111">
        <f>HYPERLINK("https://klasma.github.io/Logging_2462/artfynd/A 66924-2021 artfynd.xlsx", "A 66924-2021")</f>
        <v/>
      </c>
      <c r="T111">
        <f>HYPERLINK("https://klasma.github.io/Logging_2462/kartor/A 66924-2021 karta.png", "A 66924-2021")</f>
        <v/>
      </c>
      <c r="V111">
        <f>HYPERLINK("https://klasma.github.io/Logging_2462/klagomål/A 66924-2021 FSC-klagomål.docx", "A 66924-2021")</f>
        <v/>
      </c>
      <c r="W111">
        <f>HYPERLINK("https://klasma.github.io/Logging_2462/klagomålsmail/A 66924-2021 FSC-klagomål mail.docx", "A 66924-2021")</f>
        <v/>
      </c>
      <c r="X111">
        <f>HYPERLINK("https://klasma.github.io/Logging_2462/tillsyn/A 66924-2021 tillsynsbegäran.docx", "A 66924-2021")</f>
        <v/>
      </c>
      <c r="Y111">
        <f>HYPERLINK("https://klasma.github.io/Logging_2462/tillsynsmail/A 66924-2021 tillsynsbegäran mail.docx", "A 66924-2021")</f>
        <v/>
      </c>
    </row>
    <row r="112" ht="15" customHeight="1">
      <c r="A112" t="inlineStr">
        <is>
          <t>A 68783-2021</t>
        </is>
      </c>
      <c r="B112" s="1" t="n">
        <v>44529</v>
      </c>
      <c r="C112" s="1" t="n">
        <v>45258</v>
      </c>
      <c r="D112" t="inlineStr">
        <is>
          <t>VÄSTERBOTTENS LÄN</t>
        </is>
      </c>
      <c r="E112" t="inlineStr">
        <is>
          <t>VILHELMINA</t>
        </is>
      </c>
      <c r="F112" t="inlineStr">
        <is>
          <t>SCA</t>
        </is>
      </c>
      <c r="G112" t="n">
        <v>7.3</v>
      </c>
      <c r="H112" t="n">
        <v>1</v>
      </c>
      <c r="I112" t="n">
        <v>0</v>
      </c>
      <c r="J112" t="n">
        <v>1</v>
      </c>
      <c r="K112" t="n">
        <v>0</v>
      </c>
      <c r="L112" t="n">
        <v>0</v>
      </c>
      <c r="M112" t="n">
        <v>0</v>
      </c>
      <c r="N112" t="n">
        <v>0</v>
      </c>
      <c r="O112" t="n">
        <v>1</v>
      </c>
      <c r="P112" t="n">
        <v>0</v>
      </c>
      <c r="Q112" t="n">
        <v>1</v>
      </c>
      <c r="R112" s="2" t="inlineStr">
        <is>
          <t>Tretåig hackspett</t>
        </is>
      </c>
      <c r="S112">
        <f>HYPERLINK("https://klasma.github.io/Logging_2462/artfynd/A 68783-2021 artfynd.xlsx", "A 68783-2021")</f>
        <v/>
      </c>
      <c r="T112">
        <f>HYPERLINK("https://klasma.github.io/Logging_2462/kartor/A 68783-2021 karta.png", "A 68783-2021")</f>
        <v/>
      </c>
      <c r="V112">
        <f>HYPERLINK("https://klasma.github.io/Logging_2462/klagomål/A 68783-2021 FSC-klagomål.docx", "A 68783-2021")</f>
        <v/>
      </c>
      <c r="W112">
        <f>HYPERLINK("https://klasma.github.io/Logging_2462/klagomålsmail/A 68783-2021 FSC-klagomål mail.docx", "A 68783-2021")</f>
        <v/>
      </c>
      <c r="X112">
        <f>HYPERLINK("https://klasma.github.io/Logging_2462/tillsyn/A 68783-2021 tillsynsbegäran.docx", "A 68783-2021")</f>
        <v/>
      </c>
      <c r="Y112">
        <f>HYPERLINK("https://klasma.github.io/Logging_2462/tillsynsmail/A 68783-2021 tillsynsbegäran mail.docx", "A 68783-2021")</f>
        <v/>
      </c>
    </row>
    <row r="113" ht="15" customHeight="1">
      <c r="A113" t="inlineStr">
        <is>
          <t>A 69545-2021</t>
        </is>
      </c>
      <c r="B113" s="1" t="n">
        <v>44531</v>
      </c>
      <c r="C113" s="1" t="n">
        <v>45258</v>
      </c>
      <c r="D113" t="inlineStr">
        <is>
          <t>VÄSTERBOTTENS LÄN</t>
        </is>
      </c>
      <c r="E113" t="inlineStr">
        <is>
          <t>VILHELMINA</t>
        </is>
      </c>
      <c r="F113" t="inlineStr">
        <is>
          <t>SCA</t>
        </is>
      </c>
      <c r="G113" t="n">
        <v>3.8</v>
      </c>
      <c r="H113" t="n">
        <v>0</v>
      </c>
      <c r="I113" t="n">
        <v>1</v>
      </c>
      <c r="J113" t="n">
        <v>0</v>
      </c>
      <c r="K113" t="n">
        <v>0</v>
      </c>
      <c r="L113" t="n">
        <v>0</v>
      </c>
      <c r="M113" t="n">
        <v>0</v>
      </c>
      <c r="N113" t="n">
        <v>0</v>
      </c>
      <c r="O113" t="n">
        <v>0</v>
      </c>
      <c r="P113" t="n">
        <v>0</v>
      </c>
      <c r="Q113" t="n">
        <v>1</v>
      </c>
      <c r="R113" s="2" t="inlineStr">
        <is>
          <t>Norrlandslav</t>
        </is>
      </c>
      <c r="S113">
        <f>HYPERLINK("https://klasma.github.io/Logging_2462/artfynd/A 69545-2021 artfynd.xlsx", "A 69545-2021")</f>
        <v/>
      </c>
      <c r="T113">
        <f>HYPERLINK("https://klasma.github.io/Logging_2462/kartor/A 69545-2021 karta.png", "A 69545-2021")</f>
        <v/>
      </c>
      <c r="V113">
        <f>HYPERLINK("https://klasma.github.io/Logging_2462/klagomål/A 69545-2021 FSC-klagomål.docx", "A 69545-2021")</f>
        <v/>
      </c>
      <c r="W113">
        <f>HYPERLINK("https://klasma.github.io/Logging_2462/klagomålsmail/A 69545-2021 FSC-klagomål mail.docx", "A 69545-2021")</f>
        <v/>
      </c>
      <c r="X113">
        <f>HYPERLINK("https://klasma.github.io/Logging_2462/tillsyn/A 69545-2021 tillsynsbegäran.docx", "A 69545-2021")</f>
        <v/>
      </c>
      <c r="Y113">
        <f>HYPERLINK("https://klasma.github.io/Logging_2462/tillsynsmail/A 69545-2021 tillsynsbegäran mail.docx", "A 69545-2021")</f>
        <v/>
      </c>
    </row>
    <row r="114" ht="15" customHeight="1">
      <c r="A114" t="inlineStr">
        <is>
          <t>A 69915-2021</t>
        </is>
      </c>
      <c r="B114" s="1" t="n">
        <v>44532</v>
      </c>
      <c r="C114" s="1" t="n">
        <v>45258</v>
      </c>
      <c r="D114" t="inlineStr">
        <is>
          <t>VÄSTERBOTTENS LÄN</t>
        </is>
      </c>
      <c r="E114" t="inlineStr">
        <is>
          <t>VILHELMINA</t>
        </is>
      </c>
      <c r="F114" t="inlineStr">
        <is>
          <t>SCA</t>
        </is>
      </c>
      <c r="G114" t="n">
        <v>3</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69915-2021 artfynd.xlsx", "A 69915-2021")</f>
        <v/>
      </c>
      <c r="T114">
        <f>HYPERLINK("https://klasma.github.io/Logging_2462/kartor/A 69915-2021 karta.png", "A 69915-2021")</f>
        <v/>
      </c>
      <c r="V114">
        <f>HYPERLINK("https://klasma.github.io/Logging_2462/klagomål/A 69915-2021 FSC-klagomål.docx", "A 69915-2021")</f>
        <v/>
      </c>
      <c r="W114">
        <f>HYPERLINK("https://klasma.github.io/Logging_2462/klagomålsmail/A 69915-2021 FSC-klagomål mail.docx", "A 69915-2021")</f>
        <v/>
      </c>
      <c r="X114">
        <f>HYPERLINK("https://klasma.github.io/Logging_2462/tillsyn/A 69915-2021 tillsynsbegäran.docx", "A 69915-2021")</f>
        <v/>
      </c>
      <c r="Y114">
        <f>HYPERLINK("https://klasma.github.io/Logging_2462/tillsynsmail/A 69915-2021 tillsynsbegäran mail.docx", "A 69915-2021")</f>
        <v/>
      </c>
    </row>
    <row r="115" ht="15" customHeight="1">
      <c r="A115" t="inlineStr">
        <is>
          <t>A 74395-2021</t>
        </is>
      </c>
      <c r="B115" s="1" t="n">
        <v>44560</v>
      </c>
      <c r="C115" s="1" t="n">
        <v>45258</v>
      </c>
      <c r="D115" t="inlineStr">
        <is>
          <t>VÄSTERBOTTENS LÄN</t>
        </is>
      </c>
      <c r="E115" t="inlineStr">
        <is>
          <t>VILHELMINA</t>
        </is>
      </c>
      <c r="G115" t="n">
        <v>37.6</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74395-2021 artfynd.xlsx", "A 74395-2021")</f>
        <v/>
      </c>
      <c r="T115">
        <f>HYPERLINK("https://klasma.github.io/Logging_2462/kartor/A 74395-2021 karta.png", "A 74395-2021")</f>
        <v/>
      </c>
      <c r="V115">
        <f>HYPERLINK("https://klasma.github.io/Logging_2462/klagomål/A 74395-2021 FSC-klagomål.docx", "A 74395-2021")</f>
        <v/>
      </c>
      <c r="W115">
        <f>HYPERLINK("https://klasma.github.io/Logging_2462/klagomålsmail/A 74395-2021 FSC-klagomål mail.docx", "A 74395-2021")</f>
        <v/>
      </c>
      <c r="X115">
        <f>HYPERLINK("https://klasma.github.io/Logging_2462/tillsyn/A 74395-2021 tillsynsbegäran.docx", "A 74395-2021")</f>
        <v/>
      </c>
      <c r="Y115">
        <f>HYPERLINK("https://klasma.github.io/Logging_2462/tillsynsmail/A 74395-2021 tillsynsbegäran mail.docx", "A 74395-2021")</f>
        <v/>
      </c>
    </row>
    <row r="116" ht="15" customHeight="1">
      <c r="A116" t="inlineStr">
        <is>
          <t>A 12486-2022</t>
        </is>
      </c>
      <c r="B116" s="1" t="n">
        <v>44638</v>
      </c>
      <c r="C116" s="1" t="n">
        <v>45258</v>
      </c>
      <c r="D116" t="inlineStr">
        <is>
          <t>VÄSTERBOTTENS LÄN</t>
        </is>
      </c>
      <c r="E116" t="inlineStr">
        <is>
          <t>VILHELMINA</t>
        </is>
      </c>
      <c r="G116" t="n">
        <v>19.3</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12486-2022 artfynd.xlsx", "A 12486-2022")</f>
        <v/>
      </c>
      <c r="T116">
        <f>HYPERLINK("https://klasma.github.io/Logging_2462/kartor/A 12486-2022 karta.png", "A 12486-2022")</f>
        <v/>
      </c>
      <c r="V116">
        <f>HYPERLINK("https://klasma.github.io/Logging_2462/klagomål/A 12486-2022 FSC-klagomål.docx", "A 12486-2022")</f>
        <v/>
      </c>
      <c r="W116">
        <f>HYPERLINK("https://klasma.github.io/Logging_2462/klagomålsmail/A 12486-2022 FSC-klagomål mail.docx", "A 12486-2022")</f>
        <v/>
      </c>
      <c r="X116">
        <f>HYPERLINK("https://klasma.github.io/Logging_2462/tillsyn/A 12486-2022 tillsynsbegäran.docx", "A 12486-2022")</f>
        <v/>
      </c>
      <c r="Y116">
        <f>HYPERLINK("https://klasma.github.io/Logging_2462/tillsynsmail/A 12486-2022 tillsynsbegäran mail.docx", "A 12486-2022")</f>
        <v/>
      </c>
    </row>
    <row r="117" ht="15" customHeight="1">
      <c r="A117" t="inlineStr">
        <is>
          <t>A 38421-2022</t>
        </is>
      </c>
      <c r="B117" s="1" t="n">
        <v>44812</v>
      </c>
      <c r="C117" s="1" t="n">
        <v>45258</v>
      </c>
      <c r="D117" t="inlineStr">
        <is>
          <t>VÄSTERBOTTENS LÄN</t>
        </is>
      </c>
      <c r="E117" t="inlineStr">
        <is>
          <t>VILHELMINA</t>
        </is>
      </c>
      <c r="F117" t="inlineStr">
        <is>
          <t>SCA</t>
        </is>
      </c>
      <c r="G117" t="n">
        <v>3.2</v>
      </c>
      <c r="H117" t="n">
        <v>0</v>
      </c>
      <c r="I117" t="n">
        <v>0</v>
      </c>
      <c r="J117" t="n">
        <v>1</v>
      </c>
      <c r="K117" t="n">
        <v>0</v>
      </c>
      <c r="L117" t="n">
        <v>0</v>
      </c>
      <c r="M117" t="n">
        <v>0</v>
      </c>
      <c r="N117" t="n">
        <v>0</v>
      </c>
      <c r="O117" t="n">
        <v>1</v>
      </c>
      <c r="P117" t="n">
        <v>0</v>
      </c>
      <c r="Q117" t="n">
        <v>1</v>
      </c>
      <c r="R117" s="2" t="inlineStr">
        <is>
          <t>Ullticka</t>
        </is>
      </c>
      <c r="S117">
        <f>HYPERLINK("https://klasma.github.io/Logging_2462/artfynd/A 38421-2022 artfynd.xlsx", "A 38421-2022")</f>
        <v/>
      </c>
      <c r="T117">
        <f>HYPERLINK("https://klasma.github.io/Logging_2462/kartor/A 38421-2022 karta.png", "A 38421-2022")</f>
        <v/>
      </c>
      <c r="V117">
        <f>HYPERLINK("https://klasma.github.io/Logging_2462/klagomål/A 38421-2022 FSC-klagomål.docx", "A 38421-2022")</f>
        <v/>
      </c>
      <c r="W117">
        <f>HYPERLINK("https://klasma.github.io/Logging_2462/klagomålsmail/A 38421-2022 FSC-klagomål mail.docx", "A 38421-2022")</f>
        <v/>
      </c>
      <c r="X117">
        <f>HYPERLINK("https://klasma.github.io/Logging_2462/tillsyn/A 38421-2022 tillsynsbegäran.docx", "A 38421-2022")</f>
        <v/>
      </c>
      <c r="Y117">
        <f>HYPERLINK("https://klasma.github.io/Logging_2462/tillsynsmail/A 38421-2022 tillsynsbegäran mail.docx", "A 38421-2022")</f>
        <v/>
      </c>
    </row>
    <row r="118" ht="15" customHeight="1">
      <c r="A118" t="inlineStr">
        <is>
          <t>A 41483-2022</t>
        </is>
      </c>
      <c r="B118" s="1" t="n">
        <v>44827</v>
      </c>
      <c r="C118" s="1" t="n">
        <v>45258</v>
      </c>
      <c r="D118" t="inlineStr">
        <is>
          <t>VÄSTERBOTTENS LÄN</t>
        </is>
      </c>
      <c r="E118" t="inlineStr">
        <is>
          <t>VILHELMINA</t>
        </is>
      </c>
      <c r="F118" t="inlineStr">
        <is>
          <t>SCA</t>
        </is>
      </c>
      <c r="G118" t="n">
        <v>4.6</v>
      </c>
      <c r="H118" t="n">
        <v>1</v>
      </c>
      <c r="I118" t="n">
        <v>0</v>
      </c>
      <c r="J118" t="n">
        <v>1</v>
      </c>
      <c r="K118" t="n">
        <v>0</v>
      </c>
      <c r="L118" t="n">
        <v>0</v>
      </c>
      <c r="M118" t="n">
        <v>0</v>
      </c>
      <c r="N118" t="n">
        <v>0</v>
      </c>
      <c r="O118" t="n">
        <v>1</v>
      </c>
      <c r="P118" t="n">
        <v>0</v>
      </c>
      <c r="Q118" t="n">
        <v>1</v>
      </c>
      <c r="R118" s="2" t="inlineStr">
        <is>
          <t>Tretåig hackspett</t>
        </is>
      </c>
      <c r="S118">
        <f>HYPERLINK("https://klasma.github.io/Logging_2462/artfynd/A 41483-2022 artfynd.xlsx", "A 41483-2022")</f>
        <v/>
      </c>
      <c r="T118">
        <f>HYPERLINK("https://klasma.github.io/Logging_2462/kartor/A 41483-2022 karta.png", "A 41483-2022")</f>
        <v/>
      </c>
      <c r="V118">
        <f>HYPERLINK("https://klasma.github.io/Logging_2462/klagomål/A 41483-2022 FSC-klagomål.docx", "A 41483-2022")</f>
        <v/>
      </c>
      <c r="W118">
        <f>HYPERLINK("https://klasma.github.io/Logging_2462/klagomålsmail/A 41483-2022 FSC-klagomål mail.docx", "A 41483-2022")</f>
        <v/>
      </c>
      <c r="X118">
        <f>HYPERLINK("https://klasma.github.io/Logging_2462/tillsyn/A 41483-2022 tillsynsbegäran.docx", "A 41483-2022")</f>
        <v/>
      </c>
      <c r="Y118">
        <f>HYPERLINK("https://klasma.github.io/Logging_2462/tillsynsmail/A 41483-2022 tillsynsbegäran mail.docx", "A 41483-2022")</f>
        <v/>
      </c>
    </row>
    <row r="119" ht="15" customHeight="1">
      <c r="A119" t="inlineStr">
        <is>
          <t>A 47251-2022</t>
        </is>
      </c>
      <c r="B119" s="1" t="n">
        <v>44852</v>
      </c>
      <c r="C119" s="1" t="n">
        <v>45258</v>
      </c>
      <c r="D119" t="inlineStr">
        <is>
          <t>VÄSTERBOTTENS LÄN</t>
        </is>
      </c>
      <c r="E119" t="inlineStr">
        <is>
          <t>VILHELMINA</t>
        </is>
      </c>
      <c r="F119" t="inlineStr">
        <is>
          <t>SCA</t>
        </is>
      </c>
      <c r="G119" t="n">
        <v>16.4</v>
      </c>
      <c r="H119" t="n">
        <v>0</v>
      </c>
      <c r="I119" t="n">
        <v>0</v>
      </c>
      <c r="J119" t="n">
        <v>1</v>
      </c>
      <c r="K119" t="n">
        <v>0</v>
      </c>
      <c r="L119" t="n">
        <v>0</v>
      </c>
      <c r="M119" t="n">
        <v>0</v>
      </c>
      <c r="N119" t="n">
        <v>0</v>
      </c>
      <c r="O119" t="n">
        <v>1</v>
      </c>
      <c r="P119" t="n">
        <v>0</v>
      </c>
      <c r="Q119" t="n">
        <v>1</v>
      </c>
      <c r="R119" s="2" t="inlineStr">
        <is>
          <t>Rosenticka</t>
        </is>
      </c>
      <c r="S119">
        <f>HYPERLINK("https://klasma.github.io/Logging_2462/artfynd/A 47251-2022 artfynd.xlsx", "A 47251-2022")</f>
        <v/>
      </c>
      <c r="T119">
        <f>HYPERLINK("https://klasma.github.io/Logging_2462/kartor/A 47251-2022 karta.png", "A 47251-2022")</f>
        <v/>
      </c>
      <c r="V119">
        <f>HYPERLINK("https://klasma.github.io/Logging_2462/klagomål/A 47251-2022 FSC-klagomål.docx", "A 47251-2022")</f>
        <v/>
      </c>
      <c r="W119">
        <f>HYPERLINK("https://klasma.github.io/Logging_2462/klagomålsmail/A 47251-2022 FSC-klagomål mail.docx", "A 47251-2022")</f>
        <v/>
      </c>
      <c r="X119">
        <f>HYPERLINK("https://klasma.github.io/Logging_2462/tillsyn/A 47251-2022 tillsynsbegäran.docx", "A 47251-2022")</f>
        <v/>
      </c>
      <c r="Y119">
        <f>HYPERLINK("https://klasma.github.io/Logging_2462/tillsynsmail/A 47251-2022 tillsynsbegäran mail.docx", "A 47251-2022")</f>
        <v/>
      </c>
    </row>
    <row r="120" ht="15" customHeight="1">
      <c r="A120" t="inlineStr">
        <is>
          <t>A 6604-2023</t>
        </is>
      </c>
      <c r="B120" s="1" t="n">
        <v>44960</v>
      </c>
      <c r="C120" s="1" t="n">
        <v>45258</v>
      </c>
      <c r="D120" t="inlineStr">
        <is>
          <t>VÄSTERBOTTENS LÄN</t>
        </is>
      </c>
      <c r="E120" t="inlineStr">
        <is>
          <t>VILHELMINA</t>
        </is>
      </c>
      <c r="G120" t="n">
        <v>13.4</v>
      </c>
      <c r="H120" t="n">
        <v>0</v>
      </c>
      <c r="I120" t="n">
        <v>1</v>
      </c>
      <c r="J120" t="n">
        <v>0</v>
      </c>
      <c r="K120" t="n">
        <v>0</v>
      </c>
      <c r="L120" t="n">
        <v>0</v>
      </c>
      <c r="M120" t="n">
        <v>0</v>
      </c>
      <c r="N120" t="n">
        <v>0</v>
      </c>
      <c r="O120" t="n">
        <v>0</v>
      </c>
      <c r="P120" t="n">
        <v>0</v>
      </c>
      <c r="Q120" t="n">
        <v>1</v>
      </c>
      <c r="R120" s="2" t="inlineStr">
        <is>
          <t>Luddlav</t>
        </is>
      </c>
      <c r="S120">
        <f>HYPERLINK("https://klasma.github.io/Logging_2462/artfynd/A 6604-2023 artfynd.xlsx", "A 6604-2023")</f>
        <v/>
      </c>
      <c r="T120">
        <f>HYPERLINK("https://klasma.github.io/Logging_2462/kartor/A 6604-2023 karta.png", "A 6604-2023")</f>
        <v/>
      </c>
      <c r="V120">
        <f>HYPERLINK("https://klasma.github.io/Logging_2462/klagomål/A 6604-2023 FSC-klagomål.docx", "A 6604-2023")</f>
        <v/>
      </c>
      <c r="W120">
        <f>HYPERLINK("https://klasma.github.io/Logging_2462/klagomålsmail/A 6604-2023 FSC-klagomål mail.docx", "A 6604-2023")</f>
        <v/>
      </c>
      <c r="X120">
        <f>HYPERLINK("https://klasma.github.io/Logging_2462/tillsyn/A 6604-2023 tillsynsbegäran.docx", "A 6604-2023")</f>
        <v/>
      </c>
      <c r="Y120">
        <f>HYPERLINK("https://klasma.github.io/Logging_2462/tillsynsmail/A 6604-2023 tillsynsbegäran mail.docx", "A 6604-2023")</f>
        <v/>
      </c>
    </row>
    <row r="121" ht="15" customHeight="1">
      <c r="A121" t="inlineStr">
        <is>
          <t>A 6969-2023</t>
        </is>
      </c>
      <c r="B121" s="1" t="n">
        <v>44964</v>
      </c>
      <c r="C121" s="1" t="n">
        <v>45258</v>
      </c>
      <c r="D121" t="inlineStr">
        <is>
          <t>VÄSTERBOTTENS LÄN</t>
        </is>
      </c>
      <c r="E121" t="inlineStr">
        <is>
          <t>VILHELMINA</t>
        </is>
      </c>
      <c r="F121" t="inlineStr">
        <is>
          <t>Allmännings- och besparingsskogar</t>
        </is>
      </c>
      <c r="G121" t="n">
        <v>21.8</v>
      </c>
      <c r="H121" t="n">
        <v>0</v>
      </c>
      <c r="I121" t="n">
        <v>1</v>
      </c>
      <c r="J121" t="n">
        <v>0</v>
      </c>
      <c r="K121" t="n">
        <v>0</v>
      </c>
      <c r="L121" t="n">
        <v>0</v>
      </c>
      <c r="M121" t="n">
        <v>0</v>
      </c>
      <c r="N121" t="n">
        <v>0</v>
      </c>
      <c r="O121" t="n">
        <v>0</v>
      </c>
      <c r="P121" t="n">
        <v>0</v>
      </c>
      <c r="Q121" t="n">
        <v>1</v>
      </c>
      <c r="R121" s="2" t="inlineStr">
        <is>
          <t>Gulnål</t>
        </is>
      </c>
      <c r="S121">
        <f>HYPERLINK("https://klasma.github.io/Logging_2462/artfynd/A 6969-2023 artfynd.xlsx", "A 6969-2023")</f>
        <v/>
      </c>
      <c r="T121">
        <f>HYPERLINK("https://klasma.github.io/Logging_2462/kartor/A 6969-2023 karta.png", "A 6969-2023")</f>
        <v/>
      </c>
      <c r="V121">
        <f>HYPERLINK("https://klasma.github.io/Logging_2462/klagomål/A 6969-2023 FSC-klagomål.docx", "A 6969-2023")</f>
        <v/>
      </c>
      <c r="W121">
        <f>HYPERLINK("https://klasma.github.io/Logging_2462/klagomålsmail/A 6969-2023 FSC-klagomål mail.docx", "A 6969-2023")</f>
        <v/>
      </c>
      <c r="X121">
        <f>HYPERLINK("https://klasma.github.io/Logging_2462/tillsyn/A 6969-2023 tillsynsbegäran.docx", "A 6969-2023")</f>
        <v/>
      </c>
      <c r="Y121">
        <f>HYPERLINK("https://klasma.github.io/Logging_2462/tillsynsmail/A 6969-2023 tillsynsbegäran mail.docx", "A 6969-2023")</f>
        <v/>
      </c>
    </row>
    <row r="122" ht="15" customHeight="1">
      <c r="A122" t="inlineStr">
        <is>
          <t>A 9249-2023</t>
        </is>
      </c>
      <c r="B122" s="1" t="n">
        <v>44972</v>
      </c>
      <c r="C122" s="1" t="n">
        <v>45258</v>
      </c>
      <c r="D122" t="inlineStr">
        <is>
          <t>VÄSTERBOTTENS LÄN</t>
        </is>
      </c>
      <c r="E122" t="inlineStr">
        <is>
          <t>VILHELMINA</t>
        </is>
      </c>
      <c r="F122" t="inlineStr">
        <is>
          <t>Allmännings- och besparingsskogar</t>
        </is>
      </c>
      <c r="G122" t="n">
        <v>18</v>
      </c>
      <c r="H122" t="n">
        <v>1</v>
      </c>
      <c r="I122" t="n">
        <v>0</v>
      </c>
      <c r="J122" t="n">
        <v>1</v>
      </c>
      <c r="K122" t="n">
        <v>0</v>
      </c>
      <c r="L122" t="n">
        <v>0</v>
      </c>
      <c r="M122" t="n">
        <v>0</v>
      </c>
      <c r="N122" t="n">
        <v>0</v>
      </c>
      <c r="O122" t="n">
        <v>1</v>
      </c>
      <c r="P122" t="n">
        <v>0</v>
      </c>
      <c r="Q122" t="n">
        <v>1</v>
      </c>
      <c r="R122" s="2" t="inlineStr">
        <is>
          <t>Tretåig hackspett</t>
        </is>
      </c>
      <c r="S122">
        <f>HYPERLINK("https://klasma.github.io/Logging_2462/artfynd/A 9249-2023 artfynd.xlsx", "A 9249-2023")</f>
        <v/>
      </c>
      <c r="T122">
        <f>HYPERLINK("https://klasma.github.io/Logging_2462/kartor/A 9249-2023 karta.png", "A 9249-2023")</f>
        <v/>
      </c>
      <c r="V122">
        <f>HYPERLINK("https://klasma.github.io/Logging_2462/klagomål/A 9249-2023 FSC-klagomål.docx", "A 9249-2023")</f>
        <v/>
      </c>
      <c r="W122">
        <f>HYPERLINK("https://klasma.github.io/Logging_2462/klagomålsmail/A 9249-2023 FSC-klagomål mail.docx", "A 9249-2023")</f>
        <v/>
      </c>
      <c r="X122">
        <f>HYPERLINK("https://klasma.github.io/Logging_2462/tillsyn/A 9249-2023 tillsynsbegäran.docx", "A 9249-2023")</f>
        <v/>
      </c>
      <c r="Y122">
        <f>HYPERLINK("https://klasma.github.io/Logging_2462/tillsynsmail/A 9249-2023 tillsynsbegäran mail.docx", "A 9249-2023")</f>
        <v/>
      </c>
    </row>
    <row r="123" ht="15" customHeight="1">
      <c r="A123" t="inlineStr">
        <is>
          <t>A 11832-2023</t>
        </is>
      </c>
      <c r="B123" s="1" t="n">
        <v>44994</v>
      </c>
      <c r="C123" s="1" t="n">
        <v>45258</v>
      </c>
      <c r="D123" t="inlineStr">
        <is>
          <t>VÄSTERBOTTENS LÄN</t>
        </is>
      </c>
      <c r="E123" t="inlineStr">
        <is>
          <t>VILHELMINA</t>
        </is>
      </c>
      <c r="F123" t="inlineStr">
        <is>
          <t>SCA</t>
        </is>
      </c>
      <c r="G123" t="n">
        <v>6.7</v>
      </c>
      <c r="H123" t="n">
        <v>0</v>
      </c>
      <c r="I123" t="n">
        <v>0</v>
      </c>
      <c r="J123" t="n">
        <v>1</v>
      </c>
      <c r="K123" t="n">
        <v>0</v>
      </c>
      <c r="L123" t="n">
        <v>0</v>
      </c>
      <c r="M123" t="n">
        <v>0</v>
      </c>
      <c r="N123" t="n">
        <v>0</v>
      </c>
      <c r="O123" t="n">
        <v>1</v>
      </c>
      <c r="P123" t="n">
        <v>0</v>
      </c>
      <c r="Q123" t="n">
        <v>1</v>
      </c>
      <c r="R123" s="2" t="inlineStr">
        <is>
          <t>Granticka</t>
        </is>
      </c>
      <c r="S123">
        <f>HYPERLINK("https://klasma.github.io/Logging_2462/artfynd/A 11832-2023 artfynd.xlsx", "A 11832-2023")</f>
        <v/>
      </c>
      <c r="T123">
        <f>HYPERLINK("https://klasma.github.io/Logging_2462/kartor/A 11832-2023 karta.png", "A 11832-2023")</f>
        <v/>
      </c>
      <c r="V123">
        <f>HYPERLINK("https://klasma.github.io/Logging_2462/klagomål/A 11832-2023 FSC-klagomål.docx", "A 11832-2023")</f>
        <v/>
      </c>
      <c r="W123">
        <f>HYPERLINK("https://klasma.github.io/Logging_2462/klagomålsmail/A 11832-2023 FSC-klagomål mail.docx", "A 11832-2023")</f>
        <v/>
      </c>
      <c r="X123">
        <f>HYPERLINK("https://klasma.github.io/Logging_2462/tillsyn/A 11832-2023 tillsynsbegäran.docx", "A 11832-2023")</f>
        <v/>
      </c>
      <c r="Y123">
        <f>HYPERLINK("https://klasma.github.io/Logging_2462/tillsynsmail/A 11832-2023 tillsynsbegäran mail.docx", "A 11832-2023")</f>
        <v/>
      </c>
    </row>
    <row r="124" ht="15" customHeight="1">
      <c r="A124" t="inlineStr">
        <is>
          <t>A 29317-2023</t>
        </is>
      </c>
      <c r="B124" s="1" t="n">
        <v>45105</v>
      </c>
      <c r="C124" s="1" t="n">
        <v>45258</v>
      </c>
      <c r="D124" t="inlineStr">
        <is>
          <t>VÄSTERBOTTENS LÄN</t>
        </is>
      </c>
      <c r="E124" t="inlineStr">
        <is>
          <t>VILHELMINA</t>
        </is>
      </c>
      <c r="F124" t="inlineStr">
        <is>
          <t>SCA</t>
        </is>
      </c>
      <c r="G124" t="n">
        <v>18.8</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29317-2023 artfynd.xlsx", "A 29317-2023")</f>
        <v/>
      </c>
      <c r="T124">
        <f>HYPERLINK("https://klasma.github.io/Logging_2462/kartor/A 29317-2023 karta.png", "A 29317-2023")</f>
        <v/>
      </c>
      <c r="V124">
        <f>HYPERLINK("https://klasma.github.io/Logging_2462/klagomål/A 29317-2023 FSC-klagomål.docx", "A 29317-2023")</f>
        <v/>
      </c>
      <c r="W124">
        <f>HYPERLINK("https://klasma.github.io/Logging_2462/klagomålsmail/A 29317-2023 FSC-klagomål mail.docx", "A 29317-2023")</f>
        <v/>
      </c>
      <c r="X124">
        <f>HYPERLINK("https://klasma.github.io/Logging_2462/tillsyn/A 29317-2023 tillsynsbegäran.docx", "A 29317-2023")</f>
        <v/>
      </c>
      <c r="Y124">
        <f>HYPERLINK("https://klasma.github.io/Logging_2462/tillsynsmail/A 29317-2023 tillsynsbegäran mail.docx", "A 29317-2023")</f>
        <v/>
      </c>
    </row>
    <row r="125" ht="15" customHeight="1">
      <c r="A125" t="inlineStr">
        <is>
          <t>A 39919-2023</t>
        </is>
      </c>
      <c r="B125" s="1" t="n">
        <v>45166</v>
      </c>
      <c r="C125" s="1" t="n">
        <v>45258</v>
      </c>
      <c r="D125" t="inlineStr">
        <is>
          <t>VÄSTERBOTTENS LÄN</t>
        </is>
      </c>
      <c r="E125" t="inlineStr">
        <is>
          <t>VILHELMINA</t>
        </is>
      </c>
      <c r="G125" t="n">
        <v>22.2</v>
      </c>
      <c r="H125" t="n">
        <v>1</v>
      </c>
      <c r="I125" t="n">
        <v>0</v>
      </c>
      <c r="J125" t="n">
        <v>1</v>
      </c>
      <c r="K125" t="n">
        <v>0</v>
      </c>
      <c r="L125" t="n">
        <v>0</v>
      </c>
      <c r="M125" t="n">
        <v>0</v>
      </c>
      <c r="N125" t="n">
        <v>0</v>
      </c>
      <c r="O125" t="n">
        <v>1</v>
      </c>
      <c r="P125" t="n">
        <v>0</v>
      </c>
      <c r="Q125" t="n">
        <v>1</v>
      </c>
      <c r="R125" s="2" t="inlineStr">
        <is>
          <t>Utter</t>
        </is>
      </c>
      <c r="S125">
        <f>HYPERLINK("https://klasma.github.io/Logging_2462/artfynd/A 39919-2023 artfynd.xlsx", "A 39919-2023")</f>
        <v/>
      </c>
      <c r="T125">
        <f>HYPERLINK("https://klasma.github.io/Logging_2462/kartor/A 39919-2023 karta.png", "A 39919-2023")</f>
        <v/>
      </c>
      <c r="V125">
        <f>HYPERLINK("https://klasma.github.io/Logging_2462/klagomål/A 39919-2023 FSC-klagomål.docx", "A 39919-2023")</f>
        <v/>
      </c>
      <c r="W125">
        <f>HYPERLINK("https://klasma.github.io/Logging_2462/klagomålsmail/A 39919-2023 FSC-klagomål mail.docx", "A 39919-2023")</f>
        <v/>
      </c>
      <c r="X125">
        <f>HYPERLINK("https://klasma.github.io/Logging_2462/tillsyn/A 39919-2023 tillsynsbegäran.docx", "A 39919-2023")</f>
        <v/>
      </c>
      <c r="Y125">
        <f>HYPERLINK("https://klasma.github.io/Logging_2462/tillsynsmail/A 39919-2023 tillsynsbegäran mail.docx", "A 39919-2023")</f>
        <v/>
      </c>
    </row>
    <row r="126" ht="15" customHeight="1">
      <c r="A126" t="inlineStr">
        <is>
          <t>A 56247-2023</t>
        </is>
      </c>
      <c r="B126" s="1" t="n">
        <v>45240</v>
      </c>
      <c r="C126" s="1" t="n">
        <v>45258</v>
      </c>
      <c r="D126" t="inlineStr">
        <is>
          <t>VÄSTERBOTTENS LÄN</t>
        </is>
      </c>
      <c r="E126" t="inlineStr">
        <is>
          <t>VILHELMINA</t>
        </is>
      </c>
      <c r="F126" t="inlineStr">
        <is>
          <t>SCA</t>
        </is>
      </c>
      <c r="G126" t="n">
        <v>1.3</v>
      </c>
      <c r="H126" t="n">
        <v>0</v>
      </c>
      <c r="I126" t="n">
        <v>0</v>
      </c>
      <c r="J126" t="n">
        <v>1</v>
      </c>
      <c r="K126" t="n">
        <v>0</v>
      </c>
      <c r="L126" t="n">
        <v>0</v>
      </c>
      <c r="M126" t="n">
        <v>0</v>
      </c>
      <c r="N126" t="n">
        <v>0</v>
      </c>
      <c r="O126" t="n">
        <v>1</v>
      </c>
      <c r="P126" t="n">
        <v>0</v>
      </c>
      <c r="Q126" t="n">
        <v>1</v>
      </c>
      <c r="R126" s="2" t="inlineStr">
        <is>
          <t>Harticka</t>
        </is>
      </c>
      <c r="S126">
        <f>HYPERLINK("https://klasma.github.io/Logging_2462/artfynd/A 56247-2023 artfynd.xlsx", "A 56247-2023")</f>
        <v/>
      </c>
      <c r="T126">
        <f>HYPERLINK("https://klasma.github.io/Logging_2462/kartor/A 56247-2023 karta.png", "A 56247-2023")</f>
        <v/>
      </c>
      <c r="V126">
        <f>HYPERLINK("https://klasma.github.io/Logging_2462/klagomål/A 56247-2023 FSC-klagomål.docx", "A 56247-2023")</f>
        <v/>
      </c>
      <c r="W126">
        <f>HYPERLINK("https://klasma.github.io/Logging_2462/klagomålsmail/A 56247-2023 FSC-klagomål mail.docx", "A 56247-2023")</f>
        <v/>
      </c>
      <c r="X126">
        <f>HYPERLINK("https://klasma.github.io/Logging_2462/tillsyn/A 56247-2023 tillsynsbegäran.docx", "A 56247-2023")</f>
        <v/>
      </c>
      <c r="Y126">
        <f>HYPERLINK("https://klasma.github.io/Logging_2462/tillsynsmail/A 56247-2023 tillsynsbegäran mail.docx", "A 56247-2023")</f>
        <v/>
      </c>
    </row>
    <row r="127" ht="15" customHeight="1">
      <c r="A127" t="inlineStr">
        <is>
          <t>A 37057-2018</t>
        </is>
      </c>
      <c r="B127" s="1" t="n">
        <v>43332</v>
      </c>
      <c r="C127" s="1" t="n">
        <v>45258</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45258</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45258</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45258</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45258</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45258</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45258</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45258</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45258</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45258</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45258</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45258</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45258</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45258</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45258</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45258</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45258</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45258</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45258</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45258</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45258</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45258</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45258</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45258</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45258</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45258</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45258</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45258</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45258</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45258</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45258</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45258</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45258</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45258</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45258</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45258</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45258</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45258</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45258</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45258</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45258</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45258</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45258</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45258</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45258</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45258</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45258</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45258</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45258</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45258</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45258</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45258</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45258</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45258</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45258</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45258</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45258</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45258</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45258</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45258</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45258</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45258</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45258</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45258</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45258</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45258</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45258</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45258</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45258</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45258</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45258</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45258</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45258</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45258</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45258</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45258</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45258</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45258</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45258</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45258</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45258</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45258</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45258</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45258</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45258</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45258</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45258</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45258</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45258</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45258</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45258</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45258</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45258</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45258</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45258</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45258</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45258</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45258</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45258</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45258</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45258</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45258</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45258</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45258</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45258</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45258</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45258</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45258</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45258</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45258</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45258</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45258</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45258</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45258</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45258</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45258</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45258</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45258</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45258</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45258</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45258</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45258</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45258</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45258</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45258</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45258</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45258</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45258</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45258</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45258</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45258</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45258</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45258</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45258</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45258</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45258</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45258</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45258</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45258</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45258</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45258</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45258</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45258</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45258</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45258</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45258</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45258</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45258</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45258</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45258</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45258</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45258</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45258</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45258</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45258</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45258</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45258</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45258</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45258</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45258</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45258</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45258</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45258</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45258</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45258</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45258</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45258</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45258</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45258</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45258</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45258</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45258</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45258</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45258</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45258</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45258</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45258</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45258</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45258</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45258</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45258</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45258</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45258</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45258</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45258</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45258</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45258</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45258</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45258</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45258</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45258</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45258</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45258</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45258</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45258</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45258</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45258</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45258</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45258</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45258</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45258</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45258</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45258</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45258</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45258</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45258</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45258</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45258</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45258</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45258</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45258</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45258</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45258</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45258</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45258</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45258</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45258</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45258</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45258</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45258</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45258</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45258</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45258</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45258</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45258</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45258</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45258</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45258</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45258</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45258</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45258</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45258</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45258</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45258</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45258</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45258</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45258</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45258</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45258</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45258</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45258</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45258</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45258</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45258</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45258</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45258</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45258</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45258</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45258</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45258</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45258</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45258</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45258</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45258</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45258</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45258</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45258</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45258</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45258</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45258</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45258</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45258</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45258</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45258</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45258</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45258</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45258</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45258</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45258</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45258</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45258</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45258</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45258</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45258</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45258</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45258</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45258</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45258</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45258</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45258</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45258</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45258</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45258</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45258</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45258</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45258</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45258</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45258</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45258</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45258</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45258</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45258</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45258</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45258</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45258</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45258</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45258</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45258</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45258</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45258</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45258</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45258</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45258</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45258</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45258</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45258</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45258</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45258</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45258</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45258</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45258</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45258</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45258</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45258</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45258</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45258</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45258</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45258</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45258</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45258</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45258</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45258</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45258</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45258</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45258</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45258</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45258</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45258</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45258</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45258</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45258</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45258</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45258</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45258</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45258</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45258</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45258</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45258</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45258</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45258</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45258</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45258</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45258</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45258</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45258</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45258</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45258</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45258</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45258</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45258</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45258</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45258</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45258</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45258</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45258</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45258</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45258</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45258</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45258</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45258</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45258</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45258</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45258</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45258</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45258</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45258</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45258</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45258</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45258</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45258</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45258</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45258</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45258</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45258</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45258</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45258</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45258</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45258</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45258</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45258</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45258</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45258</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45258</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45258</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45258</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45258</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45258</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45258</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45258</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45258</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45258</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45258</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45258</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45258</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45258</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45258</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45258</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45258</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45258</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45258</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45258</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45258</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45258</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45258</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45258</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45258</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45258</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45258</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45258</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45258</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45258</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45258</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45258</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45258</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45258</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45258</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45258</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45258</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45258</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45258</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45258</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45258</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45258</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45258</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45258</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45258</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45258</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45258</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45258</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45258</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45258</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45258</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45258</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45258</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45258</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45258</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45258</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45258</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45258</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45258</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45258</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45258</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45258</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45258</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45258</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45258</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45258</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45258</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45258</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45258</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45258</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45258</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45258</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45258</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45258</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45258</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45258</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45258</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45258</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45258</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45258</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45258</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45258</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45258</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45258</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45258</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45258</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45258</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45258</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45258</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45258</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45258</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45258</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45258</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45258</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45258</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45258</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45258</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45258</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45258</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45258</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45258</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45258</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45258</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45258</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45258</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45258</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45258</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45258</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45258</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45258</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45258</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45258</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45258</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45258</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45258</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45258</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45258</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45258</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45258</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45258</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45258</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45258</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45258</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45258</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45258</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45258</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45258</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45258</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45258</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45258</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45258</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45258</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45258</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45258</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45258</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45258</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45258</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45258</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45258</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45258</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45258</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45258</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45258</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45258</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45258</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45258</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45258</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45258</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45258</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45258</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45258</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45258</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45258</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45258</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45258</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45258</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45258</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45258</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45258</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45258</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45258</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45258</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45258</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45258</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45258</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45258</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45258</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45258</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45258</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45258</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45258</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45258</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45258</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45258</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45258</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45258</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45258</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45258</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45258</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45258</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45258</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45258</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45258</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45258</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45258</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45258</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45258</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45258</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45258</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45258</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45258</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45258</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45258</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45258</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45258</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45258</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45258</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45258</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45258</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45258</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45258</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45258</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45258</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45258</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45258</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45258</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45258</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45258</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45258</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45258</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45258</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45258</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45258</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45258</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45258</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45258</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45258</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45258</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45258</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45258</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45258</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45258</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45258</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45258</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45258</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45258</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45258</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45258</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45258</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45258</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45258</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45258</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45258</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45258</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45258</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45258</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45258</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45258</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45258</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45258</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45258</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45258</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45258</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45258</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45258</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45258</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45258</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45258</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45258</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45258</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45258</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45258</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45258</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45258</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45258</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45258</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45258</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45258</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45258</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45258</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45258</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45258</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45258</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45258</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45258</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45258</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45258</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45258</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45258</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45258</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45258</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45258</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45258</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45258</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45258</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45258</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45258</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45258</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45258</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45258</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45258</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45258</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45258</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45258</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45258</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45258</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45258</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45258</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45258</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45258</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45258</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45258</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45258</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45258</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45258</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45258</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45258</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45258</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45258</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45258</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45258</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45258</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45258</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45258</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45258</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45258</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45258</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45258</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45258</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45258</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45258</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45258</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45258</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45258</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45258</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45258</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45258</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45258</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45258</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45258</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45258</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45258</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45258</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45258</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45258</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45258</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45258</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45258</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45258</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45258</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45258</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45258</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45258</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45258</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45258</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45258</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45258</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45258</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45258</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45258</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45258</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45258</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45258</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45258</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45258</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45258</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45258</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45258</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45258</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45258</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45258</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45258</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45258</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45258</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45258</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45258</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45258</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45258</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45258</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45258</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45258</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45258</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45258</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45258</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45258</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45258</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45258</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45258</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45258</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45258</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45258</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45258</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45258</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45258</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45258</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45258</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45258</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45258</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45258</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45258</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45258</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45258</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45258</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45258</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45258</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45258</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45258</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45258</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45258</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45258</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45258</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45258</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45258</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45258</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45258</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45258</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45258</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45258</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45258</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45258</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45258</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45258</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45258</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45258</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45258</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45258</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45258</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45258</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45258</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45258</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45258</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45258</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45258</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45258</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45258</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45258</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45258</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45258</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45258</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45258</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45258</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45258</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45258</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45258</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45258</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45258</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45258</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45258</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45258</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45258</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45258</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45258</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45258</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45258</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45258</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45258</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45258</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45258</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45258</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45258</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45258</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45258</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45258</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45258</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45258</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45258</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45258</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45258</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45258</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45258</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45258</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45258</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45258</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45258</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45258</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45258</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45258</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45258</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45258</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45258</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45258</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45258</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45258</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45258</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45258</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45258</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45258</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45258</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45258</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45258</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45258</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45258</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45258</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45258</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45258</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45258</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45258</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45258</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55706-2023</t>
        </is>
      </c>
      <c r="B986" s="1" t="n">
        <v>45232</v>
      </c>
      <c r="C986" s="1" t="n">
        <v>45258</v>
      </c>
      <c r="D986" t="inlineStr">
        <is>
          <t>VÄSTERBOTTENS LÄN</t>
        </is>
      </c>
      <c r="E986" t="inlineStr">
        <is>
          <t>VILHELMINA</t>
        </is>
      </c>
      <c r="G986" t="n">
        <v>17.3</v>
      </c>
      <c r="H986" t="n">
        <v>0</v>
      </c>
      <c r="I986" t="n">
        <v>0</v>
      </c>
      <c r="J986" t="n">
        <v>0</v>
      </c>
      <c r="K986" t="n">
        <v>0</v>
      </c>
      <c r="L986" t="n">
        <v>0</v>
      </c>
      <c r="M986" t="n">
        <v>0</v>
      </c>
      <c r="N986" t="n">
        <v>0</v>
      </c>
      <c r="O986" t="n">
        <v>0</v>
      </c>
      <c r="P986" t="n">
        <v>0</v>
      </c>
      <c r="Q986" t="n">
        <v>0</v>
      </c>
      <c r="R986" s="2" t="inlineStr"/>
    </row>
    <row r="987" ht="15" customHeight="1">
      <c r="A987" t="inlineStr">
        <is>
          <t>A 55714-2023</t>
        </is>
      </c>
      <c r="B987" s="1" t="n">
        <v>45232</v>
      </c>
      <c r="C987" s="1" t="n">
        <v>45258</v>
      </c>
      <c r="D987" t="inlineStr">
        <is>
          <t>VÄSTERBOTTENS LÄN</t>
        </is>
      </c>
      <c r="E987" t="inlineStr">
        <is>
          <t>VILHELMINA</t>
        </is>
      </c>
      <c r="G987" t="n">
        <v>1.8</v>
      </c>
      <c r="H987" t="n">
        <v>0</v>
      </c>
      <c r="I987" t="n">
        <v>0</v>
      </c>
      <c r="J987" t="n">
        <v>0</v>
      </c>
      <c r="K987" t="n">
        <v>0</v>
      </c>
      <c r="L987" t="n">
        <v>0</v>
      </c>
      <c r="M987" t="n">
        <v>0</v>
      </c>
      <c r="N987" t="n">
        <v>0</v>
      </c>
      <c r="O987" t="n">
        <v>0</v>
      </c>
      <c r="P987" t="n">
        <v>0</v>
      </c>
      <c r="Q987" t="n">
        <v>0</v>
      </c>
      <c r="R987" s="2" t="inlineStr"/>
    </row>
    <row r="988" ht="15" customHeight="1">
      <c r="A988" t="inlineStr">
        <is>
          <t>A 55688-2023</t>
        </is>
      </c>
      <c r="B988" s="1" t="n">
        <v>45232</v>
      </c>
      <c r="C988" s="1" t="n">
        <v>45258</v>
      </c>
      <c r="D988" t="inlineStr">
        <is>
          <t>VÄSTERBOTTENS LÄN</t>
        </is>
      </c>
      <c r="E988" t="inlineStr">
        <is>
          <t>VILHELMINA</t>
        </is>
      </c>
      <c r="G988" t="n">
        <v>6.4</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45258</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54981-2023</t>
        </is>
      </c>
      <c r="B990" s="1" t="n">
        <v>45237</v>
      </c>
      <c r="C990" s="1" t="n">
        <v>45258</v>
      </c>
      <c r="D990" t="inlineStr">
        <is>
          <t>VÄSTERBOTTENS LÄN</t>
        </is>
      </c>
      <c r="E990" t="inlineStr">
        <is>
          <t>VILHELMINA</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54985-2023</t>
        </is>
      </c>
      <c r="B991" s="1" t="n">
        <v>45236</v>
      </c>
      <c r="C991" s="1" t="n">
        <v>45258</v>
      </c>
      <c r="D991" t="inlineStr">
        <is>
          <t>VÄSTERBOTTENS LÄN</t>
        </is>
      </c>
      <c r="E991" t="inlineStr">
        <is>
          <t>VILHELMINA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45258</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45258</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54733-2023</t>
        </is>
      </c>
      <c r="B994" s="1" t="n">
        <v>45236</v>
      </c>
      <c r="C994" s="1" t="n">
        <v>45258</v>
      </c>
      <c r="D994" t="inlineStr">
        <is>
          <t>VÄSTERBOTTENS LÄN</t>
        </is>
      </c>
      <c r="E994" t="inlineStr">
        <is>
          <t>VILHELMINA</t>
        </is>
      </c>
      <c r="F994" t="inlineStr">
        <is>
          <t>Sveaskog</t>
        </is>
      </c>
      <c r="G994" t="n">
        <v>7.1</v>
      </c>
      <c r="H994" t="n">
        <v>0</v>
      </c>
      <c r="I994" t="n">
        <v>0</v>
      </c>
      <c r="J994" t="n">
        <v>0</v>
      </c>
      <c r="K994" t="n">
        <v>0</v>
      </c>
      <c r="L994" t="n">
        <v>0</v>
      </c>
      <c r="M994" t="n">
        <v>0</v>
      </c>
      <c r="N994" t="n">
        <v>0</v>
      </c>
      <c r="O994" t="n">
        <v>0</v>
      </c>
      <c r="P994" t="n">
        <v>0</v>
      </c>
      <c r="Q994" t="n">
        <v>0</v>
      </c>
      <c r="R994" s="2" t="inlineStr"/>
    </row>
    <row r="995" ht="15" customHeight="1">
      <c r="A995" t="inlineStr">
        <is>
          <t>A 55327-2023</t>
        </is>
      </c>
      <c r="B995" s="1" t="n">
        <v>45238</v>
      </c>
      <c r="C995" s="1" t="n">
        <v>45258</v>
      </c>
      <c r="D995" t="inlineStr">
        <is>
          <t>VÄSTERBOTTENS LÄN</t>
        </is>
      </c>
      <c r="E995" t="inlineStr">
        <is>
          <t>VILHELMINA</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55335-2023</t>
        </is>
      </c>
      <c r="B996" s="1" t="n">
        <v>45238</v>
      </c>
      <c r="C996" s="1" t="n">
        <v>45258</v>
      </c>
      <c r="D996" t="inlineStr">
        <is>
          <t>VÄSTERBOTTENS LÄN</t>
        </is>
      </c>
      <c r="E996" t="inlineStr">
        <is>
          <t>VILHELMINA</t>
        </is>
      </c>
      <c r="F996" t="inlineStr">
        <is>
          <t>SCA</t>
        </is>
      </c>
      <c r="G996" t="n">
        <v>5.3</v>
      </c>
      <c r="H996" t="n">
        <v>0</v>
      </c>
      <c r="I996" t="n">
        <v>0</v>
      </c>
      <c r="J996" t="n">
        <v>0</v>
      </c>
      <c r="K996" t="n">
        <v>0</v>
      </c>
      <c r="L996" t="n">
        <v>0</v>
      </c>
      <c r="M996" t="n">
        <v>0</v>
      </c>
      <c r="N996" t="n">
        <v>0</v>
      </c>
      <c r="O996" t="n">
        <v>0</v>
      </c>
      <c r="P996" t="n">
        <v>0</v>
      </c>
      <c r="Q996" t="n">
        <v>0</v>
      </c>
      <c r="R996" s="2" t="inlineStr"/>
    </row>
    <row r="997" ht="15" customHeight="1">
      <c r="A997" t="inlineStr">
        <is>
          <t>A 55325-2023</t>
        </is>
      </c>
      <c r="B997" s="1" t="n">
        <v>45237</v>
      </c>
      <c r="C997" s="1" t="n">
        <v>45258</v>
      </c>
      <c r="D997" t="inlineStr">
        <is>
          <t>VÄSTERBOTTENS LÄN</t>
        </is>
      </c>
      <c r="E997" t="inlineStr">
        <is>
          <t>VILHELMINA</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55326-2023</t>
        </is>
      </c>
      <c r="B998" s="1" t="n">
        <v>45238</v>
      </c>
      <c r="C998" s="1" t="n">
        <v>45258</v>
      </c>
      <c r="D998" t="inlineStr">
        <is>
          <t>VÄSTERBOTTENS LÄN</t>
        </is>
      </c>
      <c r="E998" t="inlineStr">
        <is>
          <t>VILHELMINA</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55643-2023</t>
        </is>
      </c>
      <c r="B999" s="1" t="n">
        <v>45238</v>
      </c>
      <c r="C999" s="1" t="n">
        <v>45258</v>
      </c>
      <c r="D999" t="inlineStr">
        <is>
          <t>VÄSTERBOTTENS LÄN</t>
        </is>
      </c>
      <c r="E999" t="inlineStr">
        <is>
          <t>VILHELMINA</t>
        </is>
      </c>
      <c r="G999" t="n">
        <v>23.1</v>
      </c>
      <c r="H999" t="n">
        <v>0</v>
      </c>
      <c r="I999" t="n">
        <v>0</v>
      </c>
      <c r="J999" t="n">
        <v>0</v>
      </c>
      <c r="K999" t="n">
        <v>0</v>
      </c>
      <c r="L999" t="n">
        <v>0</v>
      </c>
      <c r="M999" t="n">
        <v>0</v>
      </c>
      <c r="N999" t="n">
        <v>0</v>
      </c>
      <c r="O999" t="n">
        <v>0</v>
      </c>
      <c r="P999" t="n">
        <v>0</v>
      </c>
      <c r="Q999" t="n">
        <v>0</v>
      </c>
      <c r="R999" s="2" t="inlineStr"/>
    </row>
    <row r="1000" ht="15" customHeight="1">
      <c r="A1000" t="inlineStr">
        <is>
          <t>A 56747-2023</t>
        </is>
      </c>
      <c r="B1000" s="1" t="n">
        <v>45238</v>
      </c>
      <c r="C1000" s="1" t="n">
        <v>45258</v>
      </c>
      <c r="D1000" t="inlineStr">
        <is>
          <t>VÄSTERBOTTENS LÄN</t>
        </is>
      </c>
      <c r="E1000" t="inlineStr">
        <is>
          <t>VILHELMINA</t>
        </is>
      </c>
      <c r="F1000" t="inlineStr">
        <is>
          <t>Allmännings- och besparingsskogar</t>
        </is>
      </c>
      <c r="G1000" t="n">
        <v>16.2</v>
      </c>
      <c r="H1000" t="n">
        <v>0</v>
      </c>
      <c r="I1000" t="n">
        <v>0</v>
      </c>
      <c r="J1000" t="n">
        <v>0</v>
      </c>
      <c r="K1000" t="n">
        <v>0</v>
      </c>
      <c r="L1000" t="n">
        <v>0</v>
      </c>
      <c r="M1000" t="n">
        <v>0</v>
      </c>
      <c r="N1000" t="n">
        <v>0</v>
      </c>
      <c r="O1000" t="n">
        <v>0</v>
      </c>
      <c r="P1000" t="n">
        <v>0</v>
      </c>
      <c r="Q1000" t="n">
        <v>0</v>
      </c>
      <c r="R1000" s="2" t="inlineStr"/>
    </row>
    <row r="1001" ht="15" customHeight="1">
      <c r="A1001" t="inlineStr">
        <is>
          <t>A 56754-2023</t>
        </is>
      </c>
      <c r="B1001" s="1" t="n">
        <v>45238</v>
      </c>
      <c r="C1001" s="1" t="n">
        <v>45258</v>
      </c>
      <c r="D1001" t="inlineStr">
        <is>
          <t>VÄSTERBOTTENS LÄN</t>
        </is>
      </c>
      <c r="E1001" t="inlineStr">
        <is>
          <t>VILHELMINA</t>
        </is>
      </c>
      <c r="F1001" t="inlineStr">
        <is>
          <t>Allmännings- och besparingsskogar</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56763-2023</t>
        </is>
      </c>
      <c r="B1002" s="1" t="n">
        <v>45238</v>
      </c>
      <c r="C1002" s="1" t="n">
        <v>45258</v>
      </c>
      <c r="D1002" t="inlineStr">
        <is>
          <t>VÄSTERBOTTENS LÄN</t>
        </is>
      </c>
      <c r="E1002" t="inlineStr">
        <is>
          <t>VILHELMINA</t>
        </is>
      </c>
      <c r="F1002" t="inlineStr">
        <is>
          <t>Allmännings- och besparingsskogar</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56823-2023</t>
        </is>
      </c>
      <c r="B1003" s="1" t="n">
        <v>45238</v>
      </c>
      <c r="C1003" s="1" t="n">
        <v>45258</v>
      </c>
      <c r="D1003" t="inlineStr">
        <is>
          <t>VÄSTERBOTTENS LÄN</t>
        </is>
      </c>
      <c r="E1003" t="inlineStr">
        <is>
          <t>VILHELMINA</t>
        </is>
      </c>
      <c r="F1003" t="inlineStr">
        <is>
          <t>Allmännings- och besparingsskogar</t>
        </is>
      </c>
      <c r="G1003" t="n">
        <v>81.40000000000001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56847-2023</t>
        </is>
      </c>
      <c r="B1004" s="1" t="n">
        <v>45238</v>
      </c>
      <c r="C1004" s="1" t="n">
        <v>45258</v>
      </c>
      <c r="D1004" t="inlineStr">
        <is>
          <t>VÄSTERBOTTENS LÄN</t>
        </is>
      </c>
      <c r="E1004" t="inlineStr">
        <is>
          <t>VILHELMINA</t>
        </is>
      </c>
      <c r="F1004" t="inlineStr">
        <is>
          <t>Allmännings- och besparingsskogar</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56758-2023</t>
        </is>
      </c>
      <c r="B1005" s="1" t="n">
        <v>45238</v>
      </c>
      <c r="C1005" s="1" t="n">
        <v>45258</v>
      </c>
      <c r="D1005" t="inlineStr">
        <is>
          <t>VÄSTERBOTTENS LÄN</t>
        </is>
      </c>
      <c r="E1005" t="inlineStr">
        <is>
          <t>VILHELMINA</t>
        </is>
      </c>
      <c r="F1005" t="inlineStr">
        <is>
          <t>Allmännings- och besparingsskogar</t>
        </is>
      </c>
      <c r="G1005" t="n">
        <v>371.4</v>
      </c>
      <c r="H1005" t="n">
        <v>0</v>
      </c>
      <c r="I1005" t="n">
        <v>0</v>
      </c>
      <c r="J1005" t="n">
        <v>0</v>
      </c>
      <c r="K1005" t="n">
        <v>0</v>
      </c>
      <c r="L1005" t="n">
        <v>0</v>
      </c>
      <c r="M1005" t="n">
        <v>0</v>
      </c>
      <c r="N1005" t="n">
        <v>0</v>
      </c>
      <c r="O1005" t="n">
        <v>0</v>
      </c>
      <c r="P1005" t="n">
        <v>0</v>
      </c>
      <c r="Q1005" t="n">
        <v>0</v>
      </c>
      <c r="R1005" s="2" t="inlineStr"/>
    </row>
    <row r="1006" ht="15" customHeight="1">
      <c r="A1006" t="inlineStr">
        <is>
          <t>A 56830-2023</t>
        </is>
      </c>
      <c r="B1006" s="1" t="n">
        <v>45238</v>
      </c>
      <c r="C1006" s="1" t="n">
        <v>45258</v>
      </c>
      <c r="D1006" t="inlineStr">
        <is>
          <t>VÄSTERBOTTENS LÄN</t>
        </is>
      </c>
      <c r="E1006" t="inlineStr">
        <is>
          <t>VILHELMINA</t>
        </is>
      </c>
      <c r="F1006" t="inlineStr">
        <is>
          <t>Allmännings- och besparingsskogar</t>
        </is>
      </c>
      <c r="G1006" t="n">
        <v>66.90000000000001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57137-2023</t>
        </is>
      </c>
      <c r="B1007" s="1" t="n">
        <v>45239</v>
      </c>
      <c r="C1007" s="1" t="n">
        <v>45258</v>
      </c>
      <c r="D1007" t="inlineStr">
        <is>
          <t>VÄSTERBOTTENS LÄN</t>
        </is>
      </c>
      <c r="E1007" t="inlineStr">
        <is>
          <t>VILHELMINA</t>
        </is>
      </c>
      <c r="G1007" t="n">
        <v>38.8</v>
      </c>
      <c r="H1007" t="n">
        <v>0</v>
      </c>
      <c r="I1007" t="n">
        <v>0</v>
      </c>
      <c r="J1007" t="n">
        <v>0</v>
      </c>
      <c r="K1007" t="n">
        <v>0</v>
      </c>
      <c r="L1007" t="n">
        <v>0</v>
      </c>
      <c r="M1007" t="n">
        <v>0</v>
      </c>
      <c r="N1007" t="n">
        <v>0</v>
      </c>
      <c r="O1007" t="n">
        <v>0</v>
      </c>
      <c r="P1007" t="n">
        <v>0</v>
      </c>
      <c r="Q1007" t="n">
        <v>0</v>
      </c>
      <c r="R1007" s="2" t="inlineStr"/>
    </row>
    <row r="1008" ht="15" customHeight="1">
      <c r="A1008" t="inlineStr">
        <is>
          <t>A 57246-2023</t>
        </is>
      </c>
      <c r="B1008" s="1" t="n">
        <v>45239</v>
      </c>
      <c r="C1008" s="1" t="n">
        <v>45258</v>
      </c>
      <c r="D1008" t="inlineStr">
        <is>
          <t>VÄSTERBOTTENS LÄN</t>
        </is>
      </c>
      <c r="E1008" t="inlineStr">
        <is>
          <t>VILHELMINA</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57123-2023</t>
        </is>
      </c>
      <c r="B1009" s="1" t="n">
        <v>45239</v>
      </c>
      <c r="C1009" s="1" t="n">
        <v>45258</v>
      </c>
      <c r="D1009" t="inlineStr">
        <is>
          <t>VÄSTERBOTTENS LÄN</t>
        </is>
      </c>
      <c r="E1009" t="inlineStr">
        <is>
          <t>VILHELMINA</t>
        </is>
      </c>
      <c r="G1009" t="n">
        <v>16.1</v>
      </c>
      <c r="H1009" t="n">
        <v>0</v>
      </c>
      <c r="I1009" t="n">
        <v>0</v>
      </c>
      <c r="J1009" t="n">
        <v>0</v>
      </c>
      <c r="K1009" t="n">
        <v>0</v>
      </c>
      <c r="L1009" t="n">
        <v>0</v>
      </c>
      <c r="M1009" t="n">
        <v>0</v>
      </c>
      <c r="N1009" t="n">
        <v>0</v>
      </c>
      <c r="O1009" t="n">
        <v>0</v>
      </c>
      <c r="P1009" t="n">
        <v>0</v>
      </c>
      <c r="Q1009" t="n">
        <v>0</v>
      </c>
      <c r="R1009" s="2" t="inlineStr"/>
    </row>
    <row r="1010" ht="15" customHeight="1">
      <c r="A1010" t="inlineStr">
        <is>
          <t>A 57108-2023</t>
        </is>
      </c>
      <c r="B1010" s="1" t="n">
        <v>45239</v>
      </c>
      <c r="C1010" s="1" t="n">
        <v>45258</v>
      </c>
      <c r="D1010" t="inlineStr">
        <is>
          <t>VÄSTERBOTTENS LÄN</t>
        </is>
      </c>
      <c r="E1010" t="inlineStr">
        <is>
          <t>VILHELMINA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56246-2023</t>
        </is>
      </c>
      <c r="B1011" s="1" t="n">
        <v>45240</v>
      </c>
      <c r="C1011" s="1" t="n">
        <v>45258</v>
      </c>
      <c r="D1011" t="inlineStr">
        <is>
          <t>VÄSTERBOTTENS LÄN</t>
        </is>
      </c>
      <c r="E1011" t="inlineStr">
        <is>
          <t>VILHELMINA</t>
        </is>
      </c>
      <c r="F1011" t="inlineStr">
        <is>
          <t>SCA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56236-2023</t>
        </is>
      </c>
      <c r="B1012" s="1" t="n">
        <v>45240</v>
      </c>
      <c r="C1012" s="1" t="n">
        <v>45258</v>
      </c>
      <c r="D1012" t="inlineStr">
        <is>
          <t>VÄSTERBOTTENS LÄN</t>
        </is>
      </c>
      <c r="E1012" t="inlineStr">
        <is>
          <t>VILHELMINA</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45258</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56235-2023</t>
        </is>
      </c>
      <c r="B1014" s="1" t="n">
        <v>45240</v>
      </c>
      <c r="C1014" s="1" t="n">
        <v>45258</v>
      </c>
      <c r="D1014" t="inlineStr">
        <is>
          <t>VÄSTERBOTTENS LÄN</t>
        </is>
      </c>
      <c r="E1014" t="inlineStr">
        <is>
          <t>VILHELMINA</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56617-2023</t>
        </is>
      </c>
      <c r="B1015" s="1" t="n">
        <v>45243</v>
      </c>
      <c r="C1015" s="1" t="n">
        <v>45258</v>
      </c>
      <c r="D1015" t="inlineStr">
        <is>
          <t>VÄSTERBOTTENS LÄN</t>
        </is>
      </c>
      <c r="E1015" t="inlineStr">
        <is>
          <t>VILHELMINA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56622-2023</t>
        </is>
      </c>
      <c r="B1016" s="1" t="n">
        <v>45243</v>
      </c>
      <c r="C1016" s="1" t="n">
        <v>45258</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57691-2023</t>
        </is>
      </c>
      <c r="B1017" s="1" t="n">
        <v>45243</v>
      </c>
      <c r="C1017" s="1" t="n">
        <v>45258</v>
      </c>
      <c r="D1017" t="inlineStr">
        <is>
          <t>VÄSTERBOTTENS LÄN</t>
        </is>
      </c>
      <c r="E1017" t="inlineStr">
        <is>
          <t>VILHELMINA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57057-2023</t>
        </is>
      </c>
      <c r="B1018" s="1" t="n">
        <v>45244</v>
      </c>
      <c r="C1018" s="1" t="n">
        <v>45258</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57058-2023</t>
        </is>
      </c>
      <c r="B1019" s="1" t="n">
        <v>45244</v>
      </c>
      <c r="C1019" s="1" t="n">
        <v>45258</v>
      </c>
      <c r="D1019" t="inlineStr">
        <is>
          <t>VÄSTERBOTTENS LÄN</t>
        </is>
      </c>
      <c r="E1019" t="inlineStr">
        <is>
          <t>VILHELMINA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57795-2023</t>
        </is>
      </c>
      <c r="B1020" s="1" t="n">
        <v>45247</v>
      </c>
      <c r="C1020" s="1" t="n">
        <v>45258</v>
      </c>
      <c r="D1020" t="inlineStr">
        <is>
          <t>VÄSTERBOTTENS LÄN</t>
        </is>
      </c>
      <c r="E1020" t="inlineStr">
        <is>
          <t>VILHELMINA</t>
        </is>
      </c>
      <c r="F1020" t="inlineStr">
        <is>
          <t>SCA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58833-2023</t>
        </is>
      </c>
      <c r="B1021" s="1" t="n">
        <v>45248</v>
      </c>
      <c r="C1021" s="1" t="n">
        <v>45258</v>
      </c>
      <c r="D1021" t="inlineStr">
        <is>
          <t>VÄSTERBOTTENS LÄN</t>
        </is>
      </c>
      <c r="E1021" t="inlineStr">
        <is>
          <t>VILHELMINA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58456-2023</t>
        </is>
      </c>
      <c r="B1022" s="1" t="n">
        <v>45251</v>
      </c>
      <c r="C1022" s="1" t="n">
        <v>45258</v>
      </c>
      <c r="D1022" t="inlineStr">
        <is>
          <t>VÄSTERBOTTENS LÄN</t>
        </is>
      </c>
      <c r="E1022" t="inlineStr">
        <is>
          <t>VILHELMINA</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58756-2023</t>
        </is>
      </c>
      <c r="B1023" s="1" t="n">
        <v>45251</v>
      </c>
      <c r="C1023" s="1" t="n">
        <v>45258</v>
      </c>
      <c r="D1023" t="inlineStr">
        <is>
          <t>VÄSTERBOTTENS LÄN</t>
        </is>
      </c>
      <c r="E1023" t="inlineStr">
        <is>
          <t>VILHELMINA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58749-2023</t>
        </is>
      </c>
      <c r="B1024" s="1" t="n">
        <v>45251</v>
      </c>
      <c r="C1024" s="1" t="n">
        <v>45258</v>
      </c>
      <c r="D1024" t="inlineStr">
        <is>
          <t>VÄSTERBOTTENS LÄN</t>
        </is>
      </c>
      <c r="E1024" t="inlineStr">
        <is>
          <t>VILHELMINA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59117-2023</t>
        </is>
      </c>
      <c r="B1025" s="1" t="n">
        <v>45251</v>
      </c>
      <c r="C1025" s="1" t="n">
        <v>45258</v>
      </c>
      <c r="D1025" t="inlineStr">
        <is>
          <t>VÄSTERBOTTENS LÄN</t>
        </is>
      </c>
      <c r="E1025" t="inlineStr">
        <is>
          <t>VILHELMINA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59110-2023</t>
        </is>
      </c>
      <c r="B1026" s="1" t="n">
        <v>45251</v>
      </c>
      <c r="C1026" s="1" t="n">
        <v>45258</v>
      </c>
      <c r="D1026" t="inlineStr">
        <is>
          <t>VÄSTERBOTTENS LÄN</t>
        </is>
      </c>
      <c r="E1026" t="inlineStr">
        <is>
          <t>VILHELMINA</t>
        </is>
      </c>
      <c r="G1026" t="n">
        <v>10.1</v>
      </c>
      <c r="H1026" t="n">
        <v>0</v>
      </c>
      <c r="I1026" t="n">
        <v>0</v>
      </c>
      <c r="J1026" t="n">
        <v>0</v>
      </c>
      <c r="K1026" t="n">
        <v>0</v>
      </c>
      <c r="L1026" t="n">
        <v>0</v>
      </c>
      <c r="M1026" t="n">
        <v>0</v>
      </c>
      <c r="N1026" t="n">
        <v>0</v>
      </c>
      <c r="O1026" t="n">
        <v>0</v>
      </c>
      <c r="P1026" t="n">
        <v>0</v>
      </c>
      <c r="Q1026" t="n">
        <v>0</v>
      </c>
      <c r="R1026" s="2" t="inlineStr"/>
    </row>
    <row r="1027" ht="15" customHeight="1">
      <c r="A1027" t="inlineStr">
        <is>
          <t>A 59083-2023</t>
        </is>
      </c>
      <c r="B1027" s="1" t="n">
        <v>45252</v>
      </c>
      <c r="C1027" s="1" t="n">
        <v>45258</v>
      </c>
      <c r="D1027" t="inlineStr">
        <is>
          <t>VÄSTERBOTTENS LÄN</t>
        </is>
      </c>
      <c r="E1027" t="inlineStr">
        <is>
          <t>VILHELMINA</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59664-2023</t>
        </is>
      </c>
      <c r="B1028" s="1" t="n">
        <v>45255</v>
      </c>
      <c r="C1028" s="1" t="n">
        <v>45258</v>
      </c>
      <c r="D1028" t="inlineStr">
        <is>
          <t>VÄSTERBOTTENS LÄN</t>
        </is>
      </c>
      <c r="E1028" t="inlineStr">
        <is>
          <t>VILHELMINA</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59663-2023</t>
        </is>
      </c>
      <c r="B1029" s="1" t="n">
        <v>45254</v>
      </c>
      <c r="C1029" s="1" t="n">
        <v>45258</v>
      </c>
      <c r="D1029" t="inlineStr">
        <is>
          <t>VÄSTERBOTTENS LÄN</t>
        </is>
      </c>
      <c r="E1029" t="inlineStr">
        <is>
          <t>VILHELMINA</t>
        </is>
      </c>
      <c r="F1029" t="inlineStr">
        <is>
          <t>SCA</t>
        </is>
      </c>
      <c r="G1029" t="n">
        <v>12.8</v>
      </c>
      <c r="H1029" t="n">
        <v>0</v>
      </c>
      <c r="I1029" t="n">
        <v>0</v>
      </c>
      <c r="J1029" t="n">
        <v>0</v>
      </c>
      <c r="K1029" t="n">
        <v>0</v>
      </c>
      <c r="L1029" t="n">
        <v>0</v>
      </c>
      <c r="M1029" t="n">
        <v>0</v>
      </c>
      <c r="N1029" t="n">
        <v>0</v>
      </c>
      <c r="O1029" t="n">
        <v>0</v>
      </c>
      <c r="P1029" t="n">
        <v>0</v>
      </c>
      <c r="Q1029" t="n">
        <v>0</v>
      </c>
      <c r="R1029" s="2" t="inlineStr"/>
    </row>
    <row r="1030">
      <c r="A1030" t="inlineStr">
        <is>
          <t>A 59671-2023</t>
        </is>
      </c>
      <c r="B1030" s="1" t="n">
        <v>45255</v>
      </c>
      <c r="C1030" s="1" t="n">
        <v>45258</v>
      </c>
      <c r="D1030" t="inlineStr">
        <is>
          <t>VÄSTERBOTTENS LÄN</t>
        </is>
      </c>
      <c r="E1030" t="inlineStr">
        <is>
          <t>VILHELMINA</t>
        </is>
      </c>
      <c r="F1030" t="inlineStr">
        <is>
          <t>SCA</t>
        </is>
      </c>
      <c r="G1030" t="n">
        <v>1.3</v>
      </c>
      <c r="H1030" t="n">
        <v>0</v>
      </c>
      <c r="I1030" t="n">
        <v>0</v>
      </c>
      <c r="J1030" t="n">
        <v>0</v>
      </c>
      <c r="K1030" t="n">
        <v>0</v>
      </c>
      <c r="L1030" t="n">
        <v>0</v>
      </c>
      <c r="M1030" t="n">
        <v>0</v>
      </c>
      <c r="N1030" t="n">
        <v>0</v>
      </c>
      <c r="O1030" t="n">
        <v>0</v>
      </c>
      <c r="P1030" t="n">
        <v>0</v>
      </c>
      <c r="Q1030" t="n">
        <v>0</v>
      </c>
      <c r="R103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2023-11-28T17:18:01Z</dcterms:created>
  <dcterms:modified xmlns:dcterms="http://purl.org/dc/terms/" xmlns:xsi="http://www.w3.org/2001/XMLSchema-instance" xsi:type="dcterms:W3CDTF">2023-11-28T17:18:01Z</dcterms:modified>
</cp:coreProperties>
</file>