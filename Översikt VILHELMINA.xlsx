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45658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45658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45658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45658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45658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45658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45658</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45658</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45658</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45658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45658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45658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45658</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45658</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45658</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45658</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45658</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45658</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45658</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45658</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45658</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45658</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45658</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45658</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45658</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45658</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45658</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45658</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45658</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45658</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45658</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45658</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45658</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45658</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45658</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45658</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45658</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45658</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45658</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45658</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45658</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45658</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45658</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45658</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45658</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45658</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45658</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45658</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45658</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45658</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45658</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45658</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45658</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45658</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45658</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45658</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45658</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45658</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45658</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45658</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45658</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45658</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45658</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45658</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45658</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45658</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45658</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45658</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45658</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45658</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45658</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45658</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45658</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45658</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45658</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45658</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45658</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45658</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45658</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45658</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45658</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45658</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45658</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45658</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45658</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45658</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45658</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45658</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45658</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45658</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45658</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45658</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45658</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45658</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45658</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45658</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45658</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45658</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45658</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45658</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45658</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45658</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45658</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45658</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45658</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45658</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45658</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45658</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45658</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45658</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45658</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45658</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45658</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45658</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45658</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45658</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45658</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45658</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45658</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45658</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45658</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45658</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45658</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45658</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45658</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45658</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45658</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45658</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45658</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45658</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45658</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45658</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45658</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45658</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45658</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45658</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45658</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45658</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45658</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45658</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45658</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45658</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45658</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45658</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45658</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45658</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45658</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45658</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45658</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45658</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45658</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45658</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45658</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45658</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45658</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45658</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45658</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45658</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45658</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45658</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45658</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45658</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45658</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45658</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45658</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45658</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45658</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45658</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45658</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45658</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45658</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45658</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45658</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45658</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45658</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45658</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45658</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45658</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45658</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45658</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45658</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45658</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45658</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45658</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45658</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51774-2019</t>
        </is>
      </c>
      <c r="B190" s="1" t="n">
        <v>43741</v>
      </c>
      <c r="C190" s="1" t="n">
        <v>45658</v>
      </c>
      <c r="D190" t="inlineStr">
        <is>
          <t>VÄSTERBOTTENS LÄN</t>
        </is>
      </c>
      <c r="E190" t="inlineStr">
        <is>
          <t>VILHELMINA</t>
        </is>
      </c>
      <c r="F190" t="inlineStr">
        <is>
          <t>Allmännings- och besparingsskogar</t>
        </is>
      </c>
      <c r="G190" t="n">
        <v>19.9</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51774-2019 artfynd.xlsx", "A 51774-2019")</f>
        <v/>
      </c>
      <c r="T190">
        <f>HYPERLINK("https://klasma.github.io/Logging_2462/kartor/A 51774-2019 karta.png", "A 51774-2019")</f>
        <v/>
      </c>
      <c r="V190">
        <f>HYPERLINK("https://klasma.github.io/Logging_2462/klagomål/A 51774-2019 FSC-klagomål.docx", "A 51774-2019")</f>
        <v/>
      </c>
      <c r="W190">
        <f>HYPERLINK("https://klasma.github.io/Logging_2462/klagomålsmail/A 51774-2019 FSC-klagomål mail.docx", "A 51774-2019")</f>
        <v/>
      </c>
      <c r="X190">
        <f>HYPERLINK("https://klasma.github.io/Logging_2462/tillsyn/A 51774-2019 tillsynsbegäran.docx", "A 51774-2019")</f>
        <v/>
      </c>
      <c r="Y190">
        <f>HYPERLINK("https://klasma.github.io/Logging_2462/tillsynsmail/A 51774-2019 tillsynsbegäran mail.docx", "A 51774-2019")</f>
        <v/>
      </c>
      <c r="Z190">
        <f>HYPERLINK("https://klasma.github.io/Logging_2462/fåglar/A 51774-2019 prioriterade fågelarter.docx", "A 51774-2019")</f>
        <v/>
      </c>
    </row>
    <row r="191" ht="15" customHeight="1">
      <c r="A191" t="inlineStr">
        <is>
          <t>A 59424-2019</t>
        </is>
      </c>
      <c r="B191" s="1" t="n">
        <v>43775</v>
      </c>
      <c r="C191" s="1" t="n">
        <v>45658</v>
      </c>
      <c r="D191" t="inlineStr">
        <is>
          <t>VÄSTERBOTTENS LÄN</t>
        </is>
      </c>
      <c r="E191" t="inlineStr">
        <is>
          <t>VILHELMINA</t>
        </is>
      </c>
      <c r="G191" t="n">
        <v>17.4</v>
      </c>
      <c r="H191" t="n">
        <v>0</v>
      </c>
      <c r="I191" t="n">
        <v>0</v>
      </c>
      <c r="J191" t="n">
        <v>1</v>
      </c>
      <c r="K191" t="n">
        <v>0</v>
      </c>
      <c r="L191" t="n">
        <v>0</v>
      </c>
      <c r="M191" t="n">
        <v>0</v>
      </c>
      <c r="N191" t="n">
        <v>0</v>
      </c>
      <c r="O191" t="n">
        <v>1</v>
      </c>
      <c r="P191" t="n">
        <v>0</v>
      </c>
      <c r="Q191" t="n">
        <v>1</v>
      </c>
      <c r="R191" s="2" t="inlineStr">
        <is>
          <t>Granticka</t>
        </is>
      </c>
      <c r="S191">
        <f>HYPERLINK("https://klasma.github.io/Logging_2462/artfynd/A 59424-2019 artfynd.xlsx", "A 59424-2019")</f>
        <v/>
      </c>
      <c r="T191">
        <f>HYPERLINK("https://klasma.github.io/Logging_2462/kartor/A 59424-2019 karta.png", "A 59424-2019")</f>
        <v/>
      </c>
      <c r="V191">
        <f>HYPERLINK("https://klasma.github.io/Logging_2462/klagomål/A 59424-2019 FSC-klagomål.docx", "A 59424-2019")</f>
        <v/>
      </c>
      <c r="W191">
        <f>HYPERLINK("https://klasma.github.io/Logging_2462/klagomålsmail/A 59424-2019 FSC-klagomål mail.docx", "A 59424-2019")</f>
        <v/>
      </c>
      <c r="X191">
        <f>HYPERLINK("https://klasma.github.io/Logging_2462/tillsyn/A 59424-2019 tillsynsbegäran.docx", "A 59424-2019")</f>
        <v/>
      </c>
      <c r="Y191">
        <f>HYPERLINK("https://klasma.github.io/Logging_2462/tillsynsmail/A 59424-2019 tillsynsbegäran mail.docx", "A 59424-2019")</f>
        <v/>
      </c>
    </row>
    <row r="192" ht="15" customHeight="1">
      <c r="A192" t="inlineStr">
        <is>
          <t>A 220-2020</t>
        </is>
      </c>
      <c r="B192" s="1" t="n">
        <v>43833</v>
      </c>
      <c r="C192" s="1" t="n">
        <v>45658</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Vedskivlav</t>
        </is>
      </c>
      <c r="S192">
        <f>HYPERLINK("https://klasma.github.io/Logging_2462/artfynd/A 220-2020 artfynd.xlsx", "A 220-2020")</f>
        <v/>
      </c>
      <c r="T192">
        <f>HYPERLINK("https://klasma.github.io/Logging_2462/kartor/A 220-2020 karta.png", "A 220-2020")</f>
        <v/>
      </c>
      <c r="V192">
        <f>HYPERLINK("https://klasma.github.io/Logging_2462/klagomål/A 220-2020 FSC-klagomål.docx", "A 220-2020")</f>
        <v/>
      </c>
      <c r="W192">
        <f>HYPERLINK("https://klasma.github.io/Logging_2462/klagomålsmail/A 220-2020 FSC-klagomål mail.docx", "A 220-2020")</f>
        <v/>
      </c>
      <c r="X192">
        <f>HYPERLINK("https://klasma.github.io/Logging_2462/tillsyn/A 220-2020 tillsynsbegäran.docx", "A 220-2020")</f>
        <v/>
      </c>
      <c r="Y192">
        <f>HYPERLINK("https://klasma.github.io/Logging_2462/tillsynsmail/A 220-2020 tillsynsbegäran mail.docx", "A 220-2020")</f>
        <v/>
      </c>
    </row>
    <row r="193" ht="15" customHeight="1">
      <c r="A193" t="inlineStr">
        <is>
          <t>A 546-2020</t>
        </is>
      </c>
      <c r="B193" s="1" t="n">
        <v>43837</v>
      </c>
      <c r="C193" s="1" t="n">
        <v>45658</v>
      </c>
      <c r="D193" t="inlineStr">
        <is>
          <t>VÄSTERBOTTENS LÄN</t>
        </is>
      </c>
      <c r="E193" t="inlineStr">
        <is>
          <t>VILHELMINA</t>
        </is>
      </c>
      <c r="F193" t="inlineStr">
        <is>
          <t>SCA</t>
        </is>
      </c>
      <c r="G193" t="n">
        <v>3.1</v>
      </c>
      <c r="H193" t="n">
        <v>0</v>
      </c>
      <c r="I193" t="n">
        <v>0</v>
      </c>
      <c r="J193" t="n">
        <v>1</v>
      </c>
      <c r="K193" t="n">
        <v>0</v>
      </c>
      <c r="L193" t="n">
        <v>0</v>
      </c>
      <c r="M193" t="n">
        <v>0</v>
      </c>
      <c r="N193" t="n">
        <v>0</v>
      </c>
      <c r="O193" t="n">
        <v>1</v>
      </c>
      <c r="P193" t="n">
        <v>0</v>
      </c>
      <c r="Q193" t="n">
        <v>1</v>
      </c>
      <c r="R193" s="2" t="inlineStr">
        <is>
          <t>Vedskivlav</t>
        </is>
      </c>
      <c r="S193">
        <f>HYPERLINK("https://klasma.github.io/Logging_2462/artfynd/A 546-2020 artfynd.xlsx", "A 546-2020")</f>
        <v/>
      </c>
      <c r="T193">
        <f>HYPERLINK("https://klasma.github.io/Logging_2462/kartor/A 546-2020 karta.png", "A 546-2020")</f>
        <v/>
      </c>
      <c r="V193">
        <f>HYPERLINK("https://klasma.github.io/Logging_2462/klagomål/A 546-2020 FSC-klagomål.docx", "A 546-2020")</f>
        <v/>
      </c>
      <c r="W193">
        <f>HYPERLINK("https://klasma.github.io/Logging_2462/klagomålsmail/A 546-2020 FSC-klagomål mail.docx", "A 546-2020")</f>
        <v/>
      </c>
      <c r="X193">
        <f>HYPERLINK("https://klasma.github.io/Logging_2462/tillsyn/A 546-2020 tillsynsbegäran.docx", "A 546-2020")</f>
        <v/>
      </c>
      <c r="Y193">
        <f>HYPERLINK("https://klasma.github.io/Logging_2462/tillsynsmail/A 546-2020 tillsynsbegäran mail.docx", "A 546-2020")</f>
        <v/>
      </c>
    </row>
    <row r="194" ht="15" customHeight="1">
      <c r="A194" t="inlineStr">
        <is>
          <t>A 57861-2020</t>
        </is>
      </c>
      <c r="B194" s="1" t="n">
        <v>44141</v>
      </c>
      <c r="C194" s="1" t="n">
        <v>45658</v>
      </c>
      <c r="D194" t="inlineStr">
        <is>
          <t>VÄSTERBOTTENS LÄN</t>
        </is>
      </c>
      <c r="E194" t="inlineStr">
        <is>
          <t>VILHELMINA</t>
        </is>
      </c>
      <c r="F194" t="inlineStr">
        <is>
          <t>Sveaskog</t>
        </is>
      </c>
      <c r="G194" t="n">
        <v>11.9</v>
      </c>
      <c r="H194" t="n">
        <v>0</v>
      </c>
      <c r="I194" t="n">
        <v>0</v>
      </c>
      <c r="J194" t="n">
        <v>0</v>
      </c>
      <c r="K194" t="n">
        <v>1</v>
      </c>
      <c r="L194" t="n">
        <v>0</v>
      </c>
      <c r="M194" t="n">
        <v>0</v>
      </c>
      <c r="N194" t="n">
        <v>0</v>
      </c>
      <c r="O194" t="n">
        <v>1</v>
      </c>
      <c r="P194" t="n">
        <v>1</v>
      </c>
      <c r="Q194" t="n">
        <v>1</v>
      </c>
      <c r="R194" s="2" t="inlineStr">
        <is>
          <t>Fläckporing</t>
        </is>
      </c>
      <c r="S194">
        <f>HYPERLINK("https://klasma.github.io/Logging_2462/artfynd/A 57861-2020 artfynd.xlsx", "A 57861-2020")</f>
        <v/>
      </c>
      <c r="T194">
        <f>HYPERLINK("https://klasma.github.io/Logging_2462/kartor/A 57861-2020 karta.png", "A 57861-2020")</f>
        <v/>
      </c>
      <c r="V194">
        <f>HYPERLINK("https://klasma.github.io/Logging_2462/klagomål/A 57861-2020 FSC-klagomål.docx", "A 57861-2020")</f>
        <v/>
      </c>
      <c r="W194">
        <f>HYPERLINK("https://klasma.github.io/Logging_2462/klagomålsmail/A 57861-2020 FSC-klagomål mail.docx", "A 57861-2020")</f>
        <v/>
      </c>
      <c r="X194">
        <f>HYPERLINK("https://klasma.github.io/Logging_2462/tillsyn/A 57861-2020 tillsynsbegäran.docx", "A 57861-2020")</f>
        <v/>
      </c>
      <c r="Y194">
        <f>HYPERLINK("https://klasma.github.io/Logging_2462/tillsynsmail/A 57861-2020 tillsynsbegäran mail.docx", "A 57861-2020")</f>
        <v/>
      </c>
    </row>
    <row r="195" ht="15" customHeight="1">
      <c r="A195" t="inlineStr">
        <is>
          <t>A 29376-2021</t>
        </is>
      </c>
      <c r="B195" s="1" t="n">
        <v>44361</v>
      </c>
      <c r="C195" s="1" t="n">
        <v>45658</v>
      </c>
      <c r="D195" t="inlineStr">
        <is>
          <t>VÄSTERBOTTENS LÄN</t>
        </is>
      </c>
      <c r="E195" t="inlineStr">
        <is>
          <t>VILHELMINA</t>
        </is>
      </c>
      <c r="F195" t="inlineStr">
        <is>
          <t>Allmännings- och besparingsskogar</t>
        </is>
      </c>
      <c r="G195" t="n">
        <v>110.8</v>
      </c>
      <c r="H195" t="n">
        <v>1</v>
      </c>
      <c r="I195" t="n">
        <v>0</v>
      </c>
      <c r="J195" t="n">
        <v>0</v>
      </c>
      <c r="K195" t="n">
        <v>0</v>
      </c>
      <c r="L195" t="n">
        <v>0</v>
      </c>
      <c r="M195" t="n">
        <v>0</v>
      </c>
      <c r="N195" t="n">
        <v>0</v>
      </c>
      <c r="O195" t="n">
        <v>0</v>
      </c>
      <c r="P195" t="n">
        <v>0</v>
      </c>
      <c r="Q195" t="n">
        <v>1</v>
      </c>
      <c r="R195" s="2" t="inlineStr">
        <is>
          <t>Lavskrika</t>
        </is>
      </c>
      <c r="S195">
        <f>HYPERLINK("https://klasma.github.io/Logging_2462/artfynd/A 29376-2021 artfynd.xlsx", "A 29376-2021")</f>
        <v/>
      </c>
      <c r="T195">
        <f>HYPERLINK("https://klasma.github.io/Logging_2462/kartor/A 29376-2021 karta.png", "A 29376-2021")</f>
        <v/>
      </c>
      <c r="V195">
        <f>HYPERLINK("https://klasma.github.io/Logging_2462/klagomål/A 29376-2021 FSC-klagomål.docx", "A 29376-2021")</f>
        <v/>
      </c>
      <c r="W195">
        <f>HYPERLINK("https://klasma.github.io/Logging_2462/klagomålsmail/A 29376-2021 FSC-klagomål mail.docx", "A 29376-2021")</f>
        <v/>
      </c>
      <c r="X195">
        <f>HYPERLINK("https://klasma.github.io/Logging_2462/tillsyn/A 29376-2021 tillsynsbegäran.docx", "A 29376-2021")</f>
        <v/>
      </c>
      <c r="Y195">
        <f>HYPERLINK("https://klasma.github.io/Logging_2462/tillsynsmail/A 29376-2021 tillsynsbegäran mail.docx", "A 29376-2021")</f>
        <v/>
      </c>
      <c r="Z195">
        <f>HYPERLINK("https://klasma.github.io/Logging_2462/fåglar/A 29376-2021 prioriterade fågelarter.docx", "A 29376-2021")</f>
        <v/>
      </c>
    </row>
    <row r="196" ht="15" customHeight="1">
      <c r="A196" t="inlineStr">
        <is>
          <t>A 32677-2021</t>
        </is>
      </c>
      <c r="B196" s="1" t="n">
        <v>44371</v>
      </c>
      <c r="C196" s="1" t="n">
        <v>45658</v>
      </c>
      <c r="D196" t="inlineStr">
        <is>
          <t>VÄSTERBOTTENS LÄN</t>
        </is>
      </c>
      <c r="E196" t="inlineStr">
        <is>
          <t>VILHELMINA</t>
        </is>
      </c>
      <c r="G196" t="n">
        <v>9.699999999999999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32677-2021 artfynd.xlsx", "A 32677-2021")</f>
        <v/>
      </c>
      <c r="T196">
        <f>HYPERLINK("https://klasma.github.io/Logging_2462/kartor/A 32677-2021 karta.png", "A 32677-2021")</f>
        <v/>
      </c>
      <c r="V196">
        <f>HYPERLINK("https://klasma.github.io/Logging_2462/klagomål/A 32677-2021 FSC-klagomål.docx", "A 32677-2021")</f>
        <v/>
      </c>
      <c r="W196">
        <f>HYPERLINK("https://klasma.github.io/Logging_2462/klagomålsmail/A 32677-2021 FSC-klagomål mail.docx", "A 32677-2021")</f>
        <v/>
      </c>
      <c r="X196">
        <f>HYPERLINK("https://klasma.github.io/Logging_2462/tillsyn/A 32677-2021 tillsynsbegäran.docx", "A 32677-2021")</f>
        <v/>
      </c>
      <c r="Y196">
        <f>HYPERLINK("https://klasma.github.io/Logging_2462/tillsynsmail/A 32677-2021 tillsynsbegäran mail.docx", "A 32677-2021")</f>
        <v/>
      </c>
      <c r="Z196">
        <f>HYPERLINK("https://klasma.github.io/Logging_2462/fåglar/A 32677-2021 prioriterade fågelarter.docx", "A 32677-2021")</f>
        <v/>
      </c>
    </row>
    <row r="197" ht="15" customHeight="1">
      <c r="A197" t="inlineStr">
        <is>
          <t>A 55739-2021</t>
        </is>
      </c>
      <c r="B197" s="1" t="n">
        <v>44476</v>
      </c>
      <c r="C197" s="1" t="n">
        <v>45658</v>
      </c>
      <c r="D197" t="inlineStr">
        <is>
          <t>VÄSTERBOTTENS LÄN</t>
        </is>
      </c>
      <c r="E197" t="inlineStr">
        <is>
          <t>VILHELMINA</t>
        </is>
      </c>
      <c r="G197" t="n">
        <v>5.5</v>
      </c>
      <c r="H197" t="n">
        <v>0</v>
      </c>
      <c r="I197" t="n">
        <v>0</v>
      </c>
      <c r="J197" t="n">
        <v>1</v>
      </c>
      <c r="K197" t="n">
        <v>0</v>
      </c>
      <c r="L197" t="n">
        <v>0</v>
      </c>
      <c r="M197" t="n">
        <v>0</v>
      </c>
      <c r="N197" t="n">
        <v>0</v>
      </c>
      <c r="O197" t="n">
        <v>1</v>
      </c>
      <c r="P197" t="n">
        <v>0</v>
      </c>
      <c r="Q197" t="n">
        <v>1</v>
      </c>
      <c r="R197" s="2" t="inlineStr">
        <is>
          <t>Garnlav</t>
        </is>
      </c>
      <c r="S197">
        <f>HYPERLINK("https://klasma.github.io/Logging_2462/artfynd/A 55739-2021 artfynd.xlsx", "A 55739-2021")</f>
        <v/>
      </c>
      <c r="T197">
        <f>HYPERLINK("https://klasma.github.io/Logging_2462/kartor/A 55739-2021 karta.png", "A 55739-2021")</f>
        <v/>
      </c>
      <c r="V197">
        <f>HYPERLINK("https://klasma.github.io/Logging_2462/klagomål/A 55739-2021 FSC-klagomål.docx", "A 55739-2021")</f>
        <v/>
      </c>
      <c r="W197">
        <f>HYPERLINK("https://klasma.github.io/Logging_2462/klagomålsmail/A 55739-2021 FSC-klagomål mail.docx", "A 55739-2021")</f>
        <v/>
      </c>
      <c r="X197">
        <f>HYPERLINK("https://klasma.github.io/Logging_2462/tillsyn/A 55739-2021 tillsynsbegäran.docx", "A 55739-2021")</f>
        <v/>
      </c>
      <c r="Y197">
        <f>HYPERLINK("https://klasma.github.io/Logging_2462/tillsynsmail/A 55739-2021 tillsynsbegäran mail.docx", "A 55739-2021")</f>
        <v/>
      </c>
    </row>
    <row r="198" ht="15" customHeight="1">
      <c r="A198" t="inlineStr">
        <is>
          <t>A 60369-2021</t>
        </is>
      </c>
      <c r="B198" s="1" t="n">
        <v>44494</v>
      </c>
      <c r="C198" s="1" t="n">
        <v>45658</v>
      </c>
      <c r="D198" t="inlineStr">
        <is>
          <t>VÄSTERBOTTENS LÄN</t>
        </is>
      </c>
      <c r="E198" t="inlineStr">
        <is>
          <t>VILHELMINA</t>
        </is>
      </c>
      <c r="G198" t="n">
        <v>0.6</v>
      </c>
      <c r="H198" t="n">
        <v>0</v>
      </c>
      <c r="I198" t="n">
        <v>1</v>
      </c>
      <c r="J198" t="n">
        <v>0</v>
      </c>
      <c r="K198" t="n">
        <v>0</v>
      </c>
      <c r="L198" t="n">
        <v>0</v>
      </c>
      <c r="M198" t="n">
        <v>0</v>
      </c>
      <c r="N198" t="n">
        <v>0</v>
      </c>
      <c r="O198" t="n">
        <v>0</v>
      </c>
      <c r="P198" t="n">
        <v>0</v>
      </c>
      <c r="Q198" t="n">
        <v>1</v>
      </c>
      <c r="R198" s="2" t="inlineStr">
        <is>
          <t>Stuplav</t>
        </is>
      </c>
      <c r="S198">
        <f>HYPERLINK("https://klasma.github.io/Logging_2462/artfynd/A 60369-2021 artfynd.xlsx", "A 60369-2021")</f>
        <v/>
      </c>
      <c r="T198">
        <f>HYPERLINK("https://klasma.github.io/Logging_2462/kartor/A 60369-2021 karta.png", "A 60369-2021")</f>
        <v/>
      </c>
      <c r="V198">
        <f>HYPERLINK("https://klasma.github.io/Logging_2462/klagomål/A 60369-2021 FSC-klagomål.docx", "A 60369-2021")</f>
        <v/>
      </c>
      <c r="W198">
        <f>HYPERLINK("https://klasma.github.io/Logging_2462/klagomålsmail/A 60369-2021 FSC-klagomål mail.docx", "A 60369-2021")</f>
        <v/>
      </c>
      <c r="X198">
        <f>HYPERLINK("https://klasma.github.io/Logging_2462/tillsyn/A 60369-2021 tillsynsbegäran.docx", "A 60369-2021")</f>
        <v/>
      </c>
      <c r="Y198">
        <f>HYPERLINK("https://klasma.github.io/Logging_2462/tillsynsmail/A 60369-2021 tillsynsbegäran mail.docx", "A 60369-2021")</f>
        <v/>
      </c>
    </row>
    <row r="199" ht="15" customHeight="1">
      <c r="A199" t="inlineStr">
        <is>
          <t>A 66924-2021</t>
        </is>
      </c>
      <c r="B199" s="1" t="n">
        <v>44522</v>
      </c>
      <c r="C199" s="1" t="n">
        <v>45658</v>
      </c>
      <c r="D199" t="inlineStr">
        <is>
          <t>VÄSTERBOTTENS LÄN</t>
        </is>
      </c>
      <c r="E199" t="inlineStr">
        <is>
          <t>VILHELMINA</t>
        </is>
      </c>
      <c r="F199" t="inlineStr">
        <is>
          <t>Allmännings- och besparingsskogar</t>
        </is>
      </c>
      <c r="G199" t="n">
        <v>335.4</v>
      </c>
      <c r="H199" t="n">
        <v>1</v>
      </c>
      <c r="I199" t="n">
        <v>0</v>
      </c>
      <c r="J199" t="n">
        <v>1</v>
      </c>
      <c r="K199" t="n">
        <v>0</v>
      </c>
      <c r="L199" t="n">
        <v>0</v>
      </c>
      <c r="M199" t="n">
        <v>0</v>
      </c>
      <c r="N199" t="n">
        <v>0</v>
      </c>
      <c r="O199" t="n">
        <v>1</v>
      </c>
      <c r="P199" t="n">
        <v>0</v>
      </c>
      <c r="Q199" t="n">
        <v>1</v>
      </c>
      <c r="R199" s="2" t="inlineStr">
        <is>
          <t>Utter</t>
        </is>
      </c>
      <c r="S199">
        <f>HYPERLINK("https://klasma.github.io/Logging_2462/artfynd/A 66924-2021 artfynd.xlsx", "A 66924-2021")</f>
        <v/>
      </c>
      <c r="T199">
        <f>HYPERLINK("https://klasma.github.io/Logging_2462/kartor/A 66924-2021 karta.png", "A 66924-2021")</f>
        <v/>
      </c>
      <c r="V199">
        <f>HYPERLINK("https://klasma.github.io/Logging_2462/klagomål/A 66924-2021 FSC-klagomål.docx", "A 66924-2021")</f>
        <v/>
      </c>
      <c r="W199">
        <f>HYPERLINK("https://klasma.github.io/Logging_2462/klagomålsmail/A 66924-2021 FSC-klagomål mail.docx", "A 66924-2021")</f>
        <v/>
      </c>
      <c r="X199">
        <f>HYPERLINK("https://klasma.github.io/Logging_2462/tillsyn/A 66924-2021 tillsynsbegäran.docx", "A 66924-2021")</f>
        <v/>
      </c>
      <c r="Y199">
        <f>HYPERLINK("https://klasma.github.io/Logging_2462/tillsynsmail/A 66924-2021 tillsynsbegäran mail.docx", "A 66924-2021")</f>
        <v/>
      </c>
    </row>
    <row r="200" ht="15" customHeight="1">
      <c r="A200" t="inlineStr">
        <is>
          <t>A 68783-2021</t>
        </is>
      </c>
      <c r="B200" s="1" t="n">
        <v>44529</v>
      </c>
      <c r="C200" s="1" t="n">
        <v>45658</v>
      </c>
      <c r="D200" t="inlineStr">
        <is>
          <t>VÄSTERBOTTENS LÄN</t>
        </is>
      </c>
      <c r="E200" t="inlineStr">
        <is>
          <t>VILHELMINA</t>
        </is>
      </c>
      <c r="F200" t="inlineStr">
        <is>
          <t>SCA</t>
        </is>
      </c>
      <c r="G200" t="n">
        <v>7.3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68783-2021 artfynd.xlsx", "A 68783-2021")</f>
        <v/>
      </c>
      <c r="T200">
        <f>HYPERLINK("https://klasma.github.io/Logging_2462/kartor/A 68783-2021 karta.png", "A 68783-2021")</f>
        <v/>
      </c>
      <c r="V200">
        <f>HYPERLINK("https://klasma.github.io/Logging_2462/klagomål/A 68783-2021 FSC-klagomål.docx", "A 68783-2021")</f>
        <v/>
      </c>
      <c r="W200">
        <f>HYPERLINK("https://klasma.github.io/Logging_2462/klagomålsmail/A 68783-2021 FSC-klagomål mail.docx", "A 68783-2021")</f>
        <v/>
      </c>
      <c r="X200">
        <f>HYPERLINK("https://klasma.github.io/Logging_2462/tillsyn/A 68783-2021 tillsynsbegäran.docx", "A 68783-2021")</f>
        <v/>
      </c>
      <c r="Y200">
        <f>HYPERLINK("https://klasma.github.io/Logging_2462/tillsynsmail/A 68783-2021 tillsynsbegäran mail.docx", "A 68783-2021")</f>
        <v/>
      </c>
      <c r="Z200">
        <f>HYPERLINK("https://klasma.github.io/Logging_2462/fåglar/A 68783-2021 prioriterade fågelarter.docx", "A 68783-2021")</f>
        <v/>
      </c>
    </row>
    <row r="201" ht="15" customHeight="1">
      <c r="A201" t="inlineStr">
        <is>
          <t>A 69545-2021</t>
        </is>
      </c>
      <c r="B201" s="1" t="n">
        <v>44531</v>
      </c>
      <c r="C201" s="1" t="n">
        <v>45658</v>
      </c>
      <c r="D201" t="inlineStr">
        <is>
          <t>VÄSTERBOTTENS LÄN</t>
        </is>
      </c>
      <c r="E201" t="inlineStr">
        <is>
          <t>VILHELMINA</t>
        </is>
      </c>
      <c r="F201" t="inlineStr">
        <is>
          <t>SCA</t>
        </is>
      </c>
      <c r="G201" t="n">
        <v>3.8</v>
      </c>
      <c r="H201" t="n">
        <v>0</v>
      </c>
      <c r="I201" t="n">
        <v>1</v>
      </c>
      <c r="J201" t="n">
        <v>0</v>
      </c>
      <c r="K201" t="n">
        <v>0</v>
      </c>
      <c r="L201" t="n">
        <v>0</v>
      </c>
      <c r="M201" t="n">
        <v>0</v>
      </c>
      <c r="N201" t="n">
        <v>0</v>
      </c>
      <c r="O201" t="n">
        <v>0</v>
      </c>
      <c r="P201" t="n">
        <v>0</v>
      </c>
      <c r="Q201" t="n">
        <v>1</v>
      </c>
      <c r="R201" s="2" t="inlineStr">
        <is>
          <t>Norrlandslav</t>
        </is>
      </c>
      <c r="S201">
        <f>HYPERLINK("https://klasma.github.io/Logging_2462/artfynd/A 69545-2021 artfynd.xlsx", "A 69545-2021")</f>
        <v/>
      </c>
      <c r="T201">
        <f>HYPERLINK("https://klasma.github.io/Logging_2462/kartor/A 69545-2021 karta.png", "A 69545-2021")</f>
        <v/>
      </c>
      <c r="V201">
        <f>HYPERLINK("https://klasma.github.io/Logging_2462/klagomål/A 69545-2021 FSC-klagomål.docx", "A 69545-2021")</f>
        <v/>
      </c>
      <c r="W201">
        <f>HYPERLINK("https://klasma.github.io/Logging_2462/klagomålsmail/A 69545-2021 FSC-klagomål mail.docx", "A 69545-2021")</f>
        <v/>
      </c>
      <c r="X201">
        <f>HYPERLINK("https://klasma.github.io/Logging_2462/tillsyn/A 69545-2021 tillsynsbegäran.docx", "A 69545-2021")</f>
        <v/>
      </c>
      <c r="Y201">
        <f>HYPERLINK("https://klasma.github.io/Logging_2462/tillsynsmail/A 69545-2021 tillsynsbegäran mail.docx", "A 69545-2021")</f>
        <v/>
      </c>
    </row>
    <row r="202" ht="15" customHeight="1">
      <c r="A202" t="inlineStr">
        <is>
          <t>A 69915-2021</t>
        </is>
      </c>
      <c r="B202" s="1" t="n">
        <v>44532</v>
      </c>
      <c r="C202" s="1" t="n">
        <v>45658</v>
      </c>
      <c r="D202" t="inlineStr">
        <is>
          <t>VÄSTERBOTTENS LÄN</t>
        </is>
      </c>
      <c r="E202" t="inlineStr">
        <is>
          <t>VILHELMINA</t>
        </is>
      </c>
      <c r="F202" t="inlineStr">
        <is>
          <t>SCA</t>
        </is>
      </c>
      <c r="G202" t="n">
        <v>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69915-2021 artfynd.xlsx", "A 69915-2021")</f>
        <v/>
      </c>
      <c r="T202">
        <f>HYPERLINK("https://klasma.github.io/Logging_2462/kartor/A 69915-2021 karta.png", "A 69915-2021")</f>
        <v/>
      </c>
      <c r="V202">
        <f>HYPERLINK("https://klasma.github.io/Logging_2462/klagomål/A 69915-2021 FSC-klagomål.docx", "A 69915-2021")</f>
        <v/>
      </c>
      <c r="W202">
        <f>HYPERLINK("https://klasma.github.io/Logging_2462/klagomålsmail/A 69915-2021 FSC-klagomål mail.docx", "A 69915-2021")</f>
        <v/>
      </c>
      <c r="X202">
        <f>HYPERLINK("https://klasma.github.io/Logging_2462/tillsyn/A 69915-2021 tillsynsbegäran.docx", "A 69915-2021")</f>
        <v/>
      </c>
      <c r="Y202">
        <f>HYPERLINK("https://klasma.github.io/Logging_2462/tillsynsmail/A 69915-2021 tillsynsbegäran mail.docx", "A 69915-2021")</f>
        <v/>
      </c>
      <c r="Z202">
        <f>HYPERLINK("https://klasma.github.io/Logging_2462/fåglar/A 69915-2021 prioriterade fågelarter.docx", "A 69915-2021")</f>
        <v/>
      </c>
    </row>
    <row r="203" ht="15" customHeight="1">
      <c r="A203" t="inlineStr">
        <is>
          <t>A 74395-2021</t>
        </is>
      </c>
      <c r="B203" s="1" t="n">
        <v>44560</v>
      </c>
      <c r="C203" s="1" t="n">
        <v>45658</v>
      </c>
      <c r="D203" t="inlineStr">
        <is>
          <t>VÄSTERBOTTENS LÄN</t>
        </is>
      </c>
      <c r="E203" t="inlineStr">
        <is>
          <t>VILHELMINA</t>
        </is>
      </c>
      <c r="G203" t="n">
        <v>37.6</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74395-2021 artfynd.xlsx", "A 74395-2021")</f>
        <v/>
      </c>
      <c r="T203">
        <f>HYPERLINK("https://klasma.github.io/Logging_2462/kartor/A 74395-2021 karta.png", "A 74395-2021")</f>
        <v/>
      </c>
      <c r="V203">
        <f>HYPERLINK("https://klasma.github.io/Logging_2462/klagomål/A 74395-2021 FSC-klagomål.docx", "A 74395-2021")</f>
        <v/>
      </c>
      <c r="W203">
        <f>HYPERLINK("https://klasma.github.io/Logging_2462/klagomålsmail/A 74395-2021 FSC-klagomål mail.docx", "A 74395-2021")</f>
        <v/>
      </c>
      <c r="X203">
        <f>HYPERLINK("https://klasma.github.io/Logging_2462/tillsyn/A 74395-2021 tillsynsbegäran.docx", "A 74395-2021")</f>
        <v/>
      </c>
      <c r="Y203">
        <f>HYPERLINK("https://klasma.github.io/Logging_2462/tillsynsmail/A 74395-2021 tillsynsbegäran mail.docx", "A 74395-2021")</f>
        <v/>
      </c>
      <c r="Z203">
        <f>HYPERLINK("https://klasma.github.io/Logging_2462/fåglar/A 74395-2021 prioriterade fågelarter.docx", "A 74395-2021")</f>
        <v/>
      </c>
    </row>
    <row r="204" ht="15" customHeight="1">
      <c r="A204" t="inlineStr">
        <is>
          <t>A 12486-2022</t>
        </is>
      </c>
      <c r="B204" s="1" t="n">
        <v>44638</v>
      </c>
      <c r="C204" s="1" t="n">
        <v>45658</v>
      </c>
      <c r="D204" t="inlineStr">
        <is>
          <t>VÄSTERBOTTENS LÄN</t>
        </is>
      </c>
      <c r="E204" t="inlineStr">
        <is>
          <t>VILHELMINA</t>
        </is>
      </c>
      <c r="G204" t="n">
        <v>19.3</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12486-2022 artfynd.xlsx", "A 12486-2022")</f>
        <v/>
      </c>
      <c r="T204">
        <f>HYPERLINK("https://klasma.github.io/Logging_2462/kartor/A 12486-2022 karta.png", "A 12486-2022")</f>
        <v/>
      </c>
      <c r="V204">
        <f>HYPERLINK("https://klasma.github.io/Logging_2462/klagomål/A 12486-2022 FSC-klagomål.docx", "A 12486-2022")</f>
        <v/>
      </c>
      <c r="W204">
        <f>HYPERLINK("https://klasma.github.io/Logging_2462/klagomålsmail/A 12486-2022 FSC-klagomål mail.docx", "A 12486-2022")</f>
        <v/>
      </c>
      <c r="X204">
        <f>HYPERLINK("https://klasma.github.io/Logging_2462/tillsyn/A 12486-2022 tillsynsbegäran.docx", "A 12486-2022")</f>
        <v/>
      </c>
      <c r="Y204">
        <f>HYPERLINK("https://klasma.github.io/Logging_2462/tillsynsmail/A 12486-2022 tillsynsbegäran mail.docx", "A 12486-2022")</f>
        <v/>
      </c>
      <c r="Z204">
        <f>HYPERLINK("https://klasma.github.io/Logging_2462/fåglar/A 12486-2022 prioriterade fågelarter.docx", "A 12486-2022")</f>
        <v/>
      </c>
    </row>
    <row r="205" ht="15" customHeight="1">
      <c r="A205" t="inlineStr">
        <is>
          <t>A 38421-2022</t>
        </is>
      </c>
      <c r="B205" s="1" t="n">
        <v>44812</v>
      </c>
      <c r="C205" s="1" t="n">
        <v>45658</v>
      </c>
      <c r="D205" t="inlineStr">
        <is>
          <t>VÄSTERBOTTENS LÄN</t>
        </is>
      </c>
      <c r="E205" t="inlineStr">
        <is>
          <t>VILHELMINA</t>
        </is>
      </c>
      <c r="F205" t="inlineStr">
        <is>
          <t>SCA</t>
        </is>
      </c>
      <c r="G205" t="n">
        <v>3.2</v>
      </c>
      <c r="H205" t="n">
        <v>0</v>
      </c>
      <c r="I205" t="n">
        <v>0</v>
      </c>
      <c r="J205" t="n">
        <v>1</v>
      </c>
      <c r="K205" t="n">
        <v>0</v>
      </c>
      <c r="L205" t="n">
        <v>0</v>
      </c>
      <c r="M205" t="n">
        <v>0</v>
      </c>
      <c r="N205" t="n">
        <v>0</v>
      </c>
      <c r="O205" t="n">
        <v>1</v>
      </c>
      <c r="P205" t="n">
        <v>0</v>
      </c>
      <c r="Q205" t="n">
        <v>1</v>
      </c>
      <c r="R205" s="2" t="inlineStr">
        <is>
          <t>Ullticka</t>
        </is>
      </c>
      <c r="S205">
        <f>HYPERLINK("https://klasma.github.io/Logging_2462/artfynd/A 38421-2022 artfynd.xlsx", "A 38421-2022")</f>
        <v/>
      </c>
      <c r="T205">
        <f>HYPERLINK("https://klasma.github.io/Logging_2462/kartor/A 38421-2022 karta.png", "A 38421-2022")</f>
        <v/>
      </c>
      <c r="V205">
        <f>HYPERLINK("https://klasma.github.io/Logging_2462/klagomål/A 38421-2022 FSC-klagomål.docx", "A 38421-2022")</f>
        <v/>
      </c>
      <c r="W205">
        <f>HYPERLINK("https://klasma.github.io/Logging_2462/klagomålsmail/A 38421-2022 FSC-klagomål mail.docx", "A 38421-2022")</f>
        <v/>
      </c>
      <c r="X205">
        <f>HYPERLINK("https://klasma.github.io/Logging_2462/tillsyn/A 38421-2022 tillsynsbegäran.docx", "A 38421-2022")</f>
        <v/>
      </c>
      <c r="Y205">
        <f>HYPERLINK("https://klasma.github.io/Logging_2462/tillsynsmail/A 38421-2022 tillsynsbegäran mail.docx", "A 38421-2022")</f>
        <v/>
      </c>
    </row>
    <row r="206" ht="15" customHeight="1">
      <c r="A206" t="inlineStr">
        <is>
          <t>A 41483-2022</t>
        </is>
      </c>
      <c r="B206" s="1" t="n">
        <v>44827</v>
      </c>
      <c r="C206" s="1" t="n">
        <v>45658</v>
      </c>
      <c r="D206" t="inlineStr">
        <is>
          <t>VÄSTERBOTTENS LÄN</t>
        </is>
      </c>
      <c r="E206" t="inlineStr">
        <is>
          <t>VILHELMINA</t>
        </is>
      </c>
      <c r="F206" t="inlineStr">
        <is>
          <t>SCA</t>
        </is>
      </c>
      <c r="G206" t="n">
        <v>4.6</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41483-2022 artfynd.xlsx", "A 41483-2022")</f>
        <v/>
      </c>
      <c r="T206">
        <f>HYPERLINK("https://klasma.github.io/Logging_2462/kartor/A 41483-2022 karta.png", "A 41483-2022")</f>
        <v/>
      </c>
      <c r="V206">
        <f>HYPERLINK("https://klasma.github.io/Logging_2462/klagomål/A 41483-2022 FSC-klagomål.docx", "A 41483-2022")</f>
        <v/>
      </c>
      <c r="W206">
        <f>HYPERLINK("https://klasma.github.io/Logging_2462/klagomålsmail/A 41483-2022 FSC-klagomål mail.docx", "A 41483-2022")</f>
        <v/>
      </c>
      <c r="X206">
        <f>HYPERLINK("https://klasma.github.io/Logging_2462/tillsyn/A 41483-2022 tillsynsbegäran.docx", "A 41483-2022")</f>
        <v/>
      </c>
      <c r="Y206">
        <f>HYPERLINK("https://klasma.github.io/Logging_2462/tillsynsmail/A 41483-2022 tillsynsbegäran mail.docx", "A 41483-2022")</f>
        <v/>
      </c>
      <c r="Z206">
        <f>HYPERLINK("https://klasma.github.io/Logging_2462/fåglar/A 41483-2022 prioriterade fågelarter.docx", "A 41483-2022")</f>
        <v/>
      </c>
    </row>
    <row r="207" ht="15" customHeight="1">
      <c r="A207" t="inlineStr">
        <is>
          <t>A 47251-2022</t>
        </is>
      </c>
      <c r="B207" s="1" t="n">
        <v>44852</v>
      </c>
      <c r="C207" s="1" t="n">
        <v>45658</v>
      </c>
      <c r="D207" t="inlineStr">
        <is>
          <t>VÄSTERBOTTENS LÄN</t>
        </is>
      </c>
      <c r="E207" t="inlineStr">
        <is>
          <t>VILHELMINA</t>
        </is>
      </c>
      <c r="F207" t="inlineStr">
        <is>
          <t>SCA</t>
        </is>
      </c>
      <c r="G207" t="n">
        <v>16.4</v>
      </c>
      <c r="H207" t="n">
        <v>0</v>
      </c>
      <c r="I207" t="n">
        <v>0</v>
      </c>
      <c r="J207" t="n">
        <v>1</v>
      </c>
      <c r="K207" t="n">
        <v>0</v>
      </c>
      <c r="L207" t="n">
        <v>0</v>
      </c>
      <c r="M207" t="n">
        <v>0</v>
      </c>
      <c r="N207" t="n">
        <v>0</v>
      </c>
      <c r="O207" t="n">
        <v>1</v>
      </c>
      <c r="P207" t="n">
        <v>0</v>
      </c>
      <c r="Q207" t="n">
        <v>1</v>
      </c>
      <c r="R207" s="2" t="inlineStr">
        <is>
          <t>Rosenticka</t>
        </is>
      </c>
      <c r="S207">
        <f>HYPERLINK("https://klasma.github.io/Logging_2462/artfynd/A 47251-2022 artfynd.xlsx", "A 47251-2022")</f>
        <v/>
      </c>
      <c r="T207">
        <f>HYPERLINK("https://klasma.github.io/Logging_2462/kartor/A 47251-2022 karta.png", "A 47251-2022")</f>
        <v/>
      </c>
      <c r="V207">
        <f>HYPERLINK("https://klasma.github.io/Logging_2462/klagomål/A 47251-2022 FSC-klagomål.docx", "A 47251-2022")</f>
        <v/>
      </c>
      <c r="W207">
        <f>HYPERLINK("https://klasma.github.io/Logging_2462/klagomålsmail/A 47251-2022 FSC-klagomål mail.docx", "A 47251-2022")</f>
        <v/>
      </c>
      <c r="X207">
        <f>HYPERLINK("https://klasma.github.io/Logging_2462/tillsyn/A 47251-2022 tillsynsbegäran.docx", "A 47251-2022")</f>
        <v/>
      </c>
      <c r="Y207">
        <f>HYPERLINK("https://klasma.github.io/Logging_2462/tillsynsmail/A 47251-2022 tillsynsbegäran mail.docx", "A 47251-2022")</f>
        <v/>
      </c>
    </row>
    <row r="208" ht="15" customHeight="1">
      <c r="A208" t="inlineStr">
        <is>
          <t>A 6604-2023</t>
        </is>
      </c>
      <c r="B208" s="1" t="n">
        <v>44960</v>
      </c>
      <c r="C208" s="1" t="n">
        <v>45658</v>
      </c>
      <c r="D208" t="inlineStr">
        <is>
          <t>VÄSTERBOTTENS LÄN</t>
        </is>
      </c>
      <c r="E208" t="inlineStr">
        <is>
          <t>VILHELMINA</t>
        </is>
      </c>
      <c r="G208" t="n">
        <v>13.4</v>
      </c>
      <c r="H208" t="n">
        <v>0</v>
      </c>
      <c r="I208" t="n">
        <v>1</v>
      </c>
      <c r="J208" t="n">
        <v>0</v>
      </c>
      <c r="K208" t="n">
        <v>0</v>
      </c>
      <c r="L208" t="n">
        <v>0</v>
      </c>
      <c r="M208" t="n">
        <v>0</v>
      </c>
      <c r="N208" t="n">
        <v>0</v>
      </c>
      <c r="O208" t="n">
        <v>0</v>
      </c>
      <c r="P208" t="n">
        <v>0</v>
      </c>
      <c r="Q208" t="n">
        <v>1</v>
      </c>
      <c r="R208" s="2" t="inlineStr">
        <is>
          <t>Luddlav</t>
        </is>
      </c>
      <c r="S208">
        <f>HYPERLINK("https://klasma.github.io/Logging_2462/artfynd/A 6604-2023 artfynd.xlsx", "A 6604-2023")</f>
        <v/>
      </c>
      <c r="T208">
        <f>HYPERLINK("https://klasma.github.io/Logging_2462/kartor/A 6604-2023 karta.png", "A 6604-2023")</f>
        <v/>
      </c>
      <c r="V208">
        <f>HYPERLINK("https://klasma.github.io/Logging_2462/klagomål/A 6604-2023 FSC-klagomål.docx", "A 6604-2023")</f>
        <v/>
      </c>
      <c r="W208">
        <f>HYPERLINK("https://klasma.github.io/Logging_2462/klagomålsmail/A 6604-2023 FSC-klagomål mail.docx", "A 6604-2023")</f>
        <v/>
      </c>
      <c r="X208">
        <f>HYPERLINK("https://klasma.github.io/Logging_2462/tillsyn/A 6604-2023 tillsynsbegäran.docx", "A 6604-2023")</f>
        <v/>
      </c>
      <c r="Y208">
        <f>HYPERLINK("https://klasma.github.io/Logging_2462/tillsynsmail/A 6604-2023 tillsynsbegäran mail.docx", "A 6604-2023")</f>
        <v/>
      </c>
    </row>
    <row r="209" ht="15" customHeight="1">
      <c r="A209" t="inlineStr">
        <is>
          <t>A 9249-2023</t>
        </is>
      </c>
      <c r="B209" s="1" t="n">
        <v>44972</v>
      </c>
      <c r="C209" s="1" t="n">
        <v>45658</v>
      </c>
      <c r="D209" t="inlineStr">
        <is>
          <t>VÄSTERBOTTENS LÄN</t>
        </is>
      </c>
      <c r="E209" t="inlineStr">
        <is>
          <t>VILHELMINA</t>
        </is>
      </c>
      <c r="F209" t="inlineStr">
        <is>
          <t>Allmännings- och besparingsskogar</t>
        </is>
      </c>
      <c r="G209" t="n">
        <v>18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9249-2023 artfynd.xlsx", "A 9249-2023")</f>
        <v/>
      </c>
      <c r="T209">
        <f>HYPERLINK("https://klasma.github.io/Logging_2462/kartor/A 9249-2023 karta.png", "A 9249-2023")</f>
        <v/>
      </c>
      <c r="V209">
        <f>HYPERLINK("https://klasma.github.io/Logging_2462/klagomål/A 9249-2023 FSC-klagomål.docx", "A 9249-2023")</f>
        <v/>
      </c>
      <c r="W209">
        <f>HYPERLINK("https://klasma.github.io/Logging_2462/klagomålsmail/A 9249-2023 FSC-klagomål mail.docx", "A 9249-2023")</f>
        <v/>
      </c>
      <c r="X209">
        <f>HYPERLINK("https://klasma.github.io/Logging_2462/tillsyn/A 9249-2023 tillsynsbegäran.docx", "A 9249-2023")</f>
        <v/>
      </c>
      <c r="Y209">
        <f>HYPERLINK("https://klasma.github.io/Logging_2462/tillsynsmail/A 9249-2023 tillsynsbegäran mail.docx", "A 9249-2023")</f>
        <v/>
      </c>
      <c r="Z209">
        <f>HYPERLINK("https://klasma.github.io/Logging_2462/fåglar/A 9249-2023 prioriterade fågelarter.docx", "A 9249-2023")</f>
        <v/>
      </c>
    </row>
    <row r="210" ht="15" customHeight="1">
      <c r="A210" t="inlineStr">
        <is>
          <t>A 11832-2023</t>
        </is>
      </c>
      <c r="B210" s="1" t="n">
        <v>44994</v>
      </c>
      <c r="C210" s="1" t="n">
        <v>45658</v>
      </c>
      <c r="D210" t="inlineStr">
        <is>
          <t>VÄSTERBOTTENS LÄN</t>
        </is>
      </c>
      <c r="E210" t="inlineStr">
        <is>
          <t>VILHELMINA</t>
        </is>
      </c>
      <c r="F210" t="inlineStr">
        <is>
          <t>SCA</t>
        </is>
      </c>
      <c r="G210" t="n">
        <v>6.7</v>
      </c>
      <c r="H210" t="n">
        <v>0</v>
      </c>
      <c r="I210" t="n">
        <v>0</v>
      </c>
      <c r="J210" t="n">
        <v>1</v>
      </c>
      <c r="K210" t="n">
        <v>0</v>
      </c>
      <c r="L210" t="n">
        <v>0</v>
      </c>
      <c r="M210" t="n">
        <v>0</v>
      </c>
      <c r="N210" t="n">
        <v>0</v>
      </c>
      <c r="O210" t="n">
        <v>1</v>
      </c>
      <c r="P210" t="n">
        <v>0</v>
      </c>
      <c r="Q210" t="n">
        <v>1</v>
      </c>
      <c r="R210" s="2" t="inlineStr">
        <is>
          <t>Granticka</t>
        </is>
      </c>
      <c r="S210">
        <f>HYPERLINK("https://klasma.github.io/Logging_2462/artfynd/A 11832-2023 artfynd.xlsx", "A 11832-2023")</f>
        <v/>
      </c>
      <c r="T210">
        <f>HYPERLINK("https://klasma.github.io/Logging_2462/kartor/A 11832-2023 karta.png", "A 11832-2023")</f>
        <v/>
      </c>
      <c r="V210">
        <f>HYPERLINK("https://klasma.github.io/Logging_2462/klagomål/A 11832-2023 FSC-klagomål.docx", "A 11832-2023")</f>
        <v/>
      </c>
      <c r="W210">
        <f>HYPERLINK("https://klasma.github.io/Logging_2462/klagomålsmail/A 11832-2023 FSC-klagomål mail.docx", "A 11832-2023")</f>
        <v/>
      </c>
      <c r="X210">
        <f>HYPERLINK("https://klasma.github.io/Logging_2462/tillsyn/A 11832-2023 tillsynsbegäran.docx", "A 11832-2023")</f>
        <v/>
      </c>
      <c r="Y210">
        <f>HYPERLINK("https://klasma.github.io/Logging_2462/tillsynsmail/A 11832-2023 tillsynsbegäran mail.docx", "A 11832-2023")</f>
        <v/>
      </c>
    </row>
    <row r="211" ht="15" customHeight="1">
      <c r="A211" t="inlineStr">
        <is>
          <t>A 29317-2023</t>
        </is>
      </c>
      <c r="B211" s="1" t="n">
        <v>45105</v>
      </c>
      <c r="C211" s="1" t="n">
        <v>45658</v>
      </c>
      <c r="D211" t="inlineStr">
        <is>
          <t>VÄSTERBOTTENS LÄN</t>
        </is>
      </c>
      <c r="E211" t="inlineStr">
        <is>
          <t>VILHELMINA</t>
        </is>
      </c>
      <c r="F211" t="inlineStr">
        <is>
          <t>SCA</t>
        </is>
      </c>
      <c r="G211" t="n">
        <v>18.8</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29317-2023 artfynd.xlsx", "A 29317-2023")</f>
        <v/>
      </c>
      <c r="T211">
        <f>HYPERLINK("https://klasma.github.io/Logging_2462/kartor/A 29317-2023 karta.png", "A 29317-2023")</f>
        <v/>
      </c>
      <c r="V211">
        <f>HYPERLINK("https://klasma.github.io/Logging_2462/klagomål/A 29317-2023 FSC-klagomål.docx", "A 29317-2023")</f>
        <v/>
      </c>
      <c r="W211">
        <f>HYPERLINK("https://klasma.github.io/Logging_2462/klagomålsmail/A 29317-2023 FSC-klagomål mail.docx", "A 29317-2023")</f>
        <v/>
      </c>
      <c r="X211">
        <f>HYPERLINK("https://klasma.github.io/Logging_2462/tillsyn/A 29317-2023 tillsynsbegäran.docx", "A 29317-2023")</f>
        <v/>
      </c>
      <c r="Y211">
        <f>HYPERLINK("https://klasma.github.io/Logging_2462/tillsynsmail/A 29317-2023 tillsynsbegäran mail.docx", "A 29317-2023")</f>
        <v/>
      </c>
      <c r="Z211">
        <f>HYPERLINK("https://klasma.github.io/Logging_2462/fåglar/A 29317-2023 prioriterade fågelarter.docx", "A 29317-2023")</f>
        <v/>
      </c>
    </row>
    <row r="212" ht="15" customHeight="1">
      <c r="A212" t="inlineStr">
        <is>
          <t>A 39919-2023</t>
        </is>
      </c>
      <c r="B212" s="1" t="n">
        <v>45166</v>
      </c>
      <c r="C212" s="1" t="n">
        <v>45658</v>
      </c>
      <c r="D212" t="inlineStr">
        <is>
          <t>VÄSTERBOTTENS LÄN</t>
        </is>
      </c>
      <c r="E212" t="inlineStr">
        <is>
          <t>VILHELMINA</t>
        </is>
      </c>
      <c r="G212" t="n">
        <v>22.2</v>
      </c>
      <c r="H212" t="n">
        <v>1</v>
      </c>
      <c r="I212" t="n">
        <v>0</v>
      </c>
      <c r="J212" t="n">
        <v>1</v>
      </c>
      <c r="K212" t="n">
        <v>0</v>
      </c>
      <c r="L212" t="n">
        <v>0</v>
      </c>
      <c r="M212" t="n">
        <v>0</v>
      </c>
      <c r="N212" t="n">
        <v>0</v>
      </c>
      <c r="O212" t="n">
        <v>1</v>
      </c>
      <c r="P212" t="n">
        <v>0</v>
      </c>
      <c r="Q212" t="n">
        <v>1</v>
      </c>
      <c r="R212" s="2" t="inlineStr">
        <is>
          <t>Utter</t>
        </is>
      </c>
      <c r="S212">
        <f>HYPERLINK("https://klasma.github.io/Logging_2462/artfynd/A 39919-2023 artfynd.xlsx", "A 39919-2023")</f>
        <v/>
      </c>
      <c r="T212">
        <f>HYPERLINK("https://klasma.github.io/Logging_2462/kartor/A 39919-2023 karta.png", "A 39919-2023")</f>
        <v/>
      </c>
      <c r="V212">
        <f>HYPERLINK("https://klasma.github.io/Logging_2462/klagomål/A 39919-2023 FSC-klagomål.docx", "A 39919-2023")</f>
        <v/>
      </c>
      <c r="W212">
        <f>HYPERLINK("https://klasma.github.io/Logging_2462/klagomålsmail/A 39919-2023 FSC-klagomål mail.docx", "A 39919-2023")</f>
        <v/>
      </c>
      <c r="X212">
        <f>HYPERLINK("https://klasma.github.io/Logging_2462/tillsyn/A 39919-2023 tillsynsbegäran.docx", "A 39919-2023")</f>
        <v/>
      </c>
      <c r="Y212">
        <f>HYPERLINK("https://klasma.github.io/Logging_2462/tillsynsmail/A 39919-2023 tillsynsbegäran mail.docx", "A 39919-2023")</f>
        <v/>
      </c>
    </row>
    <row r="213" ht="15" customHeight="1">
      <c r="A213" t="inlineStr">
        <is>
          <t>A 56247-2023</t>
        </is>
      </c>
      <c r="B213" s="1" t="n">
        <v>45240</v>
      </c>
      <c r="C213" s="1" t="n">
        <v>45658</v>
      </c>
      <c r="D213" t="inlineStr">
        <is>
          <t>VÄSTERBOTTENS LÄN</t>
        </is>
      </c>
      <c r="E213" t="inlineStr">
        <is>
          <t>VILHELMINA</t>
        </is>
      </c>
      <c r="F213" t="inlineStr">
        <is>
          <t>SCA</t>
        </is>
      </c>
      <c r="G213" t="n">
        <v>1.3</v>
      </c>
      <c r="H213" t="n">
        <v>0</v>
      </c>
      <c r="I213" t="n">
        <v>0</v>
      </c>
      <c r="J213" t="n">
        <v>1</v>
      </c>
      <c r="K213" t="n">
        <v>0</v>
      </c>
      <c r="L213" t="n">
        <v>0</v>
      </c>
      <c r="M213" t="n">
        <v>0</v>
      </c>
      <c r="N213" t="n">
        <v>0</v>
      </c>
      <c r="O213" t="n">
        <v>1</v>
      </c>
      <c r="P213" t="n">
        <v>0</v>
      </c>
      <c r="Q213" t="n">
        <v>1</v>
      </c>
      <c r="R213" s="2" t="inlineStr">
        <is>
          <t>Harticka</t>
        </is>
      </c>
      <c r="S213">
        <f>HYPERLINK("https://klasma.github.io/Logging_2462/artfynd/A 56247-2023 artfynd.xlsx", "A 56247-2023")</f>
        <v/>
      </c>
      <c r="T213">
        <f>HYPERLINK("https://klasma.github.io/Logging_2462/kartor/A 56247-2023 karta.png", "A 56247-2023")</f>
        <v/>
      </c>
      <c r="V213">
        <f>HYPERLINK("https://klasma.github.io/Logging_2462/klagomål/A 56247-2023 FSC-klagomål.docx", "A 56247-2023")</f>
        <v/>
      </c>
      <c r="W213">
        <f>HYPERLINK("https://klasma.github.io/Logging_2462/klagomålsmail/A 56247-2023 FSC-klagomål mail.docx", "A 56247-2023")</f>
        <v/>
      </c>
      <c r="X213">
        <f>HYPERLINK("https://klasma.github.io/Logging_2462/tillsyn/A 56247-2023 tillsynsbegäran.docx", "A 56247-2023")</f>
        <v/>
      </c>
      <c r="Y213">
        <f>HYPERLINK("https://klasma.github.io/Logging_2462/tillsynsmail/A 56247-2023 tillsynsbegäran mail.docx", "A 56247-2023")</f>
        <v/>
      </c>
    </row>
    <row r="214" ht="15" customHeight="1">
      <c r="A214" t="inlineStr">
        <is>
          <t>A 59664-2023</t>
        </is>
      </c>
      <c r="B214" s="1" t="n">
        <v>45254</v>
      </c>
      <c r="C214" s="1" t="n">
        <v>45658</v>
      </c>
      <c r="D214" t="inlineStr">
        <is>
          <t>VÄSTERBOTTENS LÄN</t>
        </is>
      </c>
      <c r="E214" t="inlineStr">
        <is>
          <t>VILHELMINA</t>
        </is>
      </c>
      <c r="F214" t="inlineStr">
        <is>
          <t>SCA</t>
        </is>
      </c>
      <c r="G214" t="n">
        <v>3.3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59664-2023 artfynd.xlsx", "A 59664-2023")</f>
        <v/>
      </c>
      <c r="T214">
        <f>HYPERLINK("https://klasma.github.io/Logging_2462/kartor/A 59664-2023 karta.png", "A 59664-2023")</f>
        <v/>
      </c>
      <c r="V214">
        <f>HYPERLINK("https://klasma.github.io/Logging_2462/klagomål/A 59664-2023 FSC-klagomål.docx", "A 59664-2023")</f>
        <v/>
      </c>
      <c r="W214">
        <f>HYPERLINK("https://klasma.github.io/Logging_2462/klagomålsmail/A 59664-2023 FSC-klagomål mail.docx", "A 59664-2023")</f>
        <v/>
      </c>
      <c r="X214">
        <f>HYPERLINK("https://klasma.github.io/Logging_2462/tillsyn/A 59664-2023 tillsynsbegäran.docx", "A 59664-2023")</f>
        <v/>
      </c>
      <c r="Y214">
        <f>HYPERLINK("https://klasma.github.io/Logging_2462/tillsynsmail/A 59664-2023 tillsynsbegäran mail.docx", "A 59664-2023")</f>
        <v/>
      </c>
      <c r="Z214">
        <f>HYPERLINK("https://klasma.github.io/Logging_2462/fåglar/A 59664-2023 prioriterade fågelarter.docx", "A 59664-2023")</f>
        <v/>
      </c>
    </row>
    <row r="215" ht="15" customHeight="1">
      <c r="A215" t="inlineStr">
        <is>
          <t>A 22467-2024</t>
        </is>
      </c>
      <c r="B215" s="1" t="n">
        <v>45447</v>
      </c>
      <c r="C215" s="1" t="n">
        <v>45658</v>
      </c>
      <c r="D215" t="inlineStr">
        <is>
          <t>VÄSTERBOTTENS LÄN</t>
        </is>
      </c>
      <c r="E215" t="inlineStr">
        <is>
          <t>VILHELMINA</t>
        </is>
      </c>
      <c r="F215" t="inlineStr">
        <is>
          <t>SCA</t>
        </is>
      </c>
      <c r="G215" t="n">
        <v>3.1</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22467-2024 artfynd.xlsx", "A 22467-2024")</f>
        <v/>
      </c>
      <c r="T215">
        <f>HYPERLINK("https://klasma.github.io/Logging_2462/kartor/A 22467-2024 karta.png", "A 22467-2024")</f>
        <v/>
      </c>
      <c r="V215">
        <f>HYPERLINK("https://klasma.github.io/Logging_2462/klagomål/A 22467-2024 FSC-klagomål.docx", "A 22467-2024")</f>
        <v/>
      </c>
      <c r="W215">
        <f>HYPERLINK("https://klasma.github.io/Logging_2462/klagomålsmail/A 22467-2024 FSC-klagomål mail.docx", "A 22467-2024")</f>
        <v/>
      </c>
      <c r="X215">
        <f>HYPERLINK("https://klasma.github.io/Logging_2462/tillsyn/A 22467-2024 tillsynsbegäran.docx", "A 22467-2024")</f>
        <v/>
      </c>
      <c r="Y215">
        <f>HYPERLINK("https://klasma.github.io/Logging_2462/tillsynsmail/A 22467-2024 tillsynsbegäran mail.docx", "A 22467-2024")</f>
        <v/>
      </c>
      <c r="Z215">
        <f>HYPERLINK("https://klasma.github.io/Logging_2462/fåglar/A 22467-2024 prioriterade fågelarter.docx", "A 22467-2024")</f>
        <v/>
      </c>
    </row>
    <row r="216" ht="15" customHeight="1">
      <c r="A216" t="inlineStr">
        <is>
          <t>A 22466-2024</t>
        </is>
      </c>
      <c r="B216" s="1" t="n">
        <v>45446</v>
      </c>
      <c r="C216" s="1" t="n">
        <v>45658</v>
      </c>
      <c r="D216" t="inlineStr">
        <is>
          <t>VÄSTERBOTTENS LÄN</t>
        </is>
      </c>
      <c r="E216" t="inlineStr">
        <is>
          <t>VILHELMINA</t>
        </is>
      </c>
      <c r="F216" t="inlineStr">
        <is>
          <t>SCA</t>
        </is>
      </c>
      <c r="G216" t="n">
        <v>3.9</v>
      </c>
      <c r="H216" t="n">
        <v>0</v>
      </c>
      <c r="I216" t="n">
        <v>0</v>
      </c>
      <c r="J216" t="n">
        <v>1</v>
      </c>
      <c r="K216" t="n">
        <v>0</v>
      </c>
      <c r="L216" t="n">
        <v>0</v>
      </c>
      <c r="M216" t="n">
        <v>0</v>
      </c>
      <c r="N216" t="n">
        <v>0</v>
      </c>
      <c r="O216" t="n">
        <v>1</v>
      </c>
      <c r="P216" t="n">
        <v>0</v>
      </c>
      <c r="Q216" t="n">
        <v>1</v>
      </c>
      <c r="R216" s="2" t="inlineStr">
        <is>
          <t>Ullticka</t>
        </is>
      </c>
      <c r="S216">
        <f>HYPERLINK("https://klasma.github.io/Logging_2462/artfynd/A 22466-2024 artfynd.xlsx", "A 22466-2024")</f>
        <v/>
      </c>
      <c r="T216">
        <f>HYPERLINK("https://klasma.github.io/Logging_2462/kartor/A 22466-2024 karta.png", "A 22466-2024")</f>
        <v/>
      </c>
      <c r="V216">
        <f>HYPERLINK("https://klasma.github.io/Logging_2462/klagomål/A 22466-2024 FSC-klagomål.docx", "A 22466-2024")</f>
        <v/>
      </c>
      <c r="W216">
        <f>HYPERLINK("https://klasma.github.io/Logging_2462/klagomålsmail/A 22466-2024 FSC-klagomål mail.docx", "A 22466-2024")</f>
        <v/>
      </c>
      <c r="X216">
        <f>HYPERLINK("https://klasma.github.io/Logging_2462/tillsyn/A 22466-2024 tillsynsbegäran.docx", "A 22466-2024")</f>
        <v/>
      </c>
      <c r="Y216">
        <f>HYPERLINK("https://klasma.github.io/Logging_2462/tillsynsmail/A 22466-2024 tillsynsbegäran mail.docx", "A 22466-2024")</f>
        <v/>
      </c>
    </row>
    <row r="217" ht="15" customHeight="1">
      <c r="A217" t="inlineStr">
        <is>
          <t>A 25368-2024</t>
        </is>
      </c>
      <c r="B217" s="1" t="n">
        <v>45462</v>
      </c>
      <c r="C217" s="1" t="n">
        <v>45658</v>
      </c>
      <c r="D217" t="inlineStr">
        <is>
          <t>VÄSTERBOTTENS LÄN</t>
        </is>
      </c>
      <c r="E217" t="inlineStr">
        <is>
          <t>VILHELMINA</t>
        </is>
      </c>
      <c r="F217" t="inlineStr">
        <is>
          <t>SCA</t>
        </is>
      </c>
      <c r="G217" t="n">
        <v>2.5</v>
      </c>
      <c r="H217" t="n">
        <v>1</v>
      </c>
      <c r="I217" t="n">
        <v>0</v>
      </c>
      <c r="J217" t="n">
        <v>1</v>
      </c>
      <c r="K217" t="n">
        <v>0</v>
      </c>
      <c r="L217" t="n">
        <v>0</v>
      </c>
      <c r="M217" t="n">
        <v>0</v>
      </c>
      <c r="N217" t="n">
        <v>0</v>
      </c>
      <c r="O217" t="n">
        <v>1</v>
      </c>
      <c r="P217" t="n">
        <v>0</v>
      </c>
      <c r="Q217" t="n">
        <v>1</v>
      </c>
      <c r="R217" s="2" t="inlineStr">
        <is>
          <t>Utter</t>
        </is>
      </c>
      <c r="S217">
        <f>HYPERLINK("https://klasma.github.io/Logging_2462/artfynd/A 25368-2024 artfynd.xlsx", "A 25368-2024")</f>
        <v/>
      </c>
      <c r="T217">
        <f>HYPERLINK("https://klasma.github.io/Logging_2462/kartor/A 25368-2024 karta.png", "A 25368-2024")</f>
        <v/>
      </c>
      <c r="V217">
        <f>HYPERLINK("https://klasma.github.io/Logging_2462/klagomål/A 25368-2024 FSC-klagomål.docx", "A 25368-2024")</f>
        <v/>
      </c>
      <c r="W217">
        <f>HYPERLINK("https://klasma.github.io/Logging_2462/klagomålsmail/A 25368-2024 FSC-klagomål mail.docx", "A 25368-2024")</f>
        <v/>
      </c>
      <c r="X217">
        <f>HYPERLINK("https://klasma.github.io/Logging_2462/tillsyn/A 25368-2024 tillsynsbegäran.docx", "A 25368-2024")</f>
        <v/>
      </c>
      <c r="Y217">
        <f>HYPERLINK("https://klasma.github.io/Logging_2462/tillsynsmail/A 25368-2024 tillsynsbegäran mail.docx", "A 25368-2024")</f>
        <v/>
      </c>
    </row>
    <row r="218" ht="15" customHeight="1">
      <c r="A218" t="inlineStr">
        <is>
          <t>A 25374-2024</t>
        </is>
      </c>
      <c r="B218" s="1" t="n">
        <v>45463</v>
      </c>
      <c r="C218" s="1" t="n">
        <v>45658</v>
      </c>
      <c r="D218" t="inlineStr">
        <is>
          <t>VÄSTERBOTTENS LÄN</t>
        </is>
      </c>
      <c r="E218" t="inlineStr">
        <is>
          <t>VILHELMINA</t>
        </is>
      </c>
      <c r="F218" t="inlineStr">
        <is>
          <t>SCA</t>
        </is>
      </c>
      <c r="G218" t="n">
        <v>7.7</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25374-2024 artfynd.xlsx", "A 25374-2024")</f>
        <v/>
      </c>
      <c r="T218">
        <f>HYPERLINK("https://klasma.github.io/Logging_2462/kartor/A 25374-2024 karta.png", "A 25374-2024")</f>
        <v/>
      </c>
      <c r="V218">
        <f>HYPERLINK("https://klasma.github.io/Logging_2462/klagomål/A 25374-2024 FSC-klagomål.docx", "A 25374-2024")</f>
        <v/>
      </c>
      <c r="W218">
        <f>HYPERLINK("https://klasma.github.io/Logging_2462/klagomålsmail/A 25374-2024 FSC-klagomål mail.docx", "A 25374-2024")</f>
        <v/>
      </c>
      <c r="X218">
        <f>HYPERLINK("https://klasma.github.io/Logging_2462/tillsyn/A 25374-2024 tillsynsbegäran.docx", "A 25374-2024")</f>
        <v/>
      </c>
      <c r="Y218">
        <f>HYPERLINK("https://klasma.github.io/Logging_2462/tillsynsmail/A 25374-2024 tillsynsbegäran mail.docx", "A 25374-2024")</f>
        <v/>
      </c>
      <c r="Z218">
        <f>HYPERLINK("https://klasma.github.io/Logging_2462/fåglar/A 25374-2024 prioriterade fågelarter.docx", "A 25374-2024")</f>
        <v/>
      </c>
    </row>
    <row r="219" ht="15" customHeight="1">
      <c r="A219" t="inlineStr">
        <is>
          <t>A 33913-2024</t>
        </is>
      </c>
      <c r="B219" s="1" t="n">
        <v>45523</v>
      </c>
      <c r="C219" s="1" t="n">
        <v>45658</v>
      </c>
      <c r="D219" t="inlineStr">
        <is>
          <t>VÄSTERBOTTENS LÄN</t>
        </is>
      </c>
      <c r="E219" t="inlineStr">
        <is>
          <t>VILHELMINA</t>
        </is>
      </c>
      <c r="F219" t="inlineStr">
        <is>
          <t>SCA</t>
        </is>
      </c>
      <c r="G219" t="n">
        <v>2.4</v>
      </c>
      <c r="H219" t="n">
        <v>0</v>
      </c>
      <c r="I219" t="n">
        <v>0</v>
      </c>
      <c r="J219" t="n">
        <v>1</v>
      </c>
      <c r="K219" t="n">
        <v>0</v>
      </c>
      <c r="L219" t="n">
        <v>0</v>
      </c>
      <c r="M219" t="n">
        <v>0</v>
      </c>
      <c r="N219" t="n">
        <v>0</v>
      </c>
      <c r="O219" t="n">
        <v>1</v>
      </c>
      <c r="P219" t="n">
        <v>0</v>
      </c>
      <c r="Q219" t="n">
        <v>1</v>
      </c>
      <c r="R219" s="2" t="inlineStr">
        <is>
          <t>Lunglav</t>
        </is>
      </c>
      <c r="S219">
        <f>HYPERLINK("https://klasma.github.io/Logging_2462/artfynd/A 33913-2024 artfynd.xlsx", "A 33913-2024")</f>
        <v/>
      </c>
      <c r="T219">
        <f>HYPERLINK("https://klasma.github.io/Logging_2462/kartor/A 33913-2024 karta.png", "A 33913-2024")</f>
        <v/>
      </c>
      <c r="V219">
        <f>HYPERLINK("https://klasma.github.io/Logging_2462/klagomål/A 33913-2024 FSC-klagomål.docx", "A 33913-2024")</f>
        <v/>
      </c>
      <c r="W219">
        <f>HYPERLINK("https://klasma.github.io/Logging_2462/klagomålsmail/A 33913-2024 FSC-klagomål mail.docx", "A 33913-2024")</f>
        <v/>
      </c>
      <c r="X219">
        <f>HYPERLINK("https://klasma.github.io/Logging_2462/tillsyn/A 33913-2024 tillsynsbegäran.docx", "A 33913-2024")</f>
        <v/>
      </c>
      <c r="Y219">
        <f>HYPERLINK("https://klasma.github.io/Logging_2462/tillsynsmail/A 33913-2024 tillsynsbegäran mail.docx", "A 33913-2024")</f>
        <v/>
      </c>
    </row>
    <row r="220" ht="15" customHeight="1">
      <c r="A220" t="inlineStr">
        <is>
          <t>A 34730-2024</t>
        </is>
      </c>
      <c r="B220" s="1" t="n">
        <v>45526</v>
      </c>
      <c r="C220" s="1" t="n">
        <v>45658</v>
      </c>
      <c r="D220" t="inlineStr">
        <is>
          <t>VÄSTERBOTTENS LÄN</t>
        </is>
      </c>
      <c r="E220" t="inlineStr">
        <is>
          <t>VILHELMINA</t>
        </is>
      </c>
      <c r="G220" t="n">
        <v>19.2</v>
      </c>
      <c r="H220" t="n">
        <v>0</v>
      </c>
      <c r="I220" t="n">
        <v>0</v>
      </c>
      <c r="J220" t="n">
        <v>1</v>
      </c>
      <c r="K220" t="n">
        <v>0</v>
      </c>
      <c r="L220" t="n">
        <v>0</v>
      </c>
      <c r="M220" t="n">
        <v>0</v>
      </c>
      <c r="N220" t="n">
        <v>0</v>
      </c>
      <c r="O220" t="n">
        <v>1</v>
      </c>
      <c r="P220" t="n">
        <v>0</v>
      </c>
      <c r="Q220" t="n">
        <v>1</v>
      </c>
      <c r="R220" s="2" t="inlineStr">
        <is>
          <t>Ullticka</t>
        </is>
      </c>
      <c r="S220">
        <f>HYPERLINK("https://klasma.github.io/Logging_2462/artfynd/A 34730-2024 artfynd.xlsx", "A 34730-2024")</f>
        <v/>
      </c>
      <c r="T220">
        <f>HYPERLINK("https://klasma.github.io/Logging_2462/kartor/A 34730-2024 karta.png", "A 34730-2024")</f>
        <v/>
      </c>
      <c r="V220">
        <f>HYPERLINK("https://klasma.github.io/Logging_2462/klagomål/A 34730-2024 FSC-klagomål.docx", "A 34730-2024")</f>
        <v/>
      </c>
      <c r="W220">
        <f>HYPERLINK("https://klasma.github.io/Logging_2462/klagomålsmail/A 34730-2024 FSC-klagomål mail.docx", "A 34730-2024")</f>
        <v/>
      </c>
      <c r="X220">
        <f>HYPERLINK("https://klasma.github.io/Logging_2462/tillsyn/A 34730-2024 tillsynsbegäran.docx", "A 34730-2024")</f>
        <v/>
      </c>
      <c r="Y220">
        <f>HYPERLINK("https://klasma.github.io/Logging_2462/tillsynsmail/A 34730-2024 tillsynsbegäran mail.docx", "A 34730-2024")</f>
        <v/>
      </c>
    </row>
    <row r="221" ht="15" customHeight="1">
      <c r="A221" t="inlineStr">
        <is>
          <t>A 34769-2024</t>
        </is>
      </c>
      <c r="B221" s="1" t="n">
        <v>45526</v>
      </c>
      <c r="C221" s="1" t="n">
        <v>45658</v>
      </c>
      <c r="D221" t="inlineStr">
        <is>
          <t>VÄSTERBOTTENS LÄN</t>
        </is>
      </c>
      <c r="E221" t="inlineStr">
        <is>
          <t>VILHELMINA</t>
        </is>
      </c>
      <c r="F221" t="inlineStr">
        <is>
          <t>SCA</t>
        </is>
      </c>
      <c r="G221" t="n">
        <v>6.7</v>
      </c>
      <c r="H221" t="n">
        <v>0</v>
      </c>
      <c r="I221" t="n">
        <v>0</v>
      </c>
      <c r="J221" t="n">
        <v>0</v>
      </c>
      <c r="K221" t="n">
        <v>1</v>
      </c>
      <c r="L221" t="n">
        <v>0</v>
      </c>
      <c r="M221" t="n">
        <v>0</v>
      </c>
      <c r="N221" t="n">
        <v>0</v>
      </c>
      <c r="O221" t="n">
        <v>1</v>
      </c>
      <c r="P221" t="n">
        <v>1</v>
      </c>
      <c r="Q221" t="n">
        <v>1</v>
      </c>
      <c r="R221" s="2" t="inlineStr">
        <is>
          <t>Rynkskinn</t>
        </is>
      </c>
      <c r="S221">
        <f>HYPERLINK("https://klasma.github.io/Logging_2462/artfynd/A 34769-2024 artfynd.xlsx", "A 34769-2024")</f>
        <v/>
      </c>
      <c r="T221">
        <f>HYPERLINK("https://klasma.github.io/Logging_2462/kartor/A 34769-2024 karta.png", "A 34769-2024")</f>
        <v/>
      </c>
      <c r="V221">
        <f>HYPERLINK("https://klasma.github.io/Logging_2462/klagomål/A 34769-2024 FSC-klagomål.docx", "A 34769-2024")</f>
        <v/>
      </c>
      <c r="W221">
        <f>HYPERLINK("https://klasma.github.io/Logging_2462/klagomålsmail/A 34769-2024 FSC-klagomål mail.docx", "A 34769-2024")</f>
        <v/>
      </c>
      <c r="X221">
        <f>HYPERLINK("https://klasma.github.io/Logging_2462/tillsyn/A 34769-2024 tillsynsbegäran.docx", "A 34769-2024")</f>
        <v/>
      </c>
      <c r="Y221">
        <f>HYPERLINK("https://klasma.github.io/Logging_2462/tillsynsmail/A 34769-2024 tillsynsbegäran mail.docx", "A 34769-2024")</f>
        <v/>
      </c>
    </row>
    <row r="222" ht="15" customHeight="1">
      <c r="A222" t="inlineStr">
        <is>
          <t>A 38131-2024</t>
        </is>
      </c>
      <c r="B222" s="1" t="n">
        <v>45545</v>
      </c>
      <c r="C222" s="1" t="n">
        <v>45658</v>
      </c>
      <c r="D222" t="inlineStr">
        <is>
          <t>VÄSTERBOTTENS LÄN</t>
        </is>
      </c>
      <c r="E222" t="inlineStr">
        <is>
          <t>VILHELMINA</t>
        </is>
      </c>
      <c r="F222" t="inlineStr">
        <is>
          <t>SCA</t>
        </is>
      </c>
      <c r="G222" t="n">
        <v>1.5</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38131-2024 artfynd.xlsx", "A 38131-2024")</f>
        <v/>
      </c>
      <c r="T222">
        <f>HYPERLINK("https://klasma.github.io/Logging_2462/kartor/A 38131-2024 karta.png", "A 38131-2024")</f>
        <v/>
      </c>
      <c r="V222">
        <f>HYPERLINK("https://klasma.github.io/Logging_2462/klagomål/A 38131-2024 FSC-klagomål.docx", "A 38131-2024")</f>
        <v/>
      </c>
      <c r="W222">
        <f>HYPERLINK("https://klasma.github.io/Logging_2462/klagomålsmail/A 38131-2024 FSC-klagomål mail.docx", "A 38131-2024")</f>
        <v/>
      </c>
      <c r="X222">
        <f>HYPERLINK("https://klasma.github.io/Logging_2462/tillsyn/A 38131-2024 tillsynsbegäran.docx", "A 38131-2024")</f>
        <v/>
      </c>
      <c r="Y222">
        <f>HYPERLINK("https://klasma.github.io/Logging_2462/tillsynsmail/A 38131-2024 tillsynsbegäran mail.docx", "A 38131-2024")</f>
        <v/>
      </c>
      <c r="Z222">
        <f>HYPERLINK("https://klasma.github.io/Logging_2462/fåglar/A 38131-2024 prioriterade fågelarter.docx", "A 38131-2024")</f>
        <v/>
      </c>
    </row>
    <row r="223" ht="15" customHeight="1">
      <c r="A223" t="inlineStr">
        <is>
          <t>A 38282-2024</t>
        </is>
      </c>
      <c r="B223" s="1" t="n">
        <v>45545</v>
      </c>
      <c r="C223" s="1" t="n">
        <v>45658</v>
      </c>
      <c r="D223" t="inlineStr">
        <is>
          <t>VÄSTERBOTTENS LÄN</t>
        </is>
      </c>
      <c r="E223" t="inlineStr">
        <is>
          <t>VILHELMINA</t>
        </is>
      </c>
      <c r="F223" t="inlineStr">
        <is>
          <t>SCA</t>
        </is>
      </c>
      <c r="G223" t="n">
        <v>3.4</v>
      </c>
      <c r="H223" t="n">
        <v>0</v>
      </c>
      <c r="I223" t="n">
        <v>0</v>
      </c>
      <c r="J223" t="n">
        <v>1</v>
      </c>
      <c r="K223" t="n">
        <v>0</v>
      </c>
      <c r="L223" t="n">
        <v>0</v>
      </c>
      <c r="M223" t="n">
        <v>0</v>
      </c>
      <c r="N223" t="n">
        <v>0</v>
      </c>
      <c r="O223" t="n">
        <v>1</v>
      </c>
      <c r="P223" t="n">
        <v>0</v>
      </c>
      <c r="Q223" t="n">
        <v>1</v>
      </c>
      <c r="R223" s="2" t="inlineStr">
        <is>
          <t>Gränsticka</t>
        </is>
      </c>
      <c r="S223">
        <f>HYPERLINK("https://klasma.github.io/Logging_2462/artfynd/A 38282-2024 artfynd.xlsx", "A 38282-2024")</f>
        <v/>
      </c>
      <c r="T223">
        <f>HYPERLINK("https://klasma.github.io/Logging_2462/kartor/A 38282-2024 karta.png", "A 38282-2024")</f>
        <v/>
      </c>
      <c r="V223">
        <f>HYPERLINK("https://klasma.github.io/Logging_2462/klagomål/A 38282-2024 FSC-klagomål.docx", "A 38282-2024")</f>
        <v/>
      </c>
      <c r="W223">
        <f>HYPERLINK("https://klasma.github.io/Logging_2462/klagomålsmail/A 38282-2024 FSC-klagomål mail.docx", "A 38282-2024")</f>
        <v/>
      </c>
      <c r="X223">
        <f>HYPERLINK("https://klasma.github.io/Logging_2462/tillsyn/A 38282-2024 tillsynsbegäran.docx", "A 38282-2024")</f>
        <v/>
      </c>
      <c r="Y223">
        <f>HYPERLINK("https://klasma.github.io/Logging_2462/tillsynsmail/A 38282-2024 tillsynsbegäran mail.docx", "A 38282-2024")</f>
        <v/>
      </c>
    </row>
    <row r="224" ht="15" customHeight="1">
      <c r="A224" t="inlineStr">
        <is>
          <t>A 42489-2024</t>
        </is>
      </c>
      <c r="B224" s="1" t="n">
        <v>45565</v>
      </c>
      <c r="C224" s="1" t="n">
        <v>45658</v>
      </c>
      <c r="D224" t="inlineStr">
        <is>
          <t>VÄSTERBOTTENS LÄN</t>
        </is>
      </c>
      <c r="E224" t="inlineStr">
        <is>
          <t>VILHELMINA</t>
        </is>
      </c>
      <c r="F224" t="inlineStr">
        <is>
          <t>SCA</t>
        </is>
      </c>
      <c r="G224" t="n">
        <v>1.9</v>
      </c>
      <c r="H224" t="n">
        <v>0</v>
      </c>
      <c r="I224" t="n">
        <v>0</v>
      </c>
      <c r="J224" t="n">
        <v>1</v>
      </c>
      <c r="K224" t="n">
        <v>0</v>
      </c>
      <c r="L224" t="n">
        <v>0</v>
      </c>
      <c r="M224" t="n">
        <v>0</v>
      </c>
      <c r="N224" t="n">
        <v>0</v>
      </c>
      <c r="O224" t="n">
        <v>1</v>
      </c>
      <c r="P224" t="n">
        <v>0</v>
      </c>
      <c r="Q224" t="n">
        <v>1</v>
      </c>
      <c r="R224" s="2" t="inlineStr">
        <is>
          <t>Granticka</t>
        </is>
      </c>
      <c r="S224">
        <f>HYPERLINK("https://klasma.github.io/Logging_2462/artfynd/A 42489-2024 artfynd.xlsx", "A 42489-2024")</f>
        <v/>
      </c>
      <c r="T224">
        <f>HYPERLINK("https://klasma.github.io/Logging_2462/kartor/A 42489-2024 karta.png", "A 42489-2024")</f>
        <v/>
      </c>
      <c r="V224">
        <f>HYPERLINK("https://klasma.github.io/Logging_2462/klagomål/A 42489-2024 FSC-klagomål.docx", "A 42489-2024")</f>
        <v/>
      </c>
      <c r="W224">
        <f>HYPERLINK("https://klasma.github.io/Logging_2462/klagomålsmail/A 42489-2024 FSC-klagomål mail.docx", "A 42489-2024")</f>
        <v/>
      </c>
      <c r="X224">
        <f>HYPERLINK("https://klasma.github.io/Logging_2462/tillsyn/A 42489-2024 tillsynsbegäran.docx", "A 42489-2024")</f>
        <v/>
      </c>
      <c r="Y224">
        <f>HYPERLINK("https://klasma.github.io/Logging_2462/tillsynsmail/A 42489-2024 tillsynsbegäran mail.docx", "A 42489-2024")</f>
        <v/>
      </c>
    </row>
    <row r="225" ht="15" customHeight="1">
      <c r="A225" t="inlineStr">
        <is>
          <t>A 44286-2024</t>
        </is>
      </c>
      <c r="B225" s="1" t="n">
        <v>45573</v>
      </c>
      <c r="C225" s="1" t="n">
        <v>45658</v>
      </c>
      <c r="D225" t="inlineStr">
        <is>
          <t>VÄSTERBOTTENS LÄN</t>
        </is>
      </c>
      <c r="E225" t="inlineStr">
        <is>
          <t>VILHELMINA</t>
        </is>
      </c>
      <c r="G225" t="n">
        <v>29.2</v>
      </c>
      <c r="H225" t="n">
        <v>1</v>
      </c>
      <c r="I225" t="n">
        <v>0</v>
      </c>
      <c r="J225" t="n">
        <v>1</v>
      </c>
      <c r="K225" t="n">
        <v>0</v>
      </c>
      <c r="L225" t="n">
        <v>0</v>
      </c>
      <c r="M225" t="n">
        <v>0</v>
      </c>
      <c r="N225" t="n">
        <v>0</v>
      </c>
      <c r="O225" t="n">
        <v>1</v>
      </c>
      <c r="P225" t="n">
        <v>0</v>
      </c>
      <c r="Q225" t="n">
        <v>1</v>
      </c>
      <c r="R225" s="2" t="inlineStr">
        <is>
          <t>Videsparv</t>
        </is>
      </c>
      <c r="S225">
        <f>HYPERLINK("https://klasma.github.io/Logging_2462/artfynd/A 44286-2024 artfynd.xlsx", "A 44286-2024")</f>
        <v/>
      </c>
      <c r="T225">
        <f>HYPERLINK("https://klasma.github.io/Logging_2462/kartor/A 44286-2024 karta.png", "A 44286-2024")</f>
        <v/>
      </c>
      <c r="V225">
        <f>HYPERLINK("https://klasma.github.io/Logging_2462/klagomål/A 44286-2024 FSC-klagomål.docx", "A 44286-2024")</f>
        <v/>
      </c>
      <c r="W225">
        <f>HYPERLINK("https://klasma.github.io/Logging_2462/klagomålsmail/A 44286-2024 FSC-klagomål mail.docx", "A 44286-2024")</f>
        <v/>
      </c>
      <c r="X225">
        <f>HYPERLINK("https://klasma.github.io/Logging_2462/tillsyn/A 44286-2024 tillsynsbegäran.docx", "A 44286-2024")</f>
        <v/>
      </c>
      <c r="Y225">
        <f>HYPERLINK("https://klasma.github.io/Logging_2462/tillsynsmail/A 44286-2024 tillsynsbegäran mail.docx", "A 44286-2024")</f>
        <v/>
      </c>
      <c r="Z225">
        <f>HYPERLINK("https://klasma.github.io/Logging_2462/fåglar/A 44286-2024 prioriterade fågelarter.docx", "A 44286-2024")</f>
        <v/>
      </c>
    </row>
    <row r="226" ht="15" customHeight="1">
      <c r="A226" t="inlineStr">
        <is>
          <t>A 47248-2024</t>
        </is>
      </c>
      <c r="B226" s="1" t="n">
        <v>45586</v>
      </c>
      <c r="C226" s="1" t="n">
        <v>45658</v>
      </c>
      <c r="D226" t="inlineStr">
        <is>
          <t>VÄSTERBOTTENS LÄN</t>
        </is>
      </c>
      <c r="E226" t="inlineStr">
        <is>
          <t>VILHELMINA</t>
        </is>
      </c>
      <c r="F226" t="inlineStr">
        <is>
          <t>SCA</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HYPERLINK("https://klasma.github.io/Logging_2462/artfynd/A 47248-2024 artfynd.xlsx", "A 47248-2024")</f>
        <v/>
      </c>
      <c r="T226">
        <f>HYPERLINK("https://klasma.github.io/Logging_2462/kartor/A 47248-2024 karta.png", "A 47248-2024")</f>
        <v/>
      </c>
      <c r="V226">
        <f>HYPERLINK("https://klasma.github.io/Logging_2462/klagomål/A 47248-2024 FSC-klagomål.docx", "A 47248-2024")</f>
        <v/>
      </c>
      <c r="W226">
        <f>HYPERLINK("https://klasma.github.io/Logging_2462/klagomålsmail/A 47248-2024 FSC-klagomål mail.docx", "A 47248-2024")</f>
        <v/>
      </c>
      <c r="X226">
        <f>HYPERLINK("https://klasma.github.io/Logging_2462/tillsyn/A 47248-2024 tillsynsbegäran.docx", "A 47248-2024")</f>
        <v/>
      </c>
      <c r="Y226">
        <f>HYPERLINK("https://klasma.github.io/Logging_2462/tillsynsmail/A 47248-2024 tillsynsbegäran mail.docx", "A 47248-2024")</f>
        <v/>
      </c>
    </row>
    <row r="227" ht="15" customHeight="1">
      <c r="A227" t="inlineStr">
        <is>
          <t>A 59001-2024</t>
        </is>
      </c>
      <c r="B227" s="1" t="n">
        <v>45636</v>
      </c>
      <c r="C227" s="1" t="n">
        <v>45658</v>
      </c>
      <c r="D227" t="inlineStr">
        <is>
          <t>VÄSTERBOTTENS LÄN</t>
        </is>
      </c>
      <c r="E227" t="inlineStr">
        <is>
          <t>VILHELMINA</t>
        </is>
      </c>
      <c r="F227" t="inlineStr">
        <is>
          <t>Allmännings- och besparingsskogar</t>
        </is>
      </c>
      <c r="G227" t="n">
        <v>32.5</v>
      </c>
      <c r="H227" t="n">
        <v>0</v>
      </c>
      <c r="I227" t="n">
        <v>0</v>
      </c>
      <c r="J227" t="n">
        <v>1</v>
      </c>
      <c r="K227" t="n">
        <v>0</v>
      </c>
      <c r="L227" t="n">
        <v>0</v>
      </c>
      <c r="M227" t="n">
        <v>0</v>
      </c>
      <c r="N227" t="n">
        <v>0</v>
      </c>
      <c r="O227" t="n">
        <v>1</v>
      </c>
      <c r="P227" t="n">
        <v>0</v>
      </c>
      <c r="Q227" t="n">
        <v>1</v>
      </c>
      <c r="R227" s="2" t="inlineStr">
        <is>
          <t>Gammelgransskål</t>
        </is>
      </c>
      <c r="S227">
        <f>HYPERLINK("https://klasma.github.io/Logging_2462/artfynd/A 59001-2024 artfynd.xlsx", "A 59001-2024")</f>
        <v/>
      </c>
      <c r="T227">
        <f>HYPERLINK("https://klasma.github.io/Logging_2462/kartor/A 59001-2024 karta.png", "A 59001-2024")</f>
        <v/>
      </c>
      <c r="V227">
        <f>HYPERLINK("https://klasma.github.io/Logging_2462/klagomål/A 59001-2024 FSC-klagomål.docx", "A 59001-2024")</f>
        <v/>
      </c>
      <c r="W227">
        <f>HYPERLINK("https://klasma.github.io/Logging_2462/klagomålsmail/A 59001-2024 FSC-klagomål mail.docx", "A 59001-2024")</f>
        <v/>
      </c>
      <c r="X227">
        <f>HYPERLINK("https://klasma.github.io/Logging_2462/tillsyn/A 59001-2024 tillsynsbegäran.docx", "A 59001-2024")</f>
        <v/>
      </c>
      <c r="Y227">
        <f>HYPERLINK("https://klasma.github.io/Logging_2462/tillsynsmail/A 59001-2024 tillsynsbegäran mail.docx", "A 59001-2024")</f>
        <v/>
      </c>
    </row>
    <row r="228" ht="15" customHeight="1">
      <c r="A228" t="inlineStr">
        <is>
          <t>A 18521-2019</t>
        </is>
      </c>
      <c r="B228" s="1" t="n">
        <v>43558</v>
      </c>
      <c r="C228" s="1" t="n">
        <v>45658</v>
      </c>
      <c r="D228" t="inlineStr">
        <is>
          <t>VÄSTERBOTTENS LÄN</t>
        </is>
      </c>
      <c r="E228" t="inlineStr">
        <is>
          <t>VILHELMINA</t>
        </is>
      </c>
      <c r="G228" t="n">
        <v>4.5</v>
      </c>
      <c r="H228" t="n">
        <v>0</v>
      </c>
      <c r="I228" t="n">
        <v>0</v>
      </c>
      <c r="J228" t="n">
        <v>0</v>
      </c>
      <c r="K228" t="n">
        <v>0</v>
      </c>
      <c r="L228" t="n">
        <v>0</v>
      </c>
      <c r="M228" t="n">
        <v>0</v>
      </c>
      <c r="N228" t="n">
        <v>0</v>
      </c>
      <c r="O228" t="n">
        <v>0</v>
      </c>
      <c r="P228" t="n">
        <v>0</v>
      </c>
      <c r="Q228" t="n">
        <v>0</v>
      </c>
      <c r="R228" s="2" t="inlineStr"/>
    </row>
    <row r="229" ht="15" customHeight="1">
      <c r="A229" t="inlineStr">
        <is>
          <t>A 18529-2019</t>
        </is>
      </c>
      <c r="B229" s="1" t="n">
        <v>43559</v>
      </c>
      <c r="C229" s="1" t="n">
        <v>45658</v>
      </c>
      <c r="D229" t="inlineStr">
        <is>
          <t>VÄSTERBOTTENS LÄN</t>
        </is>
      </c>
      <c r="E229" t="inlineStr">
        <is>
          <t>VILHELMINA</t>
        </is>
      </c>
      <c r="F229" t="inlineStr">
        <is>
          <t>Kommuner</t>
        </is>
      </c>
      <c r="G229" t="n">
        <v>3</v>
      </c>
      <c r="H229" t="n">
        <v>0</v>
      </c>
      <c r="I229" t="n">
        <v>0</v>
      </c>
      <c r="J229" t="n">
        <v>0</v>
      </c>
      <c r="K229" t="n">
        <v>0</v>
      </c>
      <c r="L229" t="n">
        <v>0</v>
      </c>
      <c r="M229" t="n">
        <v>0</v>
      </c>
      <c r="N229" t="n">
        <v>0</v>
      </c>
      <c r="O229" t="n">
        <v>0</v>
      </c>
      <c r="P229" t="n">
        <v>0</v>
      </c>
      <c r="Q229" t="n">
        <v>0</v>
      </c>
      <c r="R229" s="2" t="inlineStr"/>
    </row>
    <row r="230" ht="15" customHeight="1">
      <c r="A230" t="inlineStr">
        <is>
          <t>A 18449-2019</t>
        </is>
      </c>
      <c r="B230" s="1" t="n">
        <v>43559</v>
      </c>
      <c r="C230" s="1" t="n">
        <v>45658</v>
      </c>
      <c r="D230" t="inlineStr">
        <is>
          <t>VÄSTERBOTTENS LÄN</t>
        </is>
      </c>
      <c r="E230" t="inlineStr">
        <is>
          <t>VILHELMINA</t>
        </is>
      </c>
      <c r="F230" t="inlineStr">
        <is>
          <t>Kommuner</t>
        </is>
      </c>
      <c r="G230" t="n">
        <v>20.8</v>
      </c>
      <c r="H230" t="n">
        <v>0</v>
      </c>
      <c r="I230" t="n">
        <v>0</v>
      </c>
      <c r="J230" t="n">
        <v>0</v>
      </c>
      <c r="K230" t="n">
        <v>0</v>
      </c>
      <c r="L230" t="n">
        <v>0</v>
      </c>
      <c r="M230" t="n">
        <v>0</v>
      </c>
      <c r="N230" t="n">
        <v>0</v>
      </c>
      <c r="O230" t="n">
        <v>0</v>
      </c>
      <c r="P230" t="n">
        <v>0</v>
      </c>
      <c r="Q230" t="n">
        <v>0</v>
      </c>
      <c r="R230" s="2" t="inlineStr"/>
    </row>
    <row r="231" ht="15" customHeight="1">
      <c r="A231" t="inlineStr">
        <is>
          <t>A 19130-2019</t>
        </is>
      </c>
      <c r="B231" s="1" t="n">
        <v>43564</v>
      </c>
      <c r="C231" s="1" t="n">
        <v>45658</v>
      </c>
      <c r="D231" t="inlineStr">
        <is>
          <t>VÄSTERBOTTENS LÄN</t>
        </is>
      </c>
      <c r="E231" t="inlineStr">
        <is>
          <t>VILHELMINA</t>
        </is>
      </c>
      <c r="G231" t="n">
        <v>5.6</v>
      </c>
      <c r="H231" t="n">
        <v>0</v>
      </c>
      <c r="I231" t="n">
        <v>0</v>
      </c>
      <c r="J231" t="n">
        <v>0</v>
      </c>
      <c r="K231" t="n">
        <v>0</v>
      </c>
      <c r="L231" t="n">
        <v>0</v>
      </c>
      <c r="M231" t="n">
        <v>0</v>
      </c>
      <c r="N231" t="n">
        <v>0</v>
      </c>
      <c r="O231" t="n">
        <v>0</v>
      </c>
      <c r="P231" t="n">
        <v>0</v>
      </c>
      <c r="Q231" t="n">
        <v>0</v>
      </c>
      <c r="R231" s="2" t="inlineStr"/>
    </row>
    <row r="232" ht="15" customHeight="1">
      <c r="A232" t="inlineStr">
        <is>
          <t>A 23278-2019</t>
        </is>
      </c>
      <c r="B232" s="1" t="n">
        <v>43592</v>
      </c>
      <c r="C232" s="1" t="n">
        <v>45658</v>
      </c>
      <c r="D232" t="inlineStr">
        <is>
          <t>VÄSTERBOTTENS LÄN</t>
        </is>
      </c>
      <c r="E232" t="inlineStr">
        <is>
          <t>VILHELMINA</t>
        </is>
      </c>
      <c r="F232" t="inlineStr">
        <is>
          <t>SCA</t>
        </is>
      </c>
      <c r="G232" t="n">
        <v>6.6</v>
      </c>
      <c r="H232" t="n">
        <v>0</v>
      </c>
      <c r="I232" t="n">
        <v>0</v>
      </c>
      <c r="J232" t="n">
        <v>0</v>
      </c>
      <c r="K232" t="n">
        <v>0</v>
      </c>
      <c r="L232" t="n">
        <v>0</v>
      </c>
      <c r="M232" t="n">
        <v>0</v>
      </c>
      <c r="N232" t="n">
        <v>0</v>
      </c>
      <c r="O232" t="n">
        <v>0</v>
      </c>
      <c r="P232" t="n">
        <v>0</v>
      </c>
      <c r="Q232" t="n">
        <v>0</v>
      </c>
      <c r="R232" s="2" t="inlineStr"/>
    </row>
    <row r="233" ht="15" customHeight="1">
      <c r="A233" t="inlineStr">
        <is>
          <t>A 23277-2019</t>
        </is>
      </c>
      <c r="B233" s="1" t="n">
        <v>43592</v>
      </c>
      <c r="C233" s="1" t="n">
        <v>45658</v>
      </c>
      <c r="D233" t="inlineStr">
        <is>
          <t>VÄSTERBOTTENS LÄN</t>
        </is>
      </c>
      <c r="E233" t="inlineStr">
        <is>
          <t>VILHELMINA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23724-2019</t>
        </is>
      </c>
      <c r="B234" s="1" t="n">
        <v>43594</v>
      </c>
      <c r="C234" s="1" t="n">
        <v>45658</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23723-2019</t>
        </is>
      </c>
      <c r="B235" s="1" t="n">
        <v>43594</v>
      </c>
      <c r="C235" s="1" t="n">
        <v>45658</v>
      </c>
      <c r="D235" t="inlineStr">
        <is>
          <t>VÄSTERBOTTENS LÄN</t>
        </is>
      </c>
      <c r="E235" t="inlineStr">
        <is>
          <t>VILHELMINA</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26852-2019</t>
        </is>
      </c>
      <c r="B236" s="1" t="n">
        <v>43608</v>
      </c>
      <c r="C236" s="1" t="n">
        <v>45658</v>
      </c>
      <c r="D236" t="inlineStr">
        <is>
          <t>VÄSTERBOTTENS LÄN</t>
        </is>
      </c>
      <c r="E236" t="inlineStr">
        <is>
          <t>VILHELMINA</t>
        </is>
      </c>
      <c r="G236" t="n">
        <v>0.6</v>
      </c>
      <c r="H236" t="n">
        <v>0</v>
      </c>
      <c r="I236" t="n">
        <v>0</v>
      </c>
      <c r="J236" t="n">
        <v>0</v>
      </c>
      <c r="K236" t="n">
        <v>0</v>
      </c>
      <c r="L236" t="n">
        <v>0</v>
      </c>
      <c r="M236" t="n">
        <v>0</v>
      </c>
      <c r="N236" t="n">
        <v>0</v>
      </c>
      <c r="O236" t="n">
        <v>0</v>
      </c>
      <c r="P236" t="n">
        <v>0</v>
      </c>
      <c r="Q236" t="n">
        <v>0</v>
      </c>
      <c r="R236" s="2" t="inlineStr"/>
    </row>
    <row r="237" ht="15" customHeight="1">
      <c r="A237" t="inlineStr">
        <is>
          <t>A 26896-2019</t>
        </is>
      </c>
      <c r="B237" s="1" t="n">
        <v>43608</v>
      </c>
      <c r="C237" s="1" t="n">
        <v>45658</v>
      </c>
      <c r="D237" t="inlineStr">
        <is>
          <t>VÄSTERBOTTENS LÄN</t>
        </is>
      </c>
      <c r="E237" t="inlineStr">
        <is>
          <t>VILHELMINA</t>
        </is>
      </c>
      <c r="G237" t="n">
        <v>3.1</v>
      </c>
      <c r="H237" t="n">
        <v>0</v>
      </c>
      <c r="I237" t="n">
        <v>0</v>
      </c>
      <c r="J237" t="n">
        <v>0</v>
      </c>
      <c r="K237" t="n">
        <v>0</v>
      </c>
      <c r="L237" t="n">
        <v>0</v>
      </c>
      <c r="M237" t="n">
        <v>0</v>
      </c>
      <c r="N237" t="n">
        <v>0</v>
      </c>
      <c r="O237" t="n">
        <v>0</v>
      </c>
      <c r="P237" t="n">
        <v>0</v>
      </c>
      <c r="Q237" t="n">
        <v>0</v>
      </c>
      <c r="R237" s="2" t="inlineStr"/>
    </row>
    <row r="238" ht="15" customHeight="1">
      <c r="A238" t="inlineStr">
        <is>
          <t>A 27075-2019</t>
        </is>
      </c>
      <c r="B238" s="1" t="n">
        <v>43612</v>
      </c>
      <c r="C238" s="1" t="n">
        <v>45658</v>
      </c>
      <c r="D238" t="inlineStr">
        <is>
          <t>VÄSTERBOTTENS LÄN</t>
        </is>
      </c>
      <c r="E238" t="inlineStr">
        <is>
          <t>VILHELMINA</t>
        </is>
      </c>
      <c r="G238" t="n">
        <v>4.3</v>
      </c>
      <c r="H238" t="n">
        <v>0</v>
      </c>
      <c r="I238" t="n">
        <v>0</v>
      </c>
      <c r="J238" t="n">
        <v>0</v>
      </c>
      <c r="K238" t="n">
        <v>0</v>
      </c>
      <c r="L238" t="n">
        <v>0</v>
      </c>
      <c r="M238" t="n">
        <v>0</v>
      </c>
      <c r="N238" t="n">
        <v>0</v>
      </c>
      <c r="O238" t="n">
        <v>0</v>
      </c>
      <c r="P238" t="n">
        <v>0</v>
      </c>
      <c r="Q238" t="n">
        <v>0</v>
      </c>
      <c r="R238" s="2" t="inlineStr"/>
    </row>
    <row r="239" ht="15" customHeight="1">
      <c r="A239" t="inlineStr">
        <is>
          <t>A 26763-2019</t>
        </is>
      </c>
      <c r="B239" s="1" t="n">
        <v>43613</v>
      </c>
      <c r="C239" s="1" t="n">
        <v>45658</v>
      </c>
      <c r="D239" t="inlineStr">
        <is>
          <t>VÄSTERBOTTENS LÄN</t>
        </is>
      </c>
      <c r="E239" t="inlineStr">
        <is>
          <t>VILHELMINA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27254-2019</t>
        </is>
      </c>
      <c r="B240" s="1" t="n">
        <v>43614</v>
      </c>
      <c r="C240" s="1" t="n">
        <v>45658</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27253-2019</t>
        </is>
      </c>
      <c r="B241" s="1" t="n">
        <v>43614</v>
      </c>
      <c r="C241" s="1" t="n">
        <v>45658</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31612-2019</t>
        </is>
      </c>
      <c r="B242" s="1" t="n">
        <v>43640</v>
      </c>
      <c r="C242" s="1" t="n">
        <v>45658</v>
      </c>
      <c r="D242" t="inlineStr">
        <is>
          <t>VÄSTERBOTTENS LÄN</t>
        </is>
      </c>
      <c r="E242" t="inlineStr">
        <is>
          <t>VILHELMINA</t>
        </is>
      </c>
      <c r="G242" t="n">
        <v>1.3</v>
      </c>
      <c r="H242" t="n">
        <v>0</v>
      </c>
      <c r="I242" t="n">
        <v>0</v>
      </c>
      <c r="J242" t="n">
        <v>0</v>
      </c>
      <c r="K242" t="n">
        <v>0</v>
      </c>
      <c r="L242" t="n">
        <v>0</v>
      </c>
      <c r="M242" t="n">
        <v>0</v>
      </c>
      <c r="N242" t="n">
        <v>0</v>
      </c>
      <c r="O242" t="n">
        <v>0</v>
      </c>
      <c r="P242" t="n">
        <v>0</v>
      </c>
      <c r="Q242" t="n">
        <v>0</v>
      </c>
      <c r="R242" s="2" t="inlineStr"/>
    </row>
    <row r="243" ht="15" customHeight="1">
      <c r="A243" t="inlineStr">
        <is>
          <t>A 31615-2019</t>
        </is>
      </c>
      <c r="B243" s="1" t="n">
        <v>43640</v>
      </c>
      <c r="C243" s="1" t="n">
        <v>45658</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31610-2019</t>
        </is>
      </c>
      <c r="B244" s="1" t="n">
        <v>43640</v>
      </c>
      <c r="C244" s="1" t="n">
        <v>45658</v>
      </c>
      <c r="D244" t="inlineStr">
        <is>
          <t>VÄSTERBOTTENS LÄN</t>
        </is>
      </c>
      <c r="E244" t="inlineStr">
        <is>
          <t>VILHELMINA</t>
        </is>
      </c>
      <c r="G244" t="n">
        <v>1</v>
      </c>
      <c r="H244" t="n">
        <v>0</v>
      </c>
      <c r="I244" t="n">
        <v>0</v>
      </c>
      <c r="J244" t="n">
        <v>0</v>
      </c>
      <c r="K244" t="n">
        <v>0</v>
      </c>
      <c r="L244" t="n">
        <v>0</v>
      </c>
      <c r="M244" t="n">
        <v>0</v>
      </c>
      <c r="N244" t="n">
        <v>0</v>
      </c>
      <c r="O244" t="n">
        <v>0</v>
      </c>
      <c r="P244" t="n">
        <v>0</v>
      </c>
      <c r="Q244" t="n">
        <v>0</v>
      </c>
      <c r="R244" s="2" t="inlineStr"/>
    </row>
    <row r="245" ht="15" customHeight="1">
      <c r="A245" t="inlineStr">
        <is>
          <t>A 31607-2019</t>
        </is>
      </c>
      <c r="B245" s="1" t="n">
        <v>43640</v>
      </c>
      <c r="C245" s="1" t="n">
        <v>45658</v>
      </c>
      <c r="D245" t="inlineStr">
        <is>
          <t>VÄSTERBOTTENS LÄN</t>
        </is>
      </c>
      <c r="E245" t="inlineStr">
        <is>
          <t>VILHELMINA</t>
        </is>
      </c>
      <c r="G245" t="n">
        <v>0.4</v>
      </c>
      <c r="H245" t="n">
        <v>0</v>
      </c>
      <c r="I245" t="n">
        <v>0</v>
      </c>
      <c r="J245" t="n">
        <v>0</v>
      </c>
      <c r="K245" t="n">
        <v>0</v>
      </c>
      <c r="L245" t="n">
        <v>0</v>
      </c>
      <c r="M245" t="n">
        <v>0</v>
      </c>
      <c r="N245" t="n">
        <v>0</v>
      </c>
      <c r="O245" t="n">
        <v>0</v>
      </c>
      <c r="P245" t="n">
        <v>0</v>
      </c>
      <c r="Q245" t="n">
        <v>0</v>
      </c>
      <c r="R245" s="2" t="inlineStr"/>
    </row>
    <row r="246" ht="15" customHeight="1">
      <c r="A246" t="inlineStr">
        <is>
          <t>A 31845-2019</t>
        </is>
      </c>
      <c r="B246" s="1" t="n">
        <v>43640</v>
      </c>
      <c r="C246" s="1" t="n">
        <v>45658</v>
      </c>
      <c r="D246" t="inlineStr">
        <is>
          <t>VÄSTERBOTTENS LÄN</t>
        </is>
      </c>
      <c r="E246" t="inlineStr">
        <is>
          <t>VILHELMINA</t>
        </is>
      </c>
      <c r="G246" t="n">
        <v>10.9</v>
      </c>
      <c r="H246" t="n">
        <v>0</v>
      </c>
      <c r="I246" t="n">
        <v>0</v>
      </c>
      <c r="J246" t="n">
        <v>0</v>
      </c>
      <c r="K246" t="n">
        <v>0</v>
      </c>
      <c r="L246" t="n">
        <v>0</v>
      </c>
      <c r="M246" t="n">
        <v>0</v>
      </c>
      <c r="N246" t="n">
        <v>0</v>
      </c>
      <c r="O246" t="n">
        <v>0</v>
      </c>
      <c r="P246" t="n">
        <v>0</v>
      </c>
      <c r="Q246" t="n">
        <v>0</v>
      </c>
      <c r="R246" s="2" t="inlineStr"/>
    </row>
    <row r="247" ht="15" customHeight="1">
      <c r="A247" t="inlineStr">
        <is>
          <t>A 31511-2019</t>
        </is>
      </c>
      <c r="B247" s="1" t="n">
        <v>43641</v>
      </c>
      <c r="C247" s="1" t="n">
        <v>45658</v>
      </c>
      <c r="D247" t="inlineStr">
        <is>
          <t>VÄSTERBOTTENS LÄN</t>
        </is>
      </c>
      <c r="E247" t="inlineStr">
        <is>
          <t>VILHELMINA</t>
        </is>
      </c>
      <c r="G247" t="n">
        <v>21.8</v>
      </c>
      <c r="H247" t="n">
        <v>0</v>
      </c>
      <c r="I247" t="n">
        <v>0</v>
      </c>
      <c r="J247" t="n">
        <v>0</v>
      </c>
      <c r="K247" t="n">
        <v>0</v>
      </c>
      <c r="L247" t="n">
        <v>0</v>
      </c>
      <c r="M247" t="n">
        <v>0</v>
      </c>
      <c r="N247" t="n">
        <v>0</v>
      </c>
      <c r="O247" t="n">
        <v>0</v>
      </c>
      <c r="P247" t="n">
        <v>0</v>
      </c>
      <c r="Q247" t="n">
        <v>0</v>
      </c>
      <c r="R247" s="2" t="inlineStr"/>
    </row>
    <row r="248" ht="15" customHeight="1">
      <c r="A248" t="inlineStr">
        <is>
          <t>A 32731-2019</t>
        </is>
      </c>
      <c r="B248" s="1" t="n">
        <v>43648</v>
      </c>
      <c r="C248" s="1" t="n">
        <v>45658</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32787-2019</t>
        </is>
      </c>
      <c r="B249" s="1" t="n">
        <v>43648</v>
      </c>
      <c r="C249" s="1" t="n">
        <v>45658</v>
      </c>
      <c r="D249" t="inlineStr">
        <is>
          <t>VÄSTERBOTTENS LÄN</t>
        </is>
      </c>
      <c r="E249" t="inlineStr">
        <is>
          <t>VILHELMINA</t>
        </is>
      </c>
      <c r="G249" t="n">
        <v>9.4</v>
      </c>
      <c r="H249" t="n">
        <v>0</v>
      </c>
      <c r="I249" t="n">
        <v>0</v>
      </c>
      <c r="J249" t="n">
        <v>0</v>
      </c>
      <c r="K249" t="n">
        <v>0</v>
      </c>
      <c r="L249" t="n">
        <v>0</v>
      </c>
      <c r="M249" t="n">
        <v>0</v>
      </c>
      <c r="N249" t="n">
        <v>0</v>
      </c>
      <c r="O249" t="n">
        <v>0</v>
      </c>
      <c r="P249" t="n">
        <v>0</v>
      </c>
      <c r="Q249" t="n">
        <v>0</v>
      </c>
      <c r="R249" s="2" t="inlineStr"/>
    </row>
    <row r="250" ht="15" customHeight="1">
      <c r="A250" t="inlineStr">
        <is>
          <t>A 34370-2019</t>
        </is>
      </c>
      <c r="B250" s="1" t="n">
        <v>43656</v>
      </c>
      <c r="C250" s="1" t="n">
        <v>45658</v>
      </c>
      <c r="D250" t="inlineStr">
        <is>
          <t>VÄSTERBOTTENS LÄN</t>
        </is>
      </c>
      <c r="E250" t="inlineStr">
        <is>
          <t>VILHELMINA</t>
        </is>
      </c>
      <c r="G250" t="n">
        <v>20.7</v>
      </c>
      <c r="H250" t="n">
        <v>0</v>
      </c>
      <c r="I250" t="n">
        <v>0</v>
      </c>
      <c r="J250" t="n">
        <v>0</v>
      </c>
      <c r="K250" t="n">
        <v>0</v>
      </c>
      <c r="L250" t="n">
        <v>0</v>
      </c>
      <c r="M250" t="n">
        <v>0</v>
      </c>
      <c r="N250" t="n">
        <v>0</v>
      </c>
      <c r="O250" t="n">
        <v>0</v>
      </c>
      <c r="P250" t="n">
        <v>0</v>
      </c>
      <c r="Q250" t="n">
        <v>0</v>
      </c>
      <c r="R250" s="2" t="inlineStr"/>
    </row>
    <row r="251" ht="15" customHeight="1">
      <c r="A251" t="inlineStr">
        <is>
          <t>A 35051-2019</t>
        </is>
      </c>
      <c r="B251" s="1" t="n">
        <v>43661</v>
      </c>
      <c r="C251" s="1" t="n">
        <v>45658</v>
      </c>
      <c r="D251" t="inlineStr">
        <is>
          <t>VÄSTERBOTTENS LÄN</t>
        </is>
      </c>
      <c r="E251" t="inlineStr">
        <is>
          <t>VILHELMINA</t>
        </is>
      </c>
      <c r="F251" t="inlineStr">
        <is>
          <t>Sveaskog</t>
        </is>
      </c>
      <c r="G251" t="n">
        <v>6.6</v>
      </c>
      <c r="H251" t="n">
        <v>0</v>
      </c>
      <c r="I251" t="n">
        <v>0</v>
      </c>
      <c r="J251" t="n">
        <v>0</v>
      </c>
      <c r="K251" t="n">
        <v>0</v>
      </c>
      <c r="L251" t="n">
        <v>0</v>
      </c>
      <c r="M251" t="n">
        <v>0</v>
      </c>
      <c r="N251" t="n">
        <v>0</v>
      </c>
      <c r="O251" t="n">
        <v>0</v>
      </c>
      <c r="P251" t="n">
        <v>0</v>
      </c>
      <c r="Q251" t="n">
        <v>0</v>
      </c>
      <c r="R251" s="2" t="inlineStr"/>
    </row>
    <row r="252" ht="15" customHeight="1">
      <c r="A252" t="inlineStr">
        <is>
          <t>A 35054-2019</t>
        </is>
      </c>
      <c r="B252" s="1" t="n">
        <v>43661</v>
      </c>
      <c r="C252" s="1" t="n">
        <v>45658</v>
      </c>
      <c r="D252" t="inlineStr">
        <is>
          <t>VÄSTERBOTTENS LÄN</t>
        </is>
      </c>
      <c r="E252" t="inlineStr">
        <is>
          <t>VILHELMINA</t>
        </is>
      </c>
      <c r="F252" t="inlineStr">
        <is>
          <t>Sveaskog</t>
        </is>
      </c>
      <c r="G252" t="n">
        <v>18.8</v>
      </c>
      <c r="H252" t="n">
        <v>0</v>
      </c>
      <c r="I252" t="n">
        <v>0</v>
      </c>
      <c r="J252" t="n">
        <v>0</v>
      </c>
      <c r="K252" t="n">
        <v>0</v>
      </c>
      <c r="L252" t="n">
        <v>0</v>
      </c>
      <c r="M252" t="n">
        <v>0</v>
      </c>
      <c r="N252" t="n">
        <v>0</v>
      </c>
      <c r="O252" t="n">
        <v>0</v>
      </c>
      <c r="P252" t="n">
        <v>0</v>
      </c>
      <c r="Q252" t="n">
        <v>0</v>
      </c>
      <c r="R252" s="2" t="inlineStr"/>
    </row>
    <row r="253" ht="15" customHeight="1">
      <c r="A253" t="inlineStr">
        <is>
          <t>A 35723-2019</t>
        </is>
      </c>
      <c r="B253" s="1" t="n">
        <v>43664</v>
      </c>
      <c r="C253" s="1" t="n">
        <v>45658</v>
      </c>
      <c r="D253" t="inlineStr">
        <is>
          <t>VÄSTERBOTTENS LÄN</t>
        </is>
      </c>
      <c r="E253" t="inlineStr">
        <is>
          <t>VILHELMINA</t>
        </is>
      </c>
      <c r="G253" t="n">
        <v>16.8</v>
      </c>
      <c r="H253" t="n">
        <v>0</v>
      </c>
      <c r="I253" t="n">
        <v>0</v>
      </c>
      <c r="J253" t="n">
        <v>0</v>
      </c>
      <c r="K253" t="n">
        <v>0</v>
      </c>
      <c r="L253" t="n">
        <v>0</v>
      </c>
      <c r="M253" t="n">
        <v>0</v>
      </c>
      <c r="N253" t="n">
        <v>0</v>
      </c>
      <c r="O253" t="n">
        <v>0</v>
      </c>
      <c r="P253" t="n">
        <v>0</v>
      </c>
      <c r="Q253" t="n">
        <v>0</v>
      </c>
      <c r="R253" s="2" t="inlineStr"/>
    </row>
    <row r="254" ht="15" customHeight="1">
      <c r="A254" t="inlineStr">
        <is>
          <t>A 35737-2019</t>
        </is>
      </c>
      <c r="B254" s="1" t="n">
        <v>43664</v>
      </c>
      <c r="C254" s="1" t="n">
        <v>45658</v>
      </c>
      <c r="D254" t="inlineStr">
        <is>
          <t>VÄSTERBOTTENS LÄN</t>
        </is>
      </c>
      <c r="E254" t="inlineStr">
        <is>
          <t>VILHELMINA</t>
        </is>
      </c>
      <c r="G254" t="n">
        <v>22.4</v>
      </c>
      <c r="H254" t="n">
        <v>0</v>
      </c>
      <c r="I254" t="n">
        <v>0</v>
      </c>
      <c r="J254" t="n">
        <v>0</v>
      </c>
      <c r="K254" t="n">
        <v>0</v>
      </c>
      <c r="L254" t="n">
        <v>0</v>
      </c>
      <c r="M254" t="n">
        <v>0</v>
      </c>
      <c r="N254" t="n">
        <v>0</v>
      </c>
      <c r="O254" t="n">
        <v>0</v>
      </c>
      <c r="P254" t="n">
        <v>0</v>
      </c>
      <c r="Q254" t="n">
        <v>0</v>
      </c>
      <c r="R254" s="2" t="inlineStr"/>
    </row>
    <row r="255" ht="15" customHeight="1">
      <c r="A255" t="inlineStr">
        <is>
          <t>A 35726-2019</t>
        </is>
      </c>
      <c r="B255" s="1" t="n">
        <v>43664</v>
      </c>
      <c r="C255" s="1" t="n">
        <v>45658</v>
      </c>
      <c r="D255" t="inlineStr">
        <is>
          <t>VÄSTERBOTTENS LÄN</t>
        </is>
      </c>
      <c r="E255" t="inlineStr">
        <is>
          <t>VILHELMINA</t>
        </is>
      </c>
      <c r="G255" t="n">
        <v>2</v>
      </c>
      <c r="H255" t="n">
        <v>0</v>
      </c>
      <c r="I255" t="n">
        <v>0</v>
      </c>
      <c r="J255" t="n">
        <v>0</v>
      </c>
      <c r="K255" t="n">
        <v>0</v>
      </c>
      <c r="L255" t="n">
        <v>0</v>
      </c>
      <c r="M255" t="n">
        <v>0</v>
      </c>
      <c r="N255" t="n">
        <v>0</v>
      </c>
      <c r="O255" t="n">
        <v>0</v>
      </c>
      <c r="P255" t="n">
        <v>0</v>
      </c>
      <c r="Q255" t="n">
        <v>0</v>
      </c>
      <c r="R255" s="2" t="inlineStr"/>
    </row>
    <row r="256" ht="15" customHeight="1">
      <c r="A256" t="inlineStr">
        <is>
          <t>A 35731-2019</t>
        </is>
      </c>
      <c r="B256" s="1" t="n">
        <v>43665</v>
      </c>
      <c r="C256" s="1" t="n">
        <v>45658</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37824-2019</t>
        </is>
      </c>
      <c r="B257" s="1" t="n">
        <v>43682</v>
      </c>
      <c r="C257" s="1" t="n">
        <v>45658</v>
      </c>
      <c r="D257" t="inlineStr">
        <is>
          <t>VÄSTERBOTTENS LÄN</t>
        </is>
      </c>
      <c r="E257" t="inlineStr">
        <is>
          <t>VILHELMINA</t>
        </is>
      </c>
      <c r="G257" t="n">
        <v>14.2</v>
      </c>
      <c r="H257" t="n">
        <v>0</v>
      </c>
      <c r="I257" t="n">
        <v>0</v>
      </c>
      <c r="J257" t="n">
        <v>0</v>
      </c>
      <c r="K257" t="n">
        <v>0</v>
      </c>
      <c r="L257" t="n">
        <v>0</v>
      </c>
      <c r="M257" t="n">
        <v>0</v>
      </c>
      <c r="N257" t="n">
        <v>0</v>
      </c>
      <c r="O257" t="n">
        <v>0</v>
      </c>
      <c r="P257" t="n">
        <v>0</v>
      </c>
      <c r="Q257" t="n">
        <v>0</v>
      </c>
      <c r="R257" s="2" t="inlineStr"/>
    </row>
    <row r="258" ht="15" customHeight="1">
      <c r="A258" t="inlineStr">
        <is>
          <t>A 40282-2019</t>
        </is>
      </c>
      <c r="B258" s="1" t="n">
        <v>43690</v>
      </c>
      <c r="C258" s="1" t="n">
        <v>45658</v>
      </c>
      <c r="D258" t="inlineStr">
        <is>
          <t>VÄSTERBOTTENS LÄN</t>
        </is>
      </c>
      <c r="E258" t="inlineStr">
        <is>
          <t>VILHELMINA</t>
        </is>
      </c>
      <c r="G258" t="n">
        <v>13.2</v>
      </c>
      <c r="H258" t="n">
        <v>0</v>
      </c>
      <c r="I258" t="n">
        <v>0</v>
      </c>
      <c r="J258" t="n">
        <v>0</v>
      </c>
      <c r="K258" t="n">
        <v>0</v>
      </c>
      <c r="L258" t="n">
        <v>0</v>
      </c>
      <c r="M258" t="n">
        <v>0</v>
      </c>
      <c r="N258" t="n">
        <v>0</v>
      </c>
      <c r="O258" t="n">
        <v>0</v>
      </c>
      <c r="P258" t="n">
        <v>0</v>
      </c>
      <c r="Q258" t="n">
        <v>0</v>
      </c>
      <c r="R258" s="2" t="inlineStr"/>
    </row>
    <row r="259" ht="15" customHeight="1">
      <c r="A259" t="inlineStr">
        <is>
          <t>A 41782-2019</t>
        </is>
      </c>
      <c r="B259" s="1" t="n">
        <v>43699</v>
      </c>
      <c r="C259" s="1" t="n">
        <v>45658</v>
      </c>
      <c r="D259" t="inlineStr">
        <is>
          <t>VÄSTERBOTTENS LÄN</t>
        </is>
      </c>
      <c r="E259" t="inlineStr">
        <is>
          <t>VILHELMINA</t>
        </is>
      </c>
      <c r="F259" t="inlineStr">
        <is>
          <t>SCA</t>
        </is>
      </c>
      <c r="G259" t="n">
        <v>30.8</v>
      </c>
      <c r="H259" t="n">
        <v>0</v>
      </c>
      <c r="I259" t="n">
        <v>0</v>
      </c>
      <c r="J259" t="n">
        <v>0</v>
      </c>
      <c r="K259" t="n">
        <v>0</v>
      </c>
      <c r="L259" t="n">
        <v>0</v>
      </c>
      <c r="M259" t="n">
        <v>0</v>
      </c>
      <c r="N259" t="n">
        <v>0</v>
      </c>
      <c r="O259" t="n">
        <v>0</v>
      </c>
      <c r="P259" t="n">
        <v>0</v>
      </c>
      <c r="Q259" t="n">
        <v>0</v>
      </c>
      <c r="R259" s="2" t="inlineStr"/>
    </row>
    <row r="260" ht="15" customHeight="1">
      <c r="A260" t="inlineStr">
        <is>
          <t>A 42068-2019</t>
        </is>
      </c>
      <c r="B260" s="1" t="n">
        <v>43700</v>
      </c>
      <c r="C260" s="1" t="n">
        <v>45658</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42362-2019</t>
        </is>
      </c>
      <c r="B261" s="1" t="n">
        <v>43703</v>
      </c>
      <c r="C261" s="1" t="n">
        <v>45658</v>
      </c>
      <c r="D261" t="inlineStr">
        <is>
          <t>VÄSTERBOTTENS LÄN</t>
        </is>
      </c>
      <c r="E261" t="inlineStr">
        <is>
          <t>VILHELMINA</t>
        </is>
      </c>
      <c r="G261" t="n">
        <v>5.3</v>
      </c>
      <c r="H261" t="n">
        <v>0</v>
      </c>
      <c r="I261" t="n">
        <v>0</v>
      </c>
      <c r="J261" t="n">
        <v>0</v>
      </c>
      <c r="K261" t="n">
        <v>0</v>
      </c>
      <c r="L261" t="n">
        <v>0</v>
      </c>
      <c r="M261" t="n">
        <v>0</v>
      </c>
      <c r="N261" t="n">
        <v>0</v>
      </c>
      <c r="O261" t="n">
        <v>0</v>
      </c>
      <c r="P261" t="n">
        <v>0</v>
      </c>
      <c r="Q261" t="n">
        <v>0</v>
      </c>
      <c r="R261" s="2" t="inlineStr"/>
    </row>
    <row r="262" ht="15" customHeight="1">
      <c r="A262" t="inlineStr">
        <is>
          <t>A 44388-2019</t>
        </is>
      </c>
      <c r="B262" s="1" t="n">
        <v>43705</v>
      </c>
      <c r="C262" s="1" t="n">
        <v>45658</v>
      </c>
      <c r="D262" t="inlineStr">
        <is>
          <t>VÄSTERBOTTENS LÄN</t>
        </is>
      </c>
      <c r="E262" t="inlineStr">
        <is>
          <t>VILHELMINA</t>
        </is>
      </c>
      <c r="G262" t="n">
        <v>17</v>
      </c>
      <c r="H262" t="n">
        <v>0</v>
      </c>
      <c r="I262" t="n">
        <v>0</v>
      </c>
      <c r="J262" t="n">
        <v>0</v>
      </c>
      <c r="K262" t="n">
        <v>0</v>
      </c>
      <c r="L262" t="n">
        <v>0</v>
      </c>
      <c r="M262" t="n">
        <v>0</v>
      </c>
      <c r="N262" t="n">
        <v>0</v>
      </c>
      <c r="O262" t="n">
        <v>0</v>
      </c>
      <c r="P262" t="n">
        <v>0</v>
      </c>
      <c r="Q262" t="n">
        <v>0</v>
      </c>
      <c r="R262" s="2" t="inlineStr"/>
    </row>
    <row r="263" ht="15" customHeight="1">
      <c r="A263" t="inlineStr">
        <is>
          <t>A 44649-2019</t>
        </is>
      </c>
      <c r="B263" s="1" t="n">
        <v>43712</v>
      </c>
      <c r="C263" s="1" t="n">
        <v>45658</v>
      </c>
      <c r="D263" t="inlineStr">
        <is>
          <t>VÄSTERBOTTENS LÄN</t>
        </is>
      </c>
      <c r="E263" t="inlineStr">
        <is>
          <t>VILHELMINA</t>
        </is>
      </c>
      <c r="G263" t="n">
        <v>7.8</v>
      </c>
      <c r="H263" t="n">
        <v>0</v>
      </c>
      <c r="I263" t="n">
        <v>0</v>
      </c>
      <c r="J263" t="n">
        <v>0</v>
      </c>
      <c r="K263" t="n">
        <v>0</v>
      </c>
      <c r="L263" t="n">
        <v>0</v>
      </c>
      <c r="M263" t="n">
        <v>0</v>
      </c>
      <c r="N263" t="n">
        <v>0</v>
      </c>
      <c r="O263" t="n">
        <v>0</v>
      </c>
      <c r="P263" t="n">
        <v>0</v>
      </c>
      <c r="Q263" t="n">
        <v>0</v>
      </c>
      <c r="R263" s="2" t="inlineStr"/>
    </row>
    <row r="264" ht="15" customHeight="1">
      <c r="A264" t="inlineStr">
        <is>
          <t>A 45275-2019</t>
        </is>
      </c>
      <c r="B264" s="1" t="n">
        <v>43714</v>
      </c>
      <c r="C264" s="1" t="n">
        <v>45658</v>
      </c>
      <c r="D264" t="inlineStr">
        <is>
          <t>VÄSTERBOTTENS LÄN</t>
        </is>
      </c>
      <c r="E264" t="inlineStr">
        <is>
          <t>VILHELMINA</t>
        </is>
      </c>
      <c r="F264" t="inlineStr">
        <is>
          <t>SCA</t>
        </is>
      </c>
      <c r="G264" t="n">
        <v>10.3</v>
      </c>
      <c r="H264" t="n">
        <v>0</v>
      </c>
      <c r="I264" t="n">
        <v>0</v>
      </c>
      <c r="J264" t="n">
        <v>0</v>
      </c>
      <c r="K264" t="n">
        <v>0</v>
      </c>
      <c r="L264" t="n">
        <v>0</v>
      </c>
      <c r="M264" t="n">
        <v>0</v>
      </c>
      <c r="N264" t="n">
        <v>0</v>
      </c>
      <c r="O264" t="n">
        <v>0</v>
      </c>
      <c r="P264" t="n">
        <v>0</v>
      </c>
      <c r="Q264" t="n">
        <v>0</v>
      </c>
      <c r="R264" s="2" t="inlineStr"/>
    </row>
    <row r="265" ht="15" customHeight="1">
      <c r="A265" t="inlineStr">
        <is>
          <t>A 48259-2019</t>
        </is>
      </c>
      <c r="B265" s="1" t="n">
        <v>43726</v>
      </c>
      <c r="C265" s="1" t="n">
        <v>45658</v>
      </c>
      <c r="D265" t="inlineStr">
        <is>
          <t>VÄSTERBOTTENS LÄN</t>
        </is>
      </c>
      <c r="E265" t="inlineStr">
        <is>
          <t>VILHELMINA</t>
        </is>
      </c>
      <c r="G265" t="n">
        <v>5.2</v>
      </c>
      <c r="H265" t="n">
        <v>0</v>
      </c>
      <c r="I265" t="n">
        <v>0</v>
      </c>
      <c r="J265" t="n">
        <v>0</v>
      </c>
      <c r="K265" t="n">
        <v>0</v>
      </c>
      <c r="L265" t="n">
        <v>0</v>
      </c>
      <c r="M265" t="n">
        <v>0</v>
      </c>
      <c r="N265" t="n">
        <v>0</v>
      </c>
      <c r="O265" t="n">
        <v>0</v>
      </c>
      <c r="P265" t="n">
        <v>0</v>
      </c>
      <c r="Q265" t="n">
        <v>0</v>
      </c>
      <c r="R265" s="2" t="inlineStr"/>
    </row>
    <row r="266" ht="15" customHeight="1">
      <c r="A266" t="inlineStr">
        <is>
          <t>A 49615-2019</t>
        </is>
      </c>
      <c r="B266" s="1" t="n">
        <v>43728</v>
      </c>
      <c r="C266" s="1" t="n">
        <v>45658</v>
      </c>
      <c r="D266" t="inlineStr">
        <is>
          <t>VÄSTERBOTTENS LÄN</t>
        </is>
      </c>
      <c r="E266" t="inlineStr">
        <is>
          <t>VILHELMINA</t>
        </is>
      </c>
      <c r="G266" t="n">
        <v>0.6</v>
      </c>
      <c r="H266" t="n">
        <v>0</v>
      </c>
      <c r="I266" t="n">
        <v>0</v>
      </c>
      <c r="J266" t="n">
        <v>0</v>
      </c>
      <c r="K266" t="n">
        <v>0</v>
      </c>
      <c r="L266" t="n">
        <v>0</v>
      </c>
      <c r="M266" t="n">
        <v>0</v>
      </c>
      <c r="N266" t="n">
        <v>0</v>
      </c>
      <c r="O266" t="n">
        <v>0</v>
      </c>
      <c r="P266" t="n">
        <v>0</v>
      </c>
      <c r="Q266" t="n">
        <v>0</v>
      </c>
      <c r="R266" s="2" t="inlineStr"/>
    </row>
    <row r="267" ht="15" customHeight="1">
      <c r="A267" t="inlineStr">
        <is>
          <t>A 49254-2019</t>
        </is>
      </c>
      <c r="B267" s="1" t="n">
        <v>43731</v>
      </c>
      <c r="C267" s="1" t="n">
        <v>45658</v>
      </c>
      <c r="D267" t="inlineStr">
        <is>
          <t>VÄSTERBOTTENS LÄN</t>
        </is>
      </c>
      <c r="E267" t="inlineStr">
        <is>
          <t>VILHELMINA</t>
        </is>
      </c>
      <c r="G267" t="n">
        <v>10.9</v>
      </c>
      <c r="H267" t="n">
        <v>0</v>
      </c>
      <c r="I267" t="n">
        <v>0</v>
      </c>
      <c r="J267" t="n">
        <v>0</v>
      </c>
      <c r="K267" t="n">
        <v>0</v>
      </c>
      <c r="L267" t="n">
        <v>0</v>
      </c>
      <c r="M267" t="n">
        <v>0</v>
      </c>
      <c r="N267" t="n">
        <v>0</v>
      </c>
      <c r="O267" t="n">
        <v>0</v>
      </c>
      <c r="P267" t="n">
        <v>0</v>
      </c>
      <c r="Q267" t="n">
        <v>0</v>
      </c>
      <c r="R267" s="2" t="inlineStr"/>
    </row>
    <row r="268" ht="15" customHeight="1">
      <c r="A268" t="inlineStr">
        <is>
          <t>A 50006-2019</t>
        </is>
      </c>
      <c r="B268" s="1" t="n">
        <v>43733</v>
      </c>
      <c r="C268" s="1" t="n">
        <v>45658</v>
      </c>
      <c r="D268" t="inlineStr">
        <is>
          <t>VÄSTERBOTTENS LÄN</t>
        </is>
      </c>
      <c r="E268" t="inlineStr">
        <is>
          <t>VILHELMINA</t>
        </is>
      </c>
      <c r="F268" t="inlineStr">
        <is>
          <t>SCA</t>
        </is>
      </c>
      <c r="G268" t="n">
        <v>12.6</v>
      </c>
      <c r="H268" t="n">
        <v>0</v>
      </c>
      <c r="I268" t="n">
        <v>0</v>
      </c>
      <c r="J268" t="n">
        <v>0</v>
      </c>
      <c r="K268" t="n">
        <v>0</v>
      </c>
      <c r="L268" t="n">
        <v>0</v>
      </c>
      <c r="M268" t="n">
        <v>0</v>
      </c>
      <c r="N268" t="n">
        <v>0</v>
      </c>
      <c r="O268" t="n">
        <v>0</v>
      </c>
      <c r="P268" t="n">
        <v>0</v>
      </c>
      <c r="Q268" t="n">
        <v>0</v>
      </c>
      <c r="R268" s="2" t="inlineStr"/>
    </row>
    <row r="269" ht="15" customHeight="1">
      <c r="A269" t="inlineStr">
        <is>
          <t>A 50009-2019</t>
        </is>
      </c>
      <c r="B269" s="1" t="n">
        <v>43733</v>
      </c>
      <c r="C269" s="1" t="n">
        <v>45658</v>
      </c>
      <c r="D269" t="inlineStr">
        <is>
          <t>VÄSTERBOTTENS LÄN</t>
        </is>
      </c>
      <c r="E269" t="inlineStr">
        <is>
          <t>VILHELMINA</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50008-2019</t>
        </is>
      </c>
      <c r="B270" s="1" t="n">
        <v>43733</v>
      </c>
      <c r="C270" s="1" t="n">
        <v>45658</v>
      </c>
      <c r="D270" t="inlineStr">
        <is>
          <t>VÄSTERBOTTENS LÄN</t>
        </is>
      </c>
      <c r="E270" t="inlineStr">
        <is>
          <t>VILHELMINA</t>
        </is>
      </c>
      <c r="F270" t="inlineStr">
        <is>
          <t>SCA</t>
        </is>
      </c>
      <c r="G270" t="n">
        <v>14.8</v>
      </c>
      <c r="H270" t="n">
        <v>0</v>
      </c>
      <c r="I270" t="n">
        <v>0</v>
      </c>
      <c r="J270" t="n">
        <v>0</v>
      </c>
      <c r="K270" t="n">
        <v>0</v>
      </c>
      <c r="L270" t="n">
        <v>0</v>
      </c>
      <c r="M270" t="n">
        <v>0</v>
      </c>
      <c r="N270" t="n">
        <v>0</v>
      </c>
      <c r="O270" t="n">
        <v>0</v>
      </c>
      <c r="P270" t="n">
        <v>0</v>
      </c>
      <c r="Q270" t="n">
        <v>0</v>
      </c>
      <c r="R270" s="2" t="inlineStr"/>
    </row>
    <row r="271" ht="15" customHeight="1">
      <c r="A271" t="inlineStr">
        <is>
          <t>A 51094-2019</t>
        </is>
      </c>
      <c r="B271" s="1" t="n">
        <v>43739</v>
      </c>
      <c r="C271" s="1" t="n">
        <v>45658</v>
      </c>
      <c r="D271" t="inlineStr">
        <is>
          <t>VÄSTERBOTTENS LÄN</t>
        </is>
      </c>
      <c r="E271" t="inlineStr">
        <is>
          <t>VILHELMINA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51895-2019</t>
        </is>
      </c>
      <c r="B272" s="1" t="n">
        <v>43741</v>
      </c>
      <c r="C272" s="1" t="n">
        <v>45658</v>
      </c>
      <c r="D272" t="inlineStr">
        <is>
          <t>VÄSTERBOTTENS LÄN</t>
        </is>
      </c>
      <c r="E272" t="inlineStr">
        <is>
          <t>VILHELMINA</t>
        </is>
      </c>
      <c r="F272" t="inlineStr">
        <is>
          <t>Allmännings- och besparingsskogar</t>
        </is>
      </c>
      <c r="G272" t="n">
        <v>10.5</v>
      </c>
      <c r="H272" t="n">
        <v>0</v>
      </c>
      <c r="I272" t="n">
        <v>0</v>
      </c>
      <c r="J272" t="n">
        <v>0</v>
      </c>
      <c r="K272" t="n">
        <v>0</v>
      </c>
      <c r="L272" t="n">
        <v>0</v>
      </c>
      <c r="M272" t="n">
        <v>0</v>
      </c>
      <c r="N272" t="n">
        <v>0</v>
      </c>
      <c r="O272" t="n">
        <v>0</v>
      </c>
      <c r="P272" t="n">
        <v>0</v>
      </c>
      <c r="Q272" t="n">
        <v>0</v>
      </c>
      <c r="R272" s="2" t="inlineStr"/>
    </row>
    <row r="273" ht="15" customHeight="1">
      <c r="A273" t="inlineStr">
        <is>
          <t>A 54070-2019</t>
        </is>
      </c>
      <c r="B273" s="1" t="n">
        <v>43746</v>
      </c>
      <c r="C273" s="1" t="n">
        <v>45658</v>
      </c>
      <c r="D273" t="inlineStr">
        <is>
          <t>VÄSTERBOTTENS LÄN</t>
        </is>
      </c>
      <c r="E273" t="inlineStr">
        <is>
          <t>VILHELMINA</t>
        </is>
      </c>
      <c r="G273" t="n">
        <v>2.1</v>
      </c>
      <c r="H273" t="n">
        <v>0</v>
      </c>
      <c r="I273" t="n">
        <v>0</v>
      </c>
      <c r="J273" t="n">
        <v>0</v>
      </c>
      <c r="K273" t="n">
        <v>0</v>
      </c>
      <c r="L273" t="n">
        <v>0</v>
      </c>
      <c r="M273" t="n">
        <v>0</v>
      </c>
      <c r="N273" t="n">
        <v>0</v>
      </c>
      <c r="O273" t="n">
        <v>0</v>
      </c>
      <c r="P273" t="n">
        <v>0</v>
      </c>
      <c r="Q273" t="n">
        <v>0</v>
      </c>
      <c r="R273" s="2" t="inlineStr"/>
    </row>
    <row r="274" ht="15" customHeight="1">
      <c r="A274" t="inlineStr">
        <is>
          <t>A 53750-2019</t>
        </is>
      </c>
      <c r="B274" s="1" t="n">
        <v>43749</v>
      </c>
      <c r="C274" s="1" t="n">
        <v>45658</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53757-2019</t>
        </is>
      </c>
      <c r="B275" s="1" t="n">
        <v>43749</v>
      </c>
      <c r="C275" s="1" t="n">
        <v>45658</v>
      </c>
      <c r="D275" t="inlineStr">
        <is>
          <t>VÄSTERBOTTENS LÄN</t>
        </is>
      </c>
      <c r="E275" t="inlineStr">
        <is>
          <t>VILHELMINA</t>
        </is>
      </c>
      <c r="F275" t="inlineStr">
        <is>
          <t>SCA</t>
        </is>
      </c>
      <c r="G275" t="n">
        <v>12.4</v>
      </c>
      <c r="H275" t="n">
        <v>0</v>
      </c>
      <c r="I275" t="n">
        <v>0</v>
      </c>
      <c r="J275" t="n">
        <v>0</v>
      </c>
      <c r="K275" t="n">
        <v>0</v>
      </c>
      <c r="L275" t="n">
        <v>0</v>
      </c>
      <c r="M275" t="n">
        <v>0</v>
      </c>
      <c r="N275" t="n">
        <v>0</v>
      </c>
      <c r="O275" t="n">
        <v>0</v>
      </c>
      <c r="P275" t="n">
        <v>0</v>
      </c>
      <c r="Q275" t="n">
        <v>0</v>
      </c>
      <c r="R275" s="2" t="inlineStr"/>
    </row>
    <row r="276" ht="15" customHeight="1">
      <c r="A276" t="inlineStr">
        <is>
          <t>A 54184-2019</t>
        </is>
      </c>
      <c r="B276" s="1" t="n">
        <v>43753</v>
      </c>
      <c r="C276" s="1" t="n">
        <v>45658</v>
      </c>
      <c r="D276" t="inlineStr">
        <is>
          <t>VÄSTERBOTTENS LÄN</t>
        </is>
      </c>
      <c r="E276" t="inlineStr">
        <is>
          <t>VILHELMINA</t>
        </is>
      </c>
      <c r="F276" t="inlineStr">
        <is>
          <t>Kommuner</t>
        </is>
      </c>
      <c r="G276" t="n">
        <v>10.6</v>
      </c>
      <c r="H276" t="n">
        <v>0</v>
      </c>
      <c r="I276" t="n">
        <v>0</v>
      </c>
      <c r="J276" t="n">
        <v>0</v>
      </c>
      <c r="K276" t="n">
        <v>0</v>
      </c>
      <c r="L276" t="n">
        <v>0</v>
      </c>
      <c r="M276" t="n">
        <v>0</v>
      </c>
      <c r="N276" t="n">
        <v>0</v>
      </c>
      <c r="O276" t="n">
        <v>0</v>
      </c>
      <c r="P276" t="n">
        <v>0</v>
      </c>
      <c r="Q276" t="n">
        <v>0</v>
      </c>
      <c r="R276" s="2" t="inlineStr"/>
    </row>
    <row r="277" ht="15" customHeight="1">
      <c r="A277" t="inlineStr">
        <is>
          <t>A 54985-2019</t>
        </is>
      </c>
      <c r="B277" s="1" t="n">
        <v>43755</v>
      </c>
      <c r="C277" s="1" t="n">
        <v>45658</v>
      </c>
      <c r="D277" t="inlineStr">
        <is>
          <t>VÄSTERBOTTENS LÄN</t>
        </is>
      </c>
      <c r="E277" t="inlineStr">
        <is>
          <t>VILHELMINA</t>
        </is>
      </c>
      <c r="G277" t="n">
        <v>12.2</v>
      </c>
      <c r="H277" t="n">
        <v>0</v>
      </c>
      <c r="I277" t="n">
        <v>0</v>
      </c>
      <c r="J277" t="n">
        <v>0</v>
      </c>
      <c r="K277" t="n">
        <v>0</v>
      </c>
      <c r="L277" t="n">
        <v>0</v>
      </c>
      <c r="M277" t="n">
        <v>0</v>
      </c>
      <c r="N277" t="n">
        <v>0</v>
      </c>
      <c r="O277" t="n">
        <v>0</v>
      </c>
      <c r="P277" t="n">
        <v>0</v>
      </c>
      <c r="Q277" t="n">
        <v>0</v>
      </c>
      <c r="R277" s="2" t="inlineStr"/>
    </row>
    <row r="278" ht="15" customHeight="1">
      <c r="A278" t="inlineStr">
        <is>
          <t>A 57906-2019</t>
        </is>
      </c>
      <c r="B278" s="1" t="n">
        <v>43762</v>
      </c>
      <c r="C278" s="1" t="n">
        <v>45658</v>
      </c>
      <c r="D278" t="inlineStr">
        <is>
          <t>VÄSTERBOTTENS LÄN</t>
        </is>
      </c>
      <c r="E278" t="inlineStr">
        <is>
          <t>VILHELMINA</t>
        </is>
      </c>
      <c r="F278" t="inlineStr">
        <is>
          <t>Allmännings- och besparingsskogar</t>
        </is>
      </c>
      <c r="G278" t="n">
        <v>5.3</v>
      </c>
      <c r="H278" t="n">
        <v>0</v>
      </c>
      <c r="I278" t="n">
        <v>0</v>
      </c>
      <c r="J278" t="n">
        <v>0</v>
      </c>
      <c r="K278" t="n">
        <v>0</v>
      </c>
      <c r="L278" t="n">
        <v>0</v>
      </c>
      <c r="M278" t="n">
        <v>0</v>
      </c>
      <c r="N278" t="n">
        <v>0</v>
      </c>
      <c r="O278" t="n">
        <v>0</v>
      </c>
      <c r="P278" t="n">
        <v>0</v>
      </c>
      <c r="Q278" t="n">
        <v>0</v>
      </c>
      <c r="R278" s="2" t="inlineStr"/>
    </row>
    <row r="279" ht="15" customHeight="1">
      <c r="A279" t="inlineStr">
        <is>
          <t>A 57940-2019</t>
        </is>
      </c>
      <c r="B279" s="1" t="n">
        <v>43762</v>
      </c>
      <c r="C279" s="1" t="n">
        <v>45658</v>
      </c>
      <c r="D279" t="inlineStr">
        <is>
          <t>VÄSTERBOTTENS LÄN</t>
        </is>
      </c>
      <c r="E279" t="inlineStr">
        <is>
          <t>VILHELMINA</t>
        </is>
      </c>
      <c r="F279" t="inlineStr">
        <is>
          <t>Allmännings- och besparingsskogar</t>
        </is>
      </c>
      <c r="G279" t="n">
        <v>2.2</v>
      </c>
      <c r="H279" t="n">
        <v>0</v>
      </c>
      <c r="I279" t="n">
        <v>0</v>
      </c>
      <c r="J279" t="n">
        <v>0</v>
      </c>
      <c r="K279" t="n">
        <v>0</v>
      </c>
      <c r="L279" t="n">
        <v>0</v>
      </c>
      <c r="M279" t="n">
        <v>0</v>
      </c>
      <c r="N279" t="n">
        <v>0</v>
      </c>
      <c r="O279" t="n">
        <v>0</v>
      </c>
      <c r="P279" t="n">
        <v>0</v>
      </c>
      <c r="Q279" t="n">
        <v>0</v>
      </c>
      <c r="R279" s="2" t="inlineStr"/>
    </row>
    <row r="280" ht="15" customHeight="1">
      <c r="A280" t="inlineStr">
        <is>
          <t>A 56833-2019</t>
        </is>
      </c>
      <c r="B280" s="1" t="n">
        <v>43765</v>
      </c>
      <c r="C280" s="1" t="n">
        <v>45658</v>
      </c>
      <c r="D280" t="inlineStr">
        <is>
          <t>VÄSTERBOTTENS LÄN</t>
        </is>
      </c>
      <c r="E280" t="inlineStr">
        <is>
          <t>VILHELMINA</t>
        </is>
      </c>
      <c r="G280" t="n">
        <v>1.5</v>
      </c>
      <c r="H280" t="n">
        <v>0</v>
      </c>
      <c r="I280" t="n">
        <v>0</v>
      </c>
      <c r="J280" t="n">
        <v>0</v>
      </c>
      <c r="K280" t="n">
        <v>0</v>
      </c>
      <c r="L280" t="n">
        <v>0</v>
      </c>
      <c r="M280" t="n">
        <v>0</v>
      </c>
      <c r="N280" t="n">
        <v>0</v>
      </c>
      <c r="O280" t="n">
        <v>0</v>
      </c>
      <c r="P280" t="n">
        <v>0</v>
      </c>
      <c r="Q280" t="n">
        <v>0</v>
      </c>
      <c r="R280" s="2" t="inlineStr"/>
    </row>
    <row r="281" ht="15" customHeight="1">
      <c r="A281" t="inlineStr">
        <is>
          <t>A 59021-2019</t>
        </is>
      </c>
      <c r="B281" s="1" t="n">
        <v>43774</v>
      </c>
      <c r="C281" s="1" t="n">
        <v>45658</v>
      </c>
      <c r="D281" t="inlineStr">
        <is>
          <t>VÄSTERBOTTENS LÄN</t>
        </is>
      </c>
      <c r="E281" t="inlineStr">
        <is>
          <t>VILHELMINA</t>
        </is>
      </c>
      <c r="G281" t="n">
        <v>6.8</v>
      </c>
      <c r="H281" t="n">
        <v>0</v>
      </c>
      <c r="I281" t="n">
        <v>0</v>
      </c>
      <c r="J281" t="n">
        <v>0</v>
      </c>
      <c r="K281" t="n">
        <v>0</v>
      </c>
      <c r="L281" t="n">
        <v>0</v>
      </c>
      <c r="M281" t="n">
        <v>0</v>
      </c>
      <c r="N281" t="n">
        <v>0</v>
      </c>
      <c r="O281" t="n">
        <v>0</v>
      </c>
      <c r="P281" t="n">
        <v>0</v>
      </c>
      <c r="Q281" t="n">
        <v>0</v>
      </c>
      <c r="R281" s="2" t="inlineStr"/>
    </row>
    <row r="282" ht="15" customHeight="1">
      <c r="A282" t="inlineStr">
        <is>
          <t>A 58962-2019</t>
        </is>
      </c>
      <c r="B282" s="1" t="n">
        <v>43774</v>
      </c>
      <c r="C282" s="1" t="n">
        <v>45658</v>
      </c>
      <c r="D282" t="inlineStr">
        <is>
          <t>VÄSTERBOTTENS LÄN</t>
        </is>
      </c>
      <c r="E282" t="inlineStr">
        <is>
          <t>VILHELMINA</t>
        </is>
      </c>
      <c r="G282" t="n">
        <v>2.4</v>
      </c>
      <c r="H282" t="n">
        <v>0</v>
      </c>
      <c r="I282" t="n">
        <v>0</v>
      </c>
      <c r="J282" t="n">
        <v>0</v>
      </c>
      <c r="K282" t="n">
        <v>0</v>
      </c>
      <c r="L282" t="n">
        <v>0</v>
      </c>
      <c r="M282" t="n">
        <v>0</v>
      </c>
      <c r="N282" t="n">
        <v>0</v>
      </c>
      <c r="O282" t="n">
        <v>0</v>
      </c>
      <c r="P282" t="n">
        <v>0</v>
      </c>
      <c r="Q282" t="n">
        <v>0</v>
      </c>
      <c r="R282" s="2" t="inlineStr"/>
    </row>
    <row r="283" ht="15" customHeight="1">
      <c r="A283" t="inlineStr">
        <is>
          <t>A 59052-2019</t>
        </is>
      </c>
      <c r="B283" s="1" t="n">
        <v>43774</v>
      </c>
      <c r="C283" s="1" t="n">
        <v>45658</v>
      </c>
      <c r="D283" t="inlineStr">
        <is>
          <t>VÄSTERBOTTENS LÄN</t>
        </is>
      </c>
      <c r="E283" t="inlineStr">
        <is>
          <t>VILHELMINA</t>
        </is>
      </c>
      <c r="G283" t="n">
        <v>0.2</v>
      </c>
      <c r="H283" t="n">
        <v>0</v>
      </c>
      <c r="I283" t="n">
        <v>0</v>
      </c>
      <c r="J283" t="n">
        <v>0</v>
      </c>
      <c r="K283" t="n">
        <v>0</v>
      </c>
      <c r="L283" t="n">
        <v>0</v>
      </c>
      <c r="M283" t="n">
        <v>0</v>
      </c>
      <c r="N283" t="n">
        <v>0</v>
      </c>
      <c r="O283" t="n">
        <v>0</v>
      </c>
      <c r="P283" t="n">
        <v>0</v>
      </c>
      <c r="Q283" t="n">
        <v>0</v>
      </c>
      <c r="R283" s="2" t="inlineStr"/>
    </row>
    <row r="284" ht="15" customHeight="1">
      <c r="A284" t="inlineStr">
        <is>
          <t>A 59165-2019</t>
        </is>
      </c>
      <c r="B284" s="1" t="n">
        <v>43775</v>
      </c>
      <c r="C284" s="1" t="n">
        <v>45658</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63027-2019</t>
        </is>
      </c>
      <c r="B285" s="1" t="n">
        <v>43791</v>
      </c>
      <c r="C285" s="1" t="n">
        <v>45658</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66570-2019</t>
        </is>
      </c>
      <c r="B286" s="1" t="n">
        <v>43803</v>
      </c>
      <c r="C286" s="1" t="n">
        <v>45658</v>
      </c>
      <c r="D286" t="inlineStr">
        <is>
          <t>VÄSTERBOTTENS LÄN</t>
        </is>
      </c>
      <c r="E286" t="inlineStr">
        <is>
          <t>VILHELMINA</t>
        </is>
      </c>
      <c r="G286" t="n">
        <v>3.6</v>
      </c>
      <c r="H286" t="n">
        <v>0</v>
      </c>
      <c r="I286" t="n">
        <v>0</v>
      </c>
      <c r="J286" t="n">
        <v>0</v>
      </c>
      <c r="K286" t="n">
        <v>0</v>
      </c>
      <c r="L286" t="n">
        <v>0</v>
      </c>
      <c r="M286" t="n">
        <v>0</v>
      </c>
      <c r="N286" t="n">
        <v>0</v>
      </c>
      <c r="O286" t="n">
        <v>0</v>
      </c>
      <c r="P286" t="n">
        <v>0</v>
      </c>
      <c r="Q286" t="n">
        <v>0</v>
      </c>
      <c r="R286" s="2" t="inlineStr"/>
    </row>
    <row r="287" ht="15" customHeight="1">
      <c r="A287" t="inlineStr">
        <is>
          <t>A 65885-2019</t>
        </is>
      </c>
      <c r="B287" s="1" t="n">
        <v>43805</v>
      </c>
      <c r="C287" s="1" t="n">
        <v>45658</v>
      </c>
      <c r="D287" t="inlineStr">
        <is>
          <t>VÄSTERBOTTENS LÄN</t>
        </is>
      </c>
      <c r="E287" t="inlineStr">
        <is>
          <t>VILHELMINA</t>
        </is>
      </c>
      <c r="G287" t="n">
        <v>3.1</v>
      </c>
      <c r="H287" t="n">
        <v>0</v>
      </c>
      <c r="I287" t="n">
        <v>0</v>
      </c>
      <c r="J287" t="n">
        <v>0</v>
      </c>
      <c r="K287" t="n">
        <v>0</v>
      </c>
      <c r="L287" t="n">
        <v>0</v>
      </c>
      <c r="M287" t="n">
        <v>0</v>
      </c>
      <c r="N287" t="n">
        <v>0</v>
      </c>
      <c r="O287" t="n">
        <v>0</v>
      </c>
      <c r="P287" t="n">
        <v>0</v>
      </c>
      <c r="Q287" t="n">
        <v>0</v>
      </c>
      <c r="R287" s="2" t="inlineStr"/>
    </row>
    <row r="288" ht="15" customHeight="1">
      <c r="A288" t="inlineStr">
        <is>
          <t>A 66311-2019</t>
        </is>
      </c>
      <c r="B288" s="1" t="n">
        <v>43808</v>
      </c>
      <c r="C288" s="1" t="n">
        <v>45658</v>
      </c>
      <c r="D288" t="inlineStr">
        <is>
          <t>VÄSTERBOTTENS LÄN</t>
        </is>
      </c>
      <c r="E288" t="inlineStr">
        <is>
          <t>VILHELMINA</t>
        </is>
      </c>
      <c r="G288" t="n">
        <v>72.90000000000001</v>
      </c>
      <c r="H288" t="n">
        <v>0</v>
      </c>
      <c r="I288" t="n">
        <v>0</v>
      </c>
      <c r="J288" t="n">
        <v>0</v>
      </c>
      <c r="K288" t="n">
        <v>0</v>
      </c>
      <c r="L288" t="n">
        <v>0</v>
      </c>
      <c r="M288" t="n">
        <v>0</v>
      </c>
      <c r="N288" t="n">
        <v>0</v>
      </c>
      <c r="O288" t="n">
        <v>0</v>
      </c>
      <c r="P288" t="n">
        <v>0</v>
      </c>
      <c r="Q288" t="n">
        <v>0</v>
      </c>
      <c r="R288" s="2" t="inlineStr"/>
    </row>
    <row r="289" ht="15" customHeight="1">
      <c r="A289" t="inlineStr">
        <is>
          <t>A 66720-2019</t>
        </is>
      </c>
      <c r="B289" s="1" t="n">
        <v>43810</v>
      </c>
      <c r="C289" s="1" t="n">
        <v>45658</v>
      </c>
      <c r="D289" t="inlineStr">
        <is>
          <t>VÄSTERBOTTENS LÄN</t>
        </is>
      </c>
      <c r="E289" t="inlineStr">
        <is>
          <t>VILHELMINA</t>
        </is>
      </c>
      <c r="G289" t="n">
        <v>0.5</v>
      </c>
      <c r="H289" t="n">
        <v>0</v>
      </c>
      <c r="I289" t="n">
        <v>0</v>
      </c>
      <c r="J289" t="n">
        <v>0</v>
      </c>
      <c r="K289" t="n">
        <v>0</v>
      </c>
      <c r="L289" t="n">
        <v>0</v>
      </c>
      <c r="M289" t="n">
        <v>0</v>
      </c>
      <c r="N289" t="n">
        <v>0</v>
      </c>
      <c r="O289" t="n">
        <v>0</v>
      </c>
      <c r="P289" t="n">
        <v>0</v>
      </c>
      <c r="Q289" t="n">
        <v>0</v>
      </c>
      <c r="R289" s="2" t="inlineStr"/>
    </row>
    <row r="290" ht="15" customHeight="1">
      <c r="A290" t="inlineStr">
        <is>
          <t>A 67814-2019</t>
        </is>
      </c>
      <c r="B290" s="1" t="n">
        <v>43815</v>
      </c>
      <c r="C290" s="1" t="n">
        <v>45658</v>
      </c>
      <c r="D290" t="inlineStr">
        <is>
          <t>VÄSTERBOTTENS LÄN</t>
        </is>
      </c>
      <c r="E290" t="inlineStr">
        <is>
          <t>VILHELMINA</t>
        </is>
      </c>
      <c r="G290" t="n">
        <v>2.9</v>
      </c>
      <c r="H290" t="n">
        <v>0</v>
      </c>
      <c r="I290" t="n">
        <v>0</v>
      </c>
      <c r="J290" t="n">
        <v>0</v>
      </c>
      <c r="K290" t="n">
        <v>0</v>
      </c>
      <c r="L290" t="n">
        <v>0</v>
      </c>
      <c r="M290" t="n">
        <v>0</v>
      </c>
      <c r="N290" t="n">
        <v>0</v>
      </c>
      <c r="O290" t="n">
        <v>0</v>
      </c>
      <c r="P290" t="n">
        <v>0</v>
      </c>
      <c r="Q290" t="n">
        <v>0</v>
      </c>
      <c r="R290" s="2" t="inlineStr"/>
    </row>
    <row r="291" ht="15" customHeight="1">
      <c r="A291" t="inlineStr">
        <is>
          <t>A 219-2020</t>
        </is>
      </c>
      <c r="B291" s="1" t="n">
        <v>43833</v>
      </c>
      <c r="C291" s="1" t="n">
        <v>45658</v>
      </c>
      <c r="D291" t="inlineStr">
        <is>
          <t>VÄSTERBOTTENS LÄN</t>
        </is>
      </c>
      <c r="E291" t="inlineStr">
        <is>
          <t>VILHELMINA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217-2020</t>
        </is>
      </c>
      <c r="B292" s="1" t="n">
        <v>43833</v>
      </c>
      <c r="C292" s="1" t="n">
        <v>45658</v>
      </c>
      <c r="D292" t="inlineStr">
        <is>
          <t>VÄSTERBOTTENS LÄN</t>
        </is>
      </c>
      <c r="E292" t="inlineStr">
        <is>
          <t>VILHELMINA</t>
        </is>
      </c>
      <c r="F292" t="inlineStr">
        <is>
          <t>SCA</t>
        </is>
      </c>
      <c r="G292" t="n">
        <v>5.4</v>
      </c>
      <c r="H292" t="n">
        <v>0</v>
      </c>
      <c r="I292" t="n">
        <v>0</v>
      </c>
      <c r="J292" t="n">
        <v>0</v>
      </c>
      <c r="K292" t="n">
        <v>0</v>
      </c>
      <c r="L292" t="n">
        <v>0</v>
      </c>
      <c r="M292" t="n">
        <v>0</v>
      </c>
      <c r="N292" t="n">
        <v>0</v>
      </c>
      <c r="O292" t="n">
        <v>0</v>
      </c>
      <c r="P292" t="n">
        <v>0</v>
      </c>
      <c r="Q292" t="n">
        <v>0</v>
      </c>
      <c r="R292" s="2" t="inlineStr"/>
    </row>
    <row r="293" ht="15" customHeight="1">
      <c r="A293" t="inlineStr">
        <is>
          <t>A 226-2020</t>
        </is>
      </c>
      <c r="B293" s="1" t="n">
        <v>43833</v>
      </c>
      <c r="C293" s="1" t="n">
        <v>45658</v>
      </c>
      <c r="D293" t="inlineStr">
        <is>
          <t>VÄSTERBOTTENS LÄN</t>
        </is>
      </c>
      <c r="E293" t="inlineStr">
        <is>
          <t>VILHELMINA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300-2020</t>
        </is>
      </c>
      <c r="B294" s="1" t="n">
        <v>43837</v>
      </c>
      <c r="C294" s="1" t="n">
        <v>45658</v>
      </c>
      <c r="D294" t="inlineStr">
        <is>
          <t>VÄSTERBOTTENS LÄN</t>
        </is>
      </c>
      <c r="E294" t="inlineStr">
        <is>
          <t>VILHELMINA</t>
        </is>
      </c>
      <c r="G294" t="n">
        <v>7.6</v>
      </c>
      <c r="H294" t="n">
        <v>0</v>
      </c>
      <c r="I294" t="n">
        <v>0</v>
      </c>
      <c r="J294" t="n">
        <v>0</v>
      </c>
      <c r="K294" t="n">
        <v>0</v>
      </c>
      <c r="L294" t="n">
        <v>0</v>
      </c>
      <c r="M294" t="n">
        <v>0</v>
      </c>
      <c r="N294" t="n">
        <v>0</v>
      </c>
      <c r="O294" t="n">
        <v>0</v>
      </c>
      <c r="P294" t="n">
        <v>0</v>
      </c>
      <c r="Q294" t="n">
        <v>0</v>
      </c>
      <c r="R294" s="2" t="inlineStr"/>
    </row>
    <row r="295" ht="15" customHeight="1">
      <c r="A295" t="inlineStr">
        <is>
          <t>A 1235-2020</t>
        </is>
      </c>
      <c r="B295" s="1" t="n">
        <v>43837</v>
      </c>
      <c r="C295" s="1" t="n">
        <v>45658</v>
      </c>
      <c r="D295" t="inlineStr">
        <is>
          <t>VÄSTERBOTTENS LÄN</t>
        </is>
      </c>
      <c r="E295" t="inlineStr">
        <is>
          <t>VILHELMINA</t>
        </is>
      </c>
      <c r="G295" t="n">
        <v>5</v>
      </c>
      <c r="H295" t="n">
        <v>0</v>
      </c>
      <c r="I295" t="n">
        <v>0</v>
      </c>
      <c r="J295" t="n">
        <v>0</v>
      </c>
      <c r="K295" t="n">
        <v>0</v>
      </c>
      <c r="L295" t="n">
        <v>0</v>
      </c>
      <c r="M295" t="n">
        <v>0</v>
      </c>
      <c r="N295" t="n">
        <v>0</v>
      </c>
      <c r="O295" t="n">
        <v>0</v>
      </c>
      <c r="P295" t="n">
        <v>0</v>
      </c>
      <c r="Q295" t="n">
        <v>0</v>
      </c>
      <c r="R295" s="2" t="inlineStr"/>
    </row>
    <row r="296" ht="15" customHeight="1">
      <c r="A296" t="inlineStr">
        <is>
          <t>A 802-2020</t>
        </is>
      </c>
      <c r="B296" s="1" t="n">
        <v>43838</v>
      </c>
      <c r="C296" s="1" t="n">
        <v>45658</v>
      </c>
      <c r="D296" t="inlineStr">
        <is>
          <t>VÄSTERBOTTENS LÄN</t>
        </is>
      </c>
      <c r="E296" t="inlineStr">
        <is>
          <t>VILHELMINA</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1992-2020</t>
        </is>
      </c>
      <c r="B297" s="1" t="n">
        <v>43838</v>
      </c>
      <c r="C297" s="1" t="n">
        <v>45658</v>
      </c>
      <c r="D297" t="inlineStr">
        <is>
          <t>VÄSTERBOTTENS LÄN</t>
        </is>
      </c>
      <c r="E297" t="inlineStr">
        <is>
          <t>VILHELMINA</t>
        </is>
      </c>
      <c r="G297" t="n">
        <v>2.3</v>
      </c>
      <c r="H297" t="n">
        <v>0</v>
      </c>
      <c r="I297" t="n">
        <v>0</v>
      </c>
      <c r="J297" t="n">
        <v>0</v>
      </c>
      <c r="K297" t="n">
        <v>0</v>
      </c>
      <c r="L297" t="n">
        <v>0</v>
      </c>
      <c r="M297" t="n">
        <v>0</v>
      </c>
      <c r="N297" t="n">
        <v>0</v>
      </c>
      <c r="O297" t="n">
        <v>0</v>
      </c>
      <c r="P297" t="n">
        <v>0</v>
      </c>
      <c r="Q297" t="n">
        <v>0</v>
      </c>
      <c r="R297" s="2" t="inlineStr"/>
    </row>
    <row r="298" ht="15" customHeight="1">
      <c r="A298" t="inlineStr">
        <is>
          <t>A 3074-2020</t>
        </is>
      </c>
      <c r="B298" s="1" t="n">
        <v>43851</v>
      </c>
      <c r="C298" s="1" t="n">
        <v>45658</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3343-2020</t>
        </is>
      </c>
      <c r="B299" s="1" t="n">
        <v>43852</v>
      </c>
      <c r="C299" s="1" t="n">
        <v>45658</v>
      </c>
      <c r="D299" t="inlineStr">
        <is>
          <t>VÄSTERBOTTENS LÄN</t>
        </is>
      </c>
      <c r="E299" t="inlineStr">
        <is>
          <t>VILHELMINA</t>
        </is>
      </c>
      <c r="F299" t="inlineStr">
        <is>
          <t>Sveaskog</t>
        </is>
      </c>
      <c r="G299" t="n">
        <v>6.1</v>
      </c>
      <c r="H299" t="n">
        <v>0</v>
      </c>
      <c r="I299" t="n">
        <v>0</v>
      </c>
      <c r="J299" t="n">
        <v>0</v>
      </c>
      <c r="K299" t="n">
        <v>0</v>
      </c>
      <c r="L299" t="n">
        <v>0</v>
      </c>
      <c r="M299" t="n">
        <v>0</v>
      </c>
      <c r="N299" t="n">
        <v>0</v>
      </c>
      <c r="O299" t="n">
        <v>0</v>
      </c>
      <c r="P299" t="n">
        <v>0</v>
      </c>
      <c r="Q299" t="n">
        <v>0</v>
      </c>
      <c r="R299" s="2" t="inlineStr"/>
    </row>
    <row r="300" ht="15" customHeight="1">
      <c r="A300" t="inlineStr">
        <is>
          <t>A 5236-2020</t>
        </is>
      </c>
      <c r="B300" s="1" t="n">
        <v>43854</v>
      </c>
      <c r="C300" s="1" t="n">
        <v>45658</v>
      </c>
      <c r="D300" t="inlineStr">
        <is>
          <t>VÄSTERBOTTENS LÄN</t>
        </is>
      </c>
      <c r="E300" t="inlineStr">
        <is>
          <t>VILHELMINA</t>
        </is>
      </c>
      <c r="G300" t="n">
        <v>25</v>
      </c>
      <c r="H300" t="n">
        <v>0</v>
      </c>
      <c r="I300" t="n">
        <v>0</v>
      </c>
      <c r="J300" t="n">
        <v>0</v>
      </c>
      <c r="K300" t="n">
        <v>0</v>
      </c>
      <c r="L300" t="n">
        <v>0</v>
      </c>
      <c r="M300" t="n">
        <v>0</v>
      </c>
      <c r="N300" t="n">
        <v>0</v>
      </c>
      <c r="O300" t="n">
        <v>0</v>
      </c>
      <c r="P300" t="n">
        <v>0</v>
      </c>
      <c r="Q300" t="n">
        <v>0</v>
      </c>
      <c r="R300" s="2" t="inlineStr"/>
    </row>
    <row r="301" ht="15" customHeight="1">
      <c r="A301" t="inlineStr">
        <is>
          <t>A 4586-2020</t>
        </is>
      </c>
      <c r="B301" s="1" t="n">
        <v>43858</v>
      </c>
      <c r="C301" s="1" t="n">
        <v>45658</v>
      </c>
      <c r="D301" t="inlineStr">
        <is>
          <t>VÄSTERBOTTENS LÄN</t>
        </is>
      </c>
      <c r="E301" t="inlineStr">
        <is>
          <t>VILHELMINA</t>
        </is>
      </c>
      <c r="G301" t="n">
        <v>3.4</v>
      </c>
      <c r="H301" t="n">
        <v>0</v>
      </c>
      <c r="I301" t="n">
        <v>0</v>
      </c>
      <c r="J301" t="n">
        <v>0</v>
      </c>
      <c r="K301" t="n">
        <v>0</v>
      </c>
      <c r="L301" t="n">
        <v>0</v>
      </c>
      <c r="M301" t="n">
        <v>0</v>
      </c>
      <c r="N301" t="n">
        <v>0</v>
      </c>
      <c r="O301" t="n">
        <v>0</v>
      </c>
      <c r="P301" t="n">
        <v>0</v>
      </c>
      <c r="Q301" t="n">
        <v>0</v>
      </c>
      <c r="R301" s="2" t="inlineStr"/>
    </row>
    <row r="302" ht="15" customHeight="1">
      <c r="A302" t="inlineStr">
        <is>
          <t>A 5432-2020</t>
        </is>
      </c>
      <c r="B302" s="1" t="n">
        <v>43858</v>
      </c>
      <c r="C302" s="1" t="n">
        <v>45658</v>
      </c>
      <c r="D302" t="inlineStr">
        <is>
          <t>VÄSTERBOTTENS LÄN</t>
        </is>
      </c>
      <c r="E302" t="inlineStr">
        <is>
          <t>VILHELMINA</t>
        </is>
      </c>
      <c r="G302" t="n">
        <v>6.2</v>
      </c>
      <c r="H302" t="n">
        <v>0</v>
      </c>
      <c r="I302" t="n">
        <v>0</v>
      </c>
      <c r="J302" t="n">
        <v>0</v>
      </c>
      <c r="K302" t="n">
        <v>0</v>
      </c>
      <c r="L302" t="n">
        <v>0</v>
      </c>
      <c r="M302" t="n">
        <v>0</v>
      </c>
      <c r="N302" t="n">
        <v>0</v>
      </c>
      <c r="O302" t="n">
        <v>0</v>
      </c>
      <c r="P302" t="n">
        <v>0</v>
      </c>
      <c r="Q302" t="n">
        <v>0</v>
      </c>
      <c r="R302" s="2" t="inlineStr"/>
    </row>
    <row r="303" ht="15" customHeight="1">
      <c r="A303" t="inlineStr">
        <is>
          <t>A 12419-2020</t>
        </is>
      </c>
      <c r="B303" s="1" t="n">
        <v>43896</v>
      </c>
      <c r="C303" s="1" t="n">
        <v>45658</v>
      </c>
      <c r="D303" t="inlineStr">
        <is>
          <t>VÄSTERBOTTENS LÄN</t>
        </is>
      </c>
      <c r="E303" t="inlineStr">
        <is>
          <t>VILHELMINA</t>
        </is>
      </c>
      <c r="F303" t="inlineStr">
        <is>
          <t>Kommuner</t>
        </is>
      </c>
      <c r="G303" t="n">
        <v>4.6</v>
      </c>
      <c r="H303" t="n">
        <v>0</v>
      </c>
      <c r="I303" t="n">
        <v>0</v>
      </c>
      <c r="J303" t="n">
        <v>0</v>
      </c>
      <c r="K303" t="n">
        <v>0</v>
      </c>
      <c r="L303" t="n">
        <v>0</v>
      </c>
      <c r="M303" t="n">
        <v>0</v>
      </c>
      <c r="N303" t="n">
        <v>0</v>
      </c>
      <c r="O303" t="n">
        <v>0</v>
      </c>
      <c r="P303" t="n">
        <v>0</v>
      </c>
      <c r="Q303" t="n">
        <v>0</v>
      </c>
      <c r="R303" s="2" t="inlineStr"/>
    </row>
    <row r="304" ht="15" customHeight="1">
      <c r="A304" t="inlineStr">
        <is>
          <t>A 12424-2020</t>
        </is>
      </c>
      <c r="B304" s="1" t="n">
        <v>43896</v>
      </c>
      <c r="C304" s="1" t="n">
        <v>45658</v>
      </c>
      <c r="D304" t="inlineStr">
        <is>
          <t>VÄSTERBOTTENS LÄN</t>
        </is>
      </c>
      <c r="E304" t="inlineStr">
        <is>
          <t>VILHELMINA</t>
        </is>
      </c>
      <c r="F304" t="inlineStr">
        <is>
          <t>Kommuner</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12423-2020</t>
        </is>
      </c>
      <c r="B305" s="1" t="n">
        <v>43896</v>
      </c>
      <c r="C305" s="1" t="n">
        <v>45658</v>
      </c>
      <c r="D305" t="inlineStr">
        <is>
          <t>VÄSTERBOTTENS LÄN</t>
        </is>
      </c>
      <c r="E305" t="inlineStr">
        <is>
          <t>VILHELMINA</t>
        </is>
      </c>
      <c r="F305" t="inlineStr">
        <is>
          <t>Kommuner</t>
        </is>
      </c>
      <c r="G305" t="n">
        <v>0.7</v>
      </c>
      <c r="H305" t="n">
        <v>0</v>
      </c>
      <c r="I305" t="n">
        <v>0</v>
      </c>
      <c r="J305" t="n">
        <v>0</v>
      </c>
      <c r="K305" t="n">
        <v>0</v>
      </c>
      <c r="L305" t="n">
        <v>0</v>
      </c>
      <c r="M305" t="n">
        <v>0</v>
      </c>
      <c r="N305" t="n">
        <v>0</v>
      </c>
      <c r="O305" t="n">
        <v>0</v>
      </c>
      <c r="P305" t="n">
        <v>0</v>
      </c>
      <c r="Q305" t="n">
        <v>0</v>
      </c>
      <c r="R305" s="2" t="inlineStr"/>
    </row>
    <row r="306" ht="15" customHeight="1">
      <c r="A306" t="inlineStr">
        <is>
          <t>A 12451-2020</t>
        </is>
      </c>
      <c r="B306" s="1" t="n">
        <v>43896</v>
      </c>
      <c r="C306" s="1" t="n">
        <v>45658</v>
      </c>
      <c r="D306" t="inlineStr">
        <is>
          <t>VÄSTERBOTTENS LÄN</t>
        </is>
      </c>
      <c r="E306" t="inlineStr">
        <is>
          <t>VILHELMINA</t>
        </is>
      </c>
      <c r="F306" t="inlineStr">
        <is>
          <t>Kommuner</t>
        </is>
      </c>
      <c r="G306" t="n">
        <v>5.5</v>
      </c>
      <c r="H306" t="n">
        <v>0</v>
      </c>
      <c r="I306" t="n">
        <v>0</v>
      </c>
      <c r="J306" t="n">
        <v>0</v>
      </c>
      <c r="K306" t="n">
        <v>0</v>
      </c>
      <c r="L306" t="n">
        <v>0</v>
      </c>
      <c r="M306" t="n">
        <v>0</v>
      </c>
      <c r="N306" t="n">
        <v>0</v>
      </c>
      <c r="O306" t="n">
        <v>0</v>
      </c>
      <c r="P306" t="n">
        <v>0</v>
      </c>
      <c r="Q306" t="n">
        <v>0</v>
      </c>
      <c r="R306" s="2" t="inlineStr"/>
    </row>
    <row r="307" ht="15" customHeight="1">
      <c r="A307" t="inlineStr">
        <is>
          <t>A 14738-2020</t>
        </is>
      </c>
      <c r="B307" s="1" t="n">
        <v>43909</v>
      </c>
      <c r="C307" s="1" t="n">
        <v>45658</v>
      </c>
      <c r="D307" t="inlineStr">
        <is>
          <t>VÄSTERBOTTENS LÄN</t>
        </is>
      </c>
      <c r="E307" t="inlineStr">
        <is>
          <t>VILHELMINA</t>
        </is>
      </c>
      <c r="G307" t="n">
        <v>3.9</v>
      </c>
      <c r="H307" t="n">
        <v>0</v>
      </c>
      <c r="I307" t="n">
        <v>0</v>
      </c>
      <c r="J307" t="n">
        <v>0</v>
      </c>
      <c r="K307" t="n">
        <v>0</v>
      </c>
      <c r="L307" t="n">
        <v>0</v>
      </c>
      <c r="M307" t="n">
        <v>0</v>
      </c>
      <c r="N307" t="n">
        <v>0</v>
      </c>
      <c r="O307" t="n">
        <v>0</v>
      </c>
      <c r="P307" t="n">
        <v>0</v>
      </c>
      <c r="Q307" t="n">
        <v>0</v>
      </c>
      <c r="R307" s="2" t="inlineStr"/>
    </row>
    <row r="308" ht="15" customHeight="1">
      <c r="A308" t="inlineStr">
        <is>
          <t>A 15113-2020</t>
        </is>
      </c>
      <c r="B308" s="1" t="n">
        <v>43910</v>
      </c>
      <c r="C308" s="1" t="n">
        <v>45658</v>
      </c>
      <c r="D308" t="inlineStr">
        <is>
          <t>VÄSTERBOTTENS LÄN</t>
        </is>
      </c>
      <c r="E308" t="inlineStr">
        <is>
          <t>VILHELMINA</t>
        </is>
      </c>
      <c r="G308" t="n">
        <v>9.5</v>
      </c>
      <c r="H308" t="n">
        <v>0</v>
      </c>
      <c r="I308" t="n">
        <v>0</v>
      </c>
      <c r="J308" t="n">
        <v>0</v>
      </c>
      <c r="K308" t="n">
        <v>0</v>
      </c>
      <c r="L308" t="n">
        <v>0</v>
      </c>
      <c r="M308" t="n">
        <v>0</v>
      </c>
      <c r="N308" t="n">
        <v>0</v>
      </c>
      <c r="O308" t="n">
        <v>0</v>
      </c>
      <c r="P308" t="n">
        <v>0</v>
      </c>
      <c r="Q308" t="n">
        <v>0</v>
      </c>
      <c r="R308" s="2" t="inlineStr"/>
    </row>
    <row r="309" ht="15" customHeight="1">
      <c r="A309" t="inlineStr">
        <is>
          <t>A 15400-2020</t>
        </is>
      </c>
      <c r="B309" s="1" t="n">
        <v>43913</v>
      </c>
      <c r="C309" s="1" t="n">
        <v>45658</v>
      </c>
      <c r="D309" t="inlineStr">
        <is>
          <t>VÄSTERBOTTENS LÄN</t>
        </is>
      </c>
      <c r="E309" t="inlineStr">
        <is>
          <t>VILHELMINA</t>
        </is>
      </c>
      <c r="F309" t="inlineStr">
        <is>
          <t>SCA</t>
        </is>
      </c>
      <c r="G309" t="n">
        <v>11.7</v>
      </c>
      <c r="H309" t="n">
        <v>0</v>
      </c>
      <c r="I309" t="n">
        <v>0</v>
      </c>
      <c r="J309" t="n">
        <v>0</v>
      </c>
      <c r="K309" t="n">
        <v>0</v>
      </c>
      <c r="L309" t="n">
        <v>0</v>
      </c>
      <c r="M309" t="n">
        <v>0</v>
      </c>
      <c r="N309" t="n">
        <v>0</v>
      </c>
      <c r="O309" t="n">
        <v>0</v>
      </c>
      <c r="P309" t="n">
        <v>0</v>
      </c>
      <c r="Q309" t="n">
        <v>0</v>
      </c>
      <c r="R309" s="2" t="inlineStr"/>
    </row>
    <row r="310" ht="15" customHeight="1">
      <c r="A310" t="inlineStr">
        <is>
          <t>A 15410-2020</t>
        </is>
      </c>
      <c r="B310" s="1" t="n">
        <v>43913</v>
      </c>
      <c r="C310" s="1" t="n">
        <v>45658</v>
      </c>
      <c r="D310" t="inlineStr">
        <is>
          <t>VÄSTERBOTTENS LÄN</t>
        </is>
      </c>
      <c r="E310" t="inlineStr">
        <is>
          <t>VILHELMINA</t>
        </is>
      </c>
      <c r="F310" t="inlineStr">
        <is>
          <t>SCA</t>
        </is>
      </c>
      <c r="G310" t="n">
        <v>7.4</v>
      </c>
      <c r="H310" t="n">
        <v>0</v>
      </c>
      <c r="I310" t="n">
        <v>0</v>
      </c>
      <c r="J310" t="n">
        <v>0</v>
      </c>
      <c r="K310" t="n">
        <v>0</v>
      </c>
      <c r="L310" t="n">
        <v>0</v>
      </c>
      <c r="M310" t="n">
        <v>0</v>
      </c>
      <c r="N310" t="n">
        <v>0</v>
      </c>
      <c r="O310" t="n">
        <v>0</v>
      </c>
      <c r="P310" t="n">
        <v>0</v>
      </c>
      <c r="Q310" t="n">
        <v>0</v>
      </c>
      <c r="R310" s="2" t="inlineStr"/>
    </row>
    <row r="311" ht="15" customHeight="1">
      <c r="A311" t="inlineStr">
        <is>
          <t>A 15399-2020</t>
        </is>
      </c>
      <c r="B311" s="1" t="n">
        <v>43913</v>
      </c>
      <c r="C311" s="1" t="n">
        <v>45658</v>
      </c>
      <c r="D311" t="inlineStr">
        <is>
          <t>VÄSTERBOTTENS LÄN</t>
        </is>
      </c>
      <c r="E311" t="inlineStr">
        <is>
          <t>VILHELMINA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15407-2020</t>
        </is>
      </c>
      <c r="B312" s="1" t="n">
        <v>43913</v>
      </c>
      <c r="C312" s="1" t="n">
        <v>45658</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15413-2020</t>
        </is>
      </c>
      <c r="B313" s="1" t="n">
        <v>43913</v>
      </c>
      <c r="C313" s="1" t="n">
        <v>45658</v>
      </c>
      <c r="D313" t="inlineStr">
        <is>
          <t>VÄSTERBOTTENS LÄN</t>
        </is>
      </c>
      <c r="E313" t="inlineStr">
        <is>
          <t>VILHELMINA</t>
        </is>
      </c>
      <c r="F313" t="inlineStr">
        <is>
          <t>SCA</t>
        </is>
      </c>
      <c r="G313" t="n">
        <v>12.1</v>
      </c>
      <c r="H313" t="n">
        <v>0</v>
      </c>
      <c r="I313" t="n">
        <v>0</v>
      </c>
      <c r="J313" t="n">
        <v>0</v>
      </c>
      <c r="K313" t="n">
        <v>0</v>
      </c>
      <c r="L313" t="n">
        <v>0</v>
      </c>
      <c r="M313" t="n">
        <v>0</v>
      </c>
      <c r="N313" t="n">
        <v>0</v>
      </c>
      <c r="O313" t="n">
        <v>0</v>
      </c>
      <c r="P313" t="n">
        <v>0</v>
      </c>
      <c r="Q313" t="n">
        <v>0</v>
      </c>
      <c r="R313" s="2" t="inlineStr"/>
    </row>
    <row r="314" ht="15" customHeight="1">
      <c r="A314" t="inlineStr">
        <is>
          <t>A 15409-2020</t>
        </is>
      </c>
      <c r="B314" s="1" t="n">
        <v>43913</v>
      </c>
      <c r="C314" s="1" t="n">
        <v>45658</v>
      </c>
      <c r="D314" t="inlineStr">
        <is>
          <t>VÄSTERBOTTENS LÄN</t>
        </is>
      </c>
      <c r="E314" t="inlineStr">
        <is>
          <t>VILHELMINA</t>
        </is>
      </c>
      <c r="F314" t="inlineStr">
        <is>
          <t>SCA</t>
        </is>
      </c>
      <c r="G314" t="n">
        <v>11.1</v>
      </c>
      <c r="H314" t="n">
        <v>0</v>
      </c>
      <c r="I314" t="n">
        <v>0</v>
      </c>
      <c r="J314" t="n">
        <v>0</v>
      </c>
      <c r="K314" t="n">
        <v>0</v>
      </c>
      <c r="L314" t="n">
        <v>0</v>
      </c>
      <c r="M314" t="n">
        <v>0</v>
      </c>
      <c r="N314" t="n">
        <v>0</v>
      </c>
      <c r="O314" t="n">
        <v>0</v>
      </c>
      <c r="P314" t="n">
        <v>0</v>
      </c>
      <c r="Q314" t="n">
        <v>0</v>
      </c>
      <c r="R314" s="2" t="inlineStr"/>
    </row>
    <row r="315" ht="15" customHeight="1">
      <c r="A315" t="inlineStr">
        <is>
          <t>A 15411-2020</t>
        </is>
      </c>
      <c r="B315" s="1" t="n">
        <v>43913</v>
      </c>
      <c r="C315" s="1" t="n">
        <v>45658</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17110-2020</t>
        </is>
      </c>
      <c r="B316" s="1" t="n">
        <v>43913</v>
      </c>
      <c r="C316" s="1" t="n">
        <v>45658</v>
      </c>
      <c r="D316" t="inlineStr">
        <is>
          <t>VÄSTERBOTTENS LÄN</t>
        </is>
      </c>
      <c r="E316" t="inlineStr">
        <is>
          <t>VILHELMINA</t>
        </is>
      </c>
      <c r="G316" t="n">
        <v>15.1</v>
      </c>
      <c r="H316" t="n">
        <v>0</v>
      </c>
      <c r="I316" t="n">
        <v>0</v>
      </c>
      <c r="J316" t="n">
        <v>0</v>
      </c>
      <c r="K316" t="n">
        <v>0</v>
      </c>
      <c r="L316" t="n">
        <v>0</v>
      </c>
      <c r="M316" t="n">
        <v>0</v>
      </c>
      <c r="N316" t="n">
        <v>0</v>
      </c>
      <c r="O316" t="n">
        <v>0</v>
      </c>
      <c r="P316" t="n">
        <v>0</v>
      </c>
      <c r="Q316" t="n">
        <v>0</v>
      </c>
      <c r="R316" s="2" t="inlineStr"/>
    </row>
    <row r="317" ht="15" customHeight="1">
      <c r="A317" t="inlineStr">
        <is>
          <t>A 17115-2020</t>
        </is>
      </c>
      <c r="B317" s="1" t="n">
        <v>43913</v>
      </c>
      <c r="C317" s="1" t="n">
        <v>45658</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15489-2020</t>
        </is>
      </c>
      <c r="B318" s="1" t="n">
        <v>43914</v>
      </c>
      <c r="C318" s="1" t="n">
        <v>45658</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15897-2020</t>
        </is>
      </c>
      <c r="B319" s="1" t="n">
        <v>43915</v>
      </c>
      <c r="C319" s="1" t="n">
        <v>45658</v>
      </c>
      <c r="D319" t="inlineStr">
        <is>
          <t>VÄSTERBOTTENS LÄN</t>
        </is>
      </c>
      <c r="E319" t="inlineStr">
        <is>
          <t>VILHELMINA</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15692-2020</t>
        </is>
      </c>
      <c r="B320" s="1" t="n">
        <v>43915</v>
      </c>
      <c r="C320" s="1" t="n">
        <v>45658</v>
      </c>
      <c r="D320" t="inlineStr">
        <is>
          <t>VÄSTERBOTTENS LÄN</t>
        </is>
      </c>
      <c r="E320" t="inlineStr">
        <is>
          <t>VILHELMINA</t>
        </is>
      </c>
      <c r="G320" t="n">
        <v>4.5</v>
      </c>
      <c r="H320" t="n">
        <v>0</v>
      </c>
      <c r="I320" t="n">
        <v>0</v>
      </c>
      <c r="J320" t="n">
        <v>0</v>
      </c>
      <c r="K320" t="n">
        <v>0</v>
      </c>
      <c r="L320" t="n">
        <v>0</v>
      </c>
      <c r="M320" t="n">
        <v>0</v>
      </c>
      <c r="N320" t="n">
        <v>0</v>
      </c>
      <c r="O320" t="n">
        <v>0</v>
      </c>
      <c r="P320" t="n">
        <v>0</v>
      </c>
      <c r="Q320" t="n">
        <v>0</v>
      </c>
      <c r="R320" s="2" t="inlineStr"/>
    </row>
    <row r="321" ht="15" customHeight="1">
      <c r="A321" t="inlineStr">
        <is>
          <t>A 15750-2020</t>
        </is>
      </c>
      <c r="B321" s="1" t="n">
        <v>43915</v>
      </c>
      <c r="C321" s="1" t="n">
        <v>45658</v>
      </c>
      <c r="D321" t="inlineStr">
        <is>
          <t>VÄSTERBOTTENS LÄN</t>
        </is>
      </c>
      <c r="E321" t="inlineStr">
        <is>
          <t>VILHELMINA</t>
        </is>
      </c>
      <c r="G321" t="n">
        <v>4.8</v>
      </c>
      <c r="H321" t="n">
        <v>0</v>
      </c>
      <c r="I321" t="n">
        <v>0</v>
      </c>
      <c r="J321" t="n">
        <v>0</v>
      </c>
      <c r="K321" t="n">
        <v>0</v>
      </c>
      <c r="L321" t="n">
        <v>0</v>
      </c>
      <c r="M321" t="n">
        <v>0</v>
      </c>
      <c r="N321" t="n">
        <v>0</v>
      </c>
      <c r="O321" t="n">
        <v>0</v>
      </c>
      <c r="P321" t="n">
        <v>0</v>
      </c>
      <c r="Q321" t="n">
        <v>0</v>
      </c>
      <c r="R321" s="2" t="inlineStr"/>
    </row>
    <row r="322" ht="15" customHeight="1">
      <c r="A322" t="inlineStr">
        <is>
          <t>A 15695-2020</t>
        </is>
      </c>
      <c r="B322" s="1" t="n">
        <v>43915</v>
      </c>
      <c r="C322" s="1" t="n">
        <v>45658</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17522-2020</t>
        </is>
      </c>
      <c r="B323" s="1" t="n">
        <v>43923</v>
      </c>
      <c r="C323" s="1" t="n">
        <v>45658</v>
      </c>
      <c r="D323" t="inlineStr">
        <is>
          <t>VÄSTERBOTTENS LÄN</t>
        </is>
      </c>
      <c r="E323" t="inlineStr">
        <is>
          <t>VILHELMINA</t>
        </is>
      </c>
      <c r="G323" t="n">
        <v>1.1</v>
      </c>
      <c r="H323" t="n">
        <v>0</v>
      </c>
      <c r="I323" t="n">
        <v>0</v>
      </c>
      <c r="J323" t="n">
        <v>0</v>
      </c>
      <c r="K323" t="n">
        <v>0</v>
      </c>
      <c r="L323" t="n">
        <v>0</v>
      </c>
      <c r="M323" t="n">
        <v>0</v>
      </c>
      <c r="N323" t="n">
        <v>0</v>
      </c>
      <c r="O323" t="n">
        <v>0</v>
      </c>
      <c r="P323" t="n">
        <v>0</v>
      </c>
      <c r="Q323" t="n">
        <v>0</v>
      </c>
      <c r="R323" s="2" t="inlineStr"/>
    </row>
    <row r="324" ht="15" customHeight="1">
      <c r="A324" t="inlineStr">
        <is>
          <t>A 17619-2020</t>
        </is>
      </c>
      <c r="B324" s="1" t="n">
        <v>43923</v>
      </c>
      <c r="C324" s="1" t="n">
        <v>45658</v>
      </c>
      <c r="D324" t="inlineStr">
        <is>
          <t>VÄSTERBOTTENS LÄN</t>
        </is>
      </c>
      <c r="E324" t="inlineStr">
        <is>
          <t>VILHELMINA</t>
        </is>
      </c>
      <c r="G324" t="n">
        <v>5.5</v>
      </c>
      <c r="H324" t="n">
        <v>0</v>
      </c>
      <c r="I324" t="n">
        <v>0</v>
      </c>
      <c r="J324" t="n">
        <v>0</v>
      </c>
      <c r="K324" t="n">
        <v>0</v>
      </c>
      <c r="L324" t="n">
        <v>0</v>
      </c>
      <c r="M324" t="n">
        <v>0</v>
      </c>
      <c r="N324" t="n">
        <v>0</v>
      </c>
      <c r="O324" t="n">
        <v>0</v>
      </c>
      <c r="P324" t="n">
        <v>0</v>
      </c>
      <c r="Q324" t="n">
        <v>0</v>
      </c>
      <c r="R324" s="2" t="inlineStr"/>
    </row>
    <row r="325" ht="15" customHeight="1">
      <c r="A325" t="inlineStr">
        <is>
          <t>A 17789-2020</t>
        </is>
      </c>
      <c r="B325" s="1" t="n">
        <v>43923</v>
      </c>
      <c r="C325" s="1" t="n">
        <v>45658</v>
      </c>
      <c r="D325" t="inlineStr">
        <is>
          <t>VÄSTERBOTTENS LÄN</t>
        </is>
      </c>
      <c r="E325" t="inlineStr">
        <is>
          <t>VILHELMINA</t>
        </is>
      </c>
      <c r="F325" t="inlineStr">
        <is>
          <t>Allmännings- och besparingsskogar</t>
        </is>
      </c>
      <c r="G325" t="n">
        <v>1.4</v>
      </c>
      <c r="H325" t="n">
        <v>0</v>
      </c>
      <c r="I325" t="n">
        <v>0</v>
      </c>
      <c r="J325" t="n">
        <v>0</v>
      </c>
      <c r="K325" t="n">
        <v>0</v>
      </c>
      <c r="L325" t="n">
        <v>0</v>
      </c>
      <c r="M325" t="n">
        <v>0</v>
      </c>
      <c r="N325" t="n">
        <v>0</v>
      </c>
      <c r="O325" t="n">
        <v>0</v>
      </c>
      <c r="P325" t="n">
        <v>0</v>
      </c>
      <c r="Q325" t="n">
        <v>0</v>
      </c>
      <c r="R325" s="2" t="inlineStr"/>
    </row>
    <row r="326" ht="15" customHeight="1">
      <c r="A326" t="inlineStr">
        <is>
          <t>A 18165-2020</t>
        </is>
      </c>
      <c r="B326" s="1" t="n">
        <v>43927</v>
      </c>
      <c r="C326" s="1" t="n">
        <v>45658</v>
      </c>
      <c r="D326" t="inlineStr">
        <is>
          <t>VÄSTERBOTTENS LÄN</t>
        </is>
      </c>
      <c r="E326" t="inlineStr">
        <is>
          <t>VILHELMINA</t>
        </is>
      </c>
      <c r="F326" t="inlineStr">
        <is>
          <t>Kommuner</t>
        </is>
      </c>
      <c r="G326" t="n">
        <v>3.6</v>
      </c>
      <c r="H326" t="n">
        <v>0</v>
      </c>
      <c r="I326" t="n">
        <v>0</v>
      </c>
      <c r="J326" t="n">
        <v>0</v>
      </c>
      <c r="K326" t="n">
        <v>0</v>
      </c>
      <c r="L326" t="n">
        <v>0</v>
      </c>
      <c r="M326" t="n">
        <v>0</v>
      </c>
      <c r="N326" t="n">
        <v>0</v>
      </c>
      <c r="O326" t="n">
        <v>0</v>
      </c>
      <c r="P326" t="n">
        <v>0</v>
      </c>
      <c r="Q326" t="n">
        <v>0</v>
      </c>
      <c r="R326" s="2" t="inlineStr"/>
    </row>
    <row r="327" ht="15" customHeight="1">
      <c r="A327" t="inlineStr">
        <is>
          <t>A 19009-2020</t>
        </is>
      </c>
      <c r="B327" s="1" t="n">
        <v>43935</v>
      </c>
      <c r="C327" s="1" t="n">
        <v>45658</v>
      </c>
      <c r="D327" t="inlineStr">
        <is>
          <t>VÄSTERBOTTENS LÄN</t>
        </is>
      </c>
      <c r="E327" t="inlineStr">
        <is>
          <t>VILHELMINA</t>
        </is>
      </c>
      <c r="G327" t="n">
        <v>1.5</v>
      </c>
      <c r="H327" t="n">
        <v>0</v>
      </c>
      <c r="I327" t="n">
        <v>0</v>
      </c>
      <c r="J327" t="n">
        <v>0</v>
      </c>
      <c r="K327" t="n">
        <v>0</v>
      </c>
      <c r="L327" t="n">
        <v>0</v>
      </c>
      <c r="M327" t="n">
        <v>0</v>
      </c>
      <c r="N327" t="n">
        <v>0</v>
      </c>
      <c r="O327" t="n">
        <v>0</v>
      </c>
      <c r="P327" t="n">
        <v>0</v>
      </c>
      <c r="Q327" t="n">
        <v>0</v>
      </c>
      <c r="R327" s="2" t="inlineStr"/>
    </row>
    <row r="328" ht="15" customHeight="1">
      <c r="A328" t="inlineStr">
        <is>
          <t>A 20187-2020</t>
        </is>
      </c>
      <c r="B328" s="1" t="n">
        <v>43944</v>
      </c>
      <c r="C328" s="1" t="n">
        <v>45658</v>
      </c>
      <c r="D328" t="inlineStr">
        <is>
          <t>VÄSTERBOTTENS LÄN</t>
        </is>
      </c>
      <c r="E328" t="inlineStr">
        <is>
          <t>VILHELMINA</t>
        </is>
      </c>
      <c r="G328" t="n">
        <v>0.7</v>
      </c>
      <c r="H328" t="n">
        <v>0</v>
      </c>
      <c r="I328" t="n">
        <v>0</v>
      </c>
      <c r="J328" t="n">
        <v>0</v>
      </c>
      <c r="K328" t="n">
        <v>0</v>
      </c>
      <c r="L328" t="n">
        <v>0</v>
      </c>
      <c r="M328" t="n">
        <v>0</v>
      </c>
      <c r="N328" t="n">
        <v>0</v>
      </c>
      <c r="O328" t="n">
        <v>0</v>
      </c>
      <c r="P328" t="n">
        <v>0</v>
      </c>
      <c r="Q328" t="n">
        <v>0</v>
      </c>
      <c r="R328" s="2" t="inlineStr"/>
    </row>
    <row r="329" ht="15" customHeight="1">
      <c r="A329" t="inlineStr">
        <is>
          <t>A 20420-2020</t>
        </is>
      </c>
      <c r="B329" s="1" t="n">
        <v>43945</v>
      </c>
      <c r="C329" s="1" t="n">
        <v>45658</v>
      </c>
      <c r="D329" t="inlineStr">
        <is>
          <t>VÄSTERBOTTENS LÄN</t>
        </is>
      </c>
      <c r="E329" t="inlineStr">
        <is>
          <t>VILHELMINA</t>
        </is>
      </c>
      <c r="F329" t="inlineStr">
        <is>
          <t>SCA</t>
        </is>
      </c>
      <c r="G329" t="n">
        <v>4.7</v>
      </c>
      <c r="H329" t="n">
        <v>0</v>
      </c>
      <c r="I329" t="n">
        <v>0</v>
      </c>
      <c r="J329" t="n">
        <v>0</v>
      </c>
      <c r="K329" t="n">
        <v>0</v>
      </c>
      <c r="L329" t="n">
        <v>0</v>
      </c>
      <c r="M329" t="n">
        <v>0</v>
      </c>
      <c r="N329" t="n">
        <v>0</v>
      </c>
      <c r="O329" t="n">
        <v>0</v>
      </c>
      <c r="P329" t="n">
        <v>0</v>
      </c>
      <c r="Q329" t="n">
        <v>0</v>
      </c>
      <c r="R329" s="2" t="inlineStr"/>
    </row>
    <row r="330" ht="15" customHeight="1">
      <c r="A330" t="inlineStr">
        <is>
          <t>A 22789-2020</t>
        </is>
      </c>
      <c r="B330" s="1" t="n">
        <v>43964</v>
      </c>
      <c r="C330" s="1" t="n">
        <v>45658</v>
      </c>
      <c r="D330" t="inlineStr">
        <is>
          <t>VÄSTERBOTTENS LÄN</t>
        </is>
      </c>
      <c r="E330" t="inlineStr">
        <is>
          <t>VILHELMINA</t>
        </is>
      </c>
      <c r="G330" t="n">
        <v>1.3</v>
      </c>
      <c r="H330" t="n">
        <v>0</v>
      </c>
      <c r="I330" t="n">
        <v>0</v>
      </c>
      <c r="J330" t="n">
        <v>0</v>
      </c>
      <c r="K330" t="n">
        <v>0</v>
      </c>
      <c r="L330" t="n">
        <v>0</v>
      </c>
      <c r="M330" t="n">
        <v>0</v>
      </c>
      <c r="N330" t="n">
        <v>0</v>
      </c>
      <c r="O330" t="n">
        <v>0</v>
      </c>
      <c r="P330" t="n">
        <v>0</v>
      </c>
      <c r="Q330" t="n">
        <v>0</v>
      </c>
      <c r="R330" s="2" t="inlineStr"/>
    </row>
    <row r="331" ht="15" customHeight="1">
      <c r="A331" t="inlineStr">
        <is>
          <t>A 22791-2020</t>
        </is>
      </c>
      <c r="B331" s="1" t="n">
        <v>43964</v>
      </c>
      <c r="C331" s="1" t="n">
        <v>45658</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23168-2020</t>
        </is>
      </c>
      <c r="B332" s="1" t="n">
        <v>43966</v>
      </c>
      <c r="C332" s="1" t="n">
        <v>45658</v>
      </c>
      <c r="D332" t="inlineStr">
        <is>
          <t>VÄSTERBOTTENS LÄN</t>
        </is>
      </c>
      <c r="E332" t="inlineStr">
        <is>
          <t>VILHELMINA</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23175-2020</t>
        </is>
      </c>
      <c r="B333" s="1" t="n">
        <v>43966</v>
      </c>
      <c r="C333" s="1" t="n">
        <v>45658</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24985-2020</t>
        </is>
      </c>
      <c r="B334" s="1" t="n">
        <v>43977</v>
      </c>
      <c r="C334" s="1" t="n">
        <v>45658</v>
      </c>
      <c r="D334" t="inlineStr">
        <is>
          <t>VÄSTERBOTTENS LÄN</t>
        </is>
      </c>
      <c r="E334" t="inlineStr">
        <is>
          <t>VILHELMINA</t>
        </is>
      </c>
      <c r="F334" t="inlineStr">
        <is>
          <t>Övriga statliga verk och myndigheter</t>
        </is>
      </c>
      <c r="G334" t="n">
        <v>16</v>
      </c>
      <c r="H334" t="n">
        <v>0</v>
      </c>
      <c r="I334" t="n">
        <v>0</v>
      </c>
      <c r="J334" t="n">
        <v>0</v>
      </c>
      <c r="K334" t="n">
        <v>0</v>
      </c>
      <c r="L334" t="n">
        <v>0</v>
      </c>
      <c r="M334" t="n">
        <v>0</v>
      </c>
      <c r="N334" t="n">
        <v>0</v>
      </c>
      <c r="O334" t="n">
        <v>0</v>
      </c>
      <c r="P334" t="n">
        <v>0</v>
      </c>
      <c r="Q334" t="n">
        <v>0</v>
      </c>
      <c r="R334" s="2" t="inlineStr"/>
    </row>
    <row r="335" ht="15" customHeight="1">
      <c r="A335" t="inlineStr">
        <is>
          <t>A 25491-2020</t>
        </is>
      </c>
      <c r="B335" s="1" t="n">
        <v>43983</v>
      </c>
      <c r="C335" s="1" t="n">
        <v>45658</v>
      </c>
      <c r="D335" t="inlineStr">
        <is>
          <t>VÄSTERBOTTENS LÄN</t>
        </is>
      </c>
      <c r="E335" t="inlineStr">
        <is>
          <t>VILHELMINA</t>
        </is>
      </c>
      <c r="F335" t="inlineStr">
        <is>
          <t>Allmännings- och besparingsskogar</t>
        </is>
      </c>
      <c r="G335" t="n">
        <v>26</v>
      </c>
      <c r="H335" t="n">
        <v>0</v>
      </c>
      <c r="I335" t="n">
        <v>0</v>
      </c>
      <c r="J335" t="n">
        <v>0</v>
      </c>
      <c r="K335" t="n">
        <v>0</v>
      </c>
      <c r="L335" t="n">
        <v>0</v>
      </c>
      <c r="M335" t="n">
        <v>0</v>
      </c>
      <c r="N335" t="n">
        <v>0</v>
      </c>
      <c r="O335" t="n">
        <v>0</v>
      </c>
      <c r="P335" t="n">
        <v>0</v>
      </c>
      <c r="Q335" t="n">
        <v>0</v>
      </c>
      <c r="R335" s="2" t="inlineStr"/>
    </row>
    <row r="336" ht="15" customHeight="1">
      <c r="A336" t="inlineStr">
        <is>
          <t>A 25498-2020</t>
        </is>
      </c>
      <c r="B336" s="1" t="n">
        <v>43983</v>
      </c>
      <c r="C336" s="1" t="n">
        <v>45658</v>
      </c>
      <c r="D336" t="inlineStr">
        <is>
          <t>VÄSTERBOTTENS LÄN</t>
        </is>
      </c>
      <c r="E336" t="inlineStr">
        <is>
          <t>VILHELMINA</t>
        </is>
      </c>
      <c r="F336" t="inlineStr">
        <is>
          <t>Allmännings- och besparingsskogar</t>
        </is>
      </c>
      <c r="G336" t="n">
        <v>22.6</v>
      </c>
      <c r="H336" t="n">
        <v>0</v>
      </c>
      <c r="I336" t="n">
        <v>0</v>
      </c>
      <c r="J336" t="n">
        <v>0</v>
      </c>
      <c r="K336" t="n">
        <v>0</v>
      </c>
      <c r="L336" t="n">
        <v>0</v>
      </c>
      <c r="M336" t="n">
        <v>0</v>
      </c>
      <c r="N336" t="n">
        <v>0</v>
      </c>
      <c r="O336" t="n">
        <v>0</v>
      </c>
      <c r="P336" t="n">
        <v>0</v>
      </c>
      <c r="Q336" t="n">
        <v>0</v>
      </c>
      <c r="R336" s="2" t="inlineStr"/>
    </row>
    <row r="337" ht="15" customHeight="1">
      <c r="A337" t="inlineStr">
        <is>
          <t>A 26382-2020</t>
        </is>
      </c>
      <c r="B337" s="1" t="n">
        <v>43986</v>
      </c>
      <c r="C337" s="1" t="n">
        <v>45658</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26308-2020</t>
        </is>
      </c>
      <c r="B338" s="1" t="n">
        <v>43986</v>
      </c>
      <c r="C338" s="1" t="n">
        <v>45658</v>
      </c>
      <c r="D338" t="inlineStr">
        <is>
          <t>VÄSTERBOTTENS LÄN</t>
        </is>
      </c>
      <c r="E338" t="inlineStr">
        <is>
          <t>VILHELMINA</t>
        </is>
      </c>
      <c r="G338" t="n">
        <v>12.1</v>
      </c>
      <c r="H338" t="n">
        <v>0</v>
      </c>
      <c r="I338" t="n">
        <v>0</v>
      </c>
      <c r="J338" t="n">
        <v>0</v>
      </c>
      <c r="K338" t="n">
        <v>0</v>
      </c>
      <c r="L338" t="n">
        <v>0</v>
      </c>
      <c r="M338" t="n">
        <v>0</v>
      </c>
      <c r="N338" t="n">
        <v>0</v>
      </c>
      <c r="O338" t="n">
        <v>0</v>
      </c>
      <c r="P338" t="n">
        <v>0</v>
      </c>
      <c r="Q338" t="n">
        <v>0</v>
      </c>
      <c r="R338" s="2" t="inlineStr"/>
    </row>
    <row r="339" ht="15" customHeight="1">
      <c r="A339" t="inlineStr">
        <is>
          <t>A 28871-2020</t>
        </is>
      </c>
      <c r="B339" s="1" t="n">
        <v>44000</v>
      </c>
      <c r="C339" s="1" t="n">
        <v>45658</v>
      </c>
      <c r="D339" t="inlineStr">
        <is>
          <t>VÄSTERBOTTENS LÄN</t>
        </is>
      </c>
      <c r="E339" t="inlineStr">
        <is>
          <t>VILHELMINA</t>
        </is>
      </c>
      <c r="F339" t="inlineStr">
        <is>
          <t>Kommuner</t>
        </is>
      </c>
      <c r="G339" t="n">
        <v>0.2</v>
      </c>
      <c r="H339" t="n">
        <v>0</v>
      </c>
      <c r="I339" t="n">
        <v>0</v>
      </c>
      <c r="J339" t="n">
        <v>0</v>
      </c>
      <c r="K339" t="n">
        <v>0</v>
      </c>
      <c r="L339" t="n">
        <v>0</v>
      </c>
      <c r="M339" t="n">
        <v>0</v>
      </c>
      <c r="N339" t="n">
        <v>0</v>
      </c>
      <c r="O339" t="n">
        <v>0</v>
      </c>
      <c r="P339" t="n">
        <v>0</v>
      </c>
      <c r="Q339" t="n">
        <v>0</v>
      </c>
      <c r="R339" s="2" t="inlineStr"/>
    </row>
    <row r="340" ht="15" customHeight="1">
      <c r="A340" t="inlineStr">
        <is>
          <t>A 28864-2020</t>
        </is>
      </c>
      <c r="B340" s="1" t="n">
        <v>44000</v>
      </c>
      <c r="C340" s="1" t="n">
        <v>45658</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30210-2020</t>
        </is>
      </c>
      <c r="B341" s="1" t="n">
        <v>44007</v>
      </c>
      <c r="C341" s="1" t="n">
        <v>45658</v>
      </c>
      <c r="D341" t="inlineStr">
        <is>
          <t>VÄSTERBOTTENS LÄN</t>
        </is>
      </c>
      <c r="E341" t="inlineStr">
        <is>
          <t>VILHELMINA</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30373-2020</t>
        </is>
      </c>
      <c r="B342" s="1" t="n">
        <v>44007</v>
      </c>
      <c r="C342" s="1" t="n">
        <v>45658</v>
      </c>
      <c r="D342" t="inlineStr">
        <is>
          <t>VÄSTERBOTTENS LÄN</t>
        </is>
      </c>
      <c r="E342" t="inlineStr">
        <is>
          <t>VILHELMINA</t>
        </is>
      </c>
      <c r="F342" t="inlineStr">
        <is>
          <t>Övriga statliga verk och myndigheter</t>
        </is>
      </c>
      <c r="G342" t="n">
        <v>1.2</v>
      </c>
      <c r="H342" t="n">
        <v>0</v>
      </c>
      <c r="I342" t="n">
        <v>0</v>
      </c>
      <c r="J342" t="n">
        <v>0</v>
      </c>
      <c r="K342" t="n">
        <v>0</v>
      </c>
      <c r="L342" t="n">
        <v>0</v>
      </c>
      <c r="M342" t="n">
        <v>0</v>
      </c>
      <c r="N342" t="n">
        <v>0</v>
      </c>
      <c r="O342" t="n">
        <v>0</v>
      </c>
      <c r="P342" t="n">
        <v>0</v>
      </c>
      <c r="Q342" t="n">
        <v>0</v>
      </c>
      <c r="R342" s="2" t="inlineStr"/>
    </row>
    <row r="343" ht="15" customHeight="1">
      <c r="A343" t="inlineStr">
        <is>
          <t>A 33370-2020</t>
        </is>
      </c>
      <c r="B343" s="1" t="n">
        <v>44022</v>
      </c>
      <c r="C343" s="1" t="n">
        <v>45658</v>
      </c>
      <c r="D343" t="inlineStr">
        <is>
          <t>VÄSTERBOTTENS LÄN</t>
        </is>
      </c>
      <c r="E343" t="inlineStr">
        <is>
          <t>VILHELMINA</t>
        </is>
      </c>
      <c r="G343" t="n">
        <v>2.7</v>
      </c>
      <c r="H343" t="n">
        <v>0</v>
      </c>
      <c r="I343" t="n">
        <v>0</v>
      </c>
      <c r="J343" t="n">
        <v>0</v>
      </c>
      <c r="K343" t="n">
        <v>0</v>
      </c>
      <c r="L343" t="n">
        <v>0</v>
      </c>
      <c r="M343" t="n">
        <v>0</v>
      </c>
      <c r="N343" t="n">
        <v>0</v>
      </c>
      <c r="O343" t="n">
        <v>0</v>
      </c>
      <c r="P343" t="n">
        <v>0</v>
      </c>
      <c r="Q343" t="n">
        <v>0</v>
      </c>
      <c r="R343" s="2" t="inlineStr"/>
    </row>
    <row r="344" ht="15" customHeight="1">
      <c r="A344" t="inlineStr">
        <is>
          <t>A 34368-2020</t>
        </is>
      </c>
      <c r="B344" s="1" t="n">
        <v>44032</v>
      </c>
      <c r="C344" s="1" t="n">
        <v>45658</v>
      </c>
      <c r="D344" t="inlineStr">
        <is>
          <t>VÄSTERBOTTENS LÄN</t>
        </is>
      </c>
      <c r="E344" t="inlineStr">
        <is>
          <t>VILHELMINA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34909-2020</t>
        </is>
      </c>
      <c r="B345" s="1" t="n">
        <v>44036</v>
      </c>
      <c r="C345" s="1" t="n">
        <v>45658</v>
      </c>
      <c r="D345" t="inlineStr">
        <is>
          <t>VÄSTERBOTTENS LÄN</t>
        </is>
      </c>
      <c r="E345" t="inlineStr">
        <is>
          <t>VILHELMINA</t>
        </is>
      </c>
      <c r="G345" t="n">
        <v>1.8</v>
      </c>
      <c r="H345" t="n">
        <v>0</v>
      </c>
      <c r="I345" t="n">
        <v>0</v>
      </c>
      <c r="J345" t="n">
        <v>0</v>
      </c>
      <c r="K345" t="n">
        <v>0</v>
      </c>
      <c r="L345" t="n">
        <v>0</v>
      </c>
      <c r="M345" t="n">
        <v>0</v>
      </c>
      <c r="N345" t="n">
        <v>0</v>
      </c>
      <c r="O345" t="n">
        <v>0</v>
      </c>
      <c r="P345" t="n">
        <v>0</v>
      </c>
      <c r="Q345" t="n">
        <v>0</v>
      </c>
      <c r="R345" s="2" t="inlineStr"/>
    </row>
    <row r="346" ht="15" customHeight="1">
      <c r="A346" t="inlineStr">
        <is>
          <t>A 34987-2020</t>
        </is>
      </c>
      <c r="B346" s="1" t="n">
        <v>44039</v>
      </c>
      <c r="C346" s="1" t="n">
        <v>45658</v>
      </c>
      <c r="D346" t="inlineStr">
        <is>
          <t>VÄSTERBOTTENS LÄN</t>
        </is>
      </c>
      <c r="E346" t="inlineStr">
        <is>
          <t>VILHELMINA</t>
        </is>
      </c>
      <c r="G346" t="n">
        <v>16.6</v>
      </c>
      <c r="H346" t="n">
        <v>0</v>
      </c>
      <c r="I346" t="n">
        <v>0</v>
      </c>
      <c r="J346" t="n">
        <v>0</v>
      </c>
      <c r="K346" t="n">
        <v>0</v>
      </c>
      <c r="L346" t="n">
        <v>0</v>
      </c>
      <c r="M346" t="n">
        <v>0</v>
      </c>
      <c r="N346" t="n">
        <v>0</v>
      </c>
      <c r="O346" t="n">
        <v>0</v>
      </c>
      <c r="P346" t="n">
        <v>0</v>
      </c>
      <c r="Q346" t="n">
        <v>0</v>
      </c>
      <c r="R346" s="2" t="inlineStr"/>
    </row>
    <row r="347" ht="15" customHeight="1">
      <c r="A347" t="inlineStr">
        <is>
          <t>A 36875-2020</t>
        </is>
      </c>
      <c r="B347" s="1" t="n">
        <v>44053</v>
      </c>
      <c r="C347" s="1" t="n">
        <v>45658</v>
      </c>
      <c r="D347" t="inlineStr">
        <is>
          <t>VÄSTERBOTTENS LÄN</t>
        </is>
      </c>
      <c r="E347" t="inlineStr">
        <is>
          <t>VILHELMINA</t>
        </is>
      </c>
      <c r="G347" t="n">
        <v>2.9</v>
      </c>
      <c r="H347" t="n">
        <v>0</v>
      </c>
      <c r="I347" t="n">
        <v>0</v>
      </c>
      <c r="J347" t="n">
        <v>0</v>
      </c>
      <c r="K347" t="n">
        <v>0</v>
      </c>
      <c r="L347" t="n">
        <v>0</v>
      </c>
      <c r="M347" t="n">
        <v>0</v>
      </c>
      <c r="N347" t="n">
        <v>0</v>
      </c>
      <c r="O347" t="n">
        <v>0</v>
      </c>
      <c r="P347" t="n">
        <v>0</v>
      </c>
      <c r="Q347" t="n">
        <v>0</v>
      </c>
      <c r="R347" s="2" t="inlineStr"/>
    </row>
    <row r="348" ht="15" customHeight="1">
      <c r="A348" t="inlineStr">
        <is>
          <t>A 38349-2020</t>
        </is>
      </c>
      <c r="B348" s="1" t="n">
        <v>44060</v>
      </c>
      <c r="C348" s="1" t="n">
        <v>45658</v>
      </c>
      <c r="D348" t="inlineStr">
        <is>
          <t>VÄSTERBOTTENS LÄN</t>
        </is>
      </c>
      <c r="E348" t="inlineStr">
        <is>
          <t>VILHELMINA</t>
        </is>
      </c>
      <c r="F348" t="inlineStr">
        <is>
          <t>SCA</t>
        </is>
      </c>
      <c r="G348" t="n">
        <v>26.8</v>
      </c>
      <c r="H348" t="n">
        <v>0</v>
      </c>
      <c r="I348" t="n">
        <v>0</v>
      </c>
      <c r="J348" t="n">
        <v>0</v>
      </c>
      <c r="K348" t="n">
        <v>0</v>
      </c>
      <c r="L348" t="n">
        <v>0</v>
      </c>
      <c r="M348" t="n">
        <v>0</v>
      </c>
      <c r="N348" t="n">
        <v>0</v>
      </c>
      <c r="O348" t="n">
        <v>0</v>
      </c>
      <c r="P348" t="n">
        <v>0</v>
      </c>
      <c r="Q348" t="n">
        <v>0</v>
      </c>
      <c r="R348" s="2" t="inlineStr"/>
    </row>
    <row r="349" ht="15" customHeight="1">
      <c r="A349" t="inlineStr">
        <is>
          <t>A 40116-2020</t>
        </is>
      </c>
      <c r="B349" s="1" t="n">
        <v>44064</v>
      </c>
      <c r="C349" s="1" t="n">
        <v>45658</v>
      </c>
      <c r="D349" t="inlineStr">
        <is>
          <t>VÄSTERBOTTENS LÄN</t>
        </is>
      </c>
      <c r="E349" t="inlineStr">
        <is>
          <t>VILHELMINA</t>
        </is>
      </c>
      <c r="G349" t="n">
        <v>19.8</v>
      </c>
      <c r="H349" t="n">
        <v>0</v>
      </c>
      <c r="I349" t="n">
        <v>0</v>
      </c>
      <c r="J349" t="n">
        <v>0</v>
      </c>
      <c r="K349" t="n">
        <v>0</v>
      </c>
      <c r="L349" t="n">
        <v>0</v>
      </c>
      <c r="M349" t="n">
        <v>0</v>
      </c>
      <c r="N349" t="n">
        <v>0</v>
      </c>
      <c r="O349" t="n">
        <v>0</v>
      </c>
      <c r="P349" t="n">
        <v>0</v>
      </c>
      <c r="Q349" t="n">
        <v>0</v>
      </c>
      <c r="R349" s="2" t="inlineStr"/>
    </row>
    <row r="350" ht="15" customHeight="1">
      <c r="A350" t="inlineStr">
        <is>
          <t>A 40100-2020</t>
        </is>
      </c>
      <c r="B350" s="1" t="n">
        <v>44064</v>
      </c>
      <c r="C350" s="1" t="n">
        <v>45658</v>
      </c>
      <c r="D350" t="inlineStr">
        <is>
          <t>VÄSTERBOTTENS LÄN</t>
        </is>
      </c>
      <c r="E350" t="inlineStr">
        <is>
          <t>VILHELMINA</t>
        </is>
      </c>
      <c r="G350" t="n">
        <v>22.5</v>
      </c>
      <c r="H350" t="n">
        <v>0</v>
      </c>
      <c r="I350" t="n">
        <v>0</v>
      </c>
      <c r="J350" t="n">
        <v>0</v>
      </c>
      <c r="K350" t="n">
        <v>0</v>
      </c>
      <c r="L350" t="n">
        <v>0</v>
      </c>
      <c r="M350" t="n">
        <v>0</v>
      </c>
      <c r="N350" t="n">
        <v>0</v>
      </c>
      <c r="O350" t="n">
        <v>0</v>
      </c>
      <c r="P350" t="n">
        <v>0</v>
      </c>
      <c r="Q350" t="n">
        <v>0</v>
      </c>
      <c r="R350" s="2" t="inlineStr"/>
    </row>
    <row r="351" ht="15" customHeight="1">
      <c r="A351" t="inlineStr">
        <is>
          <t>A 40842-2020</t>
        </is>
      </c>
      <c r="B351" s="1" t="n">
        <v>44069</v>
      </c>
      <c r="C351" s="1" t="n">
        <v>45658</v>
      </c>
      <c r="D351" t="inlineStr">
        <is>
          <t>VÄSTERBOTTENS LÄN</t>
        </is>
      </c>
      <c r="E351" t="inlineStr">
        <is>
          <t>VILHELMINA</t>
        </is>
      </c>
      <c r="G351" t="n">
        <v>20.4</v>
      </c>
      <c r="H351" t="n">
        <v>0</v>
      </c>
      <c r="I351" t="n">
        <v>0</v>
      </c>
      <c r="J351" t="n">
        <v>0</v>
      </c>
      <c r="K351" t="n">
        <v>0</v>
      </c>
      <c r="L351" t="n">
        <v>0</v>
      </c>
      <c r="M351" t="n">
        <v>0</v>
      </c>
      <c r="N351" t="n">
        <v>0</v>
      </c>
      <c r="O351" t="n">
        <v>0</v>
      </c>
      <c r="P351" t="n">
        <v>0</v>
      </c>
      <c r="Q351" t="n">
        <v>0</v>
      </c>
      <c r="R351" s="2" t="inlineStr"/>
    </row>
    <row r="352" ht="15" customHeight="1">
      <c r="A352" t="inlineStr">
        <is>
          <t>A 41267-2020</t>
        </is>
      </c>
      <c r="B352" s="1" t="n">
        <v>44071</v>
      </c>
      <c r="C352" s="1" t="n">
        <v>45658</v>
      </c>
      <c r="D352" t="inlineStr">
        <is>
          <t>VÄSTERBOTTENS LÄN</t>
        </is>
      </c>
      <c r="E352" t="inlineStr">
        <is>
          <t>VILHELMINA</t>
        </is>
      </c>
      <c r="G352" t="n">
        <v>1.9</v>
      </c>
      <c r="H352" t="n">
        <v>0</v>
      </c>
      <c r="I352" t="n">
        <v>0</v>
      </c>
      <c r="J352" t="n">
        <v>0</v>
      </c>
      <c r="K352" t="n">
        <v>0</v>
      </c>
      <c r="L352" t="n">
        <v>0</v>
      </c>
      <c r="M352" t="n">
        <v>0</v>
      </c>
      <c r="N352" t="n">
        <v>0</v>
      </c>
      <c r="O352" t="n">
        <v>0</v>
      </c>
      <c r="P352" t="n">
        <v>0</v>
      </c>
      <c r="Q352" t="n">
        <v>0</v>
      </c>
      <c r="R352" s="2" t="inlineStr"/>
    </row>
    <row r="353" ht="15" customHeight="1">
      <c r="A353" t="inlineStr">
        <is>
          <t>A 42205-2020</t>
        </is>
      </c>
      <c r="B353" s="1" t="n">
        <v>44075</v>
      </c>
      <c r="C353" s="1" t="n">
        <v>45658</v>
      </c>
      <c r="D353" t="inlineStr">
        <is>
          <t>VÄSTERBOTTENS LÄN</t>
        </is>
      </c>
      <c r="E353" t="inlineStr">
        <is>
          <t>VILHELMINA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43080-2020</t>
        </is>
      </c>
      <c r="B354" s="1" t="n">
        <v>44078</v>
      </c>
      <c r="C354" s="1" t="n">
        <v>45658</v>
      </c>
      <c r="D354" t="inlineStr">
        <is>
          <t>VÄSTERBOTTENS LÄN</t>
        </is>
      </c>
      <c r="E354" t="inlineStr">
        <is>
          <t>VILHELMINA</t>
        </is>
      </c>
      <c r="F354" t="inlineStr">
        <is>
          <t>SCA</t>
        </is>
      </c>
      <c r="G354" t="n">
        <v>15.4</v>
      </c>
      <c r="H354" t="n">
        <v>0</v>
      </c>
      <c r="I354" t="n">
        <v>0</v>
      </c>
      <c r="J354" t="n">
        <v>0</v>
      </c>
      <c r="K354" t="n">
        <v>0</v>
      </c>
      <c r="L354" t="n">
        <v>0</v>
      </c>
      <c r="M354" t="n">
        <v>0</v>
      </c>
      <c r="N354" t="n">
        <v>0</v>
      </c>
      <c r="O354" t="n">
        <v>0</v>
      </c>
      <c r="P354" t="n">
        <v>0</v>
      </c>
      <c r="Q354" t="n">
        <v>0</v>
      </c>
      <c r="R354" s="2" t="inlineStr"/>
    </row>
    <row r="355" ht="15" customHeight="1">
      <c r="A355" t="inlineStr">
        <is>
          <t>A 44507-2020</t>
        </is>
      </c>
      <c r="B355" s="1" t="n">
        <v>44084</v>
      </c>
      <c r="C355" s="1" t="n">
        <v>45658</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46509-2020</t>
        </is>
      </c>
      <c r="B356" s="1" t="n">
        <v>44088</v>
      </c>
      <c r="C356" s="1" t="n">
        <v>45658</v>
      </c>
      <c r="D356" t="inlineStr">
        <is>
          <t>VÄSTERBOTTENS LÄN</t>
        </is>
      </c>
      <c r="E356" t="inlineStr">
        <is>
          <t>VILHELMINA</t>
        </is>
      </c>
      <c r="G356" t="n">
        <v>4.5</v>
      </c>
      <c r="H356" t="n">
        <v>0</v>
      </c>
      <c r="I356" t="n">
        <v>0</v>
      </c>
      <c r="J356" t="n">
        <v>0</v>
      </c>
      <c r="K356" t="n">
        <v>0</v>
      </c>
      <c r="L356" t="n">
        <v>0</v>
      </c>
      <c r="M356" t="n">
        <v>0</v>
      </c>
      <c r="N356" t="n">
        <v>0</v>
      </c>
      <c r="O356" t="n">
        <v>0</v>
      </c>
      <c r="P356" t="n">
        <v>0</v>
      </c>
      <c r="Q356" t="n">
        <v>0</v>
      </c>
      <c r="R356" s="2" t="inlineStr"/>
    </row>
    <row r="357" ht="15" customHeight="1">
      <c r="A357" t="inlineStr">
        <is>
          <t>A 46378-2020</t>
        </is>
      </c>
      <c r="B357" s="1" t="n">
        <v>44092</v>
      </c>
      <c r="C357" s="1" t="n">
        <v>45658</v>
      </c>
      <c r="D357" t="inlineStr">
        <is>
          <t>VÄSTERBOTTENS LÄN</t>
        </is>
      </c>
      <c r="E357" t="inlineStr">
        <is>
          <t>VILHELMINA</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46373-2020</t>
        </is>
      </c>
      <c r="B358" s="1" t="n">
        <v>44092</v>
      </c>
      <c r="C358" s="1" t="n">
        <v>45658</v>
      </c>
      <c r="D358" t="inlineStr">
        <is>
          <t>VÄSTERBOTTENS LÄN</t>
        </is>
      </c>
      <c r="E358" t="inlineStr">
        <is>
          <t>VILHELMINA</t>
        </is>
      </c>
      <c r="F358" t="inlineStr">
        <is>
          <t>SCA</t>
        </is>
      </c>
      <c r="G358" t="n">
        <v>6.8</v>
      </c>
      <c r="H358" t="n">
        <v>0</v>
      </c>
      <c r="I358" t="n">
        <v>0</v>
      </c>
      <c r="J358" t="n">
        <v>0</v>
      </c>
      <c r="K358" t="n">
        <v>0</v>
      </c>
      <c r="L358" t="n">
        <v>0</v>
      </c>
      <c r="M358" t="n">
        <v>0</v>
      </c>
      <c r="N358" t="n">
        <v>0</v>
      </c>
      <c r="O358" t="n">
        <v>0</v>
      </c>
      <c r="P358" t="n">
        <v>0</v>
      </c>
      <c r="Q358" t="n">
        <v>0</v>
      </c>
      <c r="R358" s="2" t="inlineStr"/>
    </row>
    <row r="359" ht="15" customHeight="1">
      <c r="A359" t="inlineStr">
        <is>
          <t>A 47308-2020</t>
        </is>
      </c>
      <c r="B359" s="1" t="n">
        <v>44092</v>
      </c>
      <c r="C359" s="1" t="n">
        <v>45658</v>
      </c>
      <c r="D359" t="inlineStr">
        <is>
          <t>VÄSTERBOTTENS LÄN</t>
        </is>
      </c>
      <c r="E359" t="inlineStr">
        <is>
          <t>VILHELMINA</t>
        </is>
      </c>
      <c r="F359" t="inlineStr">
        <is>
          <t>Övriga statliga verk och myndigheter</t>
        </is>
      </c>
      <c r="G359" t="n">
        <v>35.3</v>
      </c>
      <c r="H359" t="n">
        <v>0</v>
      </c>
      <c r="I359" t="n">
        <v>0</v>
      </c>
      <c r="J359" t="n">
        <v>0</v>
      </c>
      <c r="K359" t="n">
        <v>0</v>
      </c>
      <c r="L359" t="n">
        <v>0</v>
      </c>
      <c r="M359" t="n">
        <v>0</v>
      </c>
      <c r="N359" t="n">
        <v>0</v>
      </c>
      <c r="O359" t="n">
        <v>0</v>
      </c>
      <c r="P359" t="n">
        <v>0</v>
      </c>
      <c r="Q359" t="n">
        <v>0</v>
      </c>
      <c r="R359" s="2" t="inlineStr"/>
    </row>
    <row r="360" ht="15" customHeight="1">
      <c r="A360" t="inlineStr">
        <is>
          <t>A 48256-2020</t>
        </is>
      </c>
      <c r="B360" s="1" t="n">
        <v>44092</v>
      </c>
      <c r="C360" s="1" t="n">
        <v>45658</v>
      </c>
      <c r="D360" t="inlineStr">
        <is>
          <t>VÄSTERBOTTENS LÄN</t>
        </is>
      </c>
      <c r="E360" t="inlineStr">
        <is>
          <t>VILHELMINA</t>
        </is>
      </c>
      <c r="F360" t="inlineStr">
        <is>
          <t>Övriga statliga verk och myndigheter</t>
        </is>
      </c>
      <c r="G360" t="n">
        <v>13.4</v>
      </c>
      <c r="H360" t="n">
        <v>0</v>
      </c>
      <c r="I360" t="n">
        <v>0</v>
      </c>
      <c r="J360" t="n">
        <v>0</v>
      </c>
      <c r="K360" t="n">
        <v>0</v>
      </c>
      <c r="L360" t="n">
        <v>0</v>
      </c>
      <c r="M360" t="n">
        <v>0</v>
      </c>
      <c r="N360" t="n">
        <v>0</v>
      </c>
      <c r="O360" t="n">
        <v>0</v>
      </c>
      <c r="P360" t="n">
        <v>0</v>
      </c>
      <c r="Q360" t="n">
        <v>0</v>
      </c>
      <c r="R360" s="2" t="inlineStr"/>
    </row>
    <row r="361" ht="15" customHeight="1">
      <c r="A361" t="inlineStr">
        <is>
          <t>A 48019-2020</t>
        </is>
      </c>
      <c r="B361" s="1" t="n">
        <v>44092</v>
      </c>
      <c r="C361" s="1" t="n">
        <v>45658</v>
      </c>
      <c r="D361" t="inlineStr">
        <is>
          <t>VÄSTERBOTTENS LÄN</t>
        </is>
      </c>
      <c r="E361" t="inlineStr">
        <is>
          <t>VILHELMINA</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47193-2020</t>
        </is>
      </c>
      <c r="B362" s="1" t="n">
        <v>44097</v>
      </c>
      <c r="C362" s="1" t="n">
        <v>45658</v>
      </c>
      <c r="D362" t="inlineStr">
        <is>
          <t>VÄSTERBOTTENS LÄN</t>
        </is>
      </c>
      <c r="E362" t="inlineStr">
        <is>
          <t>VILHELMINA</t>
        </is>
      </c>
      <c r="G362" t="n">
        <v>6.8</v>
      </c>
      <c r="H362" t="n">
        <v>0</v>
      </c>
      <c r="I362" t="n">
        <v>0</v>
      </c>
      <c r="J362" t="n">
        <v>0</v>
      </c>
      <c r="K362" t="n">
        <v>0</v>
      </c>
      <c r="L362" t="n">
        <v>0</v>
      </c>
      <c r="M362" t="n">
        <v>0</v>
      </c>
      <c r="N362" t="n">
        <v>0</v>
      </c>
      <c r="O362" t="n">
        <v>0</v>
      </c>
      <c r="P362" t="n">
        <v>0</v>
      </c>
      <c r="Q362" t="n">
        <v>0</v>
      </c>
      <c r="R362" s="2" t="inlineStr"/>
    </row>
    <row r="363" ht="15" customHeight="1">
      <c r="A363" t="inlineStr">
        <is>
          <t>A 52165-2020</t>
        </is>
      </c>
      <c r="B363" s="1" t="n">
        <v>44105</v>
      </c>
      <c r="C363" s="1" t="n">
        <v>45658</v>
      </c>
      <c r="D363" t="inlineStr">
        <is>
          <t>VÄSTERBOTTENS LÄN</t>
        </is>
      </c>
      <c r="E363" t="inlineStr">
        <is>
          <t>VILHELMINA</t>
        </is>
      </c>
      <c r="G363" t="n">
        <v>16.1</v>
      </c>
      <c r="H363" t="n">
        <v>0</v>
      </c>
      <c r="I363" t="n">
        <v>0</v>
      </c>
      <c r="J363" t="n">
        <v>0</v>
      </c>
      <c r="K363" t="n">
        <v>0</v>
      </c>
      <c r="L363" t="n">
        <v>0</v>
      </c>
      <c r="M363" t="n">
        <v>0</v>
      </c>
      <c r="N363" t="n">
        <v>0</v>
      </c>
      <c r="O363" t="n">
        <v>0</v>
      </c>
      <c r="P363" t="n">
        <v>0</v>
      </c>
      <c r="Q363" t="n">
        <v>0</v>
      </c>
      <c r="R363" s="2" t="inlineStr"/>
    </row>
    <row r="364" ht="15" customHeight="1">
      <c r="A364" t="inlineStr">
        <is>
          <t>A 52174-2020</t>
        </is>
      </c>
      <c r="B364" s="1" t="n">
        <v>44105</v>
      </c>
      <c r="C364" s="1" t="n">
        <v>45658</v>
      </c>
      <c r="D364" t="inlineStr">
        <is>
          <t>VÄSTERBOTTENS LÄN</t>
        </is>
      </c>
      <c r="E364" t="inlineStr">
        <is>
          <t>VILHELMINA</t>
        </is>
      </c>
      <c r="G364" t="n">
        <v>3</v>
      </c>
      <c r="H364" t="n">
        <v>0</v>
      </c>
      <c r="I364" t="n">
        <v>0</v>
      </c>
      <c r="J364" t="n">
        <v>0</v>
      </c>
      <c r="K364" t="n">
        <v>0</v>
      </c>
      <c r="L364" t="n">
        <v>0</v>
      </c>
      <c r="M364" t="n">
        <v>0</v>
      </c>
      <c r="N364" t="n">
        <v>0</v>
      </c>
      <c r="O364" t="n">
        <v>0</v>
      </c>
      <c r="P364" t="n">
        <v>0</v>
      </c>
      <c r="Q364" t="n">
        <v>0</v>
      </c>
      <c r="R364" s="2" t="inlineStr"/>
    </row>
    <row r="365" ht="15" customHeight="1">
      <c r="A365" t="inlineStr">
        <is>
          <t>A 50139-2020</t>
        </is>
      </c>
      <c r="B365" s="1" t="n">
        <v>44109</v>
      </c>
      <c r="C365" s="1" t="n">
        <v>45658</v>
      </c>
      <c r="D365" t="inlineStr">
        <is>
          <t>VÄSTERBOTTENS LÄN</t>
        </is>
      </c>
      <c r="E365" t="inlineStr">
        <is>
          <t>VILHELMINA</t>
        </is>
      </c>
      <c r="G365" t="n">
        <v>1.2</v>
      </c>
      <c r="H365" t="n">
        <v>0</v>
      </c>
      <c r="I365" t="n">
        <v>0</v>
      </c>
      <c r="J365" t="n">
        <v>0</v>
      </c>
      <c r="K365" t="n">
        <v>0</v>
      </c>
      <c r="L365" t="n">
        <v>0</v>
      </c>
      <c r="M365" t="n">
        <v>0</v>
      </c>
      <c r="N365" t="n">
        <v>0</v>
      </c>
      <c r="O365" t="n">
        <v>0</v>
      </c>
      <c r="P365" t="n">
        <v>0</v>
      </c>
      <c r="Q365" t="n">
        <v>0</v>
      </c>
      <c r="R365" s="2" t="inlineStr"/>
    </row>
    <row r="366" ht="15" customHeight="1">
      <c r="A366" t="inlineStr">
        <is>
          <t>A 52669-2020</t>
        </is>
      </c>
      <c r="B366" s="1" t="n">
        <v>44118</v>
      </c>
      <c r="C366" s="1" t="n">
        <v>45658</v>
      </c>
      <c r="D366" t="inlineStr">
        <is>
          <t>VÄSTERBOTTENS LÄN</t>
        </is>
      </c>
      <c r="E366" t="inlineStr">
        <is>
          <t>VILHELMINA</t>
        </is>
      </c>
      <c r="F366" t="inlineStr">
        <is>
          <t>Allmännings- och besparingsskogar</t>
        </is>
      </c>
      <c r="G366" t="n">
        <v>22.6</v>
      </c>
      <c r="H366" t="n">
        <v>0</v>
      </c>
      <c r="I366" t="n">
        <v>0</v>
      </c>
      <c r="J366" t="n">
        <v>0</v>
      </c>
      <c r="K366" t="n">
        <v>0</v>
      </c>
      <c r="L366" t="n">
        <v>0</v>
      </c>
      <c r="M366" t="n">
        <v>0</v>
      </c>
      <c r="N366" t="n">
        <v>0</v>
      </c>
      <c r="O366" t="n">
        <v>0</v>
      </c>
      <c r="P366" t="n">
        <v>0</v>
      </c>
      <c r="Q366" t="n">
        <v>0</v>
      </c>
      <c r="R366" s="2" t="inlineStr"/>
    </row>
    <row r="367" ht="15" customHeight="1">
      <c r="A367" t="inlineStr">
        <is>
          <t>A 54947-2020</t>
        </is>
      </c>
      <c r="B367" s="1" t="n">
        <v>44129</v>
      </c>
      <c r="C367" s="1" t="n">
        <v>45658</v>
      </c>
      <c r="D367" t="inlineStr">
        <is>
          <t>VÄSTERBOTTENS LÄN</t>
        </is>
      </c>
      <c r="E367" t="inlineStr">
        <is>
          <t>VILHELMINA</t>
        </is>
      </c>
      <c r="G367" t="n">
        <v>6.1</v>
      </c>
      <c r="H367" t="n">
        <v>0</v>
      </c>
      <c r="I367" t="n">
        <v>0</v>
      </c>
      <c r="J367" t="n">
        <v>0</v>
      </c>
      <c r="K367" t="n">
        <v>0</v>
      </c>
      <c r="L367" t="n">
        <v>0</v>
      </c>
      <c r="M367" t="n">
        <v>0</v>
      </c>
      <c r="N367" t="n">
        <v>0</v>
      </c>
      <c r="O367" t="n">
        <v>0</v>
      </c>
      <c r="P367" t="n">
        <v>0</v>
      </c>
      <c r="Q367" t="n">
        <v>0</v>
      </c>
      <c r="R367" s="2" t="inlineStr"/>
    </row>
    <row r="368" ht="15" customHeight="1">
      <c r="A368" t="inlineStr">
        <is>
          <t>A 55440-2020</t>
        </is>
      </c>
      <c r="B368" s="1" t="n">
        <v>44131</v>
      </c>
      <c r="C368" s="1" t="n">
        <v>45658</v>
      </c>
      <c r="D368" t="inlineStr">
        <is>
          <t>VÄSTERBOTTENS LÄN</t>
        </is>
      </c>
      <c r="E368" t="inlineStr">
        <is>
          <t>VILHELMINA</t>
        </is>
      </c>
      <c r="G368" t="n">
        <v>18.3</v>
      </c>
      <c r="H368" t="n">
        <v>0</v>
      </c>
      <c r="I368" t="n">
        <v>0</v>
      </c>
      <c r="J368" t="n">
        <v>0</v>
      </c>
      <c r="K368" t="n">
        <v>0</v>
      </c>
      <c r="L368" t="n">
        <v>0</v>
      </c>
      <c r="M368" t="n">
        <v>0</v>
      </c>
      <c r="N368" t="n">
        <v>0</v>
      </c>
      <c r="O368" t="n">
        <v>0</v>
      </c>
      <c r="P368" t="n">
        <v>0</v>
      </c>
      <c r="Q368" t="n">
        <v>0</v>
      </c>
      <c r="R368" s="2" t="inlineStr"/>
    </row>
    <row r="369" ht="15" customHeight="1">
      <c r="A369" t="inlineStr">
        <is>
          <t>A 58584-2020</t>
        </is>
      </c>
      <c r="B369" s="1" t="n">
        <v>44144</v>
      </c>
      <c r="C369" s="1" t="n">
        <v>45658</v>
      </c>
      <c r="D369" t="inlineStr">
        <is>
          <t>VÄSTERBOTTENS LÄN</t>
        </is>
      </c>
      <c r="E369" t="inlineStr">
        <is>
          <t>VILHELMINA</t>
        </is>
      </c>
      <c r="F369" t="inlineStr">
        <is>
          <t>Övriga statliga verk och myndigheter</t>
        </is>
      </c>
      <c r="G369" t="n">
        <v>20.8</v>
      </c>
      <c r="H369" t="n">
        <v>0</v>
      </c>
      <c r="I369" t="n">
        <v>0</v>
      </c>
      <c r="J369" t="n">
        <v>0</v>
      </c>
      <c r="K369" t="n">
        <v>0</v>
      </c>
      <c r="L369" t="n">
        <v>0</v>
      </c>
      <c r="M369" t="n">
        <v>0</v>
      </c>
      <c r="N369" t="n">
        <v>0</v>
      </c>
      <c r="O369" t="n">
        <v>0</v>
      </c>
      <c r="P369" t="n">
        <v>0</v>
      </c>
      <c r="Q369" t="n">
        <v>0</v>
      </c>
      <c r="R369" s="2" t="inlineStr"/>
    </row>
    <row r="370" ht="15" customHeight="1">
      <c r="A370" t="inlineStr">
        <is>
          <t>A 59587-2020</t>
        </is>
      </c>
      <c r="B370" s="1" t="n">
        <v>44148</v>
      </c>
      <c r="C370" s="1" t="n">
        <v>45658</v>
      </c>
      <c r="D370" t="inlineStr">
        <is>
          <t>VÄSTERBOTTENS LÄN</t>
        </is>
      </c>
      <c r="E370" t="inlineStr">
        <is>
          <t>VILHELMINA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60090-2020</t>
        </is>
      </c>
      <c r="B371" s="1" t="n">
        <v>44151</v>
      </c>
      <c r="C371" s="1" t="n">
        <v>45658</v>
      </c>
      <c r="D371" t="inlineStr">
        <is>
          <t>VÄSTERBOTTENS LÄN</t>
        </is>
      </c>
      <c r="E371" t="inlineStr">
        <is>
          <t>VILHELMINA</t>
        </is>
      </c>
      <c r="G371" t="n">
        <v>9</v>
      </c>
      <c r="H371" t="n">
        <v>0</v>
      </c>
      <c r="I371" t="n">
        <v>0</v>
      </c>
      <c r="J371" t="n">
        <v>0</v>
      </c>
      <c r="K371" t="n">
        <v>0</v>
      </c>
      <c r="L371" t="n">
        <v>0</v>
      </c>
      <c r="M371" t="n">
        <v>0</v>
      </c>
      <c r="N371" t="n">
        <v>0</v>
      </c>
      <c r="O371" t="n">
        <v>0</v>
      </c>
      <c r="P371" t="n">
        <v>0</v>
      </c>
      <c r="Q371" t="n">
        <v>0</v>
      </c>
      <c r="R371" s="2" t="inlineStr"/>
    </row>
    <row r="372" ht="15" customHeight="1">
      <c r="A372" t="inlineStr">
        <is>
          <t>A 60812-2020</t>
        </is>
      </c>
      <c r="B372" s="1" t="n">
        <v>44153</v>
      </c>
      <c r="C372" s="1" t="n">
        <v>45658</v>
      </c>
      <c r="D372" t="inlineStr">
        <is>
          <t>VÄSTERBOTTENS LÄN</t>
        </is>
      </c>
      <c r="E372" t="inlineStr">
        <is>
          <t>VILHELMINA</t>
        </is>
      </c>
      <c r="F372" t="inlineStr">
        <is>
          <t>Allmännings- och besparingsskogar</t>
        </is>
      </c>
      <c r="G372" t="n">
        <v>1.2</v>
      </c>
      <c r="H372" t="n">
        <v>0</v>
      </c>
      <c r="I372" t="n">
        <v>0</v>
      </c>
      <c r="J372" t="n">
        <v>0</v>
      </c>
      <c r="K372" t="n">
        <v>0</v>
      </c>
      <c r="L372" t="n">
        <v>0</v>
      </c>
      <c r="M372" t="n">
        <v>0</v>
      </c>
      <c r="N372" t="n">
        <v>0</v>
      </c>
      <c r="O372" t="n">
        <v>0</v>
      </c>
      <c r="P372" t="n">
        <v>0</v>
      </c>
      <c r="Q372" t="n">
        <v>0</v>
      </c>
      <c r="R372" s="2" t="inlineStr"/>
    </row>
    <row r="373" ht="15" customHeight="1">
      <c r="A373" t="inlineStr">
        <is>
          <t>A 61129-2020</t>
        </is>
      </c>
      <c r="B373" s="1" t="n">
        <v>44154</v>
      </c>
      <c r="C373" s="1" t="n">
        <v>45658</v>
      </c>
      <c r="D373" t="inlineStr">
        <is>
          <t>VÄSTERBOTTENS LÄN</t>
        </is>
      </c>
      <c r="E373" t="inlineStr">
        <is>
          <t>VILHELMINA</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61920-2020</t>
        </is>
      </c>
      <c r="B374" s="1" t="n">
        <v>44155</v>
      </c>
      <c r="C374" s="1" t="n">
        <v>45658</v>
      </c>
      <c r="D374" t="inlineStr">
        <is>
          <t>VÄSTERBOTTENS LÄN</t>
        </is>
      </c>
      <c r="E374" t="inlineStr">
        <is>
          <t>VILHELMINA</t>
        </is>
      </c>
      <c r="G374" t="n">
        <v>7.7</v>
      </c>
      <c r="H374" t="n">
        <v>0</v>
      </c>
      <c r="I374" t="n">
        <v>0</v>
      </c>
      <c r="J374" t="n">
        <v>0</v>
      </c>
      <c r="K374" t="n">
        <v>0</v>
      </c>
      <c r="L374" t="n">
        <v>0</v>
      </c>
      <c r="M374" t="n">
        <v>0</v>
      </c>
      <c r="N374" t="n">
        <v>0</v>
      </c>
      <c r="O374" t="n">
        <v>0</v>
      </c>
      <c r="P374" t="n">
        <v>0</v>
      </c>
      <c r="Q374" t="n">
        <v>0</v>
      </c>
      <c r="R374" s="2" t="inlineStr"/>
    </row>
    <row r="375" ht="15" customHeight="1">
      <c r="A375" t="inlineStr">
        <is>
          <t>A 62874-2020</t>
        </is>
      </c>
      <c r="B375" s="1" t="n">
        <v>44161</v>
      </c>
      <c r="C375" s="1" t="n">
        <v>45658</v>
      </c>
      <c r="D375" t="inlineStr">
        <is>
          <t>VÄSTERBOTTENS LÄN</t>
        </is>
      </c>
      <c r="E375" t="inlineStr">
        <is>
          <t>VILHELMINA</t>
        </is>
      </c>
      <c r="F375" t="inlineStr">
        <is>
          <t>SCA</t>
        </is>
      </c>
      <c r="G375" t="n">
        <v>10.7</v>
      </c>
      <c r="H375" t="n">
        <v>0</v>
      </c>
      <c r="I375" t="n">
        <v>0</v>
      </c>
      <c r="J375" t="n">
        <v>0</v>
      </c>
      <c r="K375" t="n">
        <v>0</v>
      </c>
      <c r="L375" t="n">
        <v>0</v>
      </c>
      <c r="M375" t="n">
        <v>0</v>
      </c>
      <c r="N375" t="n">
        <v>0</v>
      </c>
      <c r="O375" t="n">
        <v>0</v>
      </c>
      <c r="P375" t="n">
        <v>0</v>
      </c>
      <c r="Q375" t="n">
        <v>0</v>
      </c>
      <c r="R375" s="2" t="inlineStr"/>
    </row>
    <row r="376" ht="15" customHeight="1">
      <c r="A376" t="inlineStr">
        <is>
          <t>A 64065-2020</t>
        </is>
      </c>
      <c r="B376" s="1" t="n">
        <v>44165</v>
      </c>
      <c r="C376" s="1" t="n">
        <v>45658</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64254-2020</t>
        </is>
      </c>
      <c r="B377" s="1" t="n">
        <v>44168</v>
      </c>
      <c r="C377" s="1" t="n">
        <v>45658</v>
      </c>
      <c r="D377" t="inlineStr">
        <is>
          <t>VÄSTERBOTTENS LÄN</t>
        </is>
      </c>
      <c r="E377" t="inlineStr">
        <is>
          <t>VILHELMINA</t>
        </is>
      </c>
      <c r="G377" t="n">
        <v>17.6</v>
      </c>
      <c r="H377" t="n">
        <v>0</v>
      </c>
      <c r="I377" t="n">
        <v>0</v>
      </c>
      <c r="J377" t="n">
        <v>0</v>
      </c>
      <c r="K377" t="n">
        <v>0</v>
      </c>
      <c r="L377" t="n">
        <v>0</v>
      </c>
      <c r="M377" t="n">
        <v>0</v>
      </c>
      <c r="N377" t="n">
        <v>0</v>
      </c>
      <c r="O377" t="n">
        <v>0</v>
      </c>
      <c r="P377" t="n">
        <v>0</v>
      </c>
      <c r="Q377" t="n">
        <v>0</v>
      </c>
      <c r="R377" s="2" t="inlineStr"/>
    </row>
    <row r="378" ht="15" customHeight="1">
      <c r="A378" t="inlineStr">
        <is>
          <t>A 64759-2020</t>
        </is>
      </c>
      <c r="B378" s="1" t="n">
        <v>44169</v>
      </c>
      <c r="C378" s="1" t="n">
        <v>45658</v>
      </c>
      <c r="D378" t="inlineStr">
        <is>
          <t>VÄSTERBOTTENS LÄN</t>
        </is>
      </c>
      <c r="E378" t="inlineStr">
        <is>
          <t>VILHELMINA</t>
        </is>
      </c>
      <c r="G378" t="n">
        <v>24.6</v>
      </c>
      <c r="H378" t="n">
        <v>0</v>
      </c>
      <c r="I378" t="n">
        <v>0</v>
      </c>
      <c r="J378" t="n">
        <v>0</v>
      </c>
      <c r="K378" t="n">
        <v>0</v>
      </c>
      <c r="L378" t="n">
        <v>0</v>
      </c>
      <c r="M378" t="n">
        <v>0</v>
      </c>
      <c r="N378" t="n">
        <v>0</v>
      </c>
      <c r="O378" t="n">
        <v>0</v>
      </c>
      <c r="P378" t="n">
        <v>0</v>
      </c>
      <c r="Q378" t="n">
        <v>0</v>
      </c>
      <c r="R378" s="2" t="inlineStr"/>
    </row>
    <row r="379" ht="15" customHeight="1">
      <c r="A379" t="inlineStr">
        <is>
          <t>A 65663-2020</t>
        </is>
      </c>
      <c r="B379" s="1" t="n">
        <v>44172</v>
      </c>
      <c r="C379" s="1" t="n">
        <v>45658</v>
      </c>
      <c r="D379" t="inlineStr">
        <is>
          <t>VÄSTERBOTTENS LÄN</t>
        </is>
      </c>
      <c r="E379" t="inlineStr">
        <is>
          <t>VILHELMINA</t>
        </is>
      </c>
      <c r="G379" t="n">
        <v>3.2</v>
      </c>
      <c r="H379" t="n">
        <v>0</v>
      </c>
      <c r="I379" t="n">
        <v>0</v>
      </c>
      <c r="J379" t="n">
        <v>0</v>
      </c>
      <c r="K379" t="n">
        <v>0</v>
      </c>
      <c r="L379" t="n">
        <v>0</v>
      </c>
      <c r="M379" t="n">
        <v>0</v>
      </c>
      <c r="N379" t="n">
        <v>0</v>
      </c>
      <c r="O379" t="n">
        <v>0</v>
      </c>
      <c r="P379" t="n">
        <v>0</v>
      </c>
      <c r="Q379" t="n">
        <v>0</v>
      </c>
      <c r="R379" s="2" t="inlineStr"/>
    </row>
    <row r="380" ht="15" customHeight="1">
      <c r="A380" t="inlineStr">
        <is>
          <t>A 68641-2020</t>
        </is>
      </c>
      <c r="B380" s="1" t="n">
        <v>44186</v>
      </c>
      <c r="C380" s="1" t="n">
        <v>45658</v>
      </c>
      <c r="D380" t="inlineStr">
        <is>
          <t>VÄSTERBOTTENS LÄN</t>
        </is>
      </c>
      <c r="E380" t="inlineStr">
        <is>
          <t>VILHELMINA</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68640-2020</t>
        </is>
      </c>
      <c r="B381" s="1" t="n">
        <v>44186</v>
      </c>
      <c r="C381" s="1" t="n">
        <v>45658</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69502-2020</t>
        </is>
      </c>
      <c r="B382" s="1" t="n">
        <v>44193</v>
      </c>
      <c r="C382" s="1" t="n">
        <v>45658</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69621-2020</t>
        </is>
      </c>
      <c r="B383" s="1" t="n">
        <v>44195</v>
      </c>
      <c r="C383" s="1" t="n">
        <v>45658</v>
      </c>
      <c r="D383" t="inlineStr">
        <is>
          <t>VÄSTERBOTTENS LÄN</t>
        </is>
      </c>
      <c r="E383" t="inlineStr">
        <is>
          <t>VILHELMINA</t>
        </is>
      </c>
      <c r="G383" t="n">
        <v>2.9</v>
      </c>
      <c r="H383" t="n">
        <v>0</v>
      </c>
      <c r="I383" t="n">
        <v>0</v>
      </c>
      <c r="J383" t="n">
        <v>0</v>
      </c>
      <c r="K383" t="n">
        <v>0</v>
      </c>
      <c r="L383" t="n">
        <v>0</v>
      </c>
      <c r="M383" t="n">
        <v>0</v>
      </c>
      <c r="N383" t="n">
        <v>0</v>
      </c>
      <c r="O383" t="n">
        <v>0</v>
      </c>
      <c r="P383" t="n">
        <v>0</v>
      </c>
      <c r="Q383" t="n">
        <v>0</v>
      </c>
      <c r="R383" s="2" t="inlineStr"/>
    </row>
    <row r="384" ht="15" customHeight="1">
      <c r="A384" t="inlineStr">
        <is>
          <t>A 1471-2021</t>
        </is>
      </c>
      <c r="B384" s="1" t="n">
        <v>44208</v>
      </c>
      <c r="C384" s="1" t="n">
        <v>45658</v>
      </c>
      <c r="D384" t="inlineStr">
        <is>
          <t>VÄSTERBOTTENS LÄN</t>
        </is>
      </c>
      <c r="E384" t="inlineStr">
        <is>
          <t>VILHELMINA</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1470-2021</t>
        </is>
      </c>
      <c r="B385" s="1" t="n">
        <v>44208</v>
      </c>
      <c r="C385" s="1" t="n">
        <v>45658</v>
      </c>
      <c r="D385" t="inlineStr">
        <is>
          <t>VÄSTERBOTTENS LÄN</t>
        </is>
      </c>
      <c r="E385" t="inlineStr">
        <is>
          <t>VILHELMINA</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2187-2021</t>
        </is>
      </c>
      <c r="B386" s="1" t="n">
        <v>44211</v>
      </c>
      <c r="C386" s="1" t="n">
        <v>45658</v>
      </c>
      <c r="D386" t="inlineStr">
        <is>
          <t>VÄSTERBOTTENS LÄN</t>
        </is>
      </c>
      <c r="E386" t="inlineStr">
        <is>
          <t>VILHELMINA</t>
        </is>
      </c>
      <c r="F386" t="inlineStr">
        <is>
          <t>Allmännings- och besparingsskogar</t>
        </is>
      </c>
      <c r="G386" t="n">
        <v>21.3</v>
      </c>
      <c r="H386" t="n">
        <v>0</v>
      </c>
      <c r="I386" t="n">
        <v>0</v>
      </c>
      <c r="J386" t="n">
        <v>0</v>
      </c>
      <c r="K386" t="n">
        <v>0</v>
      </c>
      <c r="L386" t="n">
        <v>0</v>
      </c>
      <c r="M386" t="n">
        <v>0</v>
      </c>
      <c r="N386" t="n">
        <v>0</v>
      </c>
      <c r="O386" t="n">
        <v>0</v>
      </c>
      <c r="P386" t="n">
        <v>0</v>
      </c>
      <c r="Q386" t="n">
        <v>0</v>
      </c>
      <c r="R386" s="2" t="inlineStr"/>
    </row>
    <row r="387" ht="15" customHeight="1">
      <c r="A387" t="inlineStr">
        <is>
          <t>A 2189-2021</t>
        </is>
      </c>
      <c r="B387" s="1" t="n">
        <v>44211</v>
      </c>
      <c r="C387" s="1" t="n">
        <v>45658</v>
      </c>
      <c r="D387" t="inlineStr">
        <is>
          <t>VÄSTERBOTTENS LÄN</t>
        </is>
      </c>
      <c r="E387" t="inlineStr">
        <is>
          <t>VILHELMINA</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2193-2021</t>
        </is>
      </c>
      <c r="B388" s="1" t="n">
        <v>44211</v>
      </c>
      <c r="C388" s="1" t="n">
        <v>45658</v>
      </c>
      <c r="D388" t="inlineStr">
        <is>
          <t>VÄSTERBOTTENS LÄN</t>
        </is>
      </c>
      <c r="E388" t="inlineStr">
        <is>
          <t>VILHELMINA</t>
        </is>
      </c>
      <c r="F388" t="inlineStr">
        <is>
          <t>Allmännings- och besparingsskogar</t>
        </is>
      </c>
      <c r="G388" t="n">
        <v>157.8</v>
      </c>
      <c r="H388" t="n">
        <v>0</v>
      </c>
      <c r="I388" t="n">
        <v>0</v>
      </c>
      <c r="J388" t="n">
        <v>0</v>
      </c>
      <c r="K388" t="n">
        <v>0</v>
      </c>
      <c r="L388" t="n">
        <v>0</v>
      </c>
      <c r="M388" t="n">
        <v>0</v>
      </c>
      <c r="N388" t="n">
        <v>0</v>
      </c>
      <c r="O388" t="n">
        <v>0</v>
      </c>
      <c r="P388" t="n">
        <v>0</v>
      </c>
      <c r="Q388" t="n">
        <v>0</v>
      </c>
      <c r="R388" s="2" t="inlineStr"/>
    </row>
    <row r="389" ht="15" customHeight="1">
      <c r="A389" t="inlineStr">
        <is>
          <t>A 3096-2021</t>
        </is>
      </c>
      <c r="B389" s="1" t="n">
        <v>44216</v>
      </c>
      <c r="C389" s="1" t="n">
        <v>45658</v>
      </c>
      <c r="D389" t="inlineStr">
        <is>
          <t>VÄSTERBOTTENS LÄN</t>
        </is>
      </c>
      <c r="E389" t="inlineStr">
        <is>
          <t>VILHELMINA</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3435-2021</t>
        </is>
      </c>
      <c r="B390" s="1" t="n">
        <v>44216</v>
      </c>
      <c r="C390" s="1" t="n">
        <v>45658</v>
      </c>
      <c r="D390" t="inlineStr">
        <is>
          <t>VÄSTERBOTTENS LÄN</t>
        </is>
      </c>
      <c r="E390" t="inlineStr">
        <is>
          <t>VILHELMINA</t>
        </is>
      </c>
      <c r="G390" t="n">
        <v>20.5</v>
      </c>
      <c r="H390" t="n">
        <v>0</v>
      </c>
      <c r="I390" t="n">
        <v>0</v>
      </c>
      <c r="J390" t="n">
        <v>0</v>
      </c>
      <c r="K390" t="n">
        <v>0</v>
      </c>
      <c r="L390" t="n">
        <v>0</v>
      </c>
      <c r="M390" t="n">
        <v>0</v>
      </c>
      <c r="N390" t="n">
        <v>0</v>
      </c>
      <c r="O390" t="n">
        <v>0</v>
      </c>
      <c r="P390" t="n">
        <v>0</v>
      </c>
      <c r="Q390" t="n">
        <v>0</v>
      </c>
      <c r="R390" s="2" t="inlineStr"/>
    </row>
    <row r="391" ht="15" customHeight="1">
      <c r="A391" t="inlineStr">
        <is>
          <t>A 6699-2021</t>
        </is>
      </c>
      <c r="B391" s="1" t="n">
        <v>44235</v>
      </c>
      <c r="C391" s="1" t="n">
        <v>45658</v>
      </c>
      <c r="D391" t="inlineStr">
        <is>
          <t>VÄSTERBOTTENS LÄN</t>
        </is>
      </c>
      <c r="E391" t="inlineStr">
        <is>
          <t>VILHELMINA</t>
        </is>
      </c>
      <c r="G391" t="n">
        <v>6.9</v>
      </c>
      <c r="H391" t="n">
        <v>0</v>
      </c>
      <c r="I391" t="n">
        <v>0</v>
      </c>
      <c r="J391" t="n">
        <v>0</v>
      </c>
      <c r="K391" t="n">
        <v>0</v>
      </c>
      <c r="L391" t="n">
        <v>0</v>
      </c>
      <c r="M391" t="n">
        <v>0</v>
      </c>
      <c r="N391" t="n">
        <v>0</v>
      </c>
      <c r="O391" t="n">
        <v>0</v>
      </c>
      <c r="P391" t="n">
        <v>0</v>
      </c>
      <c r="Q391" t="n">
        <v>0</v>
      </c>
      <c r="R391" s="2" t="inlineStr"/>
    </row>
    <row r="392" ht="15" customHeight="1">
      <c r="A392" t="inlineStr">
        <is>
          <t>A 6664-2021</t>
        </is>
      </c>
      <c r="B392" s="1" t="n">
        <v>44235</v>
      </c>
      <c r="C392" s="1" t="n">
        <v>45658</v>
      </c>
      <c r="D392" t="inlineStr">
        <is>
          <t>VÄSTERBOTTENS LÄN</t>
        </is>
      </c>
      <c r="E392" t="inlineStr">
        <is>
          <t>VILHELMINA</t>
        </is>
      </c>
      <c r="G392" t="n">
        <v>2.5</v>
      </c>
      <c r="H392" t="n">
        <v>0</v>
      </c>
      <c r="I392" t="n">
        <v>0</v>
      </c>
      <c r="J392" t="n">
        <v>0</v>
      </c>
      <c r="K392" t="n">
        <v>0</v>
      </c>
      <c r="L392" t="n">
        <v>0</v>
      </c>
      <c r="M392" t="n">
        <v>0</v>
      </c>
      <c r="N392" t="n">
        <v>0</v>
      </c>
      <c r="O392" t="n">
        <v>0</v>
      </c>
      <c r="P392" t="n">
        <v>0</v>
      </c>
      <c r="Q392" t="n">
        <v>0</v>
      </c>
      <c r="R392" s="2" t="inlineStr"/>
    </row>
    <row r="393" ht="15" customHeight="1">
      <c r="A393" t="inlineStr">
        <is>
          <t>A 6653-2021</t>
        </is>
      </c>
      <c r="B393" s="1" t="n">
        <v>44235</v>
      </c>
      <c r="C393" s="1" t="n">
        <v>45658</v>
      </c>
      <c r="D393" t="inlineStr">
        <is>
          <t>VÄSTERBOTTENS LÄN</t>
        </is>
      </c>
      <c r="E393" t="inlineStr">
        <is>
          <t>VILHELMINA</t>
        </is>
      </c>
      <c r="G393" t="n">
        <v>18</v>
      </c>
      <c r="H393" t="n">
        <v>0</v>
      </c>
      <c r="I393" t="n">
        <v>0</v>
      </c>
      <c r="J393" t="n">
        <v>0</v>
      </c>
      <c r="K393" t="n">
        <v>0</v>
      </c>
      <c r="L393" t="n">
        <v>0</v>
      </c>
      <c r="M393" t="n">
        <v>0</v>
      </c>
      <c r="N393" t="n">
        <v>0</v>
      </c>
      <c r="O393" t="n">
        <v>0</v>
      </c>
      <c r="P393" t="n">
        <v>0</v>
      </c>
      <c r="Q393" t="n">
        <v>0</v>
      </c>
      <c r="R393" s="2" t="inlineStr"/>
    </row>
    <row r="394" ht="15" customHeight="1">
      <c r="A394" t="inlineStr">
        <is>
          <t>A 6669-2021</t>
        </is>
      </c>
      <c r="B394" s="1" t="n">
        <v>44235</v>
      </c>
      <c r="C394" s="1" t="n">
        <v>45658</v>
      </c>
      <c r="D394" t="inlineStr">
        <is>
          <t>VÄSTERBOTTENS LÄN</t>
        </is>
      </c>
      <c r="E394" t="inlineStr">
        <is>
          <t>VILHELMINA</t>
        </is>
      </c>
      <c r="G394" t="n">
        <v>19.8</v>
      </c>
      <c r="H394" t="n">
        <v>0</v>
      </c>
      <c r="I394" t="n">
        <v>0</v>
      </c>
      <c r="J394" t="n">
        <v>0</v>
      </c>
      <c r="K394" t="n">
        <v>0</v>
      </c>
      <c r="L394" t="n">
        <v>0</v>
      </c>
      <c r="M394" t="n">
        <v>0</v>
      </c>
      <c r="N394" t="n">
        <v>0</v>
      </c>
      <c r="O394" t="n">
        <v>0</v>
      </c>
      <c r="P394" t="n">
        <v>0</v>
      </c>
      <c r="Q394" t="n">
        <v>0</v>
      </c>
      <c r="R394" s="2" t="inlineStr"/>
    </row>
    <row r="395" ht="15" customHeight="1">
      <c r="A395" t="inlineStr">
        <is>
          <t>A 6665-2021</t>
        </is>
      </c>
      <c r="B395" s="1" t="n">
        <v>44235</v>
      </c>
      <c r="C395" s="1" t="n">
        <v>45658</v>
      </c>
      <c r="D395" t="inlineStr">
        <is>
          <t>VÄSTERBOTTENS LÄN</t>
        </is>
      </c>
      <c r="E395" t="inlineStr">
        <is>
          <t>VILHELMINA</t>
        </is>
      </c>
      <c r="G395" t="n">
        <v>20</v>
      </c>
      <c r="H395" t="n">
        <v>0</v>
      </c>
      <c r="I395" t="n">
        <v>0</v>
      </c>
      <c r="J395" t="n">
        <v>0</v>
      </c>
      <c r="K395" t="n">
        <v>0</v>
      </c>
      <c r="L395" t="n">
        <v>0</v>
      </c>
      <c r="M395" t="n">
        <v>0</v>
      </c>
      <c r="N395" t="n">
        <v>0</v>
      </c>
      <c r="O395" t="n">
        <v>0</v>
      </c>
      <c r="P395" t="n">
        <v>0</v>
      </c>
      <c r="Q395" t="n">
        <v>0</v>
      </c>
      <c r="R395" s="2" t="inlineStr"/>
    </row>
    <row r="396" ht="15" customHeight="1">
      <c r="A396" t="inlineStr">
        <is>
          <t>A 6706-2021</t>
        </is>
      </c>
      <c r="B396" s="1" t="n">
        <v>44235</v>
      </c>
      <c r="C396" s="1" t="n">
        <v>45658</v>
      </c>
      <c r="D396" t="inlineStr">
        <is>
          <t>VÄSTERBOTTENS LÄN</t>
        </is>
      </c>
      <c r="E396" t="inlineStr">
        <is>
          <t>VILHELMINA</t>
        </is>
      </c>
      <c r="G396" t="n">
        <v>3.8</v>
      </c>
      <c r="H396" t="n">
        <v>0</v>
      </c>
      <c r="I396" t="n">
        <v>0</v>
      </c>
      <c r="J396" t="n">
        <v>0</v>
      </c>
      <c r="K396" t="n">
        <v>0</v>
      </c>
      <c r="L396" t="n">
        <v>0</v>
      </c>
      <c r="M396" t="n">
        <v>0</v>
      </c>
      <c r="N396" t="n">
        <v>0</v>
      </c>
      <c r="O396" t="n">
        <v>0</v>
      </c>
      <c r="P396" t="n">
        <v>0</v>
      </c>
      <c r="Q396" t="n">
        <v>0</v>
      </c>
      <c r="R396" s="2" t="inlineStr"/>
    </row>
    <row r="397" ht="15" customHeight="1">
      <c r="A397" t="inlineStr">
        <is>
          <t>A 7078-2021</t>
        </is>
      </c>
      <c r="B397" s="1" t="n">
        <v>44237</v>
      </c>
      <c r="C397" s="1" t="n">
        <v>45658</v>
      </c>
      <c r="D397" t="inlineStr">
        <is>
          <t>VÄSTERBOTTENS LÄN</t>
        </is>
      </c>
      <c r="E397" t="inlineStr">
        <is>
          <t>VILHELMINA</t>
        </is>
      </c>
      <c r="F397" t="inlineStr">
        <is>
          <t>SCA</t>
        </is>
      </c>
      <c r="G397" t="n">
        <v>28.4</v>
      </c>
      <c r="H397" t="n">
        <v>0</v>
      </c>
      <c r="I397" t="n">
        <v>0</v>
      </c>
      <c r="J397" t="n">
        <v>0</v>
      </c>
      <c r="K397" t="n">
        <v>0</v>
      </c>
      <c r="L397" t="n">
        <v>0</v>
      </c>
      <c r="M397" t="n">
        <v>0</v>
      </c>
      <c r="N397" t="n">
        <v>0</v>
      </c>
      <c r="O397" t="n">
        <v>0</v>
      </c>
      <c r="P397" t="n">
        <v>0</v>
      </c>
      <c r="Q397" t="n">
        <v>0</v>
      </c>
      <c r="R397" s="2" t="inlineStr"/>
    </row>
    <row r="398" ht="15" customHeight="1">
      <c r="A398" t="inlineStr">
        <is>
          <t>A 8003-2021</t>
        </is>
      </c>
      <c r="B398" s="1" t="n">
        <v>44243</v>
      </c>
      <c r="C398" s="1" t="n">
        <v>45658</v>
      </c>
      <c r="D398" t="inlineStr">
        <is>
          <t>VÄSTERBOTTENS LÄN</t>
        </is>
      </c>
      <c r="E398" t="inlineStr">
        <is>
          <t>VILHELMINA</t>
        </is>
      </c>
      <c r="G398" t="n">
        <v>5.1</v>
      </c>
      <c r="H398" t="n">
        <v>0</v>
      </c>
      <c r="I398" t="n">
        <v>0</v>
      </c>
      <c r="J398" t="n">
        <v>0</v>
      </c>
      <c r="K398" t="n">
        <v>0</v>
      </c>
      <c r="L398" t="n">
        <v>0</v>
      </c>
      <c r="M398" t="n">
        <v>0</v>
      </c>
      <c r="N398" t="n">
        <v>0</v>
      </c>
      <c r="O398" t="n">
        <v>0</v>
      </c>
      <c r="P398" t="n">
        <v>0</v>
      </c>
      <c r="Q398" t="n">
        <v>0</v>
      </c>
      <c r="R398" s="2" t="inlineStr"/>
    </row>
    <row r="399" ht="15" customHeight="1">
      <c r="A399" t="inlineStr">
        <is>
          <t>A 8750-2021</t>
        </is>
      </c>
      <c r="B399" s="1" t="n">
        <v>44246</v>
      </c>
      <c r="C399" s="1" t="n">
        <v>45658</v>
      </c>
      <c r="D399" t="inlineStr">
        <is>
          <t>VÄSTERBOTTENS LÄN</t>
        </is>
      </c>
      <c r="E399" t="inlineStr">
        <is>
          <t>VILHELMINA</t>
        </is>
      </c>
      <c r="G399" t="n">
        <v>5.2</v>
      </c>
      <c r="H399" t="n">
        <v>0</v>
      </c>
      <c r="I399" t="n">
        <v>0</v>
      </c>
      <c r="J399" t="n">
        <v>0</v>
      </c>
      <c r="K399" t="n">
        <v>0</v>
      </c>
      <c r="L399" t="n">
        <v>0</v>
      </c>
      <c r="M399" t="n">
        <v>0</v>
      </c>
      <c r="N399" t="n">
        <v>0</v>
      </c>
      <c r="O399" t="n">
        <v>0</v>
      </c>
      <c r="P399" t="n">
        <v>0</v>
      </c>
      <c r="Q399" t="n">
        <v>0</v>
      </c>
      <c r="R399" s="2" t="inlineStr"/>
    </row>
    <row r="400" ht="15" customHeight="1">
      <c r="A400" t="inlineStr">
        <is>
          <t>A 10075-2021</t>
        </is>
      </c>
      <c r="B400" s="1" t="n">
        <v>44253</v>
      </c>
      <c r="C400" s="1" t="n">
        <v>45658</v>
      </c>
      <c r="D400" t="inlineStr">
        <is>
          <t>VÄSTERBOTTENS LÄN</t>
        </is>
      </c>
      <c r="E400" t="inlineStr">
        <is>
          <t>VILHELMINA</t>
        </is>
      </c>
      <c r="G400" t="n">
        <v>1.3</v>
      </c>
      <c r="H400" t="n">
        <v>0</v>
      </c>
      <c r="I400" t="n">
        <v>0</v>
      </c>
      <c r="J400" t="n">
        <v>0</v>
      </c>
      <c r="K400" t="n">
        <v>0</v>
      </c>
      <c r="L400" t="n">
        <v>0</v>
      </c>
      <c r="M400" t="n">
        <v>0</v>
      </c>
      <c r="N400" t="n">
        <v>0</v>
      </c>
      <c r="O400" t="n">
        <v>0</v>
      </c>
      <c r="P400" t="n">
        <v>0</v>
      </c>
      <c r="Q400" t="n">
        <v>0</v>
      </c>
      <c r="R400" s="2" t="inlineStr"/>
    </row>
    <row r="401" ht="15" customHeight="1">
      <c r="A401" t="inlineStr">
        <is>
          <t>A 9916-2021</t>
        </is>
      </c>
      <c r="B401" s="1" t="n">
        <v>44253</v>
      </c>
      <c r="C401" s="1" t="n">
        <v>45658</v>
      </c>
      <c r="D401" t="inlineStr">
        <is>
          <t>VÄSTERBOTTENS LÄN</t>
        </is>
      </c>
      <c r="E401" t="inlineStr">
        <is>
          <t>VILHELMINA</t>
        </is>
      </c>
      <c r="G401" t="n">
        <v>1</v>
      </c>
      <c r="H401" t="n">
        <v>0</v>
      </c>
      <c r="I401" t="n">
        <v>0</v>
      </c>
      <c r="J401" t="n">
        <v>0</v>
      </c>
      <c r="K401" t="n">
        <v>0</v>
      </c>
      <c r="L401" t="n">
        <v>0</v>
      </c>
      <c r="M401" t="n">
        <v>0</v>
      </c>
      <c r="N401" t="n">
        <v>0</v>
      </c>
      <c r="O401" t="n">
        <v>0</v>
      </c>
      <c r="P401" t="n">
        <v>0</v>
      </c>
      <c r="Q401" t="n">
        <v>0</v>
      </c>
      <c r="R401" s="2" t="inlineStr"/>
    </row>
    <row r="402" ht="15" customHeight="1">
      <c r="A402" t="inlineStr">
        <is>
          <t>A 18802-2021</t>
        </is>
      </c>
      <c r="B402" s="1" t="n">
        <v>44307</v>
      </c>
      <c r="C402" s="1" t="n">
        <v>45658</v>
      </c>
      <c r="D402" t="inlineStr">
        <is>
          <t>VÄSTERBOTTENS LÄN</t>
        </is>
      </c>
      <c r="E402" t="inlineStr">
        <is>
          <t>VILHELMINA</t>
        </is>
      </c>
      <c r="G402" t="n">
        <v>1.2</v>
      </c>
      <c r="H402" t="n">
        <v>0</v>
      </c>
      <c r="I402" t="n">
        <v>0</v>
      </c>
      <c r="J402" t="n">
        <v>0</v>
      </c>
      <c r="K402" t="n">
        <v>0</v>
      </c>
      <c r="L402" t="n">
        <v>0</v>
      </c>
      <c r="M402" t="n">
        <v>0</v>
      </c>
      <c r="N402" t="n">
        <v>0</v>
      </c>
      <c r="O402" t="n">
        <v>0</v>
      </c>
      <c r="P402" t="n">
        <v>0</v>
      </c>
      <c r="Q402" t="n">
        <v>0</v>
      </c>
      <c r="R402" s="2" t="inlineStr"/>
    </row>
    <row r="403" ht="15" customHeight="1">
      <c r="A403" t="inlineStr">
        <is>
          <t>A 18781-2021</t>
        </is>
      </c>
      <c r="B403" s="1" t="n">
        <v>44307</v>
      </c>
      <c r="C403" s="1" t="n">
        <v>45658</v>
      </c>
      <c r="D403" t="inlineStr">
        <is>
          <t>VÄSTERBOTTENS LÄN</t>
        </is>
      </c>
      <c r="E403" t="inlineStr">
        <is>
          <t>VILHELMINA</t>
        </is>
      </c>
      <c r="G403" t="n">
        <v>3.5</v>
      </c>
      <c r="H403" t="n">
        <v>0</v>
      </c>
      <c r="I403" t="n">
        <v>0</v>
      </c>
      <c r="J403" t="n">
        <v>0</v>
      </c>
      <c r="K403" t="n">
        <v>0</v>
      </c>
      <c r="L403" t="n">
        <v>0</v>
      </c>
      <c r="M403" t="n">
        <v>0</v>
      </c>
      <c r="N403" t="n">
        <v>0</v>
      </c>
      <c r="O403" t="n">
        <v>0</v>
      </c>
      <c r="P403" t="n">
        <v>0</v>
      </c>
      <c r="Q403" t="n">
        <v>0</v>
      </c>
      <c r="R403" s="2" t="inlineStr"/>
    </row>
    <row r="404" ht="15" customHeight="1">
      <c r="A404" t="inlineStr">
        <is>
          <t>A 18971-2021</t>
        </is>
      </c>
      <c r="B404" s="1" t="n">
        <v>44307</v>
      </c>
      <c r="C404" s="1" t="n">
        <v>45658</v>
      </c>
      <c r="D404" t="inlineStr">
        <is>
          <t>VÄSTERBOTTENS LÄN</t>
        </is>
      </c>
      <c r="E404" t="inlineStr">
        <is>
          <t>VILHELMINA</t>
        </is>
      </c>
      <c r="G404" t="n">
        <v>2</v>
      </c>
      <c r="H404" t="n">
        <v>0</v>
      </c>
      <c r="I404" t="n">
        <v>0</v>
      </c>
      <c r="J404" t="n">
        <v>0</v>
      </c>
      <c r="K404" t="n">
        <v>0</v>
      </c>
      <c r="L404" t="n">
        <v>0</v>
      </c>
      <c r="M404" t="n">
        <v>0</v>
      </c>
      <c r="N404" t="n">
        <v>0</v>
      </c>
      <c r="O404" t="n">
        <v>0</v>
      </c>
      <c r="P404" t="n">
        <v>0</v>
      </c>
      <c r="Q404" t="n">
        <v>0</v>
      </c>
      <c r="R404" s="2" t="inlineStr"/>
    </row>
    <row r="405" ht="15" customHeight="1">
      <c r="A405" t="inlineStr">
        <is>
          <t>A 18790-2021</t>
        </is>
      </c>
      <c r="B405" s="1" t="n">
        <v>44307</v>
      </c>
      <c r="C405" s="1" t="n">
        <v>45658</v>
      </c>
      <c r="D405" t="inlineStr">
        <is>
          <t>VÄSTERBOTTENS LÄN</t>
        </is>
      </c>
      <c r="E405" t="inlineStr">
        <is>
          <t>VILHELMINA</t>
        </is>
      </c>
      <c r="G405" t="n">
        <v>1.1</v>
      </c>
      <c r="H405" t="n">
        <v>0</v>
      </c>
      <c r="I405" t="n">
        <v>0</v>
      </c>
      <c r="J405" t="n">
        <v>0</v>
      </c>
      <c r="K405" t="n">
        <v>0</v>
      </c>
      <c r="L405" t="n">
        <v>0</v>
      </c>
      <c r="M405" t="n">
        <v>0</v>
      </c>
      <c r="N405" t="n">
        <v>0</v>
      </c>
      <c r="O405" t="n">
        <v>0</v>
      </c>
      <c r="P405" t="n">
        <v>0</v>
      </c>
      <c r="Q405" t="n">
        <v>0</v>
      </c>
      <c r="R405" s="2" t="inlineStr"/>
    </row>
    <row r="406" ht="15" customHeight="1">
      <c r="A406" t="inlineStr">
        <is>
          <t>A 18950-2021</t>
        </is>
      </c>
      <c r="B406" s="1" t="n">
        <v>44307</v>
      </c>
      <c r="C406" s="1" t="n">
        <v>45658</v>
      </c>
      <c r="D406" t="inlineStr">
        <is>
          <t>VÄSTERBOTTENS LÄN</t>
        </is>
      </c>
      <c r="E406" t="inlineStr">
        <is>
          <t>VILHELMINA</t>
        </is>
      </c>
      <c r="G406" t="n">
        <v>1.9</v>
      </c>
      <c r="H406" t="n">
        <v>0</v>
      </c>
      <c r="I406" t="n">
        <v>0</v>
      </c>
      <c r="J406" t="n">
        <v>0</v>
      </c>
      <c r="K406" t="n">
        <v>0</v>
      </c>
      <c r="L406" t="n">
        <v>0</v>
      </c>
      <c r="M406" t="n">
        <v>0</v>
      </c>
      <c r="N406" t="n">
        <v>0</v>
      </c>
      <c r="O406" t="n">
        <v>0</v>
      </c>
      <c r="P406" t="n">
        <v>0</v>
      </c>
      <c r="Q406" t="n">
        <v>0</v>
      </c>
      <c r="R406" s="2" t="inlineStr"/>
    </row>
    <row r="407" ht="15" customHeight="1">
      <c r="A407" t="inlineStr">
        <is>
          <t>A 20568-2021</t>
        </is>
      </c>
      <c r="B407" s="1" t="n">
        <v>44316</v>
      </c>
      <c r="C407" s="1" t="n">
        <v>45658</v>
      </c>
      <c r="D407" t="inlineStr">
        <is>
          <t>VÄSTERBOTTENS LÄN</t>
        </is>
      </c>
      <c r="E407" t="inlineStr">
        <is>
          <t>VILHELMINA</t>
        </is>
      </c>
      <c r="G407" t="n">
        <v>0.7</v>
      </c>
      <c r="H407" t="n">
        <v>0</v>
      </c>
      <c r="I407" t="n">
        <v>0</v>
      </c>
      <c r="J407" t="n">
        <v>0</v>
      </c>
      <c r="K407" t="n">
        <v>0</v>
      </c>
      <c r="L407" t="n">
        <v>0</v>
      </c>
      <c r="M407" t="n">
        <v>0</v>
      </c>
      <c r="N407" t="n">
        <v>0</v>
      </c>
      <c r="O407" t="n">
        <v>0</v>
      </c>
      <c r="P407" t="n">
        <v>0</v>
      </c>
      <c r="Q407" t="n">
        <v>0</v>
      </c>
      <c r="R407" s="2" t="inlineStr"/>
    </row>
    <row r="408" ht="15" customHeight="1">
      <c r="A408" t="inlineStr">
        <is>
          <t>A 20653-2021</t>
        </is>
      </c>
      <c r="B408" s="1" t="n">
        <v>44316</v>
      </c>
      <c r="C408" s="1" t="n">
        <v>45658</v>
      </c>
      <c r="D408" t="inlineStr">
        <is>
          <t>VÄSTERBOTTENS LÄN</t>
        </is>
      </c>
      <c r="E408" t="inlineStr">
        <is>
          <t>VILHELMINA</t>
        </is>
      </c>
      <c r="F408" t="inlineStr">
        <is>
          <t>Kommuner</t>
        </is>
      </c>
      <c r="G408" t="n">
        <v>2.5</v>
      </c>
      <c r="H408" t="n">
        <v>0</v>
      </c>
      <c r="I408" t="n">
        <v>0</v>
      </c>
      <c r="J408" t="n">
        <v>0</v>
      </c>
      <c r="K408" t="n">
        <v>0</v>
      </c>
      <c r="L408" t="n">
        <v>0</v>
      </c>
      <c r="M408" t="n">
        <v>0</v>
      </c>
      <c r="N408" t="n">
        <v>0</v>
      </c>
      <c r="O408" t="n">
        <v>0</v>
      </c>
      <c r="P408" t="n">
        <v>0</v>
      </c>
      <c r="Q408" t="n">
        <v>0</v>
      </c>
      <c r="R408" s="2" t="inlineStr"/>
    </row>
    <row r="409" ht="15" customHeight="1">
      <c r="A409" t="inlineStr">
        <is>
          <t>A 21726-2021</t>
        </is>
      </c>
      <c r="B409" s="1" t="n">
        <v>44322</v>
      </c>
      <c r="C409" s="1" t="n">
        <v>45658</v>
      </c>
      <c r="D409" t="inlineStr">
        <is>
          <t>VÄSTERBOTTENS LÄN</t>
        </is>
      </c>
      <c r="E409" t="inlineStr">
        <is>
          <t>VILHELMINA</t>
        </is>
      </c>
      <c r="G409" t="n">
        <v>19.6</v>
      </c>
      <c r="H409" t="n">
        <v>0</v>
      </c>
      <c r="I409" t="n">
        <v>0</v>
      </c>
      <c r="J409" t="n">
        <v>0</v>
      </c>
      <c r="K409" t="n">
        <v>0</v>
      </c>
      <c r="L409" t="n">
        <v>0</v>
      </c>
      <c r="M409" t="n">
        <v>0</v>
      </c>
      <c r="N409" t="n">
        <v>0</v>
      </c>
      <c r="O409" t="n">
        <v>0</v>
      </c>
      <c r="P409" t="n">
        <v>0</v>
      </c>
      <c r="Q409" t="n">
        <v>0</v>
      </c>
      <c r="R409" s="2" t="inlineStr"/>
    </row>
    <row r="410" ht="15" customHeight="1">
      <c r="A410" t="inlineStr">
        <is>
          <t>A 23278-2021</t>
        </is>
      </c>
      <c r="B410" s="1" t="n">
        <v>44328</v>
      </c>
      <c r="C410" s="1" t="n">
        <v>45658</v>
      </c>
      <c r="D410" t="inlineStr">
        <is>
          <t>VÄSTERBOTTENS LÄN</t>
        </is>
      </c>
      <c r="E410" t="inlineStr">
        <is>
          <t>VILHELMINA</t>
        </is>
      </c>
      <c r="F410" t="inlineStr">
        <is>
          <t>Allmännings- och besparingsskogar</t>
        </is>
      </c>
      <c r="G410" t="n">
        <v>13.6</v>
      </c>
      <c r="H410" t="n">
        <v>0</v>
      </c>
      <c r="I410" t="n">
        <v>0</v>
      </c>
      <c r="J410" t="n">
        <v>0</v>
      </c>
      <c r="K410" t="n">
        <v>0</v>
      </c>
      <c r="L410" t="n">
        <v>0</v>
      </c>
      <c r="M410" t="n">
        <v>0</v>
      </c>
      <c r="N410" t="n">
        <v>0</v>
      </c>
      <c r="O410" t="n">
        <v>0</v>
      </c>
      <c r="P410" t="n">
        <v>0</v>
      </c>
      <c r="Q410" t="n">
        <v>0</v>
      </c>
      <c r="R410" s="2" t="inlineStr"/>
    </row>
    <row r="411" ht="15" customHeight="1">
      <c r="A411" t="inlineStr">
        <is>
          <t>A 23270-2021</t>
        </is>
      </c>
      <c r="B411" s="1" t="n">
        <v>44328</v>
      </c>
      <c r="C411" s="1" t="n">
        <v>45658</v>
      </c>
      <c r="D411" t="inlineStr">
        <is>
          <t>VÄSTERBOTTENS LÄN</t>
        </is>
      </c>
      <c r="E411" t="inlineStr">
        <is>
          <t>VILHELMINA</t>
        </is>
      </c>
      <c r="F411" t="inlineStr">
        <is>
          <t>Allmännings- och besparingsskogar</t>
        </is>
      </c>
      <c r="G411" t="n">
        <v>14.7</v>
      </c>
      <c r="H411" t="n">
        <v>0</v>
      </c>
      <c r="I411" t="n">
        <v>0</v>
      </c>
      <c r="J411" t="n">
        <v>0</v>
      </c>
      <c r="K411" t="n">
        <v>0</v>
      </c>
      <c r="L411" t="n">
        <v>0</v>
      </c>
      <c r="M411" t="n">
        <v>0</v>
      </c>
      <c r="N411" t="n">
        <v>0</v>
      </c>
      <c r="O411" t="n">
        <v>0</v>
      </c>
      <c r="P411" t="n">
        <v>0</v>
      </c>
      <c r="Q411" t="n">
        <v>0</v>
      </c>
      <c r="R411" s="2" t="inlineStr"/>
    </row>
    <row r="412" ht="15" customHeight="1">
      <c r="A412" t="inlineStr">
        <is>
          <t>A 23261-2021</t>
        </is>
      </c>
      <c r="B412" s="1" t="n">
        <v>44330</v>
      </c>
      <c r="C412" s="1" t="n">
        <v>45658</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24983-2021</t>
        </is>
      </c>
      <c r="B413" s="1" t="n">
        <v>44341</v>
      </c>
      <c r="C413" s="1" t="n">
        <v>45658</v>
      </c>
      <c r="D413" t="inlineStr">
        <is>
          <t>VÄSTERBOTTENS LÄN</t>
        </is>
      </c>
      <c r="E413" t="inlineStr">
        <is>
          <t>VILHELMINA</t>
        </is>
      </c>
      <c r="G413" t="n">
        <v>12.9</v>
      </c>
      <c r="H413" t="n">
        <v>0</v>
      </c>
      <c r="I413" t="n">
        <v>0</v>
      </c>
      <c r="J413" t="n">
        <v>0</v>
      </c>
      <c r="K413" t="n">
        <v>0</v>
      </c>
      <c r="L413" t="n">
        <v>0</v>
      </c>
      <c r="M413" t="n">
        <v>0</v>
      </c>
      <c r="N413" t="n">
        <v>0</v>
      </c>
      <c r="O413" t="n">
        <v>0</v>
      </c>
      <c r="P413" t="n">
        <v>0</v>
      </c>
      <c r="Q413" t="n">
        <v>0</v>
      </c>
      <c r="R413" s="2" t="inlineStr"/>
    </row>
    <row r="414" ht="15" customHeight="1">
      <c r="A414" t="inlineStr">
        <is>
          <t>A 24599-2021</t>
        </is>
      </c>
      <c r="B414" s="1" t="n">
        <v>44341</v>
      </c>
      <c r="C414" s="1" t="n">
        <v>45658</v>
      </c>
      <c r="D414" t="inlineStr">
        <is>
          <t>VÄSTERBOTTENS LÄN</t>
        </is>
      </c>
      <c r="E414" t="inlineStr">
        <is>
          <t>VILHELMINA</t>
        </is>
      </c>
      <c r="G414" t="n">
        <v>14.5</v>
      </c>
      <c r="H414" t="n">
        <v>0</v>
      </c>
      <c r="I414" t="n">
        <v>0</v>
      </c>
      <c r="J414" t="n">
        <v>0</v>
      </c>
      <c r="K414" t="n">
        <v>0</v>
      </c>
      <c r="L414" t="n">
        <v>0</v>
      </c>
      <c r="M414" t="n">
        <v>0</v>
      </c>
      <c r="N414" t="n">
        <v>0</v>
      </c>
      <c r="O414" t="n">
        <v>0</v>
      </c>
      <c r="P414" t="n">
        <v>0</v>
      </c>
      <c r="Q414" t="n">
        <v>0</v>
      </c>
      <c r="R414" s="2" t="inlineStr"/>
    </row>
    <row r="415" ht="15" customHeight="1">
      <c r="A415" t="inlineStr">
        <is>
          <t>A 25102-2021</t>
        </is>
      </c>
      <c r="B415" s="1" t="n">
        <v>44341</v>
      </c>
      <c r="C415" s="1" t="n">
        <v>45658</v>
      </c>
      <c r="D415" t="inlineStr">
        <is>
          <t>VÄSTERBOTTENS LÄN</t>
        </is>
      </c>
      <c r="E415" t="inlineStr">
        <is>
          <t>VILHELMINA</t>
        </is>
      </c>
      <c r="G415" t="n">
        <v>6.7</v>
      </c>
      <c r="H415" t="n">
        <v>0</v>
      </c>
      <c r="I415" t="n">
        <v>0</v>
      </c>
      <c r="J415" t="n">
        <v>0</v>
      </c>
      <c r="K415" t="n">
        <v>0</v>
      </c>
      <c r="L415" t="n">
        <v>0</v>
      </c>
      <c r="M415" t="n">
        <v>0</v>
      </c>
      <c r="N415" t="n">
        <v>0</v>
      </c>
      <c r="O415" t="n">
        <v>0</v>
      </c>
      <c r="P415" t="n">
        <v>0</v>
      </c>
      <c r="Q415" t="n">
        <v>0</v>
      </c>
      <c r="R415" s="2" t="inlineStr"/>
    </row>
    <row r="416" ht="15" customHeight="1">
      <c r="A416" t="inlineStr">
        <is>
          <t>A 26483-2021</t>
        </is>
      </c>
      <c r="B416" s="1" t="n">
        <v>44347</v>
      </c>
      <c r="C416" s="1" t="n">
        <v>45658</v>
      </c>
      <c r="D416" t="inlineStr">
        <is>
          <t>VÄSTERBOTTENS LÄN</t>
        </is>
      </c>
      <c r="E416" t="inlineStr">
        <is>
          <t>VILHELMINA</t>
        </is>
      </c>
      <c r="G416" t="n">
        <v>4.5</v>
      </c>
      <c r="H416" t="n">
        <v>0</v>
      </c>
      <c r="I416" t="n">
        <v>0</v>
      </c>
      <c r="J416" t="n">
        <v>0</v>
      </c>
      <c r="K416" t="n">
        <v>0</v>
      </c>
      <c r="L416" t="n">
        <v>0</v>
      </c>
      <c r="M416" t="n">
        <v>0</v>
      </c>
      <c r="N416" t="n">
        <v>0</v>
      </c>
      <c r="O416" t="n">
        <v>0</v>
      </c>
      <c r="P416" t="n">
        <v>0</v>
      </c>
      <c r="Q416" t="n">
        <v>0</v>
      </c>
      <c r="R416" s="2" t="inlineStr"/>
    </row>
    <row r="417" ht="15" customHeight="1">
      <c r="A417" t="inlineStr">
        <is>
          <t>A 28269-2021</t>
        </is>
      </c>
      <c r="B417" s="1" t="n">
        <v>44356</v>
      </c>
      <c r="C417" s="1" t="n">
        <v>45658</v>
      </c>
      <c r="D417" t="inlineStr">
        <is>
          <t>VÄSTERBOTTENS LÄN</t>
        </is>
      </c>
      <c r="E417" t="inlineStr">
        <is>
          <t>VILHELMINA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28272-2021</t>
        </is>
      </c>
      <c r="B418" s="1" t="n">
        <v>44356</v>
      </c>
      <c r="C418" s="1" t="n">
        <v>45658</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28895-2021</t>
        </is>
      </c>
      <c r="B419" s="1" t="n">
        <v>44357</v>
      </c>
      <c r="C419" s="1" t="n">
        <v>45658</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29347-2021</t>
        </is>
      </c>
      <c r="B420" s="1" t="n">
        <v>44361</v>
      </c>
      <c r="C420" s="1" t="n">
        <v>45658</v>
      </c>
      <c r="D420" t="inlineStr">
        <is>
          <t>VÄSTERBOTTENS LÄN</t>
        </is>
      </c>
      <c r="E420" t="inlineStr">
        <is>
          <t>VILHELMINA</t>
        </is>
      </c>
      <c r="F420" t="inlineStr">
        <is>
          <t>Allmännings- och besparingsskogar</t>
        </is>
      </c>
      <c r="G420" t="n">
        <v>52</v>
      </c>
      <c r="H420" t="n">
        <v>0</v>
      </c>
      <c r="I420" t="n">
        <v>0</v>
      </c>
      <c r="J420" t="n">
        <v>0</v>
      </c>
      <c r="K420" t="n">
        <v>0</v>
      </c>
      <c r="L420" t="n">
        <v>0</v>
      </c>
      <c r="M420" t="n">
        <v>0</v>
      </c>
      <c r="N420" t="n">
        <v>0</v>
      </c>
      <c r="O420" t="n">
        <v>0</v>
      </c>
      <c r="P420" t="n">
        <v>0</v>
      </c>
      <c r="Q420" t="n">
        <v>0</v>
      </c>
      <c r="R420" s="2" t="inlineStr"/>
    </row>
    <row r="421" ht="15" customHeight="1">
      <c r="A421" t="inlineStr">
        <is>
          <t>A 29332-2021</t>
        </is>
      </c>
      <c r="B421" s="1" t="n">
        <v>44361</v>
      </c>
      <c r="C421" s="1" t="n">
        <v>45658</v>
      </c>
      <c r="D421" t="inlineStr">
        <is>
          <t>VÄSTERBOTTENS LÄN</t>
        </is>
      </c>
      <c r="E421" t="inlineStr">
        <is>
          <t>VILHELMINA</t>
        </is>
      </c>
      <c r="F421" t="inlineStr">
        <is>
          <t>Allmännings- och besparingsskogar</t>
        </is>
      </c>
      <c r="G421" t="n">
        <v>51.8</v>
      </c>
      <c r="H421" t="n">
        <v>0</v>
      </c>
      <c r="I421" t="n">
        <v>0</v>
      </c>
      <c r="J421" t="n">
        <v>0</v>
      </c>
      <c r="K421" t="n">
        <v>0</v>
      </c>
      <c r="L421" t="n">
        <v>0</v>
      </c>
      <c r="M421" t="n">
        <v>0</v>
      </c>
      <c r="N421" t="n">
        <v>0</v>
      </c>
      <c r="O421" t="n">
        <v>0</v>
      </c>
      <c r="P421" t="n">
        <v>0</v>
      </c>
      <c r="Q421" t="n">
        <v>0</v>
      </c>
      <c r="R421" s="2" t="inlineStr"/>
    </row>
    <row r="422" ht="15" customHeight="1">
      <c r="A422" t="inlineStr">
        <is>
          <t>A 31722-2021</t>
        </is>
      </c>
      <c r="B422" s="1" t="n">
        <v>44370</v>
      </c>
      <c r="C422" s="1" t="n">
        <v>45658</v>
      </c>
      <c r="D422" t="inlineStr">
        <is>
          <t>VÄSTERBOTTENS LÄN</t>
        </is>
      </c>
      <c r="E422" t="inlineStr">
        <is>
          <t>VILHELMINA</t>
        </is>
      </c>
      <c r="G422" t="n">
        <v>2.8</v>
      </c>
      <c r="H422" t="n">
        <v>0</v>
      </c>
      <c r="I422" t="n">
        <v>0</v>
      </c>
      <c r="J422" t="n">
        <v>0</v>
      </c>
      <c r="K422" t="n">
        <v>0</v>
      </c>
      <c r="L422" t="n">
        <v>0</v>
      </c>
      <c r="M422" t="n">
        <v>0</v>
      </c>
      <c r="N422" t="n">
        <v>0</v>
      </c>
      <c r="O422" t="n">
        <v>0</v>
      </c>
      <c r="P422" t="n">
        <v>0</v>
      </c>
      <c r="Q422" t="n">
        <v>0</v>
      </c>
      <c r="R422" s="2" t="inlineStr"/>
    </row>
    <row r="423" ht="15" customHeight="1">
      <c r="A423" t="inlineStr">
        <is>
          <t>A 32665-2021</t>
        </is>
      </c>
      <c r="B423" s="1" t="n">
        <v>44371</v>
      </c>
      <c r="C423" s="1" t="n">
        <v>45658</v>
      </c>
      <c r="D423" t="inlineStr">
        <is>
          <t>VÄSTERBOTTENS LÄN</t>
        </is>
      </c>
      <c r="E423" t="inlineStr">
        <is>
          <t>VILHELMINA</t>
        </is>
      </c>
      <c r="G423" t="n">
        <v>2.9</v>
      </c>
      <c r="H423" t="n">
        <v>0</v>
      </c>
      <c r="I423" t="n">
        <v>0</v>
      </c>
      <c r="J423" t="n">
        <v>0</v>
      </c>
      <c r="K423" t="n">
        <v>0</v>
      </c>
      <c r="L423" t="n">
        <v>0</v>
      </c>
      <c r="M423" t="n">
        <v>0</v>
      </c>
      <c r="N423" t="n">
        <v>0</v>
      </c>
      <c r="O423" t="n">
        <v>0</v>
      </c>
      <c r="P423" t="n">
        <v>0</v>
      </c>
      <c r="Q423" t="n">
        <v>0</v>
      </c>
      <c r="R423" s="2" t="inlineStr"/>
    </row>
    <row r="424" ht="15" customHeight="1">
      <c r="A424" t="inlineStr">
        <is>
          <t>A 32672-2021</t>
        </is>
      </c>
      <c r="B424" s="1" t="n">
        <v>44371</v>
      </c>
      <c r="C424" s="1" t="n">
        <v>45658</v>
      </c>
      <c r="D424" t="inlineStr">
        <is>
          <t>VÄSTERBOTTENS LÄN</t>
        </is>
      </c>
      <c r="E424" t="inlineStr">
        <is>
          <t>VILHELMINA</t>
        </is>
      </c>
      <c r="G424" t="n">
        <v>4.5</v>
      </c>
      <c r="H424" t="n">
        <v>0</v>
      </c>
      <c r="I424" t="n">
        <v>0</v>
      </c>
      <c r="J424" t="n">
        <v>0</v>
      </c>
      <c r="K424" t="n">
        <v>0</v>
      </c>
      <c r="L424" t="n">
        <v>0</v>
      </c>
      <c r="M424" t="n">
        <v>0</v>
      </c>
      <c r="N424" t="n">
        <v>0</v>
      </c>
      <c r="O424" t="n">
        <v>0</v>
      </c>
      <c r="P424" t="n">
        <v>0</v>
      </c>
      <c r="Q424" t="n">
        <v>0</v>
      </c>
      <c r="R424" s="2" t="inlineStr"/>
    </row>
    <row r="425" ht="15" customHeight="1">
      <c r="A425" t="inlineStr">
        <is>
          <t>A 32658-2021</t>
        </is>
      </c>
      <c r="B425" s="1" t="n">
        <v>44371</v>
      </c>
      <c r="C425" s="1" t="n">
        <v>45658</v>
      </c>
      <c r="D425" t="inlineStr">
        <is>
          <t>VÄSTERBOTTENS LÄN</t>
        </is>
      </c>
      <c r="E425" t="inlineStr">
        <is>
          <t>VILHELMINA</t>
        </is>
      </c>
      <c r="G425" t="n">
        <v>2.2</v>
      </c>
      <c r="H425" t="n">
        <v>0</v>
      </c>
      <c r="I425" t="n">
        <v>0</v>
      </c>
      <c r="J425" t="n">
        <v>0</v>
      </c>
      <c r="K425" t="n">
        <v>0</v>
      </c>
      <c r="L425" t="n">
        <v>0</v>
      </c>
      <c r="M425" t="n">
        <v>0</v>
      </c>
      <c r="N425" t="n">
        <v>0</v>
      </c>
      <c r="O425" t="n">
        <v>0</v>
      </c>
      <c r="P425" t="n">
        <v>0</v>
      </c>
      <c r="Q425" t="n">
        <v>0</v>
      </c>
      <c r="R425" s="2" t="inlineStr"/>
    </row>
    <row r="426" ht="15" customHeight="1">
      <c r="A426" t="inlineStr">
        <is>
          <t>A 32655-2021</t>
        </is>
      </c>
      <c r="B426" s="1" t="n">
        <v>44371</v>
      </c>
      <c r="C426" s="1" t="n">
        <v>45658</v>
      </c>
      <c r="D426" t="inlineStr">
        <is>
          <t>VÄSTERBOTTENS LÄN</t>
        </is>
      </c>
      <c r="E426" t="inlineStr">
        <is>
          <t>VILHELMINA</t>
        </is>
      </c>
      <c r="G426" t="n">
        <v>0.2</v>
      </c>
      <c r="H426" t="n">
        <v>0</v>
      </c>
      <c r="I426" t="n">
        <v>0</v>
      </c>
      <c r="J426" t="n">
        <v>0</v>
      </c>
      <c r="K426" t="n">
        <v>0</v>
      </c>
      <c r="L426" t="n">
        <v>0</v>
      </c>
      <c r="M426" t="n">
        <v>0</v>
      </c>
      <c r="N426" t="n">
        <v>0</v>
      </c>
      <c r="O426" t="n">
        <v>0</v>
      </c>
      <c r="P426" t="n">
        <v>0</v>
      </c>
      <c r="Q426" t="n">
        <v>0</v>
      </c>
      <c r="R426" s="2" t="inlineStr"/>
    </row>
    <row r="427" ht="15" customHeight="1">
      <c r="A427" t="inlineStr">
        <is>
          <t>A 31656-2021</t>
        </is>
      </c>
      <c r="B427" s="1" t="n">
        <v>44377</v>
      </c>
      <c r="C427" s="1" t="n">
        <v>45658</v>
      </c>
      <c r="D427" t="inlineStr">
        <is>
          <t>VÄSTERBOTTENS LÄN</t>
        </is>
      </c>
      <c r="E427" t="inlineStr">
        <is>
          <t>VILHELMINA</t>
        </is>
      </c>
      <c r="G427" t="n">
        <v>0.9</v>
      </c>
      <c r="H427" t="n">
        <v>0</v>
      </c>
      <c r="I427" t="n">
        <v>0</v>
      </c>
      <c r="J427" t="n">
        <v>0</v>
      </c>
      <c r="K427" t="n">
        <v>0</v>
      </c>
      <c r="L427" t="n">
        <v>0</v>
      </c>
      <c r="M427" t="n">
        <v>0</v>
      </c>
      <c r="N427" t="n">
        <v>0</v>
      </c>
      <c r="O427" t="n">
        <v>0</v>
      </c>
      <c r="P427" t="n">
        <v>0</v>
      </c>
      <c r="Q427" t="n">
        <v>0</v>
      </c>
      <c r="R427" s="2" t="inlineStr"/>
    </row>
    <row r="428" ht="15" customHeight="1">
      <c r="A428" t="inlineStr">
        <is>
          <t>A 33636-2021</t>
        </is>
      </c>
      <c r="B428" s="1" t="n">
        <v>44378</v>
      </c>
      <c r="C428" s="1" t="n">
        <v>45658</v>
      </c>
      <c r="D428" t="inlineStr">
        <is>
          <t>VÄSTERBOTTENS LÄN</t>
        </is>
      </c>
      <c r="E428" t="inlineStr">
        <is>
          <t>VILHELMINA</t>
        </is>
      </c>
      <c r="G428" t="n">
        <v>1.6</v>
      </c>
      <c r="H428" t="n">
        <v>0</v>
      </c>
      <c r="I428" t="n">
        <v>0</v>
      </c>
      <c r="J428" t="n">
        <v>0</v>
      </c>
      <c r="K428" t="n">
        <v>0</v>
      </c>
      <c r="L428" t="n">
        <v>0</v>
      </c>
      <c r="M428" t="n">
        <v>0</v>
      </c>
      <c r="N428" t="n">
        <v>0</v>
      </c>
      <c r="O428" t="n">
        <v>0</v>
      </c>
      <c r="P428" t="n">
        <v>0</v>
      </c>
      <c r="Q428" t="n">
        <v>0</v>
      </c>
      <c r="R428" s="2" t="inlineStr"/>
    </row>
    <row r="429" ht="15" customHeight="1">
      <c r="A429" t="inlineStr">
        <is>
          <t>A 34394-2021</t>
        </is>
      </c>
      <c r="B429" s="1" t="n">
        <v>44379</v>
      </c>
      <c r="C429" s="1" t="n">
        <v>45658</v>
      </c>
      <c r="D429" t="inlineStr">
        <is>
          <t>VÄSTERBOTTENS LÄN</t>
        </is>
      </c>
      <c r="E429" t="inlineStr">
        <is>
          <t>VILHELMINA</t>
        </is>
      </c>
      <c r="F429" t="inlineStr">
        <is>
          <t>SCA</t>
        </is>
      </c>
      <c r="G429" t="n">
        <v>11.7</v>
      </c>
      <c r="H429" t="n">
        <v>0</v>
      </c>
      <c r="I429" t="n">
        <v>0</v>
      </c>
      <c r="J429" t="n">
        <v>0</v>
      </c>
      <c r="K429" t="n">
        <v>0</v>
      </c>
      <c r="L429" t="n">
        <v>0</v>
      </c>
      <c r="M429" t="n">
        <v>0</v>
      </c>
      <c r="N429" t="n">
        <v>0</v>
      </c>
      <c r="O429" t="n">
        <v>0</v>
      </c>
      <c r="P429" t="n">
        <v>0</v>
      </c>
      <c r="Q429" t="n">
        <v>0</v>
      </c>
      <c r="R429" s="2" t="inlineStr"/>
    </row>
    <row r="430" ht="15" customHeight="1">
      <c r="A430" t="inlineStr">
        <is>
          <t>A 34808-2021</t>
        </is>
      </c>
      <c r="B430" s="1" t="n">
        <v>44382</v>
      </c>
      <c r="C430" s="1" t="n">
        <v>45658</v>
      </c>
      <c r="D430" t="inlineStr">
        <is>
          <t>VÄSTERBOTTENS LÄN</t>
        </is>
      </c>
      <c r="E430" t="inlineStr">
        <is>
          <t>VILHELMINA</t>
        </is>
      </c>
      <c r="F430" t="inlineStr">
        <is>
          <t>Allmännings- och besparingsskogar</t>
        </is>
      </c>
      <c r="G430" t="n">
        <v>20.6</v>
      </c>
      <c r="H430" t="n">
        <v>0</v>
      </c>
      <c r="I430" t="n">
        <v>0</v>
      </c>
      <c r="J430" t="n">
        <v>0</v>
      </c>
      <c r="K430" t="n">
        <v>0</v>
      </c>
      <c r="L430" t="n">
        <v>0</v>
      </c>
      <c r="M430" t="n">
        <v>0</v>
      </c>
      <c r="N430" t="n">
        <v>0</v>
      </c>
      <c r="O430" t="n">
        <v>0</v>
      </c>
      <c r="P430" t="n">
        <v>0</v>
      </c>
      <c r="Q430" t="n">
        <v>0</v>
      </c>
      <c r="R430" s="2" t="inlineStr"/>
    </row>
    <row r="431" ht="15" customHeight="1">
      <c r="A431" t="inlineStr">
        <is>
          <t>A 35876-2021</t>
        </is>
      </c>
      <c r="B431" s="1" t="n">
        <v>44386</v>
      </c>
      <c r="C431" s="1" t="n">
        <v>45658</v>
      </c>
      <c r="D431" t="inlineStr">
        <is>
          <t>VÄSTERBOTTENS LÄN</t>
        </is>
      </c>
      <c r="E431" t="inlineStr">
        <is>
          <t>VILHELMINA</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36139-2021</t>
        </is>
      </c>
      <c r="B432" s="1" t="n">
        <v>44389</v>
      </c>
      <c r="C432" s="1" t="n">
        <v>45658</v>
      </c>
      <c r="D432" t="inlineStr">
        <is>
          <t>VÄSTERBOTTENS LÄN</t>
        </is>
      </c>
      <c r="E432" t="inlineStr">
        <is>
          <t>VILHELMINA</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36142-2021</t>
        </is>
      </c>
      <c r="B433" s="1" t="n">
        <v>44389</v>
      </c>
      <c r="C433" s="1" t="n">
        <v>45658</v>
      </c>
      <c r="D433" t="inlineStr">
        <is>
          <t>VÄSTERBOTTENS LÄN</t>
        </is>
      </c>
      <c r="E433" t="inlineStr">
        <is>
          <t>VILHELMINA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36147-2021</t>
        </is>
      </c>
      <c r="B434" s="1" t="n">
        <v>44389</v>
      </c>
      <c r="C434" s="1" t="n">
        <v>45658</v>
      </c>
      <c r="D434" t="inlineStr">
        <is>
          <t>VÄSTERBOTTENS LÄN</t>
        </is>
      </c>
      <c r="E434" t="inlineStr">
        <is>
          <t>VILHELMINA</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36288-2021</t>
        </is>
      </c>
      <c r="B435" s="1" t="n">
        <v>44389</v>
      </c>
      <c r="C435" s="1" t="n">
        <v>45658</v>
      </c>
      <c r="D435" t="inlineStr">
        <is>
          <t>VÄSTERBOTTENS LÄN</t>
        </is>
      </c>
      <c r="E435" t="inlineStr">
        <is>
          <t>VILHELMINA</t>
        </is>
      </c>
      <c r="G435" t="n">
        <v>20.5</v>
      </c>
      <c r="H435" t="n">
        <v>0</v>
      </c>
      <c r="I435" t="n">
        <v>0</v>
      </c>
      <c r="J435" t="n">
        <v>0</v>
      </c>
      <c r="K435" t="n">
        <v>0</v>
      </c>
      <c r="L435" t="n">
        <v>0</v>
      </c>
      <c r="M435" t="n">
        <v>0</v>
      </c>
      <c r="N435" t="n">
        <v>0</v>
      </c>
      <c r="O435" t="n">
        <v>0</v>
      </c>
      <c r="P435" t="n">
        <v>0</v>
      </c>
      <c r="Q435" t="n">
        <v>0</v>
      </c>
      <c r="R435" s="2" t="inlineStr"/>
    </row>
    <row r="436" ht="15" customHeight="1">
      <c r="A436" t="inlineStr">
        <is>
          <t>A 37320-2021</t>
        </is>
      </c>
      <c r="B436" s="1" t="n">
        <v>44397</v>
      </c>
      <c r="C436" s="1" t="n">
        <v>45658</v>
      </c>
      <c r="D436" t="inlineStr">
        <is>
          <t>VÄSTERBOTTENS LÄN</t>
        </is>
      </c>
      <c r="E436" t="inlineStr">
        <is>
          <t>VILHELMINA</t>
        </is>
      </c>
      <c r="F436" t="inlineStr">
        <is>
          <t>Kommuner</t>
        </is>
      </c>
      <c r="G436" t="n">
        <v>1.2</v>
      </c>
      <c r="H436" t="n">
        <v>0</v>
      </c>
      <c r="I436" t="n">
        <v>0</v>
      </c>
      <c r="J436" t="n">
        <v>0</v>
      </c>
      <c r="K436" t="n">
        <v>0</v>
      </c>
      <c r="L436" t="n">
        <v>0</v>
      </c>
      <c r="M436" t="n">
        <v>0</v>
      </c>
      <c r="N436" t="n">
        <v>0</v>
      </c>
      <c r="O436" t="n">
        <v>0</v>
      </c>
      <c r="P436" t="n">
        <v>0</v>
      </c>
      <c r="Q436" t="n">
        <v>0</v>
      </c>
      <c r="R436" s="2" t="inlineStr"/>
    </row>
    <row r="437" ht="15" customHeight="1">
      <c r="A437" t="inlineStr">
        <is>
          <t>A 38327-2021</t>
        </is>
      </c>
      <c r="B437" s="1" t="n">
        <v>44406</v>
      </c>
      <c r="C437" s="1" t="n">
        <v>45658</v>
      </c>
      <c r="D437" t="inlineStr">
        <is>
          <t>VÄSTERBOTTENS LÄN</t>
        </is>
      </c>
      <c r="E437" t="inlineStr">
        <is>
          <t>VILHELMINA</t>
        </is>
      </c>
      <c r="G437" t="n">
        <v>0.4</v>
      </c>
      <c r="H437" t="n">
        <v>0</v>
      </c>
      <c r="I437" t="n">
        <v>0</v>
      </c>
      <c r="J437" t="n">
        <v>0</v>
      </c>
      <c r="K437" t="n">
        <v>0</v>
      </c>
      <c r="L437" t="n">
        <v>0</v>
      </c>
      <c r="M437" t="n">
        <v>0</v>
      </c>
      <c r="N437" t="n">
        <v>0</v>
      </c>
      <c r="O437" t="n">
        <v>0</v>
      </c>
      <c r="P437" t="n">
        <v>0</v>
      </c>
      <c r="Q437" t="n">
        <v>0</v>
      </c>
      <c r="R437" s="2" t="inlineStr"/>
    </row>
    <row r="438" ht="15" customHeight="1">
      <c r="A438" t="inlineStr">
        <is>
          <t>A 39186-2021</t>
        </is>
      </c>
      <c r="B438" s="1" t="n">
        <v>44412</v>
      </c>
      <c r="C438" s="1" t="n">
        <v>45658</v>
      </c>
      <c r="D438" t="inlineStr">
        <is>
          <t>VÄSTERBOTTENS LÄN</t>
        </is>
      </c>
      <c r="E438" t="inlineStr">
        <is>
          <t>VILHELMINA</t>
        </is>
      </c>
      <c r="G438" t="n">
        <v>0.3</v>
      </c>
      <c r="H438" t="n">
        <v>0</v>
      </c>
      <c r="I438" t="n">
        <v>0</v>
      </c>
      <c r="J438" t="n">
        <v>0</v>
      </c>
      <c r="K438" t="n">
        <v>0</v>
      </c>
      <c r="L438" t="n">
        <v>0</v>
      </c>
      <c r="M438" t="n">
        <v>0</v>
      </c>
      <c r="N438" t="n">
        <v>0</v>
      </c>
      <c r="O438" t="n">
        <v>0</v>
      </c>
      <c r="P438" t="n">
        <v>0</v>
      </c>
      <c r="Q438" t="n">
        <v>0</v>
      </c>
      <c r="R438" s="2" t="inlineStr"/>
    </row>
    <row r="439" ht="15" customHeight="1">
      <c r="A439" t="inlineStr">
        <is>
          <t>A 40470-2021</t>
        </is>
      </c>
      <c r="B439" s="1" t="n">
        <v>44420</v>
      </c>
      <c r="C439" s="1" t="n">
        <v>45658</v>
      </c>
      <c r="D439" t="inlineStr">
        <is>
          <t>VÄSTERBOTTENS LÄN</t>
        </is>
      </c>
      <c r="E439" t="inlineStr">
        <is>
          <t>VILHELMINA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40471-2021</t>
        </is>
      </c>
      <c r="B440" s="1" t="n">
        <v>44420</v>
      </c>
      <c r="C440" s="1" t="n">
        <v>45658</v>
      </c>
      <c r="D440" t="inlineStr">
        <is>
          <t>VÄSTERBOTTENS LÄN</t>
        </is>
      </c>
      <c r="E440" t="inlineStr">
        <is>
          <t>VILHELMINA</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40477-2021</t>
        </is>
      </c>
      <c r="B441" s="1" t="n">
        <v>44420</v>
      </c>
      <c r="C441" s="1" t="n">
        <v>45658</v>
      </c>
      <c r="D441" t="inlineStr">
        <is>
          <t>VÄSTERBOTTENS LÄN</t>
        </is>
      </c>
      <c r="E441" t="inlineStr">
        <is>
          <t>VILHELMINA</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40468-2021</t>
        </is>
      </c>
      <c r="B442" s="1" t="n">
        <v>44420</v>
      </c>
      <c r="C442" s="1" t="n">
        <v>45658</v>
      </c>
      <c r="D442" t="inlineStr">
        <is>
          <t>VÄSTERBOTTENS LÄN</t>
        </is>
      </c>
      <c r="E442" t="inlineStr">
        <is>
          <t>VILHELMINA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40476-2021</t>
        </is>
      </c>
      <c r="B443" s="1" t="n">
        <v>44420</v>
      </c>
      <c r="C443" s="1" t="n">
        <v>45658</v>
      </c>
      <c r="D443" t="inlineStr">
        <is>
          <t>VÄSTERBOTTENS LÄN</t>
        </is>
      </c>
      <c r="E443" t="inlineStr">
        <is>
          <t>VILHELMINA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40469-2021</t>
        </is>
      </c>
      <c r="B444" s="1" t="n">
        <v>44420</v>
      </c>
      <c r="C444" s="1" t="n">
        <v>45658</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40474-2021</t>
        </is>
      </c>
      <c r="B445" s="1" t="n">
        <v>44420</v>
      </c>
      <c r="C445" s="1" t="n">
        <v>45658</v>
      </c>
      <c r="D445" t="inlineStr">
        <is>
          <t>VÄSTERBOTTENS LÄN</t>
        </is>
      </c>
      <c r="E445" t="inlineStr">
        <is>
          <t>VILHELMINA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40472-2021</t>
        </is>
      </c>
      <c r="B446" s="1" t="n">
        <v>44419</v>
      </c>
      <c r="C446" s="1" t="n">
        <v>45658</v>
      </c>
      <c r="D446" t="inlineStr">
        <is>
          <t>VÄSTERBOTTENS LÄN</t>
        </is>
      </c>
      <c r="E446" t="inlineStr">
        <is>
          <t>VILHELMINA</t>
        </is>
      </c>
      <c r="F446" t="inlineStr">
        <is>
          <t>SCA</t>
        </is>
      </c>
      <c r="G446" t="n">
        <v>16.3</v>
      </c>
      <c r="H446" t="n">
        <v>0</v>
      </c>
      <c r="I446" t="n">
        <v>0</v>
      </c>
      <c r="J446" t="n">
        <v>0</v>
      </c>
      <c r="K446" t="n">
        <v>0</v>
      </c>
      <c r="L446" t="n">
        <v>0</v>
      </c>
      <c r="M446" t="n">
        <v>0</v>
      </c>
      <c r="N446" t="n">
        <v>0</v>
      </c>
      <c r="O446" t="n">
        <v>0</v>
      </c>
      <c r="P446" t="n">
        <v>0</v>
      </c>
      <c r="Q446" t="n">
        <v>0</v>
      </c>
      <c r="R446" s="2" t="inlineStr"/>
    </row>
    <row r="447" ht="15" customHeight="1">
      <c r="A447" t="inlineStr">
        <is>
          <t>A 42153-2021</t>
        </is>
      </c>
      <c r="B447" s="1" t="n">
        <v>44426</v>
      </c>
      <c r="C447" s="1" t="n">
        <v>45658</v>
      </c>
      <c r="D447" t="inlineStr">
        <is>
          <t>VÄSTERBOTTENS LÄN</t>
        </is>
      </c>
      <c r="E447" t="inlineStr">
        <is>
          <t>VILHELMINA</t>
        </is>
      </c>
      <c r="F447" t="inlineStr">
        <is>
          <t>Sveaskog</t>
        </is>
      </c>
      <c r="G447" t="n">
        <v>11.5</v>
      </c>
      <c r="H447" t="n">
        <v>0</v>
      </c>
      <c r="I447" t="n">
        <v>0</v>
      </c>
      <c r="J447" t="n">
        <v>0</v>
      </c>
      <c r="K447" t="n">
        <v>0</v>
      </c>
      <c r="L447" t="n">
        <v>0</v>
      </c>
      <c r="M447" t="n">
        <v>0</v>
      </c>
      <c r="N447" t="n">
        <v>0</v>
      </c>
      <c r="O447" t="n">
        <v>0</v>
      </c>
      <c r="P447" t="n">
        <v>0</v>
      </c>
      <c r="Q447" t="n">
        <v>0</v>
      </c>
      <c r="R447" s="2" t="inlineStr"/>
    </row>
    <row r="448" ht="15" customHeight="1">
      <c r="A448" t="inlineStr">
        <is>
          <t>A 43755-2021</t>
        </is>
      </c>
      <c r="B448" s="1" t="n">
        <v>44433</v>
      </c>
      <c r="C448" s="1" t="n">
        <v>45658</v>
      </c>
      <c r="D448" t="inlineStr">
        <is>
          <t>VÄSTERBOTTENS LÄN</t>
        </is>
      </c>
      <c r="E448" t="inlineStr">
        <is>
          <t>VILHELMINA</t>
        </is>
      </c>
      <c r="F448" t="inlineStr">
        <is>
          <t>Sveaskog</t>
        </is>
      </c>
      <c r="G448" t="n">
        <v>10.4</v>
      </c>
      <c r="H448" t="n">
        <v>0</v>
      </c>
      <c r="I448" t="n">
        <v>0</v>
      </c>
      <c r="J448" t="n">
        <v>0</v>
      </c>
      <c r="K448" t="n">
        <v>0</v>
      </c>
      <c r="L448" t="n">
        <v>0</v>
      </c>
      <c r="M448" t="n">
        <v>0</v>
      </c>
      <c r="N448" t="n">
        <v>0</v>
      </c>
      <c r="O448" t="n">
        <v>0</v>
      </c>
      <c r="P448" t="n">
        <v>0</v>
      </c>
      <c r="Q448" t="n">
        <v>0</v>
      </c>
      <c r="R448" s="2" t="inlineStr"/>
    </row>
    <row r="449" ht="15" customHeight="1">
      <c r="A449" t="inlineStr">
        <is>
          <t>A 44136-2021</t>
        </is>
      </c>
      <c r="B449" s="1" t="n">
        <v>44434</v>
      </c>
      <c r="C449" s="1" t="n">
        <v>45658</v>
      </c>
      <c r="D449" t="inlineStr">
        <is>
          <t>VÄSTERBOTTENS LÄN</t>
        </is>
      </c>
      <c r="E449" t="inlineStr">
        <is>
          <t>VILHELMINA</t>
        </is>
      </c>
      <c r="F449" t="inlineStr">
        <is>
          <t>Sveaskog</t>
        </is>
      </c>
      <c r="G449" t="n">
        <v>11.2</v>
      </c>
      <c r="H449" t="n">
        <v>0</v>
      </c>
      <c r="I449" t="n">
        <v>0</v>
      </c>
      <c r="J449" t="n">
        <v>0</v>
      </c>
      <c r="K449" t="n">
        <v>0</v>
      </c>
      <c r="L449" t="n">
        <v>0</v>
      </c>
      <c r="M449" t="n">
        <v>0</v>
      </c>
      <c r="N449" t="n">
        <v>0</v>
      </c>
      <c r="O449" t="n">
        <v>0</v>
      </c>
      <c r="P449" t="n">
        <v>0</v>
      </c>
      <c r="Q449" t="n">
        <v>0</v>
      </c>
      <c r="R449" s="2" t="inlineStr"/>
    </row>
    <row r="450" ht="15" customHeight="1">
      <c r="A450" t="inlineStr">
        <is>
          <t>A 44238-2021</t>
        </is>
      </c>
      <c r="B450" s="1" t="n">
        <v>44434</v>
      </c>
      <c r="C450" s="1" t="n">
        <v>45658</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44239-2021</t>
        </is>
      </c>
      <c r="B451" s="1" t="n">
        <v>44434</v>
      </c>
      <c r="C451" s="1" t="n">
        <v>45658</v>
      </c>
      <c r="D451" t="inlineStr">
        <is>
          <t>VÄSTERBOTTENS LÄN</t>
        </is>
      </c>
      <c r="E451" t="inlineStr">
        <is>
          <t>VILHELMINA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44714-2021</t>
        </is>
      </c>
      <c r="B452" s="1" t="n">
        <v>44435</v>
      </c>
      <c r="C452" s="1" t="n">
        <v>45658</v>
      </c>
      <c r="D452" t="inlineStr">
        <is>
          <t>VÄSTERBOTTENS LÄN</t>
        </is>
      </c>
      <c r="E452" t="inlineStr">
        <is>
          <t>VILHELMINA</t>
        </is>
      </c>
      <c r="G452" t="n">
        <v>4.3</v>
      </c>
      <c r="H452" t="n">
        <v>0</v>
      </c>
      <c r="I452" t="n">
        <v>0</v>
      </c>
      <c r="J452" t="n">
        <v>0</v>
      </c>
      <c r="K452" t="n">
        <v>0</v>
      </c>
      <c r="L452" t="n">
        <v>0</v>
      </c>
      <c r="M452" t="n">
        <v>0</v>
      </c>
      <c r="N452" t="n">
        <v>0</v>
      </c>
      <c r="O452" t="n">
        <v>0</v>
      </c>
      <c r="P452" t="n">
        <v>0</v>
      </c>
      <c r="Q452" t="n">
        <v>0</v>
      </c>
      <c r="R452" s="2" t="inlineStr"/>
    </row>
    <row r="453" ht="15" customHeight="1">
      <c r="A453" t="inlineStr">
        <is>
          <t>A 46046-2021</t>
        </is>
      </c>
      <c r="B453" s="1" t="n">
        <v>44442</v>
      </c>
      <c r="C453" s="1" t="n">
        <v>45658</v>
      </c>
      <c r="D453" t="inlineStr">
        <is>
          <t>VÄSTERBOTTENS LÄN</t>
        </is>
      </c>
      <c r="E453" t="inlineStr">
        <is>
          <t>VILHELMINA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46045-2021</t>
        </is>
      </c>
      <c r="B454" s="1" t="n">
        <v>44442</v>
      </c>
      <c r="C454" s="1" t="n">
        <v>45658</v>
      </c>
      <c r="D454" t="inlineStr">
        <is>
          <t>VÄSTERBOTTENS LÄN</t>
        </is>
      </c>
      <c r="E454" t="inlineStr">
        <is>
          <t>VILHELMINA</t>
        </is>
      </c>
      <c r="F454" t="inlineStr">
        <is>
          <t>SCA</t>
        </is>
      </c>
      <c r="G454" t="n">
        <v>7.8</v>
      </c>
      <c r="H454" t="n">
        <v>0</v>
      </c>
      <c r="I454" t="n">
        <v>0</v>
      </c>
      <c r="J454" t="n">
        <v>0</v>
      </c>
      <c r="K454" t="n">
        <v>0</v>
      </c>
      <c r="L454" t="n">
        <v>0</v>
      </c>
      <c r="M454" t="n">
        <v>0</v>
      </c>
      <c r="N454" t="n">
        <v>0</v>
      </c>
      <c r="O454" t="n">
        <v>0</v>
      </c>
      <c r="P454" t="n">
        <v>0</v>
      </c>
      <c r="Q454" t="n">
        <v>0</v>
      </c>
      <c r="R454" s="2" t="inlineStr"/>
    </row>
    <row r="455" ht="15" customHeight="1">
      <c r="A455" t="inlineStr">
        <is>
          <t>A 46372-2021</t>
        </is>
      </c>
      <c r="B455" s="1" t="n">
        <v>44443</v>
      </c>
      <c r="C455" s="1" t="n">
        <v>45658</v>
      </c>
      <c r="D455" t="inlineStr">
        <is>
          <t>VÄSTERBOTTENS LÄN</t>
        </is>
      </c>
      <c r="E455" t="inlineStr">
        <is>
          <t>VILHELMINA</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46375-2021</t>
        </is>
      </c>
      <c r="B456" s="1" t="n">
        <v>44442</v>
      </c>
      <c r="C456" s="1" t="n">
        <v>45658</v>
      </c>
      <c r="D456" t="inlineStr">
        <is>
          <t>VÄSTERBOTTENS LÄN</t>
        </is>
      </c>
      <c r="E456" t="inlineStr">
        <is>
          <t>VILHELMINA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47151-2021</t>
        </is>
      </c>
      <c r="B457" s="1" t="n">
        <v>44447</v>
      </c>
      <c r="C457" s="1" t="n">
        <v>45658</v>
      </c>
      <c r="D457" t="inlineStr">
        <is>
          <t>VÄSTERBOTTENS LÄN</t>
        </is>
      </c>
      <c r="E457" t="inlineStr">
        <is>
          <t>VILHELMINA</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48754-2021</t>
        </is>
      </c>
      <c r="B458" s="1" t="n">
        <v>44452</v>
      </c>
      <c r="C458" s="1" t="n">
        <v>45658</v>
      </c>
      <c r="D458" t="inlineStr">
        <is>
          <t>VÄSTERBOTTENS LÄN</t>
        </is>
      </c>
      <c r="E458" t="inlineStr">
        <is>
          <t>VILHELMINA</t>
        </is>
      </c>
      <c r="G458" t="n">
        <v>5.6</v>
      </c>
      <c r="H458" t="n">
        <v>0</v>
      </c>
      <c r="I458" t="n">
        <v>0</v>
      </c>
      <c r="J458" t="n">
        <v>0</v>
      </c>
      <c r="K458" t="n">
        <v>0</v>
      </c>
      <c r="L458" t="n">
        <v>0</v>
      </c>
      <c r="M458" t="n">
        <v>0</v>
      </c>
      <c r="N458" t="n">
        <v>0</v>
      </c>
      <c r="O458" t="n">
        <v>0</v>
      </c>
      <c r="P458" t="n">
        <v>0</v>
      </c>
      <c r="Q458" t="n">
        <v>0</v>
      </c>
      <c r="R458" s="2" t="inlineStr"/>
    </row>
    <row r="459" ht="15" customHeight="1">
      <c r="A459" t="inlineStr">
        <is>
          <t>A 48600-2021</t>
        </is>
      </c>
      <c r="B459" s="1" t="n">
        <v>44452</v>
      </c>
      <c r="C459" s="1" t="n">
        <v>45658</v>
      </c>
      <c r="D459" t="inlineStr">
        <is>
          <t>VÄSTERBOTTENS LÄN</t>
        </is>
      </c>
      <c r="E459" t="inlineStr">
        <is>
          <t>VILHELMINA</t>
        </is>
      </c>
      <c r="F459" t="inlineStr">
        <is>
          <t>Allmännings- och besparingsskogar</t>
        </is>
      </c>
      <c r="G459" t="n">
        <v>48.6</v>
      </c>
      <c r="H459" t="n">
        <v>0</v>
      </c>
      <c r="I459" t="n">
        <v>0</v>
      </c>
      <c r="J459" t="n">
        <v>0</v>
      </c>
      <c r="K459" t="n">
        <v>0</v>
      </c>
      <c r="L459" t="n">
        <v>0</v>
      </c>
      <c r="M459" t="n">
        <v>0</v>
      </c>
      <c r="N459" t="n">
        <v>0</v>
      </c>
      <c r="O459" t="n">
        <v>0</v>
      </c>
      <c r="P459" t="n">
        <v>0</v>
      </c>
      <c r="Q459" t="n">
        <v>0</v>
      </c>
      <c r="R459" s="2" t="inlineStr"/>
    </row>
    <row r="460" ht="15" customHeight="1">
      <c r="A460" t="inlineStr">
        <is>
          <t>A 48756-2021</t>
        </is>
      </c>
      <c r="B460" s="1" t="n">
        <v>44452</v>
      </c>
      <c r="C460" s="1" t="n">
        <v>45658</v>
      </c>
      <c r="D460" t="inlineStr">
        <is>
          <t>VÄSTERBOTTENS LÄN</t>
        </is>
      </c>
      <c r="E460" t="inlineStr">
        <is>
          <t>VILHELMINA</t>
        </is>
      </c>
      <c r="G460" t="n">
        <v>13.3</v>
      </c>
      <c r="H460" t="n">
        <v>0</v>
      </c>
      <c r="I460" t="n">
        <v>0</v>
      </c>
      <c r="J460" t="n">
        <v>0</v>
      </c>
      <c r="K460" t="n">
        <v>0</v>
      </c>
      <c r="L460" t="n">
        <v>0</v>
      </c>
      <c r="M460" t="n">
        <v>0</v>
      </c>
      <c r="N460" t="n">
        <v>0</v>
      </c>
      <c r="O460" t="n">
        <v>0</v>
      </c>
      <c r="P460" t="n">
        <v>0</v>
      </c>
      <c r="Q460" t="n">
        <v>0</v>
      </c>
      <c r="R460" s="2" t="inlineStr"/>
    </row>
    <row r="461" ht="15" customHeight="1">
      <c r="A461" t="inlineStr">
        <is>
          <t>A 48783-2021</t>
        </is>
      </c>
      <c r="B461" s="1" t="n">
        <v>44452</v>
      </c>
      <c r="C461" s="1" t="n">
        <v>45658</v>
      </c>
      <c r="D461" t="inlineStr">
        <is>
          <t>VÄSTERBOTTENS LÄN</t>
        </is>
      </c>
      <c r="E461" t="inlineStr">
        <is>
          <t>VILHELMINA</t>
        </is>
      </c>
      <c r="F461" t="inlineStr">
        <is>
          <t>Allmännings- och besparingsskogar</t>
        </is>
      </c>
      <c r="G461" t="n">
        <v>9.5</v>
      </c>
      <c r="H461" t="n">
        <v>0</v>
      </c>
      <c r="I461" t="n">
        <v>0</v>
      </c>
      <c r="J461" t="n">
        <v>0</v>
      </c>
      <c r="K461" t="n">
        <v>0</v>
      </c>
      <c r="L461" t="n">
        <v>0</v>
      </c>
      <c r="M461" t="n">
        <v>0</v>
      </c>
      <c r="N461" t="n">
        <v>0</v>
      </c>
      <c r="O461" t="n">
        <v>0</v>
      </c>
      <c r="P461" t="n">
        <v>0</v>
      </c>
      <c r="Q461" t="n">
        <v>0</v>
      </c>
      <c r="R461" s="2" t="inlineStr"/>
    </row>
    <row r="462" ht="15" customHeight="1">
      <c r="A462" t="inlineStr">
        <is>
          <t>A 48574-2021</t>
        </is>
      </c>
      <c r="B462" s="1" t="n">
        <v>44452</v>
      </c>
      <c r="C462" s="1" t="n">
        <v>45658</v>
      </c>
      <c r="D462" t="inlineStr">
        <is>
          <t>VÄSTERBOTTENS LÄN</t>
        </is>
      </c>
      <c r="E462" t="inlineStr">
        <is>
          <t>VILHELMINA</t>
        </is>
      </c>
      <c r="F462" t="inlineStr">
        <is>
          <t>Allmännings- och besparingsskogar</t>
        </is>
      </c>
      <c r="G462" t="n">
        <v>85.09999999999999</v>
      </c>
      <c r="H462" t="n">
        <v>0</v>
      </c>
      <c r="I462" t="n">
        <v>0</v>
      </c>
      <c r="J462" t="n">
        <v>0</v>
      </c>
      <c r="K462" t="n">
        <v>0</v>
      </c>
      <c r="L462" t="n">
        <v>0</v>
      </c>
      <c r="M462" t="n">
        <v>0</v>
      </c>
      <c r="N462" t="n">
        <v>0</v>
      </c>
      <c r="O462" t="n">
        <v>0</v>
      </c>
      <c r="P462" t="n">
        <v>0</v>
      </c>
      <c r="Q462" t="n">
        <v>0</v>
      </c>
      <c r="R462" s="2" t="inlineStr"/>
    </row>
    <row r="463" ht="15" customHeight="1">
      <c r="A463" t="inlineStr">
        <is>
          <t>A 49063-2021</t>
        </is>
      </c>
      <c r="B463" s="1" t="n">
        <v>44453</v>
      </c>
      <c r="C463" s="1" t="n">
        <v>45658</v>
      </c>
      <c r="D463" t="inlineStr">
        <is>
          <t>VÄSTERBOTTENS LÄN</t>
        </is>
      </c>
      <c r="E463" t="inlineStr">
        <is>
          <t>VILHELMINA</t>
        </is>
      </c>
      <c r="F463" t="inlineStr">
        <is>
          <t>Övriga statliga verk och myndigheter</t>
        </is>
      </c>
      <c r="G463" t="n">
        <v>42.7</v>
      </c>
      <c r="H463" t="n">
        <v>0</v>
      </c>
      <c r="I463" t="n">
        <v>0</v>
      </c>
      <c r="J463" t="n">
        <v>0</v>
      </c>
      <c r="K463" t="n">
        <v>0</v>
      </c>
      <c r="L463" t="n">
        <v>0</v>
      </c>
      <c r="M463" t="n">
        <v>0</v>
      </c>
      <c r="N463" t="n">
        <v>0</v>
      </c>
      <c r="O463" t="n">
        <v>0</v>
      </c>
      <c r="P463" t="n">
        <v>0</v>
      </c>
      <c r="Q463" t="n">
        <v>0</v>
      </c>
      <c r="R463" s="2" t="inlineStr"/>
    </row>
    <row r="464" ht="15" customHeight="1">
      <c r="A464" t="inlineStr">
        <is>
          <t>A 50635-2021</t>
        </is>
      </c>
      <c r="B464" s="1" t="n">
        <v>44459</v>
      </c>
      <c r="C464" s="1" t="n">
        <v>45658</v>
      </c>
      <c r="D464" t="inlineStr">
        <is>
          <t>VÄSTERBOTTENS LÄN</t>
        </is>
      </c>
      <c r="E464" t="inlineStr">
        <is>
          <t>VILHELMINA</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51016-2021</t>
        </is>
      </c>
      <c r="B465" s="1" t="n">
        <v>44461</v>
      </c>
      <c r="C465" s="1" t="n">
        <v>45658</v>
      </c>
      <c r="D465" t="inlineStr">
        <is>
          <t>VÄSTERBOTTENS LÄN</t>
        </is>
      </c>
      <c r="E465" t="inlineStr">
        <is>
          <t>VILHELMINA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51018-2021</t>
        </is>
      </c>
      <c r="B466" s="1" t="n">
        <v>44461</v>
      </c>
      <c r="C466" s="1" t="n">
        <v>45658</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51935-2021</t>
        </is>
      </c>
      <c r="B467" s="1" t="n">
        <v>44462</v>
      </c>
      <c r="C467" s="1" t="n">
        <v>45658</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51933-2021</t>
        </is>
      </c>
      <c r="B468" s="1" t="n">
        <v>44463</v>
      </c>
      <c r="C468" s="1" t="n">
        <v>45658</v>
      </c>
      <c r="D468" t="inlineStr">
        <is>
          <t>VÄSTERBOTTENS LÄN</t>
        </is>
      </c>
      <c r="E468" t="inlineStr">
        <is>
          <t>VILHELMINA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53958-2021</t>
        </is>
      </c>
      <c r="B469" s="1" t="n">
        <v>44469</v>
      </c>
      <c r="C469" s="1" t="n">
        <v>45658</v>
      </c>
      <c r="D469" t="inlineStr">
        <is>
          <t>VÄSTERBOTTENS LÄN</t>
        </is>
      </c>
      <c r="E469" t="inlineStr">
        <is>
          <t>VILHELMINA</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53987-2021</t>
        </is>
      </c>
      <c r="B470" s="1" t="n">
        <v>44470</v>
      </c>
      <c r="C470" s="1" t="n">
        <v>45658</v>
      </c>
      <c r="D470" t="inlineStr">
        <is>
          <t>VÄSTERBOTTENS LÄN</t>
        </is>
      </c>
      <c r="E470" t="inlineStr">
        <is>
          <t>VILHELMINA</t>
        </is>
      </c>
      <c r="F470" t="inlineStr">
        <is>
          <t>Kommuner</t>
        </is>
      </c>
      <c r="G470" t="n">
        <v>10</v>
      </c>
      <c r="H470" t="n">
        <v>0</v>
      </c>
      <c r="I470" t="n">
        <v>0</v>
      </c>
      <c r="J470" t="n">
        <v>0</v>
      </c>
      <c r="K470" t="n">
        <v>0</v>
      </c>
      <c r="L470" t="n">
        <v>0</v>
      </c>
      <c r="M470" t="n">
        <v>0</v>
      </c>
      <c r="N470" t="n">
        <v>0</v>
      </c>
      <c r="O470" t="n">
        <v>0</v>
      </c>
      <c r="P470" t="n">
        <v>0</v>
      </c>
      <c r="Q470" t="n">
        <v>0</v>
      </c>
      <c r="R470" s="2" t="inlineStr"/>
    </row>
    <row r="471" ht="15" customHeight="1">
      <c r="A471" t="inlineStr">
        <is>
          <t>A 54765-2021</t>
        </is>
      </c>
      <c r="B471" s="1" t="n">
        <v>44473</v>
      </c>
      <c r="C471" s="1" t="n">
        <v>45658</v>
      </c>
      <c r="D471" t="inlineStr">
        <is>
          <t>VÄSTERBOTTENS LÄN</t>
        </is>
      </c>
      <c r="E471" t="inlineStr">
        <is>
          <t>VILHELMINA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55929-2021</t>
        </is>
      </c>
      <c r="B472" s="1" t="n">
        <v>44476</v>
      </c>
      <c r="C472" s="1" t="n">
        <v>45658</v>
      </c>
      <c r="D472" t="inlineStr">
        <is>
          <t>VÄSTERBOTTENS LÄN</t>
        </is>
      </c>
      <c r="E472" t="inlineStr">
        <is>
          <t>VILHELMINA</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55931-2021</t>
        </is>
      </c>
      <c r="B473" s="1" t="n">
        <v>44476</v>
      </c>
      <c r="C473" s="1" t="n">
        <v>45658</v>
      </c>
      <c r="D473" t="inlineStr">
        <is>
          <t>VÄSTERBOTTENS LÄN</t>
        </is>
      </c>
      <c r="E473" t="inlineStr">
        <is>
          <t>VILHELMINA</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56947-2021</t>
        </is>
      </c>
      <c r="B474" s="1" t="n">
        <v>44481</v>
      </c>
      <c r="C474" s="1" t="n">
        <v>45658</v>
      </c>
      <c r="D474" t="inlineStr">
        <is>
          <t>VÄSTERBOTTENS LÄN</t>
        </is>
      </c>
      <c r="E474" t="inlineStr">
        <is>
          <t>VILHELMINA</t>
        </is>
      </c>
      <c r="F474" t="inlineStr">
        <is>
          <t>Övriga statliga verk och myndigheter</t>
        </is>
      </c>
      <c r="G474" t="n">
        <v>22.3</v>
      </c>
      <c r="H474" t="n">
        <v>0</v>
      </c>
      <c r="I474" t="n">
        <v>0</v>
      </c>
      <c r="J474" t="n">
        <v>0</v>
      </c>
      <c r="K474" t="n">
        <v>0</v>
      </c>
      <c r="L474" t="n">
        <v>0</v>
      </c>
      <c r="M474" t="n">
        <v>0</v>
      </c>
      <c r="N474" t="n">
        <v>0</v>
      </c>
      <c r="O474" t="n">
        <v>0</v>
      </c>
      <c r="P474" t="n">
        <v>0</v>
      </c>
      <c r="Q474" t="n">
        <v>0</v>
      </c>
      <c r="R474" s="2" t="inlineStr"/>
    </row>
    <row r="475" ht="15" customHeight="1">
      <c r="A475" t="inlineStr">
        <is>
          <t>A 57086-2021</t>
        </is>
      </c>
      <c r="B475" s="1" t="n">
        <v>44482</v>
      </c>
      <c r="C475" s="1" t="n">
        <v>45658</v>
      </c>
      <c r="D475" t="inlineStr">
        <is>
          <t>VÄSTERBOTTENS LÄN</t>
        </is>
      </c>
      <c r="E475" t="inlineStr">
        <is>
          <t>VILHELMINA</t>
        </is>
      </c>
      <c r="G475" t="n">
        <v>1.5</v>
      </c>
      <c r="H475" t="n">
        <v>0</v>
      </c>
      <c r="I475" t="n">
        <v>0</v>
      </c>
      <c r="J475" t="n">
        <v>0</v>
      </c>
      <c r="K475" t="n">
        <v>0</v>
      </c>
      <c r="L475" t="n">
        <v>0</v>
      </c>
      <c r="M475" t="n">
        <v>0</v>
      </c>
      <c r="N475" t="n">
        <v>0</v>
      </c>
      <c r="O475" t="n">
        <v>0</v>
      </c>
      <c r="P475" t="n">
        <v>0</v>
      </c>
      <c r="Q475" t="n">
        <v>0</v>
      </c>
      <c r="R475" s="2" t="inlineStr"/>
    </row>
    <row r="476" ht="15" customHeight="1">
      <c r="A476" t="inlineStr">
        <is>
          <t>A 57167-2021</t>
        </is>
      </c>
      <c r="B476" s="1" t="n">
        <v>44482</v>
      </c>
      <c r="C476" s="1" t="n">
        <v>45658</v>
      </c>
      <c r="D476" t="inlineStr">
        <is>
          <t>VÄSTERBOTTENS LÄN</t>
        </is>
      </c>
      <c r="E476" t="inlineStr">
        <is>
          <t>VILHELMINA</t>
        </is>
      </c>
      <c r="F476" t="inlineStr">
        <is>
          <t>Kommuner</t>
        </is>
      </c>
      <c r="G476" t="n">
        <v>4.9</v>
      </c>
      <c r="H476" t="n">
        <v>0</v>
      </c>
      <c r="I476" t="n">
        <v>0</v>
      </c>
      <c r="J476" t="n">
        <v>0</v>
      </c>
      <c r="K476" t="n">
        <v>0</v>
      </c>
      <c r="L476" t="n">
        <v>0</v>
      </c>
      <c r="M476" t="n">
        <v>0</v>
      </c>
      <c r="N476" t="n">
        <v>0</v>
      </c>
      <c r="O476" t="n">
        <v>0</v>
      </c>
      <c r="P476" t="n">
        <v>0</v>
      </c>
      <c r="Q476" t="n">
        <v>0</v>
      </c>
      <c r="R476" s="2" t="inlineStr"/>
    </row>
    <row r="477" ht="15" customHeight="1">
      <c r="A477" t="inlineStr">
        <is>
          <t>A 57166-2021</t>
        </is>
      </c>
      <c r="B477" s="1" t="n">
        <v>44482</v>
      </c>
      <c r="C477" s="1" t="n">
        <v>45658</v>
      </c>
      <c r="D477" t="inlineStr">
        <is>
          <t>VÄSTERBOTTENS LÄN</t>
        </is>
      </c>
      <c r="E477" t="inlineStr">
        <is>
          <t>VILHELMINA</t>
        </is>
      </c>
      <c r="F477" t="inlineStr">
        <is>
          <t>Kommuner</t>
        </is>
      </c>
      <c r="G477" t="n">
        <v>2.6</v>
      </c>
      <c r="H477" t="n">
        <v>0</v>
      </c>
      <c r="I477" t="n">
        <v>0</v>
      </c>
      <c r="J477" t="n">
        <v>0</v>
      </c>
      <c r="K477" t="n">
        <v>0</v>
      </c>
      <c r="L477" t="n">
        <v>0</v>
      </c>
      <c r="M477" t="n">
        <v>0</v>
      </c>
      <c r="N477" t="n">
        <v>0</v>
      </c>
      <c r="O477" t="n">
        <v>0</v>
      </c>
      <c r="P477" t="n">
        <v>0</v>
      </c>
      <c r="Q477" t="n">
        <v>0</v>
      </c>
      <c r="R477" s="2" t="inlineStr"/>
    </row>
    <row r="478" ht="15" customHeight="1">
      <c r="A478" t="inlineStr">
        <is>
          <t>A 57874-2021</t>
        </is>
      </c>
      <c r="B478" s="1" t="n">
        <v>44484</v>
      </c>
      <c r="C478" s="1" t="n">
        <v>45658</v>
      </c>
      <c r="D478" t="inlineStr">
        <is>
          <t>VÄSTERBOTTENS LÄN</t>
        </is>
      </c>
      <c r="E478" t="inlineStr">
        <is>
          <t>VILHELMINA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57875-2021</t>
        </is>
      </c>
      <c r="B479" s="1" t="n">
        <v>44485</v>
      </c>
      <c r="C479" s="1" t="n">
        <v>45658</v>
      </c>
      <c r="D479" t="inlineStr">
        <is>
          <t>VÄSTERBOTTENS LÄN</t>
        </is>
      </c>
      <c r="E479" t="inlineStr">
        <is>
          <t>VILHELMINA</t>
        </is>
      </c>
      <c r="F479" t="inlineStr">
        <is>
          <t>SCA</t>
        </is>
      </c>
      <c r="G479" t="n">
        <v>5.8</v>
      </c>
      <c r="H479" t="n">
        <v>0</v>
      </c>
      <c r="I479" t="n">
        <v>0</v>
      </c>
      <c r="J479" t="n">
        <v>0</v>
      </c>
      <c r="K479" t="n">
        <v>0</v>
      </c>
      <c r="L479" t="n">
        <v>0</v>
      </c>
      <c r="M479" t="n">
        <v>0</v>
      </c>
      <c r="N479" t="n">
        <v>0</v>
      </c>
      <c r="O479" t="n">
        <v>0</v>
      </c>
      <c r="P479" t="n">
        <v>0</v>
      </c>
      <c r="Q479" t="n">
        <v>0</v>
      </c>
      <c r="R479" s="2" t="inlineStr"/>
    </row>
    <row r="480" ht="15" customHeight="1">
      <c r="A480" t="inlineStr">
        <is>
          <t>A 58377-2021</t>
        </is>
      </c>
      <c r="B480" s="1" t="n">
        <v>44488</v>
      </c>
      <c r="C480" s="1" t="n">
        <v>45658</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58363-2021</t>
        </is>
      </c>
      <c r="B481" s="1" t="n">
        <v>44488</v>
      </c>
      <c r="C481" s="1" t="n">
        <v>45658</v>
      </c>
      <c r="D481" t="inlineStr">
        <is>
          <t>VÄSTERBOTTENS LÄN</t>
        </is>
      </c>
      <c r="E481" t="inlineStr">
        <is>
          <t>VILHELMINA</t>
        </is>
      </c>
      <c r="G481" t="n">
        <v>7.3</v>
      </c>
      <c r="H481" t="n">
        <v>0</v>
      </c>
      <c r="I481" t="n">
        <v>0</v>
      </c>
      <c r="J481" t="n">
        <v>0</v>
      </c>
      <c r="K481" t="n">
        <v>0</v>
      </c>
      <c r="L481" t="n">
        <v>0</v>
      </c>
      <c r="M481" t="n">
        <v>0</v>
      </c>
      <c r="N481" t="n">
        <v>0</v>
      </c>
      <c r="O481" t="n">
        <v>0</v>
      </c>
      <c r="P481" t="n">
        <v>0</v>
      </c>
      <c r="Q481" t="n">
        <v>0</v>
      </c>
      <c r="R481" s="2" t="inlineStr"/>
    </row>
    <row r="482" ht="15" customHeight="1">
      <c r="A482" t="inlineStr">
        <is>
          <t>A 58643-2021</t>
        </is>
      </c>
      <c r="B482" s="1" t="n">
        <v>44489</v>
      </c>
      <c r="C482" s="1" t="n">
        <v>45658</v>
      </c>
      <c r="D482" t="inlineStr">
        <is>
          <t>VÄSTERBOTTENS LÄN</t>
        </is>
      </c>
      <c r="E482" t="inlineStr">
        <is>
          <t>VILHELMINA</t>
        </is>
      </c>
      <c r="F482" t="inlineStr">
        <is>
          <t>Övriga Aktiebolag</t>
        </is>
      </c>
      <c r="G482" t="n">
        <v>30.4</v>
      </c>
      <c r="H482" t="n">
        <v>0</v>
      </c>
      <c r="I482" t="n">
        <v>0</v>
      </c>
      <c r="J482" t="n">
        <v>0</v>
      </c>
      <c r="K482" t="n">
        <v>0</v>
      </c>
      <c r="L482" t="n">
        <v>0</v>
      </c>
      <c r="M482" t="n">
        <v>0</v>
      </c>
      <c r="N482" t="n">
        <v>0</v>
      </c>
      <c r="O482" t="n">
        <v>0</v>
      </c>
      <c r="P482" t="n">
        <v>0</v>
      </c>
      <c r="Q482" t="n">
        <v>0</v>
      </c>
      <c r="R482" s="2" t="inlineStr"/>
    </row>
    <row r="483" ht="15" customHeight="1">
      <c r="A483" t="inlineStr">
        <is>
          <t>A 59172-2021</t>
        </is>
      </c>
      <c r="B483" s="1" t="n">
        <v>44490</v>
      </c>
      <c r="C483" s="1" t="n">
        <v>45658</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59330-2021</t>
        </is>
      </c>
      <c r="B484" s="1" t="n">
        <v>44491</v>
      </c>
      <c r="C484" s="1" t="n">
        <v>45658</v>
      </c>
      <c r="D484" t="inlineStr">
        <is>
          <t>VÄSTERBOTTENS LÄN</t>
        </is>
      </c>
      <c r="E484" t="inlineStr">
        <is>
          <t>VILHELMINA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60317-2021</t>
        </is>
      </c>
      <c r="B485" s="1" t="n">
        <v>44496</v>
      </c>
      <c r="C485" s="1" t="n">
        <v>45658</v>
      </c>
      <c r="D485" t="inlineStr">
        <is>
          <t>VÄSTERBOTTENS LÄN</t>
        </is>
      </c>
      <c r="E485" t="inlineStr">
        <is>
          <t>VILHELMINA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61640-2021</t>
        </is>
      </c>
      <c r="B486" s="1" t="n">
        <v>44498</v>
      </c>
      <c r="C486" s="1" t="n">
        <v>45658</v>
      </c>
      <c r="D486" t="inlineStr">
        <is>
          <t>VÄSTERBOTTENS LÄN</t>
        </is>
      </c>
      <c r="E486" t="inlineStr">
        <is>
          <t>VILHELMINA</t>
        </is>
      </c>
      <c r="F486" t="inlineStr">
        <is>
          <t>Övriga Aktiebolag</t>
        </is>
      </c>
      <c r="G486" t="n">
        <v>3.1</v>
      </c>
      <c r="H486" t="n">
        <v>0</v>
      </c>
      <c r="I486" t="n">
        <v>0</v>
      </c>
      <c r="J486" t="n">
        <v>0</v>
      </c>
      <c r="K486" t="n">
        <v>0</v>
      </c>
      <c r="L486" t="n">
        <v>0</v>
      </c>
      <c r="M486" t="n">
        <v>0</v>
      </c>
      <c r="N486" t="n">
        <v>0</v>
      </c>
      <c r="O486" t="n">
        <v>0</v>
      </c>
      <c r="P486" t="n">
        <v>0</v>
      </c>
      <c r="Q486" t="n">
        <v>0</v>
      </c>
      <c r="R486" s="2" t="inlineStr"/>
    </row>
    <row r="487" ht="15" customHeight="1">
      <c r="A487" t="inlineStr">
        <is>
          <t>A 61475-2021</t>
        </is>
      </c>
      <c r="B487" s="1" t="n">
        <v>44500</v>
      </c>
      <c r="C487" s="1" t="n">
        <v>45658</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61853-2021</t>
        </is>
      </c>
      <c r="B488" s="1" t="n">
        <v>44501</v>
      </c>
      <c r="C488" s="1" t="n">
        <v>45658</v>
      </c>
      <c r="D488" t="inlineStr">
        <is>
          <t>VÄSTERBOTTENS LÄN</t>
        </is>
      </c>
      <c r="E488" t="inlineStr">
        <is>
          <t>VILHELMINA</t>
        </is>
      </c>
      <c r="F488" t="inlineStr">
        <is>
          <t>SCA</t>
        </is>
      </c>
      <c r="G488" t="n">
        <v>24.8</v>
      </c>
      <c r="H488" t="n">
        <v>0</v>
      </c>
      <c r="I488" t="n">
        <v>0</v>
      </c>
      <c r="J488" t="n">
        <v>0</v>
      </c>
      <c r="K488" t="n">
        <v>0</v>
      </c>
      <c r="L488" t="n">
        <v>0</v>
      </c>
      <c r="M488" t="n">
        <v>0</v>
      </c>
      <c r="N488" t="n">
        <v>0</v>
      </c>
      <c r="O488" t="n">
        <v>0</v>
      </c>
      <c r="P488" t="n">
        <v>0</v>
      </c>
      <c r="Q488" t="n">
        <v>0</v>
      </c>
      <c r="R488" s="2" t="inlineStr"/>
    </row>
    <row r="489" ht="15" customHeight="1">
      <c r="A489" t="inlineStr">
        <is>
          <t>A 62362-2021</t>
        </is>
      </c>
      <c r="B489" s="1" t="n">
        <v>44502</v>
      </c>
      <c r="C489" s="1" t="n">
        <v>45658</v>
      </c>
      <c r="D489" t="inlineStr">
        <is>
          <t>VÄSTERBOTTENS LÄN</t>
        </is>
      </c>
      <c r="E489" t="inlineStr">
        <is>
          <t>VILHELMINA</t>
        </is>
      </c>
      <c r="G489" t="n">
        <v>8.1</v>
      </c>
      <c r="H489" t="n">
        <v>0</v>
      </c>
      <c r="I489" t="n">
        <v>0</v>
      </c>
      <c r="J489" t="n">
        <v>0</v>
      </c>
      <c r="K489" t="n">
        <v>0</v>
      </c>
      <c r="L489" t="n">
        <v>0</v>
      </c>
      <c r="M489" t="n">
        <v>0</v>
      </c>
      <c r="N489" t="n">
        <v>0</v>
      </c>
      <c r="O489" t="n">
        <v>0</v>
      </c>
      <c r="P489" t="n">
        <v>0</v>
      </c>
      <c r="Q489" t="n">
        <v>0</v>
      </c>
      <c r="R489" s="2" t="inlineStr"/>
    </row>
    <row r="490" ht="15" customHeight="1">
      <c r="A490" t="inlineStr">
        <is>
          <t>A 62658-2021</t>
        </is>
      </c>
      <c r="B490" s="1" t="n">
        <v>44503</v>
      </c>
      <c r="C490" s="1" t="n">
        <v>45658</v>
      </c>
      <c r="D490" t="inlineStr">
        <is>
          <t>VÄSTERBOTTENS LÄN</t>
        </is>
      </c>
      <c r="E490" t="inlineStr">
        <is>
          <t>VILHELMINA</t>
        </is>
      </c>
      <c r="F490" t="inlineStr">
        <is>
          <t>SCA</t>
        </is>
      </c>
      <c r="G490" t="n">
        <v>13.4</v>
      </c>
      <c r="H490" t="n">
        <v>0</v>
      </c>
      <c r="I490" t="n">
        <v>0</v>
      </c>
      <c r="J490" t="n">
        <v>0</v>
      </c>
      <c r="K490" t="n">
        <v>0</v>
      </c>
      <c r="L490" t="n">
        <v>0</v>
      </c>
      <c r="M490" t="n">
        <v>0</v>
      </c>
      <c r="N490" t="n">
        <v>0</v>
      </c>
      <c r="O490" t="n">
        <v>0</v>
      </c>
      <c r="P490" t="n">
        <v>0</v>
      </c>
      <c r="Q490" t="n">
        <v>0</v>
      </c>
      <c r="R490" s="2" t="inlineStr"/>
    </row>
    <row r="491" ht="15" customHeight="1">
      <c r="A491" t="inlineStr">
        <is>
          <t>A 63218-2021</t>
        </is>
      </c>
      <c r="B491" s="1" t="n">
        <v>44505</v>
      </c>
      <c r="C491" s="1" t="n">
        <v>45658</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65033-2021</t>
        </is>
      </c>
      <c r="B492" s="1" t="n">
        <v>44511</v>
      </c>
      <c r="C492" s="1" t="n">
        <v>45658</v>
      </c>
      <c r="D492" t="inlineStr">
        <is>
          <t>VÄSTERBOTTENS LÄN</t>
        </is>
      </c>
      <c r="E492" t="inlineStr">
        <is>
          <t>VILHELMINA</t>
        </is>
      </c>
      <c r="G492" t="n">
        <v>1</v>
      </c>
      <c r="H492" t="n">
        <v>0</v>
      </c>
      <c r="I492" t="n">
        <v>0</v>
      </c>
      <c r="J492" t="n">
        <v>0</v>
      </c>
      <c r="K492" t="n">
        <v>0</v>
      </c>
      <c r="L492" t="n">
        <v>0</v>
      </c>
      <c r="M492" t="n">
        <v>0</v>
      </c>
      <c r="N492" t="n">
        <v>0</v>
      </c>
      <c r="O492" t="n">
        <v>0</v>
      </c>
      <c r="P492" t="n">
        <v>0</v>
      </c>
      <c r="Q492" t="n">
        <v>0</v>
      </c>
      <c r="R492" s="2" t="inlineStr"/>
    </row>
    <row r="493" ht="15" customHeight="1">
      <c r="A493" t="inlineStr">
        <is>
          <t>A 65146-2021</t>
        </is>
      </c>
      <c r="B493" s="1" t="n">
        <v>44515</v>
      </c>
      <c r="C493" s="1" t="n">
        <v>45658</v>
      </c>
      <c r="D493" t="inlineStr">
        <is>
          <t>VÄSTERBOTTENS LÄN</t>
        </is>
      </c>
      <c r="E493" t="inlineStr">
        <is>
          <t>VILHELMINA</t>
        </is>
      </c>
      <c r="G493" t="n">
        <v>7.4</v>
      </c>
      <c r="H493" t="n">
        <v>0</v>
      </c>
      <c r="I493" t="n">
        <v>0</v>
      </c>
      <c r="J493" t="n">
        <v>0</v>
      </c>
      <c r="K493" t="n">
        <v>0</v>
      </c>
      <c r="L493" t="n">
        <v>0</v>
      </c>
      <c r="M493" t="n">
        <v>0</v>
      </c>
      <c r="N493" t="n">
        <v>0</v>
      </c>
      <c r="O493" t="n">
        <v>0</v>
      </c>
      <c r="P493" t="n">
        <v>0</v>
      </c>
      <c r="Q493" t="n">
        <v>0</v>
      </c>
      <c r="R493" s="2" t="inlineStr"/>
    </row>
    <row r="494" ht="15" customHeight="1">
      <c r="A494" t="inlineStr">
        <is>
          <t>A 65133-2021</t>
        </is>
      </c>
      <c r="B494" s="1" t="n">
        <v>44515</v>
      </c>
      <c r="C494" s="1" t="n">
        <v>45658</v>
      </c>
      <c r="D494" t="inlineStr">
        <is>
          <t>VÄSTERBOTTENS LÄN</t>
        </is>
      </c>
      <c r="E494" t="inlineStr">
        <is>
          <t>VILHELMINA</t>
        </is>
      </c>
      <c r="G494" t="n">
        <v>16.4</v>
      </c>
      <c r="H494" t="n">
        <v>0</v>
      </c>
      <c r="I494" t="n">
        <v>0</v>
      </c>
      <c r="J494" t="n">
        <v>0</v>
      </c>
      <c r="K494" t="n">
        <v>0</v>
      </c>
      <c r="L494" t="n">
        <v>0</v>
      </c>
      <c r="M494" t="n">
        <v>0</v>
      </c>
      <c r="N494" t="n">
        <v>0</v>
      </c>
      <c r="O494" t="n">
        <v>0</v>
      </c>
      <c r="P494" t="n">
        <v>0</v>
      </c>
      <c r="Q494" t="n">
        <v>0</v>
      </c>
      <c r="R494" s="2" t="inlineStr"/>
    </row>
    <row r="495" ht="15" customHeight="1">
      <c r="A495" t="inlineStr">
        <is>
          <t>A 65159-2021</t>
        </is>
      </c>
      <c r="B495" s="1" t="n">
        <v>44515</v>
      </c>
      <c r="C495" s="1" t="n">
        <v>45658</v>
      </c>
      <c r="D495" t="inlineStr">
        <is>
          <t>VÄSTERBOTTENS LÄN</t>
        </is>
      </c>
      <c r="E495" t="inlineStr">
        <is>
          <t>VILHELMINA</t>
        </is>
      </c>
      <c r="G495" t="n">
        <v>5</v>
      </c>
      <c r="H495" t="n">
        <v>0</v>
      </c>
      <c r="I495" t="n">
        <v>0</v>
      </c>
      <c r="J495" t="n">
        <v>0</v>
      </c>
      <c r="K495" t="n">
        <v>0</v>
      </c>
      <c r="L495" t="n">
        <v>0</v>
      </c>
      <c r="M495" t="n">
        <v>0</v>
      </c>
      <c r="N495" t="n">
        <v>0</v>
      </c>
      <c r="O495" t="n">
        <v>0</v>
      </c>
      <c r="P495" t="n">
        <v>0</v>
      </c>
      <c r="Q495" t="n">
        <v>0</v>
      </c>
      <c r="R495" s="2" t="inlineStr"/>
    </row>
    <row r="496" ht="15" customHeight="1">
      <c r="A496" t="inlineStr">
        <is>
          <t>A 65151-2021</t>
        </is>
      </c>
      <c r="B496" s="1" t="n">
        <v>44515</v>
      </c>
      <c r="C496" s="1" t="n">
        <v>45658</v>
      </c>
      <c r="D496" t="inlineStr">
        <is>
          <t>VÄSTERBOTTENS LÄN</t>
        </is>
      </c>
      <c r="E496" t="inlineStr">
        <is>
          <t>VILHELMINA</t>
        </is>
      </c>
      <c r="G496" t="n">
        <v>11.8</v>
      </c>
      <c r="H496" t="n">
        <v>0</v>
      </c>
      <c r="I496" t="n">
        <v>0</v>
      </c>
      <c r="J496" t="n">
        <v>0</v>
      </c>
      <c r="K496" t="n">
        <v>0</v>
      </c>
      <c r="L496" t="n">
        <v>0</v>
      </c>
      <c r="M496" t="n">
        <v>0</v>
      </c>
      <c r="N496" t="n">
        <v>0</v>
      </c>
      <c r="O496" t="n">
        <v>0</v>
      </c>
      <c r="P496" t="n">
        <v>0</v>
      </c>
      <c r="Q496" t="n">
        <v>0</v>
      </c>
      <c r="R496" s="2" t="inlineStr"/>
    </row>
    <row r="497" ht="15" customHeight="1">
      <c r="A497" t="inlineStr">
        <is>
          <t>A 65179-2021</t>
        </is>
      </c>
      <c r="B497" s="1" t="n">
        <v>44515</v>
      </c>
      <c r="C497" s="1" t="n">
        <v>45658</v>
      </c>
      <c r="D497" t="inlineStr">
        <is>
          <t>VÄSTERBOTTENS LÄN</t>
        </is>
      </c>
      <c r="E497" t="inlineStr">
        <is>
          <t>VILHELMINA</t>
        </is>
      </c>
      <c r="G497" t="n">
        <v>8</v>
      </c>
      <c r="H497" t="n">
        <v>0</v>
      </c>
      <c r="I497" t="n">
        <v>0</v>
      </c>
      <c r="J497" t="n">
        <v>0</v>
      </c>
      <c r="K497" t="n">
        <v>0</v>
      </c>
      <c r="L497" t="n">
        <v>0</v>
      </c>
      <c r="M497" t="n">
        <v>0</v>
      </c>
      <c r="N497" t="n">
        <v>0</v>
      </c>
      <c r="O497" t="n">
        <v>0</v>
      </c>
      <c r="P497" t="n">
        <v>0</v>
      </c>
      <c r="Q497" t="n">
        <v>0</v>
      </c>
      <c r="R497" s="2" t="inlineStr"/>
    </row>
    <row r="498" ht="15" customHeight="1">
      <c r="A498" t="inlineStr">
        <is>
          <t>A 66259-2021</t>
        </is>
      </c>
      <c r="B498" s="1" t="n">
        <v>44518</v>
      </c>
      <c r="C498" s="1" t="n">
        <v>45658</v>
      </c>
      <c r="D498" t="inlineStr">
        <is>
          <t>VÄSTERBOTTENS LÄN</t>
        </is>
      </c>
      <c r="E498" t="inlineStr">
        <is>
          <t>VILHELMINA</t>
        </is>
      </c>
      <c r="G498" t="n">
        <v>14.6</v>
      </c>
      <c r="H498" t="n">
        <v>0</v>
      </c>
      <c r="I498" t="n">
        <v>0</v>
      </c>
      <c r="J498" t="n">
        <v>0</v>
      </c>
      <c r="K498" t="n">
        <v>0</v>
      </c>
      <c r="L498" t="n">
        <v>0</v>
      </c>
      <c r="M498" t="n">
        <v>0</v>
      </c>
      <c r="N498" t="n">
        <v>0</v>
      </c>
      <c r="O498" t="n">
        <v>0</v>
      </c>
      <c r="P498" t="n">
        <v>0</v>
      </c>
      <c r="Q498" t="n">
        <v>0</v>
      </c>
      <c r="R498" s="2" t="inlineStr"/>
    </row>
    <row r="499" ht="15" customHeight="1">
      <c r="A499" t="inlineStr">
        <is>
          <t>A 66458-2021</t>
        </is>
      </c>
      <c r="B499" s="1" t="n">
        <v>44518</v>
      </c>
      <c r="C499" s="1" t="n">
        <v>45658</v>
      </c>
      <c r="D499" t="inlineStr">
        <is>
          <t>VÄSTERBOTTENS LÄN</t>
        </is>
      </c>
      <c r="E499" t="inlineStr">
        <is>
          <t>VILHELMINA</t>
        </is>
      </c>
      <c r="G499" t="n">
        <v>3.7</v>
      </c>
      <c r="H499" t="n">
        <v>0</v>
      </c>
      <c r="I499" t="n">
        <v>0</v>
      </c>
      <c r="J499" t="n">
        <v>0</v>
      </c>
      <c r="K499" t="n">
        <v>0</v>
      </c>
      <c r="L499" t="n">
        <v>0</v>
      </c>
      <c r="M499" t="n">
        <v>0</v>
      </c>
      <c r="N499" t="n">
        <v>0</v>
      </c>
      <c r="O499" t="n">
        <v>0</v>
      </c>
      <c r="P499" t="n">
        <v>0</v>
      </c>
      <c r="Q499" t="n">
        <v>0</v>
      </c>
      <c r="R499" s="2" t="inlineStr"/>
    </row>
    <row r="500" ht="15" customHeight="1">
      <c r="A500" t="inlineStr">
        <is>
          <t>A 66917-2021</t>
        </is>
      </c>
      <c r="B500" s="1" t="n">
        <v>44522</v>
      </c>
      <c r="C500" s="1" t="n">
        <v>45658</v>
      </c>
      <c r="D500" t="inlineStr">
        <is>
          <t>VÄSTERBOTTENS LÄN</t>
        </is>
      </c>
      <c r="E500" t="inlineStr">
        <is>
          <t>VILHELMINA</t>
        </is>
      </c>
      <c r="F500" t="inlineStr">
        <is>
          <t>Allmännings- och besparingsskogar</t>
        </is>
      </c>
      <c r="G500" t="n">
        <v>11.7</v>
      </c>
      <c r="H500" t="n">
        <v>0</v>
      </c>
      <c r="I500" t="n">
        <v>0</v>
      </c>
      <c r="J500" t="n">
        <v>0</v>
      </c>
      <c r="K500" t="n">
        <v>0</v>
      </c>
      <c r="L500" t="n">
        <v>0</v>
      </c>
      <c r="M500" t="n">
        <v>0</v>
      </c>
      <c r="N500" t="n">
        <v>0</v>
      </c>
      <c r="O500" t="n">
        <v>0</v>
      </c>
      <c r="P500" t="n">
        <v>0</v>
      </c>
      <c r="Q500" t="n">
        <v>0</v>
      </c>
      <c r="R500" s="2" t="inlineStr"/>
    </row>
    <row r="501" ht="15" customHeight="1">
      <c r="A501" t="inlineStr">
        <is>
          <t>A 66952-2021</t>
        </is>
      </c>
      <c r="B501" s="1" t="n">
        <v>44522</v>
      </c>
      <c r="C501" s="1" t="n">
        <v>45658</v>
      </c>
      <c r="D501" t="inlineStr">
        <is>
          <t>VÄSTERBOTTENS LÄN</t>
        </is>
      </c>
      <c r="E501" t="inlineStr">
        <is>
          <t>VILHELMINA</t>
        </is>
      </c>
      <c r="F501" t="inlineStr">
        <is>
          <t>Allmännings- och besparingsskogar</t>
        </is>
      </c>
      <c r="G501" t="n">
        <v>70</v>
      </c>
      <c r="H501" t="n">
        <v>0</v>
      </c>
      <c r="I501" t="n">
        <v>0</v>
      </c>
      <c r="J501" t="n">
        <v>0</v>
      </c>
      <c r="K501" t="n">
        <v>0</v>
      </c>
      <c r="L501" t="n">
        <v>0</v>
      </c>
      <c r="M501" t="n">
        <v>0</v>
      </c>
      <c r="N501" t="n">
        <v>0</v>
      </c>
      <c r="O501" t="n">
        <v>0</v>
      </c>
      <c r="P501" t="n">
        <v>0</v>
      </c>
      <c r="Q501" t="n">
        <v>0</v>
      </c>
      <c r="R501" s="2" t="inlineStr"/>
    </row>
    <row r="502" ht="15" customHeight="1">
      <c r="A502" t="inlineStr">
        <is>
          <t>A 68037-2021</t>
        </is>
      </c>
      <c r="B502" s="1" t="n">
        <v>44525</v>
      </c>
      <c r="C502" s="1" t="n">
        <v>45658</v>
      </c>
      <c r="D502" t="inlineStr">
        <is>
          <t>VÄSTERBOTTENS LÄN</t>
        </is>
      </c>
      <c r="E502" t="inlineStr">
        <is>
          <t>VILHELMINA</t>
        </is>
      </c>
      <c r="G502" t="n">
        <v>2.1</v>
      </c>
      <c r="H502" t="n">
        <v>0</v>
      </c>
      <c r="I502" t="n">
        <v>0</v>
      </c>
      <c r="J502" t="n">
        <v>0</v>
      </c>
      <c r="K502" t="n">
        <v>0</v>
      </c>
      <c r="L502" t="n">
        <v>0</v>
      </c>
      <c r="M502" t="n">
        <v>0</v>
      </c>
      <c r="N502" t="n">
        <v>0</v>
      </c>
      <c r="O502" t="n">
        <v>0</v>
      </c>
      <c r="P502" t="n">
        <v>0</v>
      </c>
      <c r="Q502" t="n">
        <v>0</v>
      </c>
      <c r="R502" s="2" t="inlineStr"/>
    </row>
    <row r="503" ht="15" customHeight="1">
      <c r="A503" t="inlineStr">
        <is>
          <t>A 69362-2021</t>
        </is>
      </c>
      <c r="B503" s="1" t="n">
        <v>44531</v>
      </c>
      <c r="C503" s="1" t="n">
        <v>45658</v>
      </c>
      <c r="D503" t="inlineStr">
        <is>
          <t>VÄSTERBOTTENS LÄN</t>
        </is>
      </c>
      <c r="E503" t="inlineStr">
        <is>
          <t>VILHELMINA</t>
        </is>
      </c>
      <c r="F503" t="inlineStr">
        <is>
          <t>Sveaskog</t>
        </is>
      </c>
      <c r="G503" t="n">
        <v>5.8</v>
      </c>
      <c r="H503" t="n">
        <v>0</v>
      </c>
      <c r="I503" t="n">
        <v>0</v>
      </c>
      <c r="J503" t="n">
        <v>0</v>
      </c>
      <c r="K503" t="n">
        <v>0</v>
      </c>
      <c r="L503" t="n">
        <v>0</v>
      </c>
      <c r="M503" t="n">
        <v>0</v>
      </c>
      <c r="N503" t="n">
        <v>0</v>
      </c>
      <c r="O503" t="n">
        <v>0</v>
      </c>
      <c r="P503" t="n">
        <v>0</v>
      </c>
      <c r="Q503" t="n">
        <v>0</v>
      </c>
      <c r="R503" s="2" t="inlineStr"/>
    </row>
    <row r="504" ht="15" customHeight="1">
      <c r="A504" t="inlineStr">
        <is>
          <t>A 69366-2021</t>
        </is>
      </c>
      <c r="B504" s="1" t="n">
        <v>44531</v>
      </c>
      <c r="C504" s="1" t="n">
        <v>45658</v>
      </c>
      <c r="D504" t="inlineStr">
        <is>
          <t>VÄSTERBOTTENS LÄN</t>
        </is>
      </c>
      <c r="E504" t="inlineStr">
        <is>
          <t>VILHELMINA</t>
        </is>
      </c>
      <c r="G504" t="n">
        <v>1.2</v>
      </c>
      <c r="H504" t="n">
        <v>0</v>
      </c>
      <c r="I504" t="n">
        <v>0</v>
      </c>
      <c r="J504" t="n">
        <v>0</v>
      </c>
      <c r="K504" t="n">
        <v>0</v>
      </c>
      <c r="L504" t="n">
        <v>0</v>
      </c>
      <c r="M504" t="n">
        <v>0</v>
      </c>
      <c r="N504" t="n">
        <v>0</v>
      </c>
      <c r="O504" t="n">
        <v>0</v>
      </c>
      <c r="P504" t="n">
        <v>0</v>
      </c>
      <c r="Q504" t="n">
        <v>0</v>
      </c>
      <c r="R504" s="2" t="inlineStr"/>
    </row>
    <row r="505" ht="15" customHeight="1">
      <c r="A505" t="inlineStr">
        <is>
          <t>A 69848-2021</t>
        </is>
      </c>
      <c r="B505" s="1" t="n">
        <v>44532</v>
      </c>
      <c r="C505" s="1" t="n">
        <v>45658</v>
      </c>
      <c r="D505" t="inlineStr">
        <is>
          <t>VÄSTERBOTTENS LÄN</t>
        </is>
      </c>
      <c r="E505" t="inlineStr">
        <is>
          <t>VILHELMINA</t>
        </is>
      </c>
      <c r="G505" t="n">
        <v>2.5</v>
      </c>
      <c r="H505" t="n">
        <v>0</v>
      </c>
      <c r="I505" t="n">
        <v>0</v>
      </c>
      <c r="J505" t="n">
        <v>0</v>
      </c>
      <c r="K505" t="n">
        <v>0</v>
      </c>
      <c r="L505" t="n">
        <v>0</v>
      </c>
      <c r="M505" t="n">
        <v>0</v>
      </c>
      <c r="N505" t="n">
        <v>0</v>
      </c>
      <c r="O505" t="n">
        <v>0</v>
      </c>
      <c r="P505" t="n">
        <v>0</v>
      </c>
      <c r="Q505" t="n">
        <v>0</v>
      </c>
      <c r="R505" s="2" t="inlineStr"/>
    </row>
    <row r="506" ht="15" customHeight="1">
      <c r="A506" t="inlineStr">
        <is>
          <t>A 70849-2021</t>
        </is>
      </c>
      <c r="B506" s="1" t="n">
        <v>44532</v>
      </c>
      <c r="C506" s="1" t="n">
        <v>45658</v>
      </c>
      <c r="D506" t="inlineStr">
        <is>
          <t>VÄSTERBOTTENS LÄN</t>
        </is>
      </c>
      <c r="E506" t="inlineStr">
        <is>
          <t>VILHELMINA</t>
        </is>
      </c>
      <c r="G506" t="n">
        <v>21.4</v>
      </c>
      <c r="H506" t="n">
        <v>0</v>
      </c>
      <c r="I506" t="n">
        <v>0</v>
      </c>
      <c r="J506" t="n">
        <v>0</v>
      </c>
      <c r="K506" t="n">
        <v>0</v>
      </c>
      <c r="L506" t="n">
        <v>0</v>
      </c>
      <c r="M506" t="n">
        <v>0</v>
      </c>
      <c r="N506" t="n">
        <v>0</v>
      </c>
      <c r="O506" t="n">
        <v>0</v>
      </c>
      <c r="P506" t="n">
        <v>0</v>
      </c>
      <c r="Q506" t="n">
        <v>0</v>
      </c>
      <c r="R506" s="2" t="inlineStr"/>
    </row>
    <row r="507" ht="15" customHeight="1">
      <c r="A507" t="inlineStr">
        <is>
          <t>A 69850-2021</t>
        </is>
      </c>
      <c r="B507" s="1" t="n">
        <v>44532</v>
      </c>
      <c r="C507" s="1" t="n">
        <v>45658</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70854-2021</t>
        </is>
      </c>
      <c r="B508" s="1" t="n">
        <v>44532</v>
      </c>
      <c r="C508" s="1" t="n">
        <v>45658</v>
      </c>
      <c r="D508" t="inlineStr">
        <is>
          <t>VÄSTERBOTTENS LÄN</t>
        </is>
      </c>
      <c r="E508" t="inlineStr">
        <is>
          <t>VILHELMINA</t>
        </is>
      </c>
      <c r="G508" t="n">
        <v>2.6</v>
      </c>
      <c r="H508" t="n">
        <v>0</v>
      </c>
      <c r="I508" t="n">
        <v>0</v>
      </c>
      <c r="J508" t="n">
        <v>0</v>
      </c>
      <c r="K508" t="n">
        <v>0</v>
      </c>
      <c r="L508" t="n">
        <v>0</v>
      </c>
      <c r="M508" t="n">
        <v>0</v>
      </c>
      <c r="N508" t="n">
        <v>0</v>
      </c>
      <c r="O508" t="n">
        <v>0</v>
      </c>
      <c r="P508" t="n">
        <v>0</v>
      </c>
      <c r="Q508" t="n">
        <v>0</v>
      </c>
      <c r="R508" s="2" t="inlineStr"/>
    </row>
    <row r="509" ht="15" customHeight="1">
      <c r="A509" t="inlineStr">
        <is>
          <t>A 70117-2021</t>
        </is>
      </c>
      <c r="B509" s="1" t="n">
        <v>44533</v>
      </c>
      <c r="C509" s="1" t="n">
        <v>45658</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70811-2021</t>
        </is>
      </c>
      <c r="B510" s="1" t="n">
        <v>44537</v>
      </c>
      <c r="C510" s="1" t="n">
        <v>45658</v>
      </c>
      <c r="D510" t="inlineStr">
        <is>
          <t>VÄSTERBOTTENS LÄN</t>
        </is>
      </c>
      <c r="E510" t="inlineStr">
        <is>
          <t>VILHELMINA</t>
        </is>
      </c>
      <c r="G510" t="n">
        <v>1.9</v>
      </c>
      <c r="H510" t="n">
        <v>0</v>
      </c>
      <c r="I510" t="n">
        <v>0</v>
      </c>
      <c r="J510" t="n">
        <v>0</v>
      </c>
      <c r="K510" t="n">
        <v>0</v>
      </c>
      <c r="L510" t="n">
        <v>0</v>
      </c>
      <c r="M510" t="n">
        <v>0</v>
      </c>
      <c r="N510" t="n">
        <v>0</v>
      </c>
      <c r="O510" t="n">
        <v>0</v>
      </c>
      <c r="P510" t="n">
        <v>0</v>
      </c>
      <c r="Q510" t="n">
        <v>0</v>
      </c>
      <c r="R510" s="2" t="inlineStr"/>
    </row>
    <row r="511" ht="15" customHeight="1">
      <c r="A511" t="inlineStr">
        <is>
          <t>A 72057-2021</t>
        </is>
      </c>
      <c r="B511" s="1" t="n">
        <v>44540</v>
      </c>
      <c r="C511" s="1" t="n">
        <v>45658</v>
      </c>
      <c r="D511" t="inlineStr">
        <is>
          <t>VÄSTERBOTTENS LÄN</t>
        </is>
      </c>
      <c r="E511" t="inlineStr">
        <is>
          <t>VILHELMINA</t>
        </is>
      </c>
      <c r="G511" t="n">
        <v>7</v>
      </c>
      <c r="H511" t="n">
        <v>0</v>
      </c>
      <c r="I511" t="n">
        <v>0</v>
      </c>
      <c r="J511" t="n">
        <v>0</v>
      </c>
      <c r="K511" t="n">
        <v>0</v>
      </c>
      <c r="L511" t="n">
        <v>0</v>
      </c>
      <c r="M511" t="n">
        <v>0</v>
      </c>
      <c r="N511" t="n">
        <v>0</v>
      </c>
      <c r="O511" t="n">
        <v>0</v>
      </c>
      <c r="P511" t="n">
        <v>0</v>
      </c>
      <c r="Q511" t="n">
        <v>0</v>
      </c>
      <c r="R511" s="2" t="inlineStr"/>
    </row>
    <row r="512" ht="15" customHeight="1">
      <c r="A512" t="inlineStr">
        <is>
          <t>A 72153-2021</t>
        </is>
      </c>
      <c r="B512" s="1" t="n">
        <v>44543</v>
      </c>
      <c r="C512" s="1" t="n">
        <v>45658</v>
      </c>
      <c r="D512" t="inlineStr">
        <is>
          <t>VÄSTERBOTTENS LÄN</t>
        </is>
      </c>
      <c r="E512" t="inlineStr">
        <is>
          <t>VILHELMINA</t>
        </is>
      </c>
      <c r="G512" t="n">
        <v>6.7</v>
      </c>
      <c r="H512" t="n">
        <v>0</v>
      </c>
      <c r="I512" t="n">
        <v>0</v>
      </c>
      <c r="J512" t="n">
        <v>0</v>
      </c>
      <c r="K512" t="n">
        <v>0</v>
      </c>
      <c r="L512" t="n">
        <v>0</v>
      </c>
      <c r="M512" t="n">
        <v>0</v>
      </c>
      <c r="N512" t="n">
        <v>0</v>
      </c>
      <c r="O512" t="n">
        <v>0</v>
      </c>
      <c r="P512" t="n">
        <v>0</v>
      </c>
      <c r="Q512" t="n">
        <v>0</v>
      </c>
      <c r="R512" s="2" t="inlineStr"/>
    </row>
    <row r="513" ht="15" customHeight="1">
      <c r="A513" t="inlineStr">
        <is>
          <t>A 72489-2021</t>
        </is>
      </c>
      <c r="B513" s="1" t="n">
        <v>44545</v>
      </c>
      <c r="C513" s="1" t="n">
        <v>45658</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72494-2021</t>
        </is>
      </c>
      <c r="B514" s="1" t="n">
        <v>44545</v>
      </c>
      <c r="C514" s="1" t="n">
        <v>45658</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72490-2021</t>
        </is>
      </c>
      <c r="B515" s="1" t="n">
        <v>44545</v>
      </c>
      <c r="C515" s="1" t="n">
        <v>45658</v>
      </c>
      <c r="D515" t="inlineStr">
        <is>
          <t>VÄSTERBOTTENS LÄN</t>
        </is>
      </c>
      <c r="E515" t="inlineStr">
        <is>
          <t>VILHELMINA</t>
        </is>
      </c>
      <c r="G515" t="n">
        <v>3.2</v>
      </c>
      <c r="H515" t="n">
        <v>0</v>
      </c>
      <c r="I515" t="n">
        <v>0</v>
      </c>
      <c r="J515" t="n">
        <v>0</v>
      </c>
      <c r="K515" t="n">
        <v>0</v>
      </c>
      <c r="L515" t="n">
        <v>0</v>
      </c>
      <c r="M515" t="n">
        <v>0</v>
      </c>
      <c r="N515" t="n">
        <v>0</v>
      </c>
      <c r="O515" t="n">
        <v>0</v>
      </c>
      <c r="P515" t="n">
        <v>0</v>
      </c>
      <c r="Q515" t="n">
        <v>0</v>
      </c>
      <c r="R515" s="2" t="inlineStr"/>
    </row>
    <row r="516" ht="15" customHeight="1">
      <c r="A516" t="inlineStr">
        <is>
          <t>A 72488-2021</t>
        </is>
      </c>
      <c r="B516" s="1" t="n">
        <v>44545</v>
      </c>
      <c r="C516" s="1" t="n">
        <v>45658</v>
      </c>
      <c r="D516" t="inlineStr">
        <is>
          <t>VÄSTERBOTTENS LÄN</t>
        </is>
      </c>
      <c r="E516" t="inlineStr">
        <is>
          <t>VILHELMINA</t>
        </is>
      </c>
      <c r="G516" t="n">
        <v>2</v>
      </c>
      <c r="H516" t="n">
        <v>0</v>
      </c>
      <c r="I516" t="n">
        <v>0</v>
      </c>
      <c r="J516" t="n">
        <v>0</v>
      </c>
      <c r="K516" t="n">
        <v>0</v>
      </c>
      <c r="L516" t="n">
        <v>0</v>
      </c>
      <c r="M516" t="n">
        <v>0</v>
      </c>
      <c r="N516" t="n">
        <v>0</v>
      </c>
      <c r="O516" t="n">
        <v>0</v>
      </c>
      <c r="P516" t="n">
        <v>0</v>
      </c>
      <c r="Q516" t="n">
        <v>0</v>
      </c>
      <c r="R516" s="2" t="inlineStr"/>
    </row>
    <row r="517" ht="15" customHeight="1">
      <c r="A517" t="inlineStr">
        <is>
          <t>A 72487-2021</t>
        </is>
      </c>
      <c r="B517" s="1" t="n">
        <v>44545</v>
      </c>
      <c r="C517" s="1" t="n">
        <v>45658</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72493-2021</t>
        </is>
      </c>
      <c r="B518" s="1" t="n">
        <v>44545</v>
      </c>
      <c r="C518" s="1" t="n">
        <v>45658</v>
      </c>
      <c r="D518" t="inlineStr">
        <is>
          <t>VÄSTERBOTTENS LÄN</t>
        </is>
      </c>
      <c r="E518" t="inlineStr">
        <is>
          <t>VILHELMINA</t>
        </is>
      </c>
      <c r="G518" t="n">
        <v>4.2</v>
      </c>
      <c r="H518" t="n">
        <v>0</v>
      </c>
      <c r="I518" t="n">
        <v>0</v>
      </c>
      <c r="J518" t="n">
        <v>0</v>
      </c>
      <c r="K518" t="n">
        <v>0</v>
      </c>
      <c r="L518" t="n">
        <v>0</v>
      </c>
      <c r="M518" t="n">
        <v>0</v>
      </c>
      <c r="N518" t="n">
        <v>0</v>
      </c>
      <c r="O518" t="n">
        <v>0</v>
      </c>
      <c r="P518" t="n">
        <v>0</v>
      </c>
      <c r="Q518" t="n">
        <v>0</v>
      </c>
      <c r="R518" s="2" t="inlineStr"/>
    </row>
    <row r="519" ht="15" customHeight="1">
      <c r="A519" t="inlineStr">
        <is>
          <t>A 210-2022</t>
        </is>
      </c>
      <c r="B519" s="1" t="n">
        <v>44564</v>
      </c>
      <c r="C519" s="1" t="n">
        <v>45658</v>
      </c>
      <c r="D519" t="inlineStr">
        <is>
          <t>VÄSTERBOTTENS LÄN</t>
        </is>
      </c>
      <c r="E519" t="inlineStr">
        <is>
          <t>VILHELMINA</t>
        </is>
      </c>
      <c r="G519" t="n">
        <v>2</v>
      </c>
      <c r="H519" t="n">
        <v>0</v>
      </c>
      <c r="I519" t="n">
        <v>0</v>
      </c>
      <c r="J519" t="n">
        <v>0</v>
      </c>
      <c r="K519" t="n">
        <v>0</v>
      </c>
      <c r="L519" t="n">
        <v>0</v>
      </c>
      <c r="M519" t="n">
        <v>0</v>
      </c>
      <c r="N519" t="n">
        <v>0</v>
      </c>
      <c r="O519" t="n">
        <v>0</v>
      </c>
      <c r="P519" t="n">
        <v>0</v>
      </c>
      <c r="Q519" t="n">
        <v>0</v>
      </c>
      <c r="R519" s="2" t="inlineStr"/>
    </row>
    <row r="520" ht="15" customHeight="1">
      <c r="A520" t="inlineStr">
        <is>
          <t>A 590-2022</t>
        </is>
      </c>
      <c r="B520" s="1" t="n">
        <v>44567</v>
      </c>
      <c r="C520" s="1" t="n">
        <v>45658</v>
      </c>
      <c r="D520" t="inlineStr">
        <is>
          <t>VÄSTERBOTTENS LÄN</t>
        </is>
      </c>
      <c r="E520" t="inlineStr">
        <is>
          <t>VILHELMINA</t>
        </is>
      </c>
      <c r="G520" t="n">
        <v>14.5</v>
      </c>
      <c r="H520" t="n">
        <v>0</v>
      </c>
      <c r="I520" t="n">
        <v>0</v>
      </c>
      <c r="J520" t="n">
        <v>0</v>
      </c>
      <c r="K520" t="n">
        <v>0</v>
      </c>
      <c r="L520" t="n">
        <v>0</v>
      </c>
      <c r="M520" t="n">
        <v>0</v>
      </c>
      <c r="N520" t="n">
        <v>0</v>
      </c>
      <c r="O520" t="n">
        <v>0</v>
      </c>
      <c r="P520" t="n">
        <v>0</v>
      </c>
      <c r="Q520" t="n">
        <v>0</v>
      </c>
      <c r="R520" s="2" t="inlineStr"/>
    </row>
    <row r="521" ht="15" customHeight="1">
      <c r="A521" t="inlineStr">
        <is>
          <t>A 664-2022</t>
        </is>
      </c>
      <c r="B521" s="1" t="n">
        <v>44568</v>
      </c>
      <c r="C521" s="1" t="n">
        <v>45658</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2340-2022</t>
        </is>
      </c>
      <c r="B522" s="1" t="n">
        <v>44578</v>
      </c>
      <c r="C522" s="1" t="n">
        <v>45658</v>
      </c>
      <c r="D522" t="inlineStr">
        <is>
          <t>VÄSTERBOTTENS LÄN</t>
        </is>
      </c>
      <c r="E522" t="inlineStr">
        <is>
          <t>VILHELMINA</t>
        </is>
      </c>
      <c r="G522" t="n">
        <v>0.9</v>
      </c>
      <c r="H522" t="n">
        <v>0</v>
      </c>
      <c r="I522" t="n">
        <v>0</v>
      </c>
      <c r="J522" t="n">
        <v>0</v>
      </c>
      <c r="K522" t="n">
        <v>0</v>
      </c>
      <c r="L522" t="n">
        <v>0</v>
      </c>
      <c r="M522" t="n">
        <v>0</v>
      </c>
      <c r="N522" t="n">
        <v>0</v>
      </c>
      <c r="O522" t="n">
        <v>0</v>
      </c>
      <c r="P522" t="n">
        <v>0</v>
      </c>
      <c r="Q522" t="n">
        <v>0</v>
      </c>
      <c r="R522" s="2" t="inlineStr"/>
    </row>
    <row r="523" ht="15" customHeight="1">
      <c r="A523" t="inlineStr">
        <is>
          <t>A 2341-2022</t>
        </is>
      </c>
      <c r="B523" s="1" t="n">
        <v>44578</v>
      </c>
      <c r="C523" s="1" t="n">
        <v>45658</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5285-2022</t>
        </is>
      </c>
      <c r="B524" s="1" t="n">
        <v>44594</v>
      </c>
      <c r="C524" s="1" t="n">
        <v>45658</v>
      </c>
      <c r="D524" t="inlineStr">
        <is>
          <t>VÄSTERBOTTENS LÄN</t>
        </is>
      </c>
      <c r="E524" t="inlineStr">
        <is>
          <t>VILHELMINA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7156-2022</t>
        </is>
      </c>
      <c r="B525" s="1" t="n">
        <v>44604</v>
      </c>
      <c r="C525" s="1" t="n">
        <v>45658</v>
      </c>
      <c r="D525" t="inlineStr">
        <is>
          <t>VÄSTERBOTTENS LÄN</t>
        </is>
      </c>
      <c r="E525" t="inlineStr">
        <is>
          <t>VILHELMINA</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8229-2022</t>
        </is>
      </c>
      <c r="B526" s="1" t="n">
        <v>44609</v>
      </c>
      <c r="C526" s="1" t="n">
        <v>45658</v>
      </c>
      <c r="D526" t="inlineStr">
        <is>
          <t>VÄSTERBOTTENS LÄN</t>
        </is>
      </c>
      <c r="E526" t="inlineStr">
        <is>
          <t>VILHELMINA</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8258-2022</t>
        </is>
      </c>
      <c r="B527" s="1" t="n">
        <v>44609</v>
      </c>
      <c r="C527" s="1" t="n">
        <v>45658</v>
      </c>
      <c r="D527" t="inlineStr">
        <is>
          <t>VÄSTERBOTTENS LÄN</t>
        </is>
      </c>
      <c r="E527" t="inlineStr">
        <is>
          <t>VILHELMINA</t>
        </is>
      </c>
      <c r="G527" t="n">
        <v>31.1</v>
      </c>
      <c r="H527" t="n">
        <v>0</v>
      </c>
      <c r="I527" t="n">
        <v>0</v>
      </c>
      <c r="J527" t="n">
        <v>0</v>
      </c>
      <c r="K527" t="n">
        <v>0</v>
      </c>
      <c r="L527" t="n">
        <v>0</v>
      </c>
      <c r="M527" t="n">
        <v>0</v>
      </c>
      <c r="N527" t="n">
        <v>0</v>
      </c>
      <c r="O527" t="n">
        <v>0</v>
      </c>
      <c r="P527" t="n">
        <v>0</v>
      </c>
      <c r="Q527" t="n">
        <v>0</v>
      </c>
      <c r="R527" s="2" t="inlineStr"/>
    </row>
    <row r="528" ht="15" customHeight="1">
      <c r="A528" t="inlineStr">
        <is>
          <t>A 8731-2022</t>
        </is>
      </c>
      <c r="B528" s="1" t="n">
        <v>44613</v>
      </c>
      <c r="C528" s="1" t="n">
        <v>45658</v>
      </c>
      <c r="D528" t="inlineStr">
        <is>
          <t>VÄSTERBOTTENS LÄN</t>
        </is>
      </c>
      <c r="E528" t="inlineStr">
        <is>
          <t>VILHELMINA</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8730-2022</t>
        </is>
      </c>
      <c r="B529" s="1" t="n">
        <v>44613</v>
      </c>
      <c r="C529" s="1" t="n">
        <v>45658</v>
      </c>
      <c r="D529" t="inlineStr">
        <is>
          <t>VÄSTERBOTTENS LÄN</t>
        </is>
      </c>
      <c r="E529" t="inlineStr">
        <is>
          <t>VILHELMINA</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9026-2022</t>
        </is>
      </c>
      <c r="B530" s="1" t="n">
        <v>44615</v>
      </c>
      <c r="C530" s="1" t="n">
        <v>45658</v>
      </c>
      <c r="D530" t="inlineStr">
        <is>
          <t>VÄSTERBOTTENS LÄN</t>
        </is>
      </c>
      <c r="E530" t="inlineStr">
        <is>
          <t>VILHELMINA</t>
        </is>
      </c>
      <c r="G530" t="n">
        <v>25.8</v>
      </c>
      <c r="H530" t="n">
        <v>0</v>
      </c>
      <c r="I530" t="n">
        <v>0</v>
      </c>
      <c r="J530" t="n">
        <v>0</v>
      </c>
      <c r="K530" t="n">
        <v>0</v>
      </c>
      <c r="L530" t="n">
        <v>0</v>
      </c>
      <c r="M530" t="n">
        <v>0</v>
      </c>
      <c r="N530" t="n">
        <v>0</v>
      </c>
      <c r="O530" t="n">
        <v>0</v>
      </c>
      <c r="P530" t="n">
        <v>0</v>
      </c>
      <c r="Q530" t="n">
        <v>0</v>
      </c>
      <c r="R530" s="2" t="inlineStr"/>
    </row>
    <row r="531" ht="15" customHeight="1">
      <c r="A531" t="inlineStr">
        <is>
          <t>A 9162-2022</t>
        </is>
      </c>
      <c r="B531" s="1" t="n">
        <v>44615</v>
      </c>
      <c r="C531" s="1" t="n">
        <v>45658</v>
      </c>
      <c r="D531" t="inlineStr">
        <is>
          <t>VÄSTERBOTTENS LÄN</t>
        </is>
      </c>
      <c r="E531" t="inlineStr">
        <is>
          <t>VILHELMINA</t>
        </is>
      </c>
      <c r="G531" t="n">
        <v>7.2</v>
      </c>
      <c r="H531" t="n">
        <v>0</v>
      </c>
      <c r="I531" t="n">
        <v>0</v>
      </c>
      <c r="J531" t="n">
        <v>0</v>
      </c>
      <c r="K531" t="n">
        <v>0</v>
      </c>
      <c r="L531" t="n">
        <v>0</v>
      </c>
      <c r="M531" t="n">
        <v>0</v>
      </c>
      <c r="N531" t="n">
        <v>0</v>
      </c>
      <c r="O531" t="n">
        <v>0</v>
      </c>
      <c r="P531" t="n">
        <v>0</v>
      </c>
      <c r="Q531" t="n">
        <v>0</v>
      </c>
      <c r="R531" s="2" t="inlineStr"/>
    </row>
    <row r="532" ht="15" customHeight="1">
      <c r="A532" t="inlineStr">
        <is>
          <t>A 9501-2022</t>
        </is>
      </c>
      <c r="B532" s="1" t="n">
        <v>44616</v>
      </c>
      <c r="C532" s="1" t="n">
        <v>45658</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9731-2022</t>
        </is>
      </c>
      <c r="B533" s="1" t="n">
        <v>44617</v>
      </c>
      <c r="C533" s="1" t="n">
        <v>45658</v>
      </c>
      <c r="D533" t="inlineStr">
        <is>
          <t>VÄSTERBOTTENS LÄN</t>
        </is>
      </c>
      <c r="E533" t="inlineStr">
        <is>
          <t>VILHELMINA</t>
        </is>
      </c>
      <c r="F533" t="inlineStr">
        <is>
          <t>SCA</t>
        </is>
      </c>
      <c r="G533" t="n">
        <v>15.9</v>
      </c>
      <c r="H533" t="n">
        <v>0</v>
      </c>
      <c r="I533" t="n">
        <v>0</v>
      </c>
      <c r="J533" t="n">
        <v>0</v>
      </c>
      <c r="K533" t="n">
        <v>0</v>
      </c>
      <c r="L533" t="n">
        <v>0</v>
      </c>
      <c r="M533" t="n">
        <v>0</v>
      </c>
      <c r="N533" t="n">
        <v>0</v>
      </c>
      <c r="O533" t="n">
        <v>0</v>
      </c>
      <c r="P533" t="n">
        <v>0</v>
      </c>
      <c r="Q533" t="n">
        <v>0</v>
      </c>
      <c r="R533" s="2" t="inlineStr"/>
    </row>
    <row r="534" ht="15" customHeight="1">
      <c r="A534" t="inlineStr">
        <is>
          <t>A 9735-2022</t>
        </is>
      </c>
      <c r="B534" s="1" t="n">
        <v>44617</v>
      </c>
      <c r="C534" s="1" t="n">
        <v>45658</v>
      </c>
      <c r="D534" t="inlineStr">
        <is>
          <t>VÄSTERBOTTENS LÄN</t>
        </is>
      </c>
      <c r="E534" t="inlineStr">
        <is>
          <t>VILHELMINA</t>
        </is>
      </c>
      <c r="F534" t="inlineStr">
        <is>
          <t>SCA</t>
        </is>
      </c>
      <c r="G534" t="n">
        <v>12.3</v>
      </c>
      <c r="H534" t="n">
        <v>0</v>
      </c>
      <c r="I534" t="n">
        <v>0</v>
      </c>
      <c r="J534" t="n">
        <v>0</v>
      </c>
      <c r="K534" t="n">
        <v>0</v>
      </c>
      <c r="L534" t="n">
        <v>0</v>
      </c>
      <c r="M534" t="n">
        <v>0</v>
      </c>
      <c r="N534" t="n">
        <v>0</v>
      </c>
      <c r="O534" t="n">
        <v>0</v>
      </c>
      <c r="P534" t="n">
        <v>0</v>
      </c>
      <c r="Q534" t="n">
        <v>0</v>
      </c>
      <c r="R534" s="2" t="inlineStr"/>
    </row>
    <row r="535" ht="15" customHeight="1">
      <c r="A535" t="inlineStr">
        <is>
          <t>A 9734-2022</t>
        </is>
      </c>
      <c r="B535" s="1" t="n">
        <v>44617</v>
      </c>
      <c r="C535" s="1" t="n">
        <v>45658</v>
      </c>
      <c r="D535" t="inlineStr">
        <is>
          <t>VÄSTERBOTTENS LÄN</t>
        </is>
      </c>
      <c r="E535" t="inlineStr">
        <is>
          <t>VILHELMINA</t>
        </is>
      </c>
      <c r="F535" t="inlineStr">
        <is>
          <t>SCA</t>
        </is>
      </c>
      <c r="G535" t="n">
        <v>16.9</v>
      </c>
      <c r="H535" t="n">
        <v>0</v>
      </c>
      <c r="I535" t="n">
        <v>0</v>
      </c>
      <c r="J535" t="n">
        <v>0</v>
      </c>
      <c r="K535" t="n">
        <v>0</v>
      </c>
      <c r="L535" t="n">
        <v>0</v>
      </c>
      <c r="M535" t="n">
        <v>0</v>
      </c>
      <c r="N535" t="n">
        <v>0</v>
      </c>
      <c r="O535" t="n">
        <v>0</v>
      </c>
      <c r="P535" t="n">
        <v>0</v>
      </c>
      <c r="Q535" t="n">
        <v>0</v>
      </c>
      <c r="R535" s="2" t="inlineStr"/>
    </row>
    <row r="536" ht="15" customHeight="1">
      <c r="A536" t="inlineStr">
        <is>
          <t>A 9732-2022</t>
        </is>
      </c>
      <c r="B536" s="1" t="n">
        <v>44617</v>
      </c>
      <c r="C536" s="1" t="n">
        <v>45658</v>
      </c>
      <c r="D536" t="inlineStr">
        <is>
          <t>VÄSTERBOTTENS LÄN</t>
        </is>
      </c>
      <c r="E536" t="inlineStr">
        <is>
          <t>VILHELMINA</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9733-2022</t>
        </is>
      </c>
      <c r="B537" s="1" t="n">
        <v>44617</v>
      </c>
      <c r="C537" s="1" t="n">
        <v>45658</v>
      </c>
      <c r="D537" t="inlineStr">
        <is>
          <t>VÄSTERBOTTENS LÄN</t>
        </is>
      </c>
      <c r="E537" t="inlineStr">
        <is>
          <t>VILHELMINA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9777-2022</t>
        </is>
      </c>
      <c r="B538" s="1" t="n">
        <v>44619</v>
      </c>
      <c r="C538" s="1" t="n">
        <v>45658</v>
      </c>
      <c r="D538" t="inlineStr">
        <is>
          <t>VÄSTERBOTTENS LÄN</t>
        </is>
      </c>
      <c r="E538" t="inlineStr">
        <is>
          <t>VILHELMINA</t>
        </is>
      </c>
      <c r="G538" t="n">
        <v>1.7</v>
      </c>
      <c r="H538" t="n">
        <v>0</v>
      </c>
      <c r="I538" t="n">
        <v>0</v>
      </c>
      <c r="J538" t="n">
        <v>0</v>
      </c>
      <c r="K538" t="n">
        <v>0</v>
      </c>
      <c r="L538" t="n">
        <v>0</v>
      </c>
      <c r="M538" t="n">
        <v>0</v>
      </c>
      <c r="N538" t="n">
        <v>0</v>
      </c>
      <c r="O538" t="n">
        <v>0</v>
      </c>
      <c r="P538" t="n">
        <v>0</v>
      </c>
      <c r="Q538" t="n">
        <v>0</v>
      </c>
      <c r="R538" s="2" t="inlineStr"/>
    </row>
    <row r="539" ht="15" customHeight="1">
      <c r="A539" t="inlineStr">
        <is>
          <t>A 9781-2022</t>
        </is>
      </c>
      <c r="B539" s="1" t="n">
        <v>44619</v>
      </c>
      <c r="C539" s="1" t="n">
        <v>45658</v>
      </c>
      <c r="D539" t="inlineStr">
        <is>
          <t>VÄSTERBOTTENS LÄN</t>
        </is>
      </c>
      <c r="E539" t="inlineStr">
        <is>
          <t>VILHELMINA</t>
        </is>
      </c>
      <c r="G539" t="n">
        <v>2</v>
      </c>
      <c r="H539" t="n">
        <v>0</v>
      </c>
      <c r="I539" t="n">
        <v>0</v>
      </c>
      <c r="J539" t="n">
        <v>0</v>
      </c>
      <c r="K539" t="n">
        <v>0</v>
      </c>
      <c r="L539" t="n">
        <v>0</v>
      </c>
      <c r="M539" t="n">
        <v>0</v>
      </c>
      <c r="N539" t="n">
        <v>0</v>
      </c>
      <c r="O539" t="n">
        <v>0</v>
      </c>
      <c r="P539" t="n">
        <v>0</v>
      </c>
      <c r="Q539" t="n">
        <v>0</v>
      </c>
      <c r="R539" s="2" t="inlineStr"/>
    </row>
    <row r="540" ht="15" customHeight="1">
      <c r="A540" t="inlineStr">
        <is>
          <t>A 9780-2022</t>
        </is>
      </c>
      <c r="B540" s="1" t="n">
        <v>44619</v>
      </c>
      <c r="C540" s="1" t="n">
        <v>45658</v>
      </c>
      <c r="D540" t="inlineStr">
        <is>
          <t>VÄSTERBOTTENS LÄN</t>
        </is>
      </c>
      <c r="E540" t="inlineStr">
        <is>
          <t>VILHELMINA</t>
        </is>
      </c>
      <c r="G540" t="n">
        <v>1.9</v>
      </c>
      <c r="H540" t="n">
        <v>0</v>
      </c>
      <c r="I540" t="n">
        <v>0</v>
      </c>
      <c r="J540" t="n">
        <v>0</v>
      </c>
      <c r="K540" t="n">
        <v>0</v>
      </c>
      <c r="L540" t="n">
        <v>0</v>
      </c>
      <c r="M540" t="n">
        <v>0</v>
      </c>
      <c r="N540" t="n">
        <v>0</v>
      </c>
      <c r="O540" t="n">
        <v>0</v>
      </c>
      <c r="P540" t="n">
        <v>0</v>
      </c>
      <c r="Q540" t="n">
        <v>0</v>
      </c>
      <c r="R540" s="2" t="inlineStr"/>
    </row>
    <row r="541" ht="15" customHeight="1">
      <c r="A541" t="inlineStr">
        <is>
          <t>A 9779-2022</t>
        </is>
      </c>
      <c r="B541" s="1" t="n">
        <v>44619</v>
      </c>
      <c r="C541" s="1" t="n">
        <v>45658</v>
      </c>
      <c r="D541" t="inlineStr">
        <is>
          <t>VÄSTERBOTTENS LÄN</t>
        </is>
      </c>
      <c r="E541" t="inlineStr">
        <is>
          <t>VILHELMINA</t>
        </is>
      </c>
      <c r="G541" t="n">
        <v>0.8</v>
      </c>
      <c r="H541" t="n">
        <v>0</v>
      </c>
      <c r="I541" t="n">
        <v>0</v>
      </c>
      <c r="J541" t="n">
        <v>0</v>
      </c>
      <c r="K541" t="n">
        <v>0</v>
      </c>
      <c r="L541" t="n">
        <v>0</v>
      </c>
      <c r="M541" t="n">
        <v>0</v>
      </c>
      <c r="N541" t="n">
        <v>0</v>
      </c>
      <c r="O541" t="n">
        <v>0</v>
      </c>
      <c r="P541" t="n">
        <v>0</v>
      </c>
      <c r="Q541" t="n">
        <v>0</v>
      </c>
      <c r="R541" s="2" t="inlineStr"/>
    </row>
    <row r="542" ht="15" customHeight="1">
      <c r="A542" t="inlineStr">
        <is>
          <t>A 10142-2022</t>
        </is>
      </c>
      <c r="B542" s="1" t="n">
        <v>44621</v>
      </c>
      <c r="C542" s="1" t="n">
        <v>45658</v>
      </c>
      <c r="D542" t="inlineStr">
        <is>
          <t>VÄSTERBOTTENS LÄN</t>
        </is>
      </c>
      <c r="E542" t="inlineStr">
        <is>
          <t>VILHELMINA</t>
        </is>
      </c>
      <c r="F542" t="inlineStr">
        <is>
          <t>SCA</t>
        </is>
      </c>
      <c r="G542" t="n">
        <v>6.6</v>
      </c>
      <c r="H542" t="n">
        <v>0</v>
      </c>
      <c r="I542" t="n">
        <v>0</v>
      </c>
      <c r="J542" t="n">
        <v>0</v>
      </c>
      <c r="K542" t="n">
        <v>0</v>
      </c>
      <c r="L542" t="n">
        <v>0</v>
      </c>
      <c r="M542" t="n">
        <v>0</v>
      </c>
      <c r="N542" t="n">
        <v>0</v>
      </c>
      <c r="O542" t="n">
        <v>0</v>
      </c>
      <c r="P542" t="n">
        <v>0</v>
      </c>
      <c r="Q542" t="n">
        <v>0</v>
      </c>
      <c r="R542" s="2" t="inlineStr"/>
    </row>
    <row r="543" ht="15" customHeight="1">
      <c r="A543" t="inlineStr">
        <is>
          <t>A 10121-2022</t>
        </is>
      </c>
      <c r="B543" s="1" t="n">
        <v>44621</v>
      </c>
      <c r="C543" s="1" t="n">
        <v>45658</v>
      </c>
      <c r="D543" t="inlineStr">
        <is>
          <t>VÄSTERBOTTENS LÄN</t>
        </is>
      </c>
      <c r="E543" t="inlineStr">
        <is>
          <t>VILHELMINA</t>
        </is>
      </c>
      <c r="G543" t="n">
        <v>14.1</v>
      </c>
      <c r="H543" t="n">
        <v>0</v>
      </c>
      <c r="I543" t="n">
        <v>0</v>
      </c>
      <c r="J543" t="n">
        <v>0</v>
      </c>
      <c r="K543" t="n">
        <v>0</v>
      </c>
      <c r="L543" t="n">
        <v>0</v>
      </c>
      <c r="M543" t="n">
        <v>0</v>
      </c>
      <c r="N543" t="n">
        <v>0</v>
      </c>
      <c r="O543" t="n">
        <v>0</v>
      </c>
      <c r="P543" t="n">
        <v>0</v>
      </c>
      <c r="Q543" t="n">
        <v>0</v>
      </c>
      <c r="R543" s="2" t="inlineStr"/>
    </row>
    <row r="544" ht="15" customHeight="1">
      <c r="A544" t="inlineStr">
        <is>
          <t>A 10213-2022</t>
        </is>
      </c>
      <c r="B544" s="1" t="n">
        <v>44622</v>
      </c>
      <c r="C544" s="1" t="n">
        <v>45658</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10548-2022</t>
        </is>
      </c>
      <c r="B545" s="1" t="n">
        <v>44623</v>
      </c>
      <c r="C545" s="1" t="n">
        <v>45658</v>
      </c>
      <c r="D545" t="inlineStr">
        <is>
          <t>VÄSTERBOTTENS LÄN</t>
        </is>
      </c>
      <c r="E545" t="inlineStr">
        <is>
          <t>VILHELMINA</t>
        </is>
      </c>
      <c r="F545" t="inlineStr">
        <is>
          <t>SCA</t>
        </is>
      </c>
      <c r="G545" t="n">
        <v>11.5</v>
      </c>
      <c r="H545" t="n">
        <v>0</v>
      </c>
      <c r="I545" t="n">
        <v>0</v>
      </c>
      <c r="J545" t="n">
        <v>0</v>
      </c>
      <c r="K545" t="n">
        <v>0</v>
      </c>
      <c r="L545" t="n">
        <v>0</v>
      </c>
      <c r="M545" t="n">
        <v>0</v>
      </c>
      <c r="N545" t="n">
        <v>0</v>
      </c>
      <c r="O545" t="n">
        <v>0</v>
      </c>
      <c r="P545" t="n">
        <v>0</v>
      </c>
      <c r="Q545" t="n">
        <v>0</v>
      </c>
      <c r="R545" s="2" t="inlineStr"/>
    </row>
    <row r="546" ht="15" customHeight="1">
      <c r="A546" t="inlineStr">
        <is>
          <t>A 10708-2022</t>
        </is>
      </c>
      <c r="B546" s="1" t="n">
        <v>44625</v>
      </c>
      <c r="C546" s="1" t="n">
        <v>45658</v>
      </c>
      <c r="D546" t="inlineStr">
        <is>
          <t>VÄSTERBOTTENS LÄN</t>
        </is>
      </c>
      <c r="E546" t="inlineStr">
        <is>
          <t>VILHELMINA</t>
        </is>
      </c>
      <c r="G546" t="n">
        <v>21.3</v>
      </c>
      <c r="H546" t="n">
        <v>0</v>
      </c>
      <c r="I546" t="n">
        <v>0</v>
      </c>
      <c r="J546" t="n">
        <v>0</v>
      </c>
      <c r="K546" t="n">
        <v>0</v>
      </c>
      <c r="L546" t="n">
        <v>0</v>
      </c>
      <c r="M546" t="n">
        <v>0</v>
      </c>
      <c r="N546" t="n">
        <v>0</v>
      </c>
      <c r="O546" t="n">
        <v>0</v>
      </c>
      <c r="P546" t="n">
        <v>0</v>
      </c>
      <c r="Q546" t="n">
        <v>0</v>
      </c>
      <c r="R546" s="2" t="inlineStr"/>
    </row>
    <row r="547" ht="15" customHeight="1">
      <c r="A547" t="inlineStr">
        <is>
          <t>A 10833-2022</t>
        </is>
      </c>
      <c r="B547" s="1" t="n">
        <v>44627</v>
      </c>
      <c r="C547" s="1" t="n">
        <v>45658</v>
      </c>
      <c r="D547" t="inlineStr">
        <is>
          <t>VÄSTERBOTTENS LÄN</t>
        </is>
      </c>
      <c r="E547" t="inlineStr">
        <is>
          <t>VILHELMINA</t>
        </is>
      </c>
      <c r="G547" t="n">
        <v>5.4</v>
      </c>
      <c r="H547" t="n">
        <v>0</v>
      </c>
      <c r="I547" t="n">
        <v>0</v>
      </c>
      <c r="J547" t="n">
        <v>0</v>
      </c>
      <c r="K547" t="n">
        <v>0</v>
      </c>
      <c r="L547" t="n">
        <v>0</v>
      </c>
      <c r="M547" t="n">
        <v>0</v>
      </c>
      <c r="N547" t="n">
        <v>0</v>
      </c>
      <c r="O547" t="n">
        <v>0</v>
      </c>
      <c r="P547" t="n">
        <v>0</v>
      </c>
      <c r="Q547" t="n">
        <v>0</v>
      </c>
      <c r="R547" s="2" t="inlineStr"/>
    </row>
    <row r="548" ht="15" customHeight="1">
      <c r="A548" t="inlineStr">
        <is>
          <t>A 10839-2022</t>
        </is>
      </c>
      <c r="B548" s="1" t="n">
        <v>44627</v>
      </c>
      <c r="C548" s="1" t="n">
        <v>45658</v>
      </c>
      <c r="D548" t="inlineStr">
        <is>
          <t>VÄSTERBOTTENS LÄN</t>
        </is>
      </c>
      <c r="E548" t="inlineStr">
        <is>
          <t>VILHELMINA</t>
        </is>
      </c>
      <c r="G548" t="n">
        <v>2.9</v>
      </c>
      <c r="H548" t="n">
        <v>0</v>
      </c>
      <c r="I548" t="n">
        <v>0</v>
      </c>
      <c r="J548" t="n">
        <v>0</v>
      </c>
      <c r="K548" t="n">
        <v>0</v>
      </c>
      <c r="L548" t="n">
        <v>0</v>
      </c>
      <c r="M548" t="n">
        <v>0</v>
      </c>
      <c r="N548" t="n">
        <v>0</v>
      </c>
      <c r="O548" t="n">
        <v>0</v>
      </c>
      <c r="P548" t="n">
        <v>0</v>
      </c>
      <c r="Q548" t="n">
        <v>0</v>
      </c>
      <c r="R548" s="2" t="inlineStr"/>
    </row>
    <row r="549" ht="15" customHeight="1">
      <c r="A549" t="inlineStr">
        <is>
          <t>A 11076-2022</t>
        </is>
      </c>
      <c r="B549" s="1" t="n">
        <v>44628</v>
      </c>
      <c r="C549" s="1" t="n">
        <v>45658</v>
      </c>
      <c r="D549" t="inlineStr">
        <is>
          <t>VÄSTERBOTTENS LÄN</t>
        </is>
      </c>
      <c r="E549" t="inlineStr">
        <is>
          <t>VILHELMINA</t>
        </is>
      </c>
      <c r="G549" t="n">
        <v>7.4</v>
      </c>
      <c r="H549" t="n">
        <v>0</v>
      </c>
      <c r="I549" t="n">
        <v>0</v>
      </c>
      <c r="J549" t="n">
        <v>0</v>
      </c>
      <c r="K549" t="n">
        <v>0</v>
      </c>
      <c r="L549" t="n">
        <v>0</v>
      </c>
      <c r="M549" t="n">
        <v>0</v>
      </c>
      <c r="N549" t="n">
        <v>0</v>
      </c>
      <c r="O549" t="n">
        <v>0</v>
      </c>
      <c r="P549" t="n">
        <v>0</v>
      </c>
      <c r="Q549" t="n">
        <v>0</v>
      </c>
      <c r="R549" s="2" t="inlineStr"/>
    </row>
    <row r="550" ht="15" customHeight="1">
      <c r="A550" t="inlineStr">
        <is>
          <t>A 11114-2022</t>
        </is>
      </c>
      <c r="B550" s="1" t="n">
        <v>44628</v>
      </c>
      <c r="C550" s="1" t="n">
        <v>45658</v>
      </c>
      <c r="D550" t="inlineStr">
        <is>
          <t>VÄSTERBOTTENS LÄN</t>
        </is>
      </c>
      <c r="E550" t="inlineStr">
        <is>
          <t>VILHELMINA</t>
        </is>
      </c>
      <c r="G550" t="n">
        <v>8.6</v>
      </c>
      <c r="H550" t="n">
        <v>0</v>
      </c>
      <c r="I550" t="n">
        <v>0</v>
      </c>
      <c r="J550" t="n">
        <v>0</v>
      </c>
      <c r="K550" t="n">
        <v>0</v>
      </c>
      <c r="L550" t="n">
        <v>0</v>
      </c>
      <c r="M550" t="n">
        <v>0</v>
      </c>
      <c r="N550" t="n">
        <v>0</v>
      </c>
      <c r="O550" t="n">
        <v>0</v>
      </c>
      <c r="P550" t="n">
        <v>0</v>
      </c>
      <c r="Q550" t="n">
        <v>0</v>
      </c>
      <c r="R550" s="2" t="inlineStr"/>
    </row>
    <row r="551" ht="15" customHeight="1">
      <c r="A551" t="inlineStr">
        <is>
          <t>A 11116-2022</t>
        </is>
      </c>
      <c r="B551" s="1" t="n">
        <v>44628</v>
      </c>
      <c r="C551" s="1" t="n">
        <v>45658</v>
      </c>
      <c r="D551" t="inlineStr">
        <is>
          <t>VÄSTERBOTTENS LÄN</t>
        </is>
      </c>
      <c r="E551" t="inlineStr">
        <is>
          <t>VILHELMINA</t>
        </is>
      </c>
      <c r="G551" t="n">
        <v>4.2</v>
      </c>
      <c r="H551" t="n">
        <v>0</v>
      </c>
      <c r="I551" t="n">
        <v>0</v>
      </c>
      <c r="J551" t="n">
        <v>0</v>
      </c>
      <c r="K551" t="n">
        <v>0</v>
      </c>
      <c r="L551" t="n">
        <v>0</v>
      </c>
      <c r="M551" t="n">
        <v>0</v>
      </c>
      <c r="N551" t="n">
        <v>0</v>
      </c>
      <c r="O551" t="n">
        <v>0</v>
      </c>
      <c r="P551" t="n">
        <v>0</v>
      </c>
      <c r="Q551" t="n">
        <v>0</v>
      </c>
      <c r="R551" s="2" t="inlineStr"/>
    </row>
    <row r="552" ht="15" customHeight="1">
      <c r="A552" t="inlineStr">
        <is>
          <t>A 11139-2022</t>
        </is>
      </c>
      <c r="B552" s="1" t="n">
        <v>44628</v>
      </c>
      <c r="C552" s="1" t="n">
        <v>45658</v>
      </c>
      <c r="D552" t="inlineStr">
        <is>
          <t>VÄSTERBOTTENS LÄN</t>
        </is>
      </c>
      <c r="E552" t="inlineStr">
        <is>
          <t>VILHELMINA</t>
        </is>
      </c>
      <c r="G552" t="n">
        <v>13.6</v>
      </c>
      <c r="H552" t="n">
        <v>0</v>
      </c>
      <c r="I552" t="n">
        <v>0</v>
      </c>
      <c r="J552" t="n">
        <v>0</v>
      </c>
      <c r="K552" t="n">
        <v>0</v>
      </c>
      <c r="L552" t="n">
        <v>0</v>
      </c>
      <c r="M552" t="n">
        <v>0</v>
      </c>
      <c r="N552" t="n">
        <v>0</v>
      </c>
      <c r="O552" t="n">
        <v>0</v>
      </c>
      <c r="P552" t="n">
        <v>0</v>
      </c>
      <c r="Q552" t="n">
        <v>0</v>
      </c>
      <c r="R552" s="2" t="inlineStr"/>
    </row>
    <row r="553" ht="15" customHeight="1">
      <c r="A553" t="inlineStr">
        <is>
          <t>A 12065-2022</t>
        </is>
      </c>
      <c r="B553" s="1" t="n">
        <v>44637</v>
      </c>
      <c r="C553" s="1" t="n">
        <v>45658</v>
      </c>
      <c r="D553" t="inlineStr">
        <is>
          <t>VÄSTERBOTTENS LÄN</t>
        </is>
      </c>
      <c r="E553" t="inlineStr">
        <is>
          <t>VILHELMINA</t>
        </is>
      </c>
      <c r="G553" t="n">
        <v>27.7</v>
      </c>
      <c r="H553" t="n">
        <v>0</v>
      </c>
      <c r="I553" t="n">
        <v>0</v>
      </c>
      <c r="J553" t="n">
        <v>0</v>
      </c>
      <c r="K553" t="n">
        <v>0</v>
      </c>
      <c r="L553" t="n">
        <v>0</v>
      </c>
      <c r="M553" t="n">
        <v>0</v>
      </c>
      <c r="N553" t="n">
        <v>0</v>
      </c>
      <c r="O553" t="n">
        <v>0</v>
      </c>
      <c r="P553" t="n">
        <v>0</v>
      </c>
      <c r="Q553" t="n">
        <v>0</v>
      </c>
      <c r="R553" s="2" t="inlineStr"/>
    </row>
    <row r="554" ht="15" customHeight="1">
      <c r="A554" t="inlineStr">
        <is>
          <t>A 12593-2022</t>
        </is>
      </c>
      <c r="B554" s="1" t="n">
        <v>44640</v>
      </c>
      <c r="C554" s="1" t="n">
        <v>45658</v>
      </c>
      <c r="D554" t="inlineStr">
        <is>
          <t>VÄSTERBOTTENS LÄN</t>
        </is>
      </c>
      <c r="E554" t="inlineStr">
        <is>
          <t>VILHELMINA</t>
        </is>
      </c>
      <c r="G554" t="n">
        <v>10.4</v>
      </c>
      <c r="H554" t="n">
        <v>0</v>
      </c>
      <c r="I554" t="n">
        <v>0</v>
      </c>
      <c r="J554" t="n">
        <v>0</v>
      </c>
      <c r="K554" t="n">
        <v>0</v>
      </c>
      <c r="L554" t="n">
        <v>0</v>
      </c>
      <c r="M554" t="n">
        <v>0</v>
      </c>
      <c r="N554" t="n">
        <v>0</v>
      </c>
      <c r="O554" t="n">
        <v>0</v>
      </c>
      <c r="P554" t="n">
        <v>0</v>
      </c>
      <c r="Q554" t="n">
        <v>0</v>
      </c>
      <c r="R554" s="2" t="inlineStr"/>
    </row>
    <row r="555" ht="15" customHeight="1">
      <c r="A555" t="inlineStr">
        <is>
          <t>A 12778-2022</t>
        </is>
      </c>
      <c r="B555" s="1" t="n">
        <v>44642</v>
      </c>
      <c r="C555" s="1" t="n">
        <v>45658</v>
      </c>
      <c r="D555" t="inlineStr">
        <is>
          <t>VÄSTERBOTTENS LÄN</t>
        </is>
      </c>
      <c r="E555" t="inlineStr">
        <is>
          <t>VILHELMINA</t>
        </is>
      </c>
      <c r="G555" t="n">
        <v>15</v>
      </c>
      <c r="H555" t="n">
        <v>0</v>
      </c>
      <c r="I555" t="n">
        <v>0</v>
      </c>
      <c r="J555" t="n">
        <v>0</v>
      </c>
      <c r="K555" t="n">
        <v>0</v>
      </c>
      <c r="L555" t="n">
        <v>0</v>
      </c>
      <c r="M555" t="n">
        <v>0</v>
      </c>
      <c r="N555" t="n">
        <v>0</v>
      </c>
      <c r="O555" t="n">
        <v>0</v>
      </c>
      <c r="P555" t="n">
        <v>0</v>
      </c>
      <c r="Q555" t="n">
        <v>0</v>
      </c>
      <c r="R555" s="2" t="inlineStr"/>
    </row>
    <row r="556" ht="15" customHeight="1">
      <c r="A556" t="inlineStr">
        <is>
          <t>A 14959-2022</t>
        </is>
      </c>
      <c r="B556" s="1" t="n">
        <v>44657</v>
      </c>
      <c r="C556" s="1" t="n">
        <v>45658</v>
      </c>
      <c r="D556" t="inlineStr">
        <is>
          <t>VÄSTERBOTTENS LÄN</t>
        </is>
      </c>
      <c r="E556" t="inlineStr">
        <is>
          <t>VILHELMINA</t>
        </is>
      </c>
      <c r="G556" t="n">
        <v>71.8</v>
      </c>
      <c r="H556" t="n">
        <v>0</v>
      </c>
      <c r="I556" t="n">
        <v>0</v>
      </c>
      <c r="J556" t="n">
        <v>0</v>
      </c>
      <c r="K556" t="n">
        <v>0</v>
      </c>
      <c r="L556" t="n">
        <v>0</v>
      </c>
      <c r="M556" t="n">
        <v>0</v>
      </c>
      <c r="N556" t="n">
        <v>0</v>
      </c>
      <c r="O556" t="n">
        <v>0</v>
      </c>
      <c r="P556" t="n">
        <v>0</v>
      </c>
      <c r="Q556" t="n">
        <v>0</v>
      </c>
      <c r="R556" s="2" t="inlineStr"/>
    </row>
    <row r="557" ht="15" customHeight="1">
      <c r="A557" t="inlineStr">
        <is>
          <t>A 14961-2022</t>
        </is>
      </c>
      <c r="B557" s="1" t="n">
        <v>44657</v>
      </c>
      <c r="C557" s="1" t="n">
        <v>45658</v>
      </c>
      <c r="D557" t="inlineStr">
        <is>
          <t>VÄSTERBOTTENS LÄN</t>
        </is>
      </c>
      <c r="E557" t="inlineStr">
        <is>
          <t>VILHELMINA</t>
        </is>
      </c>
      <c r="G557" t="n">
        <v>19.9</v>
      </c>
      <c r="H557" t="n">
        <v>0</v>
      </c>
      <c r="I557" t="n">
        <v>0</v>
      </c>
      <c r="J557" t="n">
        <v>0</v>
      </c>
      <c r="K557" t="n">
        <v>0</v>
      </c>
      <c r="L557" t="n">
        <v>0</v>
      </c>
      <c r="M557" t="n">
        <v>0</v>
      </c>
      <c r="N557" t="n">
        <v>0</v>
      </c>
      <c r="O557" t="n">
        <v>0</v>
      </c>
      <c r="P557" t="n">
        <v>0</v>
      </c>
      <c r="Q557" t="n">
        <v>0</v>
      </c>
      <c r="R557" s="2" t="inlineStr"/>
    </row>
    <row r="558" ht="15" customHeight="1">
      <c r="A558" t="inlineStr">
        <is>
          <t>A 14963-2022</t>
        </is>
      </c>
      <c r="B558" s="1" t="n">
        <v>44657</v>
      </c>
      <c r="C558" s="1" t="n">
        <v>45658</v>
      </c>
      <c r="D558" t="inlineStr">
        <is>
          <t>VÄSTERBOTTENS LÄN</t>
        </is>
      </c>
      <c r="E558" t="inlineStr">
        <is>
          <t>VILHELMINA</t>
        </is>
      </c>
      <c r="G558" t="n">
        <v>11.5</v>
      </c>
      <c r="H558" t="n">
        <v>0</v>
      </c>
      <c r="I558" t="n">
        <v>0</v>
      </c>
      <c r="J558" t="n">
        <v>0</v>
      </c>
      <c r="K558" t="n">
        <v>0</v>
      </c>
      <c r="L558" t="n">
        <v>0</v>
      </c>
      <c r="M558" t="n">
        <v>0</v>
      </c>
      <c r="N558" t="n">
        <v>0</v>
      </c>
      <c r="O558" t="n">
        <v>0</v>
      </c>
      <c r="P558" t="n">
        <v>0</v>
      </c>
      <c r="Q558" t="n">
        <v>0</v>
      </c>
      <c r="R558" s="2" t="inlineStr"/>
    </row>
    <row r="559" ht="15" customHeight="1">
      <c r="A559" t="inlineStr">
        <is>
          <t>A 15176-2022</t>
        </is>
      </c>
      <c r="B559" s="1" t="n">
        <v>44658</v>
      </c>
      <c r="C559" s="1" t="n">
        <v>45658</v>
      </c>
      <c r="D559" t="inlineStr">
        <is>
          <t>VÄSTERBOTTENS LÄN</t>
        </is>
      </c>
      <c r="E559" t="inlineStr">
        <is>
          <t>VILHELMINA</t>
        </is>
      </c>
      <c r="G559" t="n">
        <v>1.6</v>
      </c>
      <c r="H559" t="n">
        <v>0</v>
      </c>
      <c r="I559" t="n">
        <v>0</v>
      </c>
      <c r="J559" t="n">
        <v>0</v>
      </c>
      <c r="K559" t="n">
        <v>0</v>
      </c>
      <c r="L559" t="n">
        <v>0</v>
      </c>
      <c r="M559" t="n">
        <v>0</v>
      </c>
      <c r="N559" t="n">
        <v>0</v>
      </c>
      <c r="O559" t="n">
        <v>0</v>
      </c>
      <c r="P559" t="n">
        <v>0</v>
      </c>
      <c r="Q559" t="n">
        <v>0</v>
      </c>
      <c r="R559" s="2" t="inlineStr"/>
    </row>
    <row r="560" ht="15" customHeight="1">
      <c r="A560" t="inlineStr">
        <is>
          <t>A 17591-2022</t>
        </is>
      </c>
      <c r="B560" s="1" t="n">
        <v>44679</v>
      </c>
      <c r="C560" s="1" t="n">
        <v>45658</v>
      </c>
      <c r="D560" t="inlineStr">
        <is>
          <t>VÄSTERBOTTENS LÄN</t>
        </is>
      </c>
      <c r="E560" t="inlineStr">
        <is>
          <t>VILHELMINA</t>
        </is>
      </c>
      <c r="F560" t="inlineStr">
        <is>
          <t>SCA</t>
        </is>
      </c>
      <c r="G560" t="n">
        <v>10</v>
      </c>
      <c r="H560" t="n">
        <v>0</v>
      </c>
      <c r="I560" t="n">
        <v>0</v>
      </c>
      <c r="J560" t="n">
        <v>0</v>
      </c>
      <c r="K560" t="n">
        <v>0</v>
      </c>
      <c r="L560" t="n">
        <v>0</v>
      </c>
      <c r="M560" t="n">
        <v>0</v>
      </c>
      <c r="N560" t="n">
        <v>0</v>
      </c>
      <c r="O560" t="n">
        <v>0</v>
      </c>
      <c r="P560" t="n">
        <v>0</v>
      </c>
      <c r="Q560" t="n">
        <v>0</v>
      </c>
      <c r="R560" s="2" t="inlineStr"/>
    </row>
    <row r="561" ht="15" customHeight="1">
      <c r="A561" t="inlineStr">
        <is>
          <t>A 17590-2022</t>
        </is>
      </c>
      <c r="B561" s="1" t="n">
        <v>44679</v>
      </c>
      <c r="C561" s="1" t="n">
        <v>45658</v>
      </c>
      <c r="D561" t="inlineStr">
        <is>
          <t>VÄSTERBOTTENS LÄN</t>
        </is>
      </c>
      <c r="E561" t="inlineStr">
        <is>
          <t>VILHELMINA</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18497-2022</t>
        </is>
      </c>
      <c r="B562" s="1" t="n">
        <v>44686</v>
      </c>
      <c r="C562" s="1" t="n">
        <v>45658</v>
      </c>
      <c r="D562" t="inlineStr">
        <is>
          <t>VÄSTERBOTTENS LÄN</t>
        </is>
      </c>
      <c r="E562" t="inlineStr">
        <is>
          <t>VILHELMINA</t>
        </is>
      </c>
      <c r="F562" t="inlineStr">
        <is>
          <t>Övriga statliga verk och myndigheter</t>
        </is>
      </c>
      <c r="G562" t="n">
        <v>64.7</v>
      </c>
      <c r="H562" t="n">
        <v>0</v>
      </c>
      <c r="I562" t="n">
        <v>0</v>
      </c>
      <c r="J562" t="n">
        <v>0</v>
      </c>
      <c r="K562" t="n">
        <v>0</v>
      </c>
      <c r="L562" t="n">
        <v>0</v>
      </c>
      <c r="M562" t="n">
        <v>0</v>
      </c>
      <c r="N562" t="n">
        <v>0</v>
      </c>
      <c r="O562" t="n">
        <v>0</v>
      </c>
      <c r="P562" t="n">
        <v>0</v>
      </c>
      <c r="Q562" t="n">
        <v>0</v>
      </c>
      <c r="R562" s="2" t="inlineStr"/>
    </row>
    <row r="563" ht="15" customHeight="1">
      <c r="A563" t="inlineStr">
        <is>
          <t>A 18564-2022</t>
        </is>
      </c>
      <c r="B563" s="1" t="n">
        <v>44686</v>
      </c>
      <c r="C563" s="1" t="n">
        <v>45658</v>
      </c>
      <c r="D563" t="inlineStr">
        <is>
          <t>VÄSTERBOTTENS LÄN</t>
        </is>
      </c>
      <c r="E563" t="inlineStr">
        <is>
          <t>VILHELMINA</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18995-2022</t>
        </is>
      </c>
      <c r="B564" s="1" t="n">
        <v>44690</v>
      </c>
      <c r="C564" s="1" t="n">
        <v>45658</v>
      </c>
      <c r="D564" t="inlineStr">
        <is>
          <t>VÄSTERBOTTENS LÄN</t>
        </is>
      </c>
      <c r="E564" t="inlineStr">
        <is>
          <t>VILHELMINA</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18996-2022</t>
        </is>
      </c>
      <c r="B565" s="1" t="n">
        <v>44690</v>
      </c>
      <c r="C565" s="1" t="n">
        <v>45658</v>
      </c>
      <c r="D565" t="inlineStr">
        <is>
          <t>VÄSTERBOTTENS LÄN</t>
        </is>
      </c>
      <c r="E565" t="inlineStr">
        <is>
          <t>VILHELMINA</t>
        </is>
      </c>
      <c r="F565" t="inlineStr">
        <is>
          <t>SCA</t>
        </is>
      </c>
      <c r="G565" t="n">
        <v>0.3</v>
      </c>
      <c r="H565" t="n">
        <v>0</v>
      </c>
      <c r="I565" t="n">
        <v>0</v>
      </c>
      <c r="J565" t="n">
        <v>0</v>
      </c>
      <c r="K565" t="n">
        <v>0</v>
      </c>
      <c r="L565" t="n">
        <v>0</v>
      </c>
      <c r="M565" t="n">
        <v>0</v>
      </c>
      <c r="N565" t="n">
        <v>0</v>
      </c>
      <c r="O565" t="n">
        <v>0</v>
      </c>
      <c r="P565" t="n">
        <v>0</v>
      </c>
      <c r="Q565" t="n">
        <v>0</v>
      </c>
      <c r="R565" s="2" t="inlineStr"/>
    </row>
    <row r="566" ht="15" customHeight="1">
      <c r="A566" t="inlineStr">
        <is>
          <t>A 19394-2022</t>
        </is>
      </c>
      <c r="B566" s="1" t="n">
        <v>44692</v>
      </c>
      <c r="C566" s="1" t="n">
        <v>45658</v>
      </c>
      <c r="D566" t="inlineStr">
        <is>
          <t>VÄSTERBOTTENS LÄN</t>
        </is>
      </c>
      <c r="E566" t="inlineStr">
        <is>
          <t>VILHELMINA</t>
        </is>
      </c>
      <c r="F566" t="inlineStr">
        <is>
          <t>SCA</t>
        </is>
      </c>
      <c r="G566" t="n">
        <v>9.9</v>
      </c>
      <c r="H566" t="n">
        <v>0</v>
      </c>
      <c r="I566" t="n">
        <v>0</v>
      </c>
      <c r="J566" t="n">
        <v>0</v>
      </c>
      <c r="K566" t="n">
        <v>0</v>
      </c>
      <c r="L566" t="n">
        <v>0</v>
      </c>
      <c r="M566" t="n">
        <v>0</v>
      </c>
      <c r="N566" t="n">
        <v>0</v>
      </c>
      <c r="O566" t="n">
        <v>0</v>
      </c>
      <c r="P566" t="n">
        <v>0</v>
      </c>
      <c r="Q566" t="n">
        <v>0</v>
      </c>
      <c r="R566" s="2" t="inlineStr"/>
    </row>
    <row r="567" ht="15" customHeight="1">
      <c r="A567" t="inlineStr">
        <is>
          <t>A 19471-2022</t>
        </is>
      </c>
      <c r="B567" s="1" t="n">
        <v>44693</v>
      </c>
      <c r="C567" s="1" t="n">
        <v>45658</v>
      </c>
      <c r="D567" t="inlineStr">
        <is>
          <t>VÄSTERBOTTENS LÄN</t>
        </is>
      </c>
      <c r="E567" t="inlineStr">
        <is>
          <t>VILHELMINA</t>
        </is>
      </c>
      <c r="G567" t="n">
        <v>1.6</v>
      </c>
      <c r="H567" t="n">
        <v>0</v>
      </c>
      <c r="I567" t="n">
        <v>0</v>
      </c>
      <c r="J567" t="n">
        <v>0</v>
      </c>
      <c r="K567" t="n">
        <v>0</v>
      </c>
      <c r="L567" t="n">
        <v>0</v>
      </c>
      <c r="M567" t="n">
        <v>0</v>
      </c>
      <c r="N567" t="n">
        <v>0</v>
      </c>
      <c r="O567" t="n">
        <v>0</v>
      </c>
      <c r="P567" t="n">
        <v>0</v>
      </c>
      <c r="Q567" t="n">
        <v>0</v>
      </c>
      <c r="R567" s="2" t="inlineStr"/>
    </row>
    <row r="568" ht="15" customHeight="1">
      <c r="A568" t="inlineStr">
        <is>
          <t>A 19423-2022</t>
        </is>
      </c>
      <c r="B568" s="1" t="n">
        <v>44693</v>
      </c>
      <c r="C568" s="1" t="n">
        <v>45658</v>
      </c>
      <c r="D568" t="inlineStr">
        <is>
          <t>VÄSTERBOTTENS LÄN</t>
        </is>
      </c>
      <c r="E568" t="inlineStr">
        <is>
          <t>VILHELMINA</t>
        </is>
      </c>
      <c r="G568" t="n">
        <v>1.9</v>
      </c>
      <c r="H568" t="n">
        <v>0</v>
      </c>
      <c r="I568" t="n">
        <v>0</v>
      </c>
      <c r="J568" t="n">
        <v>0</v>
      </c>
      <c r="K568" t="n">
        <v>0</v>
      </c>
      <c r="L568" t="n">
        <v>0</v>
      </c>
      <c r="M568" t="n">
        <v>0</v>
      </c>
      <c r="N568" t="n">
        <v>0</v>
      </c>
      <c r="O568" t="n">
        <v>0</v>
      </c>
      <c r="P568" t="n">
        <v>0</v>
      </c>
      <c r="Q568" t="n">
        <v>0</v>
      </c>
      <c r="R568" s="2" t="inlineStr"/>
    </row>
    <row r="569" ht="15" customHeight="1">
      <c r="A569" t="inlineStr">
        <is>
          <t>A 20298-2022</t>
        </is>
      </c>
      <c r="B569" s="1" t="n">
        <v>44698</v>
      </c>
      <c r="C569" s="1" t="n">
        <v>45658</v>
      </c>
      <c r="D569" t="inlineStr">
        <is>
          <t>VÄSTERBOTTENS LÄN</t>
        </is>
      </c>
      <c r="E569" t="inlineStr">
        <is>
          <t>VILHELMINA</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20322-2022</t>
        </is>
      </c>
      <c r="B570" s="1" t="n">
        <v>44698</v>
      </c>
      <c r="C570" s="1" t="n">
        <v>45658</v>
      </c>
      <c r="D570" t="inlineStr">
        <is>
          <t>VÄSTERBOTTENS LÄN</t>
        </is>
      </c>
      <c r="E570" t="inlineStr">
        <is>
          <t>VILHELMINA</t>
        </is>
      </c>
      <c r="G570" t="n">
        <v>10.5</v>
      </c>
      <c r="H570" t="n">
        <v>0</v>
      </c>
      <c r="I570" t="n">
        <v>0</v>
      </c>
      <c r="J570" t="n">
        <v>0</v>
      </c>
      <c r="K570" t="n">
        <v>0</v>
      </c>
      <c r="L570" t="n">
        <v>0</v>
      </c>
      <c r="M570" t="n">
        <v>0</v>
      </c>
      <c r="N570" t="n">
        <v>0</v>
      </c>
      <c r="O570" t="n">
        <v>0</v>
      </c>
      <c r="P570" t="n">
        <v>0</v>
      </c>
      <c r="Q570" t="n">
        <v>0</v>
      </c>
      <c r="R570" s="2" t="inlineStr"/>
    </row>
    <row r="571" ht="15" customHeight="1">
      <c r="A571" t="inlineStr">
        <is>
          <t>A 20720-2022</t>
        </is>
      </c>
      <c r="B571" s="1" t="n">
        <v>44700</v>
      </c>
      <c r="C571" s="1" t="n">
        <v>45658</v>
      </c>
      <c r="D571" t="inlineStr">
        <is>
          <t>VÄSTERBOTTENS LÄN</t>
        </is>
      </c>
      <c r="E571" t="inlineStr">
        <is>
          <t>VILHELMINA</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20719-2022</t>
        </is>
      </c>
      <c r="B572" s="1" t="n">
        <v>44701</v>
      </c>
      <c r="C572" s="1" t="n">
        <v>45658</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21806-2022</t>
        </is>
      </c>
      <c r="B573" s="1" t="n">
        <v>44708</v>
      </c>
      <c r="C573" s="1" t="n">
        <v>45658</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21808-2022</t>
        </is>
      </c>
      <c r="B574" s="1" t="n">
        <v>44708</v>
      </c>
      <c r="C574" s="1" t="n">
        <v>45658</v>
      </c>
      <c r="D574" t="inlineStr">
        <is>
          <t>VÄSTERBOTTENS LÄN</t>
        </is>
      </c>
      <c r="E574" t="inlineStr">
        <is>
          <t>VILHELMINA</t>
        </is>
      </c>
      <c r="F574" t="inlineStr">
        <is>
          <t>SCA</t>
        </is>
      </c>
      <c r="G574" t="n">
        <v>16.1</v>
      </c>
      <c r="H574" t="n">
        <v>0</v>
      </c>
      <c r="I574" t="n">
        <v>0</v>
      </c>
      <c r="J574" t="n">
        <v>0</v>
      </c>
      <c r="K574" t="n">
        <v>0</v>
      </c>
      <c r="L574" t="n">
        <v>0</v>
      </c>
      <c r="M574" t="n">
        <v>0</v>
      </c>
      <c r="N574" t="n">
        <v>0</v>
      </c>
      <c r="O574" t="n">
        <v>0</v>
      </c>
      <c r="P574" t="n">
        <v>0</v>
      </c>
      <c r="Q574" t="n">
        <v>0</v>
      </c>
      <c r="R574" s="2" t="inlineStr"/>
    </row>
    <row r="575" ht="15" customHeight="1">
      <c r="A575" t="inlineStr">
        <is>
          <t>A 21814-2022</t>
        </is>
      </c>
      <c r="B575" s="1" t="n">
        <v>44708</v>
      </c>
      <c r="C575" s="1" t="n">
        <v>45658</v>
      </c>
      <c r="D575" t="inlineStr">
        <is>
          <t>VÄSTERBOTTENS LÄN</t>
        </is>
      </c>
      <c r="E575" t="inlineStr">
        <is>
          <t>VILHELMINA</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22325-2022</t>
        </is>
      </c>
      <c r="B576" s="1" t="n">
        <v>44712</v>
      </c>
      <c r="C576" s="1" t="n">
        <v>45658</v>
      </c>
      <c r="D576" t="inlineStr">
        <is>
          <t>VÄSTERBOTTENS LÄN</t>
        </is>
      </c>
      <c r="E576" t="inlineStr">
        <is>
          <t>VILHELMINA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22405-2022</t>
        </is>
      </c>
      <c r="B577" s="1" t="n">
        <v>44713</v>
      </c>
      <c r="C577" s="1" t="n">
        <v>45658</v>
      </c>
      <c r="D577" t="inlineStr">
        <is>
          <t>VÄSTERBOTTENS LÄN</t>
        </is>
      </c>
      <c r="E577" t="inlineStr">
        <is>
          <t>VILHELMINA</t>
        </is>
      </c>
      <c r="G577" t="n">
        <v>13.2</v>
      </c>
      <c r="H577" t="n">
        <v>0</v>
      </c>
      <c r="I577" t="n">
        <v>0</v>
      </c>
      <c r="J577" t="n">
        <v>0</v>
      </c>
      <c r="K577" t="n">
        <v>0</v>
      </c>
      <c r="L577" t="n">
        <v>0</v>
      </c>
      <c r="M577" t="n">
        <v>0</v>
      </c>
      <c r="N577" t="n">
        <v>0</v>
      </c>
      <c r="O577" t="n">
        <v>0</v>
      </c>
      <c r="P577" t="n">
        <v>0</v>
      </c>
      <c r="Q577" t="n">
        <v>0</v>
      </c>
      <c r="R577" s="2" t="inlineStr"/>
    </row>
    <row r="578" ht="15" customHeight="1">
      <c r="A578" t="inlineStr">
        <is>
          <t>A 23210-2022</t>
        </is>
      </c>
      <c r="B578" s="1" t="n">
        <v>44719</v>
      </c>
      <c r="C578" s="1" t="n">
        <v>45658</v>
      </c>
      <c r="D578" t="inlineStr">
        <is>
          <t>VÄSTERBOTTENS LÄN</t>
        </is>
      </c>
      <c r="E578" t="inlineStr">
        <is>
          <t>VILHELMINA</t>
        </is>
      </c>
      <c r="F578" t="inlineStr">
        <is>
          <t>SCA</t>
        </is>
      </c>
      <c r="G578" t="n">
        <v>7.4</v>
      </c>
      <c r="H578" t="n">
        <v>0</v>
      </c>
      <c r="I578" t="n">
        <v>0</v>
      </c>
      <c r="J578" t="n">
        <v>0</v>
      </c>
      <c r="K578" t="n">
        <v>0</v>
      </c>
      <c r="L578" t="n">
        <v>0</v>
      </c>
      <c r="M578" t="n">
        <v>0</v>
      </c>
      <c r="N578" t="n">
        <v>0</v>
      </c>
      <c r="O578" t="n">
        <v>0</v>
      </c>
      <c r="P578" t="n">
        <v>0</v>
      </c>
      <c r="Q578" t="n">
        <v>0</v>
      </c>
      <c r="R578" s="2" t="inlineStr"/>
    </row>
    <row r="579" ht="15" customHeight="1">
      <c r="A579" t="inlineStr">
        <is>
          <t>A 24296-2022</t>
        </is>
      </c>
      <c r="B579" s="1" t="n">
        <v>44726</v>
      </c>
      <c r="C579" s="1" t="n">
        <v>45658</v>
      </c>
      <c r="D579" t="inlineStr">
        <is>
          <t>VÄSTERBOTTENS LÄN</t>
        </is>
      </c>
      <c r="E579" t="inlineStr">
        <is>
          <t>VILHELMINA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24297-2022</t>
        </is>
      </c>
      <c r="B580" s="1" t="n">
        <v>44725</v>
      </c>
      <c r="C580" s="1" t="n">
        <v>45658</v>
      </c>
      <c r="D580" t="inlineStr">
        <is>
          <t>VÄSTERBOTTENS LÄN</t>
        </is>
      </c>
      <c r="E580" t="inlineStr">
        <is>
          <t>VILHELMINA</t>
        </is>
      </c>
      <c r="G580" t="n">
        <v>2.7</v>
      </c>
      <c r="H580" t="n">
        <v>0</v>
      </c>
      <c r="I580" t="n">
        <v>0</v>
      </c>
      <c r="J580" t="n">
        <v>0</v>
      </c>
      <c r="K580" t="n">
        <v>0</v>
      </c>
      <c r="L580" t="n">
        <v>0</v>
      </c>
      <c r="M580" t="n">
        <v>0</v>
      </c>
      <c r="N580" t="n">
        <v>0</v>
      </c>
      <c r="O580" t="n">
        <v>0</v>
      </c>
      <c r="P580" t="n">
        <v>0</v>
      </c>
      <c r="Q580" t="n">
        <v>0</v>
      </c>
      <c r="R580" s="2" t="inlineStr"/>
    </row>
    <row r="581" ht="15" customHeight="1">
      <c r="A581" t="inlineStr">
        <is>
          <t>A 25923-2022</t>
        </is>
      </c>
      <c r="B581" s="1" t="n">
        <v>44733</v>
      </c>
      <c r="C581" s="1" t="n">
        <v>45658</v>
      </c>
      <c r="D581" t="inlineStr">
        <is>
          <t>VÄSTERBOTTENS LÄN</t>
        </is>
      </c>
      <c r="E581" t="inlineStr">
        <is>
          <t>VILHELMINA</t>
        </is>
      </c>
      <c r="G581" t="n">
        <v>0.8</v>
      </c>
      <c r="H581" t="n">
        <v>0</v>
      </c>
      <c r="I581" t="n">
        <v>0</v>
      </c>
      <c r="J581" t="n">
        <v>0</v>
      </c>
      <c r="K581" t="n">
        <v>0</v>
      </c>
      <c r="L581" t="n">
        <v>0</v>
      </c>
      <c r="M581" t="n">
        <v>0</v>
      </c>
      <c r="N581" t="n">
        <v>0</v>
      </c>
      <c r="O581" t="n">
        <v>0</v>
      </c>
      <c r="P581" t="n">
        <v>0</v>
      </c>
      <c r="Q581" t="n">
        <v>0</v>
      </c>
      <c r="R581" s="2" t="inlineStr"/>
    </row>
    <row r="582" ht="15" customHeight="1">
      <c r="A582" t="inlineStr">
        <is>
          <t>A 26191-2022</t>
        </is>
      </c>
      <c r="B582" s="1" t="n">
        <v>44735</v>
      </c>
      <c r="C582" s="1" t="n">
        <v>45658</v>
      </c>
      <c r="D582" t="inlineStr">
        <is>
          <t>VÄSTERBOTTENS LÄN</t>
        </is>
      </c>
      <c r="E582" t="inlineStr">
        <is>
          <t>VILHELMINA</t>
        </is>
      </c>
      <c r="G582" t="n">
        <v>42.1</v>
      </c>
      <c r="H582" t="n">
        <v>0</v>
      </c>
      <c r="I582" t="n">
        <v>0</v>
      </c>
      <c r="J582" t="n">
        <v>0</v>
      </c>
      <c r="K582" t="n">
        <v>0</v>
      </c>
      <c r="L582" t="n">
        <v>0</v>
      </c>
      <c r="M582" t="n">
        <v>0</v>
      </c>
      <c r="N582" t="n">
        <v>0</v>
      </c>
      <c r="O582" t="n">
        <v>0</v>
      </c>
      <c r="P582" t="n">
        <v>0</v>
      </c>
      <c r="Q582" t="n">
        <v>0</v>
      </c>
      <c r="R582" s="2" t="inlineStr"/>
    </row>
    <row r="583" ht="15" customHeight="1">
      <c r="A583" t="inlineStr">
        <is>
          <t>A 26401-2022</t>
        </is>
      </c>
      <c r="B583" s="1" t="n">
        <v>44735</v>
      </c>
      <c r="C583" s="1" t="n">
        <v>45658</v>
      </c>
      <c r="D583" t="inlineStr">
        <is>
          <t>VÄSTERBOTTENS LÄN</t>
        </is>
      </c>
      <c r="E583" t="inlineStr">
        <is>
          <t>VILHELMINA</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26409-2022</t>
        </is>
      </c>
      <c r="B584" s="1" t="n">
        <v>44735</v>
      </c>
      <c r="C584" s="1" t="n">
        <v>45658</v>
      </c>
      <c r="D584" t="inlineStr">
        <is>
          <t>VÄSTERBOTTENS LÄN</t>
        </is>
      </c>
      <c r="E584" t="inlineStr">
        <is>
          <t>VILHELMINA</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26410-2022</t>
        </is>
      </c>
      <c r="B585" s="1" t="n">
        <v>44735</v>
      </c>
      <c r="C585" s="1" t="n">
        <v>45658</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27127-2022</t>
        </is>
      </c>
      <c r="B586" s="1" t="n">
        <v>44741</v>
      </c>
      <c r="C586" s="1" t="n">
        <v>45658</v>
      </c>
      <c r="D586" t="inlineStr">
        <is>
          <t>VÄSTERBOTTENS LÄN</t>
        </is>
      </c>
      <c r="E586" t="inlineStr">
        <is>
          <t>VILHELMINA</t>
        </is>
      </c>
      <c r="F586" t="inlineStr">
        <is>
          <t>Sveaskog</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27865-2022</t>
        </is>
      </c>
      <c r="B587" s="1" t="n">
        <v>44743</v>
      </c>
      <c r="C587" s="1" t="n">
        <v>45658</v>
      </c>
      <c r="D587" t="inlineStr">
        <is>
          <t>VÄSTERBOTTENS LÄN</t>
        </is>
      </c>
      <c r="E587" t="inlineStr">
        <is>
          <t>VILHELMINA</t>
        </is>
      </c>
      <c r="F587" t="inlineStr">
        <is>
          <t>Sveaskog</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27881-2022</t>
        </is>
      </c>
      <c r="B588" s="1" t="n">
        <v>44743</v>
      </c>
      <c r="C588" s="1" t="n">
        <v>45658</v>
      </c>
      <c r="D588" t="inlineStr">
        <is>
          <t>VÄSTERBOTTENS LÄN</t>
        </is>
      </c>
      <c r="E588" t="inlineStr">
        <is>
          <t>VILHELMINA</t>
        </is>
      </c>
      <c r="F588" t="inlineStr">
        <is>
          <t>Sveaskog</t>
        </is>
      </c>
      <c r="G588" t="n">
        <v>14.3</v>
      </c>
      <c r="H588" t="n">
        <v>0</v>
      </c>
      <c r="I588" t="n">
        <v>0</v>
      </c>
      <c r="J588" t="n">
        <v>0</v>
      </c>
      <c r="K588" t="n">
        <v>0</v>
      </c>
      <c r="L588" t="n">
        <v>0</v>
      </c>
      <c r="M588" t="n">
        <v>0</v>
      </c>
      <c r="N588" t="n">
        <v>0</v>
      </c>
      <c r="O588" t="n">
        <v>0</v>
      </c>
      <c r="P588" t="n">
        <v>0</v>
      </c>
      <c r="Q588" t="n">
        <v>0</v>
      </c>
      <c r="R588" s="2" t="inlineStr"/>
    </row>
    <row r="589" ht="15" customHeight="1">
      <c r="A589" t="inlineStr">
        <is>
          <t>A 27714-2022</t>
        </is>
      </c>
      <c r="B589" s="1" t="n">
        <v>44743</v>
      </c>
      <c r="C589" s="1" t="n">
        <v>45658</v>
      </c>
      <c r="D589" t="inlineStr">
        <is>
          <t>VÄSTERBOTTENS LÄN</t>
        </is>
      </c>
      <c r="E589" t="inlineStr">
        <is>
          <t>VILHELMINA</t>
        </is>
      </c>
      <c r="G589" t="n">
        <v>1.7</v>
      </c>
      <c r="H589" t="n">
        <v>0</v>
      </c>
      <c r="I589" t="n">
        <v>0</v>
      </c>
      <c r="J589" t="n">
        <v>0</v>
      </c>
      <c r="K589" t="n">
        <v>0</v>
      </c>
      <c r="L589" t="n">
        <v>0</v>
      </c>
      <c r="M589" t="n">
        <v>0</v>
      </c>
      <c r="N589" t="n">
        <v>0</v>
      </c>
      <c r="O589" t="n">
        <v>0</v>
      </c>
      <c r="P589" t="n">
        <v>0</v>
      </c>
      <c r="Q589" t="n">
        <v>0</v>
      </c>
      <c r="R589" s="2" t="inlineStr"/>
    </row>
    <row r="590" ht="15" customHeight="1">
      <c r="A590" t="inlineStr">
        <is>
          <t>A 27848-2022</t>
        </is>
      </c>
      <c r="B590" s="1" t="n">
        <v>44743</v>
      </c>
      <c r="C590" s="1" t="n">
        <v>45658</v>
      </c>
      <c r="D590" t="inlineStr">
        <is>
          <t>VÄSTERBOTTENS LÄN</t>
        </is>
      </c>
      <c r="E590" t="inlineStr">
        <is>
          <t>VILHELMINA</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27880-2022</t>
        </is>
      </c>
      <c r="B591" s="1" t="n">
        <v>44743</v>
      </c>
      <c r="C591" s="1" t="n">
        <v>45658</v>
      </c>
      <c r="D591" t="inlineStr">
        <is>
          <t>VÄSTERBOTTENS LÄN</t>
        </is>
      </c>
      <c r="E591" t="inlineStr">
        <is>
          <t>VILHELMINA</t>
        </is>
      </c>
      <c r="F591" t="inlineStr">
        <is>
          <t>Sveaskog</t>
        </is>
      </c>
      <c r="G591" t="n">
        <v>3.8</v>
      </c>
      <c r="H591" t="n">
        <v>0</v>
      </c>
      <c r="I591" t="n">
        <v>0</v>
      </c>
      <c r="J591" t="n">
        <v>0</v>
      </c>
      <c r="K591" t="n">
        <v>0</v>
      </c>
      <c r="L591" t="n">
        <v>0</v>
      </c>
      <c r="M591" t="n">
        <v>0</v>
      </c>
      <c r="N591" t="n">
        <v>0</v>
      </c>
      <c r="O591" t="n">
        <v>0</v>
      </c>
      <c r="P591" t="n">
        <v>0</v>
      </c>
      <c r="Q591" t="n">
        <v>0</v>
      </c>
      <c r="R591" s="2" t="inlineStr"/>
    </row>
    <row r="592" ht="15" customHeight="1">
      <c r="A592" t="inlineStr">
        <is>
          <t>A 27889-2022</t>
        </is>
      </c>
      <c r="B592" s="1" t="n">
        <v>44743</v>
      </c>
      <c r="C592" s="1" t="n">
        <v>45658</v>
      </c>
      <c r="D592" t="inlineStr">
        <is>
          <t>VÄSTERBOTTENS LÄN</t>
        </is>
      </c>
      <c r="E592" t="inlineStr">
        <is>
          <t>VILHELMINA</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27874-2022</t>
        </is>
      </c>
      <c r="B593" s="1" t="n">
        <v>44743</v>
      </c>
      <c r="C593" s="1" t="n">
        <v>45658</v>
      </c>
      <c r="D593" t="inlineStr">
        <is>
          <t>VÄSTERBOTTENS LÄN</t>
        </is>
      </c>
      <c r="E593" t="inlineStr">
        <is>
          <t>VILHELMINA</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27920-2022</t>
        </is>
      </c>
      <c r="B594" s="1" t="n">
        <v>44743</v>
      </c>
      <c r="C594" s="1" t="n">
        <v>45658</v>
      </c>
      <c r="D594" t="inlineStr">
        <is>
          <t>VÄSTERBOTTENS LÄN</t>
        </is>
      </c>
      <c r="E594" t="inlineStr">
        <is>
          <t>VILHELMINA</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27844-2022</t>
        </is>
      </c>
      <c r="B595" s="1" t="n">
        <v>44743</v>
      </c>
      <c r="C595" s="1" t="n">
        <v>45658</v>
      </c>
      <c r="D595" t="inlineStr">
        <is>
          <t>VÄSTERBOTTENS LÄN</t>
        </is>
      </c>
      <c r="E595" t="inlineStr">
        <is>
          <t>VILHELMINA</t>
        </is>
      </c>
      <c r="F595" t="inlineStr">
        <is>
          <t>Sveaskog</t>
        </is>
      </c>
      <c r="G595" t="n">
        <v>4.3</v>
      </c>
      <c r="H595" t="n">
        <v>0</v>
      </c>
      <c r="I595" t="n">
        <v>0</v>
      </c>
      <c r="J595" t="n">
        <v>0</v>
      </c>
      <c r="K595" t="n">
        <v>0</v>
      </c>
      <c r="L595" t="n">
        <v>0</v>
      </c>
      <c r="M595" t="n">
        <v>0</v>
      </c>
      <c r="N595" t="n">
        <v>0</v>
      </c>
      <c r="O595" t="n">
        <v>0</v>
      </c>
      <c r="P595" t="n">
        <v>0</v>
      </c>
      <c r="Q595" t="n">
        <v>0</v>
      </c>
      <c r="R595" s="2" t="inlineStr"/>
    </row>
    <row r="596" ht="15" customHeight="1">
      <c r="A596" t="inlineStr">
        <is>
          <t>A 27879-2022</t>
        </is>
      </c>
      <c r="B596" s="1" t="n">
        <v>44743</v>
      </c>
      <c r="C596" s="1" t="n">
        <v>45658</v>
      </c>
      <c r="D596" t="inlineStr">
        <is>
          <t>VÄSTERBOTTENS LÄN</t>
        </is>
      </c>
      <c r="E596" t="inlineStr">
        <is>
          <t>VILHELMINA</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27918-2022</t>
        </is>
      </c>
      <c r="B597" s="1" t="n">
        <v>44744</v>
      </c>
      <c r="C597" s="1" t="n">
        <v>45658</v>
      </c>
      <c r="D597" t="inlineStr">
        <is>
          <t>VÄSTERBOTTENS LÄN</t>
        </is>
      </c>
      <c r="E597" t="inlineStr">
        <is>
          <t>VILHELMINA</t>
        </is>
      </c>
      <c r="F597" t="inlineStr">
        <is>
          <t>SCA</t>
        </is>
      </c>
      <c r="G597" t="n">
        <v>3.8</v>
      </c>
      <c r="H597" t="n">
        <v>0</v>
      </c>
      <c r="I597" t="n">
        <v>0</v>
      </c>
      <c r="J597" t="n">
        <v>0</v>
      </c>
      <c r="K597" t="n">
        <v>0</v>
      </c>
      <c r="L597" t="n">
        <v>0</v>
      </c>
      <c r="M597" t="n">
        <v>0</v>
      </c>
      <c r="N597" t="n">
        <v>0</v>
      </c>
      <c r="O597" t="n">
        <v>0</v>
      </c>
      <c r="P597" t="n">
        <v>0</v>
      </c>
      <c r="Q597" t="n">
        <v>0</v>
      </c>
      <c r="R597" s="2" t="inlineStr"/>
    </row>
    <row r="598" ht="15" customHeight="1">
      <c r="A598" t="inlineStr">
        <is>
          <t>A 27938-2022</t>
        </is>
      </c>
      <c r="B598" s="1" t="n">
        <v>44744</v>
      </c>
      <c r="C598" s="1" t="n">
        <v>45658</v>
      </c>
      <c r="D598" t="inlineStr">
        <is>
          <t>VÄSTERBOTTENS LÄN</t>
        </is>
      </c>
      <c r="E598" t="inlineStr">
        <is>
          <t>VILHELMINA</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27922-2022</t>
        </is>
      </c>
      <c r="B599" s="1" t="n">
        <v>44744</v>
      </c>
      <c r="C599" s="1" t="n">
        <v>45658</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27937-2022</t>
        </is>
      </c>
      <c r="B600" s="1" t="n">
        <v>44744</v>
      </c>
      <c r="C600" s="1" t="n">
        <v>45658</v>
      </c>
      <c r="D600" t="inlineStr">
        <is>
          <t>VÄSTERBOTTENS LÄN</t>
        </is>
      </c>
      <c r="E600" t="inlineStr">
        <is>
          <t>VILHELMINA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27935-2022</t>
        </is>
      </c>
      <c r="B601" s="1" t="n">
        <v>44744</v>
      </c>
      <c r="C601" s="1" t="n">
        <v>45658</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27919-2022</t>
        </is>
      </c>
      <c r="B602" s="1" t="n">
        <v>44744</v>
      </c>
      <c r="C602" s="1" t="n">
        <v>45658</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28378-2022</t>
        </is>
      </c>
      <c r="B603" s="1" t="n">
        <v>44747</v>
      </c>
      <c r="C603" s="1" t="n">
        <v>45658</v>
      </c>
      <c r="D603" t="inlineStr">
        <is>
          <t>VÄSTERBOTTENS LÄN</t>
        </is>
      </c>
      <c r="E603" t="inlineStr">
        <is>
          <t>VILHELMINA</t>
        </is>
      </c>
      <c r="F603" t="inlineStr">
        <is>
          <t>Sveaskog</t>
        </is>
      </c>
      <c r="G603" t="n">
        <v>10.3</v>
      </c>
      <c r="H603" t="n">
        <v>0</v>
      </c>
      <c r="I603" t="n">
        <v>0</v>
      </c>
      <c r="J603" t="n">
        <v>0</v>
      </c>
      <c r="K603" t="n">
        <v>0</v>
      </c>
      <c r="L603" t="n">
        <v>0</v>
      </c>
      <c r="M603" t="n">
        <v>0</v>
      </c>
      <c r="N603" t="n">
        <v>0</v>
      </c>
      <c r="O603" t="n">
        <v>0</v>
      </c>
      <c r="P603" t="n">
        <v>0</v>
      </c>
      <c r="Q603" t="n">
        <v>0</v>
      </c>
      <c r="R603" s="2" t="inlineStr"/>
    </row>
    <row r="604" ht="15" customHeight="1">
      <c r="A604" t="inlineStr">
        <is>
          <t>A 28486-2022</t>
        </is>
      </c>
      <c r="B604" s="1" t="n">
        <v>44747</v>
      </c>
      <c r="C604" s="1" t="n">
        <v>45658</v>
      </c>
      <c r="D604" t="inlineStr">
        <is>
          <t>VÄSTERBOTTENS LÄN</t>
        </is>
      </c>
      <c r="E604" t="inlineStr">
        <is>
          <t>VILHELMINA</t>
        </is>
      </c>
      <c r="F604" t="inlineStr">
        <is>
          <t>SCA</t>
        </is>
      </c>
      <c r="G604" t="n">
        <v>7.9</v>
      </c>
      <c r="H604" t="n">
        <v>0</v>
      </c>
      <c r="I604" t="n">
        <v>0</v>
      </c>
      <c r="J604" t="n">
        <v>0</v>
      </c>
      <c r="K604" t="n">
        <v>0</v>
      </c>
      <c r="L604" t="n">
        <v>0</v>
      </c>
      <c r="M604" t="n">
        <v>0</v>
      </c>
      <c r="N604" t="n">
        <v>0</v>
      </c>
      <c r="O604" t="n">
        <v>0</v>
      </c>
      <c r="P604" t="n">
        <v>0</v>
      </c>
      <c r="Q604" t="n">
        <v>0</v>
      </c>
      <c r="R604" s="2" t="inlineStr"/>
    </row>
    <row r="605" ht="15" customHeight="1">
      <c r="A605" t="inlineStr">
        <is>
          <t>A 28485-2022</t>
        </is>
      </c>
      <c r="B605" s="1" t="n">
        <v>44748</v>
      </c>
      <c r="C605" s="1" t="n">
        <v>45658</v>
      </c>
      <c r="D605" t="inlineStr">
        <is>
          <t>VÄSTERBOTTENS LÄN</t>
        </is>
      </c>
      <c r="E605" t="inlineStr">
        <is>
          <t>VILHELMINA</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28722-2022</t>
        </is>
      </c>
      <c r="B606" s="1" t="n">
        <v>44748</v>
      </c>
      <c r="C606" s="1" t="n">
        <v>45658</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29555-2022</t>
        </is>
      </c>
      <c r="B607" s="1" t="n">
        <v>44754</v>
      </c>
      <c r="C607" s="1" t="n">
        <v>45658</v>
      </c>
      <c r="D607" t="inlineStr">
        <is>
          <t>VÄSTERBOTTENS LÄN</t>
        </is>
      </c>
      <c r="E607" t="inlineStr">
        <is>
          <t>VILHELMINA</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29773-2022</t>
        </is>
      </c>
      <c r="B608" s="1" t="n">
        <v>44755</v>
      </c>
      <c r="C608" s="1" t="n">
        <v>45658</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29855-2022</t>
        </is>
      </c>
      <c r="B609" s="1" t="n">
        <v>44756</v>
      </c>
      <c r="C609" s="1" t="n">
        <v>45658</v>
      </c>
      <c r="D609" t="inlineStr">
        <is>
          <t>VÄSTERBOTTENS LÄN</t>
        </is>
      </c>
      <c r="E609" t="inlineStr">
        <is>
          <t>VILHELMINA</t>
        </is>
      </c>
      <c r="G609" t="n">
        <v>3.4</v>
      </c>
      <c r="H609" t="n">
        <v>0</v>
      </c>
      <c r="I609" t="n">
        <v>0</v>
      </c>
      <c r="J609" t="n">
        <v>0</v>
      </c>
      <c r="K609" t="n">
        <v>0</v>
      </c>
      <c r="L609" t="n">
        <v>0</v>
      </c>
      <c r="M609" t="n">
        <v>0</v>
      </c>
      <c r="N609" t="n">
        <v>0</v>
      </c>
      <c r="O609" t="n">
        <v>0</v>
      </c>
      <c r="P609" t="n">
        <v>0</v>
      </c>
      <c r="Q609" t="n">
        <v>0</v>
      </c>
      <c r="R609" s="2" t="inlineStr"/>
    </row>
    <row r="610" ht="15" customHeight="1">
      <c r="A610" t="inlineStr">
        <is>
          <t>A 30018-2022</t>
        </is>
      </c>
      <c r="B610" s="1" t="n">
        <v>44756</v>
      </c>
      <c r="C610" s="1" t="n">
        <v>45658</v>
      </c>
      <c r="D610" t="inlineStr">
        <is>
          <t>VÄSTERBOTTENS LÄN</t>
        </is>
      </c>
      <c r="E610" t="inlineStr">
        <is>
          <t>VILHELMINA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30025-2022</t>
        </is>
      </c>
      <c r="B611" s="1" t="n">
        <v>44757</v>
      </c>
      <c r="C611" s="1" t="n">
        <v>45658</v>
      </c>
      <c r="D611" t="inlineStr">
        <is>
          <t>VÄSTERBOTTENS LÄN</t>
        </is>
      </c>
      <c r="E611" t="inlineStr">
        <is>
          <t>VILHELMINA</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30020-2022</t>
        </is>
      </c>
      <c r="B612" s="1" t="n">
        <v>44757</v>
      </c>
      <c r="C612" s="1" t="n">
        <v>45658</v>
      </c>
      <c r="D612" t="inlineStr">
        <is>
          <t>VÄSTERBOTTENS LÄN</t>
        </is>
      </c>
      <c r="E612" t="inlineStr">
        <is>
          <t>VILHELMINA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30019-2022</t>
        </is>
      </c>
      <c r="B613" s="1" t="n">
        <v>44757</v>
      </c>
      <c r="C613" s="1" t="n">
        <v>45658</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30130-2022</t>
        </is>
      </c>
      <c r="B614" s="1" t="n">
        <v>44757</v>
      </c>
      <c r="C614" s="1" t="n">
        <v>45658</v>
      </c>
      <c r="D614" t="inlineStr">
        <is>
          <t>VÄSTERBOTTENS LÄN</t>
        </is>
      </c>
      <c r="E614" t="inlineStr">
        <is>
          <t>VILHELMINA</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31320-2022</t>
        </is>
      </c>
      <c r="B615" s="1" t="n">
        <v>44773</v>
      </c>
      <c r="C615" s="1" t="n">
        <v>45658</v>
      </c>
      <c r="D615" t="inlineStr">
        <is>
          <t>VÄSTERBOTTENS LÄN</t>
        </is>
      </c>
      <c r="E615" t="inlineStr">
        <is>
          <t>VILHELMINA</t>
        </is>
      </c>
      <c r="G615" t="n">
        <v>15.5</v>
      </c>
      <c r="H615" t="n">
        <v>0</v>
      </c>
      <c r="I615" t="n">
        <v>0</v>
      </c>
      <c r="J615" t="n">
        <v>0</v>
      </c>
      <c r="K615" t="n">
        <v>0</v>
      </c>
      <c r="L615" t="n">
        <v>0</v>
      </c>
      <c r="M615" t="n">
        <v>0</v>
      </c>
      <c r="N615" t="n">
        <v>0</v>
      </c>
      <c r="O615" t="n">
        <v>0</v>
      </c>
      <c r="P615" t="n">
        <v>0</v>
      </c>
      <c r="Q615" t="n">
        <v>0</v>
      </c>
      <c r="R615" s="2" t="inlineStr"/>
    </row>
    <row r="616" ht="15" customHeight="1">
      <c r="A616" t="inlineStr">
        <is>
          <t>A 32960-2022</t>
        </is>
      </c>
      <c r="B616" s="1" t="n">
        <v>44784</v>
      </c>
      <c r="C616" s="1" t="n">
        <v>45658</v>
      </c>
      <c r="D616" t="inlineStr">
        <is>
          <t>VÄSTERBOTTENS LÄN</t>
        </is>
      </c>
      <c r="E616" t="inlineStr">
        <is>
          <t>VILHELMINA</t>
        </is>
      </c>
      <c r="G616" t="n">
        <v>4.1</v>
      </c>
      <c r="H616" t="n">
        <v>0</v>
      </c>
      <c r="I616" t="n">
        <v>0</v>
      </c>
      <c r="J616" t="n">
        <v>0</v>
      </c>
      <c r="K616" t="n">
        <v>0</v>
      </c>
      <c r="L616" t="n">
        <v>0</v>
      </c>
      <c r="M616" t="n">
        <v>0</v>
      </c>
      <c r="N616" t="n">
        <v>0</v>
      </c>
      <c r="O616" t="n">
        <v>0</v>
      </c>
      <c r="P616" t="n">
        <v>0</v>
      </c>
      <c r="Q616" t="n">
        <v>0</v>
      </c>
      <c r="R616" s="2" t="inlineStr"/>
    </row>
    <row r="617" ht="15" customHeight="1">
      <c r="A617" t="inlineStr">
        <is>
          <t>A 33001-2022</t>
        </is>
      </c>
      <c r="B617" s="1" t="n">
        <v>44784</v>
      </c>
      <c r="C617" s="1" t="n">
        <v>45658</v>
      </c>
      <c r="D617" t="inlineStr">
        <is>
          <t>VÄSTERBOTTENS LÄN</t>
        </is>
      </c>
      <c r="E617" t="inlineStr">
        <is>
          <t>VILHELMINA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33512-2022</t>
        </is>
      </c>
      <c r="B618" s="1" t="n">
        <v>44788</v>
      </c>
      <c r="C618" s="1" t="n">
        <v>45658</v>
      </c>
      <c r="D618" t="inlineStr">
        <is>
          <t>VÄSTERBOTTENS LÄN</t>
        </is>
      </c>
      <c r="E618" t="inlineStr">
        <is>
          <t>VILHELMINA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33495-2022</t>
        </is>
      </c>
      <c r="B619" s="1" t="n">
        <v>44788</v>
      </c>
      <c r="C619" s="1" t="n">
        <v>45658</v>
      </c>
      <c r="D619" t="inlineStr">
        <is>
          <t>VÄSTERBOTTENS LÄN</t>
        </is>
      </c>
      <c r="E619" t="inlineStr">
        <is>
          <t>VILHELMINA</t>
        </is>
      </c>
      <c r="G619" t="n">
        <v>1</v>
      </c>
      <c r="H619" t="n">
        <v>0</v>
      </c>
      <c r="I619" t="n">
        <v>0</v>
      </c>
      <c r="J619" t="n">
        <v>0</v>
      </c>
      <c r="K619" t="n">
        <v>0</v>
      </c>
      <c r="L619" t="n">
        <v>0</v>
      </c>
      <c r="M619" t="n">
        <v>0</v>
      </c>
      <c r="N619" t="n">
        <v>0</v>
      </c>
      <c r="O619" t="n">
        <v>0</v>
      </c>
      <c r="P619" t="n">
        <v>0</v>
      </c>
      <c r="Q619" t="n">
        <v>0</v>
      </c>
      <c r="R619" s="2" t="inlineStr"/>
    </row>
    <row r="620" ht="15" customHeight="1">
      <c r="A620" t="inlineStr">
        <is>
          <t>A 33510-2022</t>
        </is>
      </c>
      <c r="B620" s="1" t="n">
        <v>44788</v>
      </c>
      <c r="C620" s="1" t="n">
        <v>45658</v>
      </c>
      <c r="D620" t="inlineStr">
        <is>
          <t>VÄSTERBOTTENS LÄN</t>
        </is>
      </c>
      <c r="E620" t="inlineStr">
        <is>
          <t>VILHELMINA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33603-2022</t>
        </is>
      </c>
      <c r="B621" s="1" t="n">
        <v>44789</v>
      </c>
      <c r="C621" s="1" t="n">
        <v>45658</v>
      </c>
      <c r="D621" t="inlineStr">
        <is>
          <t>VÄSTERBOTTENS LÄN</t>
        </is>
      </c>
      <c r="E621" t="inlineStr">
        <is>
          <t>VILHELMINA</t>
        </is>
      </c>
      <c r="F621" t="inlineStr">
        <is>
          <t>Sveaskog</t>
        </is>
      </c>
      <c r="G621" t="n">
        <v>15.1</v>
      </c>
      <c r="H621" t="n">
        <v>0</v>
      </c>
      <c r="I621" t="n">
        <v>0</v>
      </c>
      <c r="J621" t="n">
        <v>0</v>
      </c>
      <c r="K621" t="n">
        <v>0</v>
      </c>
      <c r="L621" t="n">
        <v>0</v>
      </c>
      <c r="M621" t="n">
        <v>0</v>
      </c>
      <c r="N621" t="n">
        <v>0</v>
      </c>
      <c r="O621" t="n">
        <v>0</v>
      </c>
      <c r="P621" t="n">
        <v>0</v>
      </c>
      <c r="Q621" t="n">
        <v>0</v>
      </c>
      <c r="R621" s="2" t="inlineStr"/>
    </row>
    <row r="622" ht="15" customHeight="1">
      <c r="A622" t="inlineStr">
        <is>
          <t>A 33989-2022</t>
        </is>
      </c>
      <c r="B622" s="1" t="n">
        <v>44790</v>
      </c>
      <c r="C622" s="1" t="n">
        <v>45658</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35003-2022</t>
        </is>
      </c>
      <c r="B623" s="1" t="n">
        <v>44797</v>
      </c>
      <c r="C623" s="1" t="n">
        <v>45658</v>
      </c>
      <c r="D623" t="inlineStr">
        <is>
          <t>VÄSTERBOTTENS LÄN</t>
        </is>
      </c>
      <c r="E623" t="inlineStr">
        <is>
          <t>VILHELMINA</t>
        </is>
      </c>
      <c r="G623" t="n">
        <v>3.7</v>
      </c>
      <c r="H623" t="n">
        <v>0</v>
      </c>
      <c r="I623" t="n">
        <v>0</v>
      </c>
      <c r="J623" t="n">
        <v>0</v>
      </c>
      <c r="K623" t="n">
        <v>0</v>
      </c>
      <c r="L623" t="n">
        <v>0</v>
      </c>
      <c r="M623" t="n">
        <v>0</v>
      </c>
      <c r="N623" t="n">
        <v>0</v>
      </c>
      <c r="O623" t="n">
        <v>0</v>
      </c>
      <c r="P623" t="n">
        <v>0</v>
      </c>
      <c r="Q623" t="n">
        <v>0</v>
      </c>
      <c r="R623" s="2" t="inlineStr"/>
    </row>
    <row r="624" ht="15" customHeight="1">
      <c r="A624" t="inlineStr">
        <is>
          <t>A 35178-2022</t>
        </is>
      </c>
      <c r="B624" s="1" t="n">
        <v>44797</v>
      </c>
      <c r="C624" s="1" t="n">
        <v>45658</v>
      </c>
      <c r="D624" t="inlineStr">
        <is>
          <t>VÄSTERBOTTENS LÄN</t>
        </is>
      </c>
      <c r="E624" t="inlineStr">
        <is>
          <t>VILHELMINA</t>
        </is>
      </c>
      <c r="F624" t="inlineStr">
        <is>
          <t>Övriga statliga verk och myndigheter</t>
        </is>
      </c>
      <c r="G624" t="n">
        <v>32.5</v>
      </c>
      <c r="H624" t="n">
        <v>0</v>
      </c>
      <c r="I624" t="n">
        <v>0</v>
      </c>
      <c r="J624" t="n">
        <v>0</v>
      </c>
      <c r="K624" t="n">
        <v>0</v>
      </c>
      <c r="L624" t="n">
        <v>0</v>
      </c>
      <c r="M624" t="n">
        <v>0</v>
      </c>
      <c r="N624" t="n">
        <v>0</v>
      </c>
      <c r="O624" t="n">
        <v>0</v>
      </c>
      <c r="P624" t="n">
        <v>0</v>
      </c>
      <c r="Q624" t="n">
        <v>0</v>
      </c>
      <c r="R624" s="2" t="inlineStr"/>
    </row>
    <row r="625" ht="15" customHeight="1">
      <c r="A625" t="inlineStr">
        <is>
          <t>A 35514-2022</t>
        </is>
      </c>
      <c r="B625" s="1" t="n">
        <v>44799</v>
      </c>
      <c r="C625" s="1" t="n">
        <v>45658</v>
      </c>
      <c r="D625" t="inlineStr">
        <is>
          <t>VÄSTERBOTTENS LÄN</t>
        </is>
      </c>
      <c r="E625" t="inlineStr">
        <is>
          <t>VILHELMINA</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35506-2022</t>
        </is>
      </c>
      <c r="B626" s="1" t="n">
        <v>44798</v>
      </c>
      <c r="C626" s="1" t="n">
        <v>45658</v>
      </c>
      <c r="D626" t="inlineStr">
        <is>
          <t>VÄSTERBOTTENS LÄN</t>
        </is>
      </c>
      <c r="E626" t="inlineStr">
        <is>
          <t>VILHELMINA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35515-2022</t>
        </is>
      </c>
      <c r="B627" s="1" t="n">
        <v>44799</v>
      </c>
      <c r="C627" s="1" t="n">
        <v>45658</v>
      </c>
      <c r="D627" t="inlineStr">
        <is>
          <t>VÄSTERBOTTENS LÄN</t>
        </is>
      </c>
      <c r="E627" t="inlineStr">
        <is>
          <t>VILHELMINA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35513-2022</t>
        </is>
      </c>
      <c r="B628" s="1" t="n">
        <v>44799</v>
      </c>
      <c r="C628" s="1" t="n">
        <v>45658</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35686-2022</t>
        </is>
      </c>
      <c r="B629" s="1" t="n">
        <v>44799</v>
      </c>
      <c r="C629" s="1" t="n">
        <v>45658</v>
      </c>
      <c r="D629" t="inlineStr">
        <is>
          <t>VÄSTERBOTTENS LÄN</t>
        </is>
      </c>
      <c r="E629" t="inlineStr">
        <is>
          <t>VILHELMINA</t>
        </is>
      </c>
      <c r="F629" t="inlineStr">
        <is>
          <t>Övriga statliga verk och myndigheter</t>
        </is>
      </c>
      <c r="G629" t="n">
        <v>2.6</v>
      </c>
      <c r="H629" t="n">
        <v>0</v>
      </c>
      <c r="I629" t="n">
        <v>0</v>
      </c>
      <c r="J629" t="n">
        <v>0</v>
      </c>
      <c r="K629" t="n">
        <v>0</v>
      </c>
      <c r="L629" t="n">
        <v>0</v>
      </c>
      <c r="M629" t="n">
        <v>0</v>
      </c>
      <c r="N629" t="n">
        <v>0</v>
      </c>
      <c r="O629" t="n">
        <v>0</v>
      </c>
      <c r="P629" t="n">
        <v>0</v>
      </c>
      <c r="Q629" t="n">
        <v>0</v>
      </c>
      <c r="R629" s="2" t="inlineStr"/>
    </row>
    <row r="630" ht="15" customHeight="1">
      <c r="A630" t="inlineStr">
        <is>
          <t>A 36083-2022</t>
        </is>
      </c>
      <c r="B630" s="1" t="n">
        <v>44803</v>
      </c>
      <c r="C630" s="1" t="n">
        <v>45658</v>
      </c>
      <c r="D630" t="inlineStr">
        <is>
          <t>VÄSTERBOTTENS LÄN</t>
        </is>
      </c>
      <c r="E630" t="inlineStr">
        <is>
          <t>VILHELMINA</t>
        </is>
      </c>
      <c r="F630" t="inlineStr">
        <is>
          <t>SCA</t>
        </is>
      </c>
      <c r="G630" t="n">
        <v>24.1</v>
      </c>
      <c r="H630" t="n">
        <v>0</v>
      </c>
      <c r="I630" t="n">
        <v>0</v>
      </c>
      <c r="J630" t="n">
        <v>0</v>
      </c>
      <c r="K630" t="n">
        <v>0</v>
      </c>
      <c r="L630" t="n">
        <v>0</v>
      </c>
      <c r="M630" t="n">
        <v>0</v>
      </c>
      <c r="N630" t="n">
        <v>0</v>
      </c>
      <c r="O630" t="n">
        <v>0</v>
      </c>
      <c r="P630" t="n">
        <v>0</v>
      </c>
      <c r="Q630" t="n">
        <v>0</v>
      </c>
      <c r="R630" s="2" t="inlineStr"/>
    </row>
    <row r="631" ht="15" customHeight="1">
      <c r="A631" t="inlineStr">
        <is>
          <t>A 36081-2022</t>
        </is>
      </c>
      <c r="B631" s="1" t="n">
        <v>44802</v>
      </c>
      <c r="C631" s="1" t="n">
        <v>45658</v>
      </c>
      <c r="D631" t="inlineStr">
        <is>
          <t>VÄSTERBOTTENS LÄN</t>
        </is>
      </c>
      <c r="E631" t="inlineStr">
        <is>
          <t>VILHELMINA</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36082-2022</t>
        </is>
      </c>
      <c r="B632" s="1" t="n">
        <v>44802</v>
      </c>
      <c r="C632" s="1" t="n">
        <v>45658</v>
      </c>
      <c r="D632" t="inlineStr">
        <is>
          <t>VÄSTERBOTTENS LÄN</t>
        </is>
      </c>
      <c r="E632" t="inlineStr">
        <is>
          <t>VILHELMINA</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36329-2022</t>
        </is>
      </c>
      <c r="B633" s="1" t="n">
        <v>44803</v>
      </c>
      <c r="C633" s="1" t="n">
        <v>45658</v>
      </c>
      <c r="D633" t="inlineStr">
        <is>
          <t>VÄSTERBOTTENS LÄN</t>
        </is>
      </c>
      <c r="E633" t="inlineStr">
        <is>
          <t>VILHELMINA</t>
        </is>
      </c>
      <c r="F633" t="inlineStr">
        <is>
          <t>Övriga statliga verk och myndigheter</t>
        </is>
      </c>
      <c r="G633" t="n">
        <v>30</v>
      </c>
      <c r="H633" t="n">
        <v>0</v>
      </c>
      <c r="I633" t="n">
        <v>0</v>
      </c>
      <c r="J633" t="n">
        <v>0</v>
      </c>
      <c r="K633" t="n">
        <v>0</v>
      </c>
      <c r="L633" t="n">
        <v>0</v>
      </c>
      <c r="M633" t="n">
        <v>0</v>
      </c>
      <c r="N633" t="n">
        <v>0</v>
      </c>
      <c r="O633" t="n">
        <v>0</v>
      </c>
      <c r="P633" t="n">
        <v>0</v>
      </c>
      <c r="Q633" t="n">
        <v>0</v>
      </c>
      <c r="R633" s="2" t="inlineStr"/>
    </row>
    <row r="634" ht="15" customHeight="1">
      <c r="A634" t="inlineStr">
        <is>
          <t>A 36929-2022</t>
        </is>
      </c>
      <c r="B634" s="1" t="n">
        <v>44806</v>
      </c>
      <c r="C634" s="1" t="n">
        <v>45658</v>
      </c>
      <c r="D634" t="inlineStr">
        <is>
          <t>VÄSTERBOTTENS LÄN</t>
        </is>
      </c>
      <c r="E634" t="inlineStr">
        <is>
          <t>VILHELMINA</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36931-2022</t>
        </is>
      </c>
      <c r="B635" s="1" t="n">
        <v>44805</v>
      </c>
      <c r="C635" s="1" t="n">
        <v>45658</v>
      </c>
      <c r="D635" t="inlineStr">
        <is>
          <t>VÄSTERBOTTENS LÄN</t>
        </is>
      </c>
      <c r="E635" t="inlineStr">
        <is>
          <t>VILHELMINA</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36930-2022</t>
        </is>
      </c>
      <c r="B636" s="1" t="n">
        <v>44805</v>
      </c>
      <c r="C636" s="1" t="n">
        <v>45658</v>
      </c>
      <c r="D636" t="inlineStr">
        <is>
          <t>VÄSTERBOTTENS LÄN</t>
        </is>
      </c>
      <c r="E636" t="inlineStr">
        <is>
          <t>VILHELMINA</t>
        </is>
      </c>
      <c r="F636" t="inlineStr">
        <is>
          <t>SCA</t>
        </is>
      </c>
      <c r="G636" t="n">
        <v>7.6</v>
      </c>
      <c r="H636" t="n">
        <v>0</v>
      </c>
      <c r="I636" t="n">
        <v>0</v>
      </c>
      <c r="J636" t="n">
        <v>0</v>
      </c>
      <c r="K636" t="n">
        <v>0</v>
      </c>
      <c r="L636" t="n">
        <v>0</v>
      </c>
      <c r="M636" t="n">
        <v>0</v>
      </c>
      <c r="N636" t="n">
        <v>0</v>
      </c>
      <c r="O636" t="n">
        <v>0</v>
      </c>
      <c r="P636" t="n">
        <v>0</v>
      </c>
      <c r="Q636" t="n">
        <v>0</v>
      </c>
      <c r="R636" s="2" t="inlineStr"/>
    </row>
    <row r="637" ht="15" customHeight="1">
      <c r="A637" t="inlineStr">
        <is>
          <t>A 37322-2022</t>
        </is>
      </c>
      <c r="B637" s="1" t="n">
        <v>44806</v>
      </c>
      <c r="C637" s="1" t="n">
        <v>45658</v>
      </c>
      <c r="D637" t="inlineStr">
        <is>
          <t>VÄSTERBOTTENS LÄN</t>
        </is>
      </c>
      <c r="E637" t="inlineStr">
        <is>
          <t>VILHELMINA</t>
        </is>
      </c>
      <c r="F637" t="inlineStr">
        <is>
          <t>Övriga statliga verk och myndigheter</t>
        </is>
      </c>
      <c r="G637" t="n">
        <v>15.4</v>
      </c>
      <c r="H637" t="n">
        <v>0</v>
      </c>
      <c r="I637" t="n">
        <v>0</v>
      </c>
      <c r="J637" t="n">
        <v>0</v>
      </c>
      <c r="K637" t="n">
        <v>0</v>
      </c>
      <c r="L637" t="n">
        <v>0</v>
      </c>
      <c r="M637" t="n">
        <v>0</v>
      </c>
      <c r="N637" t="n">
        <v>0</v>
      </c>
      <c r="O637" t="n">
        <v>0</v>
      </c>
      <c r="P637" t="n">
        <v>0</v>
      </c>
      <c r="Q637" t="n">
        <v>0</v>
      </c>
      <c r="R637" s="2" t="inlineStr"/>
    </row>
    <row r="638" ht="15" customHeight="1">
      <c r="A638" t="inlineStr">
        <is>
          <t>A 37325-2022</t>
        </is>
      </c>
      <c r="B638" s="1" t="n">
        <v>44806</v>
      </c>
      <c r="C638" s="1" t="n">
        <v>45658</v>
      </c>
      <c r="D638" t="inlineStr">
        <is>
          <t>VÄSTERBOTTENS LÄN</t>
        </is>
      </c>
      <c r="E638" t="inlineStr">
        <is>
          <t>VILHELMINA</t>
        </is>
      </c>
      <c r="F638" t="inlineStr">
        <is>
          <t>Övriga statliga verk och myndigheter</t>
        </is>
      </c>
      <c r="G638" t="n">
        <v>11</v>
      </c>
      <c r="H638" t="n">
        <v>0</v>
      </c>
      <c r="I638" t="n">
        <v>0</v>
      </c>
      <c r="J638" t="n">
        <v>0</v>
      </c>
      <c r="K638" t="n">
        <v>0</v>
      </c>
      <c r="L638" t="n">
        <v>0</v>
      </c>
      <c r="M638" t="n">
        <v>0</v>
      </c>
      <c r="N638" t="n">
        <v>0</v>
      </c>
      <c r="O638" t="n">
        <v>0</v>
      </c>
      <c r="P638" t="n">
        <v>0</v>
      </c>
      <c r="Q638" t="n">
        <v>0</v>
      </c>
      <c r="R638" s="2" t="inlineStr"/>
    </row>
    <row r="639" ht="15" customHeight="1">
      <c r="A639" t="inlineStr">
        <is>
          <t>A 37655-2022</t>
        </is>
      </c>
      <c r="B639" s="1" t="n">
        <v>44810</v>
      </c>
      <c r="C639" s="1" t="n">
        <v>45658</v>
      </c>
      <c r="D639" t="inlineStr">
        <is>
          <t>VÄSTERBOTTENS LÄN</t>
        </is>
      </c>
      <c r="E639" t="inlineStr">
        <is>
          <t>VILHELMINA</t>
        </is>
      </c>
      <c r="G639" t="n">
        <v>6.3</v>
      </c>
      <c r="H639" t="n">
        <v>0</v>
      </c>
      <c r="I639" t="n">
        <v>0</v>
      </c>
      <c r="J639" t="n">
        <v>0</v>
      </c>
      <c r="K639" t="n">
        <v>0</v>
      </c>
      <c r="L639" t="n">
        <v>0</v>
      </c>
      <c r="M639" t="n">
        <v>0</v>
      </c>
      <c r="N639" t="n">
        <v>0</v>
      </c>
      <c r="O639" t="n">
        <v>0</v>
      </c>
      <c r="P639" t="n">
        <v>0</v>
      </c>
      <c r="Q639" t="n">
        <v>0</v>
      </c>
      <c r="R639" s="2" t="inlineStr"/>
    </row>
    <row r="640" ht="15" customHeight="1">
      <c r="A640" t="inlineStr">
        <is>
          <t>A 37661-2022</t>
        </is>
      </c>
      <c r="B640" s="1" t="n">
        <v>44810</v>
      </c>
      <c r="C640" s="1" t="n">
        <v>45658</v>
      </c>
      <c r="D640" t="inlineStr">
        <is>
          <t>VÄSTERBOTTENS LÄN</t>
        </is>
      </c>
      <c r="E640" t="inlineStr">
        <is>
          <t>VILHELMINA</t>
        </is>
      </c>
      <c r="G640" t="n">
        <v>5.8</v>
      </c>
      <c r="H640" t="n">
        <v>0</v>
      </c>
      <c r="I640" t="n">
        <v>0</v>
      </c>
      <c r="J640" t="n">
        <v>0</v>
      </c>
      <c r="K640" t="n">
        <v>0</v>
      </c>
      <c r="L640" t="n">
        <v>0</v>
      </c>
      <c r="M640" t="n">
        <v>0</v>
      </c>
      <c r="N640" t="n">
        <v>0</v>
      </c>
      <c r="O640" t="n">
        <v>0</v>
      </c>
      <c r="P640" t="n">
        <v>0</v>
      </c>
      <c r="Q640" t="n">
        <v>0</v>
      </c>
      <c r="R640" s="2" t="inlineStr"/>
    </row>
    <row r="641" ht="15" customHeight="1">
      <c r="A641" t="inlineStr">
        <is>
          <t>A 38417-2022</t>
        </is>
      </c>
      <c r="B641" s="1" t="n">
        <v>44813</v>
      </c>
      <c r="C641" s="1" t="n">
        <v>45658</v>
      </c>
      <c r="D641" t="inlineStr">
        <is>
          <t>VÄSTERBOTTENS LÄN</t>
        </is>
      </c>
      <c r="E641" t="inlineStr">
        <is>
          <t>VILHELMINA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38422-2022</t>
        </is>
      </c>
      <c r="B642" s="1" t="n">
        <v>44812</v>
      </c>
      <c r="C642" s="1" t="n">
        <v>45658</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38416-2022</t>
        </is>
      </c>
      <c r="B643" s="1" t="n">
        <v>44812</v>
      </c>
      <c r="C643" s="1" t="n">
        <v>45658</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38419-2022</t>
        </is>
      </c>
      <c r="B644" s="1" t="n">
        <v>44813</v>
      </c>
      <c r="C644" s="1" t="n">
        <v>45658</v>
      </c>
      <c r="D644" t="inlineStr">
        <is>
          <t>VÄSTERBOTTENS LÄN</t>
        </is>
      </c>
      <c r="E644" t="inlineStr">
        <is>
          <t>VILHELMINA</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38558-2022</t>
        </is>
      </c>
      <c r="B645" s="1" t="n">
        <v>44813</v>
      </c>
      <c r="C645" s="1" t="n">
        <v>45658</v>
      </c>
      <c r="D645" t="inlineStr">
        <is>
          <t>VÄSTERBOTTENS LÄN</t>
        </is>
      </c>
      <c r="E645" t="inlineStr">
        <is>
          <t>VILHELMINA</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39389-2022</t>
        </is>
      </c>
      <c r="B646" s="1" t="n">
        <v>44817</v>
      </c>
      <c r="C646" s="1" t="n">
        <v>45658</v>
      </c>
      <c r="D646" t="inlineStr">
        <is>
          <t>VÄSTERBOTTENS LÄN</t>
        </is>
      </c>
      <c r="E646" t="inlineStr">
        <is>
          <t>VILHELMINA</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41343-2022</t>
        </is>
      </c>
      <c r="B647" s="1" t="n">
        <v>44824</v>
      </c>
      <c r="C647" s="1" t="n">
        <v>45658</v>
      </c>
      <c r="D647" t="inlineStr">
        <is>
          <t>VÄSTERBOTTENS LÄN</t>
        </is>
      </c>
      <c r="E647" t="inlineStr">
        <is>
          <t>VILHELMINA</t>
        </is>
      </c>
      <c r="G647" t="n">
        <v>6</v>
      </c>
      <c r="H647" t="n">
        <v>0</v>
      </c>
      <c r="I647" t="n">
        <v>0</v>
      </c>
      <c r="J647" t="n">
        <v>0</v>
      </c>
      <c r="K647" t="n">
        <v>0</v>
      </c>
      <c r="L647" t="n">
        <v>0</v>
      </c>
      <c r="M647" t="n">
        <v>0</v>
      </c>
      <c r="N647" t="n">
        <v>0</v>
      </c>
      <c r="O647" t="n">
        <v>0</v>
      </c>
      <c r="P647" t="n">
        <v>0</v>
      </c>
      <c r="Q647" t="n">
        <v>0</v>
      </c>
      <c r="R647" s="2" t="inlineStr"/>
    </row>
    <row r="648" ht="15" customHeight="1">
      <c r="A648" t="inlineStr">
        <is>
          <t>A 41350-2022</t>
        </is>
      </c>
      <c r="B648" s="1" t="n">
        <v>44824</v>
      </c>
      <c r="C648" s="1" t="n">
        <v>45658</v>
      </c>
      <c r="D648" t="inlineStr">
        <is>
          <t>VÄSTERBOTTENS LÄN</t>
        </is>
      </c>
      <c r="E648" t="inlineStr">
        <is>
          <t>VILHELMINA</t>
        </is>
      </c>
      <c r="G648" t="n">
        <v>1.7</v>
      </c>
      <c r="H648" t="n">
        <v>0</v>
      </c>
      <c r="I648" t="n">
        <v>0</v>
      </c>
      <c r="J648" t="n">
        <v>0</v>
      </c>
      <c r="K648" t="n">
        <v>0</v>
      </c>
      <c r="L648" t="n">
        <v>0</v>
      </c>
      <c r="M648" t="n">
        <v>0</v>
      </c>
      <c r="N648" t="n">
        <v>0</v>
      </c>
      <c r="O648" t="n">
        <v>0</v>
      </c>
      <c r="P648" t="n">
        <v>0</v>
      </c>
      <c r="Q648" t="n">
        <v>0</v>
      </c>
      <c r="R648" s="2" t="inlineStr"/>
    </row>
    <row r="649" ht="15" customHeight="1">
      <c r="A649" t="inlineStr">
        <is>
          <t>A 41330-2022</t>
        </is>
      </c>
      <c r="B649" s="1" t="n">
        <v>44826</v>
      </c>
      <c r="C649" s="1" t="n">
        <v>45658</v>
      </c>
      <c r="D649" t="inlineStr">
        <is>
          <t>VÄSTERBOTTENS LÄN</t>
        </is>
      </c>
      <c r="E649" t="inlineStr">
        <is>
          <t>VILHELMINA</t>
        </is>
      </c>
      <c r="G649" t="n">
        <v>3.4</v>
      </c>
      <c r="H649" t="n">
        <v>0</v>
      </c>
      <c r="I649" t="n">
        <v>0</v>
      </c>
      <c r="J649" t="n">
        <v>0</v>
      </c>
      <c r="K649" t="n">
        <v>0</v>
      </c>
      <c r="L649" t="n">
        <v>0</v>
      </c>
      <c r="M649" t="n">
        <v>0</v>
      </c>
      <c r="N649" t="n">
        <v>0</v>
      </c>
      <c r="O649" t="n">
        <v>0</v>
      </c>
      <c r="P649" t="n">
        <v>0</v>
      </c>
      <c r="Q649" t="n">
        <v>0</v>
      </c>
      <c r="R649" s="2" t="inlineStr"/>
    </row>
    <row r="650" ht="15" customHeight="1">
      <c r="A650" t="inlineStr">
        <is>
          <t>A 41482-2022</t>
        </is>
      </c>
      <c r="B650" s="1" t="n">
        <v>44827</v>
      </c>
      <c r="C650" s="1" t="n">
        <v>45658</v>
      </c>
      <c r="D650" t="inlineStr">
        <is>
          <t>VÄSTERBOTTENS LÄN</t>
        </is>
      </c>
      <c r="E650" t="inlineStr">
        <is>
          <t>VILHELMINA</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41485-2022</t>
        </is>
      </c>
      <c r="B651" s="1" t="n">
        <v>44827</v>
      </c>
      <c r="C651" s="1" t="n">
        <v>45658</v>
      </c>
      <c r="D651" t="inlineStr">
        <is>
          <t>VÄSTERBOTTENS LÄN</t>
        </is>
      </c>
      <c r="E651" t="inlineStr">
        <is>
          <t>VILHELMINA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41484-2022</t>
        </is>
      </c>
      <c r="B652" s="1" t="n">
        <v>44826</v>
      </c>
      <c r="C652" s="1" t="n">
        <v>45658</v>
      </c>
      <c r="D652" t="inlineStr">
        <is>
          <t>VÄSTERBOTTENS LÄN</t>
        </is>
      </c>
      <c r="E652" t="inlineStr">
        <is>
          <t>VILHELMINA</t>
        </is>
      </c>
      <c r="F652" t="inlineStr">
        <is>
          <t>SCA</t>
        </is>
      </c>
      <c r="G652" t="n">
        <v>18.1</v>
      </c>
      <c r="H652" t="n">
        <v>0</v>
      </c>
      <c r="I652" t="n">
        <v>0</v>
      </c>
      <c r="J652" t="n">
        <v>0</v>
      </c>
      <c r="K652" t="n">
        <v>0</v>
      </c>
      <c r="L652" t="n">
        <v>0</v>
      </c>
      <c r="M652" t="n">
        <v>0</v>
      </c>
      <c r="N652" t="n">
        <v>0</v>
      </c>
      <c r="O652" t="n">
        <v>0</v>
      </c>
      <c r="P652" t="n">
        <v>0</v>
      </c>
      <c r="Q652" t="n">
        <v>0</v>
      </c>
      <c r="R652" s="2" t="inlineStr"/>
    </row>
    <row r="653" ht="15" customHeight="1">
      <c r="A653" t="inlineStr">
        <is>
          <t>A 42648-2022</t>
        </is>
      </c>
      <c r="B653" s="1" t="n">
        <v>44832</v>
      </c>
      <c r="C653" s="1" t="n">
        <v>45658</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42650-2022</t>
        </is>
      </c>
      <c r="B654" s="1" t="n">
        <v>44831</v>
      </c>
      <c r="C654" s="1" t="n">
        <v>45658</v>
      </c>
      <c r="D654" t="inlineStr">
        <is>
          <t>VÄSTERBOTTENS LÄN</t>
        </is>
      </c>
      <c r="E654" t="inlineStr">
        <is>
          <t>VILHELMINA</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43120-2022</t>
        </is>
      </c>
      <c r="B655" s="1" t="n">
        <v>44834</v>
      </c>
      <c r="C655" s="1" t="n">
        <v>45658</v>
      </c>
      <c r="D655" t="inlineStr">
        <is>
          <t>VÄSTERBOTTENS LÄN</t>
        </is>
      </c>
      <c r="E655" t="inlineStr">
        <is>
          <t>VILHELMINA</t>
        </is>
      </c>
      <c r="G655" t="n">
        <v>13.7</v>
      </c>
      <c r="H655" t="n">
        <v>0</v>
      </c>
      <c r="I655" t="n">
        <v>0</v>
      </c>
      <c r="J655" t="n">
        <v>0</v>
      </c>
      <c r="K655" t="n">
        <v>0</v>
      </c>
      <c r="L655" t="n">
        <v>0</v>
      </c>
      <c r="M655" t="n">
        <v>0</v>
      </c>
      <c r="N655" t="n">
        <v>0</v>
      </c>
      <c r="O655" t="n">
        <v>0</v>
      </c>
      <c r="P655" t="n">
        <v>0</v>
      </c>
      <c r="Q655" t="n">
        <v>0</v>
      </c>
      <c r="R655" s="2" t="inlineStr"/>
    </row>
    <row r="656" ht="15" customHeight="1">
      <c r="A656" t="inlineStr">
        <is>
          <t>A 43144-2022</t>
        </is>
      </c>
      <c r="B656" s="1" t="n">
        <v>44834</v>
      </c>
      <c r="C656" s="1" t="n">
        <v>45658</v>
      </c>
      <c r="D656" t="inlineStr">
        <is>
          <t>VÄSTERBOTTENS LÄN</t>
        </is>
      </c>
      <c r="E656" t="inlineStr">
        <is>
          <t>VILHELMINA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43714-2022</t>
        </is>
      </c>
      <c r="B657" s="1" t="n">
        <v>44837</v>
      </c>
      <c r="C657" s="1" t="n">
        <v>45658</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43741-2022</t>
        </is>
      </c>
      <c r="B658" s="1" t="n">
        <v>44837</v>
      </c>
      <c r="C658" s="1" t="n">
        <v>45658</v>
      </c>
      <c r="D658" t="inlineStr">
        <is>
          <t>VÄSTERBOTTENS LÄN</t>
        </is>
      </c>
      <c r="E658" t="inlineStr">
        <is>
          <t>VILHELMINA</t>
        </is>
      </c>
      <c r="G658" t="n">
        <v>54.2</v>
      </c>
      <c r="H658" t="n">
        <v>0</v>
      </c>
      <c r="I658" t="n">
        <v>0</v>
      </c>
      <c r="J658" t="n">
        <v>0</v>
      </c>
      <c r="K658" t="n">
        <v>0</v>
      </c>
      <c r="L658" t="n">
        <v>0</v>
      </c>
      <c r="M658" t="n">
        <v>0</v>
      </c>
      <c r="N658" t="n">
        <v>0</v>
      </c>
      <c r="O658" t="n">
        <v>0</v>
      </c>
      <c r="P658" t="n">
        <v>0</v>
      </c>
      <c r="Q658" t="n">
        <v>0</v>
      </c>
      <c r="R658" s="2" t="inlineStr"/>
    </row>
    <row r="659" ht="15" customHeight="1">
      <c r="A659" t="inlineStr">
        <is>
          <t>A 45425-2022</t>
        </is>
      </c>
      <c r="B659" s="1" t="n">
        <v>44844</v>
      </c>
      <c r="C659" s="1" t="n">
        <v>45658</v>
      </c>
      <c r="D659" t="inlineStr">
        <is>
          <t>VÄSTERBOTTENS LÄN</t>
        </is>
      </c>
      <c r="E659" t="inlineStr">
        <is>
          <t>VILHELMINA</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46121-2022</t>
        </is>
      </c>
      <c r="B660" s="1" t="n">
        <v>44847</v>
      </c>
      <c r="C660" s="1" t="n">
        <v>45658</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46071-2022</t>
        </is>
      </c>
      <c r="B661" s="1" t="n">
        <v>44847</v>
      </c>
      <c r="C661" s="1" t="n">
        <v>45658</v>
      </c>
      <c r="D661" t="inlineStr">
        <is>
          <t>VÄSTERBOTTENS LÄN</t>
        </is>
      </c>
      <c r="E661" t="inlineStr">
        <is>
          <t>VILHELMINA</t>
        </is>
      </c>
      <c r="G661" t="n">
        <v>10.6</v>
      </c>
      <c r="H661" t="n">
        <v>0</v>
      </c>
      <c r="I661" t="n">
        <v>0</v>
      </c>
      <c r="J661" t="n">
        <v>0</v>
      </c>
      <c r="K661" t="n">
        <v>0</v>
      </c>
      <c r="L661" t="n">
        <v>0</v>
      </c>
      <c r="M661" t="n">
        <v>0</v>
      </c>
      <c r="N661" t="n">
        <v>0</v>
      </c>
      <c r="O661" t="n">
        <v>0</v>
      </c>
      <c r="P661" t="n">
        <v>0</v>
      </c>
      <c r="Q661" t="n">
        <v>0</v>
      </c>
      <c r="R661" s="2" t="inlineStr"/>
    </row>
    <row r="662" ht="15" customHeight="1">
      <c r="A662" t="inlineStr">
        <is>
          <t>A 46316-2022</t>
        </is>
      </c>
      <c r="B662" s="1" t="n">
        <v>44847</v>
      </c>
      <c r="C662" s="1" t="n">
        <v>45658</v>
      </c>
      <c r="D662" t="inlineStr">
        <is>
          <t>VÄSTERBOTTENS LÄN</t>
        </is>
      </c>
      <c r="E662" t="inlineStr">
        <is>
          <t>VILHELMINA</t>
        </is>
      </c>
      <c r="G662" t="n">
        <v>2.1</v>
      </c>
      <c r="H662" t="n">
        <v>0</v>
      </c>
      <c r="I662" t="n">
        <v>0</v>
      </c>
      <c r="J662" t="n">
        <v>0</v>
      </c>
      <c r="K662" t="n">
        <v>0</v>
      </c>
      <c r="L662" t="n">
        <v>0</v>
      </c>
      <c r="M662" t="n">
        <v>0</v>
      </c>
      <c r="N662" t="n">
        <v>0</v>
      </c>
      <c r="O662" t="n">
        <v>0</v>
      </c>
      <c r="P662" t="n">
        <v>0</v>
      </c>
      <c r="Q662" t="n">
        <v>0</v>
      </c>
      <c r="R662" s="2" t="inlineStr"/>
    </row>
    <row r="663" ht="15" customHeight="1">
      <c r="A663" t="inlineStr">
        <is>
          <t>A 46119-2022</t>
        </is>
      </c>
      <c r="B663" s="1" t="n">
        <v>44847</v>
      </c>
      <c r="C663" s="1" t="n">
        <v>45658</v>
      </c>
      <c r="D663" t="inlineStr">
        <is>
          <t>VÄSTERBOTTENS LÄN</t>
        </is>
      </c>
      <c r="E663" t="inlineStr">
        <is>
          <t>VILHELMINA</t>
        </is>
      </c>
      <c r="G663" t="n">
        <v>12.1</v>
      </c>
      <c r="H663" t="n">
        <v>0</v>
      </c>
      <c r="I663" t="n">
        <v>0</v>
      </c>
      <c r="J663" t="n">
        <v>0</v>
      </c>
      <c r="K663" t="n">
        <v>0</v>
      </c>
      <c r="L663" t="n">
        <v>0</v>
      </c>
      <c r="M663" t="n">
        <v>0</v>
      </c>
      <c r="N663" t="n">
        <v>0</v>
      </c>
      <c r="O663" t="n">
        <v>0</v>
      </c>
      <c r="P663" t="n">
        <v>0</v>
      </c>
      <c r="Q663" t="n">
        <v>0</v>
      </c>
      <c r="R663" s="2" t="inlineStr"/>
    </row>
    <row r="664" ht="15" customHeight="1">
      <c r="A664" t="inlineStr">
        <is>
          <t>A 46318-2022</t>
        </is>
      </c>
      <c r="B664" s="1" t="n">
        <v>44847</v>
      </c>
      <c r="C664" s="1" t="n">
        <v>45658</v>
      </c>
      <c r="D664" t="inlineStr">
        <is>
          <t>VÄSTERBOTTENS LÄN</t>
        </is>
      </c>
      <c r="E664" t="inlineStr">
        <is>
          <t>VILHELMINA</t>
        </is>
      </c>
      <c r="G664" t="n">
        <v>11.7</v>
      </c>
      <c r="H664" t="n">
        <v>0</v>
      </c>
      <c r="I664" t="n">
        <v>0</v>
      </c>
      <c r="J664" t="n">
        <v>0</v>
      </c>
      <c r="K664" t="n">
        <v>0</v>
      </c>
      <c r="L664" t="n">
        <v>0</v>
      </c>
      <c r="M664" t="n">
        <v>0</v>
      </c>
      <c r="N664" t="n">
        <v>0</v>
      </c>
      <c r="O664" t="n">
        <v>0</v>
      </c>
      <c r="P664" t="n">
        <v>0</v>
      </c>
      <c r="Q664" t="n">
        <v>0</v>
      </c>
      <c r="R664" s="2" t="inlineStr"/>
    </row>
    <row r="665" ht="15" customHeight="1">
      <c r="A665" t="inlineStr">
        <is>
          <t>A 47253-2022</t>
        </is>
      </c>
      <c r="B665" s="1" t="n">
        <v>44852</v>
      </c>
      <c r="C665" s="1" t="n">
        <v>45658</v>
      </c>
      <c r="D665" t="inlineStr">
        <is>
          <t>VÄSTERBOTTENS LÄN</t>
        </is>
      </c>
      <c r="E665" t="inlineStr">
        <is>
          <t>VILHELMINA</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47252-2022</t>
        </is>
      </c>
      <c r="B666" s="1" t="n">
        <v>44852</v>
      </c>
      <c r="C666" s="1" t="n">
        <v>45658</v>
      </c>
      <c r="D666" t="inlineStr">
        <is>
          <t>VÄSTERBOTTENS LÄN</t>
        </is>
      </c>
      <c r="E666" t="inlineStr">
        <is>
          <t>VILHELMINA</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47254-2022</t>
        </is>
      </c>
      <c r="B667" s="1" t="n">
        <v>44853</v>
      </c>
      <c r="C667" s="1" t="n">
        <v>45658</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47288-2022</t>
        </is>
      </c>
      <c r="B668" s="1" t="n">
        <v>44852</v>
      </c>
      <c r="C668" s="1" t="n">
        <v>45658</v>
      </c>
      <c r="D668" t="inlineStr">
        <is>
          <t>VÄSTERBOTTENS LÄN</t>
        </is>
      </c>
      <c r="E668" t="inlineStr">
        <is>
          <t>VILHELMINA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47287-2022</t>
        </is>
      </c>
      <c r="B669" s="1" t="n">
        <v>44853</v>
      </c>
      <c r="C669" s="1" t="n">
        <v>45658</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47285-2022</t>
        </is>
      </c>
      <c r="B670" s="1" t="n">
        <v>44853</v>
      </c>
      <c r="C670" s="1" t="n">
        <v>45658</v>
      </c>
      <c r="D670" t="inlineStr">
        <is>
          <t>VÄSTERBOTTENS LÄN</t>
        </is>
      </c>
      <c r="E670" t="inlineStr">
        <is>
          <t>VILHELMINA</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47286-2022</t>
        </is>
      </c>
      <c r="B671" s="1" t="n">
        <v>44852</v>
      </c>
      <c r="C671" s="1" t="n">
        <v>45658</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47575-2022</t>
        </is>
      </c>
      <c r="B672" s="1" t="n">
        <v>44853</v>
      </c>
      <c r="C672" s="1" t="n">
        <v>45658</v>
      </c>
      <c r="D672" t="inlineStr">
        <is>
          <t>VÄSTERBOTTENS LÄN</t>
        </is>
      </c>
      <c r="E672" t="inlineStr">
        <is>
          <t>VILHELMINA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47571-2022</t>
        </is>
      </c>
      <c r="B673" s="1" t="n">
        <v>44853</v>
      </c>
      <c r="C673" s="1" t="n">
        <v>45658</v>
      </c>
      <c r="D673" t="inlineStr">
        <is>
          <t>VÄSTERBOTTENS LÄN</t>
        </is>
      </c>
      <c r="E673" t="inlineStr">
        <is>
          <t>VILHELMINA</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48068-2022</t>
        </is>
      </c>
      <c r="B674" s="1" t="n">
        <v>44855</v>
      </c>
      <c r="C674" s="1" t="n">
        <v>45658</v>
      </c>
      <c r="D674" t="inlineStr">
        <is>
          <t>VÄSTERBOTTENS LÄN</t>
        </is>
      </c>
      <c r="E674" t="inlineStr">
        <is>
          <t>VILHELMINA</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48117-2022</t>
        </is>
      </c>
      <c r="B675" s="1" t="n">
        <v>44857</v>
      </c>
      <c r="C675" s="1" t="n">
        <v>45658</v>
      </c>
      <c r="D675" t="inlineStr">
        <is>
          <t>VÄSTERBOTTENS LÄN</t>
        </is>
      </c>
      <c r="E675" t="inlineStr">
        <is>
          <t>VILHELMINA</t>
        </is>
      </c>
      <c r="G675" t="n">
        <v>5.8</v>
      </c>
      <c r="H675" t="n">
        <v>0</v>
      </c>
      <c r="I675" t="n">
        <v>0</v>
      </c>
      <c r="J675" t="n">
        <v>0</v>
      </c>
      <c r="K675" t="n">
        <v>0</v>
      </c>
      <c r="L675" t="n">
        <v>0</v>
      </c>
      <c r="M675" t="n">
        <v>0</v>
      </c>
      <c r="N675" t="n">
        <v>0</v>
      </c>
      <c r="O675" t="n">
        <v>0</v>
      </c>
      <c r="P675" t="n">
        <v>0</v>
      </c>
      <c r="Q675" t="n">
        <v>0</v>
      </c>
      <c r="R675" s="2" t="inlineStr"/>
    </row>
    <row r="676" ht="15" customHeight="1">
      <c r="A676" t="inlineStr">
        <is>
          <t>A 48524-2022</t>
        </is>
      </c>
      <c r="B676" s="1" t="n">
        <v>44859</v>
      </c>
      <c r="C676" s="1" t="n">
        <v>45658</v>
      </c>
      <c r="D676" t="inlineStr">
        <is>
          <t>VÄSTERBOTTENS LÄN</t>
        </is>
      </c>
      <c r="E676" t="inlineStr">
        <is>
          <t>VILHELMINA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48507-2022</t>
        </is>
      </c>
      <c r="B677" s="1" t="n">
        <v>44859</v>
      </c>
      <c r="C677" s="1" t="n">
        <v>45658</v>
      </c>
      <c r="D677" t="inlineStr">
        <is>
          <t>VÄSTERBOTTENS LÄN</t>
        </is>
      </c>
      <c r="E677" t="inlineStr">
        <is>
          <t>VILHELMINA</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48526-2022</t>
        </is>
      </c>
      <c r="B678" s="1" t="n">
        <v>44858</v>
      </c>
      <c r="C678" s="1" t="n">
        <v>45658</v>
      </c>
      <c r="D678" t="inlineStr">
        <is>
          <t>VÄSTERBOTTENS LÄN</t>
        </is>
      </c>
      <c r="E678" t="inlineStr">
        <is>
          <t>VILHELMINA</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48515-2022</t>
        </is>
      </c>
      <c r="B679" s="1" t="n">
        <v>44859</v>
      </c>
      <c r="C679" s="1" t="n">
        <v>45658</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48551-2022</t>
        </is>
      </c>
      <c r="B680" s="1" t="n">
        <v>44859</v>
      </c>
      <c r="C680" s="1" t="n">
        <v>45658</v>
      </c>
      <c r="D680" t="inlineStr">
        <is>
          <t>VÄSTERBOTTENS LÄN</t>
        </is>
      </c>
      <c r="E680" t="inlineStr">
        <is>
          <t>VILHELMINA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48508-2022</t>
        </is>
      </c>
      <c r="B681" s="1" t="n">
        <v>44858</v>
      </c>
      <c r="C681" s="1" t="n">
        <v>45658</v>
      </c>
      <c r="D681" t="inlineStr">
        <is>
          <t>VÄSTERBOTTENS LÄN</t>
        </is>
      </c>
      <c r="E681" t="inlineStr">
        <is>
          <t>VILHELMINA</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48527-2022</t>
        </is>
      </c>
      <c r="B682" s="1" t="n">
        <v>44859</v>
      </c>
      <c r="C682" s="1" t="n">
        <v>45658</v>
      </c>
      <c r="D682" t="inlineStr">
        <is>
          <t>VÄSTERBOTTENS LÄN</t>
        </is>
      </c>
      <c r="E682" t="inlineStr">
        <is>
          <t>VILHELMINA</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48775-2022</t>
        </is>
      </c>
      <c r="B683" s="1" t="n">
        <v>44859</v>
      </c>
      <c r="C683" s="1" t="n">
        <v>45658</v>
      </c>
      <c r="D683" t="inlineStr">
        <is>
          <t>VÄSTERBOTTENS LÄN</t>
        </is>
      </c>
      <c r="E683" t="inlineStr">
        <is>
          <t>VILHELMINA</t>
        </is>
      </c>
      <c r="F683" t="inlineStr">
        <is>
          <t>Sveaskog</t>
        </is>
      </c>
      <c r="G683" t="n">
        <v>10.7</v>
      </c>
      <c r="H683" t="n">
        <v>0</v>
      </c>
      <c r="I683" t="n">
        <v>0</v>
      </c>
      <c r="J683" t="n">
        <v>0</v>
      </c>
      <c r="K683" t="n">
        <v>0</v>
      </c>
      <c r="L683" t="n">
        <v>0</v>
      </c>
      <c r="M683" t="n">
        <v>0</v>
      </c>
      <c r="N683" t="n">
        <v>0</v>
      </c>
      <c r="O683" t="n">
        <v>0</v>
      </c>
      <c r="P683" t="n">
        <v>0</v>
      </c>
      <c r="Q683" t="n">
        <v>0</v>
      </c>
      <c r="R683" s="2" t="inlineStr"/>
    </row>
    <row r="684" ht="15" customHeight="1">
      <c r="A684" t="inlineStr">
        <is>
          <t>A 48768-2022</t>
        </is>
      </c>
      <c r="B684" s="1" t="n">
        <v>44859</v>
      </c>
      <c r="C684" s="1" t="n">
        <v>45658</v>
      </c>
      <c r="D684" t="inlineStr">
        <is>
          <t>VÄSTERBOTTENS LÄN</t>
        </is>
      </c>
      <c r="E684" t="inlineStr">
        <is>
          <t>VILHELMINA</t>
        </is>
      </c>
      <c r="F684" t="inlineStr">
        <is>
          <t>Sveaskog</t>
        </is>
      </c>
      <c r="G684" t="n">
        <v>2.2</v>
      </c>
      <c r="H684" t="n">
        <v>0</v>
      </c>
      <c r="I684" t="n">
        <v>0</v>
      </c>
      <c r="J684" t="n">
        <v>0</v>
      </c>
      <c r="K684" t="n">
        <v>0</v>
      </c>
      <c r="L684" t="n">
        <v>0</v>
      </c>
      <c r="M684" t="n">
        <v>0</v>
      </c>
      <c r="N684" t="n">
        <v>0</v>
      </c>
      <c r="O684" t="n">
        <v>0</v>
      </c>
      <c r="P684" t="n">
        <v>0</v>
      </c>
      <c r="Q684" t="n">
        <v>0</v>
      </c>
      <c r="R684" s="2" t="inlineStr"/>
    </row>
    <row r="685" ht="15" customHeight="1">
      <c r="A685" t="inlineStr">
        <is>
          <t>A 49599-2022</t>
        </is>
      </c>
      <c r="B685" s="1" t="n">
        <v>44859</v>
      </c>
      <c r="C685" s="1" t="n">
        <v>45658</v>
      </c>
      <c r="D685" t="inlineStr">
        <is>
          <t>VÄSTERBOTTENS LÄN</t>
        </is>
      </c>
      <c r="E685" t="inlineStr">
        <is>
          <t>VILHELMINA</t>
        </is>
      </c>
      <c r="G685" t="n">
        <v>3.6</v>
      </c>
      <c r="H685" t="n">
        <v>0</v>
      </c>
      <c r="I685" t="n">
        <v>0</v>
      </c>
      <c r="J685" t="n">
        <v>0</v>
      </c>
      <c r="K685" t="n">
        <v>0</v>
      </c>
      <c r="L685" t="n">
        <v>0</v>
      </c>
      <c r="M685" t="n">
        <v>0</v>
      </c>
      <c r="N685" t="n">
        <v>0</v>
      </c>
      <c r="O685" t="n">
        <v>0</v>
      </c>
      <c r="P685" t="n">
        <v>0</v>
      </c>
      <c r="Q685" t="n">
        <v>0</v>
      </c>
      <c r="R685" s="2" t="inlineStr"/>
    </row>
    <row r="686" ht="15" customHeight="1">
      <c r="A686" t="inlineStr">
        <is>
          <t>A 49526-2022</t>
        </is>
      </c>
      <c r="B686" s="1" t="n">
        <v>44862</v>
      </c>
      <c r="C686" s="1" t="n">
        <v>45658</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49640-2022</t>
        </is>
      </c>
      <c r="B687" s="1" t="n">
        <v>44862</v>
      </c>
      <c r="C687" s="1" t="n">
        <v>45658</v>
      </c>
      <c r="D687" t="inlineStr">
        <is>
          <t>VÄSTERBOTTENS LÄN</t>
        </is>
      </c>
      <c r="E687" t="inlineStr">
        <is>
          <t>VILHELMINA</t>
        </is>
      </c>
      <c r="F687" t="inlineStr">
        <is>
          <t>Sveaskog</t>
        </is>
      </c>
      <c r="G687" t="n">
        <v>6.1</v>
      </c>
      <c r="H687" t="n">
        <v>0</v>
      </c>
      <c r="I687" t="n">
        <v>0</v>
      </c>
      <c r="J687" t="n">
        <v>0</v>
      </c>
      <c r="K687" t="n">
        <v>0</v>
      </c>
      <c r="L687" t="n">
        <v>0</v>
      </c>
      <c r="M687" t="n">
        <v>0</v>
      </c>
      <c r="N687" t="n">
        <v>0</v>
      </c>
      <c r="O687" t="n">
        <v>0</v>
      </c>
      <c r="P687" t="n">
        <v>0</v>
      </c>
      <c r="Q687" t="n">
        <v>0</v>
      </c>
      <c r="R687" s="2" t="inlineStr"/>
    </row>
    <row r="688" ht="15" customHeight="1">
      <c r="A688" t="inlineStr">
        <is>
          <t>A 50883-2022</t>
        </is>
      </c>
      <c r="B688" s="1" t="n">
        <v>44867</v>
      </c>
      <c r="C688" s="1" t="n">
        <v>45658</v>
      </c>
      <c r="D688" t="inlineStr">
        <is>
          <t>VÄSTERBOTTENS LÄN</t>
        </is>
      </c>
      <c r="E688" t="inlineStr">
        <is>
          <t>VILHELMINA</t>
        </is>
      </c>
      <c r="F688" t="inlineStr">
        <is>
          <t>Sveaskog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51017-2022</t>
        </is>
      </c>
      <c r="B689" s="1" t="n">
        <v>44867</v>
      </c>
      <c r="C689" s="1" t="n">
        <v>45658</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52008-2022</t>
        </is>
      </c>
      <c r="B690" s="1" t="n">
        <v>44872</v>
      </c>
      <c r="C690" s="1" t="n">
        <v>45658</v>
      </c>
      <c r="D690" t="inlineStr">
        <is>
          <t>VÄSTERBOTTENS LÄN</t>
        </is>
      </c>
      <c r="E690" t="inlineStr">
        <is>
          <t>VILHELMINA</t>
        </is>
      </c>
      <c r="G690" t="n">
        <v>6</v>
      </c>
      <c r="H690" t="n">
        <v>0</v>
      </c>
      <c r="I690" t="n">
        <v>0</v>
      </c>
      <c r="J690" t="n">
        <v>0</v>
      </c>
      <c r="K690" t="n">
        <v>0</v>
      </c>
      <c r="L690" t="n">
        <v>0</v>
      </c>
      <c r="M690" t="n">
        <v>0</v>
      </c>
      <c r="N690" t="n">
        <v>0</v>
      </c>
      <c r="O690" t="n">
        <v>0</v>
      </c>
      <c r="P690" t="n">
        <v>0</v>
      </c>
      <c r="Q690" t="n">
        <v>0</v>
      </c>
      <c r="R690" s="2" t="inlineStr"/>
    </row>
    <row r="691" ht="15" customHeight="1">
      <c r="A691" t="inlineStr">
        <is>
          <t>A 52711-2022</t>
        </is>
      </c>
      <c r="B691" s="1" t="n">
        <v>44874</v>
      </c>
      <c r="C691" s="1" t="n">
        <v>45658</v>
      </c>
      <c r="D691" t="inlineStr">
        <is>
          <t>VÄSTERBOTTENS LÄN</t>
        </is>
      </c>
      <c r="E691" t="inlineStr">
        <is>
          <t>VILHELMINA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52704-2022</t>
        </is>
      </c>
      <c r="B692" s="1" t="n">
        <v>44874</v>
      </c>
      <c r="C692" s="1" t="n">
        <v>45658</v>
      </c>
      <c r="D692" t="inlineStr">
        <is>
          <t>VÄSTERBOTTENS LÄN</t>
        </is>
      </c>
      <c r="E692" t="inlineStr">
        <is>
          <t>VILHELMINA</t>
        </is>
      </c>
      <c r="G692" t="n">
        <v>17.4</v>
      </c>
      <c r="H692" t="n">
        <v>0</v>
      </c>
      <c r="I692" t="n">
        <v>0</v>
      </c>
      <c r="J692" t="n">
        <v>0</v>
      </c>
      <c r="K692" t="n">
        <v>0</v>
      </c>
      <c r="L692" t="n">
        <v>0</v>
      </c>
      <c r="M692" t="n">
        <v>0</v>
      </c>
      <c r="N692" t="n">
        <v>0</v>
      </c>
      <c r="O692" t="n">
        <v>0</v>
      </c>
      <c r="P692" t="n">
        <v>0</v>
      </c>
      <c r="Q692" t="n">
        <v>0</v>
      </c>
      <c r="R692" s="2" t="inlineStr"/>
    </row>
    <row r="693" ht="15" customHeight="1">
      <c r="A693" t="inlineStr">
        <is>
          <t>A 52995-2022</t>
        </is>
      </c>
      <c r="B693" s="1" t="n">
        <v>44875</v>
      </c>
      <c r="C693" s="1" t="n">
        <v>45658</v>
      </c>
      <c r="D693" t="inlineStr">
        <is>
          <t>VÄSTERBOTTENS LÄN</t>
        </is>
      </c>
      <c r="E693" t="inlineStr">
        <is>
          <t>VILHELMINA</t>
        </is>
      </c>
      <c r="G693" t="n">
        <v>1.4</v>
      </c>
      <c r="H693" t="n">
        <v>0</v>
      </c>
      <c r="I693" t="n">
        <v>0</v>
      </c>
      <c r="J693" t="n">
        <v>0</v>
      </c>
      <c r="K693" t="n">
        <v>0</v>
      </c>
      <c r="L693" t="n">
        <v>0</v>
      </c>
      <c r="M693" t="n">
        <v>0</v>
      </c>
      <c r="N693" t="n">
        <v>0</v>
      </c>
      <c r="O693" t="n">
        <v>0</v>
      </c>
      <c r="P693" t="n">
        <v>0</v>
      </c>
      <c r="Q693" t="n">
        <v>0</v>
      </c>
      <c r="R693" s="2" t="inlineStr"/>
    </row>
    <row r="694" ht="15" customHeight="1">
      <c r="A694" t="inlineStr">
        <is>
          <t>A 53652-2022</t>
        </is>
      </c>
      <c r="B694" s="1" t="n">
        <v>44879</v>
      </c>
      <c r="C694" s="1" t="n">
        <v>45658</v>
      </c>
      <c r="D694" t="inlineStr">
        <is>
          <t>VÄSTERBOTTENS LÄN</t>
        </is>
      </c>
      <c r="E694" t="inlineStr">
        <is>
          <t>VILHELMINA</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53654-2022</t>
        </is>
      </c>
      <c r="B695" s="1" t="n">
        <v>44879</v>
      </c>
      <c r="C695" s="1" t="n">
        <v>45658</v>
      </c>
      <c r="D695" t="inlineStr">
        <is>
          <t>VÄSTERBOTTENS LÄN</t>
        </is>
      </c>
      <c r="E695" t="inlineStr">
        <is>
          <t>VILHELMINA</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53658-2022</t>
        </is>
      </c>
      <c r="B696" s="1" t="n">
        <v>44879</v>
      </c>
      <c r="C696" s="1" t="n">
        <v>45658</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54729-2022</t>
        </is>
      </c>
      <c r="B697" s="1" t="n">
        <v>44881</v>
      </c>
      <c r="C697" s="1" t="n">
        <v>45658</v>
      </c>
      <c r="D697" t="inlineStr">
        <is>
          <t>VÄSTERBOTTENS LÄN</t>
        </is>
      </c>
      <c r="E697" t="inlineStr">
        <is>
          <t>VILHELMINA</t>
        </is>
      </c>
      <c r="G697" t="n">
        <v>19.2</v>
      </c>
      <c r="H697" t="n">
        <v>0</v>
      </c>
      <c r="I697" t="n">
        <v>0</v>
      </c>
      <c r="J697" t="n">
        <v>0</v>
      </c>
      <c r="K697" t="n">
        <v>0</v>
      </c>
      <c r="L697" t="n">
        <v>0</v>
      </c>
      <c r="M697" t="n">
        <v>0</v>
      </c>
      <c r="N697" t="n">
        <v>0</v>
      </c>
      <c r="O697" t="n">
        <v>0</v>
      </c>
      <c r="P697" t="n">
        <v>0</v>
      </c>
      <c r="Q697" t="n">
        <v>0</v>
      </c>
      <c r="R697" s="2" t="inlineStr"/>
    </row>
    <row r="698" ht="15" customHeight="1">
      <c r="A698" t="inlineStr">
        <is>
          <t>A 54727-2022</t>
        </is>
      </c>
      <c r="B698" s="1" t="n">
        <v>44881</v>
      </c>
      <c r="C698" s="1" t="n">
        <v>45658</v>
      </c>
      <c r="D698" t="inlineStr">
        <is>
          <t>VÄSTERBOTTENS LÄN</t>
        </is>
      </c>
      <c r="E698" t="inlineStr">
        <is>
          <t>VILHELMINA</t>
        </is>
      </c>
      <c r="G698" t="n">
        <v>4.3</v>
      </c>
      <c r="H698" t="n">
        <v>0</v>
      </c>
      <c r="I698" t="n">
        <v>0</v>
      </c>
      <c r="J698" t="n">
        <v>0</v>
      </c>
      <c r="K698" t="n">
        <v>0</v>
      </c>
      <c r="L698" t="n">
        <v>0</v>
      </c>
      <c r="M698" t="n">
        <v>0</v>
      </c>
      <c r="N698" t="n">
        <v>0</v>
      </c>
      <c r="O698" t="n">
        <v>0</v>
      </c>
      <c r="P698" t="n">
        <v>0</v>
      </c>
      <c r="Q698" t="n">
        <v>0</v>
      </c>
      <c r="R698" s="2" t="inlineStr"/>
    </row>
    <row r="699" ht="15" customHeight="1">
      <c r="A699" t="inlineStr">
        <is>
          <t>A 55870-2022</t>
        </is>
      </c>
      <c r="B699" s="1" t="n">
        <v>44888</v>
      </c>
      <c r="C699" s="1" t="n">
        <v>45658</v>
      </c>
      <c r="D699" t="inlineStr">
        <is>
          <t>VÄSTERBOTTENS LÄN</t>
        </is>
      </c>
      <c r="E699" t="inlineStr">
        <is>
          <t>VILHELMINA</t>
        </is>
      </c>
      <c r="G699" t="n">
        <v>13.6</v>
      </c>
      <c r="H699" t="n">
        <v>0</v>
      </c>
      <c r="I699" t="n">
        <v>0</v>
      </c>
      <c r="J699" t="n">
        <v>0</v>
      </c>
      <c r="K699" t="n">
        <v>0</v>
      </c>
      <c r="L699" t="n">
        <v>0</v>
      </c>
      <c r="M699" t="n">
        <v>0</v>
      </c>
      <c r="N699" t="n">
        <v>0</v>
      </c>
      <c r="O699" t="n">
        <v>0</v>
      </c>
      <c r="P699" t="n">
        <v>0</v>
      </c>
      <c r="Q699" t="n">
        <v>0</v>
      </c>
      <c r="R699" s="2" t="inlineStr"/>
    </row>
    <row r="700" ht="15" customHeight="1">
      <c r="A700" t="inlineStr">
        <is>
          <t>A 56154-2022</t>
        </is>
      </c>
      <c r="B700" s="1" t="n">
        <v>44889</v>
      </c>
      <c r="C700" s="1" t="n">
        <v>45658</v>
      </c>
      <c r="D700" t="inlineStr">
        <is>
          <t>VÄSTERBOTTENS LÄN</t>
        </is>
      </c>
      <c r="E700" t="inlineStr">
        <is>
          <t>VILHELMINA</t>
        </is>
      </c>
      <c r="G700" t="n">
        <v>30</v>
      </c>
      <c r="H700" t="n">
        <v>0</v>
      </c>
      <c r="I700" t="n">
        <v>0</v>
      </c>
      <c r="J700" t="n">
        <v>0</v>
      </c>
      <c r="K700" t="n">
        <v>0</v>
      </c>
      <c r="L700" t="n">
        <v>0</v>
      </c>
      <c r="M700" t="n">
        <v>0</v>
      </c>
      <c r="N700" t="n">
        <v>0</v>
      </c>
      <c r="O700" t="n">
        <v>0</v>
      </c>
      <c r="P700" t="n">
        <v>0</v>
      </c>
      <c r="Q700" t="n">
        <v>0</v>
      </c>
      <c r="R700" s="2" t="inlineStr"/>
    </row>
    <row r="701" ht="15" customHeight="1">
      <c r="A701" t="inlineStr">
        <is>
          <t>A 56153-2022</t>
        </is>
      </c>
      <c r="B701" s="1" t="n">
        <v>44889</v>
      </c>
      <c r="C701" s="1" t="n">
        <v>45658</v>
      </c>
      <c r="D701" t="inlineStr">
        <is>
          <t>VÄSTERBOTTENS LÄN</t>
        </is>
      </c>
      <c r="E701" t="inlineStr">
        <is>
          <t>VILHELMINA</t>
        </is>
      </c>
      <c r="G701" t="n">
        <v>31.6</v>
      </c>
      <c r="H701" t="n">
        <v>0</v>
      </c>
      <c r="I701" t="n">
        <v>0</v>
      </c>
      <c r="J701" t="n">
        <v>0</v>
      </c>
      <c r="K701" t="n">
        <v>0</v>
      </c>
      <c r="L701" t="n">
        <v>0</v>
      </c>
      <c r="M701" t="n">
        <v>0</v>
      </c>
      <c r="N701" t="n">
        <v>0</v>
      </c>
      <c r="O701" t="n">
        <v>0</v>
      </c>
      <c r="P701" t="n">
        <v>0</v>
      </c>
      <c r="Q701" t="n">
        <v>0</v>
      </c>
      <c r="R701" s="2" t="inlineStr"/>
    </row>
    <row r="702" ht="15" customHeight="1">
      <c r="A702" t="inlineStr">
        <is>
          <t>A 56173-2022</t>
        </is>
      </c>
      <c r="B702" s="1" t="n">
        <v>44889</v>
      </c>
      <c r="C702" s="1" t="n">
        <v>45658</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56174-2022</t>
        </is>
      </c>
      <c r="B703" s="1" t="n">
        <v>44889</v>
      </c>
      <c r="C703" s="1" t="n">
        <v>45658</v>
      </c>
      <c r="D703" t="inlineStr">
        <is>
          <t>VÄSTERBOTTENS LÄN</t>
        </is>
      </c>
      <c r="E703" t="inlineStr">
        <is>
          <t>VILHELMINA</t>
        </is>
      </c>
      <c r="F703" t="inlineStr">
        <is>
          <t>SCA</t>
        </is>
      </c>
      <c r="G703" t="n">
        <v>7.3</v>
      </c>
      <c r="H703" t="n">
        <v>0</v>
      </c>
      <c r="I703" t="n">
        <v>0</v>
      </c>
      <c r="J703" t="n">
        <v>0</v>
      </c>
      <c r="K703" t="n">
        <v>0</v>
      </c>
      <c r="L703" t="n">
        <v>0</v>
      </c>
      <c r="M703" t="n">
        <v>0</v>
      </c>
      <c r="N703" t="n">
        <v>0</v>
      </c>
      <c r="O703" t="n">
        <v>0</v>
      </c>
      <c r="P703" t="n">
        <v>0</v>
      </c>
      <c r="Q703" t="n">
        <v>0</v>
      </c>
      <c r="R703" s="2" t="inlineStr"/>
    </row>
    <row r="704" ht="15" customHeight="1">
      <c r="A704" t="inlineStr">
        <is>
          <t>A 56179-2022</t>
        </is>
      </c>
      <c r="B704" s="1" t="n">
        <v>44889</v>
      </c>
      <c r="C704" s="1" t="n">
        <v>45658</v>
      </c>
      <c r="D704" t="inlineStr">
        <is>
          <t>VÄSTERBOTTENS LÄN</t>
        </is>
      </c>
      <c r="E704" t="inlineStr">
        <is>
          <t>VILHELMINA</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57332-2022</t>
        </is>
      </c>
      <c r="B705" s="1" t="n">
        <v>44889</v>
      </c>
      <c r="C705" s="1" t="n">
        <v>45658</v>
      </c>
      <c r="D705" t="inlineStr">
        <is>
          <t>VÄSTERBOTTENS LÄN</t>
        </is>
      </c>
      <c r="E705" t="inlineStr">
        <is>
          <t>VILHELMINA</t>
        </is>
      </c>
      <c r="G705" t="n">
        <v>5.1</v>
      </c>
      <c r="H705" t="n">
        <v>0</v>
      </c>
      <c r="I705" t="n">
        <v>0</v>
      </c>
      <c r="J705" t="n">
        <v>0</v>
      </c>
      <c r="K705" t="n">
        <v>0</v>
      </c>
      <c r="L705" t="n">
        <v>0</v>
      </c>
      <c r="M705" t="n">
        <v>0</v>
      </c>
      <c r="N705" t="n">
        <v>0</v>
      </c>
      <c r="O705" t="n">
        <v>0</v>
      </c>
      <c r="P705" t="n">
        <v>0</v>
      </c>
      <c r="Q705" t="n">
        <v>0</v>
      </c>
      <c r="R705" s="2" t="inlineStr"/>
    </row>
    <row r="706" ht="15" customHeight="1">
      <c r="A706" t="inlineStr">
        <is>
          <t>A 57324-2022</t>
        </is>
      </c>
      <c r="B706" s="1" t="n">
        <v>44889</v>
      </c>
      <c r="C706" s="1" t="n">
        <v>45658</v>
      </c>
      <c r="D706" t="inlineStr">
        <is>
          <t>VÄSTERBOTTENS LÄN</t>
        </is>
      </c>
      <c r="E706" t="inlineStr">
        <is>
          <t>VILHELMINA</t>
        </is>
      </c>
      <c r="G706" t="n">
        <v>1.7</v>
      </c>
      <c r="H706" t="n">
        <v>0</v>
      </c>
      <c r="I706" t="n">
        <v>0</v>
      </c>
      <c r="J706" t="n">
        <v>0</v>
      </c>
      <c r="K706" t="n">
        <v>0</v>
      </c>
      <c r="L706" t="n">
        <v>0</v>
      </c>
      <c r="M706" t="n">
        <v>0</v>
      </c>
      <c r="N706" t="n">
        <v>0</v>
      </c>
      <c r="O706" t="n">
        <v>0</v>
      </c>
      <c r="P706" t="n">
        <v>0</v>
      </c>
      <c r="Q706" t="n">
        <v>0</v>
      </c>
      <c r="R706" s="2" t="inlineStr"/>
    </row>
    <row r="707" ht="15" customHeight="1">
      <c r="A707" t="inlineStr">
        <is>
          <t>A 57328-2022</t>
        </is>
      </c>
      <c r="B707" s="1" t="n">
        <v>44889</v>
      </c>
      <c r="C707" s="1" t="n">
        <v>45658</v>
      </c>
      <c r="D707" t="inlineStr">
        <is>
          <t>VÄSTERBOTTENS LÄN</t>
        </is>
      </c>
      <c r="E707" t="inlineStr">
        <is>
          <t>VILHELMINA</t>
        </is>
      </c>
      <c r="G707" t="n">
        <v>9.5</v>
      </c>
      <c r="H707" t="n">
        <v>0</v>
      </c>
      <c r="I707" t="n">
        <v>0</v>
      </c>
      <c r="J707" t="n">
        <v>0</v>
      </c>
      <c r="K707" t="n">
        <v>0</v>
      </c>
      <c r="L707" t="n">
        <v>0</v>
      </c>
      <c r="M707" t="n">
        <v>0</v>
      </c>
      <c r="N707" t="n">
        <v>0</v>
      </c>
      <c r="O707" t="n">
        <v>0</v>
      </c>
      <c r="P707" t="n">
        <v>0</v>
      </c>
      <c r="Q707" t="n">
        <v>0</v>
      </c>
      <c r="R707" s="2" t="inlineStr"/>
    </row>
    <row r="708" ht="15" customHeight="1">
      <c r="A708" t="inlineStr">
        <is>
          <t>A 57339-2022</t>
        </is>
      </c>
      <c r="B708" s="1" t="n">
        <v>44889</v>
      </c>
      <c r="C708" s="1" t="n">
        <v>45658</v>
      </c>
      <c r="D708" t="inlineStr">
        <is>
          <t>VÄSTERBOTTENS LÄN</t>
        </is>
      </c>
      <c r="E708" t="inlineStr">
        <is>
          <t>VILHELMINA</t>
        </is>
      </c>
      <c r="G708" t="n">
        <v>33.1</v>
      </c>
      <c r="H708" t="n">
        <v>0</v>
      </c>
      <c r="I708" t="n">
        <v>0</v>
      </c>
      <c r="J708" t="n">
        <v>0</v>
      </c>
      <c r="K708" t="n">
        <v>0</v>
      </c>
      <c r="L708" t="n">
        <v>0</v>
      </c>
      <c r="M708" t="n">
        <v>0</v>
      </c>
      <c r="N708" t="n">
        <v>0</v>
      </c>
      <c r="O708" t="n">
        <v>0</v>
      </c>
      <c r="P708" t="n">
        <v>0</v>
      </c>
      <c r="Q708" t="n">
        <v>0</v>
      </c>
      <c r="R708" s="2" t="inlineStr"/>
    </row>
    <row r="709" ht="15" customHeight="1">
      <c r="A709" t="inlineStr">
        <is>
          <t>A 56408-2022</t>
        </is>
      </c>
      <c r="B709" s="1" t="n">
        <v>44890</v>
      </c>
      <c r="C709" s="1" t="n">
        <v>45658</v>
      </c>
      <c r="D709" t="inlineStr">
        <is>
          <t>VÄSTERBOTTENS LÄN</t>
        </is>
      </c>
      <c r="E709" t="inlineStr">
        <is>
          <t>VILHELMINA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56396-2022</t>
        </is>
      </c>
      <c r="B710" s="1" t="n">
        <v>44890</v>
      </c>
      <c r="C710" s="1" t="n">
        <v>45658</v>
      </c>
      <c r="D710" t="inlineStr">
        <is>
          <t>VÄSTERBOTTENS LÄN</t>
        </is>
      </c>
      <c r="E710" t="inlineStr">
        <is>
          <t>VILHELMINA</t>
        </is>
      </c>
      <c r="G710" t="n">
        <v>1.6</v>
      </c>
      <c r="H710" t="n">
        <v>0</v>
      </c>
      <c r="I710" t="n">
        <v>0</v>
      </c>
      <c r="J710" t="n">
        <v>0</v>
      </c>
      <c r="K710" t="n">
        <v>0</v>
      </c>
      <c r="L710" t="n">
        <v>0</v>
      </c>
      <c r="M710" t="n">
        <v>0</v>
      </c>
      <c r="N710" t="n">
        <v>0</v>
      </c>
      <c r="O710" t="n">
        <v>0</v>
      </c>
      <c r="P710" t="n">
        <v>0</v>
      </c>
      <c r="Q710" t="n">
        <v>0</v>
      </c>
      <c r="R710" s="2" t="inlineStr"/>
    </row>
    <row r="711" ht="15" customHeight="1">
      <c r="A711" t="inlineStr">
        <is>
          <t>A 56405-2022</t>
        </is>
      </c>
      <c r="B711" s="1" t="n">
        <v>44890</v>
      </c>
      <c r="C711" s="1" t="n">
        <v>45658</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56409-2022</t>
        </is>
      </c>
      <c r="B712" s="1" t="n">
        <v>44890</v>
      </c>
      <c r="C712" s="1" t="n">
        <v>45658</v>
      </c>
      <c r="D712" t="inlineStr">
        <is>
          <t>VÄSTERBOTTENS LÄN</t>
        </is>
      </c>
      <c r="E712" t="inlineStr">
        <is>
          <t>VILHELMINA</t>
        </is>
      </c>
      <c r="F712" t="inlineStr">
        <is>
          <t>SCA</t>
        </is>
      </c>
      <c r="G712" t="n">
        <v>10</v>
      </c>
      <c r="H712" t="n">
        <v>0</v>
      </c>
      <c r="I712" t="n">
        <v>0</v>
      </c>
      <c r="J712" t="n">
        <v>0</v>
      </c>
      <c r="K712" t="n">
        <v>0</v>
      </c>
      <c r="L712" t="n">
        <v>0</v>
      </c>
      <c r="M712" t="n">
        <v>0</v>
      </c>
      <c r="N712" t="n">
        <v>0</v>
      </c>
      <c r="O712" t="n">
        <v>0</v>
      </c>
      <c r="P712" t="n">
        <v>0</v>
      </c>
      <c r="Q712" t="n">
        <v>0</v>
      </c>
      <c r="R712" s="2" t="inlineStr"/>
    </row>
    <row r="713" ht="15" customHeight="1">
      <c r="A713" t="inlineStr">
        <is>
          <t>A 56407-2022</t>
        </is>
      </c>
      <c r="B713" s="1" t="n">
        <v>44890</v>
      </c>
      <c r="C713" s="1" t="n">
        <v>45658</v>
      </c>
      <c r="D713" t="inlineStr">
        <is>
          <t>VÄSTERBOTTENS LÄN</t>
        </is>
      </c>
      <c r="E713" t="inlineStr">
        <is>
          <t>VILHELMINA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56406-2022</t>
        </is>
      </c>
      <c r="B714" s="1" t="n">
        <v>44890</v>
      </c>
      <c r="C714" s="1" t="n">
        <v>45658</v>
      </c>
      <c r="D714" t="inlineStr">
        <is>
          <t>VÄSTERBOTTENS LÄN</t>
        </is>
      </c>
      <c r="E714" t="inlineStr">
        <is>
          <t>VILHELMINA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56733-2022</t>
        </is>
      </c>
      <c r="B715" s="1" t="n">
        <v>44893</v>
      </c>
      <c r="C715" s="1" t="n">
        <v>45658</v>
      </c>
      <c r="D715" t="inlineStr">
        <is>
          <t>VÄSTERBOTTENS LÄN</t>
        </is>
      </c>
      <c r="E715" t="inlineStr">
        <is>
          <t>VILHELMINA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57586-2022</t>
        </is>
      </c>
      <c r="B716" s="1" t="n">
        <v>44896</v>
      </c>
      <c r="C716" s="1" t="n">
        <v>45658</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58938-2022</t>
        </is>
      </c>
      <c r="B717" s="1" t="n">
        <v>44896</v>
      </c>
      <c r="C717" s="1" t="n">
        <v>45658</v>
      </c>
      <c r="D717" t="inlineStr">
        <is>
          <t>VÄSTERBOTTENS LÄN</t>
        </is>
      </c>
      <c r="E717" t="inlineStr">
        <is>
          <t>VILHELMINA</t>
        </is>
      </c>
      <c r="G717" t="n">
        <v>4.1</v>
      </c>
      <c r="H717" t="n">
        <v>0</v>
      </c>
      <c r="I717" t="n">
        <v>0</v>
      </c>
      <c r="J717" t="n">
        <v>0</v>
      </c>
      <c r="K717" t="n">
        <v>0</v>
      </c>
      <c r="L717" t="n">
        <v>0</v>
      </c>
      <c r="M717" t="n">
        <v>0</v>
      </c>
      <c r="N717" t="n">
        <v>0</v>
      </c>
      <c r="O717" t="n">
        <v>0</v>
      </c>
      <c r="P717" t="n">
        <v>0</v>
      </c>
      <c r="Q717" t="n">
        <v>0</v>
      </c>
      <c r="R717" s="2" t="inlineStr"/>
    </row>
    <row r="718" ht="15" customHeight="1">
      <c r="A718" t="inlineStr">
        <is>
          <t>A 58207-2022</t>
        </is>
      </c>
      <c r="B718" s="1" t="n">
        <v>44901</v>
      </c>
      <c r="C718" s="1" t="n">
        <v>45658</v>
      </c>
      <c r="D718" t="inlineStr">
        <is>
          <t>VÄSTERBOTTENS LÄN</t>
        </is>
      </c>
      <c r="E718" t="inlineStr">
        <is>
          <t>VILHELMINA</t>
        </is>
      </c>
      <c r="G718" t="n">
        <v>143.2</v>
      </c>
      <c r="H718" t="n">
        <v>0</v>
      </c>
      <c r="I718" t="n">
        <v>0</v>
      </c>
      <c r="J718" t="n">
        <v>0</v>
      </c>
      <c r="K718" t="n">
        <v>0</v>
      </c>
      <c r="L718" t="n">
        <v>0</v>
      </c>
      <c r="M718" t="n">
        <v>0</v>
      </c>
      <c r="N718" t="n">
        <v>0</v>
      </c>
      <c r="O718" t="n">
        <v>0</v>
      </c>
      <c r="P718" t="n">
        <v>0</v>
      </c>
      <c r="Q718" t="n">
        <v>0</v>
      </c>
      <c r="R718" s="2" t="inlineStr"/>
    </row>
    <row r="719" ht="15" customHeight="1">
      <c r="A719" t="inlineStr">
        <is>
          <t>A 58720-2022</t>
        </is>
      </c>
      <c r="B719" s="1" t="n">
        <v>44902</v>
      </c>
      <c r="C719" s="1" t="n">
        <v>45658</v>
      </c>
      <c r="D719" t="inlineStr">
        <is>
          <t>VÄSTERBOTTENS LÄN</t>
        </is>
      </c>
      <c r="E719" t="inlineStr">
        <is>
          <t>VILHELMINA</t>
        </is>
      </c>
      <c r="G719" t="n">
        <v>6.7</v>
      </c>
      <c r="H719" t="n">
        <v>0</v>
      </c>
      <c r="I719" t="n">
        <v>0</v>
      </c>
      <c r="J719" t="n">
        <v>0</v>
      </c>
      <c r="K719" t="n">
        <v>0</v>
      </c>
      <c r="L719" t="n">
        <v>0</v>
      </c>
      <c r="M719" t="n">
        <v>0</v>
      </c>
      <c r="N719" t="n">
        <v>0</v>
      </c>
      <c r="O719" t="n">
        <v>0</v>
      </c>
      <c r="P719" t="n">
        <v>0</v>
      </c>
      <c r="Q719" t="n">
        <v>0</v>
      </c>
      <c r="R719" s="2" t="inlineStr"/>
    </row>
    <row r="720" ht="15" customHeight="1">
      <c r="A720" t="inlineStr">
        <is>
          <t>A 58739-2022</t>
        </is>
      </c>
      <c r="B720" s="1" t="n">
        <v>44902</v>
      </c>
      <c r="C720" s="1" t="n">
        <v>45658</v>
      </c>
      <c r="D720" t="inlineStr">
        <is>
          <t>VÄSTERBOTTENS LÄN</t>
        </is>
      </c>
      <c r="E720" t="inlineStr">
        <is>
          <t>VILHELMINA</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59030-2022</t>
        </is>
      </c>
      <c r="B721" s="1" t="n">
        <v>44903</v>
      </c>
      <c r="C721" s="1" t="n">
        <v>45658</v>
      </c>
      <c r="D721" t="inlineStr">
        <is>
          <t>VÄSTERBOTTENS LÄN</t>
        </is>
      </c>
      <c r="E721" t="inlineStr">
        <is>
          <t>VILHELMINA</t>
        </is>
      </c>
      <c r="G721" t="n">
        <v>17.8</v>
      </c>
      <c r="H721" t="n">
        <v>0</v>
      </c>
      <c r="I721" t="n">
        <v>0</v>
      </c>
      <c r="J721" t="n">
        <v>0</v>
      </c>
      <c r="K721" t="n">
        <v>0</v>
      </c>
      <c r="L721" t="n">
        <v>0</v>
      </c>
      <c r="M721" t="n">
        <v>0</v>
      </c>
      <c r="N721" t="n">
        <v>0</v>
      </c>
      <c r="O721" t="n">
        <v>0</v>
      </c>
      <c r="P721" t="n">
        <v>0</v>
      </c>
      <c r="Q721" t="n">
        <v>0</v>
      </c>
      <c r="R721" s="2" t="inlineStr"/>
    </row>
    <row r="722" ht="15" customHeight="1">
      <c r="A722" t="inlineStr">
        <is>
          <t>A 60227-2022</t>
        </is>
      </c>
      <c r="B722" s="1" t="n">
        <v>44903</v>
      </c>
      <c r="C722" s="1" t="n">
        <v>45658</v>
      </c>
      <c r="D722" t="inlineStr">
        <is>
          <t>VÄSTERBOTTENS LÄN</t>
        </is>
      </c>
      <c r="E722" t="inlineStr">
        <is>
          <t>VILHELMINA</t>
        </is>
      </c>
      <c r="G722" t="n">
        <v>11</v>
      </c>
      <c r="H722" t="n">
        <v>0</v>
      </c>
      <c r="I722" t="n">
        <v>0</v>
      </c>
      <c r="J722" t="n">
        <v>0</v>
      </c>
      <c r="K722" t="n">
        <v>0</v>
      </c>
      <c r="L722" t="n">
        <v>0</v>
      </c>
      <c r="M722" t="n">
        <v>0</v>
      </c>
      <c r="N722" t="n">
        <v>0</v>
      </c>
      <c r="O722" t="n">
        <v>0</v>
      </c>
      <c r="P722" t="n">
        <v>0</v>
      </c>
      <c r="Q722" t="n">
        <v>0</v>
      </c>
      <c r="R722" s="2" t="inlineStr"/>
    </row>
    <row r="723" ht="15" customHeight="1">
      <c r="A723" t="inlineStr">
        <is>
          <t>A 60137-2022</t>
        </is>
      </c>
      <c r="B723" s="1" t="n">
        <v>44909</v>
      </c>
      <c r="C723" s="1" t="n">
        <v>45658</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61270-2022</t>
        </is>
      </c>
      <c r="B724" s="1" t="n">
        <v>44909</v>
      </c>
      <c r="C724" s="1" t="n">
        <v>45658</v>
      </c>
      <c r="D724" t="inlineStr">
        <is>
          <t>VÄSTERBOTTENS LÄN</t>
        </is>
      </c>
      <c r="E724" t="inlineStr">
        <is>
          <t>VILHELMINA</t>
        </is>
      </c>
      <c r="G724" t="n">
        <v>8.9</v>
      </c>
      <c r="H724" t="n">
        <v>0</v>
      </c>
      <c r="I724" t="n">
        <v>0</v>
      </c>
      <c r="J724" t="n">
        <v>0</v>
      </c>
      <c r="K724" t="n">
        <v>0</v>
      </c>
      <c r="L724" t="n">
        <v>0</v>
      </c>
      <c r="M724" t="n">
        <v>0</v>
      </c>
      <c r="N724" t="n">
        <v>0</v>
      </c>
      <c r="O724" t="n">
        <v>0</v>
      </c>
      <c r="P724" t="n">
        <v>0</v>
      </c>
      <c r="Q724" t="n">
        <v>0</v>
      </c>
      <c r="R724" s="2" t="inlineStr"/>
    </row>
    <row r="725" ht="15" customHeight="1">
      <c r="A725" t="inlineStr">
        <is>
          <t>A 60682-2022</t>
        </is>
      </c>
      <c r="B725" s="1" t="n">
        <v>44911</v>
      </c>
      <c r="C725" s="1" t="n">
        <v>45658</v>
      </c>
      <c r="D725" t="inlineStr">
        <is>
          <t>VÄSTERBOTTENS LÄN</t>
        </is>
      </c>
      <c r="E725" t="inlineStr">
        <is>
          <t>VILHELMINA</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60549-2022</t>
        </is>
      </c>
      <c r="B726" s="1" t="n">
        <v>44911</v>
      </c>
      <c r="C726" s="1" t="n">
        <v>45658</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61048-2022</t>
        </is>
      </c>
      <c r="B727" s="1" t="n">
        <v>44914</v>
      </c>
      <c r="C727" s="1" t="n">
        <v>45658</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61668-2022</t>
        </is>
      </c>
      <c r="B728" s="1" t="n">
        <v>44917</v>
      </c>
      <c r="C728" s="1" t="n">
        <v>45658</v>
      </c>
      <c r="D728" t="inlineStr">
        <is>
          <t>VÄSTERBOTTENS LÄN</t>
        </is>
      </c>
      <c r="E728" t="inlineStr">
        <is>
          <t>VILHELMINA</t>
        </is>
      </c>
      <c r="F728" t="inlineStr">
        <is>
          <t>Sveaskog</t>
        </is>
      </c>
      <c r="G728" t="n">
        <v>5.8</v>
      </c>
      <c r="H728" t="n">
        <v>0</v>
      </c>
      <c r="I728" t="n">
        <v>0</v>
      </c>
      <c r="J728" t="n">
        <v>0</v>
      </c>
      <c r="K728" t="n">
        <v>0</v>
      </c>
      <c r="L728" t="n">
        <v>0</v>
      </c>
      <c r="M728" t="n">
        <v>0</v>
      </c>
      <c r="N728" t="n">
        <v>0</v>
      </c>
      <c r="O728" t="n">
        <v>0</v>
      </c>
      <c r="P728" t="n">
        <v>0</v>
      </c>
      <c r="Q728" t="n">
        <v>0</v>
      </c>
      <c r="R728" s="2" t="inlineStr"/>
    </row>
    <row r="729" ht="15" customHeight="1">
      <c r="A729" t="inlineStr">
        <is>
          <t>A 61695-2022</t>
        </is>
      </c>
      <c r="B729" s="1" t="n">
        <v>44917</v>
      </c>
      <c r="C729" s="1" t="n">
        <v>45658</v>
      </c>
      <c r="D729" t="inlineStr">
        <is>
          <t>VÄSTERBOTTENS LÄN</t>
        </is>
      </c>
      <c r="E729" t="inlineStr">
        <is>
          <t>VILHELMINA</t>
        </is>
      </c>
      <c r="F729" t="inlineStr">
        <is>
          <t>Sveaskog</t>
        </is>
      </c>
      <c r="G729" t="n">
        <v>7.9</v>
      </c>
      <c r="H729" t="n">
        <v>0</v>
      </c>
      <c r="I729" t="n">
        <v>0</v>
      </c>
      <c r="J729" t="n">
        <v>0</v>
      </c>
      <c r="K729" t="n">
        <v>0</v>
      </c>
      <c r="L729" t="n">
        <v>0</v>
      </c>
      <c r="M729" t="n">
        <v>0</v>
      </c>
      <c r="N729" t="n">
        <v>0</v>
      </c>
      <c r="O729" t="n">
        <v>0</v>
      </c>
      <c r="P729" t="n">
        <v>0</v>
      </c>
      <c r="Q729" t="n">
        <v>0</v>
      </c>
      <c r="R729" s="2" t="inlineStr"/>
    </row>
    <row r="730" ht="15" customHeight="1">
      <c r="A730" t="inlineStr">
        <is>
          <t>A 62630-2022</t>
        </is>
      </c>
      <c r="B730" s="1" t="n">
        <v>44917</v>
      </c>
      <c r="C730" s="1" t="n">
        <v>45658</v>
      </c>
      <c r="D730" t="inlineStr">
        <is>
          <t>VÄSTERBOTTENS LÄN</t>
        </is>
      </c>
      <c r="E730" t="inlineStr">
        <is>
          <t>VILHELMINA</t>
        </is>
      </c>
      <c r="G730" t="n">
        <v>0.9</v>
      </c>
      <c r="H730" t="n">
        <v>0</v>
      </c>
      <c r="I730" t="n">
        <v>0</v>
      </c>
      <c r="J730" t="n">
        <v>0</v>
      </c>
      <c r="K730" t="n">
        <v>0</v>
      </c>
      <c r="L730" t="n">
        <v>0</v>
      </c>
      <c r="M730" t="n">
        <v>0</v>
      </c>
      <c r="N730" t="n">
        <v>0</v>
      </c>
      <c r="O730" t="n">
        <v>0</v>
      </c>
      <c r="P730" t="n">
        <v>0</v>
      </c>
      <c r="Q730" t="n">
        <v>0</v>
      </c>
      <c r="R730" s="2" t="inlineStr"/>
    </row>
    <row r="731" ht="15" customHeight="1">
      <c r="A731" t="inlineStr">
        <is>
          <t>A 62543-2022</t>
        </is>
      </c>
      <c r="B731" s="1" t="n">
        <v>44917</v>
      </c>
      <c r="C731" s="1" t="n">
        <v>45658</v>
      </c>
      <c r="D731" t="inlineStr">
        <is>
          <t>VÄSTERBOTTENS LÄN</t>
        </is>
      </c>
      <c r="E731" t="inlineStr">
        <is>
          <t>VILHELMINA</t>
        </is>
      </c>
      <c r="G731" t="n">
        <v>8.1</v>
      </c>
      <c r="H731" t="n">
        <v>0</v>
      </c>
      <c r="I731" t="n">
        <v>0</v>
      </c>
      <c r="J731" t="n">
        <v>0</v>
      </c>
      <c r="K731" t="n">
        <v>0</v>
      </c>
      <c r="L731" t="n">
        <v>0</v>
      </c>
      <c r="M731" t="n">
        <v>0</v>
      </c>
      <c r="N731" t="n">
        <v>0</v>
      </c>
      <c r="O731" t="n">
        <v>0</v>
      </c>
      <c r="P731" t="n">
        <v>0</v>
      </c>
      <c r="Q731" t="n">
        <v>0</v>
      </c>
      <c r="R731" s="2" t="inlineStr"/>
    </row>
    <row r="732" ht="15" customHeight="1">
      <c r="A732" t="inlineStr">
        <is>
          <t>A 62110-2022</t>
        </is>
      </c>
      <c r="B732" s="1" t="n">
        <v>44920</v>
      </c>
      <c r="C732" s="1" t="n">
        <v>45658</v>
      </c>
      <c r="D732" t="inlineStr">
        <is>
          <t>VÄSTERBOTTENS LÄN</t>
        </is>
      </c>
      <c r="E732" t="inlineStr">
        <is>
          <t>VILHELMINA</t>
        </is>
      </c>
      <c r="G732" t="n">
        <v>4.5</v>
      </c>
      <c r="H732" t="n">
        <v>0</v>
      </c>
      <c r="I732" t="n">
        <v>0</v>
      </c>
      <c r="J732" t="n">
        <v>0</v>
      </c>
      <c r="K732" t="n">
        <v>0</v>
      </c>
      <c r="L732" t="n">
        <v>0</v>
      </c>
      <c r="M732" t="n">
        <v>0</v>
      </c>
      <c r="N732" t="n">
        <v>0</v>
      </c>
      <c r="O732" t="n">
        <v>0</v>
      </c>
      <c r="P732" t="n">
        <v>0</v>
      </c>
      <c r="Q732" t="n">
        <v>0</v>
      </c>
      <c r="R732" s="2" t="inlineStr"/>
    </row>
    <row r="733" ht="15" customHeight="1">
      <c r="A733" t="inlineStr">
        <is>
          <t>A 62404-2022</t>
        </is>
      </c>
      <c r="B733" s="1" t="n">
        <v>44923</v>
      </c>
      <c r="C733" s="1" t="n">
        <v>45658</v>
      </c>
      <c r="D733" t="inlineStr">
        <is>
          <t>VÄSTERBOTTENS LÄN</t>
        </is>
      </c>
      <c r="E733" t="inlineStr">
        <is>
          <t>VILHELMINA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62405-2022</t>
        </is>
      </c>
      <c r="B734" s="1" t="n">
        <v>44923</v>
      </c>
      <c r="C734" s="1" t="n">
        <v>45658</v>
      </c>
      <c r="D734" t="inlineStr">
        <is>
          <t>VÄSTERBOTTENS LÄN</t>
        </is>
      </c>
      <c r="E734" t="inlineStr">
        <is>
          <t>VILHELMINA</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402-2023</t>
        </is>
      </c>
      <c r="B735" s="1" t="n">
        <v>44923</v>
      </c>
      <c r="C735" s="1" t="n">
        <v>45658</v>
      </c>
      <c r="D735" t="inlineStr">
        <is>
          <t>VÄSTERBOTTENS LÄN</t>
        </is>
      </c>
      <c r="E735" t="inlineStr">
        <is>
          <t>VILHELMINA</t>
        </is>
      </c>
      <c r="G735" t="n">
        <v>14.7</v>
      </c>
      <c r="H735" t="n">
        <v>0</v>
      </c>
      <c r="I735" t="n">
        <v>0</v>
      </c>
      <c r="J735" t="n">
        <v>0</v>
      </c>
      <c r="K735" t="n">
        <v>0</v>
      </c>
      <c r="L735" t="n">
        <v>0</v>
      </c>
      <c r="M735" t="n">
        <v>0</v>
      </c>
      <c r="N735" t="n">
        <v>0</v>
      </c>
      <c r="O735" t="n">
        <v>0</v>
      </c>
      <c r="P735" t="n">
        <v>0</v>
      </c>
      <c r="Q735" t="n">
        <v>0</v>
      </c>
      <c r="R735" s="2" t="inlineStr"/>
    </row>
    <row r="736" ht="15" customHeight="1">
      <c r="A736" t="inlineStr">
        <is>
          <t>A 288-2023</t>
        </is>
      </c>
      <c r="B736" s="1" t="n">
        <v>44928</v>
      </c>
      <c r="C736" s="1" t="n">
        <v>45658</v>
      </c>
      <c r="D736" t="inlineStr">
        <is>
          <t>VÄSTERBOTTENS LÄN</t>
        </is>
      </c>
      <c r="E736" t="inlineStr">
        <is>
          <t>VILHELMINA</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701-2023</t>
        </is>
      </c>
      <c r="B737" s="1" t="n">
        <v>44930</v>
      </c>
      <c r="C737" s="1" t="n">
        <v>45658</v>
      </c>
      <c r="D737" t="inlineStr">
        <is>
          <t>VÄSTERBOTTENS LÄN</t>
        </is>
      </c>
      <c r="E737" t="inlineStr">
        <is>
          <t>VILHELMINA</t>
        </is>
      </c>
      <c r="G737" t="n">
        <v>11.5</v>
      </c>
      <c r="H737" t="n">
        <v>0</v>
      </c>
      <c r="I737" t="n">
        <v>0</v>
      </c>
      <c r="J737" t="n">
        <v>0</v>
      </c>
      <c r="K737" t="n">
        <v>0</v>
      </c>
      <c r="L737" t="n">
        <v>0</v>
      </c>
      <c r="M737" t="n">
        <v>0</v>
      </c>
      <c r="N737" t="n">
        <v>0</v>
      </c>
      <c r="O737" t="n">
        <v>0</v>
      </c>
      <c r="P737" t="n">
        <v>0</v>
      </c>
      <c r="Q737" t="n">
        <v>0</v>
      </c>
      <c r="R737" s="2" t="inlineStr"/>
    </row>
    <row r="738" ht="15" customHeight="1">
      <c r="A738" t="inlineStr">
        <is>
          <t>A 1035-2023</t>
        </is>
      </c>
      <c r="B738" s="1" t="n">
        <v>44935</v>
      </c>
      <c r="C738" s="1" t="n">
        <v>45658</v>
      </c>
      <c r="D738" t="inlineStr">
        <is>
          <t>VÄSTERBOTTENS LÄN</t>
        </is>
      </c>
      <c r="E738" t="inlineStr">
        <is>
          <t>VILHELMINA</t>
        </is>
      </c>
      <c r="G738" t="n">
        <v>10.4</v>
      </c>
      <c r="H738" t="n">
        <v>0</v>
      </c>
      <c r="I738" t="n">
        <v>0</v>
      </c>
      <c r="J738" t="n">
        <v>0</v>
      </c>
      <c r="K738" t="n">
        <v>0</v>
      </c>
      <c r="L738" t="n">
        <v>0</v>
      </c>
      <c r="M738" t="n">
        <v>0</v>
      </c>
      <c r="N738" t="n">
        <v>0</v>
      </c>
      <c r="O738" t="n">
        <v>0</v>
      </c>
      <c r="P738" t="n">
        <v>0</v>
      </c>
      <c r="Q738" t="n">
        <v>0</v>
      </c>
      <c r="R738" s="2" t="inlineStr"/>
    </row>
    <row r="739" ht="15" customHeight="1">
      <c r="A739" t="inlineStr">
        <is>
          <t>A 1776-2023</t>
        </is>
      </c>
      <c r="B739" s="1" t="n">
        <v>44936</v>
      </c>
      <c r="C739" s="1" t="n">
        <v>45658</v>
      </c>
      <c r="D739" t="inlineStr">
        <is>
          <t>VÄSTERBOTTENS LÄN</t>
        </is>
      </c>
      <c r="E739" t="inlineStr">
        <is>
          <t>VILHELMINA</t>
        </is>
      </c>
      <c r="F739" t="inlineStr">
        <is>
          <t>Övriga Aktiebolag</t>
        </is>
      </c>
      <c r="G739" t="n">
        <v>18.4</v>
      </c>
      <c r="H739" t="n">
        <v>0</v>
      </c>
      <c r="I739" t="n">
        <v>0</v>
      </c>
      <c r="J739" t="n">
        <v>0</v>
      </c>
      <c r="K739" t="n">
        <v>0</v>
      </c>
      <c r="L739" t="n">
        <v>0</v>
      </c>
      <c r="M739" t="n">
        <v>0</v>
      </c>
      <c r="N739" t="n">
        <v>0</v>
      </c>
      <c r="O739" t="n">
        <v>0</v>
      </c>
      <c r="P739" t="n">
        <v>0</v>
      </c>
      <c r="Q739" t="n">
        <v>0</v>
      </c>
      <c r="R739" s="2" t="inlineStr"/>
    </row>
    <row r="740" ht="15" customHeight="1">
      <c r="A740" t="inlineStr">
        <is>
          <t>A 1763-2023</t>
        </is>
      </c>
      <c r="B740" s="1" t="n">
        <v>44938</v>
      </c>
      <c r="C740" s="1" t="n">
        <v>45658</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1766-2023</t>
        </is>
      </c>
      <c r="B741" s="1" t="n">
        <v>44938</v>
      </c>
      <c r="C741" s="1" t="n">
        <v>45658</v>
      </c>
      <c r="D741" t="inlineStr">
        <is>
          <t>VÄSTERBOTTENS LÄN</t>
        </is>
      </c>
      <c r="E741" t="inlineStr">
        <is>
          <t>VILHELMINA</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2031-2023</t>
        </is>
      </c>
      <c r="B742" s="1" t="n">
        <v>44939</v>
      </c>
      <c r="C742" s="1" t="n">
        <v>45658</v>
      </c>
      <c r="D742" t="inlineStr">
        <is>
          <t>VÄSTERBOTTENS LÄN</t>
        </is>
      </c>
      <c r="E742" t="inlineStr">
        <is>
          <t>VILHELMINA</t>
        </is>
      </c>
      <c r="F742" t="inlineStr">
        <is>
          <t>Sveaskog</t>
        </is>
      </c>
      <c r="G742" t="n">
        <v>6.5</v>
      </c>
      <c r="H742" t="n">
        <v>0</v>
      </c>
      <c r="I742" t="n">
        <v>0</v>
      </c>
      <c r="J742" t="n">
        <v>0</v>
      </c>
      <c r="K742" t="n">
        <v>0</v>
      </c>
      <c r="L742" t="n">
        <v>0</v>
      </c>
      <c r="M742" t="n">
        <v>0</v>
      </c>
      <c r="N742" t="n">
        <v>0</v>
      </c>
      <c r="O742" t="n">
        <v>0</v>
      </c>
      <c r="P742" t="n">
        <v>0</v>
      </c>
      <c r="Q742" t="n">
        <v>0</v>
      </c>
      <c r="R742" s="2" t="inlineStr"/>
    </row>
    <row r="743" ht="15" customHeight="1">
      <c r="A743" t="inlineStr">
        <is>
          <t>A 2074-2023</t>
        </is>
      </c>
      <c r="B743" s="1" t="n">
        <v>44939</v>
      </c>
      <c r="C743" s="1" t="n">
        <v>45658</v>
      </c>
      <c r="D743" t="inlineStr">
        <is>
          <t>VÄSTERBOTTENS LÄN</t>
        </is>
      </c>
      <c r="E743" t="inlineStr">
        <is>
          <t>VILHELMINA</t>
        </is>
      </c>
      <c r="G743" t="n">
        <v>6.2</v>
      </c>
      <c r="H743" t="n">
        <v>0</v>
      </c>
      <c r="I743" t="n">
        <v>0</v>
      </c>
      <c r="J743" t="n">
        <v>0</v>
      </c>
      <c r="K743" t="n">
        <v>0</v>
      </c>
      <c r="L743" t="n">
        <v>0</v>
      </c>
      <c r="M743" t="n">
        <v>0</v>
      </c>
      <c r="N743" t="n">
        <v>0</v>
      </c>
      <c r="O743" t="n">
        <v>0</v>
      </c>
      <c r="P743" t="n">
        <v>0</v>
      </c>
      <c r="Q743" t="n">
        <v>0</v>
      </c>
      <c r="R743" s="2" t="inlineStr"/>
    </row>
    <row r="744" ht="15" customHeight="1">
      <c r="A744" t="inlineStr">
        <is>
          <t>A 2054-2023</t>
        </is>
      </c>
      <c r="B744" s="1" t="n">
        <v>44939</v>
      </c>
      <c r="C744" s="1" t="n">
        <v>45658</v>
      </c>
      <c r="D744" t="inlineStr">
        <is>
          <t>VÄSTERBOTTENS LÄN</t>
        </is>
      </c>
      <c r="E744" t="inlineStr">
        <is>
          <t>VILHELMINA</t>
        </is>
      </c>
      <c r="F744" t="inlineStr">
        <is>
          <t>Sveaskog</t>
        </is>
      </c>
      <c r="G744" t="n">
        <v>19.2</v>
      </c>
      <c r="H744" t="n">
        <v>0</v>
      </c>
      <c r="I744" t="n">
        <v>0</v>
      </c>
      <c r="J744" t="n">
        <v>0</v>
      </c>
      <c r="K744" t="n">
        <v>0</v>
      </c>
      <c r="L744" t="n">
        <v>0</v>
      </c>
      <c r="M744" t="n">
        <v>0</v>
      </c>
      <c r="N744" t="n">
        <v>0</v>
      </c>
      <c r="O744" t="n">
        <v>0</v>
      </c>
      <c r="P744" t="n">
        <v>0</v>
      </c>
      <c r="Q744" t="n">
        <v>0</v>
      </c>
      <c r="R744" s="2" t="inlineStr"/>
    </row>
    <row r="745" ht="15" customHeight="1">
      <c r="A745" t="inlineStr">
        <is>
          <t>A 2034-2023</t>
        </is>
      </c>
      <c r="B745" s="1" t="n">
        <v>44939</v>
      </c>
      <c r="C745" s="1" t="n">
        <v>45658</v>
      </c>
      <c r="D745" t="inlineStr">
        <is>
          <t>VÄSTERBOTTENS LÄN</t>
        </is>
      </c>
      <c r="E745" t="inlineStr">
        <is>
          <t>VILHELMINA</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2125-2023</t>
        </is>
      </c>
      <c r="B746" s="1" t="n">
        <v>44939</v>
      </c>
      <c r="C746" s="1" t="n">
        <v>45658</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2043-2023</t>
        </is>
      </c>
      <c r="B747" s="1" t="n">
        <v>44939</v>
      </c>
      <c r="C747" s="1" t="n">
        <v>45658</v>
      </c>
      <c r="D747" t="inlineStr">
        <is>
          <t>VÄSTERBOTTENS LÄN</t>
        </is>
      </c>
      <c r="E747" t="inlineStr">
        <is>
          <t>VILHELMINA</t>
        </is>
      </c>
      <c r="F747" t="inlineStr">
        <is>
          <t>Sveaskog</t>
        </is>
      </c>
      <c r="G747" t="n">
        <v>10.5</v>
      </c>
      <c r="H747" t="n">
        <v>0</v>
      </c>
      <c r="I747" t="n">
        <v>0</v>
      </c>
      <c r="J747" t="n">
        <v>0</v>
      </c>
      <c r="K747" t="n">
        <v>0</v>
      </c>
      <c r="L747" t="n">
        <v>0</v>
      </c>
      <c r="M747" t="n">
        <v>0</v>
      </c>
      <c r="N747" t="n">
        <v>0</v>
      </c>
      <c r="O747" t="n">
        <v>0</v>
      </c>
      <c r="P747" t="n">
        <v>0</v>
      </c>
      <c r="Q747" t="n">
        <v>0</v>
      </c>
      <c r="R747" s="2" t="inlineStr"/>
    </row>
    <row r="748" ht="15" customHeight="1">
      <c r="A748" t="inlineStr">
        <is>
          <t>A 2123-2023</t>
        </is>
      </c>
      <c r="B748" s="1" t="n">
        <v>44939</v>
      </c>
      <c r="C748" s="1" t="n">
        <v>45658</v>
      </c>
      <c r="D748" t="inlineStr">
        <is>
          <t>VÄSTERBOTTENS LÄN</t>
        </is>
      </c>
      <c r="E748" t="inlineStr">
        <is>
          <t>VILHELMINA</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2075-2023</t>
        </is>
      </c>
      <c r="B749" s="1" t="n">
        <v>44939</v>
      </c>
      <c r="C749" s="1" t="n">
        <v>45658</v>
      </c>
      <c r="D749" t="inlineStr">
        <is>
          <t>VÄSTERBOTTENS LÄN</t>
        </is>
      </c>
      <c r="E749" t="inlineStr">
        <is>
          <t>VILHELMINA</t>
        </is>
      </c>
      <c r="G749" t="n">
        <v>8</v>
      </c>
      <c r="H749" t="n">
        <v>0</v>
      </c>
      <c r="I749" t="n">
        <v>0</v>
      </c>
      <c r="J749" t="n">
        <v>0</v>
      </c>
      <c r="K749" t="n">
        <v>0</v>
      </c>
      <c r="L749" t="n">
        <v>0</v>
      </c>
      <c r="M749" t="n">
        <v>0</v>
      </c>
      <c r="N749" t="n">
        <v>0</v>
      </c>
      <c r="O749" t="n">
        <v>0</v>
      </c>
      <c r="P749" t="n">
        <v>0</v>
      </c>
      <c r="Q749" t="n">
        <v>0</v>
      </c>
      <c r="R749" s="2" t="inlineStr"/>
    </row>
    <row r="750" ht="15" customHeight="1">
      <c r="A750" t="inlineStr">
        <is>
          <t>A 2082-2023</t>
        </is>
      </c>
      <c r="B750" s="1" t="n">
        <v>44939</v>
      </c>
      <c r="C750" s="1" t="n">
        <v>45658</v>
      </c>
      <c r="D750" t="inlineStr">
        <is>
          <t>VÄSTERBOTTENS LÄN</t>
        </is>
      </c>
      <c r="E750" t="inlineStr">
        <is>
          <t>VILHELMINA</t>
        </is>
      </c>
      <c r="G750" t="n">
        <v>5.5</v>
      </c>
      <c r="H750" t="n">
        <v>0</v>
      </c>
      <c r="I750" t="n">
        <v>0</v>
      </c>
      <c r="J750" t="n">
        <v>0</v>
      </c>
      <c r="K750" t="n">
        <v>0</v>
      </c>
      <c r="L750" t="n">
        <v>0</v>
      </c>
      <c r="M750" t="n">
        <v>0</v>
      </c>
      <c r="N750" t="n">
        <v>0</v>
      </c>
      <c r="O750" t="n">
        <v>0</v>
      </c>
      <c r="P750" t="n">
        <v>0</v>
      </c>
      <c r="Q750" t="n">
        <v>0</v>
      </c>
      <c r="R750" s="2" t="inlineStr"/>
    </row>
    <row r="751" ht="15" customHeight="1">
      <c r="A751" t="inlineStr">
        <is>
          <t>A 2124-2023</t>
        </is>
      </c>
      <c r="B751" s="1" t="n">
        <v>44939</v>
      </c>
      <c r="C751" s="1" t="n">
        <v>45658</v>
      </c>
      <c r="D751" t="inlineStr">
        <is>
          <t>VÄSTERBOTTENS LÄN</t>
        </is>
      </c>
      <c r="E751" t="inlineStr">
        <is>
          <t>VILHELMINA</t>
        </is>
      </c>
      <c r="F751" t="inlineStr">
        <is>
          <t>SCA</t>
        </is>
      </c>
      <c r="G751" t="n">
        <v>28.8</v>
      </c>
      <c r="H751" t="n">
        <v>0</v>
      </c>
      <c r="I751" t="n">
        <v>0</v>
      </c>
      <c r="J751" t="n">
        <v>0</v>
      </c>
      <c r="K751" t="n">
        <v>0</v>
      </c>
      <c r="L751" t="n">
        <v>0</v>
      </c>
      <c r="M751" t="n">
        <v>0</v>
      </c>
      <c r="N751" t="n">
        <v>0</v>
      </c>
      <c r="O751" t="n">
        <v>0</v>
      </c>
      <c r="P751" t="n">
        <v>0</v>
      </c>
      <c r="Q751" t="n">
        <v>0</v>
      </c>
      <c r="R751" s="2" t="inlineStr"/>
    </row>
    <row r="752" ht="15" customHeight="1">
      <c r="A752" t="inlineStr">
        <is>
          <t>A 2122-2023</t>
        </is>
      </c>
      <c r="B752" s="1" t="n">
        <v>44939</v>
      </c>
      <c r="C752" s="1" t="n">
        <v>45658</v>
      </c>
      <c r="D752" t="inlineStr">
        <is>
          <t>VÄSTERBOTTENS LÄN</t>
        </is>
      </c>
      <c r="E752" t="inlineStr">
        <is>
          <t>VILHELMINA</t>
        </is>
      </c>
      <c r="F752" t="inlineStr">
        <is>
          <t>SCA</t>
        </is>
      </c>
      <c r="G752" t="n">
        <v>14.6</v>
      </c>
      <c r="H752" t="n">
        <v>0</v>
      </c>
      <c r="I752" t="n">
        <v>0</v>
      </c>
      <c r="J752" t="n">
        <v>0</v>
      </c>
      <c r="K752" t="n">
        <v>0</v>
      </c>
      <c r="L752" t="n">
        <v>0</v>
      </c>
      <c r="M752" t="n">
        <v>0</v>
      </c>
      <c r="N752" t="n">
        <v>0</v>
      </c>
      <c r="O752" t="n">
        <v>0</v>
      </c>
      <c r="P752" t="n">
        <v>0</v>
      </c>
      <c r="Q752" t="n">
        <v>0</v>
      </c>
      <c r="R752" s="2" t="inlineStr"/>
    </row>
    <row r="753" ht="15" customHeight="1">
      <c r="A753" t="inlineStr">
        <is>
          <t>A 2126-2023</t>
        </is>
      </c>
      <c r="B753" s="1" t="n">
        <v>44939</v>
      </c>
      <c r="C753" s="1" t="n">
        <v>45658</v>
      </c>
      <c r="D753" t="inlineStr">
        <is>
          <t>VÄSTERBOTTENS LÄN</t>
        </is>
      </c>
      <c r="E753" t="inlineStr">
        <is>
          <t>VILHELMINA</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2382-2023</t>
        </is>
      </c>
      <c r="B754" s="1" t="n">
        <v>44942</v>
      </c>
      <c r="C754" s="1" t="n">
        <v>45658</v>
      </c>
      <c r="D754" t="inlineStr">
        <is>
          <t>VÄSTERBOTTENS LÄN</t>
        </is>
      </c>
      <c r="E754" t="inlineStr">
        <is>
          <t>VILHELMINA</t>
        </is>
      </c>
      <c r="G754" t="n">
        <v>29.7</v>
      </c>
      <c r="H754" t="n">
        <v>0</v>
      </c>
      <c r="I754" t="n">
        <v>0</v>
      </c>
      <c r="J754" t="n">
        <v>0</v>
      </c>
      <c r="K754" t="n">
        <v>0</v>
      </c>
      <c r="L754" t="n">
        <v>0</v>
      </c>
      <c r="M754" t="n">
        <v>0</v>
      </c>
      <c r="N754" t="n">
        <v>0</v>
      </c>
      <c r="O754" t="n">
        <v>0</v>
      </c>
      <c r="P754" t="n">
        <v>0</v>
      </c>
      <c r="Q754" t="n">
        <v>0</v>
      </c>
      <c r="R754" s="2" t="inlineStr"/>
    </row>
    <row r="755" ht="15" customHeight="1">
      <c r="A755" t="inlineStr">
        <is>
          <t>A 2360-2023</t>
        </is>
      </c>
      <c r="B755" s="1" t="n">
        <v>44942</v>
      </c>
      <c r="C755" s="1" t="n">
        <v>45658</v>
      </c>
      <c r="D755" t="inlineStr">
        <is>
          <t>VÄSTERBOTTENS LÄN</t>
        </is>
      </c>
      <c r="E755" t="inlineStr">
        <is>
          <t>VILHELMINA</t>
        </is>
      </c>
      <c r="G755" t="n">
        <v>2.7</v>
      </c>
      <c r="H755" t="n">
        <v>0</v>
      </c>
      <c r="I755" t="n">
        <v>0</v>
      </c>
      <c r="J755" t="n">
        <v>0</v>
      </c>
      <c r="K755" t="n">
        <v>0</v>
      </c>
      <c r="L755" t="n">
        <v>0</v>
      </c>
      <c r="M755" t="n">
        <v>0</v>
      </c>
      <c r="N755" t="n">
        <v>0</v>
      </c>
      <c r="O755" t="n">
        <v>0</v>
      </c>
      <c r="P755" t="n">
        <v>0</v>
      </c>
      <c r="Q755" t="n">
        <v>0</v>
      </c>
      <c r="R755" s="2" t="inlineStr"/>
    </row>
    <row r="756" ht="15" customHeight="1">
      <c r="A756" t="inlineStr">
        <is>
          <t>A 2403-2023</t>
        </is>
      </c>
      <c r="B756" s="1" t="n">
        <v>44942</v>
      </c>
      <c r="C756" s="1" t="n">
        <v>45658</v>
      </c>
      <c r="D756" t="inlineStr">
        <is>
          <t>VÄSTERBOTTENS LÄN</t>
        </is>
      </c>
      <c r="E756" t="inlineStr">
        <is>
          <t>VILHELMINA</t>
        </is>
      </c>
      <c r="G756" t="n">
        <v>14.5</v>
      </c>
      <c r="H756" t="n">
        <v>0</v>
      </c>
      <c r="I756" t="n">
        <v>0</v>
      </c>
      <c r="J756" t="n">
        <v>0</v>
      </c>
      <c r="K756" t="n">
        <v>0</v>
      </c>
      <c r="L756" t="n">
        <v>0</v>
      </c>
      <c r="M756" t="n">
        <v>0</v>
      </c>
      <c r="N756" t="n">
        <v>0</v>
      </c>
      <c r="O756" t="n">
        <v>0</v>
      </c>
      <c r="P756" t="n">
        <v>0</v>
      </c>
      <c r="Q756" t="n">
        <v>0</v>
      </c>
      <c r="R756" s="2" t="inlineStr"/>
    </row>
    <row r="757" ht="15" customHeight="1">
      <c r="A757" t="inlineStr">
        <is>
          <t>A 2488-2023</t>
        </is>
      </c>
      <c r="B757" s="1" t="n">
        <v>44943</v>
      </c>
      <c r="C757" s="1" t="n">
        <v>45658</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2742-2023</t>
        </is>
      </c>
      <c r="B758" s="1" t="n">
        <v>44943</v>
      </c>
      <c r="C758" s="1" t="n">
        <v>45658</v>
      </c>
      <c r="D758" t="inlineStr">
        <is>
          <t>VÄSTERBOTTENS LÄN</t>
        </is>
      </c>
      <c r="E758" t="inlineStr">
        <is>
          <t>VILHELMINA</t>
        </is>
      </c>
      <c r="G758" t="n">
        <v>34.8</v>
      </c>
      <c r="H758" t="n">
        <v>0</v>
      </c>
      <c r="I758" t="n">
        <v>0</v>
      </c>
      <c r="J758" t="n">
        <v>0</v>
      </c>
      <c r="K758" t="n">
        <v>0</v>
      </c>
      <c r="L758" t="n">
        <v>0</v>
      </c>
      <c r="M758" t="n">
        <v>0</v>
      </c>
      <c r="N758" t="n">
        <v>0</v>
      </c>
      <c r="O758" t="n">
        <v>0</v>
      </c>
      <c r="P758" t="n">
        <v>0</v>
      </c>
      <c r="Q758" t="n">
        <v>0</v>
      </c>
      <c r="R758" s="2" t="inlineStr"/>
    </row>
    <row r="759" ht="15" customHeight="1">
      <c r="A759" t="inlineStr">
        <is>
          <t>A 2604-2023</t>
        </is>
      </c>
      <c r="B759" s="1" t="n">
        <v>44944</v>
      </c>
      <c r="C759" s="1" t="n">
        <v>45658</v>
      </c>
      <c r="D759" t="inlineStr">
        <is>
          <t>VÄSTERBOTTENS LÄN</t>
        </is>
      </c>
      <c r="E759" t="inlineStr">
        <is>
          <t>VILHELMINA</t>
        </is>
      </c>
      <c r="G759" t="n">
        <v>15.4</v>
      </c>
      <c r="H759" t="n">
        <v>0</v>
      </c>
      <c r="I759" t="n">
        <v>0</v>
      </c>
      <c r="J759" t="n">
        <v>0</v>
      </c>
      <c r="K759" t="n">
        <v>0</v>
      </c>
      <c r="L759" t="n">
        <v>0</v>
      </c>
      <c r="M759" t="n">
        <v>0</v>
      </c>
      <c r="N759" t="n">
        <v>0</v>
      </c>
      <c r="O759" t="n">
        <v>0</v>
      </c>
      <c r="P759" t="n">
        <v>0</v>
      </c>
      <c r="Q759" t="n">
        <v>0</v>
      </c>
      <c r="R759" s="2" t="inlineStr"/>
    </row>
    <row r="760" ht="15" customHeight="1">
      <c r="A760" t="inlineStr">
        <is>
          <t>A 2605-2023</t>
        </is>
      </c>
      <c r="B760" s="1" t="n">
        <v>44944</v>
      </c>
      <c r="C760" s="1" t="n">
        <v>45658</v>
      </c>
      <c r="D760" t="inlineStr">
        <is>
          <t>VÄSTERBOTTENS LÄN</t>
        </is>
      </c>
      <c r="E760" t="inlineStr">
        <is>
          <t>VILHELMINA</t>
        </is>
      </c>
      <c r="G760" t="n">
        <v>10.7</v>
      </c>
      <c r="H760" t="n">
        <v>0</v>
      </c>
      <c r="I760" t="n">
        <v>0</v>
      </c>
      <c r="J760" t="n">
        <v>0</v>
      </c>
      <c r="K760" t="n">
        <v>0</v>
      </c>
      <c r="L760" t="n">
        <v>0</v>
      </c>
      <c r="M760" t="n">
        <v>0</v>
      </c>
      <c r="N760" t="n">
        <v>0</v>
      </c>
      <c r="O760" t="n">
        <v>0</v>
      </c>
      <c r="P760" t="n">
        <v>0</v>
      </c>
      <c r="Q760" t="n">
        <v>0</v>
      </c>
      <c r="R760" s="2" t="inlineStr"/>
    </row>
    <row r="761" ht="15" customHeight="1">
      <c r="A761" t="inlineStr">
        <is>
          <t>A 2820-2023</t>
        </is>
      </c>
      <c r="B761" s="1" t="n">
        <v>44944</v>
      </c>
      <c r="C761" s="1" t="n">
        <v>45658</v>
      </c>
      <c r="D761" t="inlineStr">
        <is>
          <t>VÄSTERBOTTENS LÄN</t>
        </is>
      </c>
      <c r="E761" t="inlineStr">
        <is>
          <t>VILHELMINA</t>
        </is>
      </c>
      <c r="F761" t="inlineStr">
        <is>
          <t>SCA</t>
        </is>
      </c>
      <c r="G761" t="n">
        <v>11.9</v>
      </c>
      <c r="H761" t="n">
        <v>0</v>
      </c>
      <c r="I761" t="n">
        <v>0</v>
      </c>
      <c r="J761" t="n">
        <v>0</v>
      </c>
      <c r="K761" t="n">
        <v>0</v>
      </c>
      <c r="L761" t="n">
        <v>0</v>
      </c>
      <c r="M761" t="n">
        <v>0</v>
      </c>
      <c r="N761" t="n">
        <v>0</v>
      </c>
      <c r="O761" t="n">
        <v>0</v>
      </c>
      <c r="P761" t="n">
        <v>0</v>
      </c>
      <c r="Q761" t="n">
        <v>0</v>
      </c>
      <c r="R761" s="2" t="inlineStr"/>
    </row>
    <row r="762" ht="15" customHeight="1">
      <c r="A762" t="inlineStr">
        <is>
          <t>A 3393-2023</t>
        </is>
      </c>
      <c r="B762" s="1" t="n">
        <v>44945</v>
      </c>
      <c r="C762" s="1" t="n">
        <v>45658</v>
      </c>
      <c r="D762" t="inlineStr">
        <is>
          <t>VÄSTERBOTTENS LÄN</t>
        </is>
      </c>
      <c r="E762" t="inlineStr">
        <is>
          <t>VILHELMINA</t>
        </is>
      </c>
      <c r="G762" t="n">
        <v>3.4</v>
      </c>
      <c r="H762" t="n">
        <v>0</v>
      </c>
      <c r="I762" t="n">
        <v>0</v>
      </c>
      <c r="J762" t="n">
        <v>0</v>
      </c>
      <c r="K762" t="n">
        <v>0</v>
      </c>
      <c r="L762" t="n">
        <v>0</v>
      </c>
      <c r="M762" t="n">
        <v>0</v>
      </c>
      <c r="N762" t="n">
        <v>0</v>
      </c>
      <c r="O762" t="n">
        <v>0</v>
      </c>
      <c r="P762" t="n">
        <v>0</v>
      </c>
      <c r="Q762" t="n">
        <v>0</v>
      </c>
      <c r="R762" s="2" t="inlineStr"/>
    </row>
    <row r="763" ht="15" customHeight="1">
      <c r="A763" t="inlineStr">
        <is>
          <t>A 3745-2023</t>
        </is>
      </c>
      <c r="B763" s="1" t="n">
        <v>44949</v>
      </c>
      <c r="C763" s="1" t="n">
        <v>45658</v>
      </c>
      <c r="D763" t="inlineStr">
        <is>
          <t>VÄSTERBOTTENS LÄN</t>
        </is>
      </c>
      <c r="E763" t="inlineStr">
        <is>
          <t>VILHELMINA</t>
        </is>
      </c>
      <c r="G763" t="n">
        <v>36.6</v>
      </c>
      <c r="H763" t="n">
        <v>0</v>
      </c>
      <c r="I763" t="n">
        <v>0</v>
      </c>
      <c r="J763" t="n">
        <v>0</v>
      </c>
      <c r="K763" t="n">
        <v>0</v>
      </c>
      <c r="L763" t="n">
        <v>0</v>
      </c>
      <c r="M763" t="n">
        <v>0</v>
      </c>
      <c r="N763" t="n">
        <v>0</v>
      </c>
      <c r="O763" t="n">
        <v>0</v>
      </c>
      <c r="P763" t="n">
        <v>0</v>
      </c>
      <c r="Q763" t="n">
        <v>0</v>
      </c>
      <c r="R763" s="2" t="inlineStr"/>
    </row>
    <row r="764" ht="15" customHeight="1">
      <c r="A764" t="inlineStr">
        <is>
          <t>A 4344-2023</t>
        </is>
      </c>
      <c r="B764" s="1" t="n">
        <v>44954</v>
      </c>
      <c r="C764" s="1" t="n">
        <v>45658</v>
      </c>
      <c r="D764" t="inlineStr">
        <is>
          <t>VÄSTERBOTTENS LÄN</t>
        </is>
      </c>
      <c r="E764" t="inlineStr">
        <is>
          <t>VILHELMINA</t>
        </is>
      </c>
      <c r="F764" t="inlineStr">
        <is>
          <t>SCA</t>
        </is>
      </c>
      <c r="G764" t="n">
        <v>20.9</v>
      </c>
      <c r="H764" t="n">
        <v>0</v>
      </c>
      <c r="I764" t="n">
        <v>0</v>
      </c>
      <c r="J764" t="n">
        <v>0</v>
      </c>
      <c r="K764" t="n">
        <v>0</v>
      </c>
      <c r="L764" t="n">
        <v>0</v>
      </c>
      <c r="M764" t="n">
        <v>0</v>
      </c>
      <c r="N764" t="n">
        <v>0</v>
      </c>
      <c r="O764" t="n">
        <v>0</v>
      </c>
      <c r="P764" t="n">
        <v>0</v>
      </c>
      <c r="Q764" t="n">
        <v>0</v>
      </c>
      <c r="R764" s="2" t="inlineStr"/>
    </row>
    <row r="765" ht="15" customHeight="1">
      <c r="A765" t="inlineStr">
        <is>
          <t>A 4373-2023</t>
        </is>
      </c>
      <c r="B765" s="1" t="n">
        <v>44955</v>
      </c>
      <c r="C765" s="1" t="n">
        <v>45658</v>
      </c>
      <c r="D765" t="inlineStr">
        <is>
          <t>VÄSTERBOTTENS LÄN</t>
        </is>
      </c>
      <c r="E765" t="inlineStr">
        <is>
          <t>VILHELMINA</t>
        </is>
      </c>
      <c r="G765" t="n">
        <v>2.6</v>
      </c>
      <c r="H765" t="n">
        <v>0</v>
      </c>
      <c r="I765" t="n">
        <v>0</v>
      </c>
      <c r="J765" t="n">
        <v>0</v>
      </c>
      <c r="K765" t="n">
        <v>0</v>
      </c>
      <c r="L765" t="n">
        <v>0</v>
      </c>
      <c r="M765" t="n">
        <v>0</v>
      </c>
      <c r="N765" t="n">
        <v>0</v>
      </c>
      <c r="O765" t="n">
        <v>0</v>
      </c>
      <c r="P765" t="n">
        <v>0</v>
      </c>
      <c r="Q765" t="n">
        <v>0</v>
      </c>
      <c r="R765" s="2" t="inlineStr"/>
    </row>
    <row r="766" ht="15" customHeight="1">
      <c r="A766" t="inlineStr">
        <is>
          <t>A 4919-2023</t>
        </is>
      </c>
      <c r="B766" s="1" t="n">
        <v>44956</v>
      </c>
      <c r="C766" s="1" t="n">
        <v>45658</v>
      </c>
      <c r="D766" t="inlineStr">
        <is>
          <t>VÄSTERBOTTENS LÄN</t>
        </is>
      </c>
      <c r="E766" t="inlineStr">
        <is>
          <t>VILHELMINA</t>
        </is>
      </c>
      <c r="G766" t="n">
        <v>35</v>
      </c>
      <c r="H766" t="n">
        <v>0</v>
      </c>
      <c r="I766" t="n">
        <v>0</v>
      </c>
      <c r="J766" t="n">
        <v>0</v>
      </c>
      <c r="K766" t="n">
        <v>0</v>
      </c>
      <c r="L766" t="n">
        <v>0</v>
      </c>
      <c r="M766" t="n">
        <v>0</v>
      </c>
      <c r="N766" t="n">
        <v>0</v>
      </c>
      <c r="O766" t="n">
        <v>0</v>
      </c>
      <c r="P766" t="n">
        <v>0</v>
      </c>
      <c r="Q766" t="n">
        <v>0</v>
      </c>
      <c r="R766" s="2" t="inlineStr"/>
    </row>
    <row r="767" ht="15" customHeight="1">
      <c r="A767" t="inlineStr">
        <is>
          <t>A 5301-2023</t>
        </is>
      </c>
      <c r="B767" s="1" t="n">
        <v>44956</v>
      </c>
      <c r="C767" s="1" t="n">
        <v>45658</v>
      </c>
      <c r="D767" t="inlineStr">
        <is>
          <t>VÄSTERBOTTENS LÄN</t>
        </is>
      </c>
      <c r="E767" t="inlineStr">
        <is>
          <t>VILHELMINA</t>
        </is>
      </c>
      <c r="G767" t="n">
        <v>16</v>
      </c>
      <c r="H767" t="n">
        <v>0</v>
      </c>
      <c r="I767" t="n">
        <v>0</v>
      </c>
      <c r="J767" t="n">
        <v>0</v>
      </c>
      <c r="K767" t="n">
        <v>0</v>
      </c>
      <c r="L767" t="n">
        <v>0</v>
      </c>
      <c r="M767" t="n">
        <v>0</v>
      </c>
      <c r="N767" t="n">
        <v>0</v>
      </c>
      <c r="O767" t="n">
        <v>0</v>
      </c>
      <c r="P767" t="n">
        <v>0</v>
      </c>
      <c r="Q767" t="n">
        <v>0</v>
      </c>
      <c r="R767" s="2" t="inlineStr"/>
    </row>
    <row r="768" ht="15" customHeight="1">
      <c r="A768" t="inlineStr">
        <is>
          <t>A 5297-2023</t>
        </is>
      </c>
      <c r="B768" s="1" t="n">
        <v>44956</v>
      </c>
      <c r="C768" s="1" t="n">
        <v>45658</v>
      </c>
      <c r="D768" t="inlineStr">
        <is>
          <t>VÄSTERBOTTENS LÄN</t>
        </is>
      </c>
      <c r="E768" t="inlineStr">
        <is>
          <t>VILHELMINA</t>
        </is>
      </c>
      <c r="G768" t="n">
        <v>10.7</v>
      </c>
      <c r="H768" t="n">
        <v>0</v>
      </c>
      <c r="I768" t="n">
        <v>0</v>
      </c>
      <c r="J768" t="n">
        <v>0</v>
      </c>
      <c r="K768" t="n">
        <v>0</v>
      </c>
      <c r="L768" t="n">
        <v>0</v>
      </c>
      <c r="M768" t="n">
        <v>0</v>
      </c>
      <c r="N768" t="n">
        <v>0</v>
      </c>
      <c r="O768" t="n">
        <v>0</v>
      </c>
      <c r="P768" t="n">
        <v>0</v>
      </c>
      <c r="Q768" t="n">
        <v>0</v>
      </c>
      <c r="R768" s="2" t="inlineStr"/>
    </row>
    <row r="769" ht="15" customHeight="1">
      <c r="A769" t="inlineStr">
        <is>
          <t>A 4869-2023</t>
        </is>
      </c>
      <c r="B769" s="1" t="n">
        <v>44957</v>
      </c>
      <c r="C769" s="1" t="n">
        <v>45658</v>
      </c>
      <c r="D769" t="inlineStr">
        <is>
          <t>VÄSTERBOTTENS LÄN</t>
        </is>
      </c>
      <c r="E769" t="inlineStr">
        <is>
          <t>VILHELMINA</t>
        </is>
      </c>
      <c r="G769" t="n">
        <v>5.7</v>
      </c>
      <c r="H769" t="n">
        <v>0</v>
      </c>
      <c r="I769" t="n">
        <v>0</v>
      </c>
      <c r="J769" t="n">
        <v>0</v>
      </c>
      <c r="K769" t="n">
        <v>0</v>
      </c>
      <c r="L769" t="n">
        <v>0</v>
      </c>
      <c r="M769" t="n">
        <v>0</v>
      </c>
      <c r="N769" t="n">
        <v>0</v>
      </c>
      <c r="O769" t="n">
        <v>0</v>
      </c>
      <c r="P769" t="n">
        <v>0</v>
      </c>
      <c r="Q769" t="n">
        <v>0</v>
      </c>
      <c r="R769" s="2" t="inlineStr"/>
    </row>
    <row r="770" ht="15" customHeight="1">
      <c r="A770" t="inlineStr">
        <is>
          <t>A 5713-2023</t>
        </is>
      </c>
      <c r="B770" s="1" t="n">
        <v>44960</v>
      </c>
      <c r="C770" s="1" t="n">
        <v>45658</v>
      </c>
      <c r="D770" t="inlineStr">
        <is>
          <t>VÄSTERBOTTENS LÄN</t>
        </is>
      </c>
      <c r="E770" t="inlineStr">
        <is>
          <t>VILHELMINA</t>
        </is>
      </c>
      <c r="F770" t="inlineStr">
        <is>
          <t>SCA</t>
        </is>
      </c>
      <c r="G770" t="n">
        <v>33.2</v>
      </c>
      <c r="H770" t="n">
        <v>0</v>
      </c>
      <c r="I770" t="n">
        <v>0</v>
      </c>
      <c r="J770" t="n">
        <v>0</v>
      </c>
      <c r="K770" t="n">
        <v>0</v>
      </c>
      <c r="L770" t="n">
        <v>0</v>
      </c>
      <c r="M770" t="n">
        <v>0</v>
      </c>
      <c r="N770" t="n">
        <v>0</v>
      </c>
      <c r="O770" t="n">
        <v>0</v>
      </c>
      <c r="P770" t="n">
        <v>0</v>
      </c>
      <c r="Q770" t="n">
        <v>0</v>
      </c>
      <c r="R770" s="2" t="inlineStr"/>
    </row>
    <row r="771" ht="15" customHeight="1">
      <c r="A771" t="inlineStr">
        <is>
          <t>A 5697-2023</t>
        </is>
      </c>
      <c r="B771" s="1" t="n">
        <v>44960</v>
      </c>
      <c r="C771" s="1" t="n">
        <v>45658</v>
      </c>
      <c r="D771" t="inlineStr">
        <is>
          <t>VÄSTERBOTTENS LÄN</t>
        </is>
      </c>
      <c r="E771" t="inlineStr">
        <is>
          <t>VILHELMINA</t>
        </is>
      </c>
      <c r="F771" t="inlineStr">
        <is>
          <t>SCA</t>
        </is>
      </c>
      <c r="G771" t="n">
        <v>15.9</v>
      </c>
      <c r="H771" t="n">
        <v>0</v>
      </c>
      <c r="I771" t="n">
        <v>0</v>
      </c>
      <c r="J771" t="n">
        <v>0</v>
      </c>
      <c r="K771" t="n">
        <v>0</v>
      </c>
      <c r="L771" t="n">
        <v>0</v>
      </c>
      <c r="M771" t="n">
        <v>0</v>
      </c>
      <c r="N771" t="n">
        <v>0</v>
      </c>
      <c r="O771" t="n">
        <v>0</v>
      </c>
      <c r="P771" t="n">
        <v>0</v>
      </c>
      <c r="Q771" t="n">
        <v>0</v>
      </c>
      <c r="R771" s="2" t="inlineStr"/>
    </row>
    <row r="772" ht="15" customHeight="1">
      <c r="A772" t="inlineStr">
        <is>
          <t>A 5699-2023</t>
        </is>
      </c>
      <c r="B772" s="1" t="n">
        <v>44960</v>
      </c>
      <c r="C772" s="1" t="n">
        <v>45658</v>
      </c>
      <c r="D772" t="inlineStr">
        <is>
          <t>VÄSTERBOTTENS LÄN</t>
        </is>
      </c>
      <c r="E772" t="inlineStr">
        <is>
          <t>VILHELMINA</t>
        </is>
      </c>
      <c r="F772" t="inlineStr">
        <is>
          <t>SCA</t>
        </is>
      </c>
      <c r="G772" t="n">
        <v>104.8</v>
      </c>
      <c r="H772" t="n">
        <v>0</v>
      </c>
      <c r="I772" t="n">
        <v>0</v>
      </c>
      <c r="J772" t="n">
        <v>0</v>
      </c>
      <c r="K772" t="n">
        <v>0</v>
      </c>
      <c r="L772" t="n">
        <v>0</v>
      </c>
      <c r="M772" t="n">
        <v>0</v>
      </c>
      <c r="N772" t="n">
        <v>0</v>
      </c>
      <c r="O772" t="n">
        <v>0</v>
      </c>
      <c r="P772" t="n">
        <v>0</v>
      </c>
      <c r="Q772" t="n">
        <v>0</v>
      </c>
      <c r="R772" s="2" t="inlineStr"/>
    </row>
    <row r="773" ht="15" customHeight="1">
      <c r="A773" t="inlineStr">
        <is>
          <t>A 5712-2023</t>
        </is>
      </c>
      <c r="B773" s="1" t="n">
        <v>44960</v>
      </c>
      <c r="C773" s="1" t="n">
        <v>45658</v>
      </c>
      <c r="D773" t="inlineStr">
        <is>
          <t>VÄSTERBOTTENS LÄN</t>
        </is>
      </c>
      <c r="E773" t="inlineStr">
        <is>
          <t>VILHELMINA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6616-2023</t>
        </is>
      </c>
      <c r="B774" s="1" t="n">
        <v>44960</v>
      </c>
      <c r="C774" s="1" t="n">
        <v>45658</v>
      </c>
      <c r="D774" t="inlineStr">
        <is>
          <t>VÄSTERBOTTENS LÄN</t>
        </is>
      </c>
      <c r="E774" t="inlineStr">
        <is>
          <t>VILHELMINA</t>
        </is>
      </c>
      <c r="G774" t="n">
        <v>1.5</v>
      </c>
      <c r="H774" t="n">
        <v>0</v>
      </c>
      <c r="I774" t="n">
        <v>0</v>
      </c>
      <c r="J774" t="n">
        <v>0</v>
      </c>
      <c r="K774" t="n">
        <v>0</v>
      </c>
      <c r="L774" t="n">
        <v>0</v>
      </c>
      <c r="M774" t="n">
        <v>0</v>
      </c>
      <c r="N774" t="n">
        <v>0</v>
      </c>
      <c r="O774" t="n">
        <v>0</v>
      </c>
      <c r="P774" t="n">
        <v>0</v>
      </c>
      <c r="Q774" t="n">
        <v>0</v>
      </c>
      <c r="R774" s="2" t="inlineStr"/>
    </row>
    <row r="775" ht="15" customHeight="1">
      <c r="A775" t="inlineStr">
        <is>
          <t>A 6610-2023</t>
        </is>
      </c>
      <c r="B775" s="1" t="n">
        <v>44960</v>
      </c>
      <c r="C775" s="1" t="n">
        <v>45658</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5955-2023</t>
        </is>
      </c>
      <c r="B776" s="1" t="n">
        <v>44963</v>
      </c>
      <c r="C776" s="1" t="n">
        <v>45658</v>
      </c>
      <c r="D776" t="inlineStr">
        <is>
          <t>VÄSTERBOTTENS LÄN</t>
        </is>
      </c>
      <c r="E776" t="inlineStr">
        <is>
          <t>VILHELMINA</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5947-2023</t>
        </is>
      </c>
      <c r="B777" s="1" t="n">
        <v>44963</v>
      </c>
      <c r="C777" s="1" t="n">
        <v>45658</v>
      </c>
      <c r="D777" t="inlineStr">
        <is>
          <t>VÄSTERBOTTENS LÄN</t>
        </is>
      </c>
      <c r="E777" t="inlineStr">
        <is>
          <t>VILHELMINA</t>
        </is>
      </c>
      <c r="G777" t="n">
        <v>4.3</v>
      </c>
      <c r="H777" t="n">
        <v>0</v>
      </c>
      <c r="I777" t="n">
        <v>0</v>
      </c>
      <c r="J777" t="n">
        <v>0</v>
      </c>
      <c r="K777" t="n">
        <v>0</v>
      </c>
      <c r="L777" t="n">
        <v>0</v>
      </c>
      <c r="M777" t="n">
        <v>0</v>
      </c>
      <c r="N777" t="n">
        <v>0</v>
      </c>
      <c r="O777" t="n">
        <v>0</v>
      </c>
      <c r="P777" t="n">
        <v>0</v>
      </c>
      <c r="Q777" t="n">
        <v>0</v>
      </c>
      <c r="R777" s="2" t="inlineStr"/>
    </row>
    <row r="778" ht="15" customHeight="1">
      <c r="A778" t="inlineStr">
        <is>
          <t>A 8215-2023</t>
        </is>
      </c>
      <c r="B778" s="1" t="n">
        <v>44971</v>
      </c>
      <c r="C778" s="1" t="n">
        <v>45658</v>
      </c>
      <c r="D778" t="inlineStr">
        <is>
          <t>VÄSTERBOTTENS LÄN</t>
        </is>
      </c>
      <c r="E778" t="inlineStr">
        <is>
          <t>VILHELMINA</t>
        </is>
      </c>
      <c r="G778" t="n">
        <v>0.8</v>
      </c>
      <c r="H778" t="n">
        <v>0</v>
      </c>
      <c r="I778" t="n">
        <v>0</v>
      </c>
      <c r="J778" t="n">
        <v>0</v>
      </c>
      <c r="K778" t="n">
        <v>0</v>
      </c>
      <c r="L778" t="n">
        <v>0</v>
      </c>
      <c r="M778" t="n">
        <v>0</v>
      </c>
      <c r="N778" t="n">
        <v>0</v>
      </c>
      <c r="O778" t="n">
        <v>0</v>
      </c>
      <c r="P778" t="n">
        <v>0</v>
      </c>
      <c r="Q778" t="n">
        <v>0</v>
      </c>
      <c r="R778" s="2" t="inlineStr"/>
    </row>
    <row r="779" ht="15" customHeight="1">
      <c r="A779" t="inlineStr">
        <is>
          <t>A 8555-2023</t>
        </is>
      </c>
      <c r="B779" s="1" t="n">
        <v>44972</v>
      </c>
      <c r="C779" s="1" t="n">
        <v>45658</v>
      </c>
      <c r="D779" t="inlineStr">
        <is>
          <t>VÄSTERBOTTENS LÄN</t>
        </is>
      </c>
      <c r="E779" t="inlineStr">
        <is>
          <t>VILHELMINA</t>
        </is>
      </c>
      <c r="F779" t="inlineStr">
        <is>
          <t>Allmännings- och besparingsskogar</t>
        </is>
      </c>
      <c r="G779" t="n">
        <v>37.9</v>
      </c>
      <c r="H779" t="n">
        <v>0</v>
      </c>
      <c r="I779" t="n">
        <v>0</v>
      </c>
      <c r="J779" t="n">
        <v>0</v>
      </c>
      <c r="K779" t="n">
        <v>0</v>
      </c>
      <c r="L779" t="n">
        <v>0</v>
      </c>
      <c r="M779" t="n">
        <v>0</v>
      </c>
      <c r="N779" t="n">
        <v>0</v>
      </c>
      <c r="O779" t="n">
        <v>0</v>
      </c>
      <c r="P779" t="n">
        <v>0</v>
      </c>
      <c r="Q779" t="n">
        <v>0</v>
      </c>
      <c r="R779" s="2" t="inlineStr"/>
    </row>
    <row r="780" ht="15" customHeight="1">
      <c r="A780" t="inlineStr">
        <is>
          <t>A 8745-2023</t>
        </is>
      </c>
      <c r="B780" s="1" t="n">
        <v>44972</v>
      </c>
      <c r="C780" s="1" t="n">
        <v>45658</v>
      </c>
      <c r="D780" t="inlineStr">
        <is>
          <t>VÄSTERBOTTENS LÄN</t>
        </is>
      </c>
      <c r="E780" t="inlineStr">
        <is>
          <t>VILHELMINA</t>
        </is>
      </c>
      <c r="F780" t="inlineStr">
        <is>
          <t>Allmännings- och besparingsskogar</t>
        </is>
      </c>
      <c r="G780" t="n">
        <v>41</v>
      </c>
      <c r="H780" t="n">
        <v>0</v>
      </c>
      <c r="I780" t="n">
        <v>0</v>
      </c>
      <c r="J780" t="n">
        <v>0</v>
      </c>
      <c r="K780" t="n">
        <v>0</v>
      </c>
      <c r="L780" t="n">
        <v>0</v>
      </c>
      <c r="M780" t="n">
        <v>0</v>
      </c>
      <c r="N780" t="n">
        <v>0</v>
      </c>
      <c r="O780" t="n">
        <v>0</v>
      </c>
      <c r="P780" t="n">
        <v>0</v>
      </c>
      <c r="Q780" t="n">
        <v>0</v>
      </c>
      <c r="R780" s="2" t="inlineStr"/>
    </row>
    <row r="781" ht="15" customHeight="1">
      <c r="A781" t="inlineStr">
        <is>
          <t>A 8759-2023</t>
        </is>
      </c>
      <c r="B781" s="1" t="n">
        <v>44972</v>
      </c>
      <c r="C781" s="1" t="n">
        <v>45658</v>
      </c>
      <c r="D781" t="inlineStr">
        <is>
          <t>VÄSTERBOTTENS LÄN</t>
        </is>
      </c>
      <c r="E781" t="inlineStr">
        <is>
          <t>VILHELMINA</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8733-2023</t>
        </is>
      </c>
      <c r="B782" s="1" t="n">
        <v>44972</v>
      </c>
      <c r="C782" s="1" t="n">
        <v>45658</v>
      </c>
      <c r="D782" t="inlineStr">
        <is>
          <t>VÄSTERBOTTENS LÄN</t>
        </is>
      </c>
      <c r="E782" t="inlineStr">
        <is>
          <t>VILHELMINA</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8726-2023</t>
        </is>
      </c>
      <c r="B783" s="1" t="n">
        <v>44972</v>
      </c>
      <c r="C783" s="1" t="n">
        <v>45658</v>
      </c>
      <c r="D783" t="inlineStr">
        <is>
          <t>VÄSTERBOTTENS LÄN</t>
        </is>
      </c>
      <c r="E783" t="inlineStr">
        <is>
          <t>VILHELMINA</t>
        </is>
      </c>
      <c r="F783" t="inlineStr">
        <is>
          <t>Allmännings- och besparingsskogar</t>
        </is>
      </c>
      <c r="G783" t="n">
        <v>48.5</v>
      </c>
      <c r="H783" t="n">
        <v>0</v>
      </c>
      <c r="I783" t="n">
        <v>0</v>
      </c>
      <c r="J783" t="n">
        <v>0</v>
      </c>
      <c r="K783" t="n">
        <v>0</v>
      </c>
      <c r="L783" t="n">
        <v>0</v>
      </c>
      <c r="M783" t="n">
        <v>0</v>
      </c>
      <c r="N783" t="n">
        <v>0</v>
      </c>
      <c r="O783" t="n">
        <v>0</v>
      </c>
      <c r="P783" t="n">
        <v>0</v>
      </c>
      <c r="Q783" t="n">
        <v>0</v>
      </c>
      <c r="R783" s="2" t="inlineStr"/>
    </row>
    <row r="784" ht="15" customHeight="1">
      <c r="A784" t="inlineStr">
        <is>
          <t>A 8908-2023</t>
        </is>
      </c>
      <c r="B784" s="1" t="n">
        <v>44972</v>
      </c>
      <c r="C784" s="1" t="n">
        <v>45658</v>
      </c>
      <c r="D784" t="inlineStr">
        <is>
          <t>VÄSTERBOTTENS LÄN</t>
        </is>
      </c>
      <c r="E784" t="inlineStr">
        <is>
          <t>VILHELMINA</t>
        </is>
      </c>
      <c r="F784" t="inlineStr">
        <is>
          <t>Allmännings- och besparingsskogar</t>
        </is>
      </c>
      <c r="G784" t="n">
        <v>22.3</v>
      </c>
      <c r="H784" t="n">
        <v>0</v>
      </c>
      <c r="I784" t="n">
        <v>0</v>
      </c>
      <c r="J784" t="n">
        <v>0</v>
      </c>
      <c r="K784" t="n">
        <v>0</v>
      </c>
      <c r="L784" t="n">
        <v>0</v>
      </c>
      <c r="M784" t="n">
        <v>0</v>
      </c>
      <c r="N784" t="n">
        <v>0</v>
      </c>
      <c r="O784" t="n">
        <v>0</v>
      </c>
      <c r="P784" t="n">
        <v>0</v>
      </c>
      <c r="Q784" t="n">
        <v>0</v>
      </c>
      <c r="R784" s="2" t="inlineStr"/>
    </row>
    <row r="785" ht="15" customHeight="1">
      <c r="A785" t="inlineStr">
        <is>
          <t>A 9181-2023</t>
        </is>
      </c>
      <c r="B785" s="1" t="n">
        <v>44972</v>
      </c>
      <c r="C785" s="1" t="n">
        <v>45658</v>
      </c>
      <c r="D785" t="inlineStr">
        <is>
          <t>VÄSTERBOTTENS LÄN</t>
        </is>
      </c>
      <c r="E785" t="inlineStr">
        <is>
          <t>VILHELMINA</t>
        </is>
      </c>
      <c r="F785" t="inlineStr">
        <is>
          <t>Allmännings- och besparingsskogar</t>
        </is>
      </c>
      <c r="G785" t="n">
        <v>213.9</v>
      </c>
      <c r="H785" t="n">
        <v>0</v>
      </c>
      <c r="I785" t="n">
        <v>0</v>
      </c>
      <c r="J785" t="n">
        <v>0</v>
      </c>
      <c r="K785" t="n">
        <v>0</v>
      </c>
      <c r="L785" t="n">
        <v>0</v>
      </c>
      <c r="M785" t="n">
        <v>0</v>
      </c>
      <c r="N785" t="n">
        <v>0</v>
      </c>
      <c r="O785" t="n">
        <v>0</v>
      </c>
      <c r="P785" t="n">
        <v>0</v>
      </c>
      <c r="Q785" t="n">
        <v>0</v>
      </c>
      <c r="R785" s="2" t="inlineStr"/>
    </row>
    <row r="786" ht="15" customHeight="1">
      <c r="A786" t="inlineStr">
        <is>
          <t>A 9170-2023</t>
        </is>
      </c>
      <c r="B786" s="1" t="n">
        <v>44972</v>
      </c>
      <c r="C786" s="1" t="n">
        <v>45658</v>
      </c>
      <c r="D786" t="inlineStr">
        <is>
          <t>VÄSTERBOTTENS LÄN</t>
        </is>
      </c>
      <c r="E786" t="inlineStr">
        <is>
          <t>VILHELMINA</t>
        </is>
      </c>
      <c r="F786" t="inlineStr">
        <is>
          <t>Allmännings- och besparingsskogar</t>
        </is>
      </c>
      <c r="G786" t="n">
        <v>4.7</v>
      </c>
      <c r="H786" t="n">
        <v>0</v>
      </c>
      <c r="I786" t="n">
        <v>0</v>
      </c>
      <c r="J786" t="n">
        <v>0</v>
      </c>
      <c r="K786" t="n">
        <v>0</v>
      </c>
      <c r="L786" t="n">
        <v>0</v>
      </c>
      <c r="M786" t="n">
        <v>0</v>
      </c>
      <c r="N786" t="n">
        <v>0</v>
      </c>
      <c r="O786" t="n">
        <v>0</v>
      </c>
      <c r="P786" t="n">
        <v>0</v>
      </c>
      <c r="Q786" t="n">
        <v>0</v>
      </c>
      <c r="R786" s="2" t="inlineStr"/>
    </row>
    <row r="787" ht="15" customHeight="1">
      <c r="A787" t="inlineStr">
        <is>
          <t>A 8916-2023</t>
        </is>
      </c>
      <c r="B787" s="1" t="n">
        <v>44972</v>
      </c>
      <c r="C787" s="1" t="n">
        <v>45658</v>
      </c>
      <c r="D787" t="inlineStr">
        <is>
          <t>VÄSTERBOTTENS LÄN</t>
        </is>
      </c>
      <c r="E787" t="inlineStr">
        <is>
          <t>VILHELMINA</t>
        </is>
      </c>
      <c r="F787" t="inlineStr">
        <is>
          <t>Allmännings- och besparingsskogar</t>
        </is>
      </c>
      <c r="G787" t="n">
        <v>20.9</v>
      </c>
      <c r="H787" t="n">
        <v>0</v>
      </c>
      <c r="I787" t="n">
        <v>0</v>
      </c>
      <c r="J787" t="n">
        <v>0</v>
      </c>
      <c r="K787" t="n">
        <v>0</v>
      </c>
      <c r="L787" t="n">
        <v>0</v>
      </c>
      <c r="M787" t="n">
        <v>0</v>
      </c>
      <c r="N787" t="n">
        <v>0</v>
      </c>
      <c r="O787" t="n">
        <v>0</v>
      </c>
      <c r="P787" t="n">
        <v>0</v>
      </c>
      <c r="Q787" t="n">
        <v>0</v>
      </c>
      <c r="R787" s="2" t="inlineStr"/>
    </row>
    <row r="788" ht="15" customHeight="1">
      <c r="A788" t="inlineStr">
        <is>
          <t>A 9185-2023</t>
        </is>
      </c>
      <c r="B788" s="1" t="n">
        <v>44972</v>
      </c>
      <c r="C788" s="1" t="n">
        <v>45658</v>
      </c>
      <c r="D788" t="inlineStr">
        <is>
          <t>VÄSTERBOTTENS LÄN</t>
        </is>
      </c>
      <c r="E788" t="inlineStr">
        <is>
          <t>VILHELMINA</t>
        </is>
      </c>
      <c r="F788" t="inlineStr">
        <is>
          <t>Allmännings- och besparingsskogar</t>
        </is>
      </c>
      <c r="G788" t="n">
        <v>4.1</v>
      </c>
      <c r="H788" t="n">
        <v>0</v>
      </c>
      <c r="I788" t="n">
        <v>0</v>
      </c>
      <c r="J788" t="n">
        <v>0</v>
      </c>
      <c r="K788" t="n">
        <v>0</v>
      </c>
      <c r="L788" t="n">
        <v>0</v>
      </c>
      <c r="M788" t="n">
        <v>0</v>
      </c>
      <c r="N788" t="n">
        <v>0</v>
      </c>
      <c r="O788" t="n">
        <v>0</v>
      </c>
      <c r="P788" t="n">
        <v>0</v>
      </c>
      <c r="Q788" t="n">
        <v>0</v>
      </c>
      <c r="R788" s="2" t="inlineStr"/>
    </row>
    <row r="789" ht="15" customHeight="1">
      <c r="A789" t="inlineStr">
        <is>
          <t>A 8027-2023</t>
        </is>
      </c>
      <c r="B789" s="1" t="n">
        <v>44973</v>
      </c>
      <c r="C789" s="1" t="n">
        <v>45658</v>
      </c>
      <c r="D789" t="inlineStr">
        <is>
          <t>VÄSTERBOTTENS LÄN</t>
        </is>
      </c>
      <c r="E789" t="inlineStr">
        <is>
          <t>VILHELMINA</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8652-2023</t>
        </is>
      </c>
      <c r="B790" s="1" t="n">
        <v>44978</v>
      </c>
      <c r="C790" s="1" t="n">
        <v>45658</v>
      </c>
      <c r="D790" t="inlineStr">
        <is>
          <t>VÄSTERBOTTENS LÄN</t>
        </is>
      </c>
      <c r="E790" t="inlineStr">
        <is>
          <t>VILHELMINA</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8653-2023</t>
        </is>
      </c>
      <c r="B791" s="1" t="n">
        <v>44977</v>
      </c>
      <c r="C791" s="1" t="n">
        <v>45658</v>
      </c>
      <c r="D791" t="inlineStr">
        <is>
          <t>VÄSTERBOTTENS LÄN</t>
        </is>
      </c>
      <c r="E791" t="inlineStr">
        <is>
          <t>VILHELMINA</t>
        </is>
      </c>
      <c r="F791" t="inlineStr">
        <is>
          <t>SCA</t>
        </is>
      </c>
      <c r="G791" t="n">
        <v>7.9</v>
      </c>
      <c r="H791" t="n">
        <v>0</v>
      </c>
      <c r="I791" t="n">
        <v>0</v>
      </c>
      <c r="J791" t="n">
        <v>0</v>
      </c>
      <c r="K791" t="n">
        <v>0</v>
      </c>
      <c r="L791" t="n">
        <v>0</v>
      </c>
      <c r="M791" t="n">
        <v>0</v>
      </c>
      <c r="N791" t="n">
        <v>0</v>
      </c>
      <c r="O791" t="n">
        <v>0</v>
      </c>
      <c r="P791" t="n">
        <v>0</v>
      </c>
      <c r="Q791" t="n">
        <v>0</v>
      </c>
      <c r="R791" s="2" t="inlineStr"/>
    </row>
    <row r="792" ht="15" customHeight="1">
      <c r="A792" t="inlineStr">
        <is>
          <t>A 8650-2023</t>
        </is>
      </c>
      <c r="B792" s="1" t="n">
        <v>44977</v>
      </c>
      <c r="C792" s="1" t="n">
        <v>45658</v>
      </c>
      <c r="D792" t="inlineStr">
        <is>
          <t>VÄSTERBOTTENS LÄN</t>
        </is>
      </c>
      <c r="E792" t="inlineStr">
        <is>
          <t>VILHELMINA</t>
        </is>
      </c>
      <c r="F792" t="inlineStr">
        <is>
          <t>SCA</t>
        </is>
      </c>
      <c r="G792" t="n">
        <v>48.9</v>
      </c>
      <c r="H792" t="n">
        <v>0</v>
      </c>
      <c r="I792" t="n">
        <v>0</v>
      </c>
      <c r="J792" t="n">
        <v>0</v>
      </c>
      <c r="K792" t="n">
        <v>0</v>
      </c>
      <c r="L792" t="n">
        <v>0</v>
      </c>
      <c r="M792" t="n">
        <v>0</v>
      </c>
      <c r="N792" t="n">
        <v>0</v>
      </c>
      <c r="O792" t="n">
        <v>0</v>
      </c>
      <c r="P792" t="n">
        <v>0</v>
      </c>
      <c r="Q792" t="n">
        <v>0</v>
      </c>
      <c r="R792" s="2" t="inlineStr"/>
    </row>
    <row r="793" ht="15" customHeight="1">
      <c r="A793" t="inlineStr">
        <is>
          <t>A 9197-2023</t>
        </is>
      </c>
      <c r="B793" s="1" t="n">
        <v>44977</v>
      </c>
      <c r="C793" s="1" t="n">
        <v>45658</v>
      </c>
      <c r="D793" t="inlineStr">
        <is>
          <t>VÄSTERBOTTENS LÄN</t>
        </is>
      </c>
      <c r="E793" t="inlineStr">
        <is>
          <t>VILHELMINA</t>
        </is>
      </c>
      <c r="G793" t="n">
        <v>8.9</v>
      </c>
      <c r="H793" t="n">
        <v>0</v>
      </c>
      <c r="I793" t="n">
        <v>0</v>
      </c>
      <c r="J793" t="n">
        <v>0</v>
      </c>
      <c r="K793" t="n">
        <v>0</v>
      </c>
      <c r="L793" t="n">
        <v>0</v>
      </c>
      <c r="M793" t="n">
        <v>0</v>
      </c>
      <c r="N793" t="n">
        <v>0</v>
      </c>
      <c r="O793" t="n">
        <v>0</v>
      </c>
      <c r="P793" t="n">
        <v>0</v>
      </c>
      <c r="Q793" t="n">
        <v>0</v>
      </c>
      <c r="R793" s="2" t="inlineStr"/>
    </row>
    <row r="794" ht="15" customHeight="1">
      <c r="A794" t="inlineStr">
        <is>
          <t>A 8859-2023</t>
        </is>
      </c>
      <c r="B794" s="1" t="n">
        <v>44978</v>
      </c>
      <c r="C794" s="1" t="n">
        <v>45658</v>
      </c>
      <c r="D794" t="inlineStr">
        <is>
          <t>VÄSTERBOTTENS LÄN</t>
        </is>
      </c>
      <c r="E794" t="inlineStr">
        <is>
          <t>VILHELMINA</t>
        </is>
      </c>
      <c r="G794" t="n">
        <v>6.3</v>
      </c>
      <c r="H794" t="n">
        <v>0</v>
      </c>
      <c r="I794" t="n">
        <v>0</v>
      </c>
      <c r="J794" t="n">
        <v>0</v>
      </c>
      <c r="K794" t="n">
        <v>0</v>
      </c>
      <c r="L794" t="n">
        <v>0</v>
      </c>
      <c r="M794" t="n">
        <v>0</v>
      </c>
      <c r="N794" t="n">
        <v>0</v>
      </c>
      <c r="O794" t="n">
        <v>0</v>
      </c>
      <c r="P794" t="n">
        <v>0</v>
      </c>
      <c r="Q794" t="n">
        <v>0</v>
      </c>
      <c r="R794" s="2" t="inlineStr"/>
    </row>
    <row r="795" ht="15" customHeight="1">
      <c r="A795" t="inlineStr">
        <is>
          <t>A 9534-2023</t>
        </is>
      </c>
      <c r="B795" s="1" t="n">
        <v>44981</v>
      </c>
      <c r="C795" s="1" t="n">
        <v>45658</v>
      </c>
      <c r="D795" t="inlineStr">
        <is>
          <t>VÄSTERBOTTENS LÄN</t>
        </is>
      </c>
      <c r="E795" t="inlineStr">
        <is>
          <t>VILHELMINA</t>
        </is>
      </c>
      <c r="G795" t="n">
        <v>1.7</v>
      </c>
      <c r="H795" t="n">
        <v>0</v>
      </c>
      <c r="I795" t="n">
        <v>0</v>
      </c>
      <c r="J795" t="n">
        <v>0</v>
      </c>
      <c r="K795" t="n">
        <v>0</v>
      </c>
      <c r="L795" t="n">
        <v>0</v>
      </c>
      <c r="M795" t="n">
        <v>0</v>
      </c>
      <c r="N795" t="n">
        <v>0</v>
      </c>
      <c r="O795" t="n">
        <v>0</v>
      </c>
      <c r="P795" t="n">
        <v>0</v>
      </c>
      <c r="Q795" t="n">
        <v>0</v>
      </c>
      <c r="R795" s="2" t="inlineStr"/>
    </row>
    <row r="796" ht="15" customHeight="1">
      <c r="A796" t="inlineStr">
        <is>
          <t>A 9844-2023</t>
        </is>
      </c>
      <c r="B796" s="1" t="n">
        <v>44984</v>
      </c>
      <c r="C796" s="1" t="n">
        <v>45658</v>
      </c>
      <c r="D796" t="inlineStr">
        <is>
          <t>VÄSTERBOTTENS LÄN</t>
        </is>
      </c>
      <c r="E796" t="inlineStr">
        <is>
          <t>VILHELMINA</t>
        </is>
      </c>
      <c r="G796" t="n">
        <v>21.8</v>
      </c>
      <c r="H796" t="n">
        <v>0</v>
      </c>
      <c r="I796" t="n">
        <v>0</v>
      </c>
      <c r="J796" t="n">
        <v>0</v>
      </c>
      <c r="K796" t="n">
        <v>0</v>
      </c>
      <c r="L796" t="n">
        <v>0</v>
      </c>
      <c r="M796" t="n">
        <v>0</v>
      </c>
      <c r="N796" t="n">
        <v>0</v>
      </c>
      <c r="O796" t="n">
        <v>0</v>
      </c>
      <c r="P796" t="n">
        <v>0</v>
      </c>
      <c r="Q796" t="n">
        <v>0</v>
      </c>
      <c r="R796" s="2" t="inlineStr"/>
    </row>
    <row r="797" ht="15" customHeight="1">
      <c r="A797" t="inlineStr">
        <is>
          <t>A 10941-2023</t>
        </is>
      </c>
      <c r="B797" s="1" t="n">
        <v>44985</v>
      </c>
      <c r="C797" s="1" t="n">
        <v>45658</v>
      </c>
      <c r="D797" t="inlineStr">
        <is>
          <t>VÄSTERBOTTENS LÄN</t>
        </is>
      </c>
      <c r="E797" t="inlineStr">
        <is>
          <t>VILHELMINA</t>
        </is>
      </c>
      <c r="G797" t="n">
        <v>16.7</v>
      </c>
      <c r="H797" t="n">
        <v>0</v>
      </c>
      <c r="I797" t="n">
        <v>0</v>
      </c>
      <c r="J797" t="n">
        <v>0</v>
      </c>
      <c r="K797" t="n">
        <v>0</v>
      </c>
      <c r="L797" t="n">
        <v>0</v>
      </c>
      <c r="M797" t="n">
        <v>0</v>
      </c>
      <c r="N797" t="n">
        <v>0</v>
      </c>
      <c r="O797" t="n">
        <v>0</v>
      </c>
      <c r="P797" t="n">
        <v>0</v>
      </c>
      <c r="Q797" t="n">
        <v>0</v>
      </c>
      <c r="R797" s="2" t="inlineStr"/>
    </row>
    <row r="798" ht="15" customHeight="1">
      <c r="A798" t="inlineStr">
        <is>
          <t>A 10952-2023</t>
        </is>
      </c>
      <c r="B798" s="1" t="n">
        <v>44985</v>
      </c>
      <c r="C798" s="1" t="n">
        <v>45658</v>
      </c>
      <c r="D798" t="inlineStr">
        <is>
          <t>VÄSTERBOTTENS LÄN</t>
        </is>
      </c>
      <c r="E798" t="inlineStr">
        <is>
          <t>VILHELMINA</t>
        </is>
      </c>
      <c r="G798" t="n">
        <v>10.6</v>
      </c>
      <c r="H798" t="n">
        <v>0</v>
      </c>
      <c r="I798" t="n">
        <v>0</v>
      </c>
      <c r="J798" t="n">
        <v>0</v>
      </c>
      <c r="K798" t="n">
        <v>0</v>
      </c>
      <c r="L798" t="n">
        <v>0</v>
      </c>
      <c r="M798" t="n">
        <v>0</v>
      </c>
      <c r="N798" t="n">
        <v>0</v>
      </c>
      <c r="O798" t="n">
        <v>0</v>
      </c>
      <c r="P798" t="n">
        <v>0</v>
      </c>
      <c r="Q798" t="n">
        <v>0</v>
      </c>
      <c r="R798" s="2" t="inlineStr"/>
    </row>
    <row r="799" ht="15" customHeight="1">
      <c r="A799" t="inlineStr">
        <is>
          <t>A 10937-2023</t>
        </is>
      </c>
      <c r="B799" s="1" t="n">
        <v>44985</v>
      </c>
      <c r="C799" s="1" t="n">
        <v>45658</v>
      </c>
      <c r="D799" t="inlineStr">
        <is>
          <t>VÄSTERBOTTENS LÄN</t>
        </is>
      </c>
      <c r="E799" t="inlineStr">
        <is>
          <t>VILHELMINA</t>
        </is>
      </c>
      <c r="G799" t="n">
        <v>1.9</v>
      </c>
      <c r="H799" t="n">
        <v>0</v>
      </c>
      <c r="I799" t="n">
        <v>0</v>
      </c>
      <c r="J799" t="n">
        <v>0</v>
      </c>
      <c r="K799" t="n">
        <v>0</v>
      </c>
      <c r="L799" t="n">
        <v>0</v>
      </c>
      <c r="M799" t="n">
        <v>0</v>
      </c>
      <c r="N799" t="n">
        <v>0</v>
      </c>
      <c r="O799" t="n">
        <v>0</v>
      </c>
      <c r="P799" t="n">
        <v>0</v>
      </c>
      <c r="Q799" t="n">
        <v>0</v>
      </c>
      <c r="R799" s="2" t="inlineStr"/>
    </row>
    <row r="800" ht="15" customHeight="1">
      <c r="A800" t="inlineStr">
        <is>
          <t>A 10947-2023</t>
        </is>
      </c>
      <c r="B800" s="1" t="n">
        <v>44985</v>
      </c>
      <c r="C800" s="1" t="n">
        <v>45658</v>
      </c>
      <c r="D800" t="inlineStr">
        <is>
          <t>VÄSTERBOTTENS LÄN</t>
        </is>
      </c>
      <c r="E800" t="inlineStr">
        <is>
          <t>VILHELMINA</t>
        </is>
      </c>
      <c r="G800" t="n">
        <v>2.1</v>
      </c>
      <c r="H800" t="n">
        <v>0</v>
      </c>
      <c r="I800" t="n">
        <v>0</v>
      </c>
      <c r="J800" t="n">
        <v>0</v>
      </c>
      <c r="K800" t="n">
        <v>0</v>
      </c>
      <c r="L800" t="n">
        <v>0</v>
      </c>
      <c r="M800" t="n">
        <v>0</v>
      </c>
      <c r="N800" t="n">
        <v>0</v>
      </c>
      <c r="O800" t="n">
        <v>0</v>
      </c>
      <c r="P800" t="n">
        <v>0</v>
      </c>
      <c r="Q800" t="n">
        <v>0</v>
      </c>
      <c r="R800" s="2" t="inlineStr"/>
    </row>
    <row r="801" ht="15" customHeight="1">
      <c r="A801" t="inlineStr">
        <is>
          <t>A 10956-2023</t>
        </is>
      </c>
      <c r="B801" s="1" t="n">
        <v>44985</v>
      </c>
      <c r="C801" s="1" t="n">
        <v>45658</v>
      </c>
      <c r="D801" t="inlineStr">
        <is>
          <t>VÄSTERBOTTENS LÄN</t>
        </is>
      </c>
      <c r="E801" t="inlineStr">
        <is>
          <t>VILHELMINA</t>
        </is>
      </c>
      <c r="G801" t="n">
        <v>3.3</v>
      </c>
      <c r="H801" t="n">
        <v>0</v>
      </c>
      <c r="I801" t="n">
        <v>0</v>
      </c>
      <c r="J801" t="n">
        <v>0</v>
      </c>
      <c r="K801" t="n">
        <v>0</v>
      </c>
      <c r="L801" t="n">
        <v>0</v>
      </c>
      <c r="M801" t="n">
        <v>0</v>
      </c>
      <c r="N801" t="n">
        <v>0</v>
      </c>
      <c r="O801" t="n">
        <v>0</v>
      </c>
      <c r="P801" t="n">
        <v>0</v>
      </c>
      <c r="Q801" t="n">
        <v>0</v>
      </c>
      <c r="R801" s="2" t="inlineStr"/>
    </row>
    <row r="802" ht="15" customHeight="1">
      <c r="A802" t="inlineStr">
        <is>
          <t>A 10933-2023</t>
        </is>
      </c>
      <c r="B802" s="1" t="n">
        <v>44985</v>
      </c>
      <c r="C802" s="1" t="n">
        <v>45658</v>
      </c>
      <c r="D802" t="inlineStr">
        <is>
          <t>VÄSTERBOTTENS LÄN</t>
        </is>
      </c>
      <c r="E802" t="inlineStr">
        <is>
          <t>VILHELMINA</t>
        </is>
      </c>
      <c r="G802" t="n">
        <v>9.5</v>
      </c>
      <c r="H802" t="n">
        <v>0</v>
      </c>
      <c r="I802" t="n">
        <v>0</v>
      </c>
      <c r="J802" t="n">
        <v>0</v>
      </c>
      <c r="K802" t="n">
        <v>0</v>
      </c>
      <c r="L802" t="n">
        <v>0</v>
      </c>
      <c r="M802" t="n">
        <v>0</v>
      </c>
      <c r="N802" t="n">
        <v>0</v>
      </c>
      <c r="O802" t="n">
        <v>0</v>
      </c>
      <c r="P802" t="n">
        <v>0</v>
      </c>
      <c r="Q802" t="n">
        <v>0</v>
      </c>
      <c r="R802" s="2" t="inlineStr"/>
    </row>
    <row r="803" ht="15" customHeight="1">
      <c r="A803" t="inlineStr">
        <is>
          <t>A 10418-2023</t>
        </is>
      </c>
      <c r="B803" s="1" t="n">
        <v>44987</v>
      </c>
      <c r="C803" s="1" t="n">
        <v>45658</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11323-2023</t>
        </is>
      </c>
      <c r="B804" s="1" t="n">
        <v>44993</v>
      </c>
      <c r="C804" s="1" t="n">
        <v>45658</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11544-2023</t>
        </is>
      </c>
      <c r="B805" s="1" t="n">
        <v>44993</v>
      </c>
      <c r="C805" s="1" t="n">
        <v>45658</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11311-2023</t>
        </is>
      </c>
      <c r="B806" s="1" t="n">
        <v>44993</v>
      </c>
      <c r="C806" s="1" t="n">
        <v>45658</v>
      </c>
      <c r="D806" t="inlineStr">
        <is>
          <t>VÄSTERBOTTENS LÄN</t>
        </is>
      </c>
      <c r="E806" t="inlineStr">
        <is>
          <t>VILHELMINA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11825-2023</t>
        </is>
      </c>
      <c r="B807" s="1" t="n">
        <v>44994</v>
      </c>
      <c r="C807" s="1" t="n">
        <v>45658</v>
      </c>
      <c r="D807" t="inlineStr">
        <is>
          <t>VÄSTERBOTTENS LÄN</t>
        </is>
      </c>
      <c r="E807" t="inlineStr">
        <is>
          <t>VILHELMINA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11833-2023</t>
        </is>
      </c>
      <c r="B808" s="1" t="n">
        <v>44994</v>
      </c>
      <c r="C808" s="1" t="n">
        <v>45658</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12043-2023</t>
        </is>
      </c>
      <c r="B809" s="1" t="n">
        <v>44995</v>
      </c>
      <c r="C809" s="1" t="n">
        <v>45658</v>
      </c>
      <c r="D809" t="inlineStr">
        <is>
          <t>VÄSTERBOTTENS LÄN</t>
        </is>
      </c>
      <c r="E809" t="inlineStr">
        <is>
          <t>VILHELMINA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12784-2023</t>
        </is>
      </c>
      <c r="B810" s="1" t="n">
        <v>45000</v>
      </c>
      <c r="C810" s="1" t="n">
        <v>45658</v>
      </c>
      <c r="D810" t="inlineStr">
        <is>
          <t>VÄSTERBOTTENS LÄN</t>
        </is>
      </c>
      <c r="E810" t="inlineStr">
        <is>
          <t>VILHELMINA</t>
        </is>
      </c>
      <c r="G810" t="n">
        <v>18.6</v>
      </c>
      <c r="H810" t="n">
        <v>0</v>
      </c>
      <c r="I810" t="n">
        <v>0</v>
      </c>
      <c r="J810" t="n">
        <v>0</v>
      </c>
      <c r="K810" t="n">
        <v>0</v>
      </c>
      <c r="L810" t="n">
        <v>0</v>
      </c>
      <c r="M810" t="n">
        <v>0</v>
      </c>
      <c r="N810" t="n">
        <v>0</v>
      </c>
      <c r="O810" t="n">
        <v>0</v>
      </c>
      <c r="P810" t="n">
        <v>0</v>
      </c>
      <c r="Q810" t="n">
        <v>0</v>
      </c>
      <c r="R810" s="2" t="inlineStr"/>
    </row>
    <row r="811" ht="15" customHeight="1">
      <c r="A811" t="inlineStr">
        <is>
          <t>A 12866-2023</t>
        </is>
      </c>
      <c r="B811" s="1" t="n">
        <v>45000</v>
      </c>
      <c r="C811" s="1" t="n">
        <v>45658</v>
      </c>
      <c r="D811" t="inlineStr">
        <is>
          <t>VÄSTERBOTTENS LÄN</t>
        </is>
      </c>
      <c r="E811" t="inlineStr">
        <is>
          <t>VILHELMINA</t>
        </is>
      </c>
      <c r="G811" t="n">
        <v>2.6</v>
      </c>
      <c r="H811" t="n">
        <v>0</v>
      </c>
      <c r="I811" t="n">
        <v>0</v>
      </c>
      <c r="J811" t="n">
        <v>0</v>
      </c>
      <c r="K811" t="n">
        <v>0</v>
      </c>
      <c r="L811" t="n">
        <v>0</v>
      </c>
      <c r="M811" t="n">
        <v>0</v>
      </c>
      <c r="N811" t="n">
        <v>0</v>
      </c>
      <c r="O811" t="n">
        <v>0</v>
      </c>
      <c r="P811" t="n">
        <v>0</v>
      </c>
      <c r="Q811" t="n">
        <v>0</v>
      </c>
      <c r="R811" s="2" t="inlineStr"/>
    </row>
    <row r="812" ht="15" customHeight="1">
      <c r="A812" t="inlineStr">
        <is>
          <t>A 12825-2023</t>
        </is>
      </c>
      <c r="B812" s="1" t="n">
        <v>45000</v>
      </c>
      <c r="C812" s="1" t="n">
        <v>45658</v>
      </c>
      <c r="D812" t="inlineStr">
        <is>
          <t>VÄSTERBOTTENS LÄN</t>
        </is>
      </c>
      <c r="E812" t="inlineStr">
        <is>
          <t>VILHELMINA</t>
        </is>
      </c>
      <c r="G812" t="n">
        <v>22.4</v>
      </c>
      <c r="H812" t="n">
        <v>0</v>
      </c>
      <c r="I812" t="n">
        <v>0</v>
      </c>
      <c r="J812" t="n">
        <v>0</v>
      </c>
      <c r="K812" t="n">
        <v>0</v>
      </c>
      <c r="L812" t="n">
        <v>0</v>
      </c>
      <c r="M812" t="n">
        <v>0</v>
      </c>
      <c r="N812" t="n">
        <v>0</v>
      </c>
      <c r="O812" t="n">
        <v>0</v>
      </c>
      <c r="P812" t="n">
        <v>0</v>
      </c>
      <c r="Q812" t="n">
        <v>0</v>
      </c>
      <c r="R812" s="2" t="inlineStr"/>
    </row>
    <row r="813" ht="15" customHeight="1">
      <c r="A813" t="inlineStr">
        <is>
          <t>A 15814-2023</t>
        </is>
      </c>
      <c r="B813" s="1" t="n">
        <v>45021</v>
      </c>
      <c r="C813" s="1" t="n">
        <v>45658</v>
      </c>
      <c r="D813" t="inlineStr">
        <is>
          <t>VÄSTERBOTTENS LÄN</t>
        </is>
      </c>
      <c r="E813" t="inlineStr">
        <is>
          <t>VILHELMINA</t>
        </is>
      </c>
      <c r="F813" t="inlineStr">
        <is>
          <t>SCA</t>
        </is>
      </c>
      <c r="G813" t="n">
        <v>69.7</v>
      </c>
      <c r="H813" t="n">
        <v>0</v>
      </c>
      <c r="I813" t="n">
        <v>0</v>
      </c>
      <c r="J813" t="n">
        <v>0</v>
      </c>
      <c r="K813" t="n">
        <v>0</v>
      </c>
      <c r="L813" t="n">
        <v>0</v>
      </c>
      <c r="M813" t="n">
        <v>0</v>
      </c>
      <c r="N813" t="n">
        <v>0</v>
      </c>
      <c r="O813" t="n">
        <v>0</v>
      </c>
      <c r="P813" t="n">
        <v>0</v>
      </c>
      <c r="Q813" t="n">
        <v>0</v>
      </c>
      <c r="R813" s="2" t="inlineStr"/>
    </row>
    <row r="814" ht="15" customHeight="1">
      <c r="A814" t="inlineStr">
        <is>
          <t>A 18554-2023</t>
        </is>
      </c>
      <c r="B814" s="1" t="n">
        <v>45043</v>
      </c>
      <c r="C814" s="1" t="n">
        <v>45658</v>
      </c>
      <c r="D814" t="inlineStr">
        <is>
          <t>VÄSTERBOTTENS LÄN</t>
        </is>
      </c>
      <c r="E814" t="inlineStr">
        <is>
          <t>VILHELMINA</t>
        </is>
      </c>
      <c r="F814" t="inlineStr">
        <is>
          <t>SCA</t>
        </is>
      </c>
      <c r="G814" t="n">
        <v>18.1</v>
      </c>
      <c r="H814" t="n">
        <v>0</v>
      </c>
      <c r="I814" t="n">
        <v>0</v>
      </c>
      <c r="J814" t="n">
        <v>0</v>
      </c>
      <c r="K814" t="n">
        <v>0</v>
      </c>
      <c r="L814" t="n">
        <v>0</v>
      </c>
      <c r="M814" t="n">
        <v>0</v>
      </c>
      <c r="N814" t="n">
        <v>0</v>
      </c>
      <c r="O814" t="n">
        <v>0</v>
      </c>
      <c r="P814" t="n">
        <v>0</v>
      </c>
      <c r="Q814" t="n">
        <v>0</v>
      </c>
      <c r="R814" s="2" t="inlineStr"/>
    </row>
    <row r="815" ht="15" customHeight="1">
      <c r="A815" t="inlineStr">
        <is>
          <t>A 18692-2023</t>
        </is>
      </c>
      <c r="B815" s="1" t="n">
        <v>45042</v>
      </c>
      <c r="C815" s="1" t="n">
        <v>45658</v>
      </c>
      <c r="D815" t="inlineStr">
        <is>
          <t>VÄSTERBOTTENS LÄN</t>
        </is>
      </c>
      <c r="E815" t="inlineStr">
        <is>
          <t>VILHELMINA</t>
        </is>
      </c>
      <c r="F815" t="inlineStr">
        <is>
          <t>Allmännings- och besparingsskogar</t>
        </is>
      </c>
      <c r="G815" t="n">
        <v>0.6</v>
      </c>
      <c r="H815" t="n">
        <v>0</v>
      </c>
      <c r="I815" t="n">
        <v>0</v>
      </c>
      <c r="J815" t="n">
        <v>0</v>
      </c>
      <c r="K815" t="n">
        <v>0</v>
      </c>
      <c r="L815" t="n">
        <v>0</v>
      </c>
      <c r="M815" t="n">
        <v>0</v>
      </c>
      <c r="N815" t="n">
        <v>0</v>
      </c>
      <c r="O815" t="n">
        <v>0</v>
      </c>
      <c r="P815" t="n">
        <v>0</v>
      </c>
      <c r="Q815" t="n">
        <v>0</v>
      </c>
      <c r="R815" s="2" t="inlineStr"/>
    </row>
    <row r="816" ht="15" customHeight="1">
      <c r="A816" t="inlineStr">
        <is>
          <t>A 19060-2023</t>
        </is>
      </c>
      <c r="B816" s="1" t="n">
        <v>45043</v>
      </c>
      <c r="C816" s="1" t="n">
        <v>45658</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19232-2023</t>
        </is>
      </c>
      <c r="B817" s="1" t="n">
        <v>45048</v>
      </c>
      <c r="C817" s="1" t="n">
        <v>45658</v>
      </c>
      <c r="D817" t="inlineStr">
        <is>
          <t>VÄSTERBOTTENS LÄN</t>
        </is>
      </c>
      <c r="E817" t="inlineStr">
        <is>
          <t>VILHELMINA</t>
        </is>
      </c>
      <c r="G817" t="n">
        <v>4.8</v>
      </c>
      <c r="H817" t="n">
        <v>0</v>
      </c>
      <c r="I817" t="n">
        <v>0</v>
      </c>
      <c r="J817" t="n">
        <v>0</v>
      </c>
      <c r="K817" t="n">
        <v>0</v>
      </c>
      <c r="L817" t="n">
        <v>0</v>
      </c>
      <c r="M817" t="n">
        <v>0</v>
      </c>
      <c r="N817" t="n">
        <v>0</v>
      </c>
      <c r="O817" t="n">
        <v>0</v>
      </c>
      <c r="P817" t="n">
        <v>0</v>
      </c>
      <c r="Q817" t="n">
        <v>0</v>
      </c>
      <c r="R817" s="2" t="inlineStr"/>
    </row>
    <row r="818" ht="15" customHeight="1">
      <c r="A818" t="inlineStr">
        <is>
          <t>A 19401-2023</t>
        </is>
      </c>
      <c r="B818" s="1" t="n">
        <v>45048</v>
      </c>
      <c r="C818" s="1" t="n">
        <v>45658</v>
      </c>
      <c r="D818" t="inlineStr">
        <is>
          <t>VÄSTERBOTTENS LÄN</t>
        </is>
      </c>
      <c r="E818" t="inlineStr">
        <is>
          <t>VILHELMINA</t>
        </is>
      </c>
      <c r="G818" t="n">
        <v>5.4</v>
      </c>
      <c r="H818" t="n">
        <v>0</v>
      </c>
      <c r="I818" t="n">
        <v>0</v>
      </c>
      <c r="J818" t="n">
        <v>0</v>
      </c>
      <c r="K818" t="n">
        <v>0</v>
      </c>
      <c r="L818" t="n">
        <v>0</v>
      </c>
      <c r="M818" t="n">
        <v>0</v>
      </c>
      <c r="N818" t="n">
        <v>0</v>
      </c>
      <c r="O818" t="n">
        <v>0</v>
      </c>
      <c r="P818" t="n">
        <v>0</v>
      </c>
      <c r="Q818" t="n">
        <v>0</v>
      </c>
      <c r="R818" s="2" t="inlineStr"/>
    </row>
    <row r="819" ht="15" customHeight="1">
      <c r="A819" t="inlineStr">
        <is>
          <t>A 19397-2023</t>
        </is>
      </c>
      <c r="B819" s="1" t="n">
        <v>45048</v>
      </c>
      <c r="C819" s="1" t="n">
        <v>45658</v>
      </c>
      <c r="D819" t="inlineStr">
        <is>
          <t>VÄSTERBOTTENS LÄN</t>
        </is>
      </c>
      <c r="E819" t="inlineStr">
        <is>
          <t>VILHELMINA</t>
        </is>
      </c>
      <c r="G819" t="n">
        <v>12.8</v>
      </c>
      <c r="H819" t="n">
        <v>0</v>
      </c>
      <c r="I819" t="n">
        <v>0</v>
      </c>
      <c r="J819" t="n">
        <v>0</v>
      </c>
      <c r="K819" t="n">
        <v>0</v>
      </c>
      <c r="L819" t="n">
        <v>0</v>
      </c>
      <c r="M819" t="n">
        <v>0</v>
      </c>
      <c r="N819" t="n">
        <v>0</v>
      </c>
      <c r="O819" t="n">
        <v>0</v>
      </c>
      <c r="P819" t="n">
        <v>0</v>
      </c>
      <c r="Q819" t="n">
        <v>0</v>
      </c>
      <c r="R819" s="2" t="inlineStr"/>
    </row>
    <row r="820" ht="15" customHeight="1">
      <c r="A820" t="inlineStr">
        <is>
          <t>A 20090-2023</t>
        </is>
      </c>
      <c r="B820" s="1" t="n">
        <v>45054</v>
      </c>
      <c r="C820" s="1" t="n">
        <v>45658</v>
      </c>
      <c r="D820" t="inlineStr">
        <is>
          <t>VÄSTERBOTTENS LÄN</t>
        </is>
      </c>
      <c r="E820" t="inlineStr">
        <is>
          <t>VILHELMINA</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20454-2023</t>
        </is>
      </c>
      <c r="B821" s="1" t="n">
        <v>45056</v>
      </c>
      <c r="C821" s="1" t="n">
        <v>45658</v>
      </c>
      <c r="D821" t="inlineStr">
        <is>
          <t>VÄSTERBOTTENS LÄN</t>
        </is>
      </c>
      <c r="E821" t="inlineStr">
        <is>
          <t>VILHELMINA</t>
        </is>
      </c>
      <c r="G821" t="n">
        <v>5.5</v>
      </c>
      <c r="H821" t="n">
        <v>0</v>
      </c>
      <c r="I821" t="n">
        <v>0</v>
      </c>
      <c r="J821" t="n">
        <v>0</v>
      </c>
      <c r="K821" t="n">
        <v>0</v>
      </c>
      <c r="L821" t="n">
        <v>0</v>
      </c>
      <c r="M821" t="n">
        <v>0</v>
      </c>
      <c r="N821" t="n">
        <v>0</v>
      </c>
      <c r="O821" t="n">
        <v>0</v>
      </c>
      <c r="P821" t="n">
        <v>0</v>
      </c>
      <c r="Q821" t="n">
        <v>0</v>
      </c>
      <c r="R821" s="2" t="inlineStr"/>
    </row>
    <row r="822" ht="15" customHeight="1">
      <c r="A822" t="inlineStr">
        <is>
          <t>A 20455-2023</t>
        </is>
      </c>
      <c r="B822" s="1" t="n">
        <v>45056</v>
      </c>
      <c r="C822" s="1" t="n">
        <v>45658</v>
      </c>
      <c r="D822" t="inlineStr">
        <is>
          <t>VÄSTERBOTTENS LÄN</t>
        </is>
      </c>
      <c r="E822" t="inlineStr">
        <is>
          <t>VILHELMINA</t>
        </is>
      </c>
      <c r="G822" t="n">
        <v>3.1</v>
      </c>
      <c r="H822" t="n">
        <v>0</v>
      </c>
      <c r="I822" t="n">
        <v>0</v>
      </c>
      <c r="J822" t="n">
        <v>0</v>
      </c>
      <c r="K822" t="n">
        <v>0</v>
      </c>
      <c r="L822" t="n">
        <v>0</v>
      </c>
      <c r="M822" t="n">
        <v>0</v>
      </c>
      <c r="N822" t="n">
        <v>0</v>
      </c>
      <c r="O822" t="n">
        <v>0</v>
      </c>
      <c r="P822" t="n">
        <v>0</v>
      </c>
      <c r="Q822" t="n">
        <v>0</v>
      </c>
      <c r="R822" s="2" t="inlineStr"/>
    </row>
    <row r="823" ht="15" customHeight="1">
      <c r="A823" t="inlineStr">
        <is>
          <t>A 20595-2023</t>
        </is>
      </c>
      <c r="B823" s="1" t="n">
        <v>45057</v>
      </c>
      <c r="C823" s="1" t="n">
        <v>45658</v>
      </c>
      <c r="D823" t="inlineStr">
        <is>
          <t>VÄSTERBOTTENS LÄN</t>
        </is>
      </c>
      <c r="E823" t="inlineStr">
        <is>
          <t>VILHELMINA</t>
        </is>
      </c>
      <c r="F823" t="inlineStr">
        <is>
          <t>SCA</t>
        </is>
      </c>
      <c r="G823" t="n">
        <v>22.7</v>
      </c>
      <c r="H823" t="n">
        <v>0</v>
      </c>
      <c r="I823" t="n">
        <v>0</v>
      </c>
      <c r="J823" t="n">
        <v>0</v>
      </c>
      <c r="K823" t="n">
        <v>0</v>
      </c>
      <c r="L823" t="n">
        <v>0</v>
      </c>
      <c r="M823" t="n">
        <v>0</v>
      </c>
      <c r="N823" t="n">
        <v>0</v>
      </c>
      <c r="O823" t="n">
        <v>0</v>
      </c>
      <c r="P823" t="n">
        <v>0</v>
      </c>
      <c r="Q823" t="n">
        <v>0</v>
      </c>
      <c r="R823" s="2" t="inlineStr"/>
    </row>
    <row r="824" ht="15" customHeight="1">
      <c r="A824" t="inlineStr">
        <is>
          <t>A 21334-2023</t>
        </is>
      </c>
      <c r="B824" s="1" t="n">
        <v>45062</v>
      </c>
      <c r="C824" s="1" t="n">
        <v>45658</v>
      </c>
      <c r="D824" t="inlineStr">
        <is>
          <t>VÄSTERBOTTENS LÄN</t>
        </is>
      </c>
      <c r="E824" t="inlineStr">
        <is>
          <t>VILHELMINA</t>
        </is>
      </c>
      <c r="G824" t="n">
        <v>20</v>
      </c>
      <c r="H824" t="n">
        <v>0</v>
      </c>
      <c r="I824" t="n">
        <v>0</v>
      </c>
      <c r="J824" t="n">
        <v>0</v>
      </c>
      <c r="K824" t="n">
        <v>0</v>
      </c>
      <c r="L824" t="n">
        <v>0</v>
      </c>
      <c r="M824" t="n">
        <v>0</v>
      </c>
      <c r="N824" t="n">
        <v>0</v>
      </c>
      <c r="O824" t="n">
        <v>0</v>
      </c>
      <c r="P824" t="n">
        <v>0</v>
      </c>
      <c r="Q824" t="n">
        <v>0</v>
      </c>
      <c r="R824" s="2" t="inlineStr"/>
    </row>
    <row r="825" ht="15" customHeight="1">
      <c r="A825" t="inlineStr">
        <is>
          <t>A 24373-2023</t>
        </is>
      </c>
      <c r="B825" s="1" t="n">
        <v>45076</v>
      </c>
      <c r="C825" s="1" t="n">
        <v>45658</v>
      </c>
      <c r="D825" t="inlineStr">
        <is>
          <t>VÄSTERBOTTENS LÄN</t>
        </is>
      </c>
      <c r="E825" t="inlineStr">
        <is>
          <t>VILHELMINA</t>
        </is>
      </c>
      <c r="G825" t="n">
        <v>6.3</v>
      </c>
      <c r="H825" t="n">
        <v>0</v>
      </c>
      <c r="I825" t="n">
        <v>0</v>
      </c>
      <c r="J825" t="n">
        <v>0</v>
      </c>
      <c r="K825" t="n">
        <v>0</v>
      </c>
      <c r="L825" t="n">
        <v>0</v>
      </c>
      <c r="M825" t="n">
        <v>0</v>
      </c>
      <c r="N825" t="n">
        <v>0</v>
      </c>
      <c r="O825" t="n">
        <v>0</v>
      </c>
      <c r="P825" t="n">
        <v>0</v>
      </c>
      <c r="Q825" t="n">
        <v>0</v>
      </c>
      <c r="R825" s="2" t="inlineStr"/>
    </row>
    <row r="826" ht="15" customHeight="1">
      <c r="A826" t="inlineStr">
        <is>
          <t>A 24598-2023</t>
        </is>
      </c>
      <c r="B826" s="1" t="n">
        <v>45084</v>
      </c>
      <c r="C826" s="1" t="n">
        <v>45658</v>
      </c>
      <c r="D826" t="inlineStr">
        <is>
          <t>VÄSTERBOTTENS LÄN</t>
        </is>
      </c>
      <c r="E826" t="inlineStr">
        <is>
          <t>VILHELMINA</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24828-2023</t>
        </is>
      </c>
      <c r="B827" s="1" t="n">
        <v>45084</v>
      </c>
      <c r="C827" s="1" t="n">
        <v>45658</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25313-2023</t>
        </is>
      </c>
      <c r="B828" s="1" t="n">
        <v>45087</v>
      </c>
      <c r="C828" s="1" t="n">
        <v>45658</v>
      </c>
      <c r="D828" t="inlineStr">
        <is>
          <t>VÄSTERBOTTENS LÄN</t>
        </is>
      </c>
      <c r="E828" t="inlineStr">
        <is>
          <t>VILHELMINA</t>
        </is>
      </c>
      <c r="F828" t="inlineStr">
        <is>
          <t>SCA</t>
        </is>
      </c>
      <c r="G828" t="n">
        <v>9.5</v>
      </c>
      <c r="H828" t="n">
        <v>0</v>
      </c>
      <c r="I828" t="n">
        <v>0</v>
      </c>
      <c r="J828" t="n">
        <v>0</v>
      </c>
      <c r="K828" t="n">
        <v>0</v>
      </c>
      <c r="L828" t="n">
        <v>0</v>
      </c>
      <c r="M828" t="n">
        <v>0</v>
      </c>
      <c r="N828" t="n">
        <v>0</v>
      </c>
      <c r="O828" t="n">
        <v>0</v>
      </c>
      <c r="P828" t="n">
        <v>0</v>
      </c>
      <c r="Q828" t="n">
        <v>0</v>
      </c>
      <c r="R828" s="2" t="inlineStr"/>
    </row>
    <row r="829" ht="15" customHeight="1">
      <c r="A829" t="inlineStr">
        <is>
          <t>A 26553-2023</t>
        </is>
      </c>
      <c r="B829" s="1" t="n">
        <v>45089</v>
      </c>
      <c r="C829" s="1" t="n">
        <v>45658</v>
      </c>
      <c r="D829" t="inlineStr">
        <is>
          <t>VÄSTERBOTTENS LÄN</t>
        </is>
      </c>
      <c r="E829" t="inlineStr">
        <is>
          <t>VILHELMINA</t>
        </is>
      </c>
      <c r="G829" t="n">
        <v>5.5</v>
      </c>
      <c r="H829" t="n">
        <v>0</v>
      </c>
      <c r="I829" t="n">
        <v>0</v>
      </c>
      <c r="J829" t="n">
        <v>0</v>
      </c>
      <c r="K829" t="n">
        <v>0</v>
      </c>
      <c r="L829" t="n">
        <v>0</v>
      </c>
      <c r="M829" t="n">
        <v>0</v>
      </c>
      <c r="N829" t="n">
        <v>0</v>
      </c>
      <c r="O829" t="n">
        <v>0</v>
      </c>
      <c r="P829" t="n">
        <v>0</v>
      </c>
      <c r="Q829" t="n">
        <v>0</v>
      </c>
      <c r="R829" s="2" t="inlineStr"/>
    </row>
    <row r="830" ht="15" customHeight="1">
      <c r="A830" t="inlineStr">
        <is>
          <t>A 26564-2023</t>
        </is>
      </c>
      <c r="B830" s="1" t="n">
        <v>45089</v>
      </c>
      <c r="C830" s="1" t="n">
        <v>45658</v>
      </c>
      <c r="D830" t="inlineStr">
        <is>
          <t>VÄSTERBOTTENS LÄN</t>
        </is>
      </c>
      <c r="E830" t="inlineStr">
        <is>
          <t>VILHELMINA</t>
        </is>
      </c>
      <c r="G830" t="n">
        <v>2</v>
      </c>
      <c r="H830" t="n">
        <v>0</v>
      </c>
      <c r="I830" t="n">
        <v>0</v>
      </c>
      <c r="J830" t="n">
        <v>0</v>
      </c>
      <c r="K830" t="n">
        <v>0</v>
      </c>
      <c r="L830" t="n">
        <v>0</v>
      </c>
      <c r="M830" t="n">
        <v>0</v>
      </c>
      <c r="N830" t="n">
        <v>0</v>
      </c>
      <c r="O830" t="n">
        <v>0</v>
      </c>
      <c r="P830" t="n">
        <v>0</v>
      </c>
      <c r="Q830" t="n">
        <v>0</v>
      </c>
      <c r="R830" s="2" t="inlineStr"/>
    </row>
    <row r="831" ht="15" customHeight="1">
      <c r="A831" t="inlineStr">
        <is>
          <t>A 26557-2023</t>
        </is>
      </c>
      <c r="B831" s="1" t="n">
        <v>45089</v>
      </c>
      <c r="C831" s="1" t="n">
        <v>45658</v>
      </c>
      <c r="D831" t="inlineStr">
        <is>
          <t>VÄSTERBOTTENS LÄN</t>
        </is>
      </c>
      <c r="E831" t="inlineStr">
        <is>
          <t>VILHELMINA</t>
        </is>
      </c>
      <c r="G831" t="n">
        <v>0.5</v>
      </c>
      <c r="H831" t="n">
        <v>0</v>
      </c>
      <c r="I831" t="n">
        <v>0</v>
      </c>
      <c r="J831" t="n">
        <v>0</v>
      </c>
      <c r="K831" t="n">
        <v>0</v>
      </c>
      <c r="L831" t="n">
        <v>0</v>
      </c>
      <c r="M831" t="n">
        <v>0</v>
      </c>
      <c r="N831" t="n">
        <v>0</v>
      </c>
      <c r="O831" t="n">
        <v>0</v>
      </c>
      <c r="P831" t="n">
        <v>0</v>
      </c>
      <c r="Q831" t="n">
        <v>0</v>
      </c>
      <c r="R831" s="2" t="inlineStr"/>
    </row>
    <row r="832" ht="15" customHeight="1">
      <c r="A832" t="inlineStr">
        <is>
          <t>A 26000-2023</t>
        </is>
      </c>
      <c r="B832" s="1" t="n">
        <v>45090</v>
      </c>
      <c r="C832" s="1" t="n">
        <v>45658</v>
      </c>
      <c r="D832" t="inlineStr">
        <is>
          <t>VÄSTERBOTTENS LÄN</t>
        </is>
      </c>
      <c r="E832" t="inlineStr">
        <is>
          <t>VILHELMINA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25997-2023</t>
        </is>
      </c>
      <c r="B833" s="1" t="n">
        <v>45090</v>
      </c>
      <c r="C833" s="1" t="n">
        <v>45658</v>
      </c>
      <c r="D833" t="inlineStr">
        <is>
          <t>VÄSTERBOTTENS LÄN</t>
        </is>
      </c>
      <c r="E833" t="inlineStr">
        <is>
          <t>VILHELMINA</t>
        </is>
      </c>
      <c r="G833" t="n">
        <v>7.8</v>
      </c>
      <c r="H833" t="n">
        <v>0</v>
      </c>
      <c r="I833" t="n">
        <v>0</v>
      </c>
      <c r="J833" t="n">
        <v>0</v>
      </c>
      <c r="K833" t="n">
        <v>0</v>
      </c>
      <c r="L833" t="n">
        <v>0</v>
      </c>
      <c r="M833" t="n">
        <v>0</v>
      </c>
      <c r="N833" t="n">
        <v>0</v>
      </c>
      <c r="O833" t="n">
        <v>0</v>
      </c>
      <c r="P833" t="n">
        <v>0</v>
      </c>
      <c r="Q833" t="n">
        <v>0</v>
      </c>
      <c r="R833" s="2" t="inlineStr"/>
    </row>
    <row r="834" ht="15" customHeight="1">
      <c r="A834" t="inlineStr">
        <is>
          <t>A 26657-2023</t>
        </is>
      </c>
      <c r="B834" s="1" t="n">
        <v>45092</v>
      </c>
      <c r="C834" s="1" t="n">
        <v>45658</v>
      </c>
      <c r="D834" t="inlineStr">
        <is>
          <t>VÄSTERBOTTENS LÄN</t>
        </is>
      </c>
      <c r="E834" t="inlineStr">
        <is>
          <t>VILHELMINA</t>
        </is>
      </c>
      <c r="F834" t="inlineStr">
        <is>
          <t>SCA</t>
        </is>
      </c>
      <c r="G834" t="n">
        <v>5.3</v>
      </c>
      <c r="H834" t="n">
        <v>0</v>
      </c>
      <c r="I834" t="n">
        <v>0</v>
      </c>
      <c r="J834" t="n">
        <v>0</v>
      </c>
      <c r="K834" t="n">
        <v>0</v>
      </c>
      <c r="L834" t="n">
        <v>0</v>
      </c>
      <c r="M834" t="n">
        <v>0</v>
      </c>
      <c r="N834" t="n">
        <v>0</v>
      </c>
      <c r="O834" t="n">
        <v>0</v>
      </c>
      <c r="P834" t="n">
        <v>0</v>
      </c>
      <c r="Q834" t="n">
        <v>0</v>
      </c>
      <c r="R834" s="2" t="inlineStr"/>
    </row>
    <row r="835" ht="15" customHeight="1">
      <c r="A835" t="inlineStr">
        <is>
          <t>A 26663-2023</t>
        </is>
      </c>
      <c r="B835" s="1" t="n">
        <v>45093</v>
      </c>
      <c r="C835" s="1" t="n">
        <v>45658</v>
      </c>
      <c r="D835" t="inlineStr">
        <is>
          <t>VÄSTERBOTTENS LÄN</t>
        </is>
      </c>
      <c r="E835" t="inlineStr">
        <is>
          <t>VILHELMINA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26656-2023</t>
        </is>
      </c>
      <c r="B836" s="1" t="n">
        <v>45092</v>
      </c>
      <c r="C836" s="1" t="n">
        <v>45658</v>
      </c>
      <c r="D836" t="inlineStr">
        <is>
          <t>VÄSTERBOTTENS LÄN</t>
        </is>
      </c>
      <c r="E836" t="inlineStr">
        <is>
          <t>VILHELMINA</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27601-2023</t>
        </is>
      </c>
      <c r="B837" s="1" t="n">
        <v>45092</v>
      </c>
      <c r="C837" s="1" t="n">
        <v>45658</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26997-2023</t>
        </is>
      </c>
      <c r="B838" s="1" t="n">
        <v>45093</v>
      </c>
      <c r="C838" s="1" t="n">
        <v>45658</v>
      </c>
      <c r="D838" t="inlineStr">
        <is>
          <t>VÄSTERBOTTENS LÄN</t>
        </is>
      </c>
      <c r="E838" t="inlineStr">
        <is>
          <t>VILHELMINA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27763-2023</t>
        </is>
      </c>
      <c r="B839" s="1" t="n">
        <v>45093</v>
      </c>
      <c r="C839" s="1" t="n">
        <v>45658</v>
      </c>
      <c r="D839" t="inlineStr">
        <is>
          <t>VÄSTERBOTTENS LÄN</t>
        </is>
      </c>
      <c r="E839" t="inlineStr">
        <is>
          <t>VILHELMINA</t>
        </is>
      </c>
      <c r="G839" t="n">
        <v>21.5</v>
      </c>
      <c r="H839" t="n">
        <v>0</v>
      </c>
      <c r="I839" t="n">
        <v>0</v>
      </c>
      <c r="J839" t="n">
        <v>0</v>
      </c>
      <c r="K839" t="n">
        <v>0</v>
      </c>
      <c r="L839" t="n">
        <v>0</v>
      </c>
      <c r="M839" t="n">
        <v>0</v>
      </c>
      <c r="N839" t="n">
        <v>0</v>
      </c>
      <c r="O839" t="n">
        <v>0</v>
      </c>
      <c r="P839" t="n">
        <v>0</v>
      </c>
      <c r="Q839" t="n">
        <v>0</v>
      </c>
      <c r="R839" s="2" t="inlineStr"/>
    </row>
    <row r="840" ht="15" customHeight="1">
      <c r="A840" t="inlineStr">
        <is>
          <t>A 27357-2023</t>
        </is>
      </c>
      <c r="B840" s="1" t="n">
        <v>45096</v>
      </c>
      <c r="C840" s="1" t="n">
        <v>45658</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27355-2023</t>
        </is>
      </c>
      <c r="B841" s="1" t="n">
        <v>45096</v>
      </c>
      <c r="C841" s="1" t="n">
        <v>45658</v>
      </c>
      <c r="D841" t="inlineStr">
        <is>
          <t>VÄSTERBOTTENS LÄN</t>
        </is>
      </c>
      <c r="E841" t="inlineStr">
        <is>
          <t>VILHELMINA</t>
        </is>
      </c>
      <c r="G841" t="n">
        <v>2.6</v>
      </c>
      <c r="H841" t="n">
        <v>0</v>
      </c>
      <c r="I841" t="n">
        <v>0</v>
      </c>
      <c r="J841" t="n">
        <v>0</v>
      </c>
      <c r="K841" t="n">
        <v>0</v>
      </c>
      <c r="L841" t="n">
        <v>0</v>
      </c>
      <c r="M841" t="n">
        <v>0</v>
      </c>
      <c r="N841" t="n">
        <v>0</v>
      </c>
      <c r="O841" t="n">
        <v>0</v>
      </c>
      <c r="P841" t="n">
        <v>0</v>
      </c>
      <c r="Q841" t="n">
        <v>0</v>
      </c>
      <c r="R841" s="2" t="inlineStr"/>
    </row>
    <row r="842" ht="15" customHeight="1">
      <c r="A842" t="inlineStr">
        <is>
          <t>A 28011-2023</t>
        </is>
      </c>
      <c r="B842" s="1" t="n">
        <v>45098</v>
      </c>
      <c r="C842" s="1" t="n">
        <v>45658</v>
      </c>
      <c r="D842" t="inlineStr">
        <is>
          <t>VÄSTERBOTTENS LÄN</t>
        </is>
      </c>
      <c r="E842" t="inlineStr">
        <is>
          <t>VILHELMINA</t>
        </is>
      </c>
      <c r="F842" t="inlineStr">
        <is>
          <t>SCA</t>
        </is>
      </c>
      <c r="G842" t="n">
        <v>5.3</v>
      </c>
      <c r="H842" t="n">
        <v>0</v>
      </c>
      <c r="I842" t="n">
        <v>0</v>
      </c>
      <c r="J842" t="n">
        <v>0</v>
      </c>
      <c r="K842" t="n">
        <v>0</v>
      </c>
      <c r="L842" t="n">
        <v>0</v>
      </c>
      <c r="M842" t="n">
        <v>0</v>
      </c>
      <c r="N842" t="n">
        <v>0</v>
      </c>
      <c r="O842" t="n">
        <v>0</v>
      </c>
      <c r="P842" t="n">
        <v>0</v>
      </c>
      <c r="Q842" t="n">
        <v>0</v>
      </c>
      <c r="R842" s="2" t="inlineStr"/>
    </row>
    <row r="843" ht="15" customHeight="1">
      <c r="A843" t="inlineStr">
        <is>
          <t>A 28380-2023</t>
        </is>
      </c>
      <c r="B843" s="1" t="n">
        <v>45099</v>
      </c>
      <c r="C843" s="1" t="n">
        <v>45658</v>
      </c>
      <c r="D843" t="inlineStr">
        <is>
          <t>VÄSTERBOTTENS LÄN</t>
        </is>
      </c>
      <c r="E843" t="inlineStr">
        <is>
          <t>VILHELMINA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28718-2023</t>
        </is>
      </c>
      <c r="B844" s="1" t="n">
        <v>45103</v>
      </c>
      <c r="C844" s="1" t="n">
        <v>45658</v>
      </c>
      <c r="D844" t="inlineStr">
        <is>
          <t>VÄSTERBOTTENS LÄN</t>
        </is>
      </c>
      <c r="E844" t="inlineStr">
        <is>
          <t>VILHELMINA</t>
        </is>
      </c>
      <c r="F844" t="inlineStr">
        <is>
          <t>Sveaskog</t>
        </is>
      </c>
      <c r="G844" t="n">
        <v>8.6</v>
      </c>
      <c r="H844" t="n">
        <v>0</v>
      </c>
      <c r="I844" t="n">
        <v>0</v>
      </c>
      <c r="J844" t="n">
        <v>0</v>
      </c>
      <c r="K844" t="n">
        <v>0</v>
      </c>
      <c r="L844" t="n">
        <v>0</v>
      </c>
      <c r="M844" t="n">
        <v>0</v>
      </c>
      <c r="N844" t="n">
        <v>0</v>
      </c>
      <c r="O844" t="n">
        <v>0</v>
      </c>
      <c r="P844" t="n">
        <v>0</v>
      </c>
      <c r="Q844" t="n">
        <v>0</v>
      </c>
      <c r="R844" s="2" t="inlineStr"/>
    </row>
    <row r="845" ht="15" customHeight="1">
      <c r="A845" t="inlineStr">
        <is>
          <t>A 28982-2023</t>
        </is>
      </c>
      <c r="B845" s="1" t="n">
        <v>45104</v>
      </c>
      <c r="C845" s="1" t="n">
        <v>45658</v>
      </c>
      <c r="D845" t="inlineStr">
        <is>
          <t>VÄSTERBOTTENS LÄN</t>
        </is>
      </c>
      <c r="E845" t="inlineStr">
        <is>
          <t>VILHELMINA</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28986-2023</t>
        </is>
      </c>
      <c r="B846" s="1" t="n">
        <v>45104</v>
      </c>
      <c r="C846" s="1" t="n">
        <v>45658</v>
      </c>
      <c r="D846" t="inlineStr">
        <is>
          <t>VÄSTERBOTTENS LÄN</t>
        </is>
      </c>
      <c r="E846" t="inlineStr">
        <is>
          <t>VILHELMINA</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28991-2023</t>
        </is>
      </c>
      <c r="B847" s="1" t="n">
        <v>45104</v>
      </c>
      <c r="C847" s="1" t="n">
        <v>45658</v>
      </c>
      <c r="D847" t="inlineStr">
        <is>
          <t>VÄSTERBOTTENS LÄN</t>
        </is>
      </c>
      <c r="E847" t="inlineStr">
        <is>
          <t>VILHELMINA</t>
        </is>
      </c>
      <c r="F847" t="inlineStr">
        <is>
          <t>Sveaskog</t>
        </is>
      </c>
      <c r="G847" t="n">
        <v>5.1</v>
      </c>
      <c r="H847" t="n">
        <v>0</v>
      </c>
      <c r="I847" t="n">
        <v>0</v>
      </c>
      <c r="J847" t="n">
        <v>0</v>
      </c>
      <c r="K847" t="n">
        <v>0</v>
      </c>
      <c r="L847" t="n">
        <v>0</v>
      </c>
      <c r="M847" t="n">
        <v>0</v>
      </c>
      <c r="N847" t="n">
        <v>0</v>
      </c>
      <c r="O847" t="n">
        <v>0</v>
      </c>
      <c r="P847" t="n">
        <v>0</v>
      </c>
      <c r="Q847" t="n">
        <v>0</v>
      </c>
      <c r="R847" s="2" t="inlineStr"/>
    </row>
    <row r="848" ht="15" customHeight="1">
      <c r="A848" t="inlineStr">
        <is>
          <t>A 28984-2023</t>
        </is>
      </c>
      <c r="B848" s="1" t="n">
        <v>45104</v>
      </c>
      <c r="C848" s="1" t="n">
        <v>45658</v>
      </c>
      <c r="D848" t="inlineStr">
        <is>
          <t>VÄSTERBOTTENS LÄN</t>
        </is>
      </c>
      <c r="E848" t="inlineStr">
        <is>
          <t>VILHELMINA</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29250-2023</t>
        </is>
      </c>
      <c r="B849" s="1" t="n">
        <v>45105</v>
      </c>
      <c r="C849" s="1" t="n">
        <v>45658</v>
      </c>
      <c r="D849" t="inlineStr">
        <is>
          <t>VÄSTERBOTTENS LÄN</t>
        </is>
      </c>
      <c r="E849" t="inlineStr">
        <is>
          <t>VILHELMINA</t>
        </is>
      </c>
      <c r="F849" t="inlineStr">
        <is>
          <t>Sveaskog</t>
        </is>
      </c>
      <c r="G849" t="n">
        <v>11.3</v>
      </c>
      <c r="H849" t="n">
        <v>0</v>
      </c>
      <c r="I849" t="n">
        <v>0</v>
      </c>
      <c r="J849" t="n">
        <v>0</v>
      </c>
      <c r="K849" t="n">
        <v>0</v>
      </c>
      <c r="L849" t="n">
        <v>0</v>
      </c>
      <c r="M849" t="n">
        <v>0</v>
      </c>
      <c r="N849" t="n">
        <v>0</v>
      </c>
      <c r="O849" t="n">
        <v>0</v>
      </c>
      <c r="P849" t="n">
        <v>0</v>
      </c>
      <c r="Q849" t="n">
        <v>0</v>
      </c>
      <c r="R849" s="2" t="inlineStr"/>
    </row>
    <row r="850" ht="15" customHeight="1">
      <c r="A850" t="inlineStr">
        <is>
          <t>A 29608-2023</t>
        </is>
      </c>
      <c r="B850" s="1" t="n">
        <v>45106</v>
      </c>
      <c r="C850" s="1" t="n">
        <v>45658</v>
      </c>
      <c r="D850" t="inlineStr">
        <is>
          <t>VÄSTERBOTTENS LÄN</t>
        </is>
      </c>
      <c r="E850" t="inlineStr">
        <is>
          <t>VILHELMINA</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29954-2023</t>
        </is>
      </c>
      <c r="B851" s="1" t="n">
        <v>45107</v>
      </c>
      <c r="C851" s="1" t="n">
        <v>45658</v>
      </c>
      <c r="D851" t="inlineStr">
        <is>
          <t>VÄSTERBOTTENS LÄN</t>
        </is>
      </c>
      <c r="E851" t="inlineStr">
        <is>
          <t>VILHELMINA</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30846-2023</t>
        </is>
      </c>
      <c r="B852" s="1" t="n">
        <v>45112</v>
      </c>
      <c r="C852" s="1" t="n">
        <v>45658</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30847-2023</t>
        </is>
      </c>
      <c r="B853" s="1" t="n">
        <v>45112</v>
      </c>
      <c r="C853" s="1" t="n">
        <v>45658</v>
      </c>
      <c r="D853" t="inlineStr">
        <is>
          <t>VÄSTERBOTTENS LÄN</t>
        </is>
      </c>
      <c r="E853" t="inlineStr">
        <is>
          <t>VILHELMINA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30940-2023</t>
        </is>
      </c>
      <c r="B854" s="1" t="n">
        <v>45113</v>
      </c>
      <c r="C854" s="1" t="n">
        <v>45658</v>
      </c>
      <c r="D854" t="inlineStr">
        <is>
          <t>VÄSTERBOTTENS LÄN</t>
        </is>
      </c>
      <c r="E854" t="inlineStr">
        <is>
          <t>VILHELMINA</t>
        </is>
      </c>
      <c r="F854" t="inlineStr">
        <is>
          <t>Sveaskog</t>
        </is>
      </c>
      <c r="G854" t="n">
        <v>4.3</v>
      </c>
      <c r="H854" t="n">
        <v>0</v>
      </c>
      <c r="I854" t="n">
        <v>0</v>
      </c>
      <c r="J854" t="n">
        <v>0</v>
      </c>
      <c r="K854" t="n">
        <v>0</v>
      </c>
      <c r="L854" t="n">
        <v>0</v>
      </c>
      <c r="M854" t="n">
        <v>0</v>
      </c>
      <c r="N854" t="n">
        <v>0</v>
      </c>
      <c r="O854" t="n">
        <v>0</v>
      </c>
      <c r="P854" t="n">
        <v>0</v>
      </c>
      <c r="Q854" t="n">
        <v>0</v>
      </c>
      <c r="R854" s="2" t="inlineStr"/>
    </row>
    <row r="855" ht="15" customHeight="1">
      <c r="A855" t="inlineStr">
        <is>
          <t>A 30934-2023</t>
        </is>
      </c>
      <c r="B855" s="1" t="n">
        <v>45113</v>
      </c>
      <c r="C855" s="1" t="n">
        <v>45658</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31495-2023</t>
        </is>
      </c>
      <c r="B856" s="1" t="n">
        <v>45115</v>
      </c>
      <c r="C856" s="1" t="n">
        <v>45658</v>
      </c>
      <c r="D856" t="inlineStr">
        <is>
          <t>VÄSTERBOTTENS LÄN</t>
        </is>
      </c>
      <c r="E856" t="inlineStr">
        <is>
          <t>VILHELMINA</t>
        </is>
      </c>
      <c r="F856" t="inlineStr">
        <is>
          <t>SCA</t>
        </is>
      </c>
      <c r="G856" t="n">
        <v>4.1</v>
      </c>
      <c r="H856" t="n">
        <v>0</v>
      </c>
      <c r="I856" t="n">
        <v>0</v>
      </c>
      <c r="J856" t="n">
        <v>0</v>
      </c>
      <c r="K856" t="n">
        <v>0</v>
      </c>
      <c r="L856" t="n">
        <v>0</v>
      </c>
      <c r="M856" t="n">
        <v>0</v>
      </c>
      <c r="N856" t="n">
        <v>0</v>
      </c>
      <c r="O856" t="n">
        <v>0</v>
      </c>
      <c r="P856" t="n">
        <v>0</v>
      </c>
      <c r="Q856" t="n">
        <v>0</v>
      </c>
      <c r="R856" s="2" t="inlineStr"/>
    </row>
    <row r="857" ht="15" customHeight="1">
      <c r="A857" t="inlineStr">
        <is>
          <t>A 31496-2023</t>
        </is>
      </c>
      <c r="B857" s="1" t="n">
        <v>45115</v>
      </c>
      <c r="C857" s="1" t="n">
        <v>45658</v>
      </c>
      <c r="D857" t="inlineStr">
        <is>
          <t>VÄSTERBOTTENS LÄN</t>
        </is>
      </c>
      <c r="E857" t="inlineStr">
        <is>
          <t>VILHELMINA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33349-2023</t>
        </is>
      </c>
      <c r="B858" s="1" t="n">
        <v>45117</v>
      </c>
      <c r="C858" s="1" t="n">
        <v>45658</v>
      </c>
      <c r="D858" t="inlineStr">
        <is>
          <t>VÄSTERBOTTENS LÄN</t>
        </is>
      </c>
      <c r="E858" t="inlineStr">
        <is>
          <t>VILHELMINA</t>
        </is>
      </c>
      <c r="G858" t="n">
        <v>1.3</v>
      </c>
      <c r="H858" t="n">
        <v>0</v>
      </c>
      <c r="I858" t="n">
        <v>0</v>
      </c>
      <c r="J858" t="n">
        <v>0</v>
      </c>
      <c r="K858" t="n">
        <v>0</v>
      </c>
      <c r="L858" t="n">
        <v>0</v>
      </c>
      <c r="M858" t="n">
        <v>0</v>
      </c>
      <c r="N858" t="n">
        <v>0</v>
      </c>
      <c r="O858" t="n">
        <v>0</v>
      </c>
      <c r="P858" t="n">
        <v>0</v>
      </c>
      <c r="Q858" t="n">
        <v>0</v>
      </c>
      <c r="R858" s="2" t="inlineStr"/>
    </row>
    <row r="859" ht="15" customHeight="1">
      <c r="A859" t="inlineStr">
        <is>
          <t>A 33412-2023</t>
        </is>
      </c>
      <c r="B859" s="1" t="n">
        <v>45117</v>
      </c>
      <c r="C859" s="1" t="n">
        <v>45658</v>
      </c>
      <c r="D859" t="inlineStr">
        <is>
          <t>VÄSTERBOTTENS LÄN</t>
        </is>
      </c>
      <c r="E859" t="inlineStr">
        <is>
          <t>VILHELMINA</t>
        </is>
      </c>
      <c r="F859" t="inlineStr">
        <is>
          <t>Övriga Aktiebolag</t>
        </is>
      </c>
      <c r="G859" t="n">
        <v>0.3</v>
      </c>
      <c r="H859" t="n">
        <v>0</v>
      </c>
      <c r="I859" t="n">
        <v>0</v>
      </c>
      <c r="J859" t="n">
        <v>0</v>
      </c>
      <c r="K859" t="n">
        <v>0</v>
      </c>
      <c r="L859" t="n">
        <v>0</v>
      </c>
      <c r="M859" t="n">
        <v>0</v>
      </c>
      <c r="N859" t="n">
        <v>0</v>
      </c>
      <c r="O859" t="n">
        <v>0</v>
      </c>
      <c r="P859" t="n">
        <v>0</v>
      </c>
      <c r="Q859" t="n">
        <v>0</v>
      </c>
      <c r="R859" s="2" t="inlineStr"/>
    </row>
    <row r="860" ht="15" customHeight="1">
      <c r="A860" t="inlineStr">
        <is>
          <t>A 33675-2023</t>
        </is>
      </c>
      <c r="B860" s="1" t="n">
        <v>45119</v>
      </c>
      <c r="C860" s="1" t="n">
        <v>45658</v>
      </c>
      <c r="D860" t="inlineStr">
        <is>
          <t>VÄSTERBOTTENS LÄN</t>
        </is>
      </c>
      <c r="E860" t="inlineStr">
        <is>
          <t>VILHELMINA</t>
        </is>
      </c>
      <c r="F860" t="inlineStr">
        <is>
          <t>Allmännings- och besparingsskogar</t>
        </is>
      </c>
      <c r="G860" t="n">
        <v>27.9</v>
      </c>
      <c r="H860" t="n">
        <v>0</v>
      </c>
      <c r="I860" t="n">
        <v>0</v>
      </c>
      <c r="J860" t="n">
        <v>0</v>
      </c>
      <c r="K860" t="n">
        <v>0</v>
      </c>
      <c r="L860" t="n">
        <v>0</v>
      </c>
      <c r="M860" t="n">
        <v>0</v>
      </c>
      <c r="N860" t="n">
        <v>0</v>
      </c>
      <c r="O860" t="n">
        <v>0</v>
      </c>
      <c r="P860" t="n">
        <v>0</v>
      </c>
      <c r="Q860" t="n">
        <v>0</v>
      </c>
      <c r="R860" s="2" t="inlineStr"/>
    </row>
    <row r="861" ht="15" customHeight="1">
      <c r="A861" t="inlineStr">
        <is>
          <t>A 33661-2023</t>
        </is>
      </c>
      <c r="B861" s="1" t="n">
        <v>45119</v>
      </c>
      <c r="C861" s="1" t="n">
        <v>45658</v>
      </c>
      <c r="D861" t="inlineStr">
        <is>
          <t>VÄSTERBOTTENS LÄN</t>
        </is>
      </c>
      <c r="E861" t="inlineStr">
        <is>
          <t>VILHELMINA</t>
        </is>
      </c>
      <c r="G861" t="n">
        <v>1.8</v>
      </c>
      <c r="H861" t="n">
        <v>0</v>
      </c>
      <c r="I861" t="n">
        <v>0</v>
      </c>
      <c r="J861" t="n">
        <v>0</v>
      </c>
      <c r="K861" t="n">
        <v>0</v>
      </c>
      <c r="L861" t="n">
        <v>0</v>
      </c>
      <c r="M861" t="n">
        <v>0</v>
      </c>
      <c r="N861" t="n">
        <v>0</v>
      </c>
      <c r="O861" t="n">
        <v>0</v>
      </c>
      <c r="P861" t="n">
        <v>0</v>
      </c>
      <c r="Q861" t="n">
        <v>0</v>
      </c>
      <c r="R861" s="2" t="inlineStr"/>
    </row>
    <row r="862" ht="15" customHeight="1">
      <c r="A862" t="inlineStr">
        <is>
          <t>A 33679-2023</t>
        </is>
      </c>
      <c r="B862" s="1" t="n">
        <v>45119</v>
      </c>
      <c r="C862" s="1" t="n">
        <v>45658</v>
      </c>
      <c r="D862" t="inlineStr">
        <is>
          <t>VÄSTERBOTTENS LÄN</t>
        </is>
      </c>
      <c r="E862" t="inlineStr">
        <is>
          <t>VILHELMINA</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34074-2023</t>
        </is>
      </c>
      <c r="B863" s="1" t="n">
        <v>45125</v>
      </c>
      <c r="C863" s="1" t="n">
        <v>45658</v>
      </c>
      <c r="D863" t="inlineStr">
        <is>
          <t>VÄSTERBOTTENS LÄN</t>
        </is>
      </c>
      <c r="E863" t="inlineStr">
        <is>
          <t>VILHELMINA</t>
        </is>
      </c>
      <c r="G863" t="n">
        <v>4.6</v>
      </c>
      <c r="H863" t="n">
        <v>0</v>
      </c>
      <c r="I863" t="n">
        <v>0</v>
      </c>
      <c r="J863" t="n">
        <v>0</v>
      </c>
      <c r="K863" t="n">
        <v>0</v>
      </c>
      <c r="L863" t="n">
        <v>0</v>
      </c>
      <c r="M863" t="n">
        <v>0</v>
      </c>
      <c r="N863" t="n">
        <v>0</v>
      </c>
      <c r="O863" t="n">
        <v>0</v>
      </c>
      <c r="P863" t="n">
        <v>0</v>
      </c>
      <c r="Q863" t="n">
        <v>0</v>
      </c>
      <c r="R863" s="2" t="inlineStr"/>
    </row>
    <row r="864" ht="15" customHeight="1">
      <c r="A864" t="inlineStr">
        <is>
          <t>A 34087-2023</t>
        </is>
      </c>
      <c r="B864" s="1" t="n">
        <v>45125</v>
      </c>
      <c r="C864" s="1" t="n">
        <v>45658</v>
      </c>
      <c r="D864" t="inlineStr">
        <is>
          <t>VÄSTERBOTTENS LÄN</t>
        </is>
      </c>
      <c r="E864" t="inlineStr">
        <is>
          <t>VILHELMINA</t>
        </is>
      </c>
      <c r="G864" t="n">
        <v>13.2</v>
      </c>
      <c r="H864" t="n">
        <v>0</v>
      </c>
      <c r="I864" t="n">
        <v>0</v>
      </c>
      <c r="J864" t="n">
        <v>0</v>
      </c>
      <c r="K864" t="n">
        <v>0</v>
      </c>
      <c r="L864" t="n">
        <v>0</v>
      </c>
      <c r="M864" t="n">
        <v>0</v>
      </c>
      <c r="N864" t="n">
        <v>0</v>
      </c>
      <c r="O864" t="n">
        <v>0</v>
      </c>
      <c r="P864" t="n">
        <v>0</v>
      </c>
      <c r="Q864" t="n">
        <v>0</v>
      </c>
      <c r="R864" s="2" t="inlineStr"/>
    </row>
    <row r="865" ht="15" customHeight="1">
      <c r="A865" t="inlineStr">
        <is>
          <t>A 34799-2023</t>
        </is>
      </c>
      <c r="B865" s="1" t="n">
        <v>45140</v>
      </c>
      <c r="C865" s="1" t="n">
        <v>45658</v>
      </c>
      <c r="D865" t="inlineStr">
        <is>
          <t>VÄSTERBOTTENS LÄN</t>
        </is>
      </c>
      <c r="E865" t="inlineStr">
        <is>
          <t>VILHELMINA</t>
        </is>
      </c>
      <c r="G865" t="n">
        <v>17.4</v>
      </c>
      <c r="H865" t="n">
        <v>0</v>
      </c>
      <c r="I865" t="n">
        <v>0</v>
      </c>
      <c r="J865" t="n">
        <v>0</v>
      </c>
      <c r="K865" t="n">
        <v>0</v>
      </c>
      <c r="L865" t="n">
        <v>0</v>
      </c>
      <c r="M865" t="n">
        <v>0</v>
      </c>
      <c r="N865" t="n">
        <v>0</v>
      </c>
      <c r="O865" t="n">
        <v>0</v>
      </c>
      <c r="P865" t="n">
        <v>0</v>
      </c>
      <c r="Q865" t="n">
        <v>0</v>
      </c>
      <c r="R865" s="2" t="inlineStr"/>
    </row>
    <row r="866" ht="15" customHeight="1">
      <c r="A866" t="inlineStr">
        <is>
          <t>A 34807-2023</t>
        </is>
      </c>
      <c r="B866" s="1" t="n">
        <v>45140</v>
      </c>
      <c r="C866" s="1" t="n">
        <v>45658</v>
      </c>
      <c r="D866" t="inlineStr">
        <is>
          <t>VÄSTERBOTTENS LÄN</t>
        </is>
      </c>
      <c r="E866" t="inlineStr">
        <is>
          <t>VILHELMINA</t>
        </is>
      </c>
      <c r="G866" t="n">
        <v>8.1</v>
      </c>
      <c r="H866" t="n">
        <v>0</v>
      </c>
      <c r="I866" t="n">
        <v>0</v>
      </c>
      <c r="J866" t="n">
        <v>0</v>
      </c>
      <c r="K866" t="n">
        <v>0</v>
      </c>
      <c r="L866" t="n">
        <v>0</v>
      </c>
      <c r="M866" t="n">
        <v>0</v>
      </c>
      <c r="N866" t="n">
        <v>0</v>
      </c>
      <c r="O866" t="n">
        <v>0</v>
      </c>
      <c r="P866" t="n">
        <v>0</v>
      </c>
      <c r="Q866" t="n">
        <v>0</v>
      </c>
      <c r="R866" s="2" t="inlineStr"/>
    </row>
    <row r="867" ht="15" customHeight="1">
      <c r="A867" t="inlineStr">
        <is>
          <t>A 34809-2023</t>
        </is>
      </c>
      <c r="B867" s="1" t="n">
        <v>45140</v>
      </c>
      <c r="C867" s="1" t="n">
        <v>45658</v>
      </c>
      <c r="D867" t="inlineStr">
        <is>
          <t>VÄSTERBOTTENS LÄN</t>
        </is>
      </c>
      <c r="E867" t="inlineStr">
        <is>
          <t>VILHELMINA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34805-2023</t>
        </is>
      </c>
      <c r="B868" s="1" t="n">
        <v>45140</v>
      </c>
      <c r="C868" s="1" t="n">
        <v>45658</v>
      </c>
      <c r="D868" t="inlineStr">
        <is>
          <t>VÄSTERBOTTENS LÄN</t>
        </is>
      </c>
      <c r="E868" t="inlineStr">
        <is>
          <t>VILHELMINA</t>
        </is>
      </c>
      <c r="G868" t="n">
        <v>4.3</v>
      </c>
      <c r="H868" t="n">
        <v>0</v>
      </c>
      <c r="I868" t="n">
        <v>0</v>
      </c>
      <c r="J868" t="n">
        <v>0</v>
      </c>
      <c r="K868" t="n">
        <v>0</v>
      </c>
      <c r="L868" t="n">
        <v>0</v>
      </c>
      <c r="M868" t="n">
        <v>0</v>
      </c>
      <c r="N868" t="n">
        <v>0</v>
      </c>
      <c r="O868" t="n">
        <v>0</v>
      </c>
      <c r="P868" t="n">
        <v>0</v>
      </c>
      <c r="Q868" t="n">
        <v>0</v>
      </c>
      <c r="R868" s="2" t="inlineStr"/>
    </row>
    <row r="869" ht="15" customHeight="1">
      <c r="A869" t="inlineStr">
        <is>
          <t>A 35006-2023</t>
        </is>
      </c>
      <c r="B869" s="1" t="n">
        <v>45143</v>
      </c>
      <c r="C869" s="1" t="n">
        <v>45658</v>
      </c>
      <c r="D869" t="inlineStr">
        <is>
          <t>VÄSTERBOTTENS LÄN</t>
        </is>
      </c>
      <c r="E869" t="inlineStr">
        <is>
          <t>VILHELMINA</t>
        </is>
      </c>
      <c r="F869" t="inlineStr">
        <is>
          <t>SCA</t>
        </is>
      </c>
      <c r="G869" t="n">
        <v>11.6</v>
      </c>
      <c r="H869" t="n">
        <v>0</v>
      </c>
      <c r="I869" t="n">
        <v>0</v>
      </c>
      <c r="J869" t="n">
        <v>0</v>
      </c>
      <c r="K869" t="n">
        <v>0</v>
      </c>
      <c r="L869" t="n">
        <v>0</v>
      </c>
      <c r="M869" t="n">
        <v>0</v>
      </c>
      <c r="N869" t="n">
        <v>0</v>
      </c>
      <c r="O869" t="n">
        <v>0</v>
      </c>
      <c r="P869" t="n">
        <v>0</v>
      </c>
      <c r="Q869" t="n">
        <v>0</v>
      </c>
      <c r="R869" s="2" t="inlineStr"/>
    </row>
    <row r="870" ht="15" customHeight="1">
      <c r="A870" t="inlineStr">
        <is>
          <t>A 35018-2023</t>
        </is>
      </c>
      <c r="B870" s="1" t="n">
        <v>45142</v>
      </c>
      <c r="C870" s="1" t="n">
        <v>45658</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35289-2023</t>
        </is>
      </c>
      <c r="B871" s="1" t="n">
        <v>45145</v>
      </c>
      <c r="C871" s="1" t="n">
        <v>45658</v>
      </c>
      <c r="D871" t="inlineStr">
        <is>
          <t>VÄSTERBOTTENS LÄN</t>
        </is>
      </c>
      <c r="E871" t="inlineStr">
        <is>
          <t>VILHELMINA</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35758-2023</t>
        </is>
      </c>
      <c r="B872" s="1" t="n">
        <v>45148</v>
      </c>
      <c r="C872" s="1" t="n">
        <v>45658</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35755-2023</t>
        </is>
      </c>
      <c r="B873" s="1" t="n">
        <v>45148</v>
      </c>
      <c r="C873" s="1" t="n">
        <v>45658</v>
      </c>
      <c r="D873" t="inlineStr">
        <is>
          <t>VÄSTERBOTTENS LÄN</t>
        </is>
      </c>
      <c r="E873" t="inlineStr">
        <is>
          <t>VILHELMINA</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35759-2023</t>
        </is>
      </c>
      <c r="B874" s="1" t="n">
        <v>45147</v>
      </c>
      <c r="C874" s="1" t="n">
        <v>45658</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35752-2023</t>
        </is>
      </c>
      <c r="B875" s="1" t="n">
        <v>45147</v>
      </c>
      <c r="C875" s="1" t="n">
        <v>45658</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35756-2023</t>
        </is>
      </c>
      <c r="B876" s="1" t="n">
        <v>45148</v>
      </c>
      <c r="C876" s="1" t="n">
        <v>45658</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35760-2023</t>
        </is>
      </c>
      <c r="B877" s="1" t="n">
        <v>45147</v>
      </c>
      <c r="C877" s="1" t="n">
        <v>45658</v>
      </c>
      <c r="D877" t="inlineStr">
        <is>
          <t>VÄSTERBOTTENS LÄN</t>
        </is>
      </c>
      <c r="E877" t="inlineStr">
        <is>
          <t>VILHELMINA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35753-2023</t>
        </is>
      </c>
      <c r="B878" s="1" t="n">
        <v>45148</v>
      </c>
      <c r="C878" s="1" t="n">
        <v>45658</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35757-2023</t>
        </is>
      </c>
      <c r="B879" s="1" t="n">
        <v>45148</v>
      </c>
      <c r="C879" s="1" t="n">
        <v>45658</v>
      </c>
      <c r="D879" t="inlineStr">
        <is>
          <t>VÄSTERBOTTENS LÄN</t>
        </is>
      </c>
      <c r="E879" t="inlineStr">
        <is>
          <t>VILHELMINA</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35968-2023</t>
        </is>
      </c>
      <c r="B880" s="1" t="n">
        <v>45149</v>
      </c>
      <c r="C880" s="1" t="n">
        <v>45658</v>
      </c>
      <c r="D880" t="inlineStr">
        <is>
          <t>VÄSTERBOTTENS LÄN</t>
        </is>
      </c>
      <c r="E880" t="inlineStr">
        <is>
          <t>VILHELMINA</t>
        </is>
      </c>
      <c r="G880" t="n">
        <v>0.8</v>
      </c>
      <c r="H880" t="n">
        <v>0</v>
      </c>
      <c r="I880" t="n">
        <v>0</v>
      </c>
      <c r="J880" t="n">
        <v>0</v>
      </c>
      <c r="K880" t="n">
        <v>0</v>
      </c>
      <c r="L880" t="n">
        <v>0</v>
      </c>
      <c r="M880" t="n">
        <v>0</v>
      </c>
      <c r="N880" t="n">
        <v>0</v>
      </c>
      <c r="O880" t="n">
        <v>0</v>
      </c>
      <c r="P880" t="n">
        <v>0</v>
      </c>
      <c r="Q880" t="n">
        <v>0</v>
      </c>
      <c r="R880" s="2" t="inlineStr"/>
    </row>
    <row r="881" ht="15" customHeight="1">
      <c r="A881" t="inlineStr">
        <is>
          <t>A 35984-2023</t>
        </is>
      </c>
      <c r="B881" s="1" t="n">
        <v>45149</v>
      </c>
      <c r="C881" s="1" t="n">
        <v>45658</v>
      </c>
      <c r="D881" t="inlineStr">
        <is>
          <t>VÄSTERBOTTENS LÄN</t>
        </is>
      </c>
      <c r="E881" t="inlineStr">
        <is>
          <t>VILHELMINA</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35983-2023</t>
        </is>
      </c>
      <c r="B882" s="1" t="n">
        <v>45149</v>
      </c>
      <c r="C882" s="1" t="n">
        <v>45658</v>
      </c>
      <c r="D882" t="inlineStr">
        <is>
          <t>VÄSTERBOTTENS LÄN</t>
        </is>
      </c>
      <c r="E882" t="inlineStr">
        <is>
          <t>VILHELMINA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35985-2023</t>
        </is>
      </c>
      <c r="B883" s="1" t="n">
        <v>45148</v>
      </c>
      <c r="C883" s="1" t="n">
        <v>45658</v>
      </c>
      <c r="D883" t="inlineStr">
        <is>
          <t>VÄSTERBOTTENS LÄN</t>
        </is>
      </c>
      <c r="E883" t="inlineStr">
        <is>
          <t>VILHELMINA</t>
        </is>
      </c>
      <c r="F883" t="inlineStr">
        <is>
          <t>SCA</t>
        </is>
      </c>
      <c r="G883" t="n">
        <v>43.8</v>
      </c>
      <c r="H883" t="n">
        <v>0</v>
      </c>
      <c r="I883" t="n">
        <v>0</v>
      </c>
      <c r="J883" t="n">
        <v>0</v>
      </c>
      <c r="K883" t="n">
        <v>0</v>
      </c>
      <c r="L883" t="n">
        <v>0</v>
      </c>
      <c r="M883" t="n">
        <v>0</v>
      </c>
      <c r="N883" t="n">
        <v>0</v>
      </c>
      <c r="O883" t="n">
        <v>0</v>
      </c>
      <c r="P883" t="n">
        <v>0</v>
      </c>
      <c r="Q883" t="n">
        <v>0</v>
      </c>
      <c r="R883" s="2" t="inlineStr"/>
    </row>
    <row r="884" ht="15" customHeight="1">
      <c r="A884" t="inlineStr">
        <is>
          <t>A 36214-2023</t>
        </is>
      </c>
      <c r="B884" s="1" t="n">
        <v>45150</v>
      </c>
      <c r="C884" s="1" t="n">
        <v>45658</v>
      </c>
      <c r="D884" t="inlineStr">
        <is>
          <t>VÄSTERBOTTENS LÄN</t>
        </is>
      </c>
      <c r="E884" t="inlineStr">
        <is>
          <t>VILHELMINA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36219-2023</t>
        </is>
      </c>
      <c r="B885" s="1" t="n">
        <v>45150</v>
      </c>
      <c r="C885" s="1" t="n">
        <v>45658</v>
      </c>
      <c r="D885" t="inlineStr">
        <is>
          <t>VÄSTERBOTTENS LÄN</t>
        </is>
      </c>
      <c r="E885" t="inlineStr">
        <is>
          <t>VILHELMINA</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36215-2023</t>
        </is>
      </c>
      <c r="B886" s="1" t="n">
        <v>45150</v>
      </c>
      <c r="C886" s="1" t="n">
        <v>45658</v>
      </c>
      <c r="D886" t="inlineStr">
        <is>
          <t>VÄSTERBOTTENS LÄN</t>
        </is>
      </c>
      <c r="E886" t="inlineStr">
        <is>
          <t>VILHELMINA</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36216-2023</t>
        </is>
      </c>
      <c r="B887" s="1" t="n">
        <v>45150</v>
      </c>
      <c r="C887" s="1" t="n">
        <v>45658</v>
      </c>
      <c r="D887" t="inlineStr">
        <is>
          <t>VÄSTERBOTTENS LÄN</t>
        </is>
      </c>
      <c r="E887" t="inlineStr">
        <is>
          <t>VILHELMINA</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36221-2023</t>
        </is>
      </c>
      <c r="B888" s="1" t="n">
        <v>45150</v>
      </c>
      <c r="C888" s="1" t="n">
        <v>45658</v>
      </c>
      <c r="D888" t="inlineStr">
        <is>
          <t>VÄSTERBOTTENS LÄN</t>
        </is>
      </c>
      <c r="E888" t="inlineStr">
        <is>
          <t>VILHELMINA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36217-2023</t>
        </is>
      </c>
      <c r="B889" s="1" t="n">
        <v>45150</v>
      </c>
      <c r="C889" s="1" t="n">
        <v>45658</v>
      </c>
      <c r="D889" t="inlineStr">
        <is>
          <t>VÄSTERBOTTENS LÄN</t>
        </is>
      </c>
      <c r="E889" t="inlineStr">
        <is>
          <t>VILHELMINA</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36408-2023</t>
        </is>
      </c>
      <c r="B890" s="1" t="n">
        <v>45152</v>
      </c>
      <c r="C890" s="1" t="n">
        <v>45658</v>
      </c>
      <c r="D890" t="inlineStr">
        <is>
          <t>VÄSTERBOTTENS LÄN</t>
        </is>
      </c>
      <c r="E890" t="inlineStr">
        <is>
          <t>VILHELMINA</t>
        </is>
      </c>
      <c r="G890" t="n">
        <v>4.4</v>
      </c>
      <c r="H890" t="n">
        <v>0</v>
      </c>
      <c r="I890" t="n">
        <v>0</v>
      </c>
      <c r="J890" t="n">
        <v>0</v>
      </c>
      <c r="K890" t="n">
        <v>0</v>
      </c>
      <c r="L890" t="n">
        <v>0</v>
      </c>
      <c r="M890" t="n">
        <v>0</v>
      </c>
      <c r="N890" t="n">
        <v>0</v>
      </c>
      <c r="O890" t="n">
        <v>0</v>
      </c>
      <c r="P890" t="n">
        <v>0</v>
      </c>
      <c r="Q890" t="n">
        <v>0</v>
      </c>
      <c r="R890" s="2" t="inlineStr"/>
    </row>
    <row r="891" ht="15" customHeight="1">
      <c r="A891" t="inlineStr">
        <is>
          <t>A 36376-2023</t>
        </is>
      </c>
      <c r="B891" s="1" t="n">
        <v>45152</v>
      </c>
      <c r="C891" s="1" t="n">
        <v>45658</v>
      </c>
      <c r="D891" t="inlineStr">
        <is>
          <t>VÄSTERBOTTENS LÄN</t>
        </is>
      </c>
      <c r="E891" t="inlineStr">
        <is>
          <t>VILHELMINA</t>
        </is>
      </c>
      <c r="G891" t="n">
        <v>12.7</v>
      </c>
      <c r="H891" t="n">
        <v>0</v>
      </c>
      <c r="I891" t="n">
        <v>0</v>
      </c>
      <c r="J891" t="n">
        <v>0</v>
      </c>
      <c r="K891" t="n">
        <v>0</v>
      </c>
      <c r="L891" t="n">
        <v>0</v>
      </c>
      <c r="M891" t="n">
        <v>0</v>
      </c>
      <c r="N891" t="n">
        <v>0</v>
      </c>
      <c r="O891" t="n">
        <v>0</v>
      </c>
      <c r="P891" t="n">
        <v>0</v>
      </c>
      <c r="Q891" t="n">
        <v>0</v>
      </c>
      <c r="R891" s="2" t="inlineStr"/>
    </row>
    <row r="892" ht="15" customHeight="1">
      <c r="A892" t="inlineStr">
        <is>
          <t>A 36957-2023</t>
        </is>
      </c>
      <c r="B892" s="1" t="n">
        <v>45155</v>
      </c>
      <c r="C892" s="1" t="n">
        <v>45658</v>
      </c>
      <c r="D892" t="inlineStr">
        <is>
          <t>VÄSTERBOTTENS LÄN</t>
        </is>
      </c>
      <c r="E892" t="inlineStr">
        <is>
          <t>VILHELMINA</t>
        </is>
      </c>
      <c r="G892" t="n">
        <v>0.5</v>
      </c>
      <c r="H892" t="n">
        <v>0</v>
      </c>
      <c r="I892" t="n">
        <v>0</v>
      </c>
      <c r="J892" t="n">
        <v>0</v>
      </c>
      <c r="K892" t="n">
        <v>0</v>
      </c>
      <c r="L892" t="n">
        <v>0</v>
      </c>
      <c r="M892" t="n">
        <v>0</v>
      </c>
      <c r="N892" t="n">
        <v>0</v>
      </c>
      <c r="O892" t="n">
        <v>0</v>
      </c>
      <c r="P892" t="n">
        <v>0</v>
      </c>
      <c r="Q892" t="n">
        <v>0</v>
      </c>
      <c r="R892" s="2" t="inlineStr"/>
    </row>
    <row r="893" ht="15" customHeight="1">
      <c r="A893" t="inlineStr">
        <is>
          <t>A 36972-2023</t>
        </is>
      </c>
      <c r="B893" s="1" t="n">
        <v>45154</v>
      </c>
      <c r="C893" s="1" t="n">
        <v>45658</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36996-2023</t>
        </is>
      </c>
      <c r="B894" s="1" t="n">
        <v>45155</v>
      </c>
      <c r="C894" s="1" t="n">
        <v>45658</v>
      </c>
      <c r="D894" t="inlineStr">
        <is>
          <t>VÄSTERBOTTENS LÄN</t>
        </is>
      </c>
      <c r="E894" t="inlineStr">
        <is>
          <t>VILHELMINA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36995-2023</t>
        </is>
      </c>
      <c r="B895" s="1" t="n">
        <v>45154</v>
      </c>
      <c r="C895" s="1" t="n">
        <v>45658</v>
      </c>
      <c r="D895" t="inlineStr">
        <is>
          <t>VÄSTERBOTTENS LÄN</t>
        </is>
      </c>
      <c r="E895" t="inlineStr">
        <is>
          <t>VILHELMINA</t>
        </is>
      </c>
      <c r="F895" t="inlineStr">
        <is>
          <t>SCA</t>
        </is>
      </c>
      <c r="G895" t="n">
        <v>31.7</v>
      </c>
      <c r="H895" t="n">
        <v>0</v>
      </c>
      <c r="I895" t="n">
        <v>0</v>
      </c>
      <c r="J895" t="n">
        <v>0</v>
      </c>
      <c r="K895" t="n">
        <v>0</v>
      </c>
      <c r="L895" t="n">
        <v>0</v>
      </c>
      <c r="M895" t="n">
        <v>0</v>
      </c>
      <c r="N895" t="n">
        <v>0</v>
      </c>
      <c r="O895" t="n">
        <v>0</v>
      </c>
      <c r="P895" t="n">
        <v>0</v>
      </c>
      <c r="Q895" t="n">
        <v>0</v>
      </c>
      <c r="R895" s="2" t="inlineStr"/>
    </row>
    <row r="896" ht="15" customHeight="1">
      <c r="A896" t="inlineStr">
        <is>
          <t>A 37413-2023</t>
        </is>
      </c>
      <c r="B896" s="1" t="n">
        <v>45155</v>
      </c>
      <c r="C896" s="1" t="n">
        <v>45658</v>
      </c>
      <c r="D896" t="inlineStr">
        <is>
          <t>VÄSTERBOTTENS LÄN</t>
        </is>
      </c>
      <c r="E896" t="inlineStr">
        <is>
          <t>VILHELMINA</t>
        </is>
      </c>
      <c r="G896" t="n">
        <v>12.3</v>
      </c>
      <c r="H896" t="n">
        <v>0</v>
      </c>
      <c r="I896" t="n">
        <v>0</v>
      </c>
      <c r="J896" t="n">
        <v>0</v>
      </c>
      <c r="K896" t="n">
        <v>0</v>
      </c>
      <c r="L896" t="n">
        <v>0</v>
      </c>
      <c r="M896" t="n">
        <v>0</v>
      </c>
      <c r="N896" t="n">
        <v>0</v>
      </c>
      <c r="O896" t="n">
        <v>0</v>
      </c>
      <c r="P896" t="n">
        <v>0</v>
      </c>
      <c r="Q896" t="n">
        <v>0</v>
      </c>
      <c r="R896" s="2" t="inlineStr"/>
    </row>
    <row r="897" ht="15" customHeight="1">
      <c r="A897" t="inlineStr">
        <is>
          <t>A 37406-2023</t>
        </is>
      </c>
      <c r="B897" s="1" t="n">
        <v>45155</v>
      </c>
      <c r="C897" s="1" t="n">
        <v>45658</v>
      </c>
      <c r="D897" t="inlineStr">
        <is>
          <t>VÄSTERBOTTENS LÄN</t>
        </is>
      </c>
      <c r="E897" t="inlineStr">
        <is>
          <t>VILHELMINA</t>
        </is>
      </c>
      <c r="G897" t="n">
        <v>13.2</v>
      </c>
      <c r="H897" t="n">
        <v>0</v>
      </c>
      <c r="I897" t="n">
        <v>0</v>
      </c>
      <c r="J897" t="n">
        <v>0</v>
      </c>
      <c r="K897" t="n">
        <v>0</v>
      </c>
      <c r="L897" t="n">
        <v>0</v>
      </c>
      <c r="M897" t="n">
        <v>0</v>
      </c>
      <c r="N897" t="n">
        <v>0</v>
      </c>
      <c r="O897" t="n">
        <v>0</v>
      </c>
      <c r="P897" t="n">
        <v>0</v>
      </c>
      <c r="Q897" t="n">
        <v>0</v>
      </c>
      <c r="R897" s="2" t="inlineStr"/>
    </row>
    <row r="898" ht="15" customHeight="1">
      <c r="A898" t="inlineStr">
        <is>
          <t>A 37773-2023</t>
        </is>
      </c>
      <c r="B898" s="1" t="n">
        <v>45156</v>
      </c>
      <c r="C898" s="1" t="n">
        <v>45658</v>
      </c>
      <c r="D898" t="inlineStr">
        <is>
          <t>VÄSTERBOTTENS LÄN</t>
        </is>
      </c>
      <c r="E898" t="inlineStr">
        <is>
          <t>VILHELMINA</t>
        </is>
      </c>
      <c r="G898" t="n">
        <v>6.5</v>
      </c>
      <c r="H898" t="n">
        <v>0</v>
      </c>
      <c r="I898" t="n">
        <v>0</v>
      </c>
      <c r="J898" t="n">
        <v>0</v>
      </c>
      <c r="K898" t="n">
        <v>0</v>
      </c>
      <c r="L898" t="n">
        <v>0</v>
      </c>
      <c r="M898" t="n">
        <v>0</v>
      </c>
      <c r="N898" t="n">
        <v>0</v>
      </c>
      <c r="O898" t="n">
        <v>0</v>
      </c>
      <c r="P898" t="n">
        <v>0</v>
      </c>
      <c r="Q898" t="n">
        <v>0</v>
      </c>
      <c r="R898" s="2" t="inlineStr"/>
    </row>
    <row r="899" ht="15" customHeight="1">
      <c r="A899" t="inlineStr">
        <is>
          <t>A 37505-2023</t>
        </is>
      </c>
      <c r="B899" s="1" t="n">
        <v>45158</v>
      </c>
      <c r="C899" s="1" t="n">
        <v>45658</v>
      </c>
      <c r="D899" t="inlineStr">
        <is>
          <t>VÄSTERBOTTENS LÄN</t>
        </is>
      </c>
      <c r="E899" t="inlineStr">
        <is>
          <t>VILHELMINA</t>
        </is>
      </c>
      <c r="G899" t="n">
        <v>10.5</v>
      </c>
      <c r="H899" t="n">
        <v>0</v>
      </c>
      <c r="I899" t="n">
        <v>0</v>
      </c>
      <c r="J899" t="n">
        <v>0</v>
      </c>
      <c r="K899" t="n">
        <v>0</v>
      </c>
      <c r="L899" t="n">
        <v>0</v>
      </c>
      <c r="M899" t="n">
        <v>0</v>
      </c>
      <c r="N899" t="n">
        <v>0</v>
      </c>
      <c r="O899" t="n">
        <v>0</v>
      </c>
      <c r="P899" t="n">
        <v>0</v>
      </c>
      <c r="Q899" t="n">
        <v>0</v>
      </c>
      <c r="R899" s="2" t="inlineStr"/>
    </row>
    <row r="900" ht="15" customHeight="1">
      <c r="A900" t="inlineStr">
        <is>
          <t>A 37937-2023</t>
        </is>
      </c>
      <c r="B900" s="1" t="n">
        <v>45159</v>
      </c>
      <c r="C900" s="1" t="n">
        <v>45658</v>
      </c>
      <c r="D900" t="inlineStr">
        <is>
          <t>VÄSTERBOTTENS LÄN</t>
        </is>
      </c>
      <c r="E900" t="inlineStr">
        <is>
          <t>VILHELMINA</t>
        </is>
      </c>
      <c r="G900" t="n">
        <v>2.2</v>
      </c>
      <c r="H900" t="n">
        <v>0</v>
      </c>
      <c r="I900" t="n">
        <v>0</v>
      </c>
      <c r="J900" t="n">
        <v>0</v>
      </c>
      <c r="K900" t="n">
        <v>0</v>
      </c>
      <c r="L900" t="n">
        <v>0</v>
      </c>
      <c r="M900" t="n">
        <v>0</v>
      </c>
      <c r="N900" t="n">
        <v>0</v>
      </c>
      <c r="O900" t="n">
        <v>0</v>
      </c>
      <c r="P900" t="n">
        <v>0</v>
      </c>
      <c r="Q900" t="n">
        <v>0</v>
      </c>
      <c r="R900" s="2" t="inlineStr"/>
    </row>
    <row r="901" ht="15" customHeight="1">
      <c r="A901" t="inlineStr">
        <is>
          <t>A 38363-2023</t>
        </is>
      </c>
      <c r="B901" s="1" t="n">
        <v>45161</v>
      </c>
      <c r="C901" s="1" t="n">
        <v>45658</v>
      </c>
      <c r="D901" t="inlineStr">
        <is>
          <t>VÄSTERBOTTENS LÄN</t>
        </is>
      </c>
      <c r="E901" t="inlineStr">
        <is>
          <t>VILHELMINA</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38364-2023</t>
        </is>
      </c>
      <c r="B902" s="1" t="n">
        <v>45161</v>
      </c>
      <c r="C902" s="1" t="n">
        <v>45658</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38361-2023</t>
        </is>
      </c>
      <c r="B903" s="1" t="n">
        <v>45162</v>
      </c>
      <c r="C903" s="1" t="n">
        <v>45658</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38829-2023</t>
        </is>
      </c>
      <c r="B904" s="1" t="n">
        <v>45161</v>
      </c>
      <c r="C904" s="1" t="n">
        <v>45658</v>
      </c>
      <c r="D904" t="inlineStr">
        <is>
          <t>VÄSTERBOTTENS LÄN</t>
        </is>
      </c>
      <c r="E904" t="inlineStr">
        <is>
          <t>VILHELMINA</t>
        </is>
      </c>
      <c r="G904" t="n">
        <v>9.9</v>
      </c>
      <c r="H904" t="n">
        <v>0</v>
      </c>
      <c r="I904" t="n">
        <v>0</v>
      </c>
      <c r="J904" t="n">
        <v>0</v>
      </c>
      <c r="K904" t="n">
        <v>0</v>
      </c>
      <c r="L904" t="n">
        <v>0</v>
      </c>
      <c r="M904" t="n">
        <v>0</v>
      </c>
      <c r="N904" t="n">
        <v>0</v>
      </c>
      <c r="O904" t="n">
        <v>0</v>
      </c>
      <c r="P904" t="n">
        <v>0</v>
      </c>
      <c r="Q904" t="n">
        <v>0</v>
      </c>
      <c r="R904" s="2" t="inlineStr"/>
    </row>
    <row r="905" ht="15" customHeight="1">
      <c r="A905" t="inlineStr">
        <is>
          <t>A 38674-2023</t>
        </is>
      </c>
      <c r="B905" s="1" t="n">
        <v>45163</v>
      </c>
      <c r="C905" s="1" t="n">
        <v>45658</v>
      </c>
      <c r="D905" t="inlineStr">
        <is>
          <t>VÄSTERBOTTENS LÄN</t>
        </is>
      </c>
      <c r="E905" t="inlineStr">
        <is>
          <t>VILHELMINA</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39914-2023</t>
        </is>
      </c>
      <c r="B906" s="1" t="n">
        <v>45166</v>
      </c>
      <c r="C906" s="1" t="n">
        <v>45658</v>
      </c>
      <c r="D906" t="inlineStr">
        <is>
          <t>VÄSTERBOTTENS LÄN</t>
        </is>
      </c>
      <c r="E906" t="inlineStr">
        <is>
          <t>VILHELMINA</t>
        </is>
      </c>
      <c r="G906" t="n">
        <v>27.5</v>
      </c>
      <c r="H906" t="n">
        <v>0</v>
      </c>
      <c r="I906" t="n">
        <v>0</v>
      </c>
      <c r="J906" t="n">
        <v>0</v>
      </c>
      <c r="K906" t="n">
        <v>0</v>
      </c>
      <c r="L906" t="n">
        <v>0</v>
      </c>
      <c r="M906" t="n">
        <v>0</v>
      </c>
      <c r="N906" t="n">
        <v>0</v>
      </c>
      <c r="O906" t="n">
        <v>0</v>
      </c>
      <c r="P906" t="n">
        <v>0</v>
      </c>
      <c r="Q906" t="n">
        <v>0</v>
      </c>
      <c r="R906" s="2" t="inlineStr"/>
    </row>
    <row r="907" ht="15" customHeight="1">
      <c r="A907" t="inlineStr">
        <is>
          <t>A 40431-2023</t>
        </is>
      </c>
      <c r="B907" s="1" t="n">
        <v>45170</v>
      </c>
      <c r="C907" s="1" t="n">
        <v>45658</v>
      </c>
      <c r="D907" t="inlineStr">
        <is>
          <t>VÄSTERBOTTENS LÄN</t>
        </is>
      </c>
      <c r="E907" t="inlineStr">
        <is>
          <t>VILHELMINA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40426-2023</t>
        </is>
      </c>
      <c r="B908" s="1" t="n">
        <v>45169</v>
      </c>
      <c r="C908" s="1" t="n">
        <v>45658</v>
      </c>
      <c r="D908" t="inlineStr">
        <is>
          <t>VÄSTERBOTTENS LÄN</t>
        </is>
      </c>
      <c r="E908" t="inlineStr">
        <is>
          <t>VILHELMINA</t>
        </is>
      </c>
      <c r="F908" t="inlineStr">
        <is>
          <t>SCA</t>
        </is>
      </c>
      <c r="G908" t="n">
        <v>12.6</v>
      </c>
      <c r="H908" t="n">
        <v>0</v>
      </c>
      <c r="I908" t="n">
        <v>0</v>
      </c>
      <c r="J908" t="n">
        <v>0</v>
      </c>
      <c r="K908" t="n">
        <v>0</v>
      </c>
      <c r="L908" t="n">
        <v>0</v>
      </c>
      <c r="M908" t="n">
        <v>0</v>
      </c>
      <c r="N908" t="n">
        <v>0</v>
      </c>
      <c r="O908" t="n">
        <v>0</v>
      </c>
      <c r="P908" t="n">
        <v>0</v>
      </c>
      <c r="Q908" t="n">
        <v>0</v>
      </c>
      <c r="R908" s="2" t="inlineStr"/>
    </row>
    <row r="909" ht="15" customHeight="1">
      <c r="A909" t="inlineStr">
        <is>
          <t>A 40649-2023</t>
        </is>
      </c>
      <c r="B909" s="1" t="n">
        <v>45170</v>
      </c>
      <c r="C909" s="1" t="n">
        <v>45658</v>
      </c>
      <c r="D909" t="inlineStr">
        <is>
          <t>VÄSTERBOTTENS LÄN</t>
        </is>
      </c>
      <c r="E909" t="inlineStr">
        <is>
          <t>VILHELMINA</t>
        </is>
      </c>
      <c r="G909" t="n">
        <v>18.5</v>
      </c>
      <c r="H909" t="n">
        <v>0</v>
      </c>
      <c r="I909" t="n">
        <v>0</v>
      </c>
      <c r="J909" t="n">
        <v>0</v>
      </c>
      <c r="K909" t="n">
        <v>0</v>
      </c>
      <c r="L909" t="n">
        <v>0</v>
      </c>
      <c r="M909" t="n">
        <v>0</v>
      </c>
      <c r="N909" t="n">
        <v>0</v>
      </c>
      <c r="O909" t="n">
        <v>0</v>
      </c>
      <c r="P909" t="n">
        <v>0</v>
      </c>
      <c r="Q909" t="n">
        <v>0</v>
      </c>
      <c r="R909" s="2" t="inlineStr"/>
    </row>
    <row r="910" ht="15" customHeight="1">
      <c r="A910" t="inlineStr">
        <is>
          <t>A 40785-2023</t>
        </is>
      </c>
      <c r="B910" s="1" t="n">
        <v>45171</v>
      </c>
      <c r="C910" s="1" t="n">
        <v>45658</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40781-2023</t>
        </is>
      </c>
      <c r="B911" s="1" t="n">
        <v>45171</v>
      </c>
      <c r="C911" s="1" t="n">
        <v>45658</v>
      </c>
      <c r="D911" t="inlineStr">
        <is>
          <t>VÄSTERBOTTENS LÄN</t>
        </is>
      </c>
      <c r="E911" t="inlineStr">
        <is>
          <t>VILHELMINA</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40782-2023</t>
        </is>
      </c>
      <c r="B912" s="1" t="n">
        <v>45171</v>
      </c>
      <c r="C912" s="1" t="n">
        <v>45658</v>
      </c>
      <c r="D912" t="inlineStr">
        <is>
          <t>VÄSTERBOTTENS LÄN</t>
        </is>
      </c>
      <c r="E912" t="inlineStr">
        <is>
          <t>VILHELMINA</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40783-2023</t>
        </is>
      </c>
      <c r="B913" s="1" t="n">
        <v>45171</v>
      </c>
      <c r="C913" s="1" t="n">
        <v>45658</v>
      </c>
      <c r="D913" t="inlineStr">
        <is>
          <t>VÄSTERBOTTENS LÄN</t>
        </is>
      </c>
      <c r="E913" t="inlineStr">
        <is>
          <t>VILHELMINA</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40787-2023</t>
        </is>
      </c>
      <c r="B914" s="1" t="n">
        <v>45171</v>
      </c>
      <c r="C914" s="1" t="n">
        <v>45658</v>
      </c>
      <c r="D914" t="inlineStr">
        <is>
          <t>VÄSTERBOTTENS LÄN</t>
        </is>
      </c>
      <c r="E914" t="inlineStr">
        <is>
          <t>VILHELMINA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40784-2023</t>
        </is>
      </c>
      <c r="B915" s="1" t="n">
        <v>45171</v>
      </c>
      <c r="C915" s="1" t="n">
        <v>45658</v>
      </c>
      <c r="D915" t="inlineStr">
        <is>
          <t>VÄSTERBOTTENS LÄN</t>
        </is>
      </c>
      <c r="E915" t="inlineStr">
        <is>
          <t>VILHELMINA</t>
        </is>
      </c>
      <c r="F915" t="inlineStr">
        <is>
          <t>SCA</t>
        </is>
      </c>
      <c r="G915" t="n">
        <v>9.1</v>
      </c>
      <c r="H915" t="n">
        <v>0</v>
      </c>
      <c r="I915" t="n">
        <v>0</v>
      </c>
      <c r="J915" t="n">
        <v>0</v>
      </c>
      <c r="K915" t="n">
        <v>0</v>
      </c>
      <c r="L915" t="n">
        <v>0</v>
      </c>
      <c r="M915" t="n">
        <v>0</v>
      </c>
      <c r="N915" t="n">
        <v>0</v>
      </c>
      <c r="O915" t="n">
        <v>0</v>
      </c>
      <c r="P915" t="n">
        <v>0</v>
      </c>
      <c r="Q915" t="n">
        <v>0</v>
      </c>
      <c r="R915" s="2" t="inlineStr"/>
    </row>
    <row r="916" ht="15" customHeight="1">
      <c r="A916" t="inlineStr">
        <is>
          <t>A 40780-2023</t>
        </is>
      </c>
      <c r="B916" s="1" t="n">
        <v>45170</v>
      </c>
      <c r="C916" s="1" t="n">
        <v>45658</v>
      </c>
      <c r="D916" t="inlineStr">
        <is>
          <t>VÄSTERBOTTENS LÄN</t>
        </is>
      </c>
      <c r="E916" t="inlineStr">
        <is>
          <t>VILHELMINA</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40908-2023</t>
        </is>
      </c>
      <c r="B917" s="1" t="n">
        <v>45173</v>
      </c>
      <c r="C917" s="1" t="n">
        <v>45658</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41931-2023</t>
        </is>
      </c>
      <c r="B918" s="1" t="n">
        <v>45177</v>
      </c>
      <c r="C918" s="1" t="n">
        <v>45658</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41930-2023</t>
        </is>
      </c>
      <c r="B919" s="1" t="n">
        <v>45177</v>
      </c>
      <c r="C919" s="1" t="n">
        <v>45658</v>
      </c>
      <c r="D919" t="inlineStr">
        <is>
          <t>VÄSTERBOTTENS LÄN</t>
        </is>
      </c>
      <c r="E919" t="inlineStr">
        <is>
          <t>VILHELMINA</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41932-2023</t>
        </is>
      </c>
      <c r="B920" s="1" t="n">
        <v>45177</v>
      </c>
      <c r="C920" s="1" t="n">
        <v>45658</v>
      </c>
      <c r="D920" t="inlineStr">
        <is>
          <t>VÄSTERBOTTENS LÄN</t>
        </is>
      </c>
      <c r="E920" t="inlineStr">
        <is>
          <t>VILHELMINA</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43637-2023</t>
        </is>
      </c>
      <c r="B921" s="1" t="n">
        <v>45186</v>
      </c>
      <c r="C921" s="1" t="n">
        <v>45658</v>
      </c>
      <c r="D921" t="inlineStr">
        <is>
          <t>VÄSTERBOTTENS LÄN</t>
        </is>
      </c>
      <c r="E921" t="inlineStr">
        <is>
          <t>VILHELMINA</t>
        </is>
      </c>
      <c r="G921" t="n">
        <v>3.3</v>
      </c>
      <c r="H921" t="n">
        <v>0</v>
      </c>
      <c r="I921" t="n">
        <v>0</v>
      </c>
      <c r="J921" t="n">
        <v>0</v>
      </c>
      <c r="K921" t="n">
        <v>0</v>
      </c>
      <c r="L921" t="n">
        <v>0</v>
      </c>
      <c r="M921" t="n">
        <v>0</v>
      </c>
      <c r="N921" t="n">
        <v>0</v>
      </c>
      <c r="O921" t="n">
        <v>0</v>
      </c>
      <c r="P921" t="n">
        <v>0</v>
      </c>
      <c r="Q921" t="n">
        <v>0</v>
      </c>
      <c r="R921" s="2" t="inlineStr"/>
    </row>
    <row r="922" ht="15" customHeight="1">
      <c r="A922" t="inlineStr">
        <is>
          <t>A 43948-2023</t>
        </is>
      </c>
      <c r="B922" s="1" t="n">
        <v>45187</v>
      </c>
      <c r="C922" s="1" t="n">
        <v>45658</v>
      </c>
      <c r="D922" t="inlineStr">
        <is>
          <t>VÄSTERBOTTENS LÄN</t>
        </is>
      </c>
      <c r="E922" t="inlineStr">
        <is>
          <t>VILHELMINA</t>
        </is>
      </c>
      <c r="G922" t="n">
        <v>3.7</v>
      </c>
      <c r="H922" t="n">
        <v>0</v>
      </c>
      <c r="I922" t="n">
        <v>0</v>
      </c>
      <c r="J922" t="n">
        <v>0</v>
      </c>
      <c r="K922" t="n">
        <v>0</v>
      </c>
      <c r="L922" t="n">
        <v>0</v>
      </c>
      <c r="M922" t="n">
        <v>0</v>
      </c>
      <c r="N922" t="n">
        <v>0</v>
      </c>
      <c r="O922" t="n">
        <v>0</v>
      </c>
      <c r="P922" t="n">
        <v>0</v>
      </c>
      <c r="Q922" t="n">
        <v>0</v>
      </c>
      <c r="R922" s="2" t="inlineStr"/>
    </row>
    <row r="923" ht="15" customHeight="1">
      <c r="A923" t="inlineStr">
        <is>
          <t>A 45219-2023</t>
        </is>
      </c>
      <c r="B923" s="1" t="n">
        <v>45187</v>
      </c>
      <c r="C923" s="1" t="n">
        <v>45658</v>
      </c>
      <c r="D923" t="inlineStr">
        <is>
          <t>VÄSTERBOTTENS LÄN</t>
        </is>
      </c>
      <c r="E923" t="inlineStr">
        <is>
          <t>VILHELMINA</t>
        </is>
      </c>
      <c r="G923" t="n">
        <v>10.6</v>
      </c>
      <c r="H923" t="n">
        <v>0</v>
      </c>
      <c r="I923" t="n">
        <v>0</v>
      </c>
      <c r="J923" t="n">
        <v>0</v>
      </c>
      <c r="K923" t="n">
        <v>0</v>
      </c>
      <c r="L923" t="n">
        <v>0</v>
      </c>
      <c r="M923" t="n">
        <v>0</v>
      </c>
      <c r="N923" t="n">
        <v>0</v>
      </c>
      <c r="O923" t="n">
        <v>0</v>
      </c>
      <c r="P923" t="n">
        <v>0</v>
      </c>
      <c r="Q923" t="n">
        <v>0</v>
      </c>
      <c r="R923" s="2" t="inlineStr"/>
    </row>
    <row r="924" ht="15" customHeight="1">
      <c r="A924" t="inlineStr">
        <is>
          <t>A 43990-2023</t>
        </is>
      </c>
      <c r="B924" s="1" t="n">
        <v>45188</v>
      </c>
      <c r="C924" s="1" t="n">
        <v>45658</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45215-2023</t>
        </is>
      </c>
      <c r="B925" s="1" t="n">
        <v>45187</v>
      </c>
      <c r="C925" s="1" t="n">
        <v>45658</v>
      </c>
      <c r="D925" t="inlineStr">
        <is>
          <t>VÄSTERBOTTENS LÄN</t>
        </is>
      </c>
      <c r="E925" t="inlineStr">
        <is>
          <t>VILHELMINA</t>
        </is>
      </c>
      <c r="F925" t="inlineStr">
        <is>
          <t>Kommuner</t>
        </is>
      </c>
      <c r="G925" t="n">
        <v>8.6</v>
      </c>
      <c r="H925" t="n">
        <v>0</v>
      </c>
      <c r="I925" t="n">
        <v>0</v>
      </c>
      <c r="J925" t="n">
        <v>0</v>
      </c>
      <c r="K925" t="n">
        <v>0</v>
      </c>
      <c r="L925" t="n">
        <v>0</v>
      </c>
      <c r="M925" t="n">
        <v>0</v>
      </c>
      <c r="N925" t="n">
        <v>0</v>
      </c>
      <c r="O925" t="n">
        <v>0</v>
      </c>
      <c r="P925" t="n">
        <v>0</v>
      </c>
      <c r="Q925" t="n">
        <v>0</v>
      </c>
      <c r="R925" s="2" t="inlineStr"/>
    </row>
    <row r="926" ht="15" customHeight="1">
      <c r="A926" t="inlineStr">
        <is>
          <t>A 44371-2023</t>
        </is>
      </c>
      <c r="B926" s="1" t="n">
        <v>45188</v>
      </c>
      <c r="C926" s="1" t="n">
        <v>45658</v>
      </c>
      <c r="D926" t="inlineStr">
        <is>
          <t>VÄSTERBOTTENS LÄN</t>
        </is>
      </c>
      <c r="E926" t="inlineStr">
        <is>
          <t>VILHELMINA</t>
        </is>
      </c>
      <c r="G926" t="n">
        <v>11</v>
      </c>
      <c r="H926" t="n">
        <v>0</v>
      </c>
      <c r="I926" t="n">
        <v>0</v>
      </c>
      <c r="J926" t="n">
        <v>0</v>
      </c>
      <c r="K926" t="n">
        <v>0</v>
      </c>
      <c r="L926" t="n">
        <v>0</v>
      </c>
      <c r="M926" t="n">
        <v>0</v>
      </c>
      <c r="N926" t="n">
        <v>0</v>
      </c>
      <c r="O926" t="n">
        <v>0</v>
      </c>
      <c r="P926" t="n">
        <v>0</v>
      </c>
      <c r="Q926" t="n">
        <v>0</v>
      </c>
      <c r="R926" s="2" t="inlineStr"/>
    </row>
    <row r="927" ht="15" customHeight="1">
      <c r="A927" t="inlineStr">
        <is>
          <t>A 44601-2023</t>
        </is>
      </c>
      <c r="B927" s="1" t="n">
        <v>45189</v>
      </c>
      <c r="C927" s="1" t="n">
        <v>45658</v>
      </c>
      <c r="D927" t="inlineStr">
        <is>
          <t>VÄSTERBOTTENS LÄN</t>
        </is>
      </c>
      <c r="E927" t="inlineStr">
        <is>
          <t>VILHELMINA</t>
        </is>
      </c>
      <c r="F927" t="inlineStr">
        <is>
          <t>Kommuner</t>
        </is>
      </c>
      <c r="G927" t="n">
        <v>16.5</v>
      </c>
      <c r="H927" t="n">
        <v>0</v>
      </c>
      <c r="I927" t="n">
        <v>0</v>
      </c>
      <c r="J927" t="n">
        <v>0</v>
      </c>
      <c r="K927" t="n">
        <v>0</v>
      </c>
      <c r="L927" t="n">
        <v>0</v>
      </c>
      <c r="M927" t="n">
        <v>0</v>
      </c>
      <c r="N927" t="n">
        <v>0</v>
      </c>
      <c r="O927" t="n">
        <v>0</v>
      </c>
      <c r="P927" t="n">
        <v>0</v>
      </c>
      <c r="Q927" t="n">
        <v>0</v>
      </c>
      <c r="R927" s="2" t="inlineStr"/>
    </row>
    <row r="928" ht="15" customHeight="1">
      <c r="A928" t="inlineStr">
        <is>
          <t>A 44695-2023</t>
        </is>
      </c>
      <c r="B928" s="1" t="n">
        <v>45190</v>
      </c>
      <c r="C928" s="1" t="n">
        <v>45658</v>
      </c>
      <c r="D928" t="inlineStr">
        <is>
          <t>VÄSTERBOTTENS LÄN</t>
        </is>
      </c>
      <c r="E928" t="inlineStr">
        <is>
          <t>VILHELMINA</t>
        </is>
      </c>
      <c r="G928" t="n">
        <v>15.6</v>
      </c>
      <c r="H928" t="n">
        <v>0</v>
      </c>
      <c r="I928" t="n">
        <v>0</v>
      </c>
      <c r="J928" t="n">
        <v>0</v>
      </c>
      <c r="K928" t="n">
        <v>0</v>
      </c>
      <c r="L928" t="n">
        <v>0</v>
      </c>
      <c r="M928" t="n">
        <v>0</v>
      </c>
      <c r="N928" t="n">
        <v>0</v>
      </c>
      <c r="O928" t="n">
        <v>0</v>
      </c>
      <c r="P928" t="n">
        <v>0</v>
      </c>
      <c r="Q928" t="n">
        <v>0</v>
      </c>
      <c r="R928" s="2" t="inlineStr"/>
    </row>
    <row r="929" ht="15" customHeight="1">
      <c r="A929" t="inlineStr">
        <is>
          <t>A 45022-2023</t>
        </is>
      </c>
      <c r="B929" s="1" t="n">
        <v>45190</v>
      </c>
      <c r="C929" s="1" t="n">
        <v>45658</v>
      </c>
      <c r="D929" t="inlineStr">
        <is>
          <t>VÄSTERBOTTENS LÄN</t>
        </is>
      </c>
      <c r="E929" t="inlineStr">
        <is>
          <t>VILHELMINA</t>
        </is>
      </c>
      <c r="F929" t="inlineStr">
        <is>
          <t>SCA</t>
        </is>
      </c>
      <c r="G929" t="n">
        <v>6.9</v>
      </c>
      <c r="H929" t="n">
        <v>0</v>
      </c>
      <c r="I929" t="n">
        <v>0</v>
      </c>
      <c r="J929" t="n">
        <v>0</v>
      </c>
      <c r="K929" t="n">
        <v>0</v>
      </c>
      <c r="L929" t="n">
        <v>0</v>
      </c>
      <c r="M929" t="n">
        <v>0</v>
      </c>
      <c r="N929" t="n">
        <v>0</v>
      </c>
      <c r="O929" t="n">
        <v>0</v>
      </c>
      <c r="P929" t="n">
        <v>0</v>
      </c>
      <c r="Q929" t="n">
        <v>0</v>
      </c>
      <c r="R929" s="2" t="inlineStr"/>
    </row>
    <row r="930" ht="15" customHeight="1">
      <c r="A930" t="inlineStr">
        <is>
          <t>A 46177-2023</t>
        </is>
      </c>
      <c r="B930" s="1" t="n">
        <v>45190</v>
      </c>
      <c r="C930" s="1" t="n">
        <v>45658</v>
      </c>
      <c r="D930" t="inlineStr">
        <is>
          <t>VÄSTERBOTTENS LÄN</t>
        </is>
      </c>
      <c r="E930" t="inlineStr">
        <is>
          <t>VILHELMINA</t>
        </is>
      </c>
      <c r="F930" t="inlineStr">
        <is>
          <t>Övriga Aktiebolag</t>
        </is>
      </c>
      <c r="G930" t="n">
        <v>7.7</v>
      </c>
      <c r="H930" t="n">
        <v>0</v>
      </c>
      <c r="I930" t="n">
        <v>0</v>
      </c>
      <c r="J930" t="n">
        <v>0</v>
      </c>
      <c r="K930" t="n">
        <v>0</v>
      </c>
      <c r="L930" t="n">
        <v>0</v>
      </c>
      <c r="M930" t="n">
        <v>0</v>
      </c>
      <c r="N930" t="n">
        <v>0</v>
      </c>
      <c r="O930" t="n">
        <v>0</v>
      </c>
      <c r="P930" t="n">
        <v>0</v>
      </c>
      <c r="Q930" t="n">
        <v>0</v>
      </c>
      <c r="R930" s="2" t="inlineStr"/>
    </row>
    <row r="931" ht="15" customHeight="1">
      <c r="A931" t="inlineStr">
        <is>
          <t>A 46164-2023</t>
        </is>
      </c>
      <c r="B931" s="1" t="n">
        <v>45190</v>
      </c>
      <c r="C931" s="1" t="n">
        <v>45658</v>
      </c>
      <c r="D931" t="inlineStr">
        <is>
          <t>VÄSTERBOTTENS LÄN</t>
        </is>
      </c>
      <c r="E931" t="inlineStr">
        <is>
          <t>VILHELMINA</t>
        </is>
      </c>
      <c r="G931" t="n">
        <v>6.3</v>
      </c>
      <c r="H931" t="n">
        <v>0</v>
      </c>
      <c r="I931" t="n">
        <v>0</v>
      </c>
      <c r="J931" t="n">
        <v>0</v>
      </c>
      <c r="K931" t="n">
        <v>0</v>
      </c>
      <c r="L931" t="n">
        <v>0</v>
      </c>
      <c r="M931" t="n">
        <v>0</v>
      </c>
      <c r="N931" t="n">
        <v>0</v>
      </c>
      <c r="O931" t="n">
        <v>0</v>
      </c>
      <c r="P931" t="n">
        <v>0</v>
      </c>
      <c r="Q931" t="n">
        <v>0</v>
      </c>
      <c r="R931" s="2" t="inlineStr"/>
    </row>
    <row r="932" ht="15" customHeight="1">
      <c r="A932" t="inlineStr">
        <is>
          <t>A 46119-2023</t>
        </is>
      </c>
      <c r="B932" s="1" t="n">
        <v>45190</v>
      </c>
      <c r="C932" s="1" t="n">
        <v>45658</v>
      </c>
      <c r="D932" t="inlineStr">
        <is>
          <t>VÄSTERBOTTENS LÄN</t>
        </is>
      </c>
      <c r="E932" t="inlineStr">
        <is>
          <t>VILHELMINA</t>
        </is>
      </c>
      <c r="G932" t="n">
        <v>17.7</v>
      </c>
      <c r="H932" t="n">
        <v>0</v>
      </c>
      <c r="I932" t="n">
        <v>0</v>
      </c>
      <c r="J932" t="n">
        <v>0</v>
      </c>
      <c r="K932" t="n">
        <v>0</v>
      </c>
      <c r="L932" t="n">
        <v>0</v>
      </c>
      <c r="M932" t="n">
        <v>0</v>
      </c>
      <c r="N932" t="n">
        <v>0</v>
      </c>
      <c r="O932" t="n">
        <v>0</v>
      </c>
      <c r="P932" t="n">
        <v>0</v>
      </c>
      <c r="Q932" t="n">
        <v>0</v>
      </c>
      <c r="R932" s="2" t="inlineStr"/>
    </row>
    <row r="933" ht="15" customHeight="1">
      <c r="A933" t="inlineStr">
        <is>
          <t>A 45672-2023</t>
        </is>
      </c>
      <c r="B933" s="1" t="n">
        <v>45194</v>
      </c>
      <c r="C933" s="1" t="n">
        <v>45658</v>
      </c>
      <c r="D933" t="inlineStr">
        <is>
          <t>VÄSTERBOTTENS LÄN</t>
        </is>
      </c>
      <c r="E933" t="inlineStr">
        <is>
          <t>VILHELMINA</t>
        </is>
      </c>
      <c r="G933" t="n">
        <v>1.5</v>
      </c>
      <c r="H933" t="n">
        <v>0</v>
      </c>
      <c r="I933" t="n">
        <v>0</v>
      </c>
      <c r="J933" t="n">
        <v>0</v>
      </c>
      <c r="K933" t="n">
        <v>0</v>
      </c>
      <c r="L933" t="n">
        <v>0</v>
      </c>
      <c r="M933" t="n">
        <v>0</v>
      </c>
      <c r="N933" t="n">
        <v>0</v>
      </c>
      <c r="O933" t="n">
        <v>0</v>
      </c>
      <c r="P933" t="n">
        <v>0</v>
      </c>
      <c r="Q933" t="n">
        <v>0</v>
      </c>
      <c r="R933" s="2" t="inlineStr"/>
    </row>
    <row r="934" ht="15" customHeight="1">
      <c r="A934" t="inlineStr">
        <is>
          <t>A 45673-2023</t>
        </is>
      </c>
      <c r="B934" s="1" t="n">
        <v>45194</v>
      </c>
      <c r="C934" s="1" t="n">
        <v>45658</v>
      </c>
      <c r="D934" t="inlineStr">
        <is>
          <t>VÄSTERBOTTENS LÄN</t>
        </is>
      </c>
      <c r="E934" t="inlineStr">
        <is>
          <t>VILHELMINA</t>
        </is>
      </c>
      <c r="G934" t="n">
        <v>13.4</v>
      </c>
      <c r="H934" t="n">
        <v>0</v>
      </c>
      <c r="I934" t="n">
        <v>0</v>
      </c>
      <c r="J934" t="n">
        <v>0</v>
      </c>
      <c r="K934" t="n">
        <v>0</v>
      </c>
      <c r="L934" t="n">
        <v>0</v>
      </c>
      <c r="M934" t="n">
        <v>0</v>
      </c>
      <c r="N934" t="n">
        <v>0</v>
      </c>
      <c r="O934" t="n">
        <v>0</v>
      </c>
      <c r="P934" t="n">
        <v>0</v>
      </c>
      <c r="Q934" t="n">
        <v>0</v>
      </c>
      <c r="R934" s="2" t="inlineStr"/>
    </row>
    <row r="935" ht="15" customHeight="1">
      <c r="A935" t="inlineStr">
        <is>
          <t>A 45970-2023</t>
        </is>
      </c>
      <c r="B935" s="1" t="n">
        <v>45195</v>
      </c>
      <c r="C935" s="1" t="n">
        <v>45658</v>
      </c>
      <c r="D935" t="inlineStr">
        <is>
          <t>VÄSTERBOTTENS LÄN</t>
        </is>
      </c>
      <c r="E935" t="inlineStr">
        <is>
          <t>VILHELMINA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45971-2023</t>
        </is>
      </c>
      <c r="B936" s="1" t="n">
        <v>45195</v>
      </c>
      <c r="C936" s="1" t="n">
        <v>45658</v>
      </c>
      <c r="D936" t="inlineStr">
        <is>
          <t>VÄSTERBOTTENS LÄN</t>
        </is>
      </c>
      <c r="E936" t="inlineStr">
        <is>
          <t>VILHELMINA</t>
        </is>
      </c>
      <c r="F936" t="inlineStr">
        <is>
          <t>SCA</t>
        </is>
      </c>
      <c r="G936" t="n">
        <v>48.3</v>
      </c>
      <c r="H936" t="n">
        <v>0</v>
      </c>
      <c r="I936" t="n">
        <v>0</v>
      </c>
      <c r="J936" t="n">
        <v>0</v>
      </c>
      <c r="K936" t="n">
        <v>0</v>
      </c>
      <c r="L936" t="n">
        <v>0</v>
      </c>
      <c r="M936" t="n">
        <v>0</v>
      </c>
      <c r="N936" t="n">
        <v>0</v>
      </c>
      <c r="O936" t="n">
        <v>0</v>
      </c>
      <c r="P936" t="n">
        <v>0</v>
      </c>
      <c r="Q936" t="n">
        <v>0</v>
      </c>
      <c r="R936" s="2" t="inlineStr"/>
    </row>
    <row r="937" ht="15" customHeight="1">
      <c r="A937" t="inlineStr">
        <is>
          <t>A 45927-2023</t>
        </is>
      </c>
      <c r="B937" s="1" t="n">
        <v>45196</v>
      </c>
      <c r="C937" s="1" t="n">
        <v>45658</v>
      </c>
      <c r="D937" t="inlineStr">
        <is>
          <t>VÄSTERBOTTENS LÄN</t>
        </is>
      </c>
      <c r="E937" t="inlineStr">
        <is>
          <t>VILHELMINA</t>
        </is>
      </c>
      <c r="G937" t="n">
        <v>4.7</v>
      </c>
      <c r="H937" t="n">
        <v>0</v>
      </c>
      <c r="I937" t="n">
        <v>0</v>
      </c>
      <c r="J937" t="n">
        <v>0</v>
      </c>
      <c r="K937" t="n">
        <v>0</v>
      </c>
      <c r="L937" t="n">
        <v>0</v>
      </c>
      <c r="M937" t="n">
        <v>0</v>
      </c>
      <c r="N937" t="n">
        <v>0</v>
      </c>
      <c r="O937" t="n">
        <v>0</v>
      </c>
      <c r="P937" t="n">
        <v>0</v>
      </c>
      <c r="Q937" t="n">
        <v>0</v>
      </c>
      <c r="R937" s="2" t="inlineStr"/>
    </row>
    <row r="938" ht="15" customHeight="1">
      <c r="A938" t="inlineStr">
        <is>
          <t>A 45965-2023</t>
        </is>
      </c>
      <c r="B938" s="1" t="n">
        <v>45196</v>
      </c>
      <c r="C938" s="1" t="n">
        <v>45658</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45926-2023</t>
        </is>
      </c>
      <c r="B939" s="1" t="n">
        <v>45196</v>
      </c>
      <c r="C939" s="1" t="n">
        <v>45658</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45964-2023</t>
        </is>
      </c>
      <c r="B940" s="1" t="n">
        <v>45195</v>
      </c>
      <c r="C940" s="1" t="n">
        <v>45658</v>
      </c>
      <c r="D940" t="inlineStr">
        <is>
          <t>VÄSTERBOTTENS LÄN</t>
        </is>
      </c>
      <c r="E940" t="inlineStr">
        <is>
          <t>VILHELMINA</t>
        </is>
      </c>
      <c r="F940" t="inlineStr">
        <is>
          <t>SCA</t>
        </is>
      </c>
      <c r="G940" t="n">
        <v>17.2</v>
      </c>
      <c r="H940" t="n">
        <v>0</v>
      </c>
      <c r="I940" t="n">
        <v>0</v>
      </c>
      <c r="J940" t="n">
        <v>0</v>
      </c>
      <c r="K940" t="n">
        <v>0</v>
      </c>
      <c r="L940" t="n">
        <v>0</v>
      </c>
      <c r="M940" t="n">
        <v>0</v>
      </c>
      <c r="N940" t="n">
        <v>0</v>
      </c>
      <c r="O940" t="n">
        <v>0</v>
      </c>
      <c r="P940" t="n">
        <v>0</v>
      </c>
      <c r="Q940" t="n">
        <v>0</v>
      </c>
      <c r="R940" s="2" t="inlineStr"/>
    </row>
    <row r="941" ht="15" customHeight="1">
      <c r="A941" t="inlineStr">
        <is>
          <t>A 45972-2023</t>
        </is>
      </c>
      <c r="B941" s="1" t="n">
        <v>45195</v>
      </c>
      <c r="C941" s="1" t="n">
        <v>45658</v>
      </c>
      <c r="D941" t="inlineStr">
        <is>
          <t>VÄSTERBOTTENS LÄN</t>
        </is>
      </c>
      <c r="E941" t="inlineStr">
        <is>
          <t>VILHELMINA</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46547-2023</t>
        </is>
      </c>
      <c r="B942" s="1" t="n">
        <v>45198</v>
      </c>
      <c r="C942" s="1" t="n">
        <v>45658</v>
      </c>
      <c r="D942" t="inlineStr">
        <is>
          <t>VÄSTERBOTTENS LÄN</t>
        </is>
      </c>
      <c r="E942" t="inlineStr">
        <is>
          <t>VILHELMINA</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46824-2023</t>
        </is>
      </c>
      <c r="B943" s="1" t="n">
        <v>45199</v>
      </c>
      <c r="C943" s="1" t="n">
        <v>45658</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46823-2023</t>
        </is>
      </c>
      <c r="B944" s="1" t="n">
        <v>45199</v>
      </c>
      <c r="C944" s="1" t="n">
        <v>45658</v>
      </c>
      <c r="D944" t="inlineStr">
        <is>
          <t>VÄSTERBOTTENS LÄN</t>
        </is>
      </c>
      <c r="E944" t="inlineStr">
        <is>
          <t>VILHELMINA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47482-2023</t>
        </is>
      </c>
      <c r="B945" s="1" t="n">
        <v>45203</v>
      </c>
      <c r="C945" s="1" t="n">
        <v>45658</v>
      </c>
      <c r="D945" t="inlineStr">
        <is>
          <t>VÄSTERBOTTENS LÄN</t>
        </is>
      </c>
      <c r="E945" t="inlineStr">
        <is>
          <t>VILHELMINA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47481-2023</t>
        </is>
      </c>
      <c r="B946" s="1" t="n">
        <v>45203</v>
      </c>
      <c r="C946" s="1" t="n">
        <v>45658</v>
      </c>
      <c r="D946" t="inlineStr">
        <is>
          <t>VÄSTERBOTTENS LÄN</t>
        </is>
      </c>
      <c r="E946" t="inlineStr">
        <is>
          <t>VILHELMINA</t>
        </is>
      </c>
      <c r="F946" t="inlineStr">
        <is>
          <t>SCA</t>
        </is>
      </c>
      <c r="G946" t="n">
        <v>16.4</v>
      </c>
      <c r="H946" t="n">
        <v>0</v>
      </c>
      <c r="I946" t="n">
        <v>0</v>
      </c>
      <c r="J946" t="n">
        <v>0</v>
      </c>
      <c r="K946" t="n">
        <v>0</v>
      </c>
      <c r="L946" t="n">
        <v>0</v>
      </c>
      <c r="M946" t="n">
        <v>0</v>
      </c>
      <c r="N946" t="n">
        <v>0</v>
      </c>
      <c r="O946" t="n">
        <v>0</v>
      </c>
      <c r="P946" t="n">
        <v>0</v>
      </c>
      <c r="Q946" t="n">
        <v>0</v>
      </c>
      <c r="R946" s="2" t="inlineStr"/>
    </row>
    <row r="947" ht="15" customHeight="1">
      <c r="A947" t="inlineStr">
        <is>
          <t>A 47480-2023</t>
        </is>
      </c>
      <c r="B947" s="1" t="n">
        <v>45203</v>
      </c>
      <c r="C947" s="1" t="n">
        <v>45658</v>
      </c>
      <c r="D947" t="inlineStr">
        <is>
          <t>VÄSTERBOTTENS LÄN</t>
        </is>
      </c>
      <c r="E947" t="inlineStr">
        <is>
          <t>VILHELMINA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47479-2023</t>
        </is>
      </c>
      <c r="B948" s="1" t="n">
        <v>45203</v>
      </c>
      <c r="C948" s="1" t="n">
        <v>45658</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47483-2023</t>
        </is>
      </c>
      <c r="B949" s="1" t="n">
        <v>45203</v>
      </c>
      <c r="C949" s="1" t="n">
        <v>45658</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48368-2023</t>
        </is>
      </c>
      <c r="B950" s="1" t="n">
        <v>45205</v>
      </c>
      <c r="C950" s="1" t="n">
        <v>45658</v>
      </c>
      <c r="D950" t="inlineStr">
        <is>
          <t>VÄSTERBOTTENS LÄN</t>
        </is>
      </c>
      <c r="E950" t="inlineStr">
        <is>
          <t>VILHELMINA</t>
        </is>
      </c>
      <c r="F950" t="inlineStr">
        <is>
          <t>Sveaskog</t>
        </is>
      </c>
      <c r="G950" t="n">
        <v>16.8</v>
      </c>
      <c r="H950" t="n">
        <v>0</v>
      </c>
      <c r="I950" t="n">
        <v>0</v>
      </c>
      <c r="J950" t="n">
        <v>0</v>
      </c>
      <c r="K950" t="n">
        <v>0</v>
      </c>
      <c r="L950" t="n">
        <v>0</v>
      </c>
      <c r="M950" t="n">
        <v>0</v>
      </c>
      <c r="N950" t="n">
        <v>0</v>
      </c>
      <c r="O950" t="n">
        <v>0</v>
      </c>
      <c r="P950" t="n">
        <v>0</v>
      </c>
      <c r="Q950" t="n">
        <v>0</v>
      </c>
      <c r="R950" s="2" t="inlineStr"/>
    </row>
    <row r="951" ht="15" customHeight="1">
      <c r="A951" t="inlineStr">
        <is>
          <t>A 48424-2023</t>
        </is>
      </c>
      <c r="B951" s="1" t="n">
        <v>45205</v>
      </c>
      <c r="C951" s="1" t="n">
        <v>45658</v>
      </c>
      <c r="D951" t="inlineStr">
        <is>
          <t>VÄSTERBOTTENS LÄN</t>
        </is>
      </c>
      <c r="E951" t="inlineStr">
        <is>
          <t>VILHELMINA</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48372-2023</t>
        </is>
      </c>
      <c r="B952" s="1" t="n">
        <v>45205</v>
      </c>
      <c r="C952" s="1" t="n">
        <v>45658</v>
      </c>
      <c r="D952" t="inlineStr">
        <is>
          <t>VÄSTERBOTTENS LÄN</t>
        </is>
      </c>
      <c r="E952" t="inlineStr">
        <is>
          <t>VILHELMINA</t>
        </is>
      </c>
      <c r="F952" t="inlineStr">
        <is>
          <t>Sveaskog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48423-2023</t>
        </is>
      </c>
      <c r="B953" s="1" t="n">
        <v>45205</v>
      </c>
      <c r="C953" s="1" t="n">
        <v>45658</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48422-2023</t>
        </is>
      </c>
      <c r="B954" s="1" t="n">
        <v>45205</v>
      </c>
      <c r="C954" s="1" t="n">
        <v>45658</v>
      </c>
      <c r="D954" t="inlineStr">
        <is>
          <t>VÄSTERBOTTENS LÄN</t>
        </is>
      </c>
      <c r="E954" t="inlineStr">
        <is>
          <t>VILHELMINA</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48370-2023</t>
        </is>
      </c>
      <c r="B955" s="1" t="n">
        <v>45205</v>
      </c>
      <c r="C955" s="1" t="n">
        <v>45658</v>
      </c>
      <c r="D955" t="inlineStr">
        <is>
          <t>VÄSTERBOTTENS LÄN</t>
        </is>
      </c>
      <c r="E955" t="inlineStr">
        <is>
          <t>VILHELMINA</t>
        </is>
      </c>
      <c r="F955" t="inlineStr">
        <is>
          <t>Sveaskog</t>
        </is>
      </c>
      <c r="G955" t="n">
        <v>7.7</v>
      </c>
      <c r="H955" t="n">
        <v>0</v>
      </c>
      <c r="I955" t="n">
        <v>0</v>
      </c>
      <c r="J955" t="n">
        <v>0</v>
      </c>
      <c r="K955" t="n">
        <v>0</v>
      </c>
      <c r="L955" t="n">
        <v>0</v>
      </c>
      <c r="M955" t="n">
        <v>0</v>
      </c>
      <c r="N955" t="n">
        <v>0</v>
      </c>
      <c r="O955" t="n">
        <v>0</v>
      </c>
      <c r="P955" t="n">
        <v>0</v>
      </c>
      <c r="Q955" t="n">
        <v>0</v>
      </c>
      <c r="R955" s="2" t="inlineStr"/>
    </row>
    <row r="956" ht="15" customHeight="1">
      <c r="A956" t="inlineStr">
        <is>
          <t>A 48471-2023</t>
        </is>
      </c>
      <c r="B956" s="1" t="n">
        <v>45207</v>
      </c>
      <c r="C956" s="1" t="n">
        <v>45658</v>
      </c>
      <c r="D956" t="inlineStr">
        <is>
          <t>VÄSTERBOTTENS LÄN</t>
        </is>
      </c>
      <c r="E956" t="inlineStr">
        <is>
          <t>VILHELMINA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48470-2023</t>
        </is>
      </c>
      <c r="B957" s="1" t="n">
        <v>45207</v>
      </c>
      <c r="C957" s="1" t="n">
        <v>45658</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48483-2023</t>
        </is>
      </c>
      <c r="B958" s="1" t="n">
        <v>45207</v>
      </c>
      <c r="C958" s="1" t="n">
        <v>45658</v>
      </c>
      <c r="D958" t="inlineStr">
        <is>
          <t>VÄSTERBOTTENS LÄN</t>
        </is>
      </c>
      <c r="E958" t="inlineStr">
        <is>
          <t>VILHELMINA</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48472-2023</t>
        </is>
      </c>
      <c r="B959" s="1" t="n">
        <v>45207</v>
      </c>
      <c r="C959" s="1" t="n">
        <v>45658</v>
      </c>
      <c r="D959" t="inlineStr">
        <is>
          <t>VÄSTERBOTTENS LÄN</t>
        </is>
      </c>
      <c r="E959" t="inlineStr">
        <is>
          <t>VILHELMINA</t>
        </is>
      </c>
      <c r="F959" t="inlineStr">
        <is>
          <t>SCA</t>
        </is>
      </c>
      <c r="G959" t="n">
        <v>4.6</v>
      </c>
      <c r="H959" t="n">
        <v>0</v>
      </c>
      <c r="I959" t="n">
        <v>0</v>
      </c>
      <c r="J959" t="n">
        <v>0</v>
      </c>
      <c r="K959" t="n">
        <v>0</v>
      </c>
      <c r="L959" t="n">
        <v>0</v>
      </c>
      <c r="M959" t="n">
        <v>0</v>
      </c>
      <c r="N959" t="n">
        <v>0</v>
      </c>
      <c r="O959" t="n">
        <v>0</v>
      </c>
      <c r="P959" t="n">
        <v>0</v>
      </c>
      <c r="Q959" t="n">
        <v>0</v>
      </c>
      <c r="R959" s="2" t="inlineStr"/>
    </row>
    <row r="960" ht="15" customHeight="1">
      <c r="A960" t="inlineStr">
        <is>
          <t>A 48505-2023</t>
        </is>
      </c>
      <c r="B960" s="1" t="n">
        <v>45208</v>
      </c>
      <c r="C960" s="1" t="n">
        <v>45658</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50347-2023</t>
        </is>
      </c>
      <c r="B961" s="1" t="n">
        <v>45209</v>
      </c>
      <c r="C961" s="1" t="n">
        <v>45658</v>
      </c>
      <c r="D961" t="inlineStr">
        <is>
          <t>VÄSTERBOTTENS LÄN</t>
        </is>
      </c>
      <c r="E961" t="inlineStr">
        <is>
          <t>VILHELMINA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49310-2023</t>
        </is>
      </c>
      <c r="B962" s="1" t="n">
        <v>45210</v>
      </c>
      <c r="C962" s="1" t="n">
        <v>45658</v>
      </c>
      <c r="D962" t="inlineStr">
        <is>
          <t>VÄSTERBOTTENS LÄN</t>
        </is>
      </c>
      <c r="E962" t="inlineStr">
        <is>
          <t>VILHELMINA</t>
        </is>
      </c>
      <c r="G962" t="n">
        <v>25.1</v>
      </c>
      <c r="H962" t="n">
        <v>0</v>
      </c>
      <c r="I962" t="n">
        <v>0</v>
      </c>
      <c r="J962" t="n">
        <v>0</v>
      </c>
      <c r="K962" t="n">
        <v>0</v>
      </c>
      <c r="L962" t="n">
        <v>0</v>
      </c>
      <c r="M962" t="n">
        <v>0</v>
      </c>
      <c r="N962" t="n">
        <v>0</v>
      </c>
      <c r="O962" t="n">
        <v>0</v>
      </c>
      <c r="P962" t="n">
        <v>0</v>
      </c>
      <c r="Q962" t="n">
        <v>0</v>
      </c>
      <c r="R962" s="2" t="inlineStr"/>
    </row>
    <row r="963" ht="15" customHeight="1">
      <c r="A963" t="inlineStr">
        <is>
          <t>A 49642-2023</t>
        </is>
      </c>
      <c r="B963" s="1" t="n">
        <v>45212</v>
      </c>
      <c r="C963" s="1" t="n">
        <v>45658</v>
      </c>
      <c r="D963" t="inlineStr">
        <is>
          <t>VÄSTERBOTTENS LÄN</t>
        </is>
      </c>
      <c r="E963" t="inlineStr">
        <is>
          <t>VILHELMINA</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49652-2023</t>
        </is>
      </c>
      <c r="B964" s="1" t="n">
        <v>45212</v>
      </c>
      <c r="C964" s="1" t="n">
        <v>45658</v>
      </c>
      <c r="D964" t="inlineStr">
        <is>
          <t>VÄSTERBOTTENS LÄN</t>
        </is>
      </c>
      <c r="E964" t="inlineStr">
        <is>
          <t>VILHELMINA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49860-2023</t>
        </is>
      </c>
      <c r="B965" s="1" t="n">
        <v>45212</v>
      </c>
      <c r="C965" s="1" t="n">
        <v>45658</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50505-2023</t>
        </is>
      </c>
      <c r="B966" s="1" t="n">
        <v>45217</v>
      </c>
      <c r="C966" s="1" t="n">
        <v>45658</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50502-2023</t>
        </is>
      </c>
      <c r="B967" s="1" t="n">
        <v>45217</v>
      </c>
      <c r="C967" s="1" t="n">
        <v>45658</v>
      </c>
      <c r="D967" t="inlineStr">
        <is>
          <t>VÄSTERBOTTENS LÄN</t>
        </is>
      </c>
      <c r="E967" t="inlineStr">
        <is>
          <t>VILHELMINA</t>
        </is>
      </c>
      <c r="F967" t="inlineStr">
        <is>
          <t>SCA</t>
        </is>
      </c>
      <c r="G967" t="n">
        <v>30.6</v>
      </c>
      <c r="H967" t="n">
        <v>0</v>
      </c>
      <c r="I967" t="n">
        <v>0</v>
      </c>
      <c r="J967" t="n">
        <v>0</v>
      </c>
      <c r="K967" t="n">
        <v>0</v>
      </c>
      <c r="L967" t="n">
        <v>0</v>
      </c>
      <c r="M967" t="n">
        <v>0</v>
      </c>
      <c r="N967" t="n">
        <v>0</v>
      </c>
      <c r="O967" t="n">
        <v>0</v>
      </c>
      <c r="P967" t="n">
        <v>0</v>
      </c>
      <c r="Q967" t="n">
        <v>0</v>
      </c>
      <c r="R967" s="2" t="inlineStr"/>
    </row>
    <row r="968" ht="15" customHeight="1">
      <c r="A968" t="inlineStr">
        <is>
          <t>A 50506-2023</t>
        </is>
      </c>
      <c r="B968" s="1" t="n">
        <v>45217</v>
      </c>
      <c r="C968" s="1" t="n">
        <v>45658</v>
      </c>
      <c r="D968" t="inlineStr">
        <is>
          <t>VÄSTERBOTTENS LÄN</t>
        </is>
      </c>
      <c r="E968" t="inlineStr">
        <is>
          <t>VILHELMINA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50499-2023</t>
        </is>
      </c>
      <c r="B969" s="1" t="n">
        <v>45217</v>
      </c>
      <c r="C969" s="1" t="n">
        <v>45658</v>
      </c>
      <c r="D969" t="inlineStr">
        <is>
          <t>VÄSTERBOTTENS LÄN</t>
        </is>
      </c>
      <c r="E969" t="inlineStr">
        <is>
          <t>VILHELMINA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50500-2023</t>
        </is>
      </c>
      <c r="B970" s="1" t="n">
        <v>45217</v>
      </c>
      <c r="C970" s="1" t="n">
        <v>45658</v>
      </c>
      <c r="D970" t="inlineStr">
        <is>
          <t>VÄSTERBOTTENS LÄN</t>
        </is>
      </c>
      <c r="E970" t="inlineStr">
        <is>
          <t>VILHELMINA</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50494-2023</t>
        </is>
      </c>
      <c r="B971" s="1" t="n">
        <v>45217</v>
      </c>
      <c r="C971" s="1" t="n">
        <v>45658</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50490-2023</t>
        </is>
      </c>
      <c r="B972" s="1" t="n">
        <v>45217</v>
      </c>
      <c r="C972" s="1" t="n">
        <v>45658</v>
      </c>
      <c r="D972" t="inlineStr">
        <is>
          <t>VÄSTERBOTTENS LÄN</t>
        </is>
      </c>
      <c r="E972" t="inlineStr">
        <is>
          <t>VILHELMINA</t>
        </is>
      </c>
      <c r="F972" t="inlineStr">
        <is>
          <t>SCA</t>
        </is>
      </c>
      <c r="G972" t="n">
        <v>12.3</v>
      </c>
      <c r="H972" t="n">
        <v>0</v>
      </c>
      <c r="I972" t="n">
        <v>0</v>
      </c>
      <c r="J972" t="n">
        <v>0</v>
      </c>
      <c r="K972" t="n">
        <v>0</v>
      </c>
      <c r="L972" t="n">
        <v>0</v>
      </c>
      <c r="M972" t="n">
        <v>0</v>
      </c>
      <c r="N972" t="n">
        <v>0</v>
      </c>
      <c r="O972" t="n">
        <v>0</v>
      </c>
      <c r="P972" t="n">
        <v>0</v>
      </c>
      <c r="Q972" t="n">
        <v>0</v>
      </c>
      <c r="R972" s="2" t="inlineStr"/>
    </row>
    <row r="973" ht="15" customHeight="1">
      <c r="A973" t="inlineStr">
        <is>
          <t>A 50482-2023</t>
        </is>
      </c>
      <c r="B973" s="1" t="n">
        <v>45216</v>
      </c>
      <c r="C973" s="1" t="n">
        <v>45658</v>
      </c>
      <c r="D973" t="inlineStr">
        <is>
          <t>VÄSTERBOTTENS LÄN</t>
        </is>
      </c>
      <c r="E973" t="inlineStr">
        <is>
          <t>VILHELMINA</t>
        </is>
      </c>
      <c r="G973" t="n">
        <v>3.5</v>
      </c>
      <c r="H973" t="n">
        <v>0</v>
      </c>
      <c r="I973" t="n">
        <v>0</v>
      </c>
      <c r="J973" t="n">
        <v>0</v>
      </c>
      <c r="K973" t="n">
        <v>0</v>
      </c>
      <c r="L973" t="n">
        <v>0</v>
      </c>
      <c r="M973" t="n">
        <v>0</v>
      </c>
      <c r="N973" t="n">
        <v>0</v>
      </c>
      <c r="O973" t="n">
        <v>0</v>
      </c>
      <c r="P973" t="n">
        <v>0</v>
      </c>
      <c r="Q973" t="n">
        <v>0</v>
      </c>
      <c r="R973" s="2" t="inlineStr"/>
    </row>
    <row r="974" ht="15" customHeight="1">
      <c r="A974" t="inlineStr">
        <is>
          <t>A 50501-2023</t>
        </is>
      </c>
      <c r="B974" s="1" t="n">
        <v>45216</v>
      </c>
      <c r="C974" s="1" t="n">
        <v>45658</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50489-2023</t>
        </is>
      </c>
      <c r="B975" s="1" t="n">
        <v>45217</v>
      </c>
      <c r="C975" s="1" t="n">
        <v>45658</v>
      </c>
      <c r="D975" t="inlineStr">
        <is>
          <t>VÄSTERBOTTENS LÄN</t>
        </is>
      </c>
      <c r="E975" t="inlineStr">
        <is>
          <t>VILHELMINA</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50655-2023</t>
        </is>
      </c>
      <c r="B976" s="1" t="n">
        <v>45217</v>
      </c>
      <c r="C976" s="1" t="n">
        <v>45658</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50830-2023</t>
        </is>
      </c>
      <c r="B977" s="1" t="n">
        <v>45218</v>
      </c>
      <c r="C977" s="1" t="n">
        <v>45658</v>
      </c>
      <c r="D977" t="inlineStr">
        <is>
          <t>VÄSTERBOTTENS LÄN</t>
        </is>
      </c>
      <c r="E977" t="inlineStr">
        <is>
          <t>VILHELMINA</t>
        </is>
      </c>
      <c r="F977" t="inlineStr">
        <is>
          <t>SCA</t>
        </is>
      </c>
      <c r="G977" t="n">
        <v>31.1</v>
      </c>
      <c r="H977" t="n">
        <v>0</v>
      </c>
      <c r="I977" t="n">
        <v>0</v>
      </c>
      <c r="J977" t="n">
        <v>0</v>
      </c>
      <c r="K977" t="n">
        <v>0</v>
      </c>
      <c r="L977" t="n">
        <v>0</v>
      </c>
      <c r="M977" t="n">
        <v>0</v>
      </c>
      <c r="N977" t="n">
        <v>0</v>
      </c>
      <c r="O977" t="n">
        <v>0</v>
      </c>
      <c r="P977" t="n">
        <v>0</v>
      </c>
      <c r="Q977" t="n">
        <v>0</v>
      </c>
      <c r="R977" s="2" t="inlineStr"/>
    </row>
    <row r="978" ht="15" customHeight="1">
      <c r="A978" t="inlineStr">
        <is>
          <t>A 51825-2023</t>
        </is>
      </c>
      <c r="B978" s="1" t="n">
        <v>45222</v>
      </c>
      <c r="C978" s="1" t="n">
        <v>45658</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51826-2023</t>
        </is>
      </c>
      <c r="B979" s="1" t="n">
        <v>45223</v>
      </c>
      <c r="C979" s="1" t="n">
        <v>45658</v>
      </c>
      <c r="D979" t="inlineStr">
        <is>
          <t>VÄSTERBOTTENS LÄN</t>
        </is>
      </c>
      <c r="E979" t="inlineStr">
        <is>
          <t>VILHELMINA</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52123-2023</t>
        </is>
      </c>
      <c r="B980" s="1" t="n">
        <v>45224</v>
      </c>
      <c r="C980" s="1" t="n">
        <v>45658</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52740-2023</t>
        </is>
      </c>
      <c r="B981" s="1" t="n">
        <v>45225</v>
      </c>
      <c r="C981" s="1" t="n">
        <v>45658</v>
      </c>
      <c r="D981" t="inlineStr">
        <is>
          <t>VÄSTERBOTTENS LÄN</t>
        </is>
      </c>
      <c r="E981" t="inlineStr">
        <is>
          <t>VILHELMINA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52744-2023</t>
        </is>
      </c>
      <c r="B982" s="1" t="n">
        <v>45226</v>
      </c>
      <c r="C982" s="1" t="n">
        <v>45658</v>
      </c>
      <c r="D982" t="inlineStr">
        <is>
          <t>VÄSTERBOTTENS LÄN</t>
        </is>
      </c>
      <c r="E982" t="inlineStr">
        <is>
          <t>VILHELMINA</t>
        </is>
      </c>
      <c r="F982" t="inlineStr">
        <is>
          <t>SCA</t>
        </is>
      </c>
      <c r="G982" t="n">
        <v>10.5</v>
      </c>
      <c r="H982" t="n">
        <v>0</v>
      </c>
      <c r="I982" t="n">
        <v>0</v>
      </c>
      <c r="J982" t="n">
        <v>0</v>
      </c>
      <c r="K982" t="n">
        <v>0</v>
      </c>
      <c r="L982" t="n">
        <v>0</v>
      </c>
      <c r="M982" t="n">
        <v>0</v>
      </c>
      <c r="N982" t="n">
        <v>0</v>
      </c>
      <c r="O982" t="n">
        <v>0</v>
      </c>
      <c r="P982" t="n">
        <v>0</v>
      </c>
      <c r="Q982" t="n">
        <v>0</v>
      </c>
      <c r="R982" s="2" t="inlineStr"/>
    </row>
    <row r="983" ht="15" customHeight="1">
      <c r="A983" t="inlineStr">
        <is>
          <t>A 52748-2023</t>
        </is>
      </c>
      <c r="B983" s="1" t="n">
        <v>45225</v>
      </c>
      <c r="C983" s="1" t="n">
        <v>45658</v>
      </c>
      <c r="D983" t="inlineStr">
        <is>
          <t>VÄSTERBOTTENS LÄN</t>
        </is>
      </c>
      <c r="E983" t="inlineStr">
        <is>
          <t>VILHELMINA</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52745-2023</t>
        </is>
      </c>
      <c r="B984" s="1" t="n">
        <v>45226</v>
      </c>
      <c r="C984" s="1" t="n">
        <v>45658</v>
      </c>
      <c r="D984" t="inlineStr">
        <is>
          <t>VÄSTERBOTTENS LÄN</t>
        </is>
      </c>
      <c r="E984" t="inlineStr">
        <is>
          <t>VILHELMINA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52749-2023</t>
        </is>
      </c>
      <c r="B985" s="1" t="n">
        <v>45226</v>
      </c>
      <c r="C985" s="1" t="n">
        <v>45658</v>
      </c>
      <c r="D985" t="inlineStr">
        <is>
          <t>VÄSTERBOTTENS LÄN</t>
        </is>
      </c>
      <c r="E985" t="inlineStr">
        <is>
          <t>VILHELMINA</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52746-2023</t>
        </is>
      </c>
      <c r="B986" s="1" t="n">
        <v>45226</v>
      </c>
      <c r="C986" s="1" t="n">
        <v>45658</v>
      </c>
      <c r="D986" t="inlineStr">
        <is>
          <t>VÄSTERBOTTENS LÄN</t>
        </is>
      </c>
      <c r="E986" t="inlineStr">
        <is>
          <t>VILHELMINA</t>
        </is>
      </c>
      <c r="F986" t="inlineStr">
        <is>
          <t>SCA</t>
        </is>
      </c>
      <c r="G986" t="n">
        <v>10.4</v>
      </c>
      <c r="H986" t="n">
        <v>0</v>
      </c>
      <c r="I986" t="n">
        <v>0</v>
      </c>
      <c r="J986" t="n">
        <v>0</v>
      </c>
      <c r="K986" t="n">
        <v>0</v>
      </c>
      <c r="L986" t="n">
        <v>0</v>
      </c>
      <c r="M986" t="n">
        <v>0</v>
      </c>
      <c r="N986" t="n">
        <v>0</v>
      </c>
      <c r="O986" t="n">
        <v>0</v>
      </c>
      <c r="P986" t="n">
        <v>0</v>
      </c>
      <c r="Q986" t="n">
        <v>0</v>
      </c>
      <c r="R986" s="2" t="inlineStr"/>
    </row>
    <row r="987" ht="15" customHeight="1">
      <c r="A987" t="inlineStr">
        <is>
          <t>A 52747-2023</t>
        </is>
      </c>
      <c r="B987" s="1" t="n">
        <v>45226</v>
      </c>
      <c r="C987" s="1" t="n">
        <v>45658</v>
      </c>
      <c r="D987" t="inlineStr">
        <is>
          <t>VÄSTERBOTTENS LÄN</t>
        </is>
      </c>
      <c r="E987" t="inlineStr">
        <is>
          <t>VILHELMINA</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53034-2023</t>
        </is>
      </c>
      <c r="B988" s="1" t="n">
        <v>45227</v>
      </c>
      <c r="C988" s="1" t="n">
        <v>45658</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54931-2023</t>
        </is>
      </c>
      <c r="B989" s="1" t="n">
        <v>45229</v>
      </c>
      <c r="C989" s="1" t="n">
        <v>45658</v>
      </c>
      <c r="D989" t="inlineStr">
        <is>
          <t>VÄSTERBOTTENS LÄN</t>
        </is>
      </c>
      <c r="E989" t="inlineStr">
        <is>
          <t>VILHELMINA</t>
        </is>
      </c>
      <c r="G989" t="n">
        <v>14.5</v>
      </c>
      <c r="H989" t="n">
        <v>0</v>
      </c>
      <c r="I989" t="n">
        <v>0</v>
      </c>
      <c r="J989" t="n">
        <v>0</v>
      </c>
      <c r="K989" t="n">
        <v>0</v>
      </c>
      <c r="L989" t="n">
        <v>0</v>
      </c>
      <c r="M989" t="n">
        <v>0</v>
      </c>
      <c r="N989" t="n">
        <v>0</v>
      </c>
      <c r="O989" t="n">
        <v>0</v>
      </c>
      <c r="P989" t="n">
        <v>0</v>
      </c>
      <c r="Q989" t="n">
        <v>0</v>
      </c>
      <c r="R989" s="2" t="inlineStr"/>
    </row>
    <row r="990" ht="15" customHeight="1">
      <c r="A990" t="inlineStr">
        <is>
          <t>A 55051-2023</t>
        </is>
      </c>
      <c r="B990" s="1" t="n">
        <v>45229</v>
      </c>
      <c r="C990" s="1" t="n">
        <v>45658</v>
      </c>
      <c r="D990" t="inlineStr">
        <is>
          <t>VÄSTERBOTTENS LÄN</t>
        </is>
      </c>
      <c r="E990" t="inlineStr">
        <is>
          <t>VILHELMINA</t>
        </is>
      </c>
      <c r="G990" t="n">
        <v>12.1</v>
      </c>
      <c r="H990" t="n">
        <v>0</v>
      </c>
      <c r="I990" t="n">
        <v>0</v>
      </c>
      <c r="J990" t="n">
        <v>0</v>
      </c>
      <c r="K990" t="n">
        <v>0</v>
      </c>
      <c r="L990" t="n">
        <v>0</v>
      </c>
      <c r="M990" t="n">
        <v>0</v>
      </c>
      <c r="N990" t="n">
        <v>0</v>
      </c>
      <c r="O990" t="n">
        <v>0</v>
      </c>
      <c r="P990" t="n">
        <v>0</v>
      </c>
      <c r="Q990" t="n">
        <v>0</v>
      </c>
      <c r="R990" s="2" t="inlineStr"/>
    </row>
    <row r="991" ht="15" customHeight="1">
      <c r="A991" t="inlineStr">
        <is>
          <t>A 55200-2023</t>
        </is>
      </c>
      <c r="B991" s="1" t="n">
        <v>45230</v>
      </c>
      <c r="C991" s="1" t="n">
        <v>45658</v>
      </c>
      <c r="D991" t="inlineStr">
        <is>
          <t>VÄSTERBOTTENS LÄN</t>
        </is>
      </c>
      <c r="E991" t="inlineStr">
        <is>
          <t>VILHELMINA</t>
        </is>
      </c>
      <c r="G991" t="n">
        <v>20.8</v>
      </c>
      <c r="H991" t="n">
        <v>0</v>
      </c>
      <c r="I991" t="n">
        <v>0</v>
      </c>
      <c r="J991" t="n">
        <v>0</v>
      </c>
      <c r="K991" t="n">
        <v>0</v>
      </c>
      <c r="L991" t="n">
        <v>0</v>
      </c>
      <c r="M991" t="n">
        <v>0</v>
      </c>
      <c r="N991" t="n">
        <v>0</v>
      </c>
      <c r="O991" t="n">
        <v>0</v>
      </c>
      <c r="P991" t="n">
        <v>0</v>
      </c>
      <c r="Q991" t="n">
        <v>0</v>
      </c>
      <c r="R991" s="2" t="inlineStr"/>
    </row>
    <row r="992" ht="15" customHeight="1">
      <c r="A992" t="inlineStr">
        <is>
          <t>A 55159-2023</t>
        </is>
      </c>
      <c r="B992" s="1" t="n">
        <v>45230</v>
      </c>
      <c r="C992" s="1" t="n">
        <v>45658</v>
      </c>
      <c r="D992" t="inlineStr">
        <is>
          <t>VÄSTERBOTTENS LÄN</t>
        </is>
      </c>
      <c r="E992" t="inlineStr">
        <is>
          <t>VILHELMINA</t>
        </is>
      </c>
      <c r="G992" t="n">
        <v>24.4</v>
      </c>
      <c r="H992" t="n">
        <v>0</v>
      </c>
      <c r="I992" t="n">
        <v>0</v>
      </c>
      <c r="J992" t="n">
        <v>0</v>
      </c>
      <c r="K992" t="n">
        <v>0</v>
      </c>
      <c r="L992" t="n">
        <v>0</v>
      </c>
      <c r="M992" t="n">
        <v>0</v>
      </c>
      <c r="N992" t="n">
        <v>0</v>
      </c>
      <c r="O992" t="n">
        <v>0</v>
      </c>
      <c r="P992" t="n">
        <v>0</v>
      </c>
      <c r="Q992" t="n">
        <v>0</v>
      </c>
      <c r="R992" s="2" t="inlineStr"/>
    </row>
    <row r="993" ht="15" customHeight="1">
      <c r="A993" t="inlineStr">
        <is>
          <t>A 54316-2023</t>
        </is>
      </c>
      <c r="B993" s="1" t="n">
        <v>45232</v>
      </c>
      <c r="C993" s="1" t="n">
        <v>45658</v>
      </c>
      <c r="D993" t="inlineStr">
        <is>
          <t>VÄSTERBOTTENS LÄN</t>
        </is>
      </c>
      <c r="E993" t="inlineStr">
        <is>
          <t>VILHELMINA</t>
        </is>
      </c>
      <c r="G993" t="n">
        <v>4.1</v>
      </c>
      <c r="H993" t="n">
        <v>0</v>
      </c>
      <c r="I993" t="n">
        <v>0</v>
      </c>
      <c r="J993" t="n">
        <v>0</v>
      </c>
      <c r="K993" t="n">
        <v>0</v>
      </c>
      <c r="L993" t="n">
        <v>0</v>
      </c>
      <c r="M993" t="n">
        <v>0</v>
      </c>
      <c r="N993" t="n">
        <v>0</v>
      </c>
      <c r="O993" t="n">
        <v>0</v>
      </c>
      <c r="P993" t="n">
        <v>0</v>
      </c>
      <c r="Q993" t="n">
        <v>0</v>
      </c>
      <c r="R993" s="2" t="inlineStr"/>
    </row>
    <row r="994" ht="15" customHeight="1">
      <c r="A994" t="inlineStr">
        <is>
          <t>A 55714-2023</t>
        </is>
      </c>
      <c r="B994" s="1" t="n">
        <v>45232</v>
      </c>
      <c r="C994" s="1" t="n">
        <v>45658</v>
      </c>
      <c r="D994" t="inlineStr">
        <is>
          <t>VÄSTERBOTTENS LÄN</t>
        </is>
      </c>
      <c r="E994" t="inlineStr">
        <is>
          <t>VILHELMINA</t>
        </is>
      </c>
      <c r="G994" t="n">
        <v>1.8</v>
      </c>
      <c r="H994" t="n">
        <v>0</v>
      </c>
      <c r="I994" t="n">
        <v>0</v>
      </c>
      <c r="J994" t="n">
        <v>0</v>
      </c>
      <c r="K994" t="n">
        <v>0</v>
      </c>
      <c r="L994" t="n">
        <v>0</v>
      </c>
      <c r="M994" t="n">
        <v>0</v>
      </c>
      <c r="N994" t="n">
        <v>0</v>
      </c>
      <c r="O994" t="n">
        <v>0</v>
      </c>
      <c r="P994" t="n">
        <v>0</v>
      </c>
      <c r="Q994" t="n">
        <v>0</v>
      </c>
      <c r="R994" s="2" t="inlineStr"/>
    </row>
    <row r="995" ht="15" customHeight="1">
      <c r="A995" t="inlineStr">
        <is>
          <t>A 55688-2023</t>
        </is>
      </c>
      <c r="B995" s="1" t="n">
        <v>45232</v>
      </c>
      <c r="C995" s="1" t="n">
        <v>45658</v>
      </c>
      <c r="D995" t="inlineStr">
        <is>
          <t>VÄSTERBOTTENS LÄN</t>
        </is>
      </c>
      <c r="E995" t="inlineStr">
        <is>
          <t>VILHELMINA</t>
        </is>
      </c>
      <c r="G995" t="n">
        <v>6.4</v>
      </c>
      <c r="H995" t="n">
        <v>0</v>
      </c>
      <c r="I995" t="n">
        <v>0</v>
      </c>
      <c r="J995" t="n">
        <v>0</v>
      </c>
      <c r="K995" t="n">
        <v>0</v>
      </c>
      <c r="L995" t="n">
        <v>0</v>
      </c>
      <c r="M995" t="n">
        <v>0</v>
      </c>
      <c r="N995" t="n">
        <v>0</v>
      </c>
      <c r="O995" t="n">
        <v>0</v>
      </c>
      <c r="P995" t="n">
        <v>0</v>
      </c>
      <c r="Q995" t="n">
        <v>0</v>
      </c>
      <c r="R995" s="2" t="inlineStr"/>
    </row>
    <row r="996" ht="15" customHeight="1">
      <c r="A996" t="inlineStr">
        <is>
          <t>A 55722-2023</t>
        </is>
      </c>
      <c r="B996" s="1" t="n">
        <v>45232</v>
      </c>
      <c r="C996" s="1" t="n">
        <v>45658</v>
      </c>
      <c r="D996" t="inlineStr">
        <is>
          <t>VÄSTERBOTTENS LÄN</t>
        </is>
      </c>
      <c r="E996" t="inlineStr">
        <is>
          <t>VILHELMINA</t>
        </is>
      </c>
      <c r="G996" t="n">
        <v>5.8</v>
      </c>
      <c r="H996" t="n">
        <v>0</v>
      </c>
      <c r="I996" t="n">
        <v>0</v>
      </c>
      <c r="J996" t="n">
        <v>0</v>
      </c>
      <c r="K996" t="n">
        <v>0</v>
      </c>
      <c r="L996" t="n">
        <v>0</v>
      </c>
      <c r="M996" t="n">
        <v>0</v>
      </c>
      <c r="N996" t="n">
        <v>0</v>
      </c>
      <c r="O996" t="n">
        <v>0</v>
      </c>
      <c r="P996" t="n">
        <v>0</v>
      </c>
      <c r="Q996" t="n">
        <v>0</v>
      </c>
      <c r="R996" s="2" t="inlineStr"/>
    </row>
    <row r="997" ht="15" customHeight="1">
      <c r="A997" t="inlineStr">
        <is>
          <t>A 55706-2023</t>
        </is>
      </c>
      <c r="B997" s="1" t="n">
        <v>45232</v>
      </c>
      <c r="C997" s="1" t="n">
        <v>45658</v>
      </c>
      <c r="D997" t="inlineStr">
        <is>
          <t>VÄSTERBOTTENS LÄN</t>
        </is>
      </c>
      <c r="E997" t="inlineStr">
        <is>
          <t>VILHELMINA</t>
        </is>
      </c>
      <c r="G997" t="n">
        <v>17.3</v>
      </c>
      <c r="H997" t="n">
        <v>0</v>
      </c>
      <c r="I997" t="n">
        <v>0</v>
      </c>
      <c r="J997" t="n">
        <v>0</v>
      </c>
      <c r="K997" t="n">
        <v>0</v>
      </c>
      <c r="L997" t="n">
        <v>0</v>
      </c>
      <c r="M997" t="n">
        <v>0</v>
      </c>
      <c r="N997" t="n">
        <v>0</v>
      </c>
      <c r="O997" t="n">
        <v>0</v>
      </c>
      <c r="P997" t="n">
        <v>0</v>
      </c>
      <c r="Q997" t="n">
        <v>0</v>
      </c>
      <c r="R997" s="2" t="inlineStr"/>
    </row>
    <row r="998" ht="15" customHeight="1">
      <c r="A998" t="inlineStr">
        <is>
          <t>A 54601-2023</t>
        </is>
      </c>
      <c r="B998" s="1" t="n">
        <v>45233</v>
      </c>
      <c r="C998" s="1" t="n">
        <v>45658</v>
      </c>
      <c r="D998" t="inlineStr">
        <is>
          <t>VÄSTERBOTTENS LÄN</t>
        </is>
      </c>
      <c r="E998" t="inlineStr">
        <is>
          <t>VILHELMINA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54733-2023</t>
        </is>
      </c>
      <c r="B999" s="1" t="n">
        <v>45236</v>
      </c>
      <c r="C999" s="1" t="n">
        <v>45658</v>
      </c>
      <c r="D999" t="inlineStr">
        <is>
          <t>VÄSTERBOTTENS LÄN</t>
        </is>
      </c>
      <c r="E999" t="inlineStr">
        <is>
          <t>VILHELMINA</t>
        </is>
      </c>
      <c r="F999" t="inlineStr">
        <is>
          <t>Sveaskog</t>
        </is>
      </c>
      <c r="G999" t="n">
        <v>7.1</v>
      </c>
      <c r="H999" t="n">
        <v>0</v>
      </c>
      <c r="I999" t="n">
        <v>0</v>
      </c>
      <c r="J999" t="n">
        <v>0</v>
      </c>
      <c r="K999" t="n">
        <v>0</v>
      </c>
      <c r="L999" t="n">
        <v>0</v>
      </c>
      <c r="M999" t="n">
        <v>0</v>
      </c>
      <c r="N999" t="n">
        <v>0</v>
      </c>
      <c r="O999" t="n">
        <v>0</v>
      </c>
      <c r="P999" t="n">
        <v>0</v>
      </c>
      <c r="Q999" t="n">
        <v>0</v>
      </c>
      <c r="R999" s="2" t="inlineStr"/>
    </row>
    <row r="1000" ht="15" customHeight="1">
      <c r="A1000" t="inlineStr">
        <is>
          <t>A 54983-2023</t>
        </is>
      </c>
      <c r="B1000" s="1" t="n">
        <v>45237</v>
      </c>
      <c r="C1000" s="1" t="n">
        <v>45658</v>
      </c>
      <c r="D1000" t="inlineStr">
        <is>
          <t>VÄSTERBOTTENS LÄN</t>
        </is>
      </c>
      <c r="E1000" t="inlineStr">
        <is>
          <t>VILHELMINA</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54984-2023</t>
        </is>
      </c>
      <c r="B1001" s="1" t="n">
        <v>45236</v>
      </c>
      <c r="C1001" s="1" t="n">
        <v>45658</v>
      </c>
      <c r="D1001" t="inlineStr">
        <is>
          <t>VÄSTERBOTTENS LÄN</t>
        </is>
      </c>
      <c r="E1001" t="inlineStr">
        <is>
          <t>VILHELMINA</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54981-2023</t>
        </is>
      </c>
      <c r="B1002" s="1" t="n">
        <v>45237</v>
      </c>
      <c r="C1002" s="1" t="n">
        <v>45658</v>
      </c>
      <c r="D1002" t="inlineStr">
        <is>
          <t>VÄSTERBOTTENS LÄN</t>
        </is>
      </c>
      <c r="E1002" t="inlineStr">
        <is>
          <t>VILHELMINA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54985-2023</t>
        </is>
      </c>
      <c r="B1003" s="1" t="n">
        <v>45236</v>
      </c>
      <c r="C1003" s="1" t="n">
        <v>45658</v>
      </c>
      <c r="D1003" t="inlineStr">
        <is>
          <t>VÄSTERBOTTENS LÄN</t>
        </is>
      </c>
      <c r="E1003" t="inlineStr">
        <is>
          <t>VILHELMINA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55325-2023</t>
        </is>
      </c>
      <c r="B1004" s="1" t="n">
        <v>45237</v>
      </c>
      <c r="C1004" s="1" t="n">
        <v>45658</v>
      </c>
      <c r="D1004" t="inlineStr">
        <is>
          <t>VÄSTERBOTTENS LÄN</t>
        </is>
      </c>
      <c r="E1004" t="inlineStr">
        <is>
          <t>VILHELMINA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55326-2023</t>
        </is>
      </c>
      <c r="B1005" s="1" t="n">
        <v>45238</v>
      </c>
      <c r="C1005" s="1" t="n">
        <v>45658</v>
      </c>
      <c r="D1005" t="inlineStr">
        <is>
          <t>VÄSTERBOTTENS LÄN</t>
        </is>
      </c>
      <c r="E1005" t="inlineStr">
        <is>
          <t>VILHELMINA</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55327-2023</t>
        </is>
      </c>
      <c r="B1006" s="1" t="n">
        <v>45238</v>
      </c>
      <c r="C1006" s="1" t="n">
        <v>45658</v>
      </c>
      <c r="D1006" t="inlineStr">
        <is>
          <t>VÄSTERBOTTENS LÄN</t>
        </is>
      </c>
      <c r="E1006" t="inlineStr">
        <is>
          <t>VILHELMINA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55335-2023</t>
        </is>
      </c>
      <c r="B1007" s="1" t="n">
        <v>45238</v>
      </c>
      <c r="C1007" s="1" t="n">
        <v>45658</v>
      </c>
      <c r="D1007" t="inlineStr">
        <is>
          <t>VÄSTERBOTTENS LÄN</t>
        </is>
      </c>
      <c r="E1007" t="inlineStr">
        <is>
          <t>VILHELMINA</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56754-2023</t>
        </is>
      </c>
      <c r="B1008" s="1" t="n">
        <v>45238</v>
      </c>
      <c r="C1008" s="1" t="n">
        <v>45658</v>
      </c>
      <c r="D1008" t="inlineStr">
        <is>
          <t>VÄSTERBOTTENS LÄN</t>
        </is>
      </c>
      <c r="E1008" t="inlineStr">
        <is>
          <t>VILHELMINA</t>
        </is>
      </c>
      <c r="F1008" t="inlineStr">
        <is>
          <t>Allmännings- och besparingsskogar</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56763-2023</t>
        </is>
      </c>
      <c r="B1009" s="1" t="n">
        <v>45238</v>
      </c>
      <c r="C1009" s="1" t="n">
        <v>45658</v>
      </c>
      <c r="D1009" t="inlineStr">
        <is>
          <t>VÄSTERBOTTENS LÄN</t>
        </is>
      </c>
      <c r="E1009" t="inlineStr">
        <is>
          <t>VILHELMINA</t>
        </is>
      </c>
      <c r="F1009" t="inlineStr">
        <is>
          <t>Allmännings- och besparingsskogar</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56823-2023</t>
        </is>
      </c>
      <c r="B1010" s="1" t="n">
        <v>45238</v>
      </c>
      <c r="C1010" s="1" t="n">
        <v>45658</v>
      </c>
      <c r="D1010" t="inlineStr">
        <is>
          <t>VÄSTERBOTTENS LÄN</t>
        </is>
      </c>
      <c r="E1010" t="inlineStr">
        <is>
          <t>VILHELMINA</t>
        </is>
      </c>
      <c r="F1010" t="inlineStr">
        <is>
          <t>Allmännings- och besparingsskogar</t>
        </is>
      </c>
      <c r="G1010" t="n">
        <v>81.40000000000001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56847-2023</t>
        </is>
      </c>
      <c r="B1011" s="1" t="n">
        <v>45238</v>
      </c>
      <c r="C1011" s="1" t="n">
        <v>45658</v>
      </c>
      <c r="D1011" t="inlineStr">
        <is>
          <t>VÄSTERBOTTENS LÄN</t>
        </is>
      </c>
      <c r="E1011" t="inlineStr">
        <is>
          <t>VILHELMINA</t>
        </is>
      </c>
      <c r="F1011" t="inlineStr">
        <is>
          <t>Allmännings- och besparingsskogar</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56758-2023</t>
        </is>
      </c>
      <c r="B1012" s="1" t="n">
        <v>45238</v>
      </c>
      <c r="C1012" s="1" t="n">
        <v>45658</v>
      </c>
      <c r="D1012" t="inlineStr">
        <is>
          <t>VÄSTERBOTTENS LÄN</t>
        </is>
      </c>
      <c r="E1012" t="inlineStr">
        <is>
          <t>VILHELMINA</t>
        </is>
      </c>
      <c r="F1012" t="inlineStr">
        <is>
          <t>Allmännings- och besparingsskogar</t>
        </is>
      </c>
      <c r="G1012" t="n">
        <v>371.4</v>
      </c>
      <c r="H1012" t="n">
        <v>0</v>
      </c>
      <c r="I1012" t="n">
        <v>0</v>
      </c>
      <c r="J1012" t="n">
        <v>0</v>
      </c>
      <c r="K1012" t="n">
        <v>0</v>
      </c>
      <c r="L1012" t="n">
        <v>0</v>
      </c>
      <c r="M1012" t="n">
        <v>0</v>
      </c>
      <c r="N1012" t="n">
        <v>0</v>
      </c>
      <c r="O1012" t="n">
        <v>0</v>
      </c>
      <c r="P1012" t="n">
        <v>0</v>
      </c>
      <c r="Q1012" t="n">
        <v>0</v>
      </c>
      <c r="R1012" s="2" t="inlineStr"/>
    </row>
    <row r="1013" ht="15" customHeight="1">
      <c r="A1013" t="inlineStr">
        <is>
          <t>A 56830-2023</t>
        </is>
      </c>
      <c r="B1013" s="1" t="n">
        <v>45238</v>
      </c>
      <c r="C1013" s="1" t="n">
        <v>45658</v>
      </c>
      <c r="D1013" t="inlineStr">
        <is>
          <t>VÄSTERBOTTENS LÄN</t>
        </is>
      </c>
      <c r="E1013" t="inlineStr">
        <is>
          <t>VILHELMINA</t>
        </is>
      </c>
      <c r="F1013" t="inlineStr">
        <is>
          <t>Allmännings- och besparingsskogar</t>
        </is>
      </c>
      <c r="G1013" t="n">
        <v>66.90000000000001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55643-2023</t>
        </is>
      </c>
      <c r="B1014" s="1" t="n">
        <v>45238</v>
      </c>
      <c r="C1014" s="1" t="n">
        <v>45658</v>
      </c>
      <c r="D1014" t="inlineStr">
        <is>
          <t>VÄSTERBOTTENS LÄN</t>
        </is>
      </c>
      <c r="E1014" t="inlineStr">
        <is>
          <t>VILHELMINA</t>
        </is>
      </c>
      <c r="G1014" t="n">
        <v>23.1</v>
      </c>
      <c r="H1014" t="n">
        <v>0</v>
      </c>
      <c r="I1014" t="n">
        <v>0</v>
      </c>
      <c r="J1014" t="n">
        <v>0</v>
      </c>
      <c r="K1014" t="n">
        <v>0</v>
      </c>
      <c r="L1014" t="n">
        <v>0</v>
      </c>
      <c r="M1014" t="n">
        <v>0</v>
      </c>
      <c r="N1014" t="n">
        <v>0</v>
      </c>
      <c r="O1014" t="n">
        <v>0</v>
      </c>
      <c r="P1014" t="n">
        <v>0</v>
      </c>
      <c r="Q1014" t="n">
        <v>0</v>
      </c>
      <c r="R1014" s="2" t="inlineStr"/>
    </row>
    <row r="1015" ht="15" customHeight="1">
      <c r="A1015" t="inlineStr">
        <is>
          <t>A 56747-2023</t>
        </is>
      </c>
      <c r="B1015" s="1" t="n">
        <v>45238</v>
      </c>
      <c r="C1015" s="1" t="n">
        <v>45658</v>
      </c>
      <c r="D1015" t="inlineStr">
        <is>
          <t>VÄSTERBOTTENS LÄN</t>
        </is>
      </c>
      <c r="E1015" t="inlineStr">
        <is>
          <t>VILHELMINA</t>
        </is>
      </c>
      <c r="F1015" t="inlineStr">
        <is>
          <t>Allmännings- och besparingsskogar</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57137-2023</t>
        </is>
      </c>
      <c r="B1016" s="1" t="n">
        <v>45239</v>
      </c>
      <c r="C1016" s="1" t="n">
        <v>45658</v>
      </c>
      <c r="D1016" t="inlineStr">
        <is>
          <t>VÄSTERBOTTENS LÄN</t>
        </is>
      </c>
      <c r="E1016" t="inlineStr">
        <is>
          <t>VILHELMINA</t>
        </is>
      </c>
      <c r="G1016" t="n">
        <v>38.8</v>
      </c>
      <c r="H1016" t="n">
        <v>0</v>
      </c>
      <c r="I1016" t="n">
        <v>0</v>
      </c>
      <c r="J1016" t="n">
        <v>0</v>
      </c>
      <c r="K1016" t="n">
        <v>0</v>
      </c>
      <c r="L1016" t="n">
        <v>0</v>
      </c>
      <c r="M1016" t="n">
        <v>0</v>
      </c>
      <c r="N1016" t="n">
        <v>0</v>
      </c>
      <c r="O1016" t="n">
        <v>0</v>
      </c>
      <c r="P1016" t="n">
        <v>0</v>
      </c>
      <c r="Q1016" t="n">
        <v>0</v>
      </c>
      <c r="R1016" s="2" t="inlineStr"/>
    </row>
    <row r="1017" ht="15" customHeight="1">
      <c r="A1017" t="inlineStr">
        <is>
          <t>A 57108-2023</t>
        </is>
      </c>
      <c r="B1017" s="1" t="n">
        <v>45239</v>
      </c>
      <c r="C1017" s="1" t="n">
        <v>45658</v>
      </c>
      <c r="D1017" t="inlineStr">
        <is>
          <t>VÄSTERBOTTENS LÄN</t>
        </is>
      </c>
      <c r="E1017" t="inlineStr">
        <is>
          <t>VILHELMINA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56891-2023</t>
        </is>
      </c>
      <c r="B1018" s="1" t="n">
        <v>45239</v>
      </c>
      <c r="C1018" s="1" t="n">
        <v>45658</v>
      </c>
      <c r="D1018" t="inlineStr">
        <is>
          <t>VÄSTERBOTTENS LÄN</t>
        </is>
      </c>
      <c r="E1018" t="inlineStr">
        <is>
          <t>VILHELMINA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57123-2023</t>
        </is>
      </c>
      <c r="B1019" s="1" t="n">
        <v>45239</v>
      </c>
      <c r="C1019" s="1" t="n">
        <v>45658</v>
      </c>
      <c r="D1019" t="inlineStr">
        <is>
          <t>VÄSTERBOTTENS LÄN</t>
        </is>
      </c>
      <c r="E1019" t="inlineStr">
        <is>
          <t>VILHELMINA</t>
        </is>
      </c>
      <c r="G1019" t="n">
        <v>16.1</v>
      </c>
      <c r="H1019" t="n">
        <v>0</v>
      </c>
      <c r="I1019" t="n">
        <v>0</v>
      </c>
      <c r="J1019" t="n">
        <v>0</v>
      </c>
      <c r="K1019" t="n">
        <v>0</v>
      </c>
      <c r="L1019" t="n">
        <v>0</v>
      </c>
      <c r="M1019" t="n">
        <v>0</v>
      </c>
      <c r="N1019" t="n">
        <v>0</v>
      </c>
      <c r="O1019" t="n">
        <v>0</v>
      </c>
      <c r="P1019" t="n">
        <v>0</v>
      </c>
      <c r="Q1019" t="n">
        <v>0</v>
      </c>
      <c r="R1019" s="2" t="inlineStr"/>
    </row>
    <row r="1020" ht="15" customHeight="1">
      <c r="A1020" t="inlineStr">
        <is>
          <t>A 57246-2023</t>
        </is>
      </c>
      <c r="B1020" s="1" t="n">
        <v>45239</v>
      </c>
      <c r="C1020" s="1" t="n">
        <v>45658</v>
      </c>
      <c r="D1020" t="inlineStr">
        <is>
          <t>VÄSTERBOTTENS LÄN</t>
        </is>
      </c>
      <c r="E1020" t="inlineStr">
        <is>
          <t>VILHELMINA</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56245-2023</t>
        </is>
      </c>
      <c r="B1021" s="1" t="n">
        <v>45240</v>
      </c>
      <c r="C1021" s="1" t="n">
        <v>45658</v>
      </c>
      <c r="D1021" t="inlineStr">
        <is>
          <t>VÄSTERBOTTENS LÄN</t>
        </is>
      </c>
      <c r="E1021" t="inlineStr">
        <is>
          <t>VILHELMINA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56246-2023</t>
        </is>
      </c>
      <c r="B1022" s="1" t="n">
        <v>45240</v>
      </c>
      <c r="C1022" s="1" t="n">
        <v>45658</v>
      </c>
      <c r="D1022" t="inlineStr">
        <is>
          <t>VÄSTERBOTTENS LÄN</t>
        </is>
      </c>
      <c r="E1022" t="inlineStr">
        <is>
          <t>VILHELMINA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56236-2023</t>
        </is>
      </c>
      <c r="B1023" s="1" t="n">
        <v>45240</v>
      </c>
      <c r="C1023" s="1" t="n">
        <v>45658</v>
      </c>
      <c r="D1023" t="inlineStr">
        <is>
          <t>VÄSTERBOTTENS LÄN</t>
        </is>
      </c>
      <c r="E1023" t="inlineStr">
        <is>
          <t>VILHELMINA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56235-2023</t>
        </is>
      </c>
      <c r="B1024" s="1" t="n">
        <v>45240</v>
      </c>
      <c r="C1024" s="1" t="n">
        <v>45658</v>
      </c>
      <c r="D1024" t="inlineStr">
        <is>
          <t>VÄSTERBOTTENS LÄN</t>
        </is>
      </c>
      <c r="E1024" t="inlineStr">
        <is>
          <t>VILHELMINA</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56617-2023</t>
        </is>
      </c>
      <c r="B1025" s="1" t="n">
        <v>45243</v>
      </c>
      <c r="C1025" s="1" t="n">
        <v>45658</v>
      </c>
      <c r="D1025" t="inlineStr">
        <is>
          <t>VÄSTERBOTTENS LÄN</t>
        </is>
      </c>
      <c r="E1025" t="inlineStr">
        <is>
          <t>VILHELMINA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56622-2023</t>
        </is>
      </c>
      <c r="B1026" s="1" t="n">
        <v>45243</v>
      </c>
      <c r="C1026" s="1" t="n">
        <v>45658</v>
      </c>
      <c r="D1026" t="inlineStr">
        <is>
          <t>VÄSTERBOTTENS LÄN</t>
        </is>
      </c>
      <c r="E1026" t="inlineStr">
        <is>
          <t>VILHELMINA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57691-2023</t>
        </is>
      </c>
      <c r="B1027" s="1" t="n">
        <v>45243</v>
      </c>
      <c r="C1027" s="1" t="n">
        <v>45658</v>
      </c>
      <c r="D1027" t="inlineStr">
        <is>
          <t>VÄSTERBOTTENS LÄN</t>
        </is>
      </c>
      <c r="E1027" t="inlineStr">
        <is>
          <t>VILHELMINA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57058-2023</t>
        </is>
      </c>
      <c r="B1028" s="1" t="n">
        <v>45244</v>
      </c>
      <c r="C1028" s="1" t="n">
        <v>45658</v>
      </c>
      <c r="D1028" t="inlineStr">
        <is>
          <t>VÄSTERBOTTENS LÄN</t>
        </is>
      </c>
      <c r="E1028" t="inlineStr">
        <is>
          <t>VILHELMINA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57057-2023</t>
        </is>
      </c>
      <c r="B1029" s="1" t="n">
        <v>45244</v>
      </c>
      <c r="C1029" s="1" t="n">
        <v>45658</v>
      </c>
      <c r="D1029" t="inlineStr">
        <is>
          <t>VÄSTERBOTTENS LÄN</t>
        </is>
      </c>
      <c r="E1029" t="inlineStr">
        <is>
          <t>VILHELMINA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58362-2023</t>
        </is>
      </c>
      <c r="B1030" s="1" t="n">
        <v>45245</v>
      </c>
      <c r="C1030" s="1" t="n">
        <v>45658</v>
      </c>
      <c r="D1030" t="inlineStr">
        <is>
          <t>VÄSTERBOTTENS LÄN</t>
        </is>
      </c>
      <c r="E1030" t="inlineStr">
        <is>
          <t>VILHELMINA</t>
        </is>
      </c>
      <c r="G1030" t="n">
        <v>13.6</v>
      </c>
      <c r="H1030" t="n">
        <v>0</v>
      </c>
      <c r="I1030" t="n">
        <v>0</v>
      </c>
      <c r="J1030" t="n">
        <v>0</v>
      </c>
      <c r="K1030" t="n">
        <v>0</v>
      </c>
      <c r="L1030" t="n">
        <v>0</v>
      </c>
      <c r="M1030" t="n">
        <v>0</v>
      </c>
      <c r="N1030" t="n">
        <v>0</v>
      </c>
      <c r="O1030" t="n">
        <v>0</v>
      </c>
      <c r="P1030" t="n">
        <v>0</v>
      </c>
      <c r="Q1030" t="n">
        <v>0</v>
      </c>
      <c r="R1030" s="2" t="inlineStr"/>
    </row>
    <row r="1031" ht="15" customHeight="1">
      <c r="A1031" t="inlineStr">
        <is>
          <t>A 57795-2023</t>
        </is>
      </c>
      <c r="B1031" s="1" t="n">
        <v>45247</v>
      </c>
      <c r="C1031" s="1" t="n">
        <v>45658</v>
      </c>
      <c r="D1031" t="inlineStr">
        <is>
          <t>VÄSTERBOTTENS LÄN</t>
        </is>
      </c>
      <c r="E1031" t="inlineStr">
        <is>
          <t>VILHELMINA</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58833-2023</t>
        </is>
      </c>
      <c r="B1032" s="1" t="n">
        <v>45248</v>
      </c>
      <c r="C1032" s="1" t="n">
        <v>45658</v>
      </c>
      <c r="D1032" t="inlineStr">
        <is>
          <t>VÄSTERBOTTENS LÄN</t>
        </is>
      </c>
      <c r="E1032" t="inlineStr">
        <is>
          <t>VILHELMINA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58456-2023</t>
        </is>
      </c>
      <c r="B1033" s="1" t="n">
        <v>45251</v>
      </c>
      <c r="C1033" s="1" t="n">
        <v>45658</v>
      </c>
      <c r="D1033" t="inlineStr">
        <is>
          <t>VÄSTERBOTTENS LÄN</t>
        </is>
      </c>
      <c r="E1033" t="inlineStr">
        <is>
          <t>VILHELMINA</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58756-2023</t>
        </is>
      </c>
      <c r="B1034" s="1" t="n">
        <v>45251</v>
      </c>
      <c r="C1034" s="1" t="n">
        <v>45658</v>
      </c>
      <c r="D1034" t="inlineStr">
        <is>
          <t>VÄSTERBOTTENS LÄN</t>
        </is>
      </c>
      <c r="E1034" t="inlineStr">
        <is>
          <t>VILHELMINA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59117-2023</t>
        </is>
      </c>
      <c r="B1035" s="1" t="n">
        <v>45251</v>
      </c>
      <c r="C1035" s="1" t="n">
        <v>45658</v>
      </c>
      <c r="D1035" t="inlineStr">
        <is>
          <t>VÄSTERBOTTENS LÄN</t>
        </is>
      </c>
      <c r="E1035" t="inlineStr">
        <is>
          <t>VILHELMINA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58749-2023</t>
        </is>
      </c>
      <c r="B1036" s="1" t="n">
        <v>45251</v>
      </c>
      <c r="C1036" s="1" t="n">
        <v>45658</v>
      </c>
      <c r="D1036" t="inlineStr">
        <is>
          <t>VÄSTERBOTTENS LÄN</t>
        </is>
      </c>
      <c r="E1036" t="inlineStr">
        <is>
          <t>VILHELMINA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59110-2023</t>
        </is>
      </c>
      <c r="B1037" s="1" t="n">
        <v>45251</v>
      </c>
      <c r="C1037" s="1" t="n">
        <v>45658</v>
      </c>
      <c r="D1037" t="inlineStr">
        <is>
          <t>VÄSTERBOTTENS LÄN</t>
        </is>
      </c>
      <c r="E1037" t="inlineStr">
        <is>
          <t>VILHELMINA</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59083-2023</t>
        </is>
      </c>
      <c r="B1038" s="1" t="n">
        <v>45252</v>
      </c>
      <c r="C1038" s="1" t="n">
        <v>45658</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60035-2023</t>
        </is>
      </c>
      <c r="B1039" s="1" t="n">
        <v>45254</v>
      </c>
      <c r="C1039" s="1" t="n">
        <v>45658</v>
      </c>
      <c r="D1039" t="inlineStr">
        <is>
          <t>VÄSTERBOTTENS LÄN</t>
        </is>
      </c>
      <c r="E1039" t="inlineStr">
        <is>
          <t>VILHELMINA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59663-2023</t>
        </is>
      </c>
      <c r="B1040" s="1" t="n">
        <v>45254</v>
      </c>
      <c r="C1040" s="1" t="n">
        <v>45658</v>
      </c>
      <c r="D1040" t="inlineStr">
        <is>
          <t>VÄSTERBOTTENS LÄN</t>
        </is>
      </c>
      <c r="E1040" t="inlineStr">
        <is>
          <t>VILHELMINA</t>
        </is>
      </c>
      <c r="F1040" t="inlineStr">
        <is>
          <t>SCA</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59671-2023</t>
        </is>
      </c>
      <c r="B1041" s="1" t="n">
        <v>45255</v>
      </c>
      <c r="C1041" s="1" t="n">
        <v>45658</v>
      </c>
      <c r="D1041" t="inlineStr">
        <is>
          <t>VÄSTERBOTTENS LÄN</t>
        </is>
      </c>
      <c r="E1041" t="inlineStr">
        <is>
          <t>VILHELMINA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60782-2023</t>
        </is>
      </c>
      <c r="B1042" s="1" t="n">
        <v>45259</v>
      </c>
      <c r="C1042" s="1" t="n">
        <v>45658</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60842-2023</t>
        </is>
      </c>
      <c r="B1043" s="1" t="n">
        <v>45260</v>
      </c>
      <c r="C1043" s="1" t="n">
        <v>45658</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60841-2023</t>
        </is>
      </c>
      <c r="B1044" s="1" t="n">
        <v>45260</v>
      </c>
      <c r="C1044" s="1" t="n">
        <v>45658</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61778-2023</t>
        </is>
      </c>
      <c r="B1045" s="1" t="n">
        <v>45265</v>
      </c>
      <c r="C1045" s="1" t="n">
        <v>45658</v>
      </c>
      <c r="D1045" t="inlineStr">
        <is>
          <t>VÄSTERBOTTENS LÄN</t>
        </is>
      </c>
      <c r="E1045" t="inlineStr">
        <is>
          <t>VILHELMINA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61777-2023</t>
        </is>
      </c>
      <c r="B1046" s="1" t="n">
        <v>45265</v>
      </c>
      <c r="C1046" s="1" t="n">
        <v>45658</v>
      </c>
      <c r="D1046" t="inlineStr">
        <is>
          <t>VÄSTERBOTTENS LÄN</t>
        </is>
      </c>
      <c r="E1046" t="inlineStr">
        <is>
          <t>VILHELMINA</t>
        </is>
      </c>
      <c r="F1046" t="inlineStr">
        <is>
          <t>SCA</t>
        </is>
      </c>
      <c r="G1046" t="n">
        <v>20.6</v>
      </c>
      <c r="H1046" t="n">
        <v>0</v>
      </c>
      <c r="I1046" t="n">
        <v>0</v>
      </c>
      <c r="J1046" t="n">
        <v>0</v>
      </c>
      <c r="K1046" t="n">
        <v>0</v>
      </c>
      <c r="L1046" t="n">
        <v>0</v>
      </c>
      <c r="M1046" t="n">
        <v>0</v>
      </c>
      <c r="N1046" t="n">
        <v>0</v>
      </c>
      <c r="O1046" t="n">
        <v>0</v>
      </c>
      <c r="P1046" t="n">
        <v>0</v>
      </c>
      <c r="Q1046" t="n">
        <v>0</v>
      </c>
      <c r="R1046" s="2" t="inlineStr"/>
    </row>
    <row r="1047" ht="15" customHeight="1">
      <c r="A1047" t="inlineStr">
        <is>
          <t>A 61780-2023</t>
        </is>
      </c>
      <c r="B1047" s="1" t="n">
        <v>45265</v>
      </c>
      <c r="C1047" s="1" t="n">
        <v>45658</v>
      </c>
      <c r="D1047" t="inlineStr">
        <is>
          <t>VÄSTERBOTTENS LÄN</t>
        </is>
      </c>
      <c r="E1047" t="inlineStr">
        <is>
          <t>VILHELMINA</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61779-2023</t>
        </is>
      </c>
      <c r="B1048" s="1" t="n">
        <v>45265</v>
      </c>
      <c r="C1048" s="1" t="n">
        <v>45658</v>
      </c>
      <c r="D1048" t="inlineStr">
        <is>
          <t>VÄSTERBOTTENS LÄN</t>
        </is>
      </c>
      <c r="E1048" t="inlineStr">
        <is>
          <t>VILHELMINA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62015-2023</t>
        </is>
      </c>
      <c r="B1049" s="1" t="n">
        <v>45265</v>
      </c>
      <c r="C1049" s="1" t="n">
        <v>45658</v>
      </c>
      <c r="D1049" t="inlineStr">
        <is>
          <t>VÄSTERBOTTENS LÄN</t>
        </is>
      </c>
      <c r="E1049" t="inlineStr">
        <is>
          <t>VILHELMINA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61973-2023</t>
        </is>
      </c>
      <c r="B1050" s="1" t="n">
        <v>45265</v>
      </c>
      <c r="C1050" s="1" t="n">
        <v>45658</v>
      </c>
      <c r="D1050" t="inlineStr">
        <is>
          <t>VÄSTERBOTTENS LÄN</t>
        </is>
      </c>
      <c r="E1050" t="inlineStr">
        <is>
          <t>VILHELMINA</t>
        </is>
      </c>
      <c r="G1050" t="n">
        <v>24.9</v>
      </c>
      <c r="H1050" t="n">
        <v>0</v>
      </c>
      <c r="I1050" t="n">
        <v>0</v>
      </c>
      <c r="J1050" t="n">
        <v>0</v>
      </c>
      <c r="K1050" t="n">
        <v>0</v>
      </c>
      <c r="L1050" t="n">
        <v>0</v>
      </c>
      <c r="M1050" t="n">
        <v>0</v>
      </c>
      <c r="N1050" t="n">
        <v>0</v>
      </c>
      <c r="O1050" t="n">
        <v>0</v>
      </c>
      <c r="P1050" t="n">
        <v>0</v>
      </c>
      <c r="Q1050" t="n">
        <v>0</v>
      </c>
      <c r="R1050" s="2" t="inlineStr"/>
    </row>
    <row r="1051" ht="15" customHeight="1">
      <c r="A1051" t="inlineStr">
        <is>
          <t>A 62021-2023</t>
        </is>
      </c>
      <c r="B1051" s="1" t="n">
        <v>45265</v>
      </c>
      <c r="C1051" s="1" t="n">
        <v>45658</v>
      </c>
      <c r="D1051" t="inlineStr">
        <is>
          <t>VÄSTERBOTTENS LÄN</t>
        </is>
      </c>
      <c r="E1051" t="inlineStr">
        <is>
          <t>VILHELMINA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62663-2023</t>
        </is>
      </c>
      <c r="B1052" s="1" t="n">
        <v>45267</v>
      </c>
      <c r="C1052" s="1" t="n">
        <v>45658</v>
      </c>
      <c r="D1052" t="inlineStr">
        <is>
          <t>VÄSTERBOTTENS LÄN</t>
        </is>
      </c>
      <c r="E1052" t="inlineStr">
        <is>
          <t>VILHELMINA</t>
        </is>
      </c>
      <c r="F1052" t="inlineStr">
        <is>
          <t>Allmännings- och besparingsskogar</t>
        </is>
      </c>
      <c r="G1052" t="n">
        <v>19.3</v>
      </c>
      <c r="H1052" t="n">
        <v>0</v>
      </c>
      <c r="I1052" t="n">
        <v>0</v>
      </c>
      <c r="J1052" t="n">
        <v>0</v>
      </c>
      <c r="K1052" t="n">
        <v>0</v>
      </c>
      <c r="L1052" t="n">
        <v>0</v>
      </c>
      <c r="M1052" t="n">
        <v>0</v>
      </c>
      <c r="N1052" t="n">
        <v>0</v>
      </c>
      <c r="O1052" t="n">
        <v>0</v>
      </c>
      <c r="P1052" t="n">
        <v>0</v>
      </c>
      <c r="Q1052" t="n">
        <v>0</v>
      </c>
      <c r="R1052" s="2" t="inlineStr"/>
    </row>
    <row r="1053" ht="15" customHeight="1">
      <c r="A1053" t="inlineStr">
        <is>
          <t>A 62673-2023</t>
        </is>
      </c>
      <c r="B1053" s="1" t="n">
        <v>45267</v>
      </c>
      <c r="C1053" s="1" t="n">
        <v>45658</v>
      </c>
      <c r="D1053" t="inlineStr">
        <is>
          <t>VÄSTERBOTTENS LÄN</t>
        </is>
      </c>
      <c r="E1053" t="inlineStr">
        <is>
          <t>VILHELMINA</t>
        </is>
      </c>
      <c r="F1053" t="inlineStr">
        <is>
          <t>Allmännings- och besparingsskogar</t>
        </is>
      </c>
      <c r="G1053" t="n">
        <v>19.8</v>
      </c>
      <c r="H1053" t="n">
        <v>0</v>
      </c>
      <c r="I1053" t="n">
        <v>0</v>
      </c>
      <c r="J1053" t="n">
        <v>0</v>
      </c>
      <c r="K1053" t="n">
        <v>0</v>
      </c>
      <c r="L1053" t="n">
        <v>0</v>
      </c>
      <c r="M1053" t="n">
        <v>0</v>
      </c>
      <c r="N1053" t="n">
        <v>0</v>
      </c>
      <c r="O1053" t="n">
        <v>0</v>
      </c>
      <c r="P1053" t="n">
        <v>0</v>
      </c>
      <c r="Q1053" t="n">
        <v>0</v>
      </c>
      <c r="R1053" s="2" t="inlineStr"/>
    </row>
    <row r="1054" ht="15" customHeight="1">
      <c r="A1054" t="inlineStr">
        <is>
          <t>A 63050-2023</t>
        </is>
      </c>
      <c r="B1054" s="1" t="n">
        <v>45272</v>
      </c>
      <c r="C1054" s="1" t="n">
        <v>45658</v>
      </c>
      <c r="D1054" t="inlineStr">
        <is>
          <t>VÄSTERBOTTENS LÄN</t>
        </is>
      </c>
      <c r="E1054" t="inlineStr">
        <is>
          <t>VILHELMINA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63049-2023</t>
        </is>
      </c>
      <c r="B1055" s="1" t="n">
        <v>45272</v>
      </c>
      <c r="C1055" s="1" t="n">
        <v>45658</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63053-2023</t>
        </is>
      </c>
      <c r="B1056" s="1" t="n">
        <v>45272</v>
      </c>
      <c r="C1056" s="1" t="n">
        <v>45658</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63563-2023</t>
        </is>
      </c>
      <c r="B1057" s="1" t="n">
        <v>45274</v>
      </c>
      <c r="C1057" s="1" t="n">
        <v>45658</v>
      </c>
      <c r="D1057" t="inlineStr">
        <is>
          <t>VÄSTERBOTTENS LÄN</t>
        </is>
      </c>
      <c r="E1057" t="inlineStr">
        <is>
          <t>VILHELMINA</t>
        </is>
      </c>
      <c r="F1057" t="inlineStr">
        <is>
          <t>Övriga Aktiebolag</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63877-2023</t>
        </is>
      </c>
      <c r="B1058" s="1" t="n">
        <v>45278</v>
      </c>
      <c r="C1058" s="1" t="n">
        <v>45658</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64029-2023</t>
        </is>
      </c>
      <c r="B1059" s="1" t="n">
        <v>45278</v>
      </c>
      <c r="C1059" s="1" t="n">
        <v>45658</v>
      </c>
      <c r="D1059" t="inlineStr">
        <is>
          <t>VÄSTERBOTTENS LÄN</t>
        </is>
      </c>
      <c r="E1059" t="inlineStr">
        <is>
          <t>VILHELMINA</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64028-2023</t>
        </is>
      </c>
      <c r="B1060" s="1" t="n">
        <v>45278</v>
      </c>
      <c r="C1060" s="1" t="n">
        <v>45658</v>
      </c>
      <c r="D1060" t="inlineStr">
        <is>
          <t>VÄSTERBOTTENS LÄN</t>
        </is>
      </c>
      <c r="E1060" t="inlineStr">
        <is>
          <t>VILHELMINA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64027-2023</t>
        </is>
      </c>
      <c r="B1061" s="1" t="n">
        <v>45278</v>
      </c>
      <c r="C1061" s="1" t="n">
        <v>45658</v>
      </c>
      <c r="D1061" t="inlineStr">
        <is>
          <t>VÄSTERBOTTENS LÄN</t>
        </is>
      </c>
      <c r="E1061" t="inlineStr">
        <is>
          <t>VILHELMINA</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64362-2023</t>
        </is>
      </c>
      <c r="B1062" s="1" t="n">
        <v>45280</v>
      </c>
      <c r="C1062" s="1" t="n">
        <v>45658</v>
      </c>
      <c r="D1062" t="inlineStr">
        <is>
          <t>VÄSTERBOTTENS LÄN</t>
        </is>
      </c>
      <c r="E1062" t="inlineStr">
        <is>
          <t>VILHELMINA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64495-2023</t>
        </is>
      </c>
      <c r="B1063" s="1" t="n">
        <v>45280</v>
      </c>
      <c r="C1063" s="1" t="n">
        <v>45658</v>
      </c>
      <c r="D1063" t="inlineStr">
        <is>
          <t>VÄSTERBOTTENS LÄN</t>
        </is>
      </c>
      <c r="E1063" t="inlineStr">
        <is>
          <t>VILHELMINA</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64421-2023</t>
        </is>
      </c>
      <c r="B1064" s="1" t="n">
        <v>45280</v>
      </c>
      <c r="C1064" s="1" t="n">
        <v>45658</v>
      </c>
      <c r="D1064" t="inlineStr">
        <is>
          <t>VÄSTERBOTTENS LÄN</t>
        </is>
      </c>
      <c r="E1064" t="inlineStr">
        <is>
          <t>VILHELMINA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64592-2023</t>
        </is>
      </c>
      <c r="B1065" s="1" t="n">
        <v>45281</v>
      </c>
      <c r="C1065" s="1" t="n">
        <v>45658</v>
      </c>
      <c r="D1065" t="inlineStr">
        <is>
          <t>VÄSTERBOTTENS LÄN</t>
        </is>
      </c>
      <c r="E1065" t="inlineStr">
        <is>
          <t>VILHELMINA</t>
        </is>
      </c>
      <c r="F1065" t="inlineStr">
        <is>
          <t>Kommuner</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65042-2023</t>
        </is>
      </c>
      <c r="B1066" s="1" t="n">
        <v>45282</v>
      </c>
      <c r="C1066" s="1" t="n">
        <v>45658</v>
      </c>
      <c r="D1066" t="inlineStr">
        <is>
          <t>VÄSTERBOTTENS LÄN</t>
        </is>
      </c>
      <c r="E1066" t="inlineStr">
        <is>
          <t>VILHELMINA</t>
        </is>
      </c>
      <c r="F1066" t="inlineStr">
        <is>
          <t>Övriga Aktiebolag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367-2024</t>
        </is>
      </c>
      <c r="B1067" s="1" t="n">
        <v>45295</v>
      </c>
      <c r="C1067" s="1" t="n">
        <v>45658</v>
      </c>
      <c r="D1067" t="inlineStr">
        <is>
          <t>VÄSTERBOTTENS LÄN</t>
        </is>
      </c>
      <c r="E1067" t="inlineStr">
        <is>
          <t>VILHELMINA</t>
        </is>
      </c>
      <c r="F1067" t="inlineStr">
        <is>
          <t>SCA</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370-2024</t>
        </is>
      </c>
      <c r="B1068" s="1" t="n">
        <v>45296</v>
      </c>
      <c r="C1068" s="1" t="n">
        <v>45658</v>
      </c>
      <c r="D1068" t="inlineStr">
        <is>
          <t>VÄSTERBOTTENS LÄN</t>
        </is>
      </c>
      <c r="E1068" t="inlineStr">
        <is>
          <t>VILHELMINA</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475-2024</t>
        </is>
      </c>
      <c r="B1069" s="1" t="n">
        <v>45297</v>
      </c>
      <c r="C1069" s="1" t="n">
        <v>45658</v>
      </c>
      <c r="D1069" t="inlineStr">
        <is>
          <t>VÄSTERBOTTENS LÄN</t>
        </is>
      </c>
      <c r="E1069" t="inlineStr">
        <is>
          <t>VILHELMINA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468-2024</t>
        </is>
      </c>
      <c r="B1070" s="1" t="n">
        <v>45297</v>
      </c>
      <c r="C1070" s="1" t="n">
        <v>45658</v>
      </c>
      <c r="D1070" t="inlineStr">
        <is>
          <t>VÄSTERBOTTENS LÄN</t>
        </is>
      </c>
      <c r="E1070" t="inlineStr">
        <is>
          <t>VILHELMINA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706-2024</t>
        </is>
      </c>
      <c r="B1071" s="1" t="n">
        <v>45300</v>
      </c>
      <c r="C1071" s="1" t="n">
        <v>45658</v>
      </c>
      <c r="D1071" t="inlineStr">
        <is>
          <t>VÄSTERBOTTENS LÄN</t>
        </is>
      </c>
      <c r="E1071" t="inlineStr">
        <is>
          <t>VILHELMINA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1780-2024</t>
        </is>
      </c>
      <c r="B1072" s="1" t="n">
        <v>45307</v>
      </c>
      <c r="C1072" s="1" t="n">
        <v>45658</v>
      </c>
      <c r="D1072" t="inlineStr">
        <is>
          <t>VÄSTERBOTTENS LÄN</t>
        </is>
      </c>
      <c r="E1072" t="inlineStr">
        <is>
          <t>VILHELMINA</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1854-2024</t>
        </is>
      </c>
      <c r="B1073" s="1" t="n">
        <v>45307</v>
      </c>
      <c r="C1073" s="1" t="n">
        <v>45658</v>
      </c>
      <c r="D1073" t="inlineStr">
        <is>
          <t>VÄSTERBOTTENS LÄN</t>
        </is>
      </c>
      <c r="E1073" t="inlineStr">
        <is>
          <t>VILHELMINA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1940-2024</t>
        </is>
      </c>
      <c r="B1074" s="1" t="n">
        <v>45308</v>
      </c>
      <c r="C1074" s="1" t="n">
        <v>45658</v>
      </c>
      <c r="D1074" t="inlineStr">
        <is>
          <t>VÄSTERBOTTENS LÄN</t>
        </is>
      </c>
      <c r="E1074" t="inlineStr">
        <is>
          <t>VILHELMINA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2022-2024</t>
        </is>
      </c>
      <c r="B1075" s="1" t="n">
        <v>45308</v>
      </c>
      <c r="C1075" s="1" t="n">
        <v>45658</v>
      </c>
      <c r="D1075" t="inlineStr">
        <is>
          <t>VÄSTERBOTTENS LÄN</t>
        </is>
      </c>
      <c r="E1075" t="inlineStr">
        <is>
          <t>VILHELMINA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2023-2024</t>
        </is>
      </c>
      <c r="B1076" s="1" t="n">
        <v>45308</v>
      </c>
      <c r="C1076" s="1" t="n">
        <v>45658</v>
      </c>
      <c r="D1076" t="inlineStr">
        <is>
          <t>VÄSTERBOTTENS LÄN</t>
        </is>
      </c>
      <c r="E1076" t="inlineStr">
        <is>
          <t>VILHELMINA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3237-2024</t>
        </is>
      </c>
      <c r="B1077" s="1" t="n">
        <v>45316</v>
      </c>
      <c r="C1077" s="1" t="n">
        <v>45658</v>
      </c>
      <c r="D1077" t="inlineStr">
        <is>
          <t>VÄSTERBOTTENS LÄN</t>
        </is>
      </c>
      <c r="E1077" t="inlineStr">
        <is>
          <t>VILHELMINA</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3620-2024</t>
        </is>
      </c>
      <c r="B1078" s="1" t="n">
        <v>45320</v>
      </c>
      <c r="C1078" s="1" t="n">
        <v>45658</v>
      </c>
      <c r="D1078" t="inlineStr">
        <is>
          <t>VÄSTERBOTTENS LÄN</t>
        </is>
      </c>
      <c r="E1078" t="inlineStr">
        <is>
          <t>VILHELMINA</t>
        </is>
      </c>
      <c r="F1078" t="inlineStr">
        <is>
          <t>SCA</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4291-2024</t>
        </is>
      </c>
      <c r="B1079" s="1" t="n">
        <v>45324</v>
      </c>
      <c r="C1079" s="1" t="n">
        <v>45658</v>
      </c>
      <c r="D1079" t="inlineStr">
        <is>
          <t>VÄSTERBOTTENS LÄN</t>
        </is>
      </c>
      <c r="E1079" t="inlineStr">
        <is>
          <t>VILHELMINA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5435-2024</t>
        </is>
      </c>
      <c r="B1080" s="1" t="n">
        <v>45331</v>
      </c>
      <c r="C1080" s="1" t="n">
        <v>45658</v>
      </c>
      <c r="D1080" t="inlineStr">
        <is>
          <t>VÄSTERBOTTENS LÄN</t>
        </is>
      </c>
      <c r="E1080" t="inlineStr">
        <is>
          <t>VILHELMINA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5434-2024</t>
        </is>
      </c>
      <c r="B1081" s="1" t="n">
        <v>45331</v>
      </c>
      <c r="C1081" s="1" t="n">
        <v>45658</v>
      </c>
      <c r="D1081" t="inlineStr">
        <is>
          <t>VÄSTERBOTTENS LÄN</t>
        </is>
      </c>
      <c r="E1081" t="inlineStr">
        <is>
          <t>VILHELMINA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5432-2024</t>
        </is>
      </c>
      <c r="B1082" s="1" t="n">
        <v>45331</v>
      </c>
      <c r="C1082" s="1" t="n">
        <v>45658</v>
      </c>
      <c r="D1082" t="inlineStr">
        <is>
          <t>VÄSTERBOTTENS LÄN</t>
        </is>
      </c>
      <c r="E1082" t="inlineStr">
        <is>
          <t>VILHELMINA</t>
        </is>
      </c>
      <c r="G1082" t="n">
        <v>19.6</v>
      </c>
      <c r="H1082" t="n">
        <v>0</v>
      </c>
      <c r="I1082" t="n">
        <v>0</v>
      </c>
      <c r="J1082" t="n">
        <v>0</v>
      </c>
      <c r="K1082" t="n">
        <v>0</v>
      </c>
      <c r="L1082" t="n">
        <v>0</v>
      </c>
      <c r="M1082" t="n">
        <v>0</v>
      </c>
      <c r="N1082" t="n">
        <v>0</v>
      </c>
      <c r="O1082" t="n">
        <v>0</v>
      </c>
      <c r="P1082" t="n">
        <v>0</v>
      </c>
      <c r="Q1082" t="n">
        <v>0</v>
      </c>
      <c r="R1082" s="2" t="inlineStr"/>
    </row>
    <row r="1083" ht="15" customHeight="1">
      <c r="A1083" t="inlineStr">
        <is>
          <t>A 5549-2024</t>
        </is>
      </c>
      <c r="B1083" s="1" t="n">
        <v>45332</v>
      </c>
      <c r="C1083" s="1" t="n">
        <v>45658</v>
      </c>
      <c r="D1083" t="inlineStr">
        <is>
          <t>VÄSTERBOTTENS LÄN</t>
        </is>
      </c>
      <c r="E1083" t="inlineStr">
        <is>
          <t>VILHELMINA</t>
        </is>
      </c>
      <c r="G1083" t="n">
        <v>25.8</v>
      </c>
      <c r="H1083" t="n">
        <v>0</v>
      </c>
      <c r="I1083" t="n">
        <v>0</v>
      </c>
      <c r="J1083" t="n">
        <v>0</v>
      </c>
      <c r="K1083" t="n">
        <v>0</v>
      </c>
      <c r="L1083" t="n">
        <v>0</v>
      </c>
      <c r="M1083" t="n">
        <v>0</v>
      </c>
      <c r="N1083" t="n">
        <v>0</v>
      </c>
      <c r="O1083" t="n">
        <v>0</v>
      </c>
      <c r="P1083" t="n">
        <v>0</v>
      </c>
      <c r="Q1083" t="n">
        <v>0</v>
      </c>
      <c r="R1083" s="2" t="inlineStr"/>
    </row>
    <row r="1084" ht="15" customHeight="1">
      <c r="A1084" t="inlineStr">
        <is>
          <t>A 5552-2024</t>
        </is>
      </c>
      <c r="B1084" s="1" t="n">
        <v>45332</v>
      </c>
      <c r="C1084" s="1" t="n">
        <v>45658</v>
      </c>
      <c r="D1084" t="inlineStr">
        <is>
          <t>VÄSTERBOTTENS LÄN</t>
        </is>
      </c>
      <c r="E1084" t="inlineStr">
        <is>
          <t>VILHELMINA</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5482-2024</t>
        </is>
      </c>
      <c r="B1085" s="1" t="n">
        <v>45333</v>
      </c>
      <c r="C1085" s="1" t="n">
        <v>45658</v>
      </c>
      <c r="D1085" t="inlineStr">
        <is>
          <t>VÄSTERBOTTENS LÄN</t>
        </is>
      </c>
      <c r="E1085" t="inlineStr">
        <is>
          <t>VILHELMINA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5497-2024</t>
        </is>
      </c>
      <c r="B1086" s="1" t="n">
        <v>45334</v>
      </c>
      <c r="C1086" s="1" t="n">
        <v>45658</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6281-2024</t>
        </is>
      </c>
      <c r="B1087" s="1" t="n">
        <v>45337</v>
      </c>
      <c r="C1087" s="1" t="n">
        <v>45658</v>
      </c>
      <c r="D1087" t="inlineStr">
        <is>
          <t>VÄSTERBOTTENS LÄN</t>
        </is>
      </c>
      <c r="E1087" t="inlineStr">
        <is>
          <t>VILHELMINA</t>
        </is>
      </c>
      <c r="F1087" t="inlineStr">
        <is>
          <t>SCA</t>
        </is>
      </c>
      <c r="G1087" t="n">
        <v>17.6</v>
      </c>
      <c r="H1087" t="n">
        <v>0</v>
      </c>
      <c r="I1087" t="n">
        <v>0</v>
      </c>
      <c r="J1087" t="n">
        <v>0</v>
      </c>
      <c r="K1087" t="n">
        <v>0</v>
      </c>
      <c r="L1087" t="n">
        <v>0</v>
      </c>
      <c r="M1087" t="n">
        <v>0</v>
      </c>
      <c r="N1087" t="n">
        <v>0</v>
      </c>
      <c r="O1087" t="n">
        <v>0</v>
      </c>
      <c r="P1087" t="n">
        <v>0</v>
      </c>
      <c r="Q1087" t="n">
        <v>0</v>
      </c>
      <c r="R1087" s="2" t="inlineStr"/>
    </row>
    <row r="1088" ht="15" customHeight="1">
      <c r="A1088" t="inlineStr">
        <is>
          <t>A 6280-2024</t>
        </is>
      </c>
      <c r="B1088" s="1" t="n">
        <v>45337</v>
      </c>
      <c r="C1088" s="1" t="n">
        <v>45658</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6369-2024</t>
        </is>
      </c>
      <c r="B1089" s="1" t="n">
        <v>45338</v>
      </c>
      <c r="C1089" s="1" t="n">
        <v>45658</v>
      </c>
      <c r="D1089" t="inlineStr">
        <is>
          <t>VÄSTERBOTTENS LÄN</t>
        </is>
      </c>
      <c r="E1089" t="inlineStr">
        <is>
          <t>VILHELMINA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6358-2024</t>
        </is>
      </c>
      <c r="B1090" s="1" t="n">
        <v>45338</v>
      </c>
      <c r="C1090" s="1" t="n">
        <v>45658</v>
      </c>
      <c r="D1090" t="inlineStr">
        <is>
          <t>VÄSTERBOTTENS LÄN</t>
        </is>
      </c>
      <c r="E1090" t="inlineStr">
        <is>
          <t>VILHELMINA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7102-2024</t>
        </is>
      </c>
      <c r="B1091" s="1" t="n">
        <v>45343</v>
      </c>
      <c r="C1091" s="1" t="n">
        <v>45658</v>
      </c>
      <c r="D1091" t="inlineStr">
        <is>
          <t>VÄSTERBOTTENS LÄN</t>
        </is>
      </c>
      <c r="E1091" t="inlineStr">
        <is>
          <t>VILHELMINA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7259-2024</t>
        </is>
      </c>
      <c r="B1092" s="1" t="n">
        <v>45344</v>
      </c>
      <c r="C1092" s="1" t="n">
        <v>45658</v>
      </c>
      <c r="D1092" t="inlineStr">
        <is>
          <t>VÄSTERBOTTENS LÄN</t>
        </is>
      </c>
      <c r="E1092" t="inlineStr">
        <is>
          <t>VILHELMINA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7777-2024</t>
        </is>
      </c>
      <c r="B1093" s="1" t="n">
        <v>45349</v>
      </c>
      <c r="C1093" s="1" t="n">
        <v>45658</v>
      </c>
      <c r="D1093" t="inlineStr">
        <is>
          <t>VÄSTERBOTTENS LÄN</t>
        </is>
      </c>
      <c r="E1093" t="inlineStr">
        <is>
          <t>VILHELMINA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8544-2024</t>
        </is>
      </c>
      <c r="B1094" s="1" t="n">
        <v>45351</v>
      </c>
      <c r="C1094" s="1" t="n">
        <v>45658</v>
      </c>
      <c r="D1094" t="inlineStr">
        <is>
          <t>VÄSTERBOTTENS LÄN</t>
        </is>
      </c>
      <c r="E1094" t="inlineStr">
        <is>
          <t>VILHELMINA</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8664-2024</t>
        </is>
      </c>
      <c r="B1095" s="1" t="n">
        <v>45356</v>
      </c>
      <c r="C1095" s="1" t="n">
        <v>45658</v>
      </c>
      <c r="D1095" t="inlineStr">
        <is>
          <t>VÄSTERBOTTENS LÄN</t>
        </is>
      </c>
      <c r="E1095" t="inlineStr">
        <is>
          <t>VILHELMINA</t>
        </is>
      </c>
      <c r="F1095" t="inlineStr">
        <is>
          <t>SCA</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9815-2024</t>
        </is>
      </c>
      <c r="B1096" s="1" t="n">
        <v>45363</v>
      </c>
      <c r="C1096" s="1" t="n">
        <v>45658</v>
      </c>
      <c r="D1096" t="inlineStr">
        <is>
          <t>VÄSTERBOTTENS LÄN</t>
        </is>
      </c>
      <c r="E1096" t="inlineStr">
        <is>
          <t>VILHELMINA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10617-2024</t>
        </is>
      </c>
      <c r="B1097" s="1" t="n">
        <v>45367</v>
      </c>
      <c r="C1097" s="1" t="n">
        <v>45658</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11538-2024</t>
        </is>
      </c>
      <c r="B1098" s="1" t="n">
        <v>45372</v>
      </c>
      <c r="C1098" s="1" t="n">
        <v>45658</v>
      </c>
      <c r="D1098" t="inlineStr">
        <is>
          <t>VÄSTERBOTTENS LÄN</t>
        </is>
      </c>
      <c r="E1098" t="inlineStr">
        <is>
          <t>VILHELMINA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11806-2024</t>
        </is>
      </c>
      <c r="B1099" s="1" t="n">
        <v>45375</v>
      </c>
      <c r="C1099" s="1" t="n">
        <v>45658</v>
      </c>
      <c r="D1099" t="inlineStr">
        <is>
          <t>VÄSTERBOTTENS LÄN</t>
        </is>
      </c>
      <c r="E1099" t="inlineStr">
        <is>
          <t>VILHELMINA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12118-2024</t>
        </is>
      </c>
      <c r="B1100" s="1" t="n">
        <v>45376</v>
      </c>
      <c r="C1100" s="1" t="n">
        <v>45658</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12189-2024</t>
        </is>
      </c>
      <c r="B1101" s="1" t="n">
        <v>45377</v>
      </c>
      <c r="C1101" s="1" t="n">
        <v>45658</v>
      </c>
      <c r="D1101" t="inlineStr">
        <is>
          <t>VÄSTERBOTTENS LÄN</t>
        </is>
      </c>
      <c r="E1101" t="inlineStr">
        <is>
          <t>VILHELMINA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12192-2024</t>
        </is>
      </c>
      <c r="B1102" s="1" t="n">
        <v>45377</v>
      </c>
      <c r="C1102" s="1" t="n">
        <v>45658</v>
      </c>
      <c r="D1102" t="inlineStr">
        <is>
          <t>VÄSTERBOTTENS LÄN</t>
        </is>
      </c>
      <c r="E1102" t="inlineStr">
        <is>
          <t>VILHELMINA</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12190-2024</t>
        </is>
      </c>
      <c r="B1103" s="1" t="n">
        <v>45377</v>
      </c>
      <c r="C1103" s="1" t="n">
        <v>45658</v>
      </c>
      <c r="D1103" t="inlineStr">
        <is>
          <t>VÄSTERBOTTENS LÄN</t>
        </is>
      </c>
      <c r="E1103" t="inlineStr">
        <is>
          <t>VILHELMINA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12191-2024</t>
        </is>
      </c>
      <c r="B1104" s="1" t="n">
        <v>45377</v>
      </c>
      <c r="C1104" s="1" t="n">
        <v>45658</v>
      </c>
      <c r="D1104" t="inlineStr">
        <is>
          <t>VÄSTERBOTTENS LÄN</t>
        </is>
      </c>
      <c r="E1104" t="inlineStr">
        <is>
          <t>VILHELMINA</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12373-2024</t>
        </is>
      </c>
      <c r="B1105" s="1" t="n">
        <v>45378</v>
      </c>
      <c r="C1105" s="1" t="n">
        <v>45658</v>
      </c>
      <c r="D1105" t="inlineStr">
        <is>
          <t>VÄSTERBOTTENS LÄN</t>
        </is>
      </c>
      <c r="E1105" t="inlineStr">
        <is>
          <t>VILHELMINA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12583-2024</t>
        </is>
      </c>
      <c r="B1106" s="1" t="n">
        <v>45379</v>
      </c>
      <c r="C1106" s="1" t="n">
        <v>45658</v>
      </c>
      <c r="D1106" t="inlineStr">
        <is>
          <t>VÄSTERBOTTENS LÄN</t>
        </is>
      </c>
      <c r="E1106" t="inlineStr">
        <is>
          <t>VILHELMINA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13557-2024</t>
        </is>
      </c>
      <c r="B1107" s="1" t="n">
        <v>45388</v>
      </c>
      <c r="C1107" s="1" t="n">
        <v>45658</v>
      </c>
      <c r="D1107" t="inlineStr">
        <is>
          <t>VÄSTERBOTTENS LÄN</t>
        </is>
      </c>
      <c r="E1107" t="inlineStr">
        <is>
          <t>VILHELMINA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13768-2024</t>
        </is>
      </c>
      <c r="B1108" s="1" t="n">
        <v>45391</v>
      </c>
      <c r="C1108" s="1" t="n">
        <v>45658</v>
      </c>
      <c r="D1108" t="inlineStr">
        <is>
          <t>VÄSTERBOTTENS LÄN</t>
        </is>
      </c>
      <c r="E1108" t="inlineStr">
        <is>
          <t>VILHELMINA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14366-2024</t>
        </is>
      </c>
      <c r="B1109" s="1" t="n">
        <v>45394</v>
      </c>
      <c r="C1109" s="1" t="n">
        <v>45658</v>
      </c>
      <c r="D1109" t="inlineStr">
        <is>
          <t>VÄSTERBOTTENS LÄN</t>
        </is>
      </c>
      <c r="E1109" t="inlineStr">
        <is>
          <t>VILHELMINA</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14816-2024</t>
        </is>
      </c>
      <c r="B1110" s="1" t="n">
        <v>45397</v>
      </c>
      <c r="C1110" s="1" t="n">
        <v>45658</v>
      </c>
      <c r="D1110" t="inlineStr">
        <is>
          <t>VÄSTERBOTTENS LÄN</t>
        </is>
      </c>
      <c r="E1110" t="inlineStr">
        <is>
          <t>VILHELMINA</t>
        </is>
      </c>
      <c r="F1110" t="inlineStr">
        <is>
          <t>SCA</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14817-2024</t>
        </is>
      </c>
      <c r="B1111" s="1" t="n">
        <v>45398</v>
      </c>
      <c r="C1111" s="1" t="n">
        <v>45658</v>
      </c>
      <c r="D1111" t="inlineStr">
        <is>
          <t>VÄSTERBOTTENS LÄN</t>
        </is>
      </c>
      <c r="E1111" t="inlineStr">
        <is>
          <t>VILHELMINA</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15059-2024</t>
        </is>
      </c>
      <c r="B1112" s="1" t="n">
        <v>45399</v>
      </c>
      <c r="C1112" s="1" t="n">
        <v>45658</v>
      </c>
      <c r="D1112" t="inlineStr">
        <is>
          <t>VÄSTERBOTTENS LÄN</t>
        </is>
      </c>
      <c r="E1112" t="inlineStr">
        <is>
          <t>VILHELMINA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15050-2024</t>
        </is>
      </c>
      <c r="B1113" s="1" t="n">
        <v>45399</v>
      </c>
      <c r="C1113" s="1" t="n">
        <v>45658</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15062-2024</t>
        </is>
      </c>
      <c r="B1114" s="1" t="n">
        <v>45399</v>
      </c>
      <c r="C1114" s="1" t="n">
        <v>45658</v>
      </c>
      <c r="D1114" t="inlineStr">
        <is>
          <t>VÄSTERBOTTENS LÄN</t>
        </is>
      </c>
      <c r="E1114" t="inlineStr">
        <is>
          <t>VILHELMINA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15066-2024</t>
        </is>
      </c>
      <c r="B1115" s="1" t="n">
        <v>45399</v>
      </c>
      <c r="C1115" s="1" t="n">
        <v>45658</v>
      </c>
      <c r="D1115" t="inlineStr">
        <is>
          <t>VÄSTERBOTTENS LÄN</t>
        </is>
      </c>
      <c r="E1115" t="inlineStr">
        <is>
          <t>VILHELMINA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15326-2024</t>
        </is>
      </c>
      <c r="B1116" s="1" t="n">
        <v>45400</v>
      </c>
      <c r="C1116" s="1" t="n">
        <v>45658</v>
      </c>
      <c r="D1116" t="inlineStr">
        <is>
          <t>VÄSTERBOTTENS LÄN</t>
        </is>
      </c>
      <c r="E1116" t="inlineStr">
        <is>
          <t>VILHELMINA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15615-2024</t>
        </is>
      </c>
      <c r="B1117" s="1" t="n">
        <v>45402</v>
      </c>
      <c r="C1117" s="1" t="n">
        <v>45658</v>
      </c>
      <c r="D1117" t="inlineStr">
        <is>
          <t>VÄSTERBOTTENS LÄN</t>
        </is>
      </c>
      <c r="E1117" t="inlineStr">
        <is>
          <t>VILHELMINA</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15617-2024</t>
        </is>
      </c>
      <c r="B1118" s="1" t="n">
        <v>45402</v>
      </c>
      <c r="C1118" s="1" t="n">
        <v>45658</v>
      </c>
      <c r="D1118" t="inlineStr">
        <is>
          <t>VÄSTERBOTTENS LÄN</t>
        </is>
      </c>
      <c r="E1118" t="inlineStr">
        <is>
          <t>VILHELMINA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15639-2024</t>
        </is>
      </c>
      <c r="B1119" s="1" t="n">
        <v>45403</v>
      </c>
      <c r="C1119" s="1" t="n">
        <v>45658</v>
      </c>
      <c r="D1119" t="inlineStr">
        <is>
          <t>VÄSTERBOTTENS LÄN</t>
        </is>
      </c>
      <c r="E1119" t="inlineStr">
        <is>
          <t>VILHELMINA</t>
        </is>
      </c>
      <c r="G1119" t="n">
        <v>81.90000000000001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15969-2024</t>
        </is>
      </c>
      <c r="B1120" s="1" t="n">
        <v>45405</v>
      </c>
      <c r="C1120" s="1" t="n">
        <v>45658</v>
      </c>
      <c r="D1120" t="inlineStr">
        <is>
          <t>VÄSTERBOTTENS LÄN</t>
        </is>
      </c>
      <c r="E1120" t="inlineStr">
        <is>
          <t>VILHELMINA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16608-2024</t>
        </is>
      </c>
      <c r="B1121" s="1" t="n">
        <v>45408</v>
      </c>
      <c r="C1121" s="1" t="n">
        <v>45658</v>
      </c>
      <c r="D1121" t="inlineStr">
        <is>
          <t>VÄSTERBOTTENS LÄN</t>
        </is>
      </c>
      <c r="E1121" t="inlineStr">
        <is>
          <t>VILHELMINA</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16626-2024</t>
        </is>
      </c>
      <c r="B1122" s="1" t="n">
        <v>45408</v>
      </c>
      <c r="C1122" s="1" t="n">
        <v>45658</v>
      </c>
      <c r="D1122" t="inlineStr">
        <is>
          <t>VÄSTERBOTTENS LÄN</t>
        </is>
      </c>
      <c r="E1122" t="inlineStr">
        <is>
          <t>VILHELMINA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16712-2024</t>
        </is>
      </c>
      <c r="B1123" s="1" t="n">
        <v>45409</v>
      </c>
      <c r="C1123" s="1" t="n">
        <v>45658</v>
      </c>
      <c r="D1123" t="inlineStr">
        <is>
          <t>VÄSTERBOTTENS LÄN</t>
        </is>
      </c>
      <c r="E1123" t="inlineStr">
        <is>
          <t>VILHELMINA</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16713-2024</t>
        </is>
      </c>
      <c r="B1124" s="1" t="n">
        <v>45409</v>
      </c>
      <c r="C1124" s="1" t="n">
        <v>45658</v>
      </c>
      <c r="D1124" t="inlineStr">
        <is>
          <t>VÄSTERBOTTENS LÄN</t>
        </is>
      </c>
      <c r="E1124" t="inlineStr">
        <is>
          <t>VILHELMINA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17002-2024</t>
        </is>
      </c>
      <c r="B1125" s="1" t="n">
        <v>45411</v>
      </c>
      <c r="C1125" s="1" t="n">
        <v>45658</v>
      </c>
      <c r="D1125" t="inlineStr">
        <is>
          <t>VÄSTERBOTTENS LÄN</t>
        </is>
      </c>
      <c r="E1125" t="inlineStr">
        <is>
          <t>VILHELMINA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16979-2024</t>
        </is>
      </c>
      <c r="B1126" s="1" t="n">
        <v>45412</v>
      </c>
      <c r="C1126" s="1" t="n">
        <v>45658</v>
      </c>
      <c r="D1126" t="inlineStr">
        <is>
          <t>VÄSTERBOTTENS LÄN</t>
        </is>
      </c>
      <c r="E1126" t="inlineStr">
        <is>
          <t>VILHELMINA</t>
        </is>
      </c>
      <c r="F1126" t="inlineStr">
        <is>
          <t>SCA</t>
        </is>
      </c>
      <c r="G1126" t="n">
        <v>34.1</v>
      </c>
      <c r="H1126" t="n">
        <v>0</v>
      </c>
      <c r="I1126" t="n">
        <v>0</v>
      </c>
      <c r="J1126" t="n">
        <v>0</v>
      </c>
      <c r="K1126" t="n">
        <v>0</v>
      </c>
      <c r="L1126" t="n">
        <v>0</v>
      </c>
      <c r="M1126" t="n">
        <v>0</v>
      </c>
      <c r="N1126" t="n">
        <v>0</v>
      </c>
      <c r="O1126" t="n">
        <v>0</v>
      </c>
      <c r="P1126" t="n">
        <v>0</v>
      </c>
      <c r="Q1126" t="n">
        <v>0</v>
      </c>
      <c r="R1126" s="2" t="inlineStr"/>
    </row>
    <row r="1127" ht="15" customHeight="1">
      <c r="A1127" t="inlineStr">
        <is>
          <t>A 17586-2024</t>
        </is>
      </c>
      <c r="B1127" s="1" t="n">
        <v>45415</v>
      </c>
      <c r="C1127" s="1" t="n">
        <v>45658</v>
      </c>
      <c r="D1127" t="inlineStr">
        <is>
          <t>VÄSTERBOTTENS LÄN</t>
        </is>
      </c>
      <c r="E1127" t="inlineStr">
        <is>
          <t>VILHELMINA</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17587-2024</t>
        </is>
      </c>
      <c r="B1128" s="1" t="n">
        <v>45416</v>
      </c>
      <c r="C1128" s="1" t="n">
        <v>45658</v>
      </c>
      <c r="D1128" t="inlineStr">
        <is>
          <t>VÄSTERBOTTENS LÄN</t>
        </is>
      </c>
      <c r="E1128" t="inlineStr">
        <is>
          <t>VILHELMINA</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17723-2024</t>
        </is>
      </c>
      <c r="B1129" s="1" t="n">
        <v>45415</v>
      </c>
      <c r="C1129" s="1" t="n">
        <v>45658</v>
      </c>
      <c r="D1129" t="inlineStr">
        <is>
          <t>VÄSTERBOTTENS LÄN</t>
        </is>
      </c>
      <c r="E1129" t="inlineStr">
        <is>
          <t>VILHELMINA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17732-2024</t>
        </is>
      </c>
      <c r="B1130" s="1" t="n">
        <v>45415</v>
      </c>
      <c r="C1130" s="1" t="n">
        <v>45658</v>
      </c>
      <c r="D1130" t="inlineStr">
        <is>
          <t>VÄSTERBOTTENS LÄN</t>
        </is>
      </c>
      <c r="E1130" t="inlineStr">
        <is>
          <t>VILHELMINA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17722-2024</t>
        </is>
      </c>
      <c r="B1131" s="1" t="n">
        <v>45415</v>
      </c>
      <c r="C1131" s="1" t="n">
        <v>45658</v>
      </c>
      <c r="D1131" t="inlineStr">
        <is>
          <t>VÄSTERBOTTENS LÄN</t>
        </is>
      </c>
      <c r="E1131" t="inlineStr">
        <is>
          <t>VILHELMINA</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17823-2024</t>
        </is>
      </c>
      <c r="B1132" s="1" t="n">
        <v>45419</v>
      </c>
      <c r="C1132" s="1" t="n">
        <v>45658</v>
      </c>
      <c r="D1132" t="inlineStr">
        <is>
          <t>VÄSTERBOTTENS LÄN</t>
        </is>
      </c>
      <c r="E1132" t="inlineStr">
        <is>
          <t>VILHELMINA</t>
        </is>
      </c>
      <c r="F1132" t="inlineStr">
        <is>
          <t>SCA</t>
        </is>
      </c>
      <c r="G1132" t="n">
        <v>18.7</v>
      </c>
      <c r="H1132" t="n">
        <v>0</v>
      </c>
      <c r="I1132" t="n">
        <v>0</v>
      </c>
      <c r="J1132" t="n">
        <v>0</v>
      </c>
      <c r="K1132" t="n">
        <v>0</v>
      </c>
      <c r="L1132" t="n">
        <v>0</v>
      </c>
      <c r="M1132" t="n">
        <v>0</v>
      </c>
      <c r="N1132" t="n">
        <v>0</v>
      </c>
      <c r="O1132" t="n">
        <v>0</v>
      </c>
      <c r="P1132" t="n">
        <v>0</v>
      </c>
      <c r="Q1132" t="n">
        <v>0</v>
      </c>
      <c r="R1132" s="2" t="inlineStr"/>
    </row>
    <row r="1133" ht="15" customHeight="1">
      <c r="A1133" t="inlineStr">
        <is>
          <t>A 17996-2024</t>
        </is>
      </c>
      <c r="B1133" s="1" t="n">
        <v>45419</v>
      </c>
      <c r="C1133" s="1" t="n">
        <v>45658</v>
      </c>
      <c r="D1133" t="inlineStr">
        <is>
          <t>VÄSTERBOTTENS LÄN</t>
        </is>
      </c>
      <c r="E1133" t="inlineStr">
        <is>
          <t>VILHELMINA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19088-2024</t>
        </is>
      </c>
      <c r="B1134" s="1" t="n">
        <v>45428</v>
      </c>
      <c r="C1134" s="1" t="n">
        <v>45658</v>
      </c>
      <c r="D1134" t="inlineStr">
        <is>
          <t>VÄSTERBOTTENS LÄN</t>
        </is>
      </c>
      <c r="E1134" t="inlineStr">
        <is>
          <t>VILHELMINA</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19083-2024</t>
        </is>
      </c>
      <c r="B1135" s="1" t="n">
        <v>45428</v>
      </c>
      <c r="C1135" s="1" t="n">
        <v>45658</v>
      </c>
      <c r="D1135" t="inlineStr">
        <is>
          <t>VÄSTERBOTTENS LÄN</t>
        </is>
      </c>
      <c r="E1135" t="inlineStr">
        <is>
          <t>VILHELMINA</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19349-2024</t>
        </is>
      </c>
      <c r="B1136" s="1" t="n">
        <v>45429</v>
      </c>
      <c r="C1136" s="1" t="n">
        <v>45658</v>
      </c>
      <c r="D1136" t="inlineStr">
        <is>
          <t>VÄSTERBOTTENS LÄN</t>
        </is>
      </c>
      <c r="E1136" t="inlineStr">
        <is>
          <t>VILHELMINA</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19585-2024</t>
        </is>
      </c>
      <c r="B1137" s="1" t="n">
        <v>45429</v>
      </c>
      <c r="C1137" s="1" t="n">
        <v>45658</v>
      </c>
      <c r="D1137" t="inlineStr">
        <is>
          <t>VÄSTERBOTTENS LÄN</t>
        </is>
      </c>
      <c r="E1137" t="inlineStr">
        <is>
          <t>VILHELMINA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19873-2024</t>
        </is>
      </c>
      <c r="B1138" s="1" t="n">
        <v>45433</v>
      </c>
      <c r="C1138" s="1" t="n">
        <v>45658</v>
      </c>
      <c r="D1138" t="inlineStr">
        <is>
          <t>VÄSTERBOTTENS LÄN</t>
        </is>
      </c>
      <c r="E1138" t="inlineStr">
        <is>
          <t>VILHELMINA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20259-2024</t>
        </is>
      </c>
      <c r="B1139" s="1" t="n">
        <v>45435</v>
      </c>
      <c r="C1139" s="1" t="n">
        <v>45658</v>
      </c>
      <c r="D1139" t="inlineStr">
        <is>
          <t>VÄSTERBOTTENS LÄN</t>
        </is>
      </c>
      <c r="E1139" t="inlineStr">
        <is>
          <t>VILHELMINA</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20521-2024</t>
        </is>
      </c>
      <c r="B1140" s="1" t="n">
        <v>45436</v>
      </c>
      <c r="C1140" s="1" t="n">
        <v>45658</v>
      </c>
      <c r="D1140" t="inlineStr">
        <is>
          <t>VÄSTERBOTTENS LÄN</t>
        </is>
      </c>
      <c r="E1140" t="inlineStr">
        <is>
          <t>VILHELMINA</t>
        </is>
      </c>
      <c r="F1140" t="inlineStr">
        <is>
          <t>SCA</t>
        </is>
      </c>
      <c r="G1140" t="n">
        <v>21.4</v>
      </c>
      <c r="H1140" t="n">
        <v>0</v>
      </c>
      <c r="I1140" t="n">
        <v>0</v>
      </c>
      <c r="J1140" t="n">
        <v>0</v>
      </c>
      <c r="K1140" t="n">
        <v>0</v>
      </c>
      <c r="L1140" t="n">
        <v>0</v>
      </c>
      <c r="M1140" t="n">
        <v>0</v>
      </c>
      <c r="N1140" t="n">
        <v>0</v>
      </c>
      <c r="O1140" t="n">
        <v>0</v>
      </c>
      <c r="P1140" t="n">
        <v>0</v>
      </c>
      <c r="Q1140" t="n">
        <v>0</v>
      </c>
      <c r="R1140" s="2" t="inlineStr"/>
    </row>
    <row r="1141" ht="15" customHeight="1">
      <c r="A1141" t="inlineStr">
        <is>
          <t>A 20511-2024</t>
        </is>
      </c>
      <c r="B1141" s="1" t="n">
        <v>45435</v>
      </c>
      <c r="C1141" s="1" t="n">
        <v>45658</v>
      </c>
      <c r="D1141" t="inlineStr">
        <is>
          <t>VÄSTERBOTTENS LÄN</t>
        </is>
      </c>
      <c r="E1141" t="inlineStr">
        <is>
          <t>VILHELMINA</t>
        </is>
      </c>
      <c r="F1141" t="inlineStr">
        <is>
          <t>SCA</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20523-2024</t>
        </is>
      </c>
      <c r="B1142" s="1" t="n">
        <v>45436</v>
      </c>
      <c r="C1142" s="1" t="n">
        <v>45658</v>
      </c>
      <c r="D1142" t="inlineStr">
        <is>
          <t>VÄSTERBOTTENS LÄN</t>
        </is>
      </c>
      <c r="E1142" t="inlineStr">
        <is>
          <t>VILHELMINA</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20510-2024</t>
        </is>
      </c>
      <c r="B1143" s="1" t="n">
        <v>45436</v>
      </c>
      <c r="C1143" s="1" t="n">
        <v>45658</v>
      </c>
      <c r="D1143" t="inlineStr">
        <is>
          <t>VÄSTERBOTTENS LÄN</t>
        </is>
      </c>
      <c r="E1143" t="inlineStr">
        <is>
          <t>VILHELMINA</t>
        </is>
      </c>
      <c r="F1143" t="inlineStr">
        <is>
          <t>SCA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20522-2024</t>
        </is>
      </c>
      <c r="B1144" s="1" t="n">
        <v>45435</v>
      </c>
      <c r="C1144" s="1" t="n">
        <v>45658</v>
      </c>
      <c r="D1144" t="inlineStr">
        <is>
          <t>VÄSTERBOTTENS LÄN</t>
        </is>
      </c>
      <c r="E1144" t="inlineStr">
        <is>
          <t>VILHELMINA</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20524-2024</t>
        </is>
      </c>
      <c r="B1145" s="1" t="n">
        <v>45436</v>
      </c>
      <c r="C1145" s="1" t="n">
        <v>45658</v>
      </c>
      <c r="D1145" t="inlineStr">
        <is>
          <t>VÄSTERBOTTENS LÄN</t>
        </is>
      </c>
      <c r="E1145" t="inlineStr">
        <is>
          <t>VILHELMINA</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20769-2024</t>
        </is>
      </c>
      <c r="B1146" s="1" t="n">
        <v>45437</v>
      </c>
      <c r="C1146" s="1" t="n">
        <v>45658</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20796-2024</t>
        </is>
      </c>
      <c r="B1147" s="1" t="n">
        <v>45439</v>
      </c>
      <c r="C1147" s="1" t="n">
        <v>45658</v>
      </c>
      <c r="D1147" t="inlineStr">
        <is>
          <t>VÄSTERBOTTENS LÄN</t>
        </is>
      </c>
      <c r="E1147" t="inlineStr">
        <is>
          <t>VILHELMINA</t>
        </is>
      </c>
      <c r="F1147" t="inlineStr">
        <is>
          <t>SCA</t>
        </is>
      </c>
      <c r="G1147" t="n">
        <v>22.4</v>
      </c>
      <c r="H1147" t="n">
        <v>0</v>
      </c>
      <c r="I1147" t="n">
        <v>0</v>
      </c>
      <c r="J1147" t="n">
        <v>0</v>
      </c>
      <c r="K1147" t="n">
        <v>0</v>
      </c>
      <c r="L1147" t="n">
        <v>0</v>
      </c>
      <c r="M1147" t="n">
        <v>0</v>
      </c>
      <c r="N1147" t="n">
        <v>0</v>
      </c>
      <c r="O1147" t="n">
        <v>0</v>
      </c>
      <c r="P1147" t="n">
        <v>0</v>
      </c>
      <c r="Q1147" t="n">
        <v>0</v>
      </c>
      <c r="R1147" s="2" t="inlineStr"/>
    </row>
    <row r="1148" ht="15" customHeight="1">
      <c r="A1148" t="inlineStr">
        <is>
          <t>A 20797-2024</t>
        </is>
      </c>
      <c r="B1148" s="1" t="n">
        <v>45438</v>
      </c>
      <c r="C1148" s="1" t="n">
        <v>45658</v>
      </c>
      <c r="D1148" t="inlineStr">
        <is>
          <t>VÄSTERBOTTENS LÄN</t>
        </is>
      </c>
      <c r="E1148" t="inlineStr">
        <is>
          <t>VILHELMINA</t>
        </is>
      </c>
      <c r="F1148" t="inlineStr">
        <is>
          <t>SCA</t>
        </is>
      </c>
      <c r="G1148" t="n">
        <v>26.9</v>
      </c>
      <c r="H1148" t="n">
        <v>0</v>
      </c>
      <c r="I1148" t="n">
        <v>0</v>
      </c>
      <c r="J1148" t="n">
        <v>0</v>
      </c>
      <c r="K1148" t="n">
        <v>0</v>
      </c>
      <c r="L1148" t="n">
        <v>0</v>
      </c>
      <c r="M1148" t="n">
        <v>0</v>
      </c>
      <c r="N1148" t="n">
        <v>0</v>
      </c>
      <c r="O1148" t="n">
        <v>0</v>
      </c>
      <c r="P1148" t="n">
        <v>0</v>
      </c>
      <c r="Q1148" t="n">
        <v>0</v>
      </c>
      <c r="R1148" s="2" t="inlineStr"/>
    </row>
    <row r="1149" ht="15" customHeight="1">
      <c r="A1149" t="inlineStr">
        <is>
          <t>A 21370-2024</t>
        </is>
      </c>
      <c r="B1149" s="1" t="n">
        <v>45441</v>
      </c>
      <c r="C1149" s="1" t="n">
        <v>45658</v>
      </c>
      <c r="D1149" t="inlineStr">
        <is>
          <t>VÄSTERBOTTENS LÄN</t>
        </is>
      </c>
      <c r="E1149" t="inlineStr">
        <is>
          <t>VILHELMINA</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21348-2024</t>
        </is>
      </c>
      <c r="B1150" s="1" t="n">
        <v>45440</v>
      </c>
      <c r="C1150" s="1" t="n">
        <v>45658</v>
      </c>
      <c r="D1150" t="inlineStr">
        <is>
          <t>VÄSTERBOTTENS LÄN</t>
        </is>
      </c>
      <c r="E1150" t="inlineStr">
        <is>
          <t>VILHELMINA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21368-2024</t>
        </is>
      </c>
      <c r="B1151" s="1" t="n">
        <v>45441</v>
      </c>
      <c r="C1151" s="1" t="n">
        <v>45658</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21345-2024</t>
        </is>
      </c>
      <c r="B1152" s="1" t="n">
        <v>45441</v>
      </c>
      <c r="C1152" s="1" t="n">
        <v>45658</v>
      </c>
      <c r="D1152" t="inlineStr">
        <is>
          <t>VÄSTERBOTTENS LÄN</t>
        </is>
      </c>
      <c r="E1152" t="inlineStr">
        <is>
          <t>VILHELMINA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21349-2024</t>
        </is>
      </c>
      <c r="B1153" s="1" t="n">
        <v>45440</v>
      </c>
      <c r="C1153" s="1" t="n">
        <v>45658</v>
      </c>
      <c r="D1153" t="inlineStr">
        <is>
          <t>VÄSTERBOTTENS LÄN</t>
        </is>
      </c>
      <c r="E1153" t="inlineStr">
        <is>
          <t>VILHELMINA</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21369-2024</t>
        </is>
      </c>
      <c r="B1154" s="1" t="n">
        <v>45441</v>
      </c>
      <c r="C1154" s="1" t="n">
        <v>45658</v>
      </c>
      <c r="D1154" t="inlineStr">
        <is>
          <t>VÄSTERBOTTENS LÄN</t>
        </is>
      </c>
      <c r="E1154" t="inlineStr">
        <is>
          <t>VILHELMINA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21367-2024</t>
        </is>
      </c>
      <c r="B1155" s="1" t="n">
        <v>45441</v>
      </c>
      <c r="C1155" s="1" t="n">
        <v>45658</v>
      </c>
      <c r="D1155" t="inlineStr">
        <is>
          <t>VÄSTERBOTTENS LÄN</t>
        </is>
      </c>
      <c r="E1155" t="inlineStr">
        <is>
          <t>VILHELMINA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21371-2024</t>
        </is>
      </c>
      <c r="B1156" s="1" t="n">
        <v>45441</v>
      </c>
      <c r="C1156" s="1" t="n">
        <v>45658</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21841-2024</t>
        </is>
      </c>
      <c r="B1157" s="1" t="n">
        <v>45443</v>
      </c>
      <c r="C1157" s="1" t="n">
        <v>45658</v>
      </c>
      <c r="D1157" t="inlineStr">
        <is>
          <t>VÄSTERBOTTENS LÄN</t>
        </is>
      </c>
      <c r="E1157" t="inlineStr">
        <is>
          <t>VILHELMINA</t>
        </is>
      </c>
      <c r="F1157" t="inlineStr">
        <is>
          <t>SCA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21844-2024</t>
        </is>
      </c>
      <c r="B1158" s="1" t="n">
        <v>45442</v>
      </c>
      <c r="C1158" s="1" t="n">
        <v>45658</v>
      </c>
      <c r="D1158" t="inlineStr">
        <is>
          <t>VÄSTERBOTTENS LÄN</t>
        </is>
      </c>
      <c r="E1158" t="inlineStr">
        <is>
          <t>VILHELMINA</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21842-2024</t>
        </is>
      </c>
      <c r="B1159" s="1" t="n">
        <v>45443</v>
      </c>
      <c r="C1159" s="1" t="n">
        <v>45658</v>
      </c>
      <c r="D1159" t="inlineStr">
        <is>
          <t>VÄSTERBOTTENS LÄN</t>
        </is>
      </c>
      <c r="E1159" t="inlineStr">
        <is>
          <t>VILHELMINA</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21843-2024</t>
        </is>
      </c>
      <c r="B1160" s="1" t="n">
        <v>45443</v>
      </c>
      <c r="C1160" s="1" t="n">
        <v>45658</v>
      </c>
      <c r="D1160" t="inlineStr">
        <is>
          <t>VÄSTERBOTTENS LÄN</t>
        </is>
      </c>
      <c r="E1160" t="inlineStr">
        <is>
          <t>VILHELMINA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22104-2024</t>
        </is>
      </c>
      <c r="B1161" s="1" t="n">
        <v>45443</v>
      </c>
      <c r="C1161" s="1" t="n">
        <v>45658</v>
      </c>
      <c r="D1161" t="inlineStr">
        <is>
          <t>VÄSTERBOTTENS LÄN</t>
        </is>
      </c>
      <c r="E1161" t="inlineStr">
        <is>
          <t>VILHELMINA</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22108-2024</t>
        </is>
      </c>
      <c r="B1162" s="1" t="n">
        <v>45443</v>
      </c>
      <c r="C1162" s="1" t="n">
        <v>45658</v>
      </c>
      <c r="D1162" t="inlineStr">
        <is>
          <t>VÄSTERBOTTENS LÄN</t>
        </is>
      </c>
      <c r="E1162" t="inlineStr">
        <is>
          <t>VILHELMINA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22105-2024</t>
        </is>
      </c>
      <c r="B1163" s="1" t="n">
        <v>45443</v>
      </c>
      <c r="C1163" s="1" t="n">
        <v>45658</v>
      </c>
      <c r="D1163" t="inlineStr">
        <is>
          <t>VÄSTERBOTTENS LÄN</t>
        </is>
      </c>
      <c r="E1163" t="inlineStr">
        <is>
          <t>VILHELMINA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22109-2024</t>
        </is>
      </c>
      <c r="B1164" s="1" t="n">
        <v>45443</v>
      </c>
      <c r="C1164" s="1" t="n">
        <v>45658</v>
      </c>
      <c r="D1164" t="inlineStr">
        <is>
          <t>VÄSTERBOTTENS LÄN</t>
        </is>
      </c>
      <c r="E1164" t="inlineStr">
        <is>
          <t>VILHELMINA</t>
        </is>
      </c>
      <c r="F1164" t="inlineStr">
        <is>
          <t>SCA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22107-2024</t>
        </is>
      </c>
      <c r="B1165" s="1" t="n">
        <v>45443</v>
      </c>
      <c r="C1165" s="1" t="n">
        <v>45658</v>
      </c>
      <c r="D1165" t="inlineStr">
        <is>
          <t>VÄSTERBOTTENS LÄN</t>
        </is>
      </c>
      <c r="E1165" t="inlineStr">
        <is>
          <t>VILHELMINA</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22106-2024</t>
        </is>
      </c>
      <c r="B1166" s="1" t="n">
        <v>45444</v>
      </c>
      <c r="C1166" s="1" t="n">
        <v>45658</v>
      </c>
      <c r="D1166" t="inlineStr">
        <is>
          <t>VÄSTERBOTTENS LÄN</t>
        </is>
      </c>
      <c r="E1166" t="inlineStr">
        <is>
          <t>VILHELMINA</t>
        </is>
      </c>
      <c r="F1166" t="inlineStr">
        <is>
          <t>SCA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22751-2024</t>
        </is>
      </c>
      <c r="B1167" s="1" t="n">
        <v>45448</v>
      </c>
      <c r="C1167" s="1" t="n">
        <v>45658</v>
      </c>
      <c r="D1167" t="inlineStr">
        <is>
          <t>VÄSTERBOTTENS LÄN</t>
        </is>
      </c>
      <c r="E1167" t="inlineStr">
        <is>
          <t>VILHELMINA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23176-2024</t>
        </is>
      </c>
      <c r="B1168" s="1" t="n">
        <v>45451</v>
      </c>
      <c r="C1168" s="1" t="n">
        <v>45658</v>
      </c>
      <c r="D1168" t="inlineStr">
        <is>
          <t>VÄSTERBOTTENS LÄN</t>
        </is>
      </c>
      <c r="E1168" t="inlineStr">
        <is>
          <t>VILHELMINA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23180-2024</t>
        </is>
      </c>
      <c r="B1169" s="1" t="n">
        <v>45451</v>
      </c>
      <c r="C1169" s="1" t="n">
        <v>45658</v>
      </c>
      <c r="D1169" t="inlineStr">
        <is>
          <t>VÄSTERBOTTENS LÄN</t>
        </is>
      </c>
      <c r="E1169" t="inlineStr">
        <is>
          <t>VILHELMINA</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23550-2024</t>
        </is>
      </c>
      <c r="B1170" s="1" t="n">
        <v>45454</v>
      </c>
      <c r="C1170" s="1" t="n">
        <v>45658</v>
      </c>
      <c r="D1170" t="inlineStr">
        <is>
          <t>VÄSTERBOTTENS LÄN</t>
        </is>
      </c>
      <c r="E1170" t="inlineStr">
        <is>
          <t>VILHELMINA</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23538-2024</t>
        </is>
      </c>
      <c r="B1171" s="1" t="n">
        <v>45453</v>
      </c>
      <c r="C1171" s="1" t="n">
        <v>45658</v>
      </c>
      <c r="D1171" t="inlineStr">
        <is>
          <t>VÄSTERBOTTENS LÄN</t>
        </is>
      </c>
      <c r="E1171" t="inlineStr">
        <is>
          <t>VILHELMINA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23548-2024</t>
        </is>
      </c>
      <c r="B1172" s="1" t="n">
        <v>45454</v>
      </c>
      <c r="C1172" s="1" t="n">
        <v>45658</v>
      </c>
      <c r="D1172" t="inlineStr">
        <is>
          <t>VÄSTERBOTTENS LÄN</t>
        </is>
      </c>
      <c r="E1172" t="inlineStr">
        <is>
          <t>VILHELMINA</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23544-2024</t>
        </is>
      </c>
      <c r="B1173" s="1" t="n">
        <v>45454</v>
      </c>
      <c r="C1173" s="1" t="n">
        <v>45658</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23536-2024</t>
        </is>
      </c>
      <c r="B1174" s="1" t="n">
        <v>45454</v>
      </c>
      <c r="C1174" s="1" t="n">
        <v>45658</v>
      </c>
      <c r="D1174" t="inlineStr">
        <is>
          <t>VÄSTERBOTTENS LÄN</t>
        </is>
      </c>
      <c r="E1174" t="inlineStr">
        <is>
          <t>VILHELMINA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23543-2024</t>
        </is>
      </c>
      <c r="B1175" s="1" t="n">
        <v>45453</v>
      </c>
      <c r="C1175" s="1" t="n">
        <v>45658</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23545-2024</t>
        </is>
      </c>
      <c r="B1176" s="1" t="n">
        <v>45454</v>
      </c>
      <c r="C1176" s="1" t="n">
        <v>45658</v>
      </c>
      <c r="D1176" t="inlineStr">
        <is>
          <t>VÄSTERBOTTENS LÄN</t>
        </is>
      </c>
      <c r="E1176" t="inlineStr">
        <is>
          <t>VILHELMINA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23549-2024</t>
        </is>
      </c>
      <c r="B1177" s="1" t="n">
        <v>45454</v>
      </c>
      <c r="C1177" s="1" t="n">
        <v>45658</v>
      </c>
      <c r="D1177" t="inlineStr">
        <is>
          <t>VÄSTERBOTTENS LÄN</t>
        </is>
      </c>
      <c r="E1177" t="inlineStr">
        <is>
          <t>VILHELMINA</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23657-2024</t>
        </is>
      </c>
      <c r="B1178" s="1" t="n">
        <v>45454</v>
      </c>
      <c r="C1178" s="1" t="n">
        <v>45658</v>
      </c>
      <c r="D1178" t="inlineStr">
        <is>
          <t>VÄSTERBOTTENS LÄN</t>
        </is>
      </c>
      <c r="E1178" t="inlineStr">
        <is>
          <t>VILHELMINA</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24428-2024</t>
        </is>
      </c>
      <c r="B1179" s="1" t="n">
        <v>45458</v>
      </c>
      <c r="C1179" s="1" t="n">
        <v>45658</v>
      </c>
      <c r="D1179" t="inlineStr">
        <is>
          <t>VÄSTERBOTTENS LÄN</t>
        </is>
      </c>
      <c r="E1179" t="inlineStr">
        <is>
          <t>VILHELMINA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24454-2024</t>
        </is>
      </c>
      <c r="B1180" s="1" t="n">
        <v>45458</v>
      </c>
      <c r="C1180" s="1" t="n">
        <v>45658</v>
      </c>
      <c r="D1180" t="inlineStr">
        <is>
          <t>VÄSTERBOTTENS LÄN</t>
        </is>
      </c>
      <c r="E1180" t="inlineStr">
        <is>
          <t>VILHELMINA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24427-2024</t>
        </is>
      </c>
      <c r="B1181" s="1" t="n">
        <v>45457</v>
      </c>
      <c r="C1181" s="1" t="n">
        <v>45658</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24457-2024</t>
        </is>
      </c>
      <c r="B1182" s="1" t="n">
        <v>45458</v>
      </c>
      <c r="C1182" s="1" t="n">
        <v>45658</v>
      </c>
      <c r="D1182" t="inlineStr">
        <is>
          <t>VÄSTERBOTTENS LÄN</t>
        </is>
      </c>
      <c r="E1182" t="inlineStr">
        <is>
          <t>VILHELMINA</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24426-2024</t>
        </is>
      </c>
      <c r="B1183" s="1" t="n">
        <v>45457</v>
      </c>
      <c r="C1183" s="1" t="n">
        <v>45658</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24455-2024</t>
        </is>
      </c>
      <c r="B1184" s="1" t="n">
        <v>45458</v>
      </c>
      <c r="C1184" s="1" t="n">
        <v>45658</v>
      </c>
      <c r="D1184" t="inlineStr">
        <is>
          <t>VÄSTERBOTTENS LÄN</t>
        </is>
      </c>
      <c r="E1184" t="inlineStr">
        <is>
          <t>VILHELMINA</t>
        </is>
      </c>
      <c r="F1184" t="inlineStr">
        <is>
          <t>SCA</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25037-2024</t>
        </is>
      </c>
      <c r="B1185" s="1" t="n">
        <v>45461</v>
      </c>
      <c r="C1185" s="1" t="n">
        <v>45658</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25078-2024</t>
        </is>
      </c>
      <c r="B1186" s="1" t="n">
        <v>45462</v>
      </c>
      <c r="C1186" s="1" t="n">
        <v>45658</v>
      </c>
      <c r="D1186" t="inlineStr">
        <is>
          <t>VÄSTERBOTTENS LÄN</t>
        </is>
      </c>
      <c r="E1186" t="inlineStr">
        <is>
          <t>VILHELMINA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25551-2024</t>
        </is>
      </c>
      <c r="B1187" s="1" t="n">
        <v>45463</v>
      </c>
      <c r="C1187" s="1" t="n">
        <v>45658</v>
      </c>
      <c r="D1187" t="inlineStr">
        <is>
          <t>VÄSTERBOTTENS LÄN</t>
        </is>
      </c>
      <c r="E1187" t="inlineStr">
        <is>
          <t>VILHELMINA</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25701-2024</t>
        </is>
      </c>
      <c r="B1188" s="1" t="n">
        <v>45464</v>
      </c>
      <c r="C1188" s="1" t="n">
        <v>45658</v>
      </c>
      <c r="D1188" t="inlineStr">
        <is>
          <t>VÄSTERBOTTENS LÄN</t>
        </is>
      </c>
      <c r="E1188" t="inlineStr">
        <is>
          <t>VILHELMINA</t>
        </is>
      </c>
      <c r="F1188" t="inlineStr">
        <is>
          <t>SCA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25819-2024</t>
        </is>
      </c>
      <c r="B1189" s="1" t="n">
        <v>45467</v>
      </c>
      <c r="C1189" s="1" t="n">
        <v>45658</v>
      </c>
      <c r="D1189" t="inlineStr">
        <is>
          <t>VÄSTERBOTTENS LÄN</t>
        </is>
      </c>
      <c r="E1189" t="inlineStr">
        <is>
          <t>VILHELMINA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25810-2024</t>
        </is>
      </c>
      <c r="B1190" s="1" t="n">
        <v>45467</v>
      </c>
      <c r="C1190" s="1" t="n">
        <v>45658</v>
      </c>
      <c r="D1190" t="inlineStr">
        <is>
          <t>VÄSTERBOTTENS LÄN</t>
        </is>
      </c>
      <c r="E1190" t="inlineStr">
        <is>
          <t>VILHELMINA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25814-2024</t>
        </is>
      </c>
      <c r="B1191" s="1" t="n">
        <v>45467</v>
      </c>
      <c r="C1191" s="1" t="n">
        <v>45658</v>
      </c>
      <c r="D1191" t="inlineStr">
        <is>
          <t>VÄSTERBOTTENS LÄN</t>
        </is>
      </c>
      <c r="E1191" t="inlineStr">
        <is>
          <t>VILHELMINA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26287-2024</t>
        </is>
      </c>
      <c r="B1192" s="1" t="n">
        <v>45468</v>
      </c>
      <c r="C1192" s="1" t="n">
        <v>45658</v>
      </c>
      <c r="D1192" t="inlineStr">
        <is>
          <t>VÄSTERBOTTENS LÄN</t>
        </is>
      </c>
      <c r="E1192" t="inlineStr">
        <is>
          <t>VILHELMINA</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26137-2024</t>
        </is>
      </c>
      <c r="B1193" s="1" t="n">
        <v>45468</v>
      </c>
      <c r="C1193" s="1" t="n">
        <v>45658</v>
      </c>
      <c r="D1193" t="inlineStr">
        <is>
          <t>VÄSTERBOTTENS LÄN</t>
        </is>
      </c>
      <c r="E1193" t="inlineStr">
        <is>
          <t>VILHELMINA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26381-2024</t>
        </is>
      </c>
      <c r="B1194" s="1" t="n">
        <v>45469</v>
      </c>
      <c r="C1194" s="1" t="n">
        <v>45658</v>
      </c>
      <c r="D1194" t="inlineStr">
        <is>
          <t>VÄSTERBOTTENS LÄN</t>
        </is>
      </c>
      <c r="E1194" t="inlineStr">
        <is>
          <t>VILHELMINA</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26499-2024</t>
        </is>
      </c>
      <c r="B1195" s="1" t="n">
        <v>45469</v>
      </c>
      <c r="C1195" s="1" t="n">
        <v>45658</v>
      </c>
      <c r="D1195" t="inlineStr">
        <is>
          <t>VÄSTERBOTTENS LÄN</t>
        </is>
      </c>
      <c r="E1195" t="inlineStr">
        <is>
          <t>VILHELMINA</t>
        </is>
      </c>
      <c r="F1195" t="inlineStr">
        <is>
          <t>Sveaskog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26660-2024</t>
        </is>
      </c>
      <c r="B1196" s="1" t="n">
        <v>45470</v>
      </c>
      <c r="C1196" s="1" t="n">
        <v>45658</v>
      </c>
      <c r="D1196" t="inlineStr">
        <is>
          <t>VÄSTERBOTTENS LÄN</t>
        </is>
      </c>
      <c r="E1196" t="inlineStr">
        <is>
          <t>VILHELMINA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26947-2024</t>
        </is>
      </c>
      <c r="B1197" s="1" t="n">
        <v>45471</v>
      </c>
      <c r="C1197" s="1" t="n">
        <v>45658</v>
      </c>
      <c r="D1197" t="inlineStr">
        <is>
          <t>VÄSTERBOTTENS LÄN</t>
        </is>
      </c>
      <c r="E1197" t="inlineStr">
        <is>
          <t>VILHELMINA</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26748-2024</t>
        </is>
      </c>
      <c r="B1198" s="1" t="n">
        <v>45470</v>
      </c>
      <c r="C1198" s="1" t="n">
        <v>45658</v>
      </c>
      <c r="D1198" t="inlineStr">
        <is>
          <t>VÄSTERBOTTENS LÄN</t>
        </is>
      </c>
      <c r="E1198" t="inlineStr">
        <is>
          <t>VILHELMINA</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27194-2024</t>
        </is>
      </c>
      <c r="B1199" s="1" t="n">
        <v>45471</v>
      </c>
      <c r="C1199" s="1" t="n">
        <v>45658</v>
      </c>
      <c r="D1199" t="inlineStr">
        <is>
          <t>VÄSTERBOTTENS LÄN</t>
        </is>
      </c>
      <c r="E1199" t="inlineStr">
        <is>
          <t>VILHELMINA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27271-2024</t>
        </is>
      </c>
      <c r="B1200" s="1" t="n">
        <v>45471</v>
      </c>
      <c r="C1200" s="1" t="n">
        <v>45658</v>
      </c>
      <c r="D1200" t="inlineStr">
        <is>
          <t>VÄSTERBOTTENS LÄN</t>
        </is>
      </c>
      <c r="E1200" t="inlineStr">
        <is>
          <t>VILHELMINA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27917-2024</t>
        </is>
      </c>
      <c r="B1201" s="1" t="n">
        <v>45476</v>
      </c>
      <c r="C1201" s="1" t="n">
        <v>45658</v>
      </c>
      <c r="D1201" t="inlineStr">
        <is>
          <t>VÄSTERBOTTENS LÄN</t>
        </is>
      </c>
      <c r="E1201" t="inlineStr">
        <is>
          <t>VILHELMINA</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28695-2024</t>
        </is>
      </c>
      <c r="B1202" s="1" t="n">
        <v>45478</v>
      </c>
      <c r="C1202" s="1" t="n">
        <v>45658</v>
      </c>
      <c r="D1202" t="inlineStr">
        <is>
          <t>VÄSTERBOTTENS LÄN</t>
        </is>
      </c>
      <c r="E1202" t="inlineStr">
        <is>
          <t>VILHELMINA</t>
        </is>
      </c>
      <c r="F1202" t="inlineStr">
        <is>
          <t>Allmännings- och besparingsskogar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28869-2024</t>
        </is>
      </c>
      <c r="B1203" s="1" t="n">
        <v>45479</v>
      </c>
      <c r="C1203" s="1" t="n">
        <v>45658</v>
      </c>
      <c r="D1203" t="inlineStr">
        <is>
          <t>VÄSTERBOTTENS LÄN</t>
        </is>
      </c>
      <c r="E1203" t="inlineStr">
        <is>
          <t>VILHELMINA</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28729-2024</t>
        </is>
      </c>
      <c r="B1204" s="1" t="n">
        <v>45478</v>
      </c>
      <c r="C1204" s="1" t="n">
        <v>45658</v>
      </c>
      <c r="D1204" t="inlineStr">
        <is>
          <t>VÄSTERBOTTENS LÄN</t>
        </is>
      </c>
      <c r="E1204" t="inlineStr">
        <is>
          <t>VILHELMINA</t>
        </is>
      </c>
      <c r="F1204" t="inlineStr">
        <is>
          <t>Allmännings- och besparingsskogar</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28870-2024</t>
        </is>
      </c>
      <c r="B1205" s="1" t="n">
        <v>45479</v>
      </c>
      <c r="C1205" s="1" t="n">
        <v>45658</v>
      </c>
      <c r="D1205" t="inlineStr">
        <is>
          <t>VÄSTERBOTTENS LÄN</t>
        </is>
      </c>
      <c r="E1205" t="inlineStr">
        <is>
          <t>VILHELMINA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28656-2024</t>
        </is>
      </c>
      <c r="B1206" s="1" t="n">
        <v>45478</v>
      </c>
      <c r="C1206" s="1" t="n">
        <v>45658</v>
      </c>
      <c r="D1206" t="inlineStr">
        <is>
          <t>VÄSTERBOTTENS LÄN</t>
        </is>
      </c>
      <c r="E1206" t="inlineStr">
        <is>
          <t>VILHELMINA</t>
        </is>
      </c>
      <c r="F1206" t="inlineStr">
        <is>
          <t>Allmännings- och besparingsskogar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28726-2024</t>
        </is>
      </c>
      <c r="B1207" s="1" t="n">
        <v>45478</v>
      </c>
      <c r="C1207" s="1" t="n">
        <v>45658</v>
      </c>
      <c r="D1207" t="inlineStr">
        <is>
          <t>VÄSTERBOTTENS LÄN</t>
        </is>
      </c>
      <c r="E1207" t="inlineStr">
        <is>
          <t>VILHELMINA</t>
        </is>
      </c>
      <c r="F1207" t="inlineStr">
        <is>
          <t>Allmännings- och besparingsskogar</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28863-2024</t>
        </is>
      </c>
      <c r="B1208" s="1" t="n">
        <v>45479</v>
      </c>
      <c r="C1208" s="1" t="n">
        <v>45658</v>
      </c>
      <c r="D1208" t="inlineStr">
        <is>
          <t>VÄSTERBOTTENS LÄN</t>
        </is>
      </c>
      <c r="E1208" t="inlineStr">
        <is>
          <t>VILHELMINA</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28871-2024</t>
        </is>
      </c>
      <c r="B1209" s="1" t="n">
        <v>45479</v>
      </c>
      <c r="C1209" s="1" t="n">
        <v>45658</v>
      </c>
      <c r="D1209" t="inlineStr">
        <is>
          <t>VÄSTERBOTTENS LÄN</t>
        </is>
      </c>
      <c r="E1209" t="inlineStr">
        <is>
          <t>VILHELMINA</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28868-2024</t>
        </is>
      </c>
      <c r="B1210" s="1" t="n">
        <v>45479</v>
      </c>
      <c r="C1210" s="1" t="n">
        <v>45658</v>
      </c>
      <c r="D1210" t="inlineStr">
        <is>
          <t>VÄSTERBOTTENS LÄN</t>
        </is>
      </c>
      <c r="E1210" t="inlineStr">
        <is>
          <t>VILHELMINA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29104-2024</t>
        </is>
      </c>
      <c r="B1211" s="1" t="n">
        <v>45482</v>
      </c>
      <c r="C1211" s="1" t="n">
        <v>45658</v>
      </c>
      <c r="D1211" t="inlineStr">
        <is>
          <t>VÄSTERBOTTENS LÄN</t>
        </is>
      </c>
      <c r="E1211" t="inlineStr">
        <is>
          <t>VILHELMINA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28949-2024</t>
        </is>
      </c>
      <c r="B1212" s="1" t="n">
        <v>45481</v>
      </c>
      <c r="C1212" s="1" t="n">
        <v>45658</v>
      </c>
      <c r="D1212" t="inlineStr">
        <is>
          <t>VÄSTERBOTTENS LÄN</t>
        </is>
      </c>
      <c r="E1212" t="inlineStr">
        <is>
          <t>VILHELMINA</t>
        </is>
      </c>
      <c r="F1212" t="inlineStr">
        <is>
          <t>Sveaskog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29105-2024</t>
        </is>
      </c>
      <c r="B1213" s="1" t="n">
        <v>45482</v>
      </c>
      <c r="C1213" s="1" t="n">
        <v>45658</v>
      </c>
      <c r="D1213" t="inlineStr">
        <is>
          <t>VÄSTERBOTTENS LÄN</t>
        </is>
      </c>
      <c r="E1213" t="inlineStr">
        <is>
          <t>VILHELMINA</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29472-2024</t>
        </is>
      </c>
      <c r="B1214" s="1" t="n">
        <v>45484</v>
      </c>
      <c r="C1214" s="1" t="n">
        <v>45658</v>
      </c>
      <c r="D1214" t="inlineStr">
        <is>
          <t>VÄSTERBOTTENS LÄN</t>
        </is>
      </c>
      <c r="E1214" t="inlineStr">
        <is>
          <t>VILHELMINA</t>
        </is>
      </c>
      <c r="F1214" t="inlineStr">
        <is>
          <t>SCA</t>
        </is>
      </c>
      <c r="G1214" t="n">
        <v>23.6</v>
      </c>
      <c r="H1214" t="n">
        <v>0</v>
      </c>
      <c r="I1214" t="n">
        <v>0</v>
      </c>
      <c r="J1214" t="n">
        <v>0</v>
      </c>
      <c r="K1214" t="n">
        <v>0</v>
      </c>
      <c r="L1214" t="n">
        <v>0</v>
      </c>
      <c r="M1214" t="n">
        <v>0</v>
      </c>
      <c r="N1214" t="n">
        <v>0</v>
      </c>
      <c r="O1214" t="n">
        <v>0</v>
      </c>
      <c r="P1214" t="n">
        <v>0</v>
      </c>
      <c r="Q1214" t="n">
        <v>0</v>
      </c>
      <c r="R1214" s="2" t="inlineStr"/>
    </row>
    <row r="1215" ht="15" customHeight="1">
      <c r="A1215" t="inlineStr">
        <is>
          <t>A 29463-2024</t>
        </is>
      </c>
      <c r="B1215" s="1" t="n">
        <v>45484</v>
      </c>
      <c r="C1215" s="1" t="n">
        <v>45658</v>
      </c>
      <c r="D1215" t="inlineStr">
        <is>
          <t>VÄSTERBOTTENS LÄN</t>
        </is>
      </c>
      <c r="E1215" t="inlineStr">
        <is>
          <t>VILHELMINA</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29503-2024</t>
        </is>
      </c>
      <c r="B1216" s="1" t="n">
        <v>45484</v>
      </c>
      <c r="C1216" s="1" t="n">
        <v>45658</v>
      </c>
      <c r="D1216" t="inlineStr">
        <is>
          <t>VÄSTERBOTTENS LÄN</t>
        </is>
      </c>
      <c r="E1216" t="inlineStr">
        <is>
          <t>VILHELMINA</t>
        </is>
      </c>
      <c r="F1216" t="inlineStr">
        <is>
          <t>Sveaskog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29722-2024</t>
        </is>
      </c>
      <c r="B1217" s="1" t="n">
        <v>45485</v>
      </c>
      <c r="C1217" s="1" t="n">
        <v>45658</v>
      </c>
      <c r="D1217" t="inlineStr">
        <is>
          <t>VÄSTERBOTTENS LÄN</t>
        </is>
      </c>
      <c r="E1217" t="inlineStr">
        <is>
          <t>VILHELMINA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29732-2024</t>
        </is>
      </c>
      <c r="B1218" s="1" t="n">
        <v>45485</v>
      </c>
      <c r="C1218" s="1" t="n">
        <v>45658</v>
      </c>
      <c r="D1218" t="inlineStr">
        <is>
          <t>VÄSTERBOTTENS LÄN</t>
        </is>
      </c>
      <c r="E1218" t="inlineStr">
        <is>
          <t>VILHELMINA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29922-2024</t>
        </is>
      </c>
      <c r="B1219" s="1" t="n">
        <v>45488</v>
      </c>
      <c r="C1219" s="1" t="n">
        <v>45658</v>
      </c>
      <c r="D1219" t="inlineStr">
        <is>
          <t>VÄSTERBOTTENS LÄN</t>
        </is>
      </c>
      <c r="E1219" t="inlineStr">
        <is>
          <t>VILHELMINA</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30331-2024</t>
        </is>
      </c>
      <c r="B1220" s="1" t="n">
        <v>45491</v>
      </c>
      <c r="C1220" s="1" t="n">
        <v>45658</v>
      </c>
      <c r="D1220" t="inlineStr">
        <is>
          <t>VÄSTERBOTTENS LÄN</t>
        </is>
      </c>
      <c r="E1220" t="inlineStr">
        <is>
          <t>VILHELMINA</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30340-2024</t>
        </is>
      </c>
      <c r="B1221" s="1" t="n">
        <v>45491</v>
      </c>
      <c r="C1221" s="1" t="n">
        <v>45658</v>
      </c>
      <c r="D1221" t="inlineStr">
        <is>
          <t>VÄSTERBOTTENS LÄN</t>
        </is>
      </c>
      <c r="E1221" t="inlineStr">
        <is>
          <t>VILHELMINA</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30341-2024</t>
        </is>
      </c>
      <c r="B1222" s="1" t="n">
        <v>45491</v>
      </c>
      <c r="C1222" s="1" t="n">
        <v>45658</v>
      </c>
      <c r="D1222" t="inlineStr">
        <is>
          <t>VÄSTERBOTTENS LÄN</t>
        </is>
      </c>
      <c r="E1222" t="inlineStr">
        <is>
          <t>VILHELMINA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30583-2024</t>
        </is>
      </c>
      <c r="B1223" s="1" t="n">
        <v>45493</v>
      </c>
      <c r="C1223" s="1" t="n">
        <v>45658</v>
      </c>
      <c r="D1223" t="inlineStr">
        <is>
          <t>VÄSTERBOTTENS LÄN</t>
        </is>
      </c>
      <c r="E1223" t="inlineStr">
        <is>
          <t>VILHELMINA</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30577-2024</t>
        </is>
      </c>
      <c r="B1224" s="1" t="n">
        <v>45493</v>
      </c>
      <c r="C1224" s="1" t="n">
        <v>45658</v>
      </c>
      <c r="D1224" t="inlineStr">
        <is>
          <t>VÄSTERBOTTENS LÄN</t>
        </is>
      </c>
      <c r="E1224" t="inlineStr">
        <is>
          <t>VILHELMINA</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30574-2024</t>
        </is>
      </c>
      <c r="B1225" s="1" t="n">
        <v>45493</v>
      </c>
      <c r="C1225" s="1" t="n">
        <v>45658</v>
      </c>
      <c r="D1225" t="inlineStr">
        <is>
          <t>VÄSTERBOTTENS LÄN</t>
        </is>
      </c>
      <c r="E1225" t="inlineStr">
        <is>
          <t>VILHELMINA</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30578-2024</t>
        </is>
      </c>
      <c r="B1226" s="1" t="n">
        <v>45493</v>
      </c>
      <c r="C1226" s="1" t="n">
        <v>45658</v>
      </c>
      <c r="D1226" t="inlineStr">
        <is>
          <t>VÄSTERBOTTENS LÄN</t>
        </is>
      </c>
      <c r="E1226" t="inlineStr">
        <is>
          <t>VILHELMINA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30582-2024</t>
        </is>
      </c>
      <c r="B1227" s="1" t="n">
        <v>45492</v>
      </c>
      <c r="C1227" s="1" t="n">
        <v>45658</v>
      </c>
      <c r="D1227" t="inlineStr">
        <is>
          <t>VÄSTERBOTTENS LÄN</t>
        </is>
      </c>
      <c r="E1227" t="inlineStr">
        <is>
          <t>VILHELMINA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30575-2024</t>
        </is>
      </c>
      <c r="B1228" s="1" t="n">
        <v>45493</v>
      </c>
      <c r="C1228" s="1" t="n">
        <v>45658</v>
      </c>
      <c r="D1228" t="inlineStr">
        <is>
          <t>VÄSTERBOTTENS LÄN</t>
        </is>
      </c>
      <c r="E1228" t="inlineStr">
        <is>
          <t>VILHELMINA</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30572-2024</t>
        </is>
      </c>
      <c r="B1229" s="1" t="n">
        <v>45493</v>
      </c>
      <c r="C1229" s="1" t="n">
        <v>45658</v>
      </c>
      <c r="D1229" t="inlineStr">
        <is>
          <t>VÄSTERBOTTENS LÄN</t>
        </is>
      </c>
      <c r="E1229" t="inlineStr">
        <is>
          <t>VILHELMINA</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30576-2024</t>
        </is>
      </c>
      <c r="B1230" s="1" t="n">
        <v>45493</v>
      </c>
      <c r="C1230" s="1" t="n">
        <v>45658</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30580-2024</t>
        </is>
      </c>
      <c r="B1231" s="1" t="n">
        <v>45493</v>
      </c>
      <c r="C1231" s="1" t="n">
        <v>45658</v>
      </c>
      <c r="D1231" t="inlineStr">
        <is>
          <t>VÄSTERBOTTENS LÄN</t>
        </is>
      </c>
      <c r="E1231" t="inlineStr">
        <is>
          <t>VILHELMINA</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30681-2024</t>
        </is>
      </c>
      <c r="B1232" s="1" t="n">
        <v>45496</v>
      </c>
      <c r="C1232" s="1" t="n">
        <v>45658</v>
      </c>
      <c r="D1232" t="inlineStr">
        <is>
          <t>VÄSTERBOTTENS LÄN</t>
        </is>
      </c>
      <c r="E1232" t="inlineStr">
        <is>
          <t>VILHELMINA</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30817-2024</t>
        </is>
      </c>
      <c r="B1233" s="1" t="n">
        <v>45497</v>
      </c>
      <c r="C1233" s="1" t="n">
        <v>45658</v>
      </c>
      <c r="D1233" t="inlineStr">
        <is>
          <t>VÄSTERBOTTENS LÄN</t>
        </is>
      </c>
      <c r="E1233" t="inlineStr">
        <is>
          <t>VILHELMINA</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31095-2024</t>
        </is>
      </c>
      <c r="B1234" s="1" t="n">
        <v>45502</v>
      </c>
      <c r="C1234" s="1" t="n">
        <v>45658</v>
      </c>
      <c r="D1234" t="inlineStr">
        <is>
          <t>VÄSTERBOTTENS LÄN</t>
        </is>
      </c>
      <c r="E1234" t="inlineStr">
        <is>
          <t>VILHELMINA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31458-2024</t>
        </is>
      </c>
      <c r="B1235" s="1" t="n">
        <v>45506</v>
      </c>
      <c r="C1235" s="1" t="n">
        <v>45658</v>
      </c>
      <c r="D1235" t="inlineStr">
        <is>
          <t>VÄSTERBOTTENS LÄN</t>
        </is>
      </c>
      <c r="E1235" t="inlineStr">
        <is>
          <t>VILHELMINA</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31449-2024</t>
        </is>
      </c>
      <c r="B1236" s="1" t="n">
        <v>45506</v>
      </c>
      <c r="C1236" s="1" t="n">
        <v>45658</v>
      </c>
      <c r="D1236" t="inlineStr">
        <is>
          <t>VÄSTERBOTTENS LÄN</t>
        </is>
      </c>
      <c r="E1236" t="inlineStr">
        <is>
          <t>VILHELMINA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31461-2024</t>
        </is>
      </c>
      <c r="B1237" s="1" t="n">
        <v>45506</v>
      </c>
      <c r="C1237" s="1" t="n">
        <v>45658</v>
      </c>
      <c r="D1237" t="inlineStr">
        <is>
          <t>VÄSTERBOTTENS LÄN</t>
        </is>
      </c>
      <c r="E1237" t="inlineStr">
        <is>
          <t>VILHELMINA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31455-2024</t>
        </is>
      </c>
      <c r="B1238" s="1" t="n">
        <v>45506</v>
      </c>
      <c r="C1238" s="1" t="n">
        <v>45658</v>
      </c>
      <c r="D1238" t="inlineStr">
        <is>
          <t>VÄSTERBOTTENS LÄN</t>
        </is>
      </c>
      <c r="E1238" t="inlineStr">
        <is>
          <t>VILHELMINA</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31696-2024</t>
        </is>
      </c>
      <c r="B1239" s="1" t="n">
        <v>45508</v>
      </c>
      <c r="C1239" s="1" t="n">
        <v>45658</v>
      </c>
      <c r="D1239" t="inlineStr">
        <is>
          <t>VÄSTERBOTTENS LÄN</t>
        </is>
      </c>
      <c r="E1239" t="inlineStr">
        <is>
          <t>VILHELMINA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31851-2024</t>
        </is>
      </c>
      <c r="B1240" s="1" t="n">
        <v>45509</v>
      </c>
      <c r="C1240" s="1" t="n">
        <v>45658</v>
      </c>
      <c r="D1240" t="inlineStr">
        <is>
          <t>VÄSTERBOTTENS LÄN</t>
        </is>
      </c>
      <c r="E1240" t="inlineStr">
        <is>
          <t>VILHELMINA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31868-2024</t>
        </is>
      </c>
      <c r="B1241" s="1" t="n">
        <v>45509</v>
      </c>
      <c r="C1241" s="1" t="n">
        <v>45658</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31896-2024</t>
        </is>
      </c>
      <c r="B1242" s="1" t="n">
        <v>45510</v>
      </c>
      <c r="C1242" s="1" t="n">
        <v>45658</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31895-2024</t>
        </is>
      </c>
      <c r="B1243" s="1" t="n">
        <v>45510</v>
      </c>
      <c r="C1243" s="1" t="n">
        <v>45658</v>
      </c>
      <c r="D1243" t="inlineStr">
        <is>
          <t>VÄSTERBOTTENS LÄN</t>
        </is>
      </c>
      <c r="E1243" t="inlineStr">
        <is>
          <t>VILHELMINA</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31897-2024</t>
        </is>
      </c>
      <c r="B1244" s="1" t="n">
        <v>45509</v>
      </c>
      <c r="C1244" s="1" t="n">
        <v>45658</v>
      </c>
      <c r="D1244" t="inlineStr">
        <is>
          <t>VÄSTERBOTTENS LÄN</t>
        </is>
      </c>
      <c r="E1244" t="inlineStr">
        <is>
          <t>VILHELMINA</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32252-2024</t>
        </is>
      </c>
      <c r="B1245" s="1" t="n">
        <v>45511</v>
      </c>
      <c r="C1245" s="1" t="n">
        <v>45658</v>
      </c>
      <c r="D1245" t="inlineStr">
        <is>
          <t>VÄSTERBOTTENS LÄN</t>
        </is>
      </c>
      <c r="E1245" t="inlineStr">
        <is>
          <t>VILHELMINA</t>
        </is>
      </c>
      <c r="F1245" t="inlineStr">
        <is>
          <t>SCA</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32253-2024</t>
        </is>
      </c>
      <c r="B1246" s="1" t="n">
        <v>45512</v>
      </c>
      <c r="C1246" s="1" t="n">
        <v>45658</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32455-2024</t>
        </is>
      </c>
      <c r="B1247" s="1" t="n">
        <v>45513</v>
      </c>
      <c r="C1247" s="1" t="n">
        <v>45658</v>
      </c>
      <c r="D1247" t="inlineStr">
        <is>
          <t>VÄSTERBOTTENS LÄN</t>
        </is>
      </c>
      <c r="E1247" t="inlineStr">
        <is>
          <t>VILHELMINA</t>
        </is>
      </c>
      <c r="F1247" t="inlineStr">
        <is>
          <t>SCA</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32683-2024</t>
        </is>
      </c>
      <c r="B1248" s="1" t="n">
        <v>45515</v>
      </c>
      <c r="C1248" s="1" t="n">
        <v>45658</v>
      </c>
      <c r="D1248" t="inlineStr">
        <is>
          <t>VÄSTERBOTTENS LÄN</t>
        </is>
      </c>
      <c r="E1248" t="inlineStr">
        <is>
          <t>VILHELMINA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32901-2024</t>
        </is>
      </c>
      <c r="B1249" s="1" t="n">
        <v>45517</v>
      </c>
      <c r="C1249" s="1" t="n">
        <v>45658</v>
      </c>
      <c r="D1249" t="inlineStr">
        <is>
          <t>VÄSTERBOTTENS LÄN</t>
        </is>
      </c>
      <c r="E1249" t="inlineStr">
        <is>
          <t>VILHELMINA</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32926-2024</t>
        </is>
      </c>
      <c r="B1250" s="1" t="n">
        <v>45517</v>
      </c>
      <c r="C1250" s="1" t="n">
        <v>45658</v>
      </c>
      <c r="D1250" t="inlineStr">
        <is>
          <t>VÄSTERBOTTENS LÄN</t>
        </is>
      </c>
      <c r="E1250" t="inlineStr">
        <is>
          <t>VILHELMINA</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32921-2024</t>
        </is>
      </c>
      <c r="B1251" s="1" t="n">
        <v>45517</v>
      </c>
      <c r="C1251" s="1" t="n">
        <v>45658</v>
      </c>
      <c r="D1251" t="inlineStr">
        <is>
          <t>VÄSTERBOTTENS LÄN</t>
        </is>
      </c>
      <c r="E1251" t="inlineStr">
        <is>
          <t>VILHELMINA</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32925-2024</t>
        </is>
      </c>
      <c r="B1252" s="1" t="n">
        <v>45517</v>
      </c>
      <c r="C1252" s="1" t="n">
        <v>45658</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33319-2024</t>
        </is>
      </c>
      <c r="B1253" s="1" t="n">
        <v>45518</v>
      </c>
      <c r="C1253" s="1" t="n">
        <v>45658</v>
      </c>
      <c r="D1253" t="inlineStr">
        <is>
          <t>VÄSTERBOTTENS LÄN</t>
        </is>
      </c>
      <c r="E1253" t="inlineStr">
        <is>
          <t>VILHELMINA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33320-2024</t>
        </is>
      </c>
      <c r="B1254" s="1" t="n">
        <v>45518</v>
      </c>
      <c r="C1254" s="1" t="n">
        <v>45658</v>
      </c>
      <c r="D1254" t="inlineStr">
        <is>
          <t>VÄSTERBOTTENS LÄN</t>
        </is>
      </c>
      <c r="E1254" t="inlineStr">
        <is>
          <t>VILHELMINA</t>
        </is>
      </c>
      <c r="F1254" t="inlineStr">
        <is>
          <t>SCA</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33321-2024</t>
        </is>
      </c>
      <c r="B1255" s="1" t="n">
        <v>45519</v>
      </c>
      <c r="C1255" s="1" t="n">
        <v>45658</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33322-2024</t>
        </is>
      </c>
      <c r="B1256" s="1" t="n">
        <v>45518</v>
      </c>
      <c r="C1256" s="1" t="n">
        <v>45658</v>
      </c>
      <c r="D1256" t="inlineStr">
        <is>
          <t>VÄSTERBOTTENS LÄN</t>
        </is>
      </c>
      <c r="E1256" t="inlineStr">
        <is>
          <t>VILHELMINA</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33318-2024</t>
        </is>
      </c>
      <c r="B1257" s="1" t="n">
        <v>45519</v>
      </c>
      <c r="C1257" s="1" t="n">
        <v>45658</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33630-2024</t>
        </is>
      </c>
      <c r="B1258" s="1" t="n">
        <v>45520</v>
      </c>
      <c r="C1258" s="1" t="n">
        <v>45658</v>
      </c>
      <c r="D1258" t="inlineStr">
        <is>
          <t>VÄSTERBOTTENS LÄN</t>
        </is>
      </c>
      <c r="E1258" t="inlineStr">
        <is>
          <t>VILHELMINA</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33755-2024</t>
        </is>
      </c>
      <c r="B1259" s="1" t="n">
        <v>45520</v>
      </c>
      <c r="C1259" s="1" t="n">
        <v>45658</v>
      </c>
      <c r="D1259" t="inlineStr">
        <is>
          <t>VÄSTERBOTTENS LÄN</t>
        </is>
      </c>
      <c r="E1259" t="inlineStr">
        <is>
          <t>VILHELMINA</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33828-2024</t>
        </is>
      </c>
      <c r="B1260" s="1" t="n">
        <v>45520</v>
      </c>
      <c r="C1260" s="1" t="n">
        <v>45658</v>
      </c>
      <c r="D1260" t="inlineStr">
        <is>
          <t>VÄSTERBOTTENS LÄN</t>
        </is>
      </c>
      <c r="E1260" t="inlineStr">
        <is>
          <t>VILHELMINA</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33786-2024</t>
        </is>
      </c>
      <c r="B1261" s="1" t="n">
        <v>45520</v>
      </c>
      <c r="C1261" s="1" t="n">
        <v>45658</v>
      </c>
      <c r="D1261" t="inlineStr">
        <is>
          <t>VÄSTERBOTTENS LÄN</t>
        </is>
      </c>
      <c r="E1261" t="inlineStr">
        <is>
          <t>VILHELMINA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33823-2024</t>
        </is>
      </c>
      <c r="B1262" s="1" t="n">
        <v>45520</v>
      </c>
      <c r="C1262" s="1" t="n">
        <v>45658</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34135-2024</t>
        </is>
      </c>
      <c r="B1263" s="1" t="n">
        <v>45524</v>
      </c>
      <c r="C1263" s="1" t="n">
        <v>45658</v>
      </c>
      <c r="D1263" t="inlineStr">
        <is>
          <t>VÄSTERBOTTENS LÄN</t>
        </is>
      </c>
      <c r="E1263" t="inlineStr">
        <is>
          <t>VILHELMINA</t>
        </is>
      </c>
      <c r="F1263" t="inlineStr">
        <is>
          <t>Sveaskog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34130-2024</t>
        </is>
      </c>
      <c r="B1264" s="1" t="n">
        <v>45524</v>
      </c>
      <c r="C1264" s="1" t="n">
        <v>45658</v>
      </c>
      <c r="D1264" t="inlineStr">
        <is>
          <t>VÄSTERBOTTENS LÄN</t>
        </is>
      </c>
      <c r="E1264" t="inlineStr">
        <is>
          <t>VILHELMINA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34762-2024</t>
        </is>
      </c>
      <c r="B1265" s="1" t="n">
        <v>45526</v>
      </c>
      <c r="C1265" s="1" t="n">
        <v>45658</v>
      </c>
      <c r="D1265" t="inlineStr">
        <is>
          <t>VÄSTERBOTTENS LÄN</t>
        </is>
      </c>
      <c r="E1265" t="inlineStr">
        <is>
          <t>VILHELMINA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34819-2024</t>
        </is>
      </c>
      <c r="B1266" s="1" t="n">
        <v>45526</v>
      </c>
      <c r="C1266" s="1" t="n">
        <v>45658</v>
      </c>
      <c r="D1266" t="inlineStr">
        <is>
          <t>VÄSTERBOTTENS LÄN</t>
        </is>
      </c>
      <c r="E1266" t="inlineStr">
        <is>
          <t>VILHELMINA</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34743-2024</t>
        </is>
      </c>
      <c r="B1267" s="1" t="n">
        <v>45526</v>
      </c>
      <c r="C1267" s="1" t="n">
        <v>45658</v>
      </c>
      <c r="D1267" t="inlineStr">
        <is>
          <t>VÄSTERBOTTENS LÄN</t>
        </is>
      </c>
      <c r="E1267" t="inlineStr">
        <is>
          <t>VILHELMINA</t>
        </is>
      </c>
      <c r="F1267" t="inlineStr">
        <is>
          <t>SCA</t>
        </is>
      </c>
      <c r="G1267" t="n">
        <v>28.2</v>
      </c>
      <c r="H1267" t="n">
        <v>0</v>
      </c>
      <c r="I1267" t="n">
        <v>0</v>
      </c>
      <c r="J1267" t="n">
        <v>0</v>
      </c>
      <c r="K1267" t="n">
        <v>0</v>
      </c>
      <c r="L1267" t="n">
        <v>0</v>
      </c>
      <c r="M1267" t="n">
        <v>0</v>
      </c>
      <c r="N1267" t="n">
        <v>0</v>
      </c>
      <c r="O1267" t="n">
        <v>0</v>
      </c>
      <c r="P1267" t="n">
        <v>0</v>
      </c>
      <c r="Q1267" t="n">
        <v>0</v>
      </c>
      <c r="R1267" s="2" t="inlineStr"/>
    </row>
    <row r="1268" ht="15" customHeight="1">
      <c r="A1268" t="inlineStr">
        <is>
          <t>A 34763-2024</t>
        </is>
      </c>
      <c r="B1268" s="1" t="n">
        <v>45526</v>
      </c>
      <c r="C1268" s="1" t="n">
        <v>45658</v>
      </c>
      <c r="D1268" t="inlineStr">
        <is>
          <t>VÄSTERBOTTENS LÄN</t>
        </is>
      </c>
      <c r="E1268" t="inlineStr">
        <is>
          <t>VILHELMINA</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34630-2024</t>
        </is>
      </c>
      <c r="B1269" s="1" t="n">
        <v>45526</v>
      </c>
      <c r="C1269" s="1" t="n">
        <v>45658</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34719-2024</t>
        </is>
      </c>
      <c r="B1270" s="1" t="n">
        <v>45526</v>
      </c>
      <c r="C1270" s="1" t="n">
        <v>45658</v>
      </c>
      <c r="D1270" t="inlineStr">
        <is>
          <t>VÄSTERBOTTENS LÄN</t>
        </is>
      </c>
      <c r="E1270" t="inlineStr">
        <is>
          <t>VILHELMINA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34764-2024</t>
        </is>
      </c>
      <c r="B1271" s="1" t="n">
        <v>45526</v>
      </c>
      <c r="C1271" s="1" t="n">
        <v>45658</v>
      </c>
      <c r="D1271" t="inlineStr">
        <is>
          <t>VÄSTERBOTTENS LÄN</t>
        </is>
      </c>
      <c r="E1271" t="inlineStr">
        <is>
          <t>VILHELMINA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35156-2024</t>
        </is>
      </c>
      <c r="B1272" s="1" t="n">
        <v>45530</v>
      </c>
      <c r="C1272" s="1" t="n">
        <v>45658</v>
      </c>
      <c r="D1272" t="inlineStr">
        <is>
          <t>VÄSTERBOTTENS LÄN</t>
        </is>
      </c>
      <c r="E1272" t="inlineStr">
        <is>
          <t>VILHELMINA</t>
        </is>
      </c>
      <c r="F1272" t="inlineStr">
        <is>
          <t>Övriga Aktiebolag</t>
        </is>
      </c>
      <c r="G1272" t="n">
        <v>12.7</v>
      </c>
      <c r="H1272" t="n">
        <v>0</v>
      </c>
      <c r="I1272" t="n">
        <v>0</v>
      </c>
      <c r="J1272" t="n">
        <v>0</v>
      </c>
      <c r="K1272" t="n">
        <v>0</v>
      </c>
      <c r="L1272" t="n">
        <v>0</v>
      </c>
      <c r="M1272" t="n">
        <v>0</v>
      </c>
      <c r="N1272" t="n">
        <v>0</v>
      </c>
      <c r="O1272" t="n">
        <v>0</v>
      </c>
      <c r="P1272" t="n">
        <v>0</v>
      </c>
      <c r="Q1272" t="n">
        <v>0</v>
      </c>
      <c r="R1272" s="2" t="inlineStr"/>
    </row>
    <row r="1273" ht="15" customHeight="1">
      <c r="A1273" t="inlineStr">
        <is>
          <t>A 35372-2024</t>
        </is>
      </c>
      <c r="B1273" s="1" t="n">
        <v>45531</v>
      </c>
      <c r="C1273" s="1" t="n">
        <v>45658</v>
      </c>
      <c r="D1273" t="inlineStr">
        <is>
          <t>VÄSTERBOTTENS LÄN</t>
        </is>
      </c>
      <c r="E1273" t="inlineStr">
        <is>
          <t>VILHELMINA</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35377-2024</t>
        </is>
      </c>
      <c r="B1274" s="1" t="n">
        <v>45531</v>
      </c>
      <c r="C1274" s="1" t="n">
        <v>45658</v>
      </c>
      <c r="D1274" t="inlineStr">
        <is>
          <t>VÄSTERBOTTENS LÄN</t>
        </is>
      </c>
      <c r="E1274" t="inlineStr">
        <is>
          <t>VILHELMINA</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35409-2024</t>
        </is>
      </c>
      <c r="B1275" s="1" t="n">
        <v>45531</v>
      </c>
      <c r="C1275" s="1" t="n">
        <v>45658</v>
      </c>
      <c r="D1275" t="inlineStr">
        <is>
          <t>VÄSTERBOTTENS LÄN</t>
        </is>
      </c>
      <c r="E1275" t="inlineStr">
        <is>
          <t>VILHELMINA</t>
        </is>
      </c>
      <c r="F1275" t="inlineStr">
        <is>
          <t>SCA</t>
        </is>
      </c>
      <c r="G1275" t="n">
        <v>13.1</v>
      </c>
      <c r="H1275" t="n">
        <v>0</v>
      </c>
      <c r="I1275" t="n">
        <v>0</v>
      </c>
      <c r="J1275" t="n">
        <v>0</v>
      </c>
      <c r="K1275" t="n">
        <v>0</v>
      </c>
      <c r="L1275" t="n">
        <v>0</v>
      </c>
      <c r="M1275" t="n">
        <v>0</v>
      </c>
      <c r="N1275" t="n">
        <v>0</v>
      </c>
      <c r="O1275" t="n">
        <v>0</v>
      </c>
      <c r="P1275" t="n">
        <v>0</v>
      </c>
      <c r="Q1275" t="n">
        <v>0</v>
      </c>
      <c r="R1275" s="2" t="inlineStr"/>
    </row>
    <row r="1276" ht="15" customHeight="1">
      <c r="A1276" t="inlineStr">
        <is>
          <t>A 35473-2024</t>
        </is>
      </c>
      <c r="B1276" s="1" t="n">
        <v>45531</v>
      </c>
      <c r="C1276" s="1" t="n">
        <v>45658</v>
      </c>
      <c r="D1276" t="inlineStr">
        <is>
          <t>VÄSTERBOTTENS LÄN</t>
        </is>
      </c>
      <c r="E1276" t="inlineStr">
        <is>
          <t>VILHELMINA</t>
        </is>
      </c>
      <c r="G1276" t="n">
        <v>11.6</v>
      </c>
      <c r="H1276" t="n">
        <v>0</v>
      </c>
      <c r="I1276" t="n">
        <v>0</v>
      </c>
      <c r="J1276" t="n">
        <v>0</v>
      </c>
      <c r="K1276" t="n">
        <v>0</v>
      </c>
      <c r="L1276" t="n">
        <v>0</v>
      </c>
      <c r="M1276" t="n">
        <v>0</v>
      </c>
      <c r="N1276" t="n">
        <v>0</v>
      </c>
      <c r="O1276" t="n">
        <v>0</v>
      </c>
      <c r="P1276" t="n">
        <v>0</v>
      </c>
      <c r="Q1276" t="n">
        <v>0</v>
      </c>
      <c r="R1276" s="2" t="inlineStr"/>
    </row>
    <row r="1277" ht="15" customHeight="1">
      <c r="A1277" t="inlineStr">
        <is>
          <t>A 35412-2024</t>
        </is>
      </c>
      <c r="B1277" s="1" t="n">
        <v>45531</v>
      </c>
      <c r="C1277" s="1" t="n">
        <v>45658</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36320-2024</t>
        </is>
      </c>
      <c r="B1278" s="1" t="n">
        <v>45534</v>
      </c>
      <c r="C1278" s="1" t="n">
        <v>45658</v>
      </c>
      <c r="D1278" t="inlineStr">
        <is>
          <t>VÄSTERBOTTENS LÄN</t>
        </is>
      </c>
      <c r="E1278" t="inlineStr">
        <is>
          <t>VILHELMINA</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36293-2024</t>
        </is>
      </c>
      <c r="B1279" s="1" t="n">
        <v>45534</v>
      </c>
      <c r="C1279" s="1" t="n">
        <v>45658</v>
      </c>
      <c r="D1279" t="inlineStr">
        <is>
          <t>VÄSTERBOTTENS LÄN</t>
        </is>
      </c>
      <c r="E1279" t="inlineStr">
        <is>
          <t>VILHELMINA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36301-2024</t>
        </is>
      </c>
      <c r="B1280" s="1" t="n">
        <v>45534</v>
      </c>
      <c r="C1280" s="1" t="n">
        <v>45658</v>
      </c>
      <c r="D1280" t="inlineStr">
        <is>
          <t>VÄSTERBOTTENS LÄN</t>
        </is>
      </c>
      <c r="E1280" t="inlineStr">
        <is>
          <t>VILHELMINA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36333-2024</t>
        </is>
      </c>
      <c r="B1281" s="1" t="n">
        <v>45534</v>
      </c>
      <c r="C1281" s="1" t="n">
        <v>45658</v>
      </c>
      <c r="D1281" t="inlineStr">
        <is>
          <t>VÄSTERBOTTENS LÄN</t>
        </is>
      </c>
      <c r="E1281" t="inlineStr">
        <is>
          <t>VILHELMINA</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36323-2024</t>
        </is>
      </c>
      <c r="B1282" s="1" t="n">
        <v>45534</v>
      </c>
      <c r="C1282" s="1" t="n">
        <v>45658</v>
      </c>
      <c r="D1282" t="inlineStr">
        <is>
          <t>VÄSTERBOTTENS LÄN</t>
        </is>
      </c>
      <c r="E1282" t="inlineStr">
        <is>
          <t>VILHELMINA</t>
        </is>
      </c>
      <c r="F1282" t="inlineStr">
        <is>
          <t>SCA</t>
        </is>
      </c>
      <c r="G1282" t="n">
        <v>29.7</v>
      </c>
      <c r="H1282" t="n">
        <v>0</v>
      </c>
      <c r="I1282" t="n">
        <v>0</v>
      </c>
      <c r="J1282" t="n">
        <v>0</v>
      </c>
      <c r="K1282" t="n">
        <v>0</v>
      </c>
      <c r="L1282" t="n">
        <v>0</v>
      </c>
      <c r="M1282" t="n">
        <v>0</v>
      </c>
      <c r="N1282" t="n">
        <v>0</v>
      </c>
      <c r="O1282" t="n">
        <v>0</v>
      </c>
      <c r="P1282" t="n">
        <v>0</v>
      </c>
      <c r="Q1282" t="n">
        <v>0</v>
      </c>
      <c r="R1282" s="2" t="inlineStr"/>
    </row>
    <row r="1283" ht="15" customHeight="1">
      <c r="A1283" t="inlineStr">
        <is>
          <t>A 36355-2024</t>
        </is>
      </c>
      <c r="B1283" s="1" t="n">
        <v>45534</v>
      </c>
      <c r="C1283" s="1" t="n">
        <v>45658</v>
      </c>
      <c r="D1283" t="inlineStr">
        <is>
          <t>VÄSTERBOTTENS LÄN</t>
        </is>
      </c>
      <c r="E1283" t="inlineStr">
        <is>
          <t>VILHELMINA</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36349-2024</t>
        </is>
      </c>
      <c r="B1284" s="1" t="n">
        <v>45534</v>
      </c>
      <c r="C1284" s="1" t="n">
        <v>45658</v>
      </c>
      <c r="D1284" t="inlineStr">
        <is>
          <t>VÄSTERBOTTENS LÄN</t>
        </is>
      </c>
      <c r="E1284" t="inlineStr">
        <is>
          <t>VILHELMINA</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36348-2024</t>
        </is>
      </c>
      <c r="B1285" s="1" t="n">
        <v>45534</v>
      </c>
      <c r="C1285" s="1" t="n">
        <v>45658</v>
      </c>
      <c r="D1285" t="inlineStr">
        <is>
          <t>VÄSTERBOTTENS LÄN</t>
        </is>
      </c>
      <c r="E1285" t="inlineStr">
        <is>
          <t>VILHELMINA</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36788-2024</t>
        </is>
      </c>
      <c r="B1286" s="1" t="n">
        <v>45538</v>
      </c>
      <c r="C1286" s="1" t="n">
        <v>45658</v>
      </c>
      <c r="D1286" t="inlineStr">
        <is>
          <t>VÄSTERBOTTENS LÄN</t>
        </is>
      </c>
      <c r="E1286" t="inlineStr">
        <is>
          <t>VILHELMINA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36909-2024</t>
        </is>
      </c>
      <c r="B1287" s="1" t="n">
        <v>45538</v>
      </c>
      <c r="C1287" s="1" t="n">
        <v>45658</v>
      </c>
      <c r="D1287" t="inlineStr">
        <is>
          <t>VÄSTERBOTTENS LÄN</t>
        </is>
      </c>
      <c r="E1287" t="inlineStr">
        <is>
          <t>VILHELMINA</t>
        </is>
      </c>
      <c r="F1287" t="inlineStr">
        <is>
          <t>SCA</t>
        </is>
      </c>
      <c r="G1287" t="n">
        <v>16.8</v>
      </c>
      <c r="H1287" t="n">
        <v>0</v>
      </c>
      <c r="I1287" t="n">
        <v>0</v>
      </c>
      <c r="J1287" t="n">
        <v>0</v>
      </c>
      <c r="K1287" t="n">
        <v>0</v>
      </c>
      <c r="L1287" t="n">
        <v>0</v>
      </c>
      <c r="M1287" t="n">
        <v>0</v>
      </c>
      <c r="N1287" t="n">
        <v>0</v>
      </c>
      <c r="O1287" t="n">
        <v>0</v>
      </c>
      <c r="P1287" t="n">
        <v>0</v>
      </c>
      <c r="Q1287" t="n">
        <v>0</v>
      </c>
      <c r="R1287" s="2" t="inlineStr"/>
    </row>
    <row r="1288" ht="15" customHeight="1">
      <c r="A1288" t="inlineStr">
        <is>
          <t>A 37272-2024</t>
        </is>
      </c>
      <c r="B1288" s="1" t="n">
        <v>45540</v>
      </c>
      <c r="C1288" s="1" t="n">
        <v>45658</v>
      </c>
      <c r="D1288" t="inlineStr">
        <is>
          <t>VÄSTERBOTTENS LÄN</t>
        </is>
      </c>
      <c r="E1288" t="inlineStr">
        <is>
          <t>VILHELMINA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37346-2024</t>
        </is>
      </c>
      <c r="B1289" s="1" t="n">
        <v>45540</v>
      </c>
      <c r="C1289" s="1" t="n">
        <v>45658</v>
      </c>
      <c r="D1289" t="inlineStr">
        <is>
          <t>VÄSTERBOTTENS LÄN</t>
        </is>
      </c>
      <c r="E1289" t="inlineStr">
        <is>
          <t>VILHELMINA</t>
        </is>
      </c>
      <c r="G1289" t="n">
        <v>100.3</v>
      </c>
      <c r="H1289" t="n">
        <v>0</v>
      </c>
      <c r="I1289" t="n">
        <v>0</v>
      </c>
      <c r="J1289" t="n">
        <v>0</v>
      </c>
      <c r="K1289" t="n">
        <v>0</v>
      </c>
      <c r="L1289" t="n">
        <v>0</v>
      </c>
      <c r="M1289" t="n">
        <v>0</v>
      </c>
      <c r="N1289" t="n">
        <v>0</v>
      </c>
      <c r="O1289" t="n">
        <v>0</v>
      </c>
      <c r="P1289" t="n">
        <v>0</v>
      </c>
      <c r="Q1289" t="n">
        <v>0</v>
      </c>
      <c r="R1289" s="2" t="inlineStr"/>
    </row>
    <row r="1290" ht="15" customHeight="1">
      <c r="A1290" t="inlineStr">
        <is>
          <t>A 37514-2024</t>
        </is>
      </c>
      <c r="B1290" s="1" t="n">
        <v>45541</v>
      </c>
      <c r="C1290" s="1" t="n">
        <v>45658</v>
      </c>
      <c r="D1290" t="inlineStr">
        <is>
          <t>VÄSTERBOTTENS LÄN</t>
        </is>
      </c>
      <c r="E1290" t="inlineStr">
        <is>
          <t>VILHELMINA</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37715-2024</t>
        </is>
      </c>
      <c r="B1291" s="1" t="n">
        <v>45541</v>
      </c>
      <c r="C1291" s="1" t="n">
        <v>45658</v>
      </c>
      <c r="D1291" t="inlineStr">
        <is>
          <t>VÄSTERBOTTENS LÄN</t>
        </is>
      </c>
      <c r="E1291" t="inlineStr">
        <is>
          <t>VILHELMINA</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37714-2024</t>
        </is>
      </c>
      <c r="B1292" s="1" t="n">
        <v>45541</v>
      </c>
      <c r="C1292" s="1" t="n">
        <v>45658</v>
      </c>
      <c r="D1292" t="inlineStr">
        <is>
          <t>VÄSTERBOTTENS LÄN</t>
        </is>
      </c>
      <c r="E1292" t="inlineStr">
        <is>
          <t>VILHELMINA</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37717-2024</t>
        </is>
      </c>
      <c r="B1293" s="1" t="n">
        <v>45541</v>
      </c>
      <c r="C1293" s="1" t="n">
        <v>45658</v>
      </c>
      <c r="D1293" t="inlineStr">
        <is>
          <t>VÄSTERBOTTENS LÄN</t>
        </is>
      </c>
      <c r="E1293" t="inlineStr">
        <is>
          <t>VILHELMINA</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37716-2024</t>
        </is>
      </c>
      <c r="B1294" s="1" t="n">
        <v>45541</v>
      </c>
      <c r="C1294" s="1" t="n">
        <v>45658</v>
      </c>
      <c r="D1294" t="inlineStr">
        <is>
          <t>VÄSTERBOTTENS LÄN</t>
        </is>
      </c>
      <c r="E1294" t="inlineStr">
        <is>
          <t>VILHELMINA</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38125-2024</t>
        </is>
      </c>
      <c r="B1295" s="1" t="n">
        <v>45545</v>
      </c>
      <c r="C1295" s="1" t="n">
        <v>45658</v>
      </c>
      <c r="D1295" t="inlineStr">
        <is>
          <t>VÄSTERBOTTENS LÄN</t>
        </is>
      </c>
      <c r="E1295" t="inlineStr">
        <is>
          <t>VILHELMINA</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38130-2024</t>
        </is>
      </c>
      <c r="B1296" s="1" t="n">
        <v>45545</v>
      </c>
      <c r="C1296" s="1" t="n">
        <v>45658</v>
      </c>
      <c r="D1296" t="inlineStr">
        <is>
          <t>VÄSTERBOTTENS LÄN</t>
        </is>
      </c>
      <c r="E1296" t="inlineStr">
        <is>
          <t>VILHELMINA</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38126-2024</t>
        </is>
      </c>
      <c r="B1297" s="1" t="n">
        <v>45545</v>
      </c>
      <c r="C1297" s="1" t="n">
        <v>45658</v>
      </c>
      <c r="D1297" t="inlineStr">
        <is>
          <t>VÄSTERBOTTENS LÄN</t>
        </is>
      </c>
      <c r="E1297" t="inlineStr">
        <is>
          <t>VILHELMINA</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38187-2024</t>
        </is>
      </c>
      <c r="B1298" s="1" t="n">
        <v>45545</v>
      </c>
      <c r="C1298" s="1" t="n">
        <v>45658</v>
      </c>
      <c r="D1298" t="inlineStr">
        <is>
          <t>VÄSTERBOTTENS LÄN</t>
        </is>
      </c>
      <c r="E1298" t="inlineStr">
        <is>
          <t>VILHELMINA</t>
        </is>
      </c>
      <c r="F1298" t="inlineStr">
        <is>
          <t>SCA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38173-2024</t>
        </is>
      </c>
      <c r="B1299" s="1" t="n">
        <v>45545</v>
      </c>
      <c r="C1299" s="1" t="n">
        <v>45658</v>
      </c>
      <c r="D1299" t="inlineStr">
        <is>
          <t>VÄSTERBOTTENS LÄN</t>
        </is>
      </c>
      <c r="E1299" t="inlineStr">
        <is>
          <t>VILHELMINA</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38297-2024</t>
        </is>
      </c>
      <c r="B1300" s="1" t="n">
        <v>45545</v>
      </c>
      <c r="C1300" s="1" t="n">
        <v>45658</v>
      </c>
      <c r="D1300" t="inlineStr">
        <is>
          <t>VÄSTERBOTTENS LÄN</t>
        </is>
      </c>
      <c r="E1300" t="inlineStr">
        <is>
          <t>VILHELMINA</t>
        </is>
      </c>
      <c r="G1300" t="n">
        <v>139.8</v>
      </c>
      <c r="H1300" t="n">
        <v>0</v>
      </c>
      <c r="I1300" t="n">
        <v>0</v>
      </c>
      <c r="J1300" t="n">
        <v>0</v>
      </c>
      <c r="K1300" t="n">
        <v>0</v>
      </c>
      <c r="L1300" t="n">
        <v>0</v>
      </c>
      <c r="M1300" t="n">
        <v>0</v>
      </c>
      <c r="N1300" t="n">
        <v>0</v>
      </c>
      <c r="O1300" t="n">
        <v>0</v>
      </c>
      <c r="P1300" t="n">
        <v>0</v>
      </c>
      <c r="Q1300" t="n">
        <v>0</v>
      </c>
      <c r="R1300" s="2" t="inlineStr"/>
    </row>
    <row r="1301" ht="15" customHeight="1">
      <c r="A1301" t="inlineStr">
        <is>
          <t>A 38222-2024</t>
        </is>
      </c>
      <c r="B1301" s="1" t="n">
        <v>45545</v>
      </c>
      <c r="C1301" s="1" t="n">
        <v>45658</v>
      </c>
      <c r="D1301" t="inlineStr">
        <is>
          <t>VÄSTERBOTTENS LÄN</t>
        </is>
      </c>
      <c r="E1301" t="inlineStr">
        <is>
          <t>VILHELMINA</t>
        </is>
      </c>
      <c r="F1301" t="inlineStr">
        <is>
          <t>Sveaskog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38569-2024</t>
        </is>
      </c>
      <c r="B1302" s="1" t="n">
        <v>45546</v>
      </c>
      <c r="C1302" s="1" t="n">
        <v>45658</v>
      </c>
      <c r="D1302" t="inlineStr">
        <is>
          <t>VÄSTERBOTTENS LÄN</t>
        </is>
      </c>
      <c r="E1302" t="inlineStr">
        <is>
          <t>VILHELMINA</t>
        </is>
      </c>
      <c r="G1302" t="n">
        <v>31.5</v>
      </c>
      <c r="H1302" t="n">
        <v>0</v>
      </c>
      <c r="I1302" t="n">
        <v>0</v>
      </c>
      <c r="J1302" t="n">
        <v>0</v>
      </c>
      <c r="K1302" t="n">
        <v>0</v>
      </c>
      <c r="L1302" t="n">
        <v>0</v>
      </c>
      <c r="M1302" t="n">
        <v>0</v>
      </c>
      <c r="N1302" t="n">
        <v>0</v>
      </c>
      <c r="O1302" t="n">
        <v>0</v>
      </c>
      <c r="P1302" t="n">
        <v>0</v>
      </c>
      <c r="Q1302" t="n">
        <v>0</v>
      </c>
      <c r="R1302" s="2" t="inlineStr"/>
    </row>
    <row r="1303" ht="15" customHeight="1">
      <c r="A1303" t="inlineStr">
        <is>
          <t>A 38555-2024</t>
        </is>
      </c>
      <c r="B1303" s="1" t="n">
        <v>45546</v>
      </c>
      <c r="C1303" s="1" t="n">
        <v>45658</v>
      </c>
      <c r="D1303" t="inlineStr">
        <is>
          <t>VÄSTERBOTTENS LÄN</t>
        </is>
      </c>
      <c r="E1303" t="inlineStr">
        <is>
          <t>VILHELMINA</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39035-2024</t>
        </is>
      </c>
      <c r="B1304" s="1" t="n">
        <v>45548</v>
      </c>
      <c r="C1304" s="1" t="n">
        <v>45658</v>
      </c>
      <c r="D1304" t="inlineStr">
        <is>
          <t>VÄSTERBOTTENS LÄN</t>
        </is>
      </c>
      <c r="E1304" t="inlineStr">
        <is>
          <t>VILHELMINA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39613-2024</t>
        </is>
      </c>
      <c r="B1305" s="1" t="n">
        <v>45552</v>
      </c>
      <c r="C1305" s="1" t="n">
        <v>45658</v>
      </c>
      <c r="D1305" t="inlineStr">
        <is>
          <t>VÄSTERBOTTENS LÄN</t>
        </is>
      </c>
      <c r="E1305" t="inlineStr">
        <is>
          <t>VILHELMINA</t>
        </is>
      </c>
      <c r="G1305" t="n">
        <v>19.1</v>
      </c>
      <c r="H1305" t="n">
        <v>0</v>
      </c>
      <c r="I1305" t="n">
        <v>0</v>
      </c>
      <c r="J1305" t="n">
        <v>0</v>
      </c>
      <c r="K1305" t="n">
        <v>0</v>
      </c>
      <c r="L1305" t="n">
        <v>0</v>
      </c>
      <c r="M1305" t="n">
        <v>0</v>
      </c>
      <c r="N1305" t="n">
        <v>0</v>
      </c>
      <c r="O1305" t="n">
        <v>0</v>
      </c>
      <c r="P1305" t="n">
        <v>0</v>
      </c>
      <c r="Q1305" t="n">
        <v>0</v>
      </c>
      <c r="R1305" s="2" t="inlineStr"/>
    </row>
    <row r="1306" ht="15" customHeight="1">
      <c r="A1306" t="inlineStr">
        <is>
          <t>A 39643-2024</t>
        </is>
      </c>
      <c r="B1306" s="1" t="n">
        <v>45552</v>
      </c>
      <c r="C1306" s="1" t="n">
        <v>45658</v>
      </c>
      <c r="D1306" t="inlineStr">
        <is>
          <t>VÄSTERBOTTENS LÄN</t>
        </is>
      </c>
      <c r="E1306" t="inlineStr">
        <is>
          <t>VILHELMINA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39679-2024</t>
        </is>
      </c>
      <c r="B1307" s="1" t="n">
        <v>45552</v>
      </c>
      <c r="C1307" s="1" t="n">
        <v>45658</v>
      </c>
      <c r="D1307" t="inlineStr">
        <is>
          <t>VÄSTERBOTTENS LÄN</t>
        </is>
      </c>
      <c r="E1307" t="inlineStr">
        <is>
          <t>VILHELMINA</t>
        </is>
      </c>
      <c r="F1307" t="inlineStr">
        <is>
          <t>SCA</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39677-2024</t>
        </is>
      </c>
      <c r="B1308" s="1" t="n">
        <v>45552</v>
      </c>
      <c r="C1308" s="1" t="n">
        <v>45658</v>
      </c>
      <c r="D1308" t="inlineStr">
        <is>
          <t>VÄSTERBOTTENS LÄN</t>
        </is>
      </c>
      <c r="E1308" t="inlineStr">
        <is>
          <t>VILHELMINA</t>
        </is>
      </c>
      <c r="F1308" t="inlineStr">
        <is>
          <t>SCA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39681-2024</t>
        </is>
      </c>
      <c r="B1309" s="1" t="n">
        <v>45552</v>
      </c>
      <c r="C1309" s="1" t="n">
        <v>45658</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39670-2024</t>
        </is>
      </c>
      <c r="B1310" s="1" t="n">
        <v>45552</v>
      </c>
      <c r="C1310" s="1" t="n">
        <v>45658</v>
      </c>
      <c r="D1310" t="inlineStr">
        <is>
          <t>VÄSTERBOTTENS LÄN</t>
        </is>
      </c>
      <c r="E1310" t="inlineStr">
        <is>
          <t>VILHELMINA</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39676-2024</t>
        </is>
      </c>
      <c r="B1311" s="1" t="n">
        <v>45552</v>
      </c>
      <c r="C1311" s="1" t="n">
        <v>45658</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39680-2024</t>
        </is>
      </c>
      <c r="B1312" s="1" t="n">
        <v>45552</v>
      </c>
      <c r="C1312" s="1" t="n">
        <v>45658</v>
      </c>
      <c r="D1312" t="inlineStr">
        <is>
          <t>VÄSTERBOTTENS LÄN</t>
        </is>
      </c>
      <c r="E1312" t="inlineStr">
        <is>
          <t>VILHELMINA</t>
        </is>
      </c>
      <c r="F1312" t="inlineStr">
        <is>
          <t>SCA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40505-2024</t>
        </is>
      </c>
      <c r="B1313" s="1" t="n">
        <v>45555</v>
      </c>
      <c r="C1313" s="1" t="n">
        <v>45658</v>
      </c>
      <c r="D1313" t="inlineStr">
        <is>
          <t>VÄSTERBOTTENS LÄN</t>
        </is>
      </c>
      <c r="E1313" t="inlineStr">
        <is>
          <t>VILHELMINA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40462-2024</t>
        </is>
      </c>
      <c r="B1314" s="1" t="n">
        <v>45555</v>
      </c>
      <c r="C1314" s="1" t="n">
        <v>45658</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40726-2024</t>
        </is>
      </c>
      <c r="B1315" s="1" t="n">
        <v>45558</v>
      </c>
      <c r="C1315" s="1" t="n">
        <v>45658</v>
      </c>
      <c r="D1315" t="inlineStr">
        <is>
          <t>VÄSTERBOTTENS LÄN</t>
        </is>
      </c>
      <c r="E1315" t="inlineStr">
        <is>
          <t>VILHELMINA</t>
        </is>
      </c>
      <c r="F1315" t="inlineStr">
        <is>
          <t>Allmännings- och besparingsskogar</t>
        </is>
      </c>
      <c r="G1315" t="n">
        <v>73.59999999999999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40796-2024</t>
        </is>
      </c>
      <c r="B1316" s="1" t="n">
        <v>45558</v>
      </c>
      <c r="C1316" s="1" t="n">
        <v>45658</v>
      </c>
      <c r="D1316" t="inlineStr">
        <is>
          <t>VÄSTERBOTTENS LÄN</t>
        </is>
      </c>
      <c r="E1316" t="inlineStr">
        <is>
          <t>VILHELMINA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40732-2024</t>
        </is>
      </c>
      <c r="B1317" s="1" t="n">
        <v>45558</v>
      </c>
      <c r="C1317" s="1" t="n">
        <v>45658</v>
      </c>
      <c r="D1317" t="inlineStr">
        <is>
          <t>VÄSTERBOTTENS LÄN</t>
        </is>
      </c>
      <c r="E1317" t="inlineStr">
        <is>
          <t>VILHELMINA</t>
        </is>
      </c>
      <c r="F1317" t="inlineStr">
        <is>
          <t>Allmännings- och besparingsskogar</t>
        </is>
      </c>
      <c r="G1317" t="n">
        <v>89.59999999999999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41644-2024</t>
        </is>
      </c>
      <c r="B1318" s="1" t="n">
        <v>45560</v>
      </c>
      <c r="C1318" s="1" t="n">
        <v>45658</v>
      </c>
      <c r="D1318" t="inlineStr">
        <is>
          <t>VÄSTERBOTTENS LÄN</t>
        </is>
      </c>
      <c r="E1318" t="inlineStr">
        <is>
          <t>VILHELMINA</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42674-2024</t>
        </is>
      </c>
      <c r="B1319" s="1" t="n">
        <v>45565</v>
      </c>
      <c r="C1319" s="1" t="n">
        <v>45658</v>
      </c>
      <c r="D1319" t="inlineStr">
        <is>
          <t>VÄSTERBOTTENS LÄN</t>
        </is>
      </c>
      <c r="E1319" t="inlineStr">
        <is>
          <t>VILHELMINA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42478-2024</t>
        </is>
      </c>
      <c r="B1320" s="1" t="n">
        <v>45565</v>
      </c>
      <c r="C1320" s="1" t="n">
        <v>45658</v>
      </c>
      <c r="D1320" t="inlineStr">
        <is>
          <t>VÄSTERBOTTENS LÄN</t>
        </is>
      </c>
      <c r="E1320" t="inlineStr">
        <is>
          <t>VILHELMINA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42976-2024</t>
        </is>
      </c>
      <c r="B1321" s="1" t="n">
        <v>45567</v>
      </c>
      <c r="C1321" s="1" t="n">
        <v>45658</v>
      </c>
      <c r="D1321" t="inlineStr">
        <is>
          <t>VÄSTERBOTTENS LÄN</t>
        </is>
      </c>
      <c r="E1321" t="inlineStr">
        <is>
          <t>VILHELMINA</t>
        </is>
      </c>
      <c r="F1321" t="inlineStr">
        <is>
          <t>SCA</t>
        </is>
      </c>
      <c r="G1321" t="n">
        <v>20.6</v>
      </c>
      <c r="H1321" t="n">
        <v>0</v>
      </c>
      <c r="I1321" t="n">
        <v>0</v>
      </c>
      <c r="J1321" t="n">
        <v>0</v>
      </c>
      <c r="K1321" t="n">
        <v>0</v>
      </c>
      <c r="L1321" t="n">
        <v>0</v>
      </c>
      <c r="M1321" t="n">
        <v>0</v>
      </c>
      <c r="N1321" t="n">
        <v>0</v>
      </c>
      <c r="O1321" t="n">
        <v>0</v>
      </c>
      <c r="P1321" t="n">
        <v>0</v>
      </c>
      <c r="Q1321" t="n">
        <v>0</v>
      </c>
      <c r="R1321" s="2" t="inlineStr"/>
    </row>
    <row r="1322" ht="15" customHeight="1">
      <c r="A1322" t="inlineStr">
        <is>
          <t>A 43251-2024</t>
        </is>
      </c>
      <c r="B1322" s="1" t="n">
        <v>45568</v>
      </c>
      <c r="C1322" s="1" t="n">
        <v>45658</v>
      </c>
      <c r="D1322" t="inlineStr">
        <is>
          <t>VÄSTERBOTTENS LÄN</t>
        </is>
      </c>
      <c r="E1322" t="inlineStr">
        <is>
          <t>VILHELMINA</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43792-2024</t>
        </is>
      </c>
      <c r="B1323" s="1" t="n">
        <v>45571</v>
      </c>
      <c r="C1323" s="1" t="n">
        <v>45658</v>
      </c>
      <c r="D1323" t="inlineStr">
        <is>
          <t>VÄSTERBOTTENS LÄN</t>
        </is>
      </c>
      <c r="E1323" t="inlineStr">
        <is>
          <t>VILHELMINA</t>
        </is>
      </c>
      <c r="G1323" t="n">
        <v>25.3</v>
      </c>
      <c r="H1323" t="n">
        <v>0</v>
      </c>
      <c r="I1323" t="n">
        <v>0</v>
      </c>
      <c r="J1323" t="n">
        <v>0</v>
      </c>
      <c r="K1323" t="n">
        <v>0</v>
      </c>
      <c r="L1323" t="n">
        <v>0</v>
      </c>
      <c r="M1323" t="n">
        <v>0</v>
      </c>
      <c r="N1323" t="n">
        <v>0</v>
      </c>
      <c r="O1323" t="n">
        <v>0</v>
      </c>
      <c r="P1323" t="n">
        <v>0</v>
      </c>
      <c r="Q1323" t="n">
        <v>0</v>
      </c>
      <c r="R1323" s="2" t="inlineStr"/>
    </row>
    <row r="1324" ht="15" customHeight="1">
      <c r="A1324" t="inlineStr">
        <is>
          <t>A 43791-2024</t>
        </is>
      </c>
      <c r="B1324" s="1" t="n">
        <v>45571</v>
      </c>
      <c r="C1324" s="1" t="n">
        <v>45658</v>
      </c>
      <c r="D1324" t="inlineStr">
        <is>
          <t>VÄSTERBOTTENS LÄN</t>
        </is>
      </c>
      <c r="E1324" t="inlineStr">
        <is>
          <t>VILHELMINA</t>
        </is>
      </c>
      <c r="G1324" t="n">
        <v>30.3</v>
      </c>
      <c r="H1324" t="n">
        <v>0</v>
      </c>
      <c r="I1324" t="n">
        <v>0</v>
      </c>
      <c r="J1324" t="n">
        <v>0</v>
      </c>
      <c r="K1324" t="n">
        <v>0</v>
      </c>
      <c r="L1324" t="n">
        <v>0</v>
      </c>
      <c r="M1324" t="n">
        <v>0</v>
      </c>
      <c r="N1324" t="n">
        <v>0</v>
      </c>
      <c r="O1324" t="n">
        <v>0</v>
      </c>
      <c r="P1324" t="n">
        <v>0</v>
      </c>
      <c r="Q1324" t="n">
        <v>0</v>
      </c>
      <c r="R1324" s="2" t="inlineStr"/>
    </row>
    <row r="1325" ht="15" customHeight="1">
      <c r="A1325" t="inlineStr">
        <is>
          <t>A 43907-2024</t>
        </is>
      </c>
      <c r="B1325" s="1" t="n">
        <v>45572</v>
      </c>
      <c r="C1325" s="1" t="n">
        <v>45658</v>
      </c>
      <c r="D1325" t="inlineStr">
        <is>
          <t>VÄSTERBOTTENS LÄN</t>
        </is>
      </c>
      <c r="E1325" t="inlineStr">
        <is>
          <t>VILHELMINA</t>
        </is>
      </c>
      <c r="F1325" t="inlineStr">
        <is>
          <t>SCA</t>
        </is>
      </c>
      <c r="G1325" t="n">
        <v>21.5</v>
      </c>
      <c r="H1325" t="n">
        <v>0</v>
      </c>
      <c r="I1325" t="n">
        <v>0</v>
      </c>
      <c r="J1325" t="n">
        <v>0</v>
      </c>
      <c r="K1325" t="n">
        <v>0</v>
      </c>
      <c r="L1325" t="n">
        <v>0</v>
      </c>
      <c r="M1325" t="n">
        <v>0</v>
      </c>
      <c r="N1325" t="n">
        <v>0</v>
      </c>
      <c r="O1325" t="n">
        <v>0</v>
      </c>
      <c r="P1325" t="n">
        <v>0</v>
      </c>
      <c r="Q1325" t="n">
        <v>0</v>
      </c>
      <c r="R1325" s="2" t="inlineStr"/>
    </row>
    <row r="1326" ht="15" customHeight="1">
      <c r="A1326" t="inlineStr">
        <is>
          <t>A 43987-2024</t>
        </is>
      </c>
      <c r="B1326" s="1" t="n">
        <v>45572</v>
      </c>
      <c r="C1326" s="1" t="n">
        <v>45658</v>
      </c>
      <c r="D1326" t="inlineStr">
        <is>
          <t>VÄSTERBOTTENS LÄN</t>
        </is>
      </c>
      <c r="E1326" t="inlineStr">
        <is>
          <t>VILHELMINA</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44373-2024</t>
        </is>
      </c>
      <c r="B1327" s="1" t="n">
        <v>45573</v>
      </c>
      <c r="C1327" s="1" t="n">
        <v>45658</v>
      </c>
      <c r="D1327" t="inlineStr">
        <is>
          <t>VÄSTERBOTTENS LÄN</t>
        </is>
      </c>
      <c r="E1327" t="inlineStr">
        <is>
          <t>VILHELMINA</t>
        </is>
      </c>
      <c r="F1327" t="inlineStr">
        <is>
          <t>SCA</t>
        </is>
      </c>
      <c r="G1327" t="n">
        <v>35.1</v>
      </c>
      <c r="H1327" t="n">
        <v>0</v>
      </c>
      <c r="I1327" t="n">
        <v>0</v>
      </c>
      <c r="J1327" t="n">
        <v>0</v>
      </c>
      <c r="K1327" t="n">
        <v>0</v>
      </c>
      <c r="L1327" t="n">
        <v>0</v>
      </c>
      <c r="M1327" t="n">
        <v>0</v>
      </c>
      <c r="N1327" t="n">
        <v>0</v>
      </c>
      <c r="O1327" t="n">
        <v>0</v>
      </c>
      <c r="P1327" t="n">
        <v>0</v>
      </c>
      <c r="Q1327" t="n">
        <v>0</v>
      </c>
      <c r="R1327" s="2" t="inlineStr"/>
    </row>
    <row r="1328" ht="15" customHeight="1">
      <c r="A1328" t="inlineStr">
        <is>
          <t>A 44368-2024</t>
        </is>
      </c>
      <c r="B1328" s="1" t="n">
        <v>45573</v>
      </c>
      <c r="C1328" s="1" t="n">
        <v>45658</v>
      </c>
      <c r="D1328" t="inlineStr">
        <is>
          <t>VÄSTERBOTTENS LÄN</t>
        </is>
      </c>
      <c r="E1328" t="inlineStr">
        <is>
          <t>VILHELMINA</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44374-2024</t>
        </is>
      </c>
      <c r="B1329" s="1" t="n">
        <v>45573</v>
      </c>
      <c r="C1329" s="1" t="n">
        <v>45658</v>
      </c>
      <c r="D1329" t="inlineStr">
        <is>
          <t>VÄSTERBOTTENS LÄN</t>
        </is>
      </c>
      <c r="E1329" t="inlineStr">
        <is>
          <t>VILHELMINA</t>
        </is>
      </c>
      <c r="F1329" t="inlineStr">
        <is>
          <t>SCA</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44370-2024</t>
        </is>
      </c>
      <c r="B1330" s="1" t="n">
        <v>45573</v>
      </c>
      <c r="C1330" s="1" t="n">
        <v>45658</v>
      </c>
      <c r="D1330" t="inlineStr">
        <is>
          <t>VÄSTERBOTTENS LÄN</t>
        </is>
      </c>
      <c r="E1330" t="inlineStr">
        <is>
          <t>VILHELMINA</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44285-2024</t>
        </is>
      </c>
      <c r="B1331" s="1" t="n">
        <v>45573</v>
      </c>
      <c r="C1331" s="1" t="n">
        <v>45658</v>
      </c>
      <c r="D1331" t="inlineStr">
        <is>
          <t>VÄSTERBOTTENS LÄN</t>
        </is>
      </c>
      <c r="E1331" t="inlineStr">
        <is>
          <t>VILHELMINA</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44375-2024</t>
        </is>
      </c>
      <c r="B1332" s="1" t="n">
        <v>45573</v>
      </c>
      <c r="C1332" s="1" t="n">
        <v>45658</v>
      </c>
      <c r="D1332" t="inlineStr">
        <is>
          <t>VÄSTERBOTTENS LÄN</t>
        </is>
      </c>
      <c r="E1332" t="inlineStr">
        <is>
          <t>VILHELMINA</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44371-2024</t>
        </is>
      </c>
      <c r="B1333" s="1" t="n">
        <v>45573</v>
      </c>
      <c r="C1333" s="1" t="n">
        <v>45658</v>
      </c>
      <c r="D1333" t="inlineStr">
        <is>
          <t>VÄSTERBOTTENS LÄN</t>
        </is>
      </c>
      <c r="E1333" t="inlineStr">
        <is>
          <t>VILHELMINA</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44516-2024</t>
        </is>
      </c>
      <c r="B1334" s="1" t="n">
        <v>45574</v>
      </c>
      <c r="C1334" s="1" t="n">
        <v>45658</v>
      </c>
      <c r="D1334" t="inlineStr">
        <is>
          <t>VÄSTERBOTTENS LÄN</t>
        </is>
      </c>
      <c r="E1334" t="inlineStr">
        <is>
          <t>VILHELMINA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44444-2024</t>
        </is>
      </c>
      <c r="B1335" s="1" t="n">
        <v>45574</v>
      </c>
      <c r="C1335" s="1" t="n">
        <v>45658</v>
      </c>
      <c r="D1335" t="inlineStr">
        <is>
          <t>VÄSTERBOTTENS LÄN</t>
        </is>
      </c>
      <c r="E1335" t="inlineStr">
        <is>
          <t>VILHELMINA</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44505-2024</t>
        </is>
      </c>
      <c r="B1336" s="1" t="n">
        <v>45574</v>
      </c>
      <c r="C1336" s="1" t="n">
        <v>45658</v>
      </c>
      <c r="D1336" t="inlineStr">
        <is>
          <t>VÄSTERBOTTENS LÄN</t>
        </is>
      </c>
      <c r="E1336" t="inlineStr">
        <is>
          <t>VILHELMINA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44828-2024</t>
        </is>
      </c>
      <c r="B1337" s="1" t="n">
        <v>45574</v>
      </c>
      <c r="C1337" s="1" t="n">
        <v>45658</v>
      </c>
      <c r="D1337" t="inlineStr">
        <is>
          <t>VÄSTERBOTTENS LÄN</t>
        </is>
      </c>
      <c r="E1337" t="inlineStr">
        <is>
          <t>VILHELMINA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44634-2024</t>
        </is>
      </c>
      <c r="B1338" s="1" t="n">
        <v>45574</v>
      </c>
      <c r="C1338" s="1" t="n">
        <v>45658</v>
      </c>
      <c r="D1338" t="inlineStr">
        <is>
          <t>VÄSTERBOTTENS LÄN</t>
        </is>
      </c>
      <c r="E1338" t="inlineStr">
        <is>
          <t>VILHELMINA</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45108-2024</t>
        </is>
      </c>
      <c r="B1339" s="1" t="n">
        <v>45575</v>
      </c>
      <c r="C1339" s="1" t="n">
        <v>45658</v>
      </c>
      <c r="D1339" t="inlineStr">
        <is>
          <t>VÄSTERBOTTENS LÄN</t>
        </is>
      </c>
      <c r="E1339" t="inlineStr">
        <is>
          <t>VILHELMINA</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45153-2024</t>
        </is>
      </c>
      <c r="B1340" s="1" t="n">
        <v>45575</v>
      </c>
      <c r="C1340" s="1" t="n">
        <v>45658</v>
      </c>
      <c r="D1340" t="inlineStr">
        <is>
          <t>VÄSTERBOTTENS LÄN</t>
        </is>
      </c>
      <c r="E1340" t="inlineStr">
        <is>
          <t>VILHELMINA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45007-2024</t>
        </is>
      </c>
      <c r="B1341" s="1" t="n">
        <v>45575</v>
      </c>
      <c r="C1341" s="1" t="n">
        <v>45658</v>
      </c>
      <c r="D1341" t="inlineStr">
        <is>
          <t>VÄSTERBOTTENS LÄN</t>
        </is>
      </c>
      <c r="E1341" t="inlineStr">
        <is>
          <t>VILHELMINA</t>
        </is>
      </c>
      <c r="F1341" t="inlineStr">
        <is>
          <t>SCA</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45004-2024</t>
        </is>
      </c>
      <c r="B1342" s="1" t="n">
        <v>45575</v>
      </c>
      <c r="C1342" s="1" t="n">
        <v>45658</v>
      </c>
      <c r="D1342" t="inlineStr">
        <is>
          <t>VÄSTERBOTTENS LÄN</t>
        </is>
      </c>
      <c r="E1342" t="inlineStr">
        <is>
          <t>VILHELMINA</t>
        </is>
      </c>
      <c r="F1342" t="inlineStr">
        <is>
          <t>SCA</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44926-2024</t>
        </is>
      </c>
      <c r="B1343" s="1" t="n">
        <v>45575</v>
      </c>
      <c r="C1343" s="1" t="n">
        <v>45658</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45258-2024</t>
        </is>
      </c>
      <c r="B1344" s="1" t="n">
        <v>45576</v>
      </c>
      <c r="C1344" s="1" t="n">
        <v>45658</v>
      </c>
      <c r="D1344" t="inlineStr">
        <is>
          <t>VÄSTERBOTTENS LÄN</t>
        </is>
      </c>
      <c r="E1344" t="inlineStr">
        <is>
          <t>VILHELMINA</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45308-2024</t>
        </is>
      </c>
      <c r="B1345" s="1" t="n">
        <v>45576</v>
      </c>
      <c r="C1345" s="1" t="n">
        <v>45658</v>
      </c>
      <c r="D1345" t="inlineStr">
        <is>
          <t>VÄSTERBOTTENS LÄN</t>
        </is>
      </c>
      <c r="E1345" t="inlineStr">
        <is>
          <t>VILHELMINA</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45764-2024</t>
        </is>
      </c>
      <c r="B1346" s="1" t="n">
        <v>45579</v>
      </c>
      <c r="C1346" s="1" t="n">
        <v>45658</v>
      </c>
      <c r="D1346" t="inlineStr">
        <is>
          <t>VÄSTERBOTTENS LÄN</t>
        </is>
      </c>
      <c r="E1346" t="inlineStr">
        <is>
          <t>VILHELMINA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45593-2024</t>
        </is>
      </c>
      <c r="B1347" s="1" t="n">
        <v>45579</v>
      </c>
      <c r="C1347" s="1" t="n">
        <v>45658</v>
      </c>
      <c r="D1347" t="inlineStr">
        <is>
          <t>VÄSTERBOTTENS LÄN</t>
        </is>
      </c>
      <c r="E1347" t="inlineStr">
        <is>
          <t>VILHELMINA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46014-2024</t>
        </is>
      </c>
      <c r="B1348" s="1" t="n">
        <v>45580</v>
      </c>
      <c r="C1348" s="1" t="n">
        <v>45658</v>
      </c>
      <c r="D1348" t="inlineStr">
        <is>
          <t>VÄSTERBOTTENS LÄN</t>
        </is>
      </c>
      <c r="E1348" t="inlineStr">
        <is>
          <t>VILHELMINA</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46404-2024</t>
        </is>
      </c>
      <c r="B1349" s="1" t="n">
        <v>45582</v>
      </c>
      <c r="C1349" s="1" t="n">
        <v>45658</v>
      </c>
      <c r="D1349" t="inlineStr">
        <is>
          <t>VÄSTERBOTTENS LÄN</t>
        </is>
      </c>
      <c r="E1349" t="inlineStr">
        <is>
          <t>VILHELMINA</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46392-2024</t>
        </is>
      </c>
      <c r="B1350" s="1" t="n">
        <v>45582</v>
      </c>
      <c r="C1350" s="1" t="n">
        <v>45658</v>
      </c>
      <c r="D1350" t="inlineStr">
        <is>
          <t>VÄSTERBOTTENS LÄN</t>
        </is>
      </c>
      <c r="E1350" t="inlineStr">
        <is>
          <t>VILHELMINA</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46908-2024</t>
        </is>
      </c>
      <c r="B1351" s="1" t="n">
        <v>45583</v>
      </c>
      <c r="C1351" s="1" t="n">
        <v>45658</v>
      </c>
      <c r="D1351" t="inlineStr">
        <is>
          <t>VÄSTERBOTTENS LÄN</t>
        </is>
      </c>
      <c r="E1351" t="inlineStr">
        <is>
          <t>VILHELMINA</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47010-2024</t>
        </is>
      </c>
      <c r="B1352" s="1" t="n">
        <v>45586</v>
      </c>
      <c r="C1352" s="1" t="n">
        <v>45658</v>
      </c>
      <c r="D1352" t="inlineStr">
        <is>
          <t>VÄSTERBOTTENS LÄN</t>
        </is>
      </c>
      <c r="E1352" t="inlineStr">
        <is>
          <t>VILHELMINA</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47011-2024</t>
        </is>
      </c>
      <c r="B1353" s="1" t="n">
        <v>45586</v>
      </c>
      <c r="C1353" s="1" t="n">
        <v>45658</v>
      </c>
      <c r="D1353" t="inlineStr">
        <is>
          <t>VÄSTERBOTTENS LÄN</t>
        </is>
      </c>
      <c r="E1353" t="inlineStr">
        <is>
          <t>VILHELMINA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47242-2024</t>
        </is>
      </c>
      <c r="B1354" s="1" t="n">
        <v>45586</v>
      </c>
      <c r="C1354" s="1" t="n">
        <v>45658</v>
      </c>
      <c r="D1354" t="inlineStr">
        <is>
          <t>VÄSTERBOTTENS LÄN</t>
        </is>
      </c>
      <c r="E1354" t="inlineStr">
        <is>
          <t>VILHELMINA</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47548-2024</t>
        </is>
      </c>
      <c r="B1355" s="1" t="n">
        <v>45587</v>
      </c>
      <c r="C1355" s="1" t="n">
        <v>45658</v>
      </c>
      <c r="D1355" t="inlineStr">
        <is>
          <t>VÄSTERBOTTENS LÄN</t>
        </is>
      </c>
      <c r="E1355" t="inlineStr">
        <is>
          <t>VILHELMINA</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47297-2024</t>
        </is>
      </c>
      <c r="B1356" s="1" t="n">
        <v>45587</v>
      </c>
      <c r="C1356" s="1" t="n">
        <v>45658</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47440-2024</t>
        </is>
      </c>
      <c r="B1357" s="1" t="n">
        <v>45587</v>
      </c>
      <c r="C1357" s="1" t="n">
        <v>45658</v>
      </c>
      <c r="D1357" t="inlineStr">
        <is>
          <t>VÄSTERBOTTENS LÄN</t>
        </is>
      </c>
      <c r="E1357" t="inlineStr">
        <is>
          <t>VILHELMINA</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48062-2024</t>
        </is>
      </c>
      <c r="B1358" s="1" t="n">
        <v>45589</v>
      </c>
      <c r="C1358" s="1" t="n">
        <v>45658</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48088-2024</t>
        </is>
      </c>
      <c r="B1359" s="1" t="n">
        <v>45589</v>
      </c>
      <c r="C1359" s="1" t="n">
        <v>45658</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48098-2024</t>
        </is>
      </c>
      <c r="B1360" s="1" t="n">
        <v>45589</v>
      </c>
      <c r="C1360" s="1" t="n">
        <v>45658</v>
      </c>
      <c r="D1360" t="inlineStr">
        <is>
          <t>VÄSTERBOTTENS LÄN</t>
        </is>
      </c>
      <c r="E1360" t="inlineStr">
        <is>
          <t>VILHELMINA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48455-2024</t>
        </is>
      </c>
      <c r="B1361" s="1" t="n">
        <v>45590</v>
      </c>
      <c r="C1361" s="1" t="n">
        <v>45658</v>
      </c>
      <c r="D1361" t="inlineStr">
        <is>
          <t>VÄSTERBOTTENS LÄN</t>
        </is>
      </c>
      <c r="E1361" t="inlineStr">
        <is>
          <t>VILHELMINA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48229-2024</t>
        </is>
      </c>
      <c r="B1362" s="1" t="n">
        <v>45590</v>
      </c>
      <c r="C1362" s="1" t="n">
        <v>45658</v>
      </c>
      <c r="D1362" t="inlineStr">
        <is>
          <t>VÄSTERBOTTENS LÄN</t>
        </is>
      </c>
      <c r="E1362" t="inlineStr">
        <is>
          <t>VILHELMINA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48387-2024</t>
        </is>
      </c>
      <c r="B1363" s="1" t="n">
        <v>45590</v>
      </c>
      <c r="C1363" s="1" t="n">
        <v>45658</v>
      </c>
      <c r="D1363" t="inlineStr">
        <is>
          <t>VÄSTERBOTTENS LÄN</t>
        </is>
      </c>
      <c r="E1363" t="inlineStr">
        <is>
          <t>VILHELMINA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49184-2024</t>
        </is>
      </c>
      <c r="B1364" s="1" t="n">
        <v>45595</v>
      </c>
      <c r="C1364" s="1" t="n">
        <v>45658</v>
      </c>
      <c r="D1364" t="inlineStr">
        <is>
          <t>VÄSTERBOTTENS LÄN</t>
        </is>
      </c>
      <c r="E1364" t="inlineStr">
        <is>
          <t>VILHELMINA</t>
        </is>
      </c>
      <c r="F1364" t="inlineStr">
        <is>
          <t>SCA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49221-2024</t>
        </is>
      </c>
      <c r="B1365" s="1" t="n">
        <v>45595</v>
      </c>
      <c r="C1365" s="1" t="n">
        <v>45658</v>
      </c>
      <c r="D1365" t="inlineStr">
        <is>
          <t>VÄSTERBOTTENS LÄN</t>
        </is>
      </c>
      <c r="E1365" t="inlineStr">
        <is>
          <t>VILHELMINA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49236-2024</t>
        </is>
      </c>
      <c r="B1366" s="1" t="n">
        <v>45595</v>
      </c>
      <c r="C1366" s="1" t="n">
        <v>45658</v>
      </c>
      <c r="D1366" t="inlineStr">
        <is>
          <t>VÄSTERBOTTENS LÄN</t>
        </is>
      </c>
      <c r="E1366" t="inlineStr">
        <is>
          <t>VILHELMINA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49246-2024</t>
        </is>
      </c>
      <c r="B1367" s="1" t="n">
        <v>45595</v>
      </c>
      <c r="C1367" s="1" t="n">
        <v>45658</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49241-2024</t>
        </is>
      </c>
      <c r="B1368" s="1" t="n">
        <v>45595</v>
      </c>
      <c r="C1368" s="1" t="n">
        <v>45658</v>
      </c>
      <c r="D1368" t="inlineStr">
        <is>
          <t>VÄSTERBOTTENS LÄN</t>
        </is>
      </c>
      <c r="E1368" t="inlineStr">
        <is>
          <t>VILHELMINA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49888-2024</t>
        </is>
      </c>
      <c r="B1369" s="1" t="n">
        <v>45597</v>
      </c>
      <c r="C1369" s="1" t="n">
        <v>45658</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49886-2024</t>
        </is>
      </c>
      <c r="B1370" s="1" t="n">
        <v>45597</v>
      </c>
      <c r="C1370" s="1" t="n">
        <v>45658</v>
      </c>
      <c r="D1370" t="inlineStr">
        <is>
          <t>VÄSTERBOTTENS LÄN</t>
        </is>
      </c>
      <c r="E1370" t="inlineStr">
        <is>
          <t>VILHELMINA</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50885-2024</t>
        </is>
      </c>
      <c r="B1371" s="1" t="n">
        <v>45602</v>
      </c>
      <c r="C1371" s="1" t="n">
        <v>45658</v>
      </c>
      <c r="D1371" t="inlineStr">
        <is>
          <t>VÄSTERBOTTENS LÄN</t>
        </is>
      </c>
      <c r="E1371" t="inlineStr">
        <is>
          <t>VILHELMINA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51134-2024</t>
        </is>
      </c>
      <c r="B1372" s="1" t="n">
        <v>45603</v>
      </c>
      <c r="C1372" s="1" t="n">
        <v>45658</v>
      </c>
      <c r="D1372" t="inlineStr">
        <is>
          <t>VÄSTERBOTTENS LÄN</t>
        </is>
      </c>
      <c r="E1372" t="inlineStr">
        <is>
          <t>VILHELMINA</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51131-2024</t>
        </is>
      </c>
      <c r="B1373" s="1" t="n">
        <v>45603</v>
      </c>
      <c r="C1373" s="1" t="n">
        <v>45658</v>
      </c>
      <c r="D1373" t="inlineStr">
        <is>
          <t>VÄSTERBOTTENS LÄN</t>
        </is>
      </c>
      <c r="E1373" t="inlineStr">
        <is>
          <t>VILHELMINA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51850-2024</t>
        </is>
      </c>
      <c r="B1374" s="1" t="n">
        <v>45605</v>
      </c>
      <c r="C1374" s="1" t="n">
        <v>45658</v>
      </c>
      <c r="D1374" t="inlineStr">
        <is>
          <t>VÄSTERBOTTENS LÄN</t>
        </is>
      </c>
      <c r="E1374" t="inlineStr">
        <is>
          <t>VILHELMINA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52155-2024</t>
        </is>
      </c>
      <c r="B1375" s="1" t="n">
        <v>45608</v>
      </c>
      <c r="C1375" s="1" t="n">
        <v>45658</v>
      </c>
      <c r="D1375" t="inlineStr">
        <is>
          <t>VÄSTERBOTTENS LÄN</t>
        </is>
      </c>
      <c r="E1375" t="inlineStr">
        <is>
          <t>VILHELMINA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52457-2024</t>
        </is>
      </c>
      <c r="B1376" s="1" t="n">
        <v>45609</v>
      </c>
      <c r="C1376" s="1" t="n">
        <v>45658</v>
      </c>
      <c r="D1376" t="inlineStr">
        <is>
          <t>VÄSTERBOTTENS LÄN</t>
        </is>
      </c>
      <c r="E1376" t="inlineStr">
        <is>
          <t>VILHELMINA</t>
        </is>
      </c>
      <c r="G1376" t="n">
        <v>33.7</v>
      </c>
      <c r="H1376" t="n">
        <v>0</v>
      </c>
      <c r="I1376" t="n">
        <v>0</v>
      </c>
      <c r="J1376" t="n">
        <v>0</v>
      </c>
      <c r="K1376" t="n">
        <v>0</v>
      </c>
      <c r="L1376" t="n">
        <v>0</v>
      </c>
      <c r="M1376" t="n">
        <v>0</v>
      </c>
      <c r="N1376" t="n">
        <v>0</v>
      </c>
      <c r="O1376" t="n">
        <v>0</v>
      </c>
      <c r="P1376" t="n">
        <v>0</v>
      </c>
      <c r="Q1376" t="n">
        <v>0</v>
      </c>
      <c r="R1376" s="2" t="inlineStr"/>
    </row>
    <row r="1377" ht="15" customHeight="1">
      <c r="A1377" t="inlineStr">
        <is>
          <t>A 52646-2024</t>
        </is>
      </c>
      <c r="B1377" s="1" t="n">
        <v>45610</v>
      </c>
      <c r="C1377" s="1" t="n">
        <v>45658</v>
      </c>
      <c r="D1377" t="inlineStr">
        <is>
          <t>VÄSTERBOTTENS LÄN</t>
        </is>
      </c>
      <c r="E1377" t="inlineStr">
        <is>
          <t>VILHELMINA</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52866-2024</t>
        </is>
      </c>
      <c r="B1378" s="1" t="n">
        <v>45610</v>
      </c>
      <c r="C1378" s="1" t="n">
        <v>45658</v>
      </c>
      <c r="D1378" t="inlineStr">
        <is>
          <t>VÄSTERBOTTENS LÄN</t>
        </is>
      </c>
      <c r="E1378" t="inlineStr">
        <is>
          <t>VILHELMINA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53081-2024</t>
        </is>
      </c>
      <c r="B1379" s="1" t="n">
        <v>45611</v>
      </c>
      <c r="C1379" s="1" t="n">
        <v>45658</v>
      </c>
      <c r="D1379" t="inlineStr">
        <is>
          <t>VÄSTERBOTTENS LÄN</t>
        </is>
      </c>
      <c r="E1379" t="inlineStr">
        <is>
          <t>VILHELMINA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53606-2024</t>
        </is>
      </c>
      <c r="B1380" s="1" t="n">
        <v>45614</v>
      </c>
      <c r="C1380" s="1" t="n">
        <v>45658</v>
      </c>
      <c r="D1380" t="inlineStr">
        <is>
          <t>VÄSTERBOTTENS LÄN</t>
        </is>
      </c>
      <c r="E1380" t="inlineStr">
        <is>
          <t>VILHELMINA</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54430-2024</t>
        </is>
      </c>
      <c r="B1381" s="1" t="n">
        <v>45617</v>
      </c>
      <c r="C1381" s="1" t="n">
        <v>45658</v>
      </c>
      <c r="D1381" t="inlineStr">
        <is>
          <t>VÄSTERBOTTENS LÄN</t>
        </is>
      </c>
      <c r="E1381" t="inlineStr">
        <is>
          <t>VILHELMINA</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54387-2024</t>
        </is>
      </c>
      <c r="B1382" s="1" t="n">
        <v>45617</v>
      </c>
      <c r="C1382" s="1" t="n">
        <v>45658</v>
      </c>
      <c r="D1382" t="inlineStr">
        <is>
          <t>VÄSTERBOTTENS LÄN</t>
        </is>
      </c>
      <c r="E1382" t="inlineStr">
        <is>
          <t>VILHELMINA</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54459-2024</t>
        </is>
      </c>
      <c r="B1383" s="1" t="n">
        <v>45617</v>
      </c>
      <c r="C1383" s="1" t="n">
        <v>45658</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54457-2024</t>
        </is>
      </c>
      <c r="B1384" s="1" t="n">
        <v>45617</v>
      </c>
      <c r="C1384" s="1" t="n">
        <v>45658</v>
      </c>
      <c r="D1384" t="inlineStr">
        <is>
          <t>VÄSTERBOTTENS LÄN</t>
        </is>
      </c>
      <c r="E1384" t="inlineStr">
        <is>
          <t>VILHELMINA</t>
        </is>
      </c>
      <c r="F1384" t="inlineStr">
        <is>
          <t>SCA</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54804-2024</t>
        </is>
      </c>
      <c r="B1385" s="1" t="n">
        <v>45618</v>
      </c>
      <c r="C1385" s="1" t="n">
        <v>45658</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54727-2024</t>
        </is>
      </c>
      <c r="B1386" s="1" t="n">
        <v>45618</v>
      </c>
      <c r="C1386" s="1" t="n">
        <v>45658</v>
      </c>
      <c r="D1386" t="inlineStr">
        <is>
          <t>VÄSTERBOTTENS LÄN</t>
        </is>
      </c>
      <c r="E1386" t="inlineStr">
        <is>
          <t>VILHELMINA</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54724-2024</t>
        </is>
      </c>
      <c r="B1387" s="1" t="n">
        <v>45618</v>
      </c>
      <c r="C1387" s="1" t="n">
        <v>45658</v>
      </c>
      <c r="D1387" t="inlineStr">
        <is>
          <t>VÄSTERBOTTENS LÄN</t>
        </is>
      </c>
      <c r="E1387" t="inlineStr">
        <is>
          <t>VILHELMINA</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55695-2024</t>
        </is>
      </c>
      <c r="B1388" s="1" t="n">
        <v>45622</v>
      </c>
      <c r="C1388" s="1" t="n">
        <v>45658</v>
      </c>
      <c r="D1388" t="inlineStr">
        <is>
          <t>VÄSTERBOTTENS LÄN</t>
        </is>
      </c>
      <c r="E1388" t="inlineStr">
        <is>
          <t>VILHELMINA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45658</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55697-2024</t>
        </is>
      </c>
      <c r="B1390" s="1" t="n">
        <v>45622</v>
      </c>
      <c r="C1390" s="1" t="n">
        <v>45658</v>
      </c>
      <c r="D1390" t="inlineStr">
        <is>
          <t>VÄSTERBOTTENS LÄN</t>
        </is>
      </c>
      <c r="E1390" t="inlineStr">
        <is>
          <t>VILHELMINA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55978-2024</t>
        </is>
      </c>
      <c r="B1391" s="1" t="n">
        <v>45623</v>
      </c>
      <c r="C1391" s="1" t="n">
        <v>45658</v>
      </c>
      <c r="D1391" t="inlineStr">
        <is>
          <t>VÄSTERBOTTENS LÄN</t>
        </is>
      </c>
      <c r="E1391" t="inlineStr">
        <is>
          <t>VILHELMINA</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56624-2024</t>
        </is>
      </c>
      <c r="B1392" s="1" t="n">
        <v>45625</v>
      </c>
      <c r="C1392" s="1" t="n">
        <v>45658</v>
      </c>
      <c r="D1392" t="inlineStr">
        <is>
          <t>VÄSTERBOTTENS LÄN</t>
        </is>
      </c>
      <c r="E1392" t="inlineStr">
        <is>
          <t>VILHELMINA</t>
        </is>
      </c>
      <c r="F1392" t="inlineStr">
        <is>
          <t>Allmännings- och besparingsskogar</t>
        </is>
      </c>
      <c r="G1392" t="n">
        <v>17.8</v>
      </c>
      <c r="H1392" t="n">
        <v>0</v>
      </c>
      <c r="I1392" t="n">
        <v>0</v>
      </c>
      <c r="J1392" t="n">
        <v>0</v>
      </c>
      <c r="K1392" t="n">
        <v>0</v>
      </c>
      <c r="L1392" t="n">
        <v>0</v>
      </c>
      <c r="M1392" t="n">
        <v>0</v>
      </c>
      <c r="N1392" t="n">
        <v>0</v>
      </c>
      <c r="O1392" t="n">
        <v>0</v>
      </c>
      <c r="P1392" t="n">
        <v>0</v>
      </c>
      <c r="Q1392" t="n">
        <v>0</v>
      </c>
      <c r="R1392" s="2" t="inlineStr"/>
    </row>
    <row r="1393" ht="15" customHeight="1">
      <c r="A1393" t="inlineStr">
        <is>
          <t>A 56632-2024</t>
        </is>
      </c>
      <c r="B1393" s="1" t="n">
        <v>45625</v>
      </c>
      <c r="C1393" s="1" t="n">
        <v>45658</v>
      </c>
      <c r="D1393" t="inlineStr">
        <is>
          <t>VÄSTERBOTTENS LÄN</t>
        </is>
      </c>
      <c r="E1393" t="inlineStr">
        <is>
          <t>VILHELMINA</t>
        </is>
      </c>
      <c r="F1393" t="inlineStr">
        <is>
          <t>Allmännings- och besparingsskogar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56627-2024</t>
        </is>
      </c>
      <c r="B1394" s="1" t="n">
        <v>45625</v>
      </c>
      <c r="C1394" s="1" t="n">
        <v>45658</v>
      </c>
      <c r="D1394" t="inlineStr">
        <is>
          <t>VÄSTERBOTTENS LÄN</t>
        </is>
      </c>
      <c r="E1394" t="inlineStr">
        <is>
          <t>VILHELMINA</t>
        </is>
      </c>
      <c r="F1394" t="inlineStr">
        <is>
          <t>Allmännings- och besparingsskogar</t>
        </is>
      </c>
      <c r="G1394" t="n">
        <v>21.5</v>
      </c>
      <c r="H1394" t="n">
        <v>0</v>
      </c>
      <c r="I1394" t="n">
        <v>0</v>
      </c>
      <c r="J1394" t="n">
        <v>0</v>
      </c>
      <c r="K1394" t="n">
        <v>0</v>
      </c>
      <c r="L1394" t="n">
        <v>0</v>
      </c>
      <c r="M1394" t="n">
        <v>0</v>
      </c>
      <c r="N1394" t="n">
        <v>0</v>
      </c>
      <c r="O1394" t="n">
        <v>0</v>
      </c>
      <c r="P1394" t="n">
        <v>0</v>
      </c>
      <c r="Q1394" t="n">
        <v>0</v>
      </c>
      <c r="R1394" s="2" t="inlineStr"/>
    </row>
    <row r="1395" ht="15" customHeight="1">
      <c r="A1395" t="inlineStr">
        <is>
          <t>A 56618-2024</t>
        </is>
      </c>
      <c r="B1395" s="1" t="n">
        <v>45625</v>
      </c>
      <c r="C1395" s="1" t="n">
        <v>45658</v>
      </c>
      <c r="D1395" t="inlineStr">
        <is>
          <t>VÄSTERBOTTENS LÄN</t>
        </is>
      </c>
      <c r="E1395" t="inlineStr">
        <is>
          <t>VILHELMINA</t>
        </is>
      </c>
      <c r="F1395" t="inlineStr">
        <is>
          <t>Allmännings- och besparingsskogar</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56629-2024</t>
        </is>
      </c>
      <c r="B1396" s="1" t="n">
        <v>45625</v>
      </c>
      <c r="C1396" s="1" t="n">
        <v>45658</v>
      </c>
      <c r="D1396" t="inlineStr">
        <is>
          <t>VÄSTERBOTTENS LÄN</t>
        </is>
      </c>
      <c r="E1396" t="inlineStr">
        <is>
          <t>VILHELMINA</t>
        </is>
      </c>
      <c r="F1396" t="inlineStr">
        <is>
          <t>Allmännings- och besparingsskogar</t>
        </is>
      </c>
      <c r="G1396" t="n">
        <v>19.7</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45658</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45658</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58234-2024</t>
        </is>
      </c>
      <c r="B1399" s="1" t="n">
        <v>45632</v>
      </c>
      <c r="C1399" s="1" t="n">
        <v>45658</v>
      </c>
      <c r="D1399" t="inlineStr">
        <is>
          <t>VÄSTERBOTTENS LÄN</t>
        </is>
      </c>
      <c r="E1399" t="inlineStr">
        <is>
          <t>VILHELMINA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58179-2024</t>
        </is>
      </c>
      <c r="B1400" s="1" t="n">
        <v>45632</v>
      </c>
      <c r="C1400" s="1" t="n">
        <v>45658</v>
      </c>
      <c r="D1400" t="inlineStr">
        <is>
          <t>VÄSTERBOTTENS LÄN</t>
        </is>
      </c>
      <c r="E1400" t="inlineStr">
        <is>
          <t>VILHELMINA</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58624-2024</t>
        </is>
      </c>
      <c r="B1401" s="1" t="n">
        <v>45632</v>
      </c>
      <c r="C1401" s="1" t="n">
        <v>45658</v>
      </c>
      <c r="D1401" t="inlineStr">
        <is>
          <t>VÄSTERBOTTENS LÄN</t>
        </is>
      </c>
      <c r="E1401" t="inlineStr">
        <is>
          <t>VILHELMINA</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58450-2024</t>
        </is>
      </c>
      <c r="B1402" s="1" t="n">
        <v>45635</v>
      </c>
      <c r="C1402" s="1" t="n">
        <v>45658</v>
      </c>
      <c r="D1402" t="inlineStr">
        <is>
          <t>VÄSTERBOTTENS LÄN</t>
        </is>
      </c>
      <c r="E1402" t="inlineStr">
        <is>
          <t>VILHELMINA</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58505-2024</t>
        </is>
      </c>
      <c r="B1403" s="1" t="n">
        <v>45635</v>
      </c>
      <c r="C1403" s="1" t="n">
        <v>45658</v>
      </c>
      <c r="D1403" t="inlineStr">
        <is>
          <t>VÄSTERBOTTENS LÄN</t>
        </is>
      </c>
      <c r="E1403" t="inlineStr">
        <is>
          <t>VILHELMINA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58824-2024</t>
        </is>
      </c>
      <c r="B1404" s="1" t="n">
        <v>45636</v>
      </c>
      <c r="C1404" s="1" t="n">
        <v>45658</v>
      </c>
      <c r="D1404" t="inlineStr">
        <is>
          <t>VÄSTERBOTTENS LÄN</t>
        </is>
      </c>
      <c r="E1404" t="inlineStr">
        <is>
          <t>VILHELMINA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58937-2024</t>
        </is>
      </c>
      <c r="B1405" s="1" t="n">
        <v>45636</v>
      </c>
      <c r="C1405" s="1" t="n">
        <v>45658</v>
      </c>
      <c r="D1405" t="inlineStr">
        <is>
          <t>VÄSTERBOTTENS LÄN</t>
        </is>
      </c>
      <c r="E1405" t="inlineStr">
        <is>
          <t>VILHELMINA</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58934-2024</t>
        </is>
      </c>
      <c r="B1406" s="1" t="n">
        <v>45636</v>
      </c>
      <c r="C1406" s="1" t="n">
        <v>45658</v>
      </c>
      <c r="D1406" t="inlineStr">
        <is>
          <t>VÄSTERBOTTENS LÄN</t>
        </is>
      </c>
      <c r="E1406" t="inlineStr">
        <is>
          <t>VILHELMINA</t>
        </is>
      </c>
      <c r="F1406" t="inlineStr">
        <is>
          <t>Allmännings- och besparingsskogar</t>
        </is>
      </c>
      <c r="G1406" t="n">
        <v>45.6</v>
      </c>
      <c r="H1406" t="n">
        <v>0</v>
      </c>
      <c r="I1406" t="n">
        <v>0</v>
      </c>
      <c r="J1406" t="n">
        <v>0</v>
      </c>
      <c r="K1406" t="n">
        <v>0</v>
      </c>
      <c r="L1406" t="n">
        <v>0</v>
      </c>
      <c r="M1406" t="n">
        <v>0</v>
      </c>
      <c r="N1406" t="n">
        <v>0</v>
      </c>
      <c r="O1406" t="n">
        <v>0</v>
      </c>
      <c r="P1406" t="n">
        <v>0</v>
      </c>
      <c r="Q1406" t="n">
        <v>0</v>
      </c>
      <c r="R1406" s="2" t="inlineStr"/>
    </row>
    <row r="1407" ht="15" customHeight="1">
      <c r="A1407" t="inlineStr">
        <is>
          <t>A 58946-2024</t>
        </is>
      </c>
      <c r="B1407" s="1" t="n">
        <v>45636</v>
      </c>
      <c r="C1407" s="1" t="n">
        <v>45658</v>
      </c>
      <c r="D1407" t="inlineStr">
        <is>
          <t>VÄSTERBOTTENS LÄN</t>
        </is>
      </c>
      <c r="E1407" t="inlineStr">
        <is>
          <t>VILHELMINA</t>
        </is>
      </c>
      <c r="F1407" t="inlineStr">
        <is>
          <t>Kommuner</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59018-2024</t>
        </is>
      </c>
      <c r="B1408" s="1" t="n">
        <v>45636</v>
      </c>
      <c r="C1408" s="1" t="n">
        <v>45658</v>
      </c>
      <c r="D1408" t="inlineStr">
        <is>
          <t>VÄSTERBOTTENS LÄN</t>
        </is>
      </c>
      <c r="E1408" t="inlineStr">
        <is>
          <t>VILHELMINA</t>
        </is>
      </c>
      <c r="F1408" t="inlineStr">
        <is>
          <t>Allmännings- och besparingsskogar</t>
        </is>
      </c>
      <c r="G1408" t="n">
        <v>13.9</v>
      </c>
      <c r="H1408" t="n">
        <v>0</v>
      </c>
      <c r="I1408" t="n">
        <v>0</v>
      </c>
      <c r="J1408" t="n">
        <v>0</v>
      </c>
      <c r="K1408" t="n">
        <v>0</v>
      </c>
      <c r="L1408" t="n">
        <v>0</v>
      </c>
      <c r="M1408" t="n">
        <v>0</v>
      </c>
      <c r="N1408" t="n">
        <v>0</v>
      </c>
      <c r="O1408" t="n">
        <v>0</v>
      </c>
      <c r="P1408" t="n">
        <v>0</v>
      </c>
      <c r="Q1408" t="n">
        <v>0</v>
      </c>
      <c r="R1408" s="2" t="inlineStr"/>
    </row>
    <row r="1409" ht="15" customHeight="1">
      <c r="A1409" t="inlineStr">
        <is>
          <t>A 59022-2024</t>
        </is>
      </c>
      <c r="B1409" s="1" t="n">
        <v>45636</v>
      </c>
      <c r="C1409" s="1" t="n">
        <v>45658</v>
      </c>
      <c r="D1409" t="inlineStr">
        <is>
          <t>VÄSTERBOTTENS LÄN</t>
        </is>
      </c>
      <c r="E1409" t="inlineStr">
        <is>
          <t>VILHELMINA</t>
        </is>
      </c>
      <c r="F1409" t="inlineStr">
        <is>
          <t>Allmännings- och besparingsskogar</t>
        </is>
      </c>
      <c r="G1409" t="n">
        <v>35.1</v>
      </c>
      <c r="H1409" t="n">
        <v>0</v>
      </c>
      <c r="I1409" t="n">
        <v>0</v>
      </c>
      <c r="J1409" t="n">
        <v>0</v>
      </c>
      <c r="K1409" t="n">
        <v>0</v>
      </c>
      <c r="L1409" t="n">
        <v>0</v>
      </c>
      <c r="M1409" t="n">
        <v>0</v>
      </c>
      <c r="N1409" t="n">
        <v>0</v>
      </c>
      <c r="O1409" t="n">
        <v>0</v>
      </c>
      <c r="P1409" t="n">
        <v>0</v>
      </c>
      <c r="Q1409" t="n">
        <v>0</v>
      </c>
      <c r="R1409" s="2" t="inlineStr"/>
    </row>
    <row r="1410" ht="15" customHeight="1">
      <c r="A1410" t="inlineStr">
        <is>
          <t>A 58999-2024</t>
        </is>
      </c>
      <c r="B1410" s="1" t="n">
        <v>45636</v>
      </c>
      <c r="C1410" s="1" t="n">
        <v>45658</v>
      </c>
      <c r="D1410" t="inlineStr">
        <is>
          <t>VÄSTERBOTTENS LÄN</t>
        </is>
      </c>
      <c r="E1410" t="inlineStr">
        <is>
          <t>VILHELMINA</t>
        </is>
      </c>
      <c r="F1410" t="inlineStr">
        <is>
          <t>Allmännings- och besparingsskogar</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59003-2024</t>
        </is>
      </c>
      <c r="B1411" s="1" t="n">
        <v>45636</v>
      </c>
      <c r="C1411" s="1" t="n">
        <v>45658</v>
      </c>
      <c r="D1411" t="inlineStr">
        <is>
          <t>VÄSTERBOTTENS LÄN</t>
        </is>
      </c>
      <c r="E1411" t="inlineStr">
        <is>
          <t>VILHELMINA</t>
        </is>
      </c>
      <c r="F1411" t="inlineStr">
        <is>
          <t>Allmännings- och besparingsskogar</t>
        </is>
      </c>
      <c r="G1411" t="n">
        <v>21.8</v>
      </c>
      <c r="H1411" t="n">
        <v>0</v>
      </c>
      <c r="I1411" t="n">
        <v>0</v>
      </c>
      <c r="J1411" t="n">
        <v>0</v>
      </c>
      <c r="K1411" t="n">
        <v>0</v>
      </c>
      <c r="L1411" t="n">
        <v>0</v>
      </c>
      <c r="M1411" t="n">
        <v>0</v>
      </c>
      <c r="N1411" t="n">
        <v>0</v>
      </c>
      <c r="O1411" t="n">
        <v>0</v>
      </c>
      <c r="P1411" t="n">
        <v>0</v>
      </c>
      <c r="Q1411" t="n">
        <v>0</v>
      </c>
      <c r="R1411" s="2" t="inlineStr"/>
    </row>
    <row r="1412" ht="15" customHeight="1">
      <c r="A1412" t="inlineStr">
        <is>
          <t>A 58927-2024</t>
        </is>
      </c>
      <c r="B1412" s="1" t="n">
        <v>45636</v>
      </c>
      <c r="C1412" s="1" t="n">
        <v>45658</v>
      </c>
      <c r="D1412" t="inlineStr">
        <is>
          <t>VÄSTERBOTTENS LÄN</t>
        </is>
      </c>
      <c r="E1412" t="inlineStr">
        <is>
          <t>VILHELMINA</t>
        </is>
      </c>
      <c r="F1412" t="inlineStr">
        <is>
          <t>Kommuner</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45658</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59011-2024</t>
        </is>
      </c>
      <c r="B1414" s="1" t="n">
        <v>45636</v>
      </c>
      <c r="C1414" s="1" t="n">
        <v>45658</v>
      </c>
      <c r="D1414" t="inlineStr">
        <is>
          <t>VÄSTERBOTTENS LÄN</t>
        </is>
      </c>
      <c r="E1414" t="inlineStr">
        <is>
          <t>VILHELMINA</t>
        </is>
      </c>
      <c r="F1414" t="inlineStr">
        <is>
          <t>Allmännings- och besparingsskogar</t>
        </is>
      </c>
      <c r="G1414" t="n">
        <v>35.2</v>
      </c>
      <c r="H1414" t="n">
        <v>0</v>
      </c>
      <c r="I1414" t="n">
        <v>0</v>
      </c>
      <c r="J1414" t="n">
        <v>0</v>
      </c>
      <c r="K1414" t="n">
        <v>0</v>
      </c>
      <c r="L1414" t="n">
        <v>0</v>
      </c>
      <c r="M1414" t="n">
        <v>0</v>
      </c>
      <c r="N1414" t="n">
        <v>0</v>
      </c>
      <c r="O1414" t="n">
        <v>0</v>
      </c>
      <c r="P1414" t="n">
        <v>0</v>
      </c>
      <c r="Q1414" t="n">
        <v>0</v>
      </c>
      <c r="R1414" s="2" t="inlineStr"/>
    </row>
    <row r="1415" ht="15" customHeight="1">
      <c r="A1415" t="inlineStr">
        <is>
          <t>A 59031-2024</t>
        </is>
      </c>
      <c r="B1415" s="1" t="n">
        <v>45636</v>
      </c>
      <c r="C1415" s="1" t="n">
        <v>45658</v>
      </c>
      <c r="D1415" t="inlineStr">
        <is>
          <t>VÄSTERBOTTENS LÄN</t>
        </is>
      </c>
      <c r="E1415" t="inlineStr">
        <is>
          <t>VILHELMINA</t>
        </is>
      </c>
      <c r="G1415" t="n">
        <v>38.9</v>
      </c>
      <c r="H1415" t="n">
        <v>0</v>
      </c>
      <c r="I1415" t="n">
        <v>0</v>
      </c>
      <c r="J1415" t="n">
        <v>0</v>
      </c>
      <c r="K1415" t="n">
        <v>0</v>
      </c>
      <c r="L1415" t="n">
        <v>0</v>
      </c>
      <c r="M1415" t="n">
        <v>0</v>
      </c>
      <c r="N1415" t="n">
        <v>0</v>
      </c>
      <c r="O1415" t="n">
        <v>0</v>
      </c>
      <c r="P1415" t="n">
        <v>0</v>
      </c>
      <c r="Q1415" t="n">
        <v>0</v>
      </c>
      <c r="R1415" s="2" t="inlineStr"/>
    </row>
    <row r="1416" ht="15" customHeight="1">
      <c r="A1416" t="inlineStr">
        <is>
          <t>A 59240-2024</t>
        </is>
      </c>
      <c r="B1416" s="1" t="n">
        <v>45637</v>
      </c>
      <c r="C1416" s="1" t="n">
        <v>45658</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59693-2024</t>
        </is>
      </c>
      <c r="B1417" s="1" t="n">
        <v>45639</v>
      </c>
      <c r="C1417" s="1" t="n">
        <v>45658</v>
      </c>
      <c r="D1417" t="inlineStr">
        <is>
          <t>VÄSTERBOTTENS LÄN</t>
        </is>
      </c>
      <c r="E1417" t="inlineStr">
        <is>
          <t>VILHELMINA</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59850-2024</t>
        </is>
      </c>
      <c r="B1418" s="1" t="n">
        <v>45639</v>
      </c>
      <c r="C1418" s="1" t="n">
        <v>45658</v>
      </c>
      <c r="D1418" t="inlineStr">
        <is>
          <t>VÄSTERBOTTENS LÄN</t>
        </is>
      </c>
      <c r="E1418" t="inlineStr">
        <is>
          <t>VILHELMINA</t>
        </is>
      </c>
      <c r="F1418" t="inlineStr">
        <is>
          <t>Kommuner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60326-2024</t>
        </is>
      </c>
      <c r="B1419" s="1" t="n">
        <v>45641</v>
      </c>
      <c r="C1419" s="1" t="n">
        <v>45658</v>
      </c>
      <c r="D1419" t="inlineStr">
        <is>
          <t>VÄSTERBOTTENS LÄN</t>
        </is>
      </c>
      <c r="E1419" t="inlineStr">
        <is>
          <t>VILHELMINA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45658</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60151-2024</t>
        </is>
      </c>
      <c r="B1421" s="1" t="n">
        <v>45642</v>
      </c>
      <c r="C1421" s="1" t="n">
        <v>45658</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60311-2024</t>
        </is>
      </c>
      <c r="B1422" s="1" t="n">
        <v>45643</v>
      </c>
      <c r="C1422" s="1" t="n">
        <v>45658</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60376-2024</t>
        </is>
      </c>
      <c r="B1423" s="1" t="n">
        <v>45643</v>
      </c>
      <c r="C1423" s="1" t="n">
        <v>45658</v>
      </c>
      <c r="D1423" t="inlineStr">
        <is>
          <t>VÄSTERBOTTENS LÄN</t>
        </is>
      </c>
      <c r="E1423" t="inlineStr">
        <is>
          <t>VILHELMINA</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60377-2024</t>
        </is>
      </c>
      <c r="B1424" s="1" t="n">
        <v>45643</v>
      </c>
      <c r="C1424" s="1" t="n">
        <v>45658</v>
      </c>
      <c r="D1424" t="inlineStr">
        <is>
          <t>VÄSTERBOTTENS LÄN</t>
        </is>
      </c>
      <c r="E1424" t="inlineStr">
        <is>
          <t>VILHELMINA</t>
        </is>
      </c>
      <c r="F1424" t="inlineStr">
        <is>
          <t>SCA</t>
        </is>
      </c>
      <c r="G1424" t="n">
        <v>16.2</v>
      </c>
      <c r="H1424" t="n">
        <v>0</v>
      </c>
      <c r="I1424" t="n">
        <v>0</v>
      </c>
      <c r="J1424" t="n">
        <v>0</v>
      </c>
      <c r="K1424" t="n">
        <v>0</v>
      </c>
      <c r="L1424" t="n">
        <v>0</v>
      </c>
      <c r="M1424" t="n">
        <v>0</v>
      </c>
      <c r="N1424" t="n">
        <v>0</v>
      </c>
      <c r="O1424" t="n">
        <v>0</v>
      </c>
      <c r="P1424" t="n">
        <v>0</v>
      </c>
      <c r="Q1424" t="n">
        <v>0</v>
      </c>
      <c r="R1424" s="2" t="inlineStr"/>
    </row>
    <row r="1425" ht="15" customHeight="1">
      <c r="A1425" t="inlineStr">
        <is>
          <t>A 60614-2024</t>
        </is>
      </c>
      <c r="B1425" s="1" t="n">
        <v>45644</v>
      </c>
      <c r="C1425" s="1" t="n">
        <v>45658</v>
      </c>
      <c r="D1425" t="inlineStr">
        <is>
          <t>VÄSTERBOTTENS LÄN</t>
        </is>
      </c>
      <c r="E1425" t="inlineStr">
        <is>
          <t>VILHELMINA</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61547-2024</t>
        </is>
      </c>
      <c r="B1426" s="1" t="n">
        <v>45646</v>
      </c>
      <c r="C1426" s="1" t="n">
        <v>45658</v>
      </c>
      <c r="D1426" t="inlineStr">
        <is>
          <t>VÄSTERBOTTENS LÄN</t>
        </is>
      </c>
      <c r="E1426" t="inlineStr">
        <is>
          <t>VILHELMINA</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61536-2024</t>
        </is>
      </c>
      <c r="B1427" s="1" t="n">
        <v>45646</v>
      </c>
      <c r="C1427" s="1" t="n">
        <v>45658</v>
      </c>
      <c r="D1427" t="inlineStr">
        <is>
          <t>VÄSTERBOTTENS LÄN</t>
        </is>
      </c>
      <c r="E1427" t="inlineStr">
        <is>
          <t>VILHELMINA</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61660-2024</t>
        </is>
      </c>
      <c r="B1428" s="1" t="n">
        <v>45646</v>
      </c>
      <c r="C1428" s="1" t="n">
        <v>45658</v>
      </c>
      <c r="D1428" t="inlineStr">
        <is>
          <t>VÄSTERBOTTENS LÄN</t>
        </is>
      </c>
      <c r="E1428" t="inlineStr">
        <is>
          <t>VILHELMINA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62128-2024</t>
        </is>
      </c>
      <c r="B1429" s="1" t="n">
        <v>45646</v>
      </c>
      <c r="C1429" s="1" t="n">
        <v>45658</v>
      </c>
      <c r="D1429" t="inlineStr">
        <is>
          <t>VÄSTERBOTTENS LÄN</t>
        </is>
      </c>
      <c r="E1429" t="inlineStr">
        <is>
          <t>VILHELMINA</t>
        </is>
      </c>
      <c r="F1429" t="inlineStr">
        <is>
          <t>Övriga Aktiebolag</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61801-2024</t>
        </is>
      </c>
      <c r="B1430" s="1" t="n">
        <v>45649</v>
      </c>
      <c r="C1430" s="1" t="n">
        <v>45658</v>
      </c>
      <c r="D1430" t="inlineStr">
        <is>
          <t>VÄSTERBOTTENS LÄN</t>
        </is>
      </c>
      <c r="E1430" t="inlineStr">
        <is>
          <t>VILHELMINA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61797-2024</t>
        </is>
      </c>
      <c r="B1431" s="1" t="n">
        <v>45649</v>
      </c>
      <c r="C1431" s="1" t="n">
        <v>45658</v>
      </c>
      <c r="D1431" t="inlineStr">
        <is>
          <t>VÄSTERBOTTENS LÄN</t>
        </is>
      </c>
      <c r="E1431" t="inlineStr">
        <is>
          <t>VILHELMINA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61953-2024</t>
        </is>
      </c>
      <c r="B1432" s="1" t="n">
        <v>45653</v>
      </c>
      <c r="C1432" s="1" t="n">
        <v>45658</v>
      </c>
      <c r="D1432" t="inlineStr">
        <is>
          <t>VÄSTERBOTTENS LÄN</t>
        </is>
      </c>
      <c r="E1432" t="inlineStr">
        <is>
          <t>VILHELMINA</t>
        </is>
      </c>
      <c r="F1432" t="inlineStr">
        <is>
          <t>Kommuner</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62100-2024</t>
        </is>
      </c>
      <c r="B1433" s="1" t="n">
        <v>45656</v>
      </c>
      <c r="C1433" s="1" t="n">
        <v>45658</v>
      </c>
      <c r="D1433" t="inlineStr">
        <is>
          <t>VÄSTERBOTTENS LÄN</t>
        </is>
      </c>
      <c r="E1433" t="inlineStr">
        <is>
          <t>VILHELMINA</t>
        </is>
      </c>
      <c r="F1433" t="inlineStr">
        <is>
          <t>SCA</t>
        </is>
      </c>
      <c r="G1433" t="n">
        <v>4</v>
      </c>
      <c r="H1433" t="n">
        <v>0</v>
      </c>
      <c r="I1433" t="n">
        <v>0</v>
      </c>
      <c r="J1433" t="n">
        <v>0</v>
      </c>
      <c r="K1433" t="n">
        <v>0</v>
      </c>
      <c r="L1433" t="n">
        <v>0</v>
      </c>
      <c r="M1433" t="n">
        <v>0</v>
      </c>
      <c r="N1433" t="n">
        <v>0</v>
      </c>
      <c r="O1433" t="n">
        <v>0</v>
      </c>
      <c r="P1433" t="n">
        <v>0</v>
      </c>
      <c r="Q1433" t="n">
        <v>0</v>
      </c>
      <c r="R1433" s="2" t="inlineStr"/>
    </row>
    <row r="1434">
      <c r="A1434" t="inlineStr">
        <is>
          <t>A 62101-2024</t>
        </is>
      </c>
      <c r="B1434" s="1" t="n">
        <v>45656</v>
      </c>
      <c r="C1434" s="1" t="n">
        <v>45658</v>
      </c>
      <c r="D1434" t="inlineStr">
        <is>
          <t>VÄSTERBOTTENS LÄN</t>
        </is>
      </c>
      <c r="E1434" t="inlineStr">
        <is>
          <t>VILHELMINA</t>
        </is>
      </c>
      <c r="F1434" t="inlineStr">
        <is>
          <t>SCA</t>
        </is>
      </c>
      <c r="G1434" t="n">
        <v>2.8</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2025-01-01T19:36:16Z</dcterms:created>
  <dcterms:modified xmlns:dcterms="http://purl.org/dc/terms/" xmlns:xsi="http://www.w3.org/2001/XMLSchema-instance" xsi:type="dcterms:W3CDTF">2025-01-01T19:36:17Z</dcterms:modified>
</cp:coreProperties>
</file>