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45637</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45637</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45637</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45637</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45637</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45637</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45637</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45637</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45637</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45637</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45637</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45637</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45637</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45637</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45637</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45637</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45637</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45637</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45637</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45637</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45637</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45637</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45637</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45637</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45637</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45637</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45637</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45637</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45637</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45637</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45637</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45637</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45637</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45637</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45637</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45637</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45637</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45637</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45637</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45637</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45637</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45637</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45637</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45637</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45637</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45637</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45637</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45637</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45637</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45637</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45637</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45637</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45637</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45637</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45637</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45637</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45637</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45637</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45637</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45637</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45637</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45637</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45637</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45637</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45637</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45637</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45637</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45637</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45637</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45637</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45637</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45637</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45637</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45637</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45637</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45637</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45637</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45637</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45637</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45637</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45637</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45637</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45637</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45637</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45637</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45637</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45637</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45637</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45637</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45637</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45637</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45637</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45637</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45637</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30345-2024</t>
        </is>
      </c>
      <c r="B109" s="1" t="n">
        <v>45491</v>
      </c>
      <c r="C109" s="1" t="n">
        <v>45637</v>
      </c>
      <c r="D109" t="inlineStr">
        <is>
          <t>VÄSTERBOTTENS LÄN</t>
        </is>
      </c>
      <c r="E109" t="inlineStr">
        <is>
          <t>VILHELMINA</t>
        </is>
      </c>
      <c r="F109" t="inlineStr">
        <is>
          <t>SCA</t>
        </is>
      </c>
      <c r="G109" t="n">
        <v>4.1</v>
      </c>
      <c r="H109" t="n">
        <v>4</v>
      </c>
      <c r="I109" t="n">
        <v>1</v>
      </c>
      <c r="J109" t="n">
        <v>5</v>
      </c>
      <c r="K109" t="n">
        <v>0</v>
      </c>
      <c r="L109" t="n">
        <v>0</v>
      </c>
      <c r="M109" t="n">
        <v>0</v>
      </c>
      <c r="N109" t="n">
        <v>0</v>
      </c>
      <c r="O109" t="n">
        <v>5</v>
      </c>
      <c r="P109" t="n">
        <v>0</v>
      </c>
      <c r="Q109" t="n">
        <v>8</v>
      </c>
      <c r="R109" s="2" t="inlineStr">
        <is>
          <t>Gammelgransskål
Garnlav
Granticka
Talltita
Tretåig hackspett
Stuplav
Lavskrika
Orre</t>
        </is>
      </c>
      <c r="S109">
        <f>HYPERLINK("https://klasma.github.io/Logging_2462/artfynd/A 30345-2024 artfynd.xlsx", "A 30345-2024")</f>
        <v/>
      </c>
      <c r="T109">
        <f>HYPERLINK("https://klasma.github.io/Logging_2462/kartor/A 30345-2024 karta.png", "A 30345-2024")</f>
        <v/>
      </c>
      <c r="V109">
        <f>HYPERLINK("https://klasma.github.io/Logging_2462/klagomål/A 30345-2024 FSC-klagomål.docx", "A 30345-2024")</f>
        <v/>
      </c>
      <c r="W109">
        <f>HYPERLINK("https://klasma.github.io/Logging_2462/klagomålsmail/A 30345-2024 FSC-klagomål mail.docx", "A 30345-2024")</f>
        <v/>
      </c>
      <c r="X109">
        <f>HYPERLINK("https://klasma.github.io/Logging_2462/tillsyn/A 30345-2024 tillsynsbegäran.docx", "A 30345-2024")</f>
        <v/>
      </c>
      <c r="Y109">
        <f>HYPERLINK("https://klasma.github.io/Logging_2462/tillsynsmail/A 30345-2024 tillsynsbegäran mail.docx", "A 30345-2024")</f>
        <v/>
      </c>
      <c r="Z109">
        <f>HYPERLINK("https://klasma.github.io/Logging_2462/fåglar/A 30345-2024 prioriterade fågelarter.docx", "A 30345-2024")</f>
        <v/>
      </c>
    </row>
    <row r="110" ht="15" customHeight="1">
      <c r="A110" t="inlineStr">
        <is>
          <t>A 30810-2024</t>
        </is>
      </c>
      <c r="B110" s="1" t="n">
        <v>45497</v>
      </c>
      <c r="C110" s="1" t="n">
        <v>45637</v>
      </c>
      <c r="D110" t="inlineStr">
        <is>
          <t>VÄSTERBOTTENS LÄN</t>
        </is>
      </c>
      <c r="E110" t="inlineStr">
        <is>
          <t>VILHELMINA</t>
        </is>
      </c>
      <c r="G110" t="n">
        <v>24.7</v>
      </c>
      <c r="H110" t="n">
        <v>3</v>
      </c>
      <c r="I110" t="n">
        <v>1</v>
      </c>
      <c r="J110" t="n">
        <v>6</v>
      </c>
      <c r="K110" t="n">
        <v>0</v>
      </c>
      <c r="L110" t="n">
        <v>0</v>
      </c>
      <c r="M110" t="n">
        <v>0</v>
      </c>
      <c r="N110" t="n">
        <v>0</v>
      </c>
      <c r="O110" t="n">
        <v>6</v>
      </c>
      <c r="P110" t="n">
        <v>0</v>
      </c>
      <c r="Q110" t="n">
        <v>8</v>
      </c>
      <c r="R110" s="2" t="inlineStr">
        <is>
          <t>Garnlav
Granticka
Harticka
Spillkråka
Tretåig hackspett
Ullticka
Vedticka
Lavskrika</t>
        </is>
      </c>
      <c r="S110">
        <f>HYPERLINK("https://klasma.github.io/Logging_2462/artfynd/A 30810-2024 artfynd.xlsx", "A 30810-2024")</f>
        <v/>
      </c>
      <c r="T110">
        <f>HYPERLINK("https://klasma.github.io/Logging_2462/kartor/A 30810-2024 karta.png", "A 30810-2024")</f>
        <v/>
      </c>
      <c r="V110">
        <f>HYPERLINK("https://klasma.github.io/Logging_2462/klagomål/A 30810-2024 FSC-klagomål.docx", "A 30810-2024")</f>
        <v/>
      </c>
      <c r="W110">
        <f>HYPERLINK("https://klasma.github.io/Logging_2462/klagomålsmail/A 30810-2024 FSC-klagomål mail.docx", "A 30810-2024")</f>
        <v/>
      </c>
      <c r="X110">
        <f>HYPERLINK("https://klasma.github.io/Logging_2462/tillsyn/A 30810-2024 tillsynsbegäran.docx", "A 30810-2024")</f>
        <v/>
      </c>
      <c r="Y110">
        <f>HYPERLINK("https://klasma.github.io/Logging_2462/tillsynsmail/A 30810-2024 tillsynsbegäran mail.docx", "A 30810-2024")</f>
        <v/>
      </c>
      <c r="Z110">
        <f>HYPERLINK("https://klasma.github.io/Logging_2462/fåglar/A 30810-2024 prioriterade fågelarter.docx", "A 30810-2024")</f>
        <v/>
      </c>
    </row>
    <row r="111" ht="15" customHeight="1">
      <c r="A111" t="inlineStr">
        <is>
          <t>A 31884-2024</t>
        </is>
      </c>
      <c r="B111" s="1" t="n">
        <v>45510</v>
      </c>
      <c r="C111" s="1" t="n">
        <v>45637</v>
      </c>
      <c r="D111" t="inlineStr">
        <is>
          <t>VÄSTERBOTTENS LÄN</t>
        </is>
      </c>
      <c r="E111" t="inlineStr">
        <is>
          <t>VILHELMINA</t>
        </is>
      </c>
      <c r="F111" t="inlineStr">
        <is>
          <t>SCA</t>
        </is>
      </c>
      <c r="G111" t="n">
        <v>1.6</v>
      </c>
      <c r="H111" t="n">
        <v>2</v>
      </c>
      <c r="I111" t="n">
        <v>2</v>
      </c>
      <c r="J111" t="n">
        <v>6</v>
      </c>
      <c r="K111" t="n">
        <v>0</v>
      </c>
      <c r="L111" t="n">
        <v>0</v>
      </c>
      <c r="M111" t="n">
        <v>0</v>
      </c>
      <c r="N111" t="n">
        <v>0</v>
      </c>
      <c r="O111" t="n">
        <v>6</v>
      </c>
      <c r="P111" t="n">
        <v>0</v>
      </c>
      <c r="Q111" t="n">
        <v>8</v>
      </c>
      <c r="R111" s="2" t="inlineStr">
        <is>
          <t>Garnlav
Granticka
Kolflarnlav
Oljetagging
Skogshare
Spillkråka
Korallblylav
Spindelblomster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40918-2024</t>
        </is>
      </c>
      <c r="B112" s="1" t="n">
        <v>45558</v>
      </c>
      <c r="C112" s="1" t="n">
        <v>45637</v>
      </c>
      <c r="D112" t="inlineStr">
        <is>
          <t>VÄSTERBOTTENS LÄN</t>
        </is>
      </c>
      <c r="E112" t="inlineStr">
        <is>
          <t>VILHELMINA</t>
        </is>
      </c>
      <c r="F112" t="inlineStr">
        <is>
          <t>Allmännings- och besparingsskogar</t>
        </is>
      </c>
      <c r="G112" t="n">
        <v>13.9</v>
      </c>
      <c r="H112" t="n">
        <v>1</v>
      </c>
      <c r="I112" t="n">
        <v>2</v>
      </c>
      <c r="J112" t="n">
        <v>6</v>
      </c>
      <c r="K112" t="n">
        <v>0</v>
      </c>
      <c r="L112" t="n">
        <v>0</v>
      </c>
      <c r="M112" t="n">
        <v>0</v>
      </c>
      <c r="N112" t="n">
        <v>0</v>
      </c>
      <c r="O112" t="n">
        <v>6</v>
      </c>
      <c r="P112" t="n">
        <v>0</v>
      </c>
      <c r="Q112" t="n">
        <v>8</v>
      </c>
      <c r="R112" s="2" t="inlineStr">
        <is>
          <t>Garnlav
Granticka
Harticka
Rosenticka
Tretåig hackspett
Vitgrynig nållav
Mörk husmossa
Vedticka</t>
        </is>
      </c>
      <c r="S112">
        <f>HYPERLINK("https://klasma.github.io/Logging_2462/artfynd/A 40918-2024 artfynd.xlsx", "A 40918-2024")</f>
        <v/>
      </c>
      <c r="T112">
        <f>HYPERLINK("https://klasma.github.io/Logging_2462/kartor/A 40918-2024 karta.png", "A 40918-2024")</f>
        <v/>
      </c>
      <c r="V112">
        <f>HYPERLINK("https://klasma.github.io/Logging_2462/klagomål/A 40918-2024 FSC-klagomål.docx", "A 40918-2024")</f>
        <v/>
      </c>
      <c r="W112">
        <f>HYPERLINK("https://klasma.github.io/Logging_2462/klagomålsmail/A 40918-2024 FSC-klagomål mail.docx", "A 40918-2024")</f>
        <v/>
      </c>
      <c r="X112">
        <f>HYPERLINK("https://klasma.github.io/Logging_2462/tillsyn/A 40918-2024 tillsynsbegäran.docx", "A 40918-2024")</f>
        <v/>
      </c>
      <c r="Y112">
        <f>HYPERLINK("https://klasma.github.io/Logging_2462/tillsynsmail/A 40918-2024 tillsynsbegäran mail.docx", "A 40918-2024")</f>
        <v/>
      </c>
      <c r="Z112">
        <f>HYPERLINK("https://klasma.github.io/Logging_2462/fåglar/A 40918-2024 prioriterade fågelarter.docx", "A 40918-2024")</f>
        <v/>
      </c>
    </row>
    <row r="113" ht="15" customHeight="1">
      <c r="A113" t="inlineStr">
        <is>
          <t>A 37271-2019</t>
        </is>
      </c>
      <c r="B113" s="1" t="n">
        <v>43677</v>
      </c>
      <c r="C113" s="1" t="n">
        <v>45637</v>
      </c>
      <c r="D113" t="inlineStr">
        <is>
          <t>VÄSTERBOTTENS LÄN</t>
        </is>
      </c>
      <c r="E113" t="inlineStr">
        <is>
          <t>VILHELMINA</t>
        </is>
      </c>
      <c r="F113" t="inlineStr">
        <is>
          <t>Holmen skog AB</t>
        </is>
      </c>
      <c r="G113" t="n">
        <v>5</v>
      </c>
      <c r="H113" t="n">
        <v>1</v>
      </c>
      <c r="I113" t="n">
        <v>0</v>
      </c>
      <c r="J113" t="n">
        <v>7</v>
      </c>
      <c r="K113" t="n">
        <v>0</v>
      </c>
      <c r="L113" t="n">
        <v>0</v>
      </c>
      <c r="M113" t="n">
        <v>0</v>
      </c>
      <c r="N113" t="n">
        <v>0</v>
      </c>
      <c r="O113" t="n">
        <v>7</v>
      </c>
      <c r="P113" t="n">
        <v>0</v>
      </c>
      <c r="Q113" t="n">
        <v>7</v>
      </c>
      <c r="R113" s="2" t="inlineStr">
        <is>
          <t>Gammelgransskål
Garnlav
Granticka
Gränsticka
Harticka
Tretåig hackspett
Vitgrynig nållav</t>
        </is>
      </c>
      <c r="S113">
        <f>HYPERLINK("https://klasma.github.io/Logging_2462/artfynd/A 37271-2019 artfynd.xlsx", "A 37271-2019")</f>
        <v/>
      </c>
      <c r="T113">
        <f>HYPERLINK("https://klasma.github.io/Logging_2462/kartor/A 37271-2019 karta.png", "A 37271-2019")</f>
        <v/>
      </c>
      <c r="V113">
        <f>HYPERLINK("https://klasma.github.io/Logging_2462/klagomål/A 37271-2019 FSC-klagomål.docx", "A 37271-2019")</f>
        <v/>
      </c>
      <c r="W113">
        <f>HYPERLINK("https://klasma.github.io/Logging_2462/klagomålsmail/A 37271-2019 FSC-klagomål mail.docx", "A 37271-2019")</f>
        <v/>
      </c>
      <c r="X113">
        <f>HYPERLINK("https://klasma.github.io/Logging_2462/tillsyn/A 37271-2019 tillsynsbegäran.docx", "A 37271-2019")</f>
        <v/>
      </c>
      <c r="Y113">
        <f>HYPERLINK("https://klasma.github.io/Logging_2462/tillsynsmail/A 37271-2019 tillsynsbegäran mail.docx", "A 37271-2019")</f>
        <v/>
      </c>
      <c r="Z113">
        <f>HYPERLINK("https://klasma.github.io/Logging_2462/fåglar/A 37271-2019 prioriterade fågelarter.docx", "A 37271-2019")</f>
        <v/>
      </c>
    </row>
    <row r="114" ht="15" customHeight="1">
      <c r="A114" t="inlineStr">
        <is>
          <t>A 15852-2022</t>
        </is>
      </c>
      <c r="B114" s="1" t="n">
        <v>44664</v>
      </c>
      <c r="C114" s="1" t="n">
        <v>45637</v>
      </c>
      <c r="D114" t="inlineStr">
        <is>
          <t>VÄSTERBOTTENS LÄN</t>
        </is>
      </c>
      <c r="E114" t="inlineStr">
        <is>
          <t>VILHELMINA</t>
        </is>
      </c>
      <c r="G114" t="n">
        <v>9.300000000000001</v>
      </c>
      <c r="H114" t="n">
        <v>1</v>
      </c>
      <c r="I114" t="n">
        <v>2</v>
      </c>
      <c r="J114" t="n">
        <v>5</v>
      </c>
      <c r="K114" t="n">
        <v>0</v>
      </c>
      <c r="L114" t="n">
        <v>0</v>
      </c>
      <c r="M114" t="n">
        <v>0</v>
      </c>
      <c r="N114" t="n">
        <v>0</v>
      </c>
      <c r="O114" t="n">
        <v>5</v>
      </c>
      <c r="P114" t="n">
        <v>0</v>
      </c>
      <c r="Q114" t="n">
        <v>7</v>
      </c>
      <c r="R114" s="2" t="inlineStr">
        <is>
          <t>Granticka
Harticka
Lunglav
Skrovellav
Ullticka
Spindelblomster
Stuplav</t>
        </is>
      </c>
      <c r="S114">
        <f>HYPERLINK("https://klasma.github.io/Logging_2462/artfynd/A 15852-2022 artfynd.xlsx", "A 15852-2022")</f>
        <v/>
      </c>
      <c r="T114">
        <f>HYPERLINK("https://klasma.github.io/Logging_2462/kartor/A 15852-2022 karta.png", "A 15852-2022")</f>
        <v/>
      </c>
      <c r="V114">
        <f>HYPERLINK("https://klasma.github.io/Logging_2462/klagomål/A 15852-2022 FSC-klagomål.docx", "A 15852-2022")</f>
        <v/>
      </c>
      <c r="W114">
        <f>HYPERLINK("https://klasma.github.io/Logging_2462/klagomålsmail/A 15852-2022 FSC-klagomål mail.docx", "A 15852-2022")</f>
        <v/>
      </c>
      <c r="X114">
        <f>HYPERLINK("https://klasma.github.io/Logging_2462/tillsyn/A 15852-2022 tillsynsbegäran.docx", "A 15852-2022")</f>
        <v/>
      </c>
      <c r="Y114">
        <f>HYPERLINK("https://klasma.github.io/Logging_2462/tillsynsmail/A 15852-2022 tillsynsbegäran mail.docx", "A 15852-2022")</f>
        <v/>
      </c>
    </row>
    <row r="115" ht="15" customHeight="1">
      <c r="A115" t="inlineStr">
        <is>
          <t>A 24829-2023</t>
        </is>
      </c>
      <c r="B115" s="1" t="n">
        <v>45084</v>
      </c>
      <c r="C115" s="1" t="n">
        <v>45637</v>
      </c>
      <c r="D115" t="inlineStr">
        <is>
          <t>VÄSTERBOTTENS LÄN</t>
        </is>
      </c>
      <c r="E115" t="inlineStr">
        <is>
          <t>VILHELMINA</t>
        </is>
      </c>
      <c r="F115" t="inlineStr">
        <is>
          <t>SCA</t>
        </is>
      </c>
      <c r="G115" t="n">
        <v>15.1</v>
      </c>
      <c r="H115" t="n">
        <v>2</v>
      </c>
      <c r="I115" t="n">
        <v>1</v>
      </c>
      <c r="J115" t="n">
        <v>6</v>
      </c>
      <c r="K115" t="n">
        <v>0</v>
      </c>
      <c r="L115" t="n">
        <v>0</v>
      </c>
      <c r="M115" t="n">
        <v>0</v>
      </c>
      <c r="N115" t="n">
        <v>0</v>
      </c>
      <c r="O115" t="n">
        <v>6</v>
      </c>
      <c r="P115" t="n">
        <v>0</v>
      </c>
      <c r="Q115" t="n">
        <v>7</v>
      </c>
      <c r="R115" s="2" t="inlineStr">
        <is>
          <t>Garnlav
Granticka
Harticka
Lunglav
Spillkråka
Tretåig hackspett
Luddlav</t>
        </is>
      </c>
      <c r="S115">
        <f>HYPERLINK("https://klasma.github.io/Logging_2462/artfynd/A 24829-2023 artfynd.xlsx", "A 24829-2023")</f>
        <v/>
      </c>
      <c r="T115">
        <f>HYPERLINK("https://klasma.github.io/Logging_2462/kartor/A 24829-2023 karta.png", "A 24829-2023")</f>
        <v/>
      </c>
      <c r="V115">
        <f>HYPERLINK("https://klasma.github.io/Logging_2462/klagomål/A 24829-2023 FSC-klagomål.docx", "A 24829-2023")</f>
        <v/>
      </c>
      <c r="W115">
        <f>HYPERLINK("https://klasma.github.io/Logging_2462/klagomålsmail/A 24829-2023 FSC-klagomål mail.docx", "A 24829-2023")</f>
        <v/>
      </c>
      <c r="X115">
        <f>HYPERLINK("https://klasma.github.io/Logging_2462/tillsyn/A 24829-2023 tillsynsbegäran.docx", "A 24829-2023")</f>
        <v/>
      </c>
      <c r="Y115">
        <f>HYPERLINK("https://klasma.github.io/Logging_2462/tillsynsmail/A 24829-2023 tillsynsbegäran mail.docx", "A 24829-2023")</f>
        <v/>
      </c>
      <c r="Z115">
        <f>HYPERLINK("https://klasma.github.io/Logging_2462/fåglar/A 24829-2023 prioriterade fågelarter.docx", "A 24829-2023")</f>
        <v/>
      </c>
    </row>
    <row r="116" ht="15" customHeight="1">
      <c r="A116" t="inlineStr">
        <is>
          <t>A 34091-2023</t>
        </is>
      </c>
      <c r="B116" s="1" t="n">
        <v>45125</v>
      </c>
      <c r="C116" s="1" t="n">
        <v>45637</v>
      </c>
      <c r="D116" t="inlineStr">
        <is>
          <t>VÄSTERBOTTENS LÄN</t>
        </is>
      </c>
      <c r="E116" t="inlineStr">
        <is>
          <t>VILHELMINA</t>
        </is>
      </c>
      <c r="G116" t="n">
        <v>18.4</v>
      </c>
      <c r="H116" t="n">
        <v>1</v>
      </c>
      <c r="I116" t="n">
        <v>1</v>
      </c>
      <c r="J116" t="n">
        <v>6</v>
      </c>
      <c r="K116" t="n">
        <v>0</v>
      </c>
      <c r="L116" t="n">
        <v>0</v>
      </c>
      <c r="M116" t="n">
        <v>0</v>
      </c>
      <c r="N116" t="n">
        <v>0</v>
      </c>
      <c r="O116" t="n">
        <v>6</v>
      </c>
      <c r="P116" t="n">
        <v>0</v>
      </c>
      <c r="Q116" t="n">
        <v>7</v>
      </c>
      <c r="R116" s="2" t="inlineStr">
        <is>
          <t>Doftskinn
Garnlav
Granticka
Gränsticka
Skrovellav
Tretåig hackspett
Trådticka</t>
        </is>
      </c>
      <c r="S116">
        <f>HYPERLINK("https://klasma.github.io/Logging_2462/artfynd/A 34091-2023 artfynd.xlsx", "A 34091-2023")</f>
        <v/>
      </c>
      <c r="T116">
        <f>HYPERLINK("https://klasma.github.io/Logging_2462/kartor/A 34091-2023 karta.png", "A 34091-2023")</f>
        <v/>
      </c>
      <c r="V116">
        <f>HYPERLINK("https://klasma.github.io/Logging_2462/klagomål/A 34091-2023 FSC-klagomål.docx", "A 34091-2023")</f>
        <v/>
      </c>
      <c r="W116">
        <f>HYPERLINK("https://klasma.github.io/Logging_2462/klagomålsmail/A 34091-2023 FSC-klagomål mail.docx", "A 34091-2023")</f>
        <v/>
      </c>
      <c r="X116">
        <f>HYPERLINK("https://klasma.github.io/Logging_2462/tillsyn/A 34091-2023 tillsynsbegäran.docx", "A 34091-2023")</f>
        <v/>
      </c>
      <c r="Y116">
        <f>HYPERLINK("https://klasma.github.io/Logging_2462/tillsynsmail/A 34091-2023 tillsynsbegäran mail.docx", "A 34091-2023")</f>
        <v/>
      </c>
      <c r="Z116">
        <f>HYPERLINK("https://klasma.github.io/Logging_2462/fåglar/A 34091-2023 prioriterade fågelarter.docx", "A 34091-2023")</f>
        <v/>
      </c>
    </row>
    <row r="117" ht="15" customHeight="1">
      <c r="A117" t="inlineStr">
        <is>
          <t>A 34418-2023</t>
        </is>
      </c>
      <c r="B117" s="1" t="n">
        <v>45132</v>
      </c>
      <c r="C117" s="1" t="n">
        <v>45637</v>
      </c>
      <c r="D117" t="inlineStr">
        <is>
          <t>VÄSTERBOTTENS LÄN</t>
        </is>
      </c>
      <c r="E117" t="inlineStr">
        <is>
          <t>VILHELMINA</t>
        </is>
      </c>
      <c r="F117" t="inlineStr">
        <is>
          <t>Allmännings- och besparingsskogar</t>
        </is>
      </c>
      <c r="G117" t="n">
        <v>18.3</v>
      </c>
      <c r="H117" t="n">
        <v>1</v>
      </c>
      <c r="I117" t="n">
        <v>0</v>
      </c>
      <c r="J117" t="n">
        <v>6</v>
      </c>
      <c r="K117" t="n">
        <v>1</v>
      </c>
      <c r="L117" t="n">
        <v>0</v>
      </c>
      <c r="M117" t="n">
        <v>0</v>
      </c>
      <c r="N117" t="n">
        <v>0</v>
      </c>
      <c r="O117" t="n">
        <v>7</v>
      </c>
      <c r="P117" t="n">
        <v>1</v>
      </c>
      <c r="Q117" t="n">
        <v>7</v>
      </c>
      <c r="R117" s="2" t="inlineStr">
        <is>
          <t>Ostticka
Gammelgransskål
Garnlav
Gränsticka
Knottrig blåslav
Rödbrun blekspik
Tretåig hackspett</t>
        </is>
      </c>
      <c r="S117">
        <f>HYPERLINK("https://klasma.github.io/Logging_2462/artfynd/A 34418-2023 artfynd.xlsx", "A 34418-2023")</f>
        <v/>
      </c>
      <c r="T117">
        <f>HYPERLINK("https://klasma.github.io/Logging_2462/kartor/A 34418-2023 karta.png", "A 34418-2023")</f>
        <v/>
      </c>
      <c r="V117">
        <f>HYPERLINK("https://klasma.github.io/Logging_2462/klagomål/A 34418-2023 FSC-klagomål.docx", "A 34418-2023")</f>
        <v/>
      </c>
      <c r="W117">
        <f>HYPERLINK("https://klasma.github.io/Logging_2462/klagomålsmail/A 34418-2023 FSC-klagomål mail.docx", "A 34418-2023")</f>
        <v/>
      </c>
      <c r="X117">
        <f>HYPERLINK("https://klasma.github.io/Logging_2462/tillsyn/A 34418-2023 tillsynsbegäran.docx", "A 34418-2023")</f>
        <v/>
      </c>
      <c r="Y117">
        <f>HYPERLINK("https://klasma.github.io/Logging_2462/tillsynsmail/A 34418-2023 tillsynsbegäran mail.docx", "A 34418-2023")</f>
        <v/>
      </c>
      <c r="Z117">
        <f>HYPERLINK("https://klasma.github.io/Logging_2462/fåglar/A 34418-2023 prioriterade fågelarter.docx", "A 34418-2023")</f>
        <v/>
      </c>
    </row>
    <row r="118" ht="15" customHeight="1">
      <c r="A118" t="inlineStr">
        <is>
          <t>A 25564-2024</t>
        </is>
      </c>
      <c r="B118" s="1" t="n">
        <v>45463</v>
      </c>
      <c r="C118" s="1" t="n">
        <v>45637</v>
      </c>
      <c r="D118" t="inlineStr">
        <is>
          <t>VÄSTERBOTTENS LÄN</t>
        </is>
      </c>
      <c r="E118" t="inlineStr">
        <is>
          <t>VILHELMINA</t>
        </is>
      </c>
      <c r="F118" t="inlineStr">
        <is>
          <t>Sveaskog</t>
        </is>
      </c>
      <c r="G118" t="n">
        <v>4.2</v>
      </c>
      <c r="H118" t="n">
        <v>1</v>
      </c>
      <c r="I118" t="n">
        <v>1</v>
      </c>
      <c r="J118" t="n">
        <v>6</v>
      </c>
      <c r="K118" t="n">
        <v>0</v>
      </c>
      <c r="L118" t="n">
        <v>0</v>
      </c>
      <c r="M118" t="n">
        <v>0</v>
      </c>
      <c r="N118" t="n">
        <v>0</v>
      </c>
      <c r="O118" t="n">
        <v>6</v>
      </c>
      <c r="P118" t="n">
        <v>0</v>
      </c>
      <c r="Q118" t="n">
        <v>7</v>
      </c>
      <c r="R118" s="2" t="inlineStr">
        <is>
          <t>Gammelgransskål
Garnlav
Kandelabersvamp
Koralltaggsvamp
Tretåig hackspett
Vedtrappmossa
Blodticka</t>
        </is>
      </c>
      <c r="S118">
        <f>HYPERLINK("https://klasma.github.io/Logging_2462/artfynd/A 25564-2024 artfynd.xlsx", "A 25564-2024")</f>
        <v/>
      </c>
      <c r="T118">
        <f>HYPERLINK("https://klasma.github.io/Logging_2462/kartor/A 25564-2024 karta.png", "A 25564-2024")</f>
        <v/>
      </c>
      <c r="V118">
        <f>HYPERLINK("https://klasma.github.io/Logging_2462/klagomål/A 25564-2024 FSC-klagomål.docx", "A 25564-2024")</f>
        <v/>
      </c>
      <c r="W118">
        <f>HYPERLINK("https://klasma.github.io/Logging_2462/klagomålsmail/A 25564-2024 FSC-klagomål mail.docx", "A 25564-2024")</f>
        <v/>
      </c>
      <c r="X118">
        <f>HYPERLINK("https://klasma.github.io/Logging_2462/tillsyn/A 25564-2024 tillsynsbegäran.docx", "A 25564-2024")</f>
        <v/>
      </c>
      <c r="Y118">
        <f>HYPERLINK("https://klasma.github.io/Logging_2462/tillsynsmail/A 25564-2024 tillsynsbegäran mail.docx", "A 25564-2024")</f>
        <v/>
      </c>
      <c r="Z118">
        <f>HYPERLINK("https://klasma.github.io/Logging_2462/fåglar/A 25564-2024 prioriterade fågelarter.docx", "A 25564-2024")</f>
        <v/>
      </c>
    </row>
    <row r="119" ht="15" customHeight="1">
      <c r="A119" t="inlineStr">
        <is>
          <t>A 32456-2024</t>
        </is>
      </c>
      <c r="B119" s="1" t="n">
        <v>45513</v>
      </c>
      <c r="C119" s="1" t="n">
        <v>45637</v>
      </c>
      <c r="D119" t="inlineStr">
        <is>
          <t>VÄSTERBOTTENS LÄN</t>
        </is>
      </c>
      <c r="E119" t="inlineStr">
        <is>
          <t>VILHELMINA</t>
        </is>
      </c>
      <c r="F119" t="inlineStr">
        <is>
          <t>SCA</t>
        </is>
      </c>
      <c r="G119" t="n">
        <v>10.5</v>
      </c>
      <c r="H119" t="n">
        <v>4</v>
      </c>
      <c r="I119" t="n">
        <v>1</v>
      </c>
      <c r="J119" t="n">
        <v>5</v>
      </c>
      <c r="K119" t="n">
        <v>0</v>
      </c>
      <c r="L119" t="n">
        <v>0</v>
      </c>
      <c r="M119" t="n">
        <v>0</v>
      </c>
      <c r="N119" t="n">
        <v>0</v>
      </c>
      <c r="O119" t="n">
        <v>5</v>
      </c>
      <c r="P119" t="n">
        <v>0</v>
      </c>
      <c r="Q119" t="n">
        <v>7</v>
      </c>
      <c r="R119" s="2" t="inlineStr">
        <is>
          <t>Garnlav
Granticka
Gränsticka
Spillkråka
Tretåig hackspett
Lappranunkel
Revlummer</t>
        </is>
      </c>
      <c r="S119">
        <f>HYPERLINK("https://klasma.github.io/Logging_2462/artfynd/A 32456-2024 artfynd.xlsx", "A 32456-2024")</f>
        <v/>
      </c>
      <c r="T119">
        <f>HYPERLINK("https://klasma.github.io/Logging_2462/kartor/A 32456-2024 karta.png", "A 32456-2024")</f>
        <v/>
      </c>
      <c r="V119">
        <f>HYPERLINK("https://klasma.github.io/Logging_2462/klagomål/A 32456-2024 FSC-klagomål.docx", "A 32456-2024")</f>
        <v/>
      </c>
      <c r="W119">
        <f>HYPERLINK("https://klasma.github.io/Logging_2462/klagomålsmail/A 32456-2024 FSC-klagomål mail.docx", "A 32456-2024")</f>
        <v/>
      </c>
      <c r="X119">
        <f>HYPERLINK("https://klasma.github.io/Logging_2462/tillsyn/A 32456-2024 tillsynsbegäran.docx", "A 32456-2024")</f>
        <v/>
      </c>
      <c r="Y119">
        <f>HYPERLINK("https://klasma.github.io/Logging_2462/tillsynsmail/A 32456-2024 tillsynsbegäran mail.docx", "A 32456-2024")</f>
        <v/>
      </c>
      <c r="Z119">
        <f>HYPERLINK("https://klasma.github.io/Logging_2462/fåglar/A 32456-2024 prioriterade fågelarter.docx", "A 32456-2024")</f>
        <v/>
      </c>
    </row>
    <row r="120" ht="15" customHeight="1">
      <c r="A120" t="inlineStr">
        <is>
          <t>A 35393-2024</t>
        </is>
      </c>
      <c r="B120" s="1" t="n">
        <v>45531</v>
      </c>
      <c r="C120" s="1" t="n">
        <v>45637</v>
      </c>
      <c r="D120" t="inlineStr">
        <is>
          <t>VÄSTERBOTTENS LÄN</t>
        </is>
      </c>
      <c r="E120" t="inlineStr">
        <is>
          <t>VILHELMINA</t>
        </is>
      </c>
      <c r="F120" t="inlineStr">
        <is>
          <t>SCA</t>
        </is>
      </c>
      <c r="G120" t="n">
        <v>4.2</v>
      </c>
      <c r="H120" t="n">
        <v>3</v>
      </c>
      <c r="I120" t="n">
        <v>0</v>
      </c>
      <c r="J120" t="n">
        <v>5</v>
      </c>
      <c r="K120" t="n">
        <v>1</v>
      </c>
      <c r="L120" t="n">
        <v>0</v>
      </c>
      <c r="M120" t="n">
        <v>0</v>
      </c>
      <c r="N120" t="n">
        <v>0</v>
      </c>
      <c r="O120" t="n">
        <v>6</v>
      </c>
      <c r="P120" t="n">
        <v>1</v>
      </c>
      <c r="Q120" t="n">
        <v>7</v>
      </c>
      <c r="R120" s="2" t="inlineStr">
        <is>
          <t>Liten sotlav
Gammelgransskål
Garnlav
Granticka
Spillkråka
Tretåig hackspett
Revlummer</t>
        </is>
      </c>
      <c r="S120">
        <f>HYPERLINK("https://klasma.github.io/Logging_2462/artfynd/A 35393-2024 artfynd.xlsx", "A 35393-2024")</f>
        <v/>
      </c>
      <c r="T120">
        <f>HYPERLINK("https://klasma.github.io/Logging_2462/kartor/A 35393-2024 karta.png", "A 35393-2024")</f>
        <v/>
      </c>
      <c r="V120">
        <f>HYPERLINK("https://klasma.github.io/Logging_2462/klagomål/A 35393-2024 FSC-klagomål.docx", "A 35393-2024")</f>
        <v/>
      </c>
      <c r="W120">
        <f>HYPERLINK("https://klasma.github.io/Logging_2462/klagomålsmail/A 35393-2024 FSC-klagomål mail.docx", "A 35393-2024")</f>
        <v/>
      </c>
      <c r="X120">
        <f>HYPERLINK("https://klasma.github.io/Logging_2462/tillsyn/A 35393-2024 tillsynsbegäran.docx", "A 35393-2024")</f>
        <v/>
      </c>
      <c r="Y120">
        <f>HYPERLINK("https://klasma.github.io/Logging_2462/tillsynsmail/A 35393-2024 tillsynsbegäran mail.docx", "A 35393-2024")</f>
        <v/>
      </c>
      <c r="Z120">
        <f>HYPERLINK("https://klasma.github.io/Logging_2462/fåglar/A 35393-2024 prioriterade fågelarter.docx", "A 35393-2024")</f>
        <v/>
      </c>
    </row>
    <row r="121" ht="15" customHeight="1">
      <c r="A121" t="inlineStr">
        <is>
          <t>A 40733-2024</t>
        </is>
      </c>
      <c r="B121" s="1" t="n">
        <v>45558</v>
      </c>
      <c r="C121" s="1" t="n">
        <v>45637</v>
      </c>
      <c r="D121" t="inlineStr">
        <is>
          <t>VÄSTERBOTTENS LÄN</t>
        </is>
      </c>
      <c r="E121" t="inlineStr">
        <is>
          <t>VILHELMINA</t>
        </is>
      </c>
      <c r="F121" t="inlineStr">
        <is>
          <t>Allmännings- och besparingsskogar</t>
        </is>
      </c>
      <c r="G121" t="n">
        <v>7</v>
      </c>
      <c r="H121" t="n">
        <v>1</v>
      </c>
      <c r="I121" t="n">
        <v>2</v>
      </c>
      <c r="J121" t="n">
        <v>5</v>
      </c>
      <c r="K121" t="n">
        <v>0</v>
      </c>
      <c r="L121" t="n">
        <v>0</v>
      </c>
      <c r="M121" t="n">
        <v>0</v>
      </c>
      <c r="N121" t="n">
        <v>0</v>
      </c>
      <c r="O121" t="n">
        <v>5</v>
      </c>
      <c r="P121" t="n">
        <v>0</v>
      </c>
      <c r="Q121" t="n">
        <v>7</v>
      </c>
      <c r="R121" s="2" t="inlineStr">
        <is>
          <t>Garnlav
Granticka
Gränsticka
Skrovellav
Tretåig hackspett
Mörk husmossa
Stuplav</t>
        </is>
      </c>
      <c r="S121">
        <f>HYPERLINK("https://klasma.github.io/Logging_2462/artfynd/A 40733-2024 artfynd.xlsx", "A 40733-2024")</f>
        <v/>
      </c>
      <c r="T121">
        <f>HYPERLINK("https://klasma.github.io/Logging_2462/kartor/A 40733-2024 karta.png", "A 40733-2024")</f>
        <v/>
      </c>
      <c r="V121">
        <f>HYPERLINK("https://klasma.github.io/Logging_2462/klagomål/A 40733-2024 FSC-klagomål.docx", "A 40733-2024")</f>
        <v/>
      </c>
      <c r="W121">
        <f>HYPERLINK("https://klasma.github.io/Logging_2462/klagomålsmail/A 40733-2024 FSC-klagomål mail.docx", "A 40733-2024")</f>
        <v/>
      </c>
      <c r="X121">
        <f>HYPERLINK("https://klasma.github.io/Logging_2462/tillsyn/A 40733-2024 tillsynsbegäran.docx", "A 40733-2024")</f>
        <v/>
      </c>
      <c r="Y121">
        <f>HYPERLINK("https://klasma.github.io/Logging_2462/tillsynsmail/A 40733-2024 tillsynsbegäran mail.docx", "A 40733-2024")</f>
        <v/>
      </c>
      <c r="Z121">
        <f>HYPERLINK("https://klasma.github.io/Logging_2462/fåglar/A 40733-2024 prioriterade fågelarter.docx", "A 40733-2024")</f>
        <v/>
      </c>
    </row>
    <row r="122" ht="15" customHeight="1">
      <c r="A122" t="inlineStr">
        <is>
          <t>A 49135-2023</t>
        </is>
      </c>
      <c r="B122" s="1" t="n">
        <v>45205</v>
      </c>
      <c r="C122" s="1" t="n">
        <v>45637</v>
      </c>
      <c r="D122" t="inlineStr">
        <is>
          <t>VÄSTERBOTTENS LÄN</t>
        </is>
      </c>
      <c r="E122" t="inlineStr">
        <is>
          <t>VILHELMINA</t>
        </is>
      </c>
      <c r="F122" t="inlineStr">
        <is>
          <t>Allmännings- och besparingsskogar</t>
        </is>
      </c>
      <c r="G122" t="n">
        <v>5.1</v>
      </c>
      <c r="H122" t="n">
        <v>1</v>
      </c>
      <c r="I122" t="n">
        <v>1</v>
      </c>
      <c r="J122" t="n">
        <v>5</v>
      </c>
      <c r="K122" t="n">
        <v>0</v>
      </c>
      <c r="L122" t="n">
        <v>0</v>
      </c>
      <c r="M122" t="n">
        <v>0</v>
      </c>
      <c r="N122" t="n">
        <v>0</v>
      </c>
      <c r="O122" t="n">
        <v>5</v>
      </c>
      <c r="P122" t="n">
        <v>0</v>
      </c>
      <c r="Q122" t="n">
        <v>6</v>
      </c>
      <c r="R122" s="2" t="inlineStr">
        <is>
          <t>Blanksvart spiklav
Blågrå svartspik
Garnlav
Skrovellav
Tretåig hackspett
Skinnlav</t>
        </is>
      </c>
      <c r="S122">
        <f>HYPERLINK("https://klasma.github.io/Logging_2462/artfynd/A 49135-2023 artfynd.xlsx", "A 49135-2023")</f>
        <v/>
      </c>
      <c r="T122">
        <f>HYPERLINK("https://klasma.github.io/Logging_2462/kartor/A 49135-2023 karta.png", "A 49135-2023")</f>
        <v/>
      </c>
      <c r="V122">
        <f>HYPERLINK("https://klasma.github.io/Logging_2462/klagomål/A 49135-2023 FSC-klagomål.docx", "A 49135-2023")</f>
        <v/>
      </c>
      <c r="W122">
        <f>HYPERLINK("https://klasma.github.io/Logging_2462/klagomålsmail/A 49135-2023 FSC-klagomål mail.docx", "A 49135-2023")</f>
        <v/>
      </c>
      <c r="X122">
        <f>HYPERLINK("https://klasma.github.io/Logging_2462/tillsyn/A 49135-2023 tillsynsbegäran.docx", "A 49135-2023")</f>
        <v/>
      </c>
      <c r="Y122">
        <f>HYPERLINK("https://klasma.github.io/Logging_2462/tillsynsmail/A 49135-2023 tillsynsbegäran mail.docx", "A 49135-2023")</f>
        <v/>
      </c>
      <c r="Z122">
        <f>HYPERLINK("https://klasma.github.io/Logging_2462/fåglar/A 49135-2023 prioriterade fågelarter.docx", "A 49135-2023")</f>
        <v/>
      </c>
    </row>
    <row r="123" ht="15" customHeight="1">
      <c r="A123" t="inlineStr">
        <is>
          <t>A 49977-2023</t>
        </is>
      </c>
      <c r="B123" s="1" t="n">
        <v>45208</v>
      </c>
      <c r="C123" s="1" t="n">
        <v>45637</v>
      </c>
      <c r="D123" t="inlineStr">
        <is>
          <t>VÄSTERBOTTENS LÄN</t>
        </is>
      </c>
      <c r="E123" t="inlineStr">
        <is>
          <t>VILHELMINA</t>
        </is>
      </c>
      <c r="F123" t="inlineStr">
        <is>
          <t>Övriga statliga verk och myndigheter</t>
        </is>
      </c>
      <c r="G123" t="n">
        <v>8.1</v>
      </c>
      <c r="H123" t="n">
        <v>1</v>
      </c>
      <c r="I123" t="n">
        <v>2</v>
      </c>
      <c r="J123" t="n">
        <v>4</v>
      </c>
      <c r="K123" t="n">
        <v>0</v>
      </c>
      <c r="L123" t="n">
        <v>0</v>
      </c>
      <c r="M123" t="n">
        <v>0</v>
      </c>
      <c r="N123" t="n">
        <v>0</v>
      </c>
      <c r="O123" t="n">
        <v>4</v>
      </c>
      <c r="P123" t="n">
        <v>0</v>
      </c>
      <c r="Q123" t="n">
        <v>6</v>
      </c>
      <c r="R123" s="2" t="inlineStr">
        <is>
          <t>Leptoporus mollis
Skrovellav
Tretåig hackspett
Vitgrynig nållav
Bårdlav
Fjällig taggsvamp s.str.</t>
        </is>
      </c>
      <c r="S123">
        <f>HYPERLINK("https://klasma.github.io/Logging_2462/artfynd/A 49977-2023 artfynd.xlsx", "A 49977-2023")</f>
        <v/>
      </c>
      <c r="T123">
        <f>HYPERLINK("https://klasma.github.io/Logging_2462/kartor/A 49977-2023 karta.png", "A 49977-2023")</f>
        <v/>
      </c>
      <c r="V123">
        <f>HYPERLINK("https://klasma.github.io/Logging_2462/klagomål/A 49977-2023 FSC-klagomål.docx", "A 49977-2023")</f>
        <v/>
      </c>
      <c r="W123">
        <f>HYPERLINK("https://klasma.github.io/Logging_2462/klagomålsmail/A 49977-2023 FSC-klagomål mail.docx", "A 49977-2023")</f>
        <v/>
      </c>
      <c r="X123">
        <f>HYPERLINK("https://klasma.github.io/Logging_2462/tillsyn/A 49977-2023 tillsynsbegäran.docx", "A 49977-2023")</f>
        <v/>
      </c>
      <c r="Y123">
        <f>HYPERLINK("https://klasma.github.io/Logging_2462/tillsynsmail/A 49977-2023 tillsynsbegäran mail.docx", "A 49977-2023")</f>
        <v/>
      </c>
      <c r="Z123">
        <f>HYPERLINK("https://klasma.github.io/Logging_2462/fåglar/A 49977-2023 prioriterade fågelarter.docx", "A 49977-2023")</f>
        <v/>
      </c>
    </row>
    <row r="124" ht="15" customHeight="1">
      <c r="A124" t="inlineStr">
        <is>
          <t>A 38128-2024</t>
        </is>
      </c>
      <c r="B124" s="1" t="n">
        <v>45545</v>
      </c>
      <c r="C124" s="1" t="n">
        <v>45637</v>
      </c>
      <c r="D124" t="inlineStr">
        <is>
          <t>VÄSTERBOTTENS LÄN</t>
        </is>
      </c>
      <c r="E124" t="inlineStr">
        <is>
          <t>VILHELMINA</t>
        </is>
      </c>
      <c r="F124" t="inlineStr">
        <is>
          <t>SCA</t>
        </is>
      </c>
      <c r="G124" t="n">
        <v>9.5</v>
      </c>
      <c r="H124" t="n">
        <v>1</v>
      </c>
      <c r="I124" t="n">
        <v>0</v>
      </c>
      <c r="J124" t="n">
        <v>6</v>
      </c>
      <c r="K124" t="n">
        <v>0</v>
      </c>
      <c r="L124" t="n">
        <v>0</v>
      </c>
      <c r="M124" t="n">
        <v>0</v>
      </c>
      <c r="N124" t="n">
        <v>0</v>
      </c>
      <c r="O124" t="n">
        <v>6</v>
      </c>
      <c r="P124" t="n">
        <v>0</v>
      </c>
      <c r="Q124" t="n">
        <v>6</v>
      </c>
      <c r="R124" s="2" t="inlineStr">
        <is>
          <t>Gammelgransskål
Garnlav
Granticka
Liten svartspik
Tretåig hackspett
Vitgrynig nållav</t>
        </is>
      </c>
      <c r="S124">
        <f>HYPERLINK("https://klasma.github.io/Logging_2462/artfynd/A 38128-2024 artfynd.xlsx", "A 38128-2024")</f>
        <v/>
      </c>
      <c r="T124">
        <f>HYPERLINK("https://klasma.github.io/Logging_2462/kartor/A 38128-2024 karta.png", "A 38128-2024")</f>
        <v/>
      </c>
      <c r="V124">
        <f>HYPERLINK("https://klasma.github.io/Logging_2462/klagomål/A 38128-2024 FSC-klagomål.docx", "A 38128-2024")</f>
        <v/>
      </c>
      <c r="W124">
        <f>HYPERLINK("https://klasma.github.io/Logging_2462/klagomålsmail/A 38128-2024 FSC-klagomål mail.docx", "A 38128-2024")</f>
        <v/>
      </c>
      <c r="X124">
        <f>HYPERLINK("https://klasma.github.io/Logging_2462/tillsyn/A 38128-2024 tillsynsbegäran.docx", "A 38128-2024")</f>
        <v/>
      </c>
      <c r="Y124">
        <f>HYPERLINK("https://klasma.github.io/Logging_2462/tillsynsmail/A 38128-2024 tillsynsbegäran mail.docx", "A 38128-2024")</f>
        <v/>
      </c>
      <c r="Z124">
        <f>HYPERLINK("https://klasma.github.io/Logging_2462/fåglar/A 38128-2024 prioriterade fågelarter.docx", "A 38128-2024")</f>
        <v/>
      </c>
    </row>
    <row r="125" ht="15" customHeight="1">
      <c r="A125" t="inlineStr">
        <is>
          <t>A 38550-2024</t>
        </is>
      </c>
      <c r="B125" s="1" t="n">
        <v>45546</v>
      </c>
      <c r="C125" s="1" t="n">
        <v>45637</v>
      </c>
      <c r="D125" t="inlineStr">
        <is>
          <t>VÄSTERBOTTENS LÄN</t>
        </is>
      </c>
      <c r="E125" t="inlineStr">
        <is>
          <t>VILHELMINA</t>
        </is>
      </c>
      <c r="G125" t="n">
        <v>4.6</v>
      </c>
      <c r="H125" t="n">
        <v>1</v>
      </c>
      <c r="I125" t="n">
        <v>1</v>
      </c>
      <c r="J125" t="n">
        <v>5</v>
      </c>
      <c r="K125" t="n">
        <v>0</v>
      </c>
      <c r="L125" t="n">
        <v>0</v>
      </c>
      <c r="M125" t="n">
        <v>0</v>
      </c>
      <c r="N125" t="n">
        <v>0</v>
      </c>
      <c r="O125" t="n">
        <v>5</v>
      </c>
      <c r="P125" t="n">
        <v>0</v>
      </c>
      <c r="Q125" t="n">
        <v>6</v>
      </c>
      <c r="R125" s="2" t="inlineStr">
        <is>
          <t>Garnlav
Granticka
Harticka
Tretåig hackspett
Ullticka
Stuplav</t>
        </is>
      </c>
      <c r="S125">
        <f>HYPERLINK("https://klasma.github.io/Logging_2462/artfynd/A 38550-2024 artfynd.xlsx", "A 38550-2024")</f>
        <v/>
      </c>
      <c r="T125">
        <f>HYPERLINK("https://klasma.github.io/Logging_2462/kartor/A 38550-2024 karta.png", "A 38550-2024")</f>
        <v/>
      </c>
      <c r="V125">
        <f>HYPERLINK("https://klasma.github.io/Logging_2462/klagomål/A 38550-2024 FSC-klagomål.docx", "A 38550-2024")</f>
        <v/>
      </c>
      <c r="W125">
        <f>HYPERLINK("https://klasma.github.io/Logging_2462/klagomålsmail/A 38550-2024 FSC-klagomål mail.docx", "A 38550-2024")</f>
        <v/>
      </c>
      <c r="X125">
        <f>HYPERLINK("https://klasma.github.io/Logging_2462/tillsyn/A 38550-2024 tillsynsbegäran.docx", "A 38550-2024")</f>
        <v/>
      </c>
      <c r="Y125">
        <f>HYPERLINK("https://klasma.github.io/Logging_2462/tillsynsmail/A 38550-2024 tillsynsbegäran mail.docx", "A 38550-2024")</f>
        <v/>
      </c>
      <c r="Z125">
        <f>HYPERLINK("https://klasma.github.io/Logging_2462/fåglar/A 38550-2024 prioriterade fågelarter.docx", "A 38550-2024")</f>
        <v/>
      </c>
    </row>
    <row r="126" ht="15" customHeight="1">
      <c r="A126" t="inlineStr">
        <is>
          <t>A 38540-2024</t>
        </is>
      </c>
      <c r="B126" s="1" t="n">
        <v>45546</v>
      </c>
      <c r="C126" s="1" t="n">
        <v>45637</v>
      </c>
      <c r="D126" t="inlineStr">
        <is>
          <t>VÄSTERBOTTENS LÄN</t>
        </is>
      </c>
      <c r="E126" t="inlineStr">
        <is>
          <t>VILHELMINA</t>
        </is>
      </c>
      <c r="G126" t="n">
        <v>2.7</v>
      </c>
      <c r="H126" t="n">
        <v>1</v>
      </c>
      <c r="I126" t="n">
        <v>1</v>
      </c>
      <c r="J126" t="n">
        <v>4</v>
      </c>
      <c r="K126" t="n">
        <v>1</v>
      </c>
      <c r="L126" t="n">
        <v>0</v>
      </c>
      <c r="M126" t="n">
        <v>0</v>
      </c>
      <c r="N126" t="n">
        <v>0</v>
      </c>
      <c r="O126" t="n">
        <v>5</v>
      </c>
      <c r="P126" t="n">
        <v>1</v>
      </c>
      <c r="Q126" t="n">
        <v>6</v>
      </c>
      <c r="R126" s="2" t="inlineStr">
        <is>
          <t>Rynkskinn
Doftskinn
Gammelgransskål
Granticka
Tretåig hackspett
Skogshakmossa</t>
        </is>
      </c>
      <c r="S126">
        <f>HYPERLINK("https://klasma.github.io/Logging_2462/artfynd/A 38540-2024 artfynd.xlsx", "A 38540-2024")</f>
        <v/>
      </c>
      <c r="T126">
        <f>HYPERLINK("https://klasma.github.io/Logging_2462/kartor/A 38540-2024 karta.png", "A 38540-2024")</f>
        <v/>
      </c>
      <c r="V126">
        <f>HYPERLINK("https://klasma.github.io/Logging_2462/klagomål/A 38540-2024 FSC-klagomål.docx", "A 38540-2024")</f>
        <v/>
      </c>
      <c r="W126">
        <f>HYPERLINK("https://klasma.github.io/Logging_2462/klagomålsmail/A 38540-2024 FSC-klagomål mail.docx", "A 38540-2024")</f>
        <v/>
      </c>
      <c r="X126">
        <f>HYPERLINK("https://klasma.github.io/Logging_2462/tillsyn/A 38540-2024 tillsynsbegäran.docx", "A 38540-2024")</f>
        <v/>
      </c>
      <c r="Y126">
        <f>HYPERLINK("https://klasma.github.io/Logging_2462/tillsynsmail/A 38540-2024 tillsynsbegäran mail.docx", "A 38540-2024")</f>
        <v/>
      </c>
      <c r="Z126">
        <f>HYPERLINK("https://klasma.github.io/Logging_2462/fåglar/A 38540-2024 prioriterade fågelarter.docx", "A 38540-2024")</f>
        <v/>
      </c>
    </row>
    <row r="127" ht="15" customHeight="1">
      <c r="A127" t="inlineStr">
        <is>
          <t>A 26888-2019</t>
        </is>
      </c>
      <c r="B127" s="1" t="n">
        <v>43608</v>
      </c>
      <c r="C127" s="1" t="n">
        <v>45637</v>
      </c>
      <c r="D127" t="inlineStr">
        <is>
          <t>VÄSTERBOTTENS LÄN</t>
        </is>
      </c>
      <c r="E127" t="inlineStr">
        <is>
          <t>VILHELMINA</t>
        </is>
      </c>
      <c r="G127" t="n">
        <v>22</v>
      </c>
      <c r="H127" t="n">
        <v>1</v>
      </c>
      <c r="I127" t="n">
        <v>0</v>
      </c>
      <c r="J127" t="n">
        <v>4</v>
      </c>
      <c r="K127" t="n">
        <v>1</v>
      </c>
      <c r="L127" t="n">
        <v>0</v>
      </c>
      <c r="M127" t="n">
        <v>0</v>
      </c>
      <c r="N127" t="n">
        <v>0</v>
      </c>
      <c r="O127" t="n">
        <v>5</v>
      </c>
      <c r="P127" t="n">
        <v>1</v>
      </c>
      <c r="Q127" t="n">
        <v>5</v>
      </c>
      <c r="R127" s="2" t="inlineStr">
        <is>
          <t>Rynkskinn
Garnlav
Granticka
Tretåig hackspett
Ullticka</t>
        </is>
      </c>
      <c r="S127">
        <f>HYPERLINK("https://klasma.github.io/Logging_2462/artfynd/A 26888-2019 artfynd.xlsx", "A 26888-2019")</f>
        <v/>
      </c>
      <c r="T127">
        <f>HYPERLINK("https://klasma.github.io/Logging_2462/kartor/A 26888-2019 karta.png", "A 26888-2019")</f>
        <v/>
      </c>
      <c r="V127">
        <f>HYPERLINK("https://klasma.github.io/Logging_2462/klagomål/A 26888-2019 FSC-klagomål.docx", "A 26888-2019")</f>
        <v/>
      </c>
      <c r="W127">
        <f>HYPERLINK("https://klasma.github.io/Logging_2462/klagomålsmail/A 26888-2019 FSC-klagomål mail.docx", "A 26888-2019")</f>
        <v/>
      </c>
      <c r="X127">
        <f>HYPERLINK("https://klasma.github.io/Logging_2462/tillsyn/A 26888-2019 tillsynsbegäran.docx", "A 26888-2019")</f>
        <v/>
      </c>
      <c r="Y127">
        <f>HYPERLINK("https://klasma.github.io/Logging_2462/tillsynsmail/A 26888-2019 tillsynsbegäran mail.docx", "A 26888-2019")</f>
        <v/>
      </c>
      <c r="Z127">
        <f>HYPERLINK("https://klasma.github.io/Logging_2462/fåglar/A 26888-2019 prioriterade fågelarter.docx", "A 26888-2019")</f>
        <v/>
      </c>
    </row>
    <row r="128" ht="15" customHeight="1">
      <c r="A128" t="inlineStr">
        <is>
          <t>A 48237-2019</t>
        </is>
      </c>
      <c r="B128" s="1" t="n">
        <v>43726</v>
      </c>
      <c r="C128" s="1" t="n">
        <v>45637</v>
      </c>
      <c r="D128" t="inlineStr">
        <is>
          <t>VÄSTERBOTTENS LÄN</t>
        </is>
      </c>
      <c r="E128" t="inlineStr">
        <is>
          <t>VILHELMINA</t>
        </is>
      </c>
      <c r="G128" t="n">
        <v>9</v>
      </c>
      <c r="H128" t="n">
        <v>0</v>
      </c>
      <c r="I128" t="n">
        <v>3</v>
      </c>
      <c r="J128" t="n">
        <v>2</v>
      </c>
      <c r="K128" t="n">
        <v>0</v>
      </c>
      <c r="L128" t="n">
        <v>0</v>
      </c>
      <c r="M128" t="n">
        <v>0</v>
      </c>
      <c r="N128" t="n">
        <v>0</v>
      </c>
      <c r="O128" t="n">
        <v>2</v>
      </c>
      <c r="P128" t="n">
        <v>0</v>
      </c>
      <c r="Q128" t="n">
        <v>5</v>
      </c>
      <c r="R128" s="2" t="inlineStr">
        <is>
          <t>Lunglav
Skrovellav
Bårdlav
Skinnlav
Stuplav</t>
        </is>
      </c>
      <c r="S128">
        <f>HYPERLINK("https://klasma.github.io/Logging_2462/artfynd/A 48237-2019 artfynd.xlsx", "A 48237-2019")</f>
        <v/>
      </c>
      <c r="T128">
        <f>HYPERLINK("https://klasma.github.io/Logging_2462/kartor/A 48237-2019 karta.png", "A 48237-2019")</f>
        <v/>
      </c>
      <c r="V128">
        <f>HYPERLINK("https://klasma.github.io/Logging_2462/klagomål/A 48237-2019 FSC-klagomål.docx", "A 48237-2019")</f>
        <v/>
      </c>
      <c r="W128">
        <f>HYPERLINK("https://klasma.github.io/Logging_2462/klagomålsmail/A 48237-2019 FSC-klagomål mail.docx", "A 48237-2019")</f>
        <v/>
      </c>
      <c r="X128">
        <f>HYPERLINK("https://klasma.github.io/Logging_2462/tillsyn/A 48237-2019 tillsynsbegäran.docx", "A 48237-2019")</f>
        <v/>
      </c>
      <c r="Y128">
        <f>HYPERLINK("https://klasma.github.io/Logging_2462/tillsynsmail/A 48237-2019 tillsynsbegäran mail.docx", "A 48237-2019")</f>
        <v/>
      </c>
    </row>
    <row r="129" ht="15" customHeight="1">
      <c r="A129" t="inlineStr">
        <is>
          <t>A 8255-2022</t>
        </is>
      </c>
      <c r="B129" s="1" t="n">
        <v>44609</v>
      </c>
      <c r="C129" s="1" t="n">
        <v>45637</v>
      </c>
      <c r="D129" t="inlineStr">
        <is>
          <t>VÄSTERBOTTENS LÄN</t>
        </is>
      </c>
      <c r="E129" t="inlineStr">
        <is>
          <t>VILHELMINA</t>
        </is>
      </c>
      <c r="G129" t="n">
        <v>15.7</v>
      </c>
      <c r="H129" t="n">
        <v>0</v>
      </c>
      <c r="I129" t="n">
        <v>1</v>
      </c>
      <c r="J129" t="n">
        <v>4</v>
      </c>
      <c r="K129" t="n">
        <v>0</v>
      </c>
      <c r="L129" t="n">
        <v>0</v>
      </c>
      <c r="M129" t="n">
        <v>0</v>
      </c>
      <c r="N129" t="n">
        <v>0</v>
      </c>
      <c r="O129" t="n">
        <v>4</v>
      </c>
      <c r="P129" t="n">
        <v>0</v>
      </c>
      <c r="Q129" t="n">
        <v>5</v>
      </c>
      <c r="R129" s="2" t="inlineStr">
        <is>
          <t>Gammelgransskål
Granticka
Rosenticka
Skrovellav
Trådticka</t>
        </is>
      </c>
      <c r="S129">
        <f>HYPERLINK("https://klasma.github.io/Logging_2462/artfynd/A 8255-2022 artfynd.xlsx", "A 8255-2022")</f>
        <v/>
      </c>
      <c r="T129">
        <f>HYPERLINK("https://klasma.github.io/Logging_2462/kartor/A 8255-2022 karta.png", "A 8255-2022")</f>
        <v/>
      </c>
      <c r="V129">
        <f>HYPERLINK("https://klasma.github.io/Logging_2462/klagomål/A 8255-2022 FSC-klagomål.docx", "A 8255-2022")</f>
        <v/>
      </c>
      <c r="W129">
        <f>HYPERLINK("https://klasma.github.io/Logging_2462/klagomålsmail/A 8255-2022 FSC-klagomål mail.docx", "A 8255-2022")</f>
        <v/>
      </c>
      <c r="X129">
        <f>HYPERLINK("https://klasma.github.io/Logging_2462/tillsyn/A 8255-2022 tillsynsbegäran.docx", "A 8255-2022")</f>
        <v/>
      </c>
      <c r="Y129">
        <f>HYPERLINK("https://klasma.github.io/Logging_2462/tillsynsmail/A 8255-2022 tillsynsbegäran mail.docx", "A 8255-2022")</f>
        <v/>
      </c>
    </row>
    <row r="130" ht="15" customHeight="1">
      <c r="A130" t="inlineStr">
        <is>
          <t>A 19727-2023</t>
        </is>
      </c>
      <c r="B130" s="1" t="n">
        <v>45050</v>
      </c>
      <c r="C130" s="1" t="n">
        <v>45637</v>
      </c>
      <c r="D130" t="inlineStr">
        <is>
          <t>VÄSTERBOTTENS LÄN</t>
        </is>
      </c>
      <c r="E130" t="inlineStr">
        <is>
          <t>VILHELMINA</t>
        </is>
      </c>
      <c r="G130" t="n">
        <v>11.9</v>
      </c>
      <c r="H130" t="n">
        <v>2</v>
      </c>
      <c r="I130" t="n">
        <v>0</v>
      </c>
      <c r="J130" t="n">
        <v>5</v>
      </c>
      <c r="K130" t="n">
        <v>0</v>
      </c>
      <c r="L130" t="n">
        <v>0</v>
      </c>
      <c r="M130" t="n">
        <v>0</v>
      </c>
      <c r="N130" t="n">
        <v>0</v>
      </c>
      <c r="O130" t="n">
        <v>5</v>
      </c>
      <c r="P130" t="n">
        <v>0</v>
      </c>
      <c r="Q130" t="n">
        <v>5</v>
      </c>
      <c r="R130" s="2" t="inlineStr">
        <is>
          <t>Gammelgransskål
Garnlav
Harticka
Spillkråka
Tretåig hackspett</t>
        </is>
      </c>
      <c r="S130">
        <f>HYPERLINK("https://klasma.github.io/Logging_2462/artfynd/A 19727-2023 artfynd.xlsx", "A 19727-2023")</f>
        <v/>
      </c>
      <c r="T130">
        <f>HYPERLINK("https://klasma.github.io/Logging_2462/kartor/A 19727-2023 karta.png", "A 19727-2023")</f>
        <v/>
      </c>
      <c r="V130">
        <f>HYPERLINK("https://klasma.github.io/Logging_2462/klagomål/A 19727-2023 FSC-klagomål.docx", "A 19727-2023")</f>
        <v/>
      </c>
      <c r="W130">
        <f>HYPERLINK("https://klasma.github.io/Logging_2462/klagomålsmail/A 19727-2023 FSC-klagomål mail.docx", "A 19727-2023")</f>
        <v/>
      </c>
      <c r="X130">
        <f>HYPERLINK("https://klasma.github.io/Logging_2462/tillsyn/A 19727-2023 tillsynsbegäran.docx", "A 19727-2023")</f>
        <v/>
      </c>
      <c r="Y130">
        <f>HYPERLINK("https://klasma.github.io/Logging_2462/tillsynsmail/A 19727-2023 tillsynsbegäran mail.docx", "A 19727-2023")</f>
        <v/>
      </c>
      <c r="Z130">
        <f>HYPERLINK("https://klasma.github.io/Logging_2462/fåglar/A 19727-2023 prioriterade fågelarter.docx", "A 19727-2023")</f>
        <v/>
      </c>
    </row>
    <row r="131" ht="15" customHeight="1">
      <c r="A131" t="inlineStr">
        <is>
          <t>A 29234-2020</t>
        </is>
      </c>
      <c r="B131" s="1" t="n">
        <v>44000</v>
      </c>
      <c r="C131" s="1" t="n">
        <v>45637</v>
      </c>
      <c r="D131" t="inlineStr">
        <is>
          <t>VÄSTERBOTTENS LÄN</t>
        </is>
      </c>
      <c r="E131" t="inlineStr">
        <is>
          <t>VILHELMINA</t>
        </is>
      </c>
      <c r="F131" t="inlineStr">
        <is>
          <t>Allmännings- och besparingsskogar</t>
        </is>
      </c>
      <c r="G131" t="n">
        <v>14.1</v>
      </c>
      <c r="H131" t="n">
        <v>0</v>
      </c>
      <c r="I131" t="n">
        <v>1</v>
      </c>
      <c r="J131" t="n">
        <v>3</v>
      </c>
      <c r="K131" t="n">
        <v>0</v>
      </c>
      <c r="L131" t="n">
        <v>0</v>
      </c>
      <c r="M131" t="n">
        <v>0</v>
      </c>
      <c r="N131" t="n">
        <v>0</v>
      </c>
      <c r="O131" t="n">
        <v>3</v>
      </c>
      <c r="P131" t="n">
        <v>0</v>
      </c>
      <c r="Q131" t="n">
        <v>4</v>
      </c>
      <c r="R131" s="2" t="inlineStr">
        <is>
          <t>Garnlav
Granticka
Gränsticka
Stuplav</t>
        </is>
      </c>
      <c r="S131">
        <f>HYPERLINK("https://klasma.github.io/Logging_2462/artfynd/A 29234-2020 artfynd.xlsx", "A 29234-2020")</f>
        <v/>
      </c>
      <c r="T131">
        <f>HYPERLINK("https://klasma.github.io/Logging_2462/kartor/A 29234-2020 karta.png", "A 29234-2020")</f>
        <v/>
      </c>
      <c r="V131">
        <f>HYPERLINK("https://klasma.github.io/Logging_2462/klagomål/A 29234-2020 FSC-klagomål.docx", "A 29234-2020")</f>
        <v/>
      </c>
      <c r="W131">
        <f>HYPERLINK("https://klasma.github.io/Logging_2462/klagomålsmail/A 29234-2020 FSC-klagomål mail.docx", "A 29234-2020")</f>
        <v/>
      </c>
      <c r="X131">
        <f>HYPERLINK("https://klasma.github.io/Logging_2462/tillsyn/A 29234-2020 tillsynsbegäran.docx", "A 29234-2020")</f>
        <v/>
      </c>
      <c r="Y131">
        <f>HYPERLINK("https://klasma.github.io/Logging_2462/tillsynsmail/A 29234-2020 tillsynsbegäran mail.docx", "A 29234-2020")</f>
        <v/>
      </c>
    </row>
    <row r="132" ht="15" customHeight="1">
      <c r="A132" t="inlineStr">
        <is>
          <t>A 900-2021</t>
        </is>
      </c>
      <c r="B132" s="1" t="n">
        <v>44206</v>
      </c>
      <c r="C132" s="1" t="n">
        <v>45637</v>
      </c>
      <c r="D132" t="inlineStr">
        <is>
          <t>VÄSTERBOTTENS LÄN</t>
        </is>
      </c>
      <c r="E132" t="inlineStr">
        <is>
          <t>VILHELMINA</t>
        </is>
      </c>
      <c r="F132" t="inlineStr">
        <is>
          <t>SCA</t>
        </is>
      </c>
      <c r="G132" t="n">
        <v>2.3</v>
      </c>
      <c r="H132" t="n">
        <v>0</v>
      </c>
      <c r="I132" t="n">
        <v>3</v>
      </c>
      <c r="J132" t="n">
        <v>1</v>
      </c>
      <c r="K132" t="n">
        <v>0</v>
      </c>
      <c r="L132" t="n">
        <v>0</v>
      </c>
      <c r="M132" t="n">
        <v>0</v>
      </c>
      <c r="N132" t="n">
        <v>0</v>
      </c>
      <c r="O132" t="n">
        <v>1</v>
      </c>
      <c r="P132" t="n">
        <v>0</v>
      </c>
      <c r="Q132" t="n">
        <v>4</v>
      </c>
      <c r="R132" s="2" t="inlineStr">
        <is>
          <t>Lunglav
Bårdlav
Strutbräken
Stuplav</t>
        </is>
      </c>
      <c r="S132">
        <f>HYPERLINK("https://klasma.github.io/Logging_2462/artfynd/A 900-2021 artfynd.xlsx", "A 900-2021")</f>
        <v/>
      </c>
      <c r="T132">
        <f>HYPERLINK("https://klasma.github.io/Logging_2462/kartor/A 900-2021 karta.png", "A 900-2021")</f>
        <v/>
      </c>
      <c r="V132">
        <f>HYPERLINK("https://klasma.github.io/Logging_2462/klagomål/A 900-2021 FSC-klagomål.docx", "A 900-2021")</f>
        <v/>
      </c>
      <c r="W132">
        <f>HYPERLINK("https://klasma.github.io/Logging_2462/klagomålsmail/A 900-2021 FSC-klagomål mail.docx", "A 900-2021")</f>
        <v/>
      </c>
      <c r="X132">
        <f>HYPERLINK("https://klasma.github.io/Logging_2462/tillsyn/A 900-2021 tillsynsbegäran.docx", "A 900-2021")</f>
        <v/>
      </c>
      <c r="Y132">
        <f>HYPERLINK("https://klasma.github.io/Logging_2462/tillsynsmail/A 900-2021 tillsynsbegäran mail.docx", "A 900-2021")</f>
        <v/>
      </c>
    </row>
    <row r="133" ht="15" customHeight="1">
      <c r="A133" t="inlineStr">
        <is>
          <t>A 31198-2023</t>
        </is>
      </c>
      <c r="B133" s="1" t="n">
        <v>45113</v>
      </c>
      <c r="C133" s="1" t="n">
        <v>45637</v>
      </c>
      <c r="D133" t="inlineStr">
        <is>
          <t>VÄSTERBOTTENS LÄN</t>
        </is>
      </c>
      <c r="E133" t="inlineStr">
        <is>
          <t>VILHELMINA</t>
        </is>
      </c>
      <c r="F133" t="inlineStr">
        <is>
          <t>SCA</t>
        </is>
      </c>
      <c r="G133" t="n">
        <v>4.2</v>
      </c>
      <c r="H133" t="n">
        <v>1</v>
      </c>
      <c r="I133" t="n">
        <v>0</v>
      </c>
      <c r="J133" t="n">
        <v>4</v>
      </c>
      <c r="K133" t="n">
        <v>0</v>
      </c>
      <c r="L133" t="n">
        <v>0</v>
      </c>
      <c r="M133" t="n">
        <v>0</v>
      </c>
      <c r="N133" t="n">
        <v>0</v>
      </c>
      <c r="O133" t="n">
        <v>4</v>
      </c>
      <c r="P133" t="n">
        <v>0</v>
      </c>
      <c r="Q133" t="n">
        <v>4</v>
      </c>
      <c r="R133" s="2" t="inlineStr">
        <is>
          <t>Garnlav
Knottrig blåslav
Tretåig hackspett
Vitgrynig nållav</t>
        </is>
      </c>
      <c r="S133">
        <f>HYPERLINK("https://klasma.github.io/Logging_2462/artfynd/A 31198-2023 artfynd.xlsx", "A 31198-2023")</f>
        <v/>
      </c>
      <c r="T133">
        <f>HYPERLINK("https://klasma.github.io/Logging_2462/kartor/A 31198-2023 karta.png", "A 31198-2023")</f>
        <v/>
      </c>
      <c r="V133">
        <f>HYPERLINK("https://klasma.github.io/Logging_2462/klagomål/A 31198-2023 FSC-klagomål.docx", "A 31198-2023")</f>
        <v/>
      </c>
      <c r="W133">
        <f>HYPERLINK("https://klasma.github.io/Logging_2462/klagomålsmail/A 31198-2023 FSC-klagomål mail.docx", "A 31198-2023")</f>
        <v/>
      </c>
      <c r="X133">
        <f>HYPERLINK("https://klasma.github.io/Logging_2462/tillsyn/A 31198-2023 tillsynsbegäran.docx", "A 31198-2023")</f>
        <v/>
      </c>
      <c r="Y133">
        <f>HYPERLINK("https://klasma.github.io/Logging_2462/tillsynsmail/A 31198-2023 tillsynsbegäran mail.docx", "A 31198-2023")</f>
        <v/>
      </c>
      <c r="Z133">
        <f>HYPERLINK("https://klasma.github.io/Logging_2462/fåglar/A 31198-2023 prioriterade fågelarter.docx", "A 31198-2023")</f>
        <v/>
      </c>
    </row>
    <row r="134" ht="15" customHeight="1">
      <c r="A134" t="inlineStr">
        <is>
          <t>A 44382-2023</t>
        </is>
      </c>
      <c r="B134" s="1" t="n">
        <v>45189</v>
      </c>
      <c r="C134" s="1" t="n">
        <v>45637</v>
      </c>
      <c r="D134" t="inlineStr">
        <is>
          <t>VÄSTERBOTTENS LÄN</t>
        </is>
      </c>
      <c r="E134" t="inlineStr">
        <is>
          <t>VILHELMINA</t>
        </is>
      </c>
      <c r="F134" t="inlineStr">
        <is>
          <t>SCA</t>
        </is>
      </c>
      <c r="G134" t="n">
        <v>2.8</v>
      </c>
      <c r="H134" t="n">
        <v>1</v>
      </c>
      <c r="I134" t="n">
        <v>1</v>
      </c>
      <c r="J134" t="n">
        <v>3</v>
      </c>
      <c r="K134" t="n">
        <v>0</v>
      </c>
      <c r="L134" t="n">
        <v>0</v>
      </c>
      <c r="M134" t="n">
        <v>0</v>
      </c>
      <c r="N134" t="n">
        <v>0</v>
      </c>
      <c r="O134" t="n">
        <v>3</v>
      </c>
      <c r="P134" t="n">
        <v>0</v>
      </c>
      <c r="Q134" t="n">
        <v>4</v>
      </c>
      <c r="R134" s="2" t="inlineStr">
        <is>
          <t>Garnlav
Lunglav
Talltita
Stuplav</t>
        </is>
      </c>
      <c r="S134">
        <f>HYPERLINK("https://klasma.github.io/Logging_2462/artfynd/A 44382-2023 artfynd.xlsx", "A 44382-2023")</f>
        <v/>
      </c>
      <c r="T134">
        <f>HYPERLINK("https://klasma.github.io/Logging_2462/kartor/A 44382-2023 karta.png", "A 44382-2023")</f>
        <v/>
      </c>
      <c r="V134">
        <f>HYPERLINK("https://klasma.github.io/Logging_2462/klagomål/A 44382-2023 FSC-klagomål.docx", "A 44382-2023")</f>
        <v/>
      </c>
      <c r="W134">
        <f>HYPERLINK("https://klasma.github.io/Logging_2462/klagomålsmail/A 44382-2023 FSC-klagomål mail.docx", "A 44382-2023")</f>
        <v/>
      </c>
      <c r="X134">
        <f>HYPERLINK("https://klasma.github.io/Logging_2462/tillsyn/A 44382-2023 tillsynsbegäran.docx", "A 44382-2023")</f>
        <v/>
      </c>
      <c r="Y134">
        <f>HYPERLINK("https://klasma.github.io/Logging_2462/tillsynsmail/A 44382-2023 tillsynsbegäran mail.docx", "A 44382-2023")</f>
        <v/>
      </c>
      <c r="Z134">
        <f>HYPERLINK("https://klasma.github.io/Logging_2462/fåglar/A 44382-2023 prioriterade fågelarter.docx", "A 44382-2023")</f>
        <v/>
      </c>
    </row>
    <row r="135" ht="15" customHeight="1">
      <c r="A135" t="inlineStr">
        <is>
          <t>A 25036-2024</t>
        </is>
      </c>
      <c r="B135" s="1" t="n">
        <v>45461</v>
      </c>
      <c r="C135" s="1" t="n">
        <v>45637</v>
      </c>
      <c r="D135" t="inlineStr">
        <is>
          <t>VÄSTERBOTTENS LÄN</t>
        </is>
      </c>
      <c r="E135" t="inlineStr">
        <is>
          <t>VILHELMINA</t>
        </is>
      </c>
      <c r="F135" t="inlineStr">
        <is>
          <t>SCA</t>
        </is>
      </c>
      <c r="G135" t="n">
        <v>7</v>
      </c>
      <c r="H135" t="n">
        <v>3</v>
      </c>
      <c r="I135" t="n">
        <v>1</v>
      </c>
      <c r="J135" t="n">
        <v>1</v>
      </c>
      <c r="K135" t="n">
        <v>0</v>
      </c>
      <c r="L135" t="n">
        <v>0</v>
      </c>
      <c r="M135" t="n">
        <v>0</v>
      </c>
      <c r="N135" t="n">
        <v>0</v>
      </c>
      <c r="O135" t="n">
        <v>1</v>
      </c>
      <c r="P135" t="n">
        <v>0</v>
      </c>
      <c r="Q135" t="n">
        <v>4</v>
      </c>
      <c r="R135" s="2" t="inlineStr">
        <is>
          <t>Garnlav
Plattlummer
Tjäder
Revlummer</t>
        </is>
      </c>
      <c r="S135">
        <f>HYPERLINK("https://klasma.github.io/Logging_2462/artfynd/A 25036-2024 artfynd.xlsx", "A 25036-2024")</f>
        <v/>
      </c>
      <c r="T135">
        <f>HYPERLINK("https://klasma.github.io/Logging_2462/kartor/A 25036-2024 karta.png", "A 25036-2024")</f>
        <v/>
      </c>
      <c r="V135">
        <f>HYPERLINK("https://klasma.github.io/Logging_2462/klagomål/A 25036-2024 FSC-klagomål.docx", "A 25036-2024")</f>
        <v/>
      </c>
      <c r="W135">
        <f>HYPERLINK("https://klasma.github.io/Logging_2462/klagomålsmail/A 25036-2024 FSC-klagomål mail.docx", "A 25036-2024")</f>
        <v/>
      </c>
      <c r="X135">
        <f>HYPERLINK("https://klasma.github.io/Logging_2462/tillsyn/A 25036-2024 tillsynsbegäran.docx", "A 25036-2024")</f>
        <v/>
      </c>
      <c r="Y135">
        <f>HYPERLINK("https://klasma.github.io/Logging_2462/tillsynsmail/A 25036-2024 tillsynsbegäran mail.docx", "A 25036-2024")</f>
        <v/>
      </c>
      <c r="Z135">
        <f>HYPERLINK("https://klasma.github.io/Logging_2462/fåglar/A 25036-2024 prioriterade fågelarter.docx", "A 25036-2024")</f>
        <v/>
      </c>
    </row>
    <row r="136" ht="15" customHeight="1">
      <c r="A136" t="inlineStr">
        <is>
          <t>A 28867-2024</t>
        </is>
      </c>
      <c r="B136" s="1" t="n">
        <v>45479</v>
      </c>
      <c r="C136" s="1" t="n">
        <v>45637</v>
      </c>
      <c r="D136" t="inlineStr">
        <is>
          <t>VÄSTERBOTTENS LÄN</t>
        </is>
      </c>
      <c r="E136" t="inlineStr">
        <is>
          <t>VILHELMINA</t>
        </is>
      </c>
      <c r="F136" t="inlineStr">
        <is>
          <t>SCA</t>
        </is>
      </c>
      <c r="G136" t="n">
        <v>1</v>
      </c>
      <c r="H136" t="n">
        <v>1</v>
      </c>
      <c r="I136" t="n">
        <v>0</v>
      </c>
      <c r="J136" t="n">
        <v>4</v>
      </c>
      <c r="K136" t="n">
        <v>0</v>
      </c>
      <c r="L136" t="n">
        <v>0</v>
      </c>
      <c r="M136" t="n">
        <v>0</v>
      </c>
      <c r="N136" t="n">
        <v>0</v>
      </c>
      <c r="O136" t="n">
        <v>4</v>
      </c>
      <c r="P136" t="n">
        <v>0</v>
      </c>
      <c r="Q136" t="n">
        <v>4</v>
      </c>
      <c r="R136" s="2" t="inlineStr">
        <is>
          <t>Garnlav
Granticka
Liten svartspik
Tretåig hackspett</t>
        </is>
      </c>
      <c r="S136">
        <f>HYPERLINK("https://klasma.github.io/Logging_2462/artfynd/A 28867-2024 artfynd.xlsx", "A 28867-2024")</f>
        <v/>
      </c>
      <c r="T136">
        <f>HYPERLINK("https://klasma.github.io/Logging_2462/kartor/A 28867-2024 karta.png", "A 28867-2024")</f>
        <v/>
      </c>
      <c r="V136">
        <f>HYPERLINK("https://klasma.github.io/Logging_2462/klagomål/A 28867-2024 FSC-klagomål.docx", "A 28867-2024")</f>
        <v/>
      </c>
      <c r="W136">
        <f>HYPERLINK("https://klasma.github.io/Logging_2462/klagomålsmail/A 28867-2024 FSC-klagomål mail.docx", "A 28867-2024")</f>
        <v/>
      </c>
      <c r="X136">
        <f>HYPERLINK("https://klasma.github.io/Logging_2462/tillsyn/A 28867-2024 tillsynsbegäran.docx", "A 28867-2024")</f>
        <v/>
      </c>
      <c r="Y136">
        <f>HYPERLINK("https://klasma.github.io/Logging_2462/tillsynsmail/A 28867-2024 tillsynsbegäran mail.docx", "A 28867-2024")</f>
        <v/>
      </c>
      <c r="Z136">
        <f>HYPERLINK("https://klasma.github.io/Logging_2462/fåglar/A 28867-2024 prioriterade fågelarter.docx", "A 28867-2024")</f>
        <v/>
      </c>
    </row>
    <row r="137" ht="15" customHeight="1">
      <c r="A137" t="inlineStr">
        <is>
          <t>A 38124-2024</t>
        </is>
      </c>
      <c r="B137" s="1" t="n">
        <v>45545</v>
      </c>
      <c r="C137" s="1" t="n">
        <v>45637</v>
      </c>
      <c r="D137" t="inlineStr">
        <is>
          <t>VÄSTERBOTTENS LÄN</t>
        </is>
      </c>
      <c r="E137" t="inlineStr">
        <is>
          <t>VILHELMINA</t>
        </is>
      </c>
      <c r="F137" t="inlineStr">
        <is>
          <t>SCA</t>
        </is>
      </c>
      <c r="G137" t="n">
        <v>3.2</v>
      </c>
      <c r="H137" t="n">
        <v>3</v>
      </c>
      <c r="I137" t="n">
        <v>0</v>
      </c>
      <c r="J137" t="n">
        <v>3</v>
      </c>
      <c r="K137" t="n">
        <v>0</v>
      </c>
      <c r="L137" t="n">
        <v>0</v>
      </c>
      <c r="M137" t="n">
        <v>0</v>
      </c>
      <c r="N137" t="n">
        <v>0</v>
      </c>
      <c r="O137" t="n">
        <v>3</v>
      </c>
      <c r="P137" t="n">
        <v>0</v>
      </c>
      <c r="Q137" t="n">
        <v>4</v>
      </c>
      <c r="R137" s="2" t="inlineStr">
        <is>
          <t>Garnlav
Spillkråka
Tretåig hackspett
Lavskrika</t>
        </is>
      </c>
      <c r="S137">
        <f>HYPERLINK("https://klasma.github.io/Logging_2462/artfynd/A 38124-2024 artfynd.xlsx", "A 38124-2024")</f>
        <v/>
      </c>
      <c r="T137">
        <f>HYPERLINK("https://klasma.github.io/Logging_2462/kartor/A 38124-2024 karta.png", "A 38124-2024")</f>
        <v/>
      </c>
      <c r="V137">
        <f>HYPERLINK("https://klasma.github.io/Logging_2462/klagomål/A 38124-2024 FSC-klagomål.docx", "A 38124-2024")</f>
        <v/>
      </c>
      <c r="W137">
        <f>HYPERLINK("https://klasma.github.io/Logging_2462/klagomålsmail/A 38124-2024 FSC-klagomål mail.docx", "A 38124-2024")</f>
        <v/>
      </c>
      <c r="X137">
        <f>HYPERLINK("https://klasma.github.io/Logging_2462/tillsyn/A 38124-2024 tillsynsbegäran.docx", "A 38124-2024")</f>
        <v/>
      </c>
      <c r="Y137">
        <f>HYPERLINK("https://klasma.github.io/Logging_2462/tillsynsmail/A 38124-2024 tillsynsbegäran mail.docx", "A 38124-2024")</f>
        <v/>
      </c>
      <c r="Z137">
        <f>HYPERLINK("https://klasma.github.io/Logging_2462/fåglar/A 38124-2024 prioriterade fågelarter.docx", "A 38124-2024")</f>
        <v/>
      </c>
    </row>
    <row r="138" ht="15" customHeight="1">
      <c r="A138" t="inlineStr">
        <is>
          <t>A 40736-2024</t>
        </is>
      </c>
      <c r="B138" s="1" t="n">
        <v>45558</v>
      </c>
      <c r="C138" s="1" t="n">
        <v>45637</v>
      </c>
      <c r="D138" t="inlineStr">
        <is>
          <t>VÄSTERBOTTENS LÄN</t>
        </is>
      </c>
      <c r="E138" t="inlineStr">
        <is>
          <t>VILHELMINA</t>
        </is>
      </c>
      <c r="F138" t="inlineStr">
        <is>
          <t>Allmännings- och besparingsskogar</t>
        </is>
      </c>
      <c r="G138" t="n">
        <v>284.2</v>
      </c>
      <c r="H138" t="n">
        <v>0</v>
      </c>
      <c r="I138" t="n">
        <v>0</v>
      </c>
      <c r="J138" t="n">
        <v>4</v>
      </c>
      <c r="K138" t="n">
        <v>0</v>
      </c>
      <c r="L138" t="n">
        <v>0</v>
      </c>
      <c r="M138" t="n">
        <v>0</v>
      </c>
      <c r="N138" t="n">
        <v>0</v>
      </c>
      <c r="O138" t="n">
        <v>4</v>
      </c>
      <c r="P138" t="n">
        <v>0</v>
      </c>
      <c r="Q138" t="n">
        <v>4</v>
      </c>
      <c r="R138" s="2" t="inlineStr">
        <is>
          <t>Gammelgransskål
Granticka
Knottrig blåslav
Rödbrun blekspik</t>
        </is>
      </c>
      <c r="S138">
        <f>HYPERLINK("https://klasma.github.io/Logging_2462/artfynd/A 40736-2024 artfynd.xlsx", "A 40736-2024")</f>
        <v/>
      </c>
      <c r="T138">
        <f>HYPERLINK("https://klasma.github.io/Logging_2462/kartor/A 40736-2024 karta.png", "A 40736-2024")</f>
        <v/>
      </c>
      <c r="V138">
        <f>HYPERLINK("https://klasma.github.io/Logging_2462/klagomål/A 40736-2024 FSC-klagomål.docx", "A 40736-2024")</f>
        <v/>
      </c>
      <c r="W138">
        <f>HYPERLINK("https://klasma.github.io/Logging_2462/klagomålsmail/A 40736-2024 FSC-klagomål mail.docx", "A 40736-2024")</f>
        <v/>
      </c>
      <c r="X138">
        <f>HYPERLINK("https://klasma.github.io/Logging_2462/tillsyn/A 40736-2024 tillsynsbegäran.docx", "A 40736-2024")</f>
        <v/>
      </c>
      <c r="Y138">
        <f>HYPERLINK("https://klasma.github.io/Logging_2462/tillsynsmail/A 40736-2024 tillsynsbegäran mail.docx", "A 40736-2024")</f>
        <v/>
      </c>
    </row>
    <row r="139" ht="15" customHeight="1">
      <c r="A139" t="inlineStr">
        <is>
          <t>A 63164-2020</t>
        </is>
      </c>
      <c r="B139" s="1" t="n">
        <v>44162</v>
      </c>
      <c r="C139" s="1" t="n">
        <v>45637</v>
      </c>
      <c r="D139" t="inlineStr">
        <is>
          <t>VÄSTERBOTTENS LÄN</t>
        </is>
      </c>
      <c r="E139" t="inlineStr">
        <is>
          <t>VILHELMINA</t>
        </is>
      </c>
      <c r="F139" t="inlineStr">
        <is>
          <t>SCA</t>
        </is>
      </c>
      <c r="G139" t="n">
        <v>5.9</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HYPERLINK("https://klasma.github.io/Logging_2462/artfynd/A 63164-2020 artfynd.xlsx", "A 63164-2020")</f>
        <v/>
      </c>
      <c r="T139">
        <f>HYPERLINK("https://klasma.github.io/Logging_2462/kartor/A 63164-2020 karta.png", "A 63164-2020")</f>
        <v/>
      </c>
      <c r="V139">
        <f>HYPERLINK("https://klasma.github.io/Logging_2462/klagomål/A 63164-2020 FSC-klagomål.docx", "A 63164-2020")</f>
        <v/>
      </c>
      <c r="W139">
        <f>HYPERLINK("https://klasma.github.io/Logging_2462/klagomålsmail/A 63164-2020 FSC-klagomål mail.docx", "A 63164-2020")</f>
        <v/>
      </c>
      <c r="X139">
        <f>HYPERLINK("https://klasma.github.io/Logging_2462/tillsyn/A 63164-2020 tillsynsbegäran.docx", "A 63164-2020")</f>
        <v/>
      </c>
      <c r="Y139">
        <f>HYPERLINK("https://klasma.github.io/Logging_2462/tillsynsmail/A 63164-2020 tillsynsbegäran mail.docx", "A 63164-2020")</f>
        <v/>
      </c>
      <c r="Z139">
        <f>HYPERLINK("https://klasma.github.io/Logging_2462/fåglar/A 63164-2020 prioriterade fågelarter.docx", "A 63164-2020")</f>
        <v/>
      </c>
    </row>
    <row r="140" ht="15" customHeight="1">
      <c r="A140" t="inlineStr">
        <is>
          <t>A 34718-2021</t>
        </is>
      </c>
      <c r="B140" s="1" t="n">
        <v>44382</v>
      </c>
      <c r="C140" s="1" t="n">
        <v>45637</v>
      </c>
      <c r="D140" t="inlineStr">
        <is>
          <t>VÄSTERBOTTENS LÄN</t>
        </is>
      </c>
      <c r="E140" t="inlineStr">
        <is>
          <t>VILHELMINA</t>
        </is>
      </c>
      <c r="F140" t="inlineStr">
        <is>
          <t>Allmännings- och besparingsskogar</t>
        </is>
      </c>
      <c r="G140" t="n">
        <v>8</v>
      </c>
      <c r="H140" t="n">
        <v>0</v>
      </c>
      <c r="I140" t="n">
        <v>0</v>
      </c>
      <c r="J140" t="n">
        <v>3</v>
      </c>
      <c r="K140" t="n">
        <v>0</v>
      </c>
      <c r="L140" t="n">
        <v>0</v>
      </c>
      <c r="M140" t="n">
        <v>0</v>
      </c>
      <c r="N140" t="n">
        <v>0</v>
      </c>
      <c r="O140" t="n">
        <v>3</v>
      </c>
      <c r="P140" t="n">
        <v>0</v>
      </c>
      <c r="Q140" t="n">
        <v>3</v>
      </c>
      <c r="R140" s="2" t="inlineStr">
        <is>
          <t>Garnlav
Granticka
Gränsticka</t>
        </is>
      </c>
      <c r="S140">
        <f>HYPERLINK("https://klasma.github.io/Logging_2462/artfynd/A 34718-2021 artfynd.xlsx", "A 34718-2021")</f>
        <v/>
      </c>
      <c r="T140">
        <f>HYPERLINK("https://klasma.github.io/Logging_2462/kartor/A 34718-2021 karta.png", "A 34718-2021")</f>
        <v/>
      </c>
      <c r="V140">
        <f>HYPERLINK("https://klasma.github.io/Logging_2462/klagomål/A 34718-2021 FSC-klagomål.docx", "A 34718-2021")</f>
        <v/>
      </c>
      <c r="W140">
        <f>HYPERLINK("https://klasma.github.io/Logging_2462/klagomålsmail/A 34718-2021 FSC-klagomål mail.docx", "A 34718-2021")</f>
        <v/>
      </c>
      <c r="X140">
        <f>HYPERLINK("https://klasma.github.io/Logging_2462/tillsyn/A 34718-2021 tillsynsbegäran.docx", "A 34718-2021")</f>
        <v/>
      </c>
      <c r="Y140">
        <f>HYPERLINK("https://klasma.github.io/Logging_2462/tillsynsmail/A 34718-2021 tillsynsbegäran mail.docx", "A 34718-2021")</f>
        <v/>
      </c>
    </row>
    <row r="141" ht="15" customHeight="1">
      <c r="A141" t="inlineStr">
        <is>
          <t>A 40687-2021</t>
        </is>
      </c>
      <c r="B141" s="1" t="n">
        <v>44420</v>
      </c>
      <c r="C141" s="1" t="n">
        <v>45637</v>
      </c>
      <c r="D141" t="inlineStr">
        <is>
          <t>VÄSTERBOTTENS LÄN</t>
        </is>
      </c>
      <c r="E141" t="inlineStr">
        <is>
          <t>VILHELMINA</t>
        </is>
      </c>
      <c r="G141" t="n">
        <v>5.4</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HYPERLINK("https://klasma.github.io/Logging_2462/artfynd/A 40687-2021 artfynd.xlsx", "A 40687-2021")</f>
        <v/>
      </c>
      <c r="T141">
        <f>HYPERLINK("https://klasma.github.io/Logging_2462/kartor/A 40687-2021 karta.png", "A 40687-2021")</f>
        <v/>
      </c>
      <c r="V141">
        <f>HYPERLINK("https://klasma.github.io/Logging_2462/klagomål/A 40687-2021 FSC-klagomål.docx", "A 40687-2021")</f>
        <v/>
      </c>
      <c r="W141">
        <f>HYPERLINK("https://klasma.github.io/Logging_2462/klagomålsmail/A 40687-2021 FSC-klagomål mail.docx", "A 40687-2021")</f>
        <v/>
      </c>
      <c r="X141">
        <f>HYPERLINK("https://klasma.github.io/Logging_2462/tillsyn/A 40687-2021 tillsynsbegäran.docx", "A 40687-2021")</f>
        <v/>
      </c>
      <c r="Y141">
        <f>HYPERLINK("https://klasma.github.io/Logging_2462/tillsynsmail/A 40687-2021 tillsynsbegäran mail.docx", "A 40687-2021")</f>
        <v/>
      </c>
    </row>
    <row r="142" ht="15" customHeight="1">
      <c r="A142" t="inlineStr">
        <is>
          <t>A 65382-2021</t>
        </is>
      </c>
      <c r="B142" s="1" t="n">
        <v>44515</v>
      </c>
      <c r="C142" s="1" t="n">
        <v>45637</v>
      </c>
      <c r="D142" t="inlineStr">
        <is>
          <t>VÄSTERBOTTENS LÄN</t>
        </is>
      </c>
      <c r="E142" t="inlineStr">
        <is>
          <t>VILHELMINA</t>
        </is>
      </c>
      <c r="G142" t="n">
        <v>10.7</v>
      </c>
      <c r="H142" t="n">
        <v>0</v>
      </c>
      <c r="I142" t="n">
        <v>0</v>
      </c>
      <c r="J142" t="n">
        <v>2</v>
      </c>
      <c r="K142" t="n">
        <v>1</v>
      </c>
      <c r="L142" t="n">
        <v>0</v>
      </c>
      <c r="M142" t="n">
        <v>0</v>
      </c>
      <c r="N142" t="n">
        <v>0</v>
      </c>
      <c r="O142" t="n">
        <v>3</v>
      </c>
      <c r="P142" t="n">
        <v>1</v>
      </c>
      <c r="Q142" t="n">
        <v>3</v>
      </c>
      <c r="R142" s="2" t="inlineStr">
        <is>
          <t>Rynkskinn
Lunglav
Rosenticka</t>
        </is>
      </c>
      <c r="S142">
        <f>HYPERLINK("https://klasma.github.io/Logging_2462/artfynd/A 65382-2021 artfynd.xlsx", "A 65382-2021")</f>
        <v/>
      </c>
      <c r="T142">
        <f>HYPERLINK("https://klasma.github.io/Logging_2462/kartor/A 65382-2021 karta.png", "A 65382-2021")</f>
        <v/>
      </c>
      <c r="V142">
        <f>HYPERLINK("https://klasma.github.io/Logging_2462/klagomål/A 65382-2021 FSC-klagomål.docx", "A 65382-2021")</f>
        <v/>
      </c>
      <c r="W142">
        <f>HYPERLINK("https://klasma.github.io/Logging_2462/klagomålsmail/A 65382-2021 FSC-klagomål mail.docx", "A 65382-2021")</f>
        <v/>
      </c>
      <c r="X142">
        <f>HYPERLINK("https://klasma.github.io/Logging_2462/tillsyn/A 65382-2021 tillsynsbegäran.docx", "A 65382-2021")</f>
        <v/>
      </c>
      <c r="Y142">
        <f>HYPERLINK("https://klasma.github.io/Logging_2462/tillsynsmail/A 65382-2021 tillsynsbegäran mail.docx", "A 65382-2021")</f>
        <v/>
      </c>
    </row>
    <row r="143" ht="15" customHeight="1">
      <c r="A143" t="inlineStr">
        <is>
          <t>A 13604-2022</t>
        </is>
      </c>
      <c r="B143" s="1" t="n">
        <v>44648</v>
      </c>
      <c r="C143" s="1" t="n">
        <v>45637</v>
      </c>
      <c r="D143" t="inlineStr">
        <is>
          <t>VÄSTERBOTTENS LÄN</t>
        </is>
      </c>
      <c r="E143" t="inlineStr">
        <is>
          <t>VILHELMINA</t>
        </is>
      </c>
      <c r="G143" t="n">
        <v>17.4</v>
      </c>
      <c r="H143" t="n">
        <v>2</v>
      </c>
      <c r="I143" t="n">
        <v>1</v>
      </c>
      <c r="J143" t="n">
        <v>0</v>
      </c>
      <c r="K143" t="n">
        <v>0</v>
      </c>
      <c r="L143" t="n">
        <v>0</v>
      </c>
      <c r="M143" t="n">
        <v>0</v>
      </c>
      <c r="N143" t="n">
        <v>0</v>
      </c>
      <c r="O143" t="n">
        <v>0</v>
      </c>
      <c r="P143" t="n">
        <v>0</v>
      </c>
      <c r="Q143" t="n">
        <v>3</v>
      </c>
      <c r="R143" s="2" t="inlineStr">
        <is>
          <t>Maskfingersvamp
Hökuggla
Fläcknycklar</t>
        </is>
      </c>
      <c r="S143">
        <f>HYPERLINK("https://klasma.github.io/Logging_2462/artfynd/A 13604-2022 artfynd.xlsx", "A 13604-2022")</f>
        <v/>
      </c>
      <c r="T143">
        <f>HYPERLINK("https://klasma.github.io/Logging_2462/kartor/A 13604-2022 karta.png", "A 13604-2022")</f>
        <v/>
      </c>
      <c r="V143">
        <f>HYPERLINK("https://klasma.github.io/Logging_2462/klagomål/A 13604-2022 FSC-klagomål.docx", "A 13604-2022")</f>
        <v/>
      </c>
      <c r="W143">
        <f>HYPERLINK("https://klasma.github.io/Logging_2462/klagomålsmail/A 13604-2022 FSC-klagomål mail.docx", "A 13604-2022")</f>
        <v/>
      </c>
      <c r="X143">
        <f>HYPERLINK("https://klasma.github.io/Logging_2462/tillsyn/A 13604-2022 tillsynsbegäran.docx", "A 13604-2022")</f>
        <v/>
      </c>
      <c r="Y143">
        <f>HYPERLINK("https://klasma.github.io/Logging_2462/tillsynsmail/A 13604-2022 tillsynsbegäran mail.docx", "A 13604-2022")</f>
        <v/>
      </c>
      <c r="Z143">
        <f>HYPERLINK("https://klasma.github.io/Logging_2462/fåglar/A 13604-2022 prioriterade fågelarter.docx", "A 13604-2022")</f>
        <v/>
      </c>
    </row>
    <row r="144" ht="15" customHeight="1">
      <c r="A144" t="inlineStr">
        <is>
          <t>A 25503-2022</t>
        </is>
      </c>
      <c r="B144" s="1" t="n">
        <v>44732</v>
      </c>
      <c r="C144" s="1" t="n">
        <v>45637</v>
      </c>
      <c r="D144" t="inlineStr">
        <is>
          <t>VÄSTERBOTTENS LÄN</t>
        </is>
      </c>
      <c r="E144" t="inlineStr">
        <is>
          <t>VILHELMINA</t>
        </is>
      </c>
      <c r="G144" t="n">
        <v>1.9</v>
      </c>
      <c r="H144" t="n">
        <v>0</v>
      </c>
      <c r="I144" t="n">
        <v>3</v>
      </c>
      <c r="J144" t="n">
        <v>0</v>
      </c>
      <c r="K144" t="n">
        <v>0</v>
      </c>
      <c r="L144" t="n">
        <v>0</v>
      </c>
      <c r="M144" t="n">
        <v>0</v>
      </c>
      <c r="N144" t="n">
        <v>0</v>
      </c>
      <c r="O144" t="n">
        <v>0</v>
      </c>
      <c r="P144" t="n">
        <v>0</v>
      </c>
      <c r="Q144" t="n">
        <v>3</v>
      </c>
      <c r="R144" s="2" t="inlineStr">
        <is>
          <t>Gulnål
Skinnlav
Stuplav</t>
        </is>
      </c>
      <c r="S144">
        <f>HYPERLINK("https://klasma.github.io/Logging_2462/artfynd/A 25503-2022 artfynd.xlsx", "A 25503-2022")</f>
        <v/>
      </c>
      <c r="T144">
        <f>HYPERLINK("https://klasma.github.io/Logging_2462/kartor/A 25503-2022 karta.png", "A 25503-2022")</f>
        <v/>
      </c>
      <c r="V144">
        <f>HYPERLINK("https://klasma.github.io/Logging_2462/klagomål/A 25503-2022 FSC-klagomål.docx", "A 25503-2022")</f>
        <v/>
      </c>
      <c r="W144">
        <f>HYPERLINK("https://klasma.github.io/Logging_2462/klagomålsmail/A 25503-2022 FSC-klagomål mail.docx", "A 25503-2022")</f>
        <v/>
      </c>
      <c r="X144">
        <f>HYPERLINK("https://klasma.github.io/Logging_2462/tillsyn/A 25503-2022 tillsynsbegäran.docx", "A 25503-2022")</f>
        <v/>
      </c>
      <c r="Y144">
        <f>HYPERLINK("https://klasma.github.io/Logging_2462/tillsynsmail/A 25503-2022 tillsynsbegäran mail.docx", "A 25503-2022")</f>
        <v/>
      </c>
    </row>
    <row r="145" ht="15" customHeight="1">
      <c r="A145" t="inlineStr">
        <is>
          <t>A 9157-2023</t>
        </is>
      </c>
      <c r="B145" s="1" t="n">
        <v>44972</v>
      </c>
      <c r="C145" s="1" t="n">
        <v>45637</v>
      </c>
      <c r="D145" t="inlineStr">
        <is>
          <t>VÄSTERBOTTENS LÄN</t>
        </is>
      </c>
      <c r="E145" t="inlineStr">
        <is>
          <t>VILHELMINA</t>
        </is>
      </c>
      <c r="F145" t="inlineStr">
        <is>
          <t>Allmännings- och besparingsskogar</t>
        </is>
      </c>
      <c r="G145" t="n">
        <v>408.3</v>
      </c>
      <c r="H145" t="n">
        <v>0</v>
      </c>
      <c r="I145" t="n">
        <v>0</v>
      </c>
      <c r="J145" t="n">
        <v>3</v>
      </c>
      <c r="K145" t="n">
        <v>0</v>
      </c>
      <c r="L145" t="n">
        <v>0</v>
      </c>
      <c r="M145" t="n">
        <v>0</v>
      </c>
      <c r="N145" t="n">
        <v>0</v>
      </c>
      <c r="O145" t="n">
        <v>3</v>
      </c>
      <c r="P145" t="n">
        <v>0</v>
      </c>
      <c r="Q145" t="n">
        <v>3</v>
      </c>
      <c r="R145" s="2" t="inlineStr">
        <is>
          <t>Garnlav
Granticka
Harticka</t>
        </is>
      </c>
      <c r="S145">
        <f>HYPERLINK("https://klasma.github.io/Logging_2462/artfynd/A 9157-2023 artfynd.xlsx", "A 9157-2023")</f>
        <v/>
      </c>
      <c r="T145">
        <f>HYPERLINK("https://klasma.github.io/Logging_2462/kartor/A 9157-2023 karta.png", "A 9157-2023")</f>
        <v/>
      </c>
      <c r="V145">
        <f>HYPERLINK("https://klasma.github.io/Logging_2462/klagomål/A 9157-2023 FSC-klagomål.docx", "A 9157-2023")</f>
        <v/>
      </c>
      <c r="W145">
        <f>HYPERLINK("https://klasma.github.io/Logging_2462/klagomålsmail/A 9157-2023 FSC-klagomål mail.docx", "A 9157-2023")</f>
        <v/>
      </c>
      <c r="X145">
        <f>HYPERLINK("https://klasma.github.io/Logging_2462/tillsyn/A 9157-2023 tillsynsbegäran.docx", "A 9157-2023")</f>
        <v/>
      </c>
      <c r="Y145">
        <f>HYPERLINK("https://klasma.github.io/Logging_2462/tillsynsmail/A 9157-2023 tillsynsbegäran mail.docx", "A 9157-2023")</f>
        <v/>
      </c>
    </row>
    <row r="146" ht="15" customHeight="1">
      <c r="A146" t="inlineStr">
        <is>
          <t>A 54609-2023</t>
        </is>
      </c>
      <c r="B146" s="1" t="n">
        <v>45233</v>
      </c>
      <c r="C146" s="1" t="n">
        <v>45637</v>
      </c>
      <c r="D146" t="inlineStr">
        <is>
          <t>VÄSTERBOTTENS LÄN</t>
        </is>
      </c>
      <c r="E146" t="inlineStr">
        <is>
          <t>VILHELMINA</t>
        </is>
      </c>
      <c r="F146" t="inlineStr">
        <is>
          <t>SCA</t>
        </is>
      </c>
      <c r="G146" t="n">
        <v>3.3</v>
      </c>
      <c r="H146" t="n">
        <v>3</v>
      </c>
      <c r="I146" t="n">
        <v>0</v>
      </c>
      <c r="J146" t="n">
        <v>2</v>
      </c>
      <c r="K146" t="n">
        <v>0</v>
      </c>
      <c r="L146" t="n">
        <v>0</v>
      </c>
      <c r="M146" t="n">
        <v>0</v>
      </c>
      <c r="N146" t="n">
        <v>0</v>
      </c>
      <c r="O146" t="n">
        <v>2</v>
      </c>
      <c r="P146" t="n">
        <v>0</v>
      </c>
      <c r="Q146" t="n">
        <v>3</v>
      </c>
      <c r="R146" s="2" t="inlineStr">
        <is>
          <t>Buskskvätta
Svartvit flugsnappare
Gråspett</t>
        </is>
      </c>
      <c r="S146">
        <f>HYPERLINK("https://klasma.github.io/Logging_2462/artfynd/A 54609-2023 artfynd.xlsx", "A 54609-2023")</f>
        <v/>
      </c>
      <c r="T146">
        <f>HYPERLINK("https://klasma.github.io/Logging_2462/kartor/A 54609-2023 karta.png", "A 54609-2023")</f>
        <v/>
      </c>
      <c r="V146">
        <f>HYPERLINK("https://klasma.github.io/Logging_2462/klagomål/A 54609-2023 FSC-klagomål.docx", "A 54609-2023")</f>
        <v/>
      </c>
      <c r="W146">
        <f>HYPERLINK("https://klasma.github.io/Logging_2462/klagomålsmail/A 54609-2023 FSC-klagomål mail.docx", "A 54609-2023")</f>
        <v/>
      </c>
      <c r="X146">
        <f>HYPERLINK("https://klasma.github.io/Logging_2462/tillsyn/A 54609-2023 tillsynsbegäran.docx", "A 54609-2023")</f>
        <v/>
      </c>
      <c r="Y146">
        <f>HYPERLINK("https://klasma.github.io/Logging_2462/tillsynsmail/A 54609-2023 tillsynsbegäran mail.docx", "A 54609-2023")</f>
        <v/>
      </c>
      <c r="Z146">
        <f>HYPERLINK("https://klasma.github.io/Logging_2462/fåglar/A 54609-2023 prioriterade fågelarter.docx", "A 54609-2023")</f>
        <v/>
      </c>
    </row>
    <row r="147" ht="15" customHeight="1">
      <c r="A147" t="inlineStr">
        <is>
          <t>A 38123-2024</t>
        </is>
      </c>
      <c r="B147" s="1" t="n">
        <v>45545</v>
      </c>
      <c r="C147" s="1" t="n">
        <v>45637</v>
      </c>
      <c r="D147" t="inlineStr">
        <is>
          <t>VÄSTERBOTTENS LÄN</t>
        </is>
      </c>
      <c r="E147" t="inlineStr">
        <is>
          <t>VILHELMINA</t>
        </is>
      </c>
      <c r="F147" t="inlineStr">
        <is>
          <t>SCA</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HYPERLINK("https://klasma.github.io/Logging_2462/artfynd/A 38123-2024 artfynd.xlsx", "A 38123-2024")</f>
        <v/>
      </c>
      <c r="T147">
        <f>HYPERLINK("https://klasma.github.io/Logging_2462/kartor/A 38123-2024 karta.png", "A 38123-2024")</f>
        <v/>
      </c>
      <c r="V147">
        <f>HYPERLINK("https://klasma.github.io/Logging_2462/klagomål/A 38123-2024 FSC-klagomål.docx", "A 38123-2024")</f>
        <v/>
      </c>
      <c r="W147">
        <f>HYPERLINK("https://klasma.github.io/Logging_2462/klagomålsmail/A 38123-2024 FSC-klagomål mail.docx", "A 38123-2024")</f>
        <v/>
      </c>
      <c r="X147">
        <f>HYPERLINK("https://klasma.github.io/Logging_2462/tillsyn/A 38123-2024 tillsynsbegäran.docx", "A 38123-2024")</f>
        <v/>
      </c>
      <c r="Y147">
        <f>HYPERLINK("https://klasma.github.io/Logging_2462/tillsynsmail/A 38123-2024 tillsynsbegäran mail.docx", "A 38123-2024")</f>
        <v/>
      </c>
      <c r="Z147">
        <f>HYPERLINK("https://klasma.github.io/Logging_2462/fåglar/A 38123-2024 prioriterade fågelarter.docx", "A 38123-2024")</f>
        <v/>
      </c>
    </row>
    <row r="148" ht="15" customHeight="1">
      <c r="A148" t="inlineStr">
        <is>
          <t>A 38534-2024</t>
        </is>
      </c>
      <c r="B148" s="1" t="n">
        <v>45546</v>
      </c>
      <c r="C148" s="1" t="n">
        <v>45637</v>
      </c>
      <c r="D148" t="inlineStr">
        <is>
          <t>VÄSTERBOTTENS LÄN</t>
        </is>
      </c>
      <c r="E148" t="inlineStr">
        <is>
          <t>VILHELMINA</t>
        </is>
      </c>
      <c r="G148" t="n">
        <v>10.5</v>
      </c>
      <c r="H148" t="n">
        <v>1</v>
      </c>
      <c r="I148" t="n">
        <v>1</v>
      </c>
      <c r="J148" t="n">
        <v>2</v>
      </c>
      <c r="K148" t="n">
        <v>0</v>
      </c>
      <c r="L148" t="n">
        <v>0</v>
      </c>
      <c r="M148" t="n">
        <v>0</v>
      </c>
      <c r="N148" t="n">
        <v>0</v>
      </c>
      <c r="O148" t="n">
        <v>2</v>
      </c>
      <c r="P148" t="n">
        <v>0</v>
      </c>
      <c r="Q148" t="n">
        <v>3</v>
      </c>
      <c r="R148" s="2" t="inlineStr">
        <is>
          <t>Tretåig hackspett
Ullticka
Trådticka</t>
        </is>
      </c>
      <c r="S148">
        <f>HYPERLINK("https://klasma.github.io/Logging_2462/artfynd/A 38534-2024 artfynd.xlsx", "A 38534-2024")</f>
        <v/>
      </c>
      <c r="T148">
        <f>HYPERLINK("https://klasma.github.io/Logging_2462/kartor/A 38534-2024 karta.png", "A 38534-2024")</f>
        <v/>
      </c>
      <c r="V148">
        <f>HYPERLINK("https://klasma.github.io/Logging_2462/klagomål/A 38534-2024 FSC-klagomål.docx", "A 38534-2024")</f>
        <v/>
      </c>
      <c r="W148">
        <f>HYPERLINK("https://klasma.github.io/Logging_2462/klagomålsmail/A 38534-2024 FSC-klagomål mail.docx", "A 38534-2024")</f>
        <v/>
      </c>
      <c r="X148">
        <f>HYPERLINK("https://klasma.github.io/Logging_2462/tillsyn/A 38534-2024 tillsynsbegäran.docx", "A 38534-2024")</f>
        <v/>
      </c>
      <c r="Y148">
        <f>HYPERLINK("https://klasma.github.io/Logging_2462/tillsynsmail/A 38534-2024 tillsynsbegäran mail.docx", "A 38534-2024")</f>
        <v/>
      </c>
      <c r="Z148">
        <f>HYPERLINK("https://klasma.github.io/Logging_2462/fåglar/A 38534-2024 prioriterade fågelarter.docx", "A 38534-2024")</f>
        <v/>
      </c>
    </row>
    <row r="149" ht="15" customHeight="1">
      <c r="A149" t="inlineStr">
        <is>
          <t>A 54780-2024</t>
        </is>
      </c>
      <c r="B149" s="1" t="n">
        <v>45618</v>
      </c>
      <c r="C149" s="1" t="n">
        <v>45637</v>
      </c>
      <c r="D149" t="inlineStr">
        <is>
          <t>VÄSTERBOTTENS LÄN</t>
        </is>
      </c>
      <c r="E149" t="inlineStr">
        <is>
          <t>VILHELMINA</t>
        </is>
      </c>
      <c r="F149" t="inlineStr">
        <is>
          <t>SCA</t>
        </is>
      </c>
      <c r="G149" t="n">
        <v>8.199999999999999</v>
      </c>
      <c r="H149" t="n">
        <v>0</v>
      </c>
      <c r="I149" t="n">
        <v>0</v>
      </c>
      <c r="J149" t="n">
        <v>3</v>
      </c>
      <c r="K149" t="n">
        <v>0</v>
      </c>
      <c r="L149" t="n">
        <v>0</v>
      </c>
      <c r="M149" t="n">
        <v>0</v>
      </c>
      <c r="N149" t="n">
        <v>0</v>
      </c>
      <c r="O149" t="n">
        <v>3</v>
      </c>
      <c r="P149" t="n">
        <v>0</v>
      </c>
      <c r="Q149" t="n">
        <v>3</v>
      </c>
      <c r="R149" s="2" t="inlineStr">
        <is>
          <t>Gammelgransskål
Rosenticka
Tallticka</t>
        </is>
      </c>
      <c r="S149">
        <f>HYPERLINK("https://klasma.github.io/Logging_2462/artfynd/A 54780-2024 artfynd.xlsx", "A 54780-2024")</f>
        <v/>
      </c>
      <c r="T149">
        <f>HYPERLINK("https://klasma.github.io/Logging_2462/kartor/A 54780-2024 karta.png", "A 54780-2024")</f>
        <v/>
      </c>
      <c r="V149">
        <f>HYPERLINK("https://klasma.github.io/Logging_2462/klagomål/A 54780-2024 FSC-klagomål.docx", "A 54780-2024")</f>
        <v/>
      </c>
      <c r="W149">
        <f>HYPERLINK("https://klasma.github.io/Logging_2462/klagomålsmail/A 54780-2024 FSC-klagomål mail.docx", "A 54780-2024")</f>
        <v/>
      </c>
      <c r="X149">
        <f>HYPERLINK("https://klasma.github.io/Logging_2462/tillsyn/A 54780-2024 tillsynsbegäran.docx", "A 54780-2024")</f>
        <v/>
      </c>
      <c r="Y149">
        <f>HYPERLINK("https://klasma.github.io/Logging_2462/tillsynsmail/A 54780-2024 tillsynsbegäran mail.docx", "A 54780-2024")</f>
        <v/>
      </c>
    </row>
    <row r="150" ht="15" customHeight="1">
      <c r="A150" t="inlineStr">
        <is>
          <t>A 34784-2019</t>
        </is>
      </c>
      <c r="B150" s="1" t="n">
        <v>43658</v>
      </c>
      <c r="C150" s="1" t="n">
        <v>45637</v>
      </c>
      <c r="D150" t="inlineStr">
        <is>
          <t>VÄSTERBOTTENS LÄN</t>
        </is>
      </c>
      <c r="E150" t="inlineStr">
        <is>
          <t>VILHELMINA</t>
        </is>
      </c>
      <c r="F150" t="inlineStr">
        <is>
          <t>Sveaskog</t>
        </is>
      </c>
      <c r="G150" t="n">
        <v>1.8</v>
      </c>
      <c r="H150" t="n">
        <v>0</v>
      </c>
      <c r="I150" t="n">
        <v>0</v>
      </c>
      <c r="J150" t="n">
        <v>2</v>
      </c>
      <c r="K150" t="n">
        <v>0</v>
      </c>
      <c r="L150" t="n">
        <v>0</v>
      </c>
      <c r="M150" t="n">
        <v>0</v>
      </c>
      <c r="N150" t="n">
        <v>0</v>
      </c>
      <c r="O150" t="n">
        <v>2</v>
      </c>
      <c r="P150" t="n">
        <v>0</v>
      </c>
      <c r="Q150" t="n">
        <v>2</v>
      </c>
      <c r="R150" s="2" t="inlineStr">
        <is>
          <t>Granticka
Tallticka</t>
        </is>
      </c>
      <c r="S150">
        <f>HYPERLINK("https://klasma.github.io/Logging_2462/artfynd/A 34784-2019 artfynd.xlsx", "A 34784-2019")</f>
        <v/>
      </c>
      <c r="T150">
        <f>HYPERLINK("https://klasma.github.io/Logging_2462/kartor/A 34784-2019 karta.png", "A 34784-2019")</f>
        <v/>
      </c>
      <c r="V150">
        <f>HYPERLINK("https://klasma.github.io/Logging_2462/klagomål/A 34784-2019 FSC-klagomål.docx", "A 34784-2019")</f>
        <v/>
      </c>
      <c r="W150">
        <f>HYPERLINK("https://klasma.github.io/Logging_2462/klagomålsmail/A 34784-2019 FSC-klagomål mail.docx", "A 34784-2019")</f>
        <v/>
      </c>
      <c r="X150">
        <f>HYPERLINK("https://klasma.github.io/Logging_2462/tillsyn/A 34784-2019 tillsynsbegäran.docx", "A 34784-2019")</f>
        <v/>
      </c>
      <c r="Y150">
        <f>HYPERLINK("https://klasma.github.io/Logging_2462/tillsynsmail/A 34784-2019 tillsynsbegäran mail.docx", "A 34784-2019")</f>
        <v/>
      </c>
    </row>
    <row r="151" ht="15" customHeight="1">
      <c r="A151" t="inlineStr">
        <is>
          <t>A 50020-2019</t>
        </is>
      </c>
      <c r="B151" s="1" t="n">
        <v>43731</v>
      </c>
      <c r="C151" s="1" t="n">
        <v>45637</v>
      </c>
      <c r="D151" t="inlineStr">
        <is>
          <t>VÄSTERBOTTENS LÄN</t>
        </is>
      </c>
      <c r="E151" t="inlineStr">
        <is>
          <t>VILHELMINA</t>
        </is>
      </c>
      <c r="F151" t="inlineStr">
        <is>
          <t>Allmännings- och besparingsskogar</t>
        </is>
      </c>
      <c r="G151" t="n">
        <v>4</v>
      </c>
      <c r="H151" t="n">
        <v>0</v>
      </c>
      <c r="I151" t="n">
        <v>0</v>
      </c>
      <c r="J151" t="n">
        <v>2</v>
      </c>
      <c r="K151" t="n">
        <v>0</v>
      </c>
      <c r="L151" t="n">
        <v>0</v>
      </c>
      <c r="M151" t="n">
        <v>0</v>
      </c>
      <c r="N151" t="n">
        <v>0</v>
      </c>
      <c r="O151" t="n">
        <v>2</v>
      </c>
      <c r="P151" t="n">
        <v>0</v>
      </c>
      <c r="Q151" t="n">
        <v>2</v>
      </c>
      <c r="R151" s="2" t="inlineStr">
        <is>
          <t>Harticka
Rödbrun blekspik</t>
        </is>
      </c>
      <c r="S151">
        <f>HYPERLINK("https://klasma.github.io/Logging_2462/artfynd/A 50020-2019 artfynd.xlsx", "A 50020-2019")</f>
        <v/>
      </c>
      <c r="T151">
        <f>HYPERLINK("https://klasma.github.io/Logging_2462/kartor/A 50020-2019 karta.png", "A 50020-2019")</f>
        <v/>
      </c>
      <c r="V151">
        <f>HYPERLINK("https://klasma.github.io/Logging_2462/klagomål/A 50020-2019 FSC-klagomål.docx", "A 50020-2019")</f>
        <v/>
      </c>
      <c r="W151">
        <f>HYPERLINK("https://klasma.github.io/Logging_2462/klagomålsmail/A 50020-2019 FSC-klagomål mail.docx", "A 50020-2019")</f>
        <v/>
      </c>
      <c r="X151">
        <f>HYPERLINK("https://klasma.github.io/Logging_2462/tillsyn/A 50020-2019 tillsynsbegäran.docx", "A 50020-2019")</f>
        <v/>
      </c>
      <c r="Y151">
        <f>HYPERLINK("https://klasma.github.io/Logging_2462/tillsynsmail/A 50020-2019 tillsynsbegäran mail.docx", "A 50020-2019")</f>
        <v/>
      </c>
    </row>
    <row r="152" ht="15" customHeight="1">
      <c r="A152" t="inlineStr">
        <is>
          <t>A 17776-2020</t>
        </is>
      </c>
      <c r="B152" s="1" t="n">
        <v>43923</v>
      </c>
      <c r="C152" s="1" t="n">
        <v>45637</v>
      </c>
      <c r="D152" t="inlineStr">
        <is>
          <t>VÄSTERBOTTENS LÄN</t>
        </is>
      </c>
      <c r="E152" t="inlineStr">
        <is>
          <t>VILHELMINA</t>
        </is>
      </c>
      <c r="F152" t="inlineStr">
        <is>
          <t>Allmännings- och besparingsskogar</t>
        </is>
      </c>
      <c r="G152" t="n">
        <v>1</v>
      </c>
      <c r="H152" t="n">
        <v>0</v>
      </c>
      <c r="I152" t="n">
        <v>0</v>
      </c>
      <c r="J152" t="n">
        <v>2</v>
      </c>
      <c r="K152" t="n">
        <v>0</v>
      </c>
      <c r="L152" t="n">
        <v>0</v>
      </c>
      <c r="M152" t="n">
        <v>0</v>
      </c>
      <c r="N152" t="n">
        <v>0</v>
      </c>
      <c r="O152" t="n">
        <v>2</v>
      </c>
      <c r="P152" t="n">
        <v>0</v>
      </c>
      <c r="Q152" t="n">
        <v>2</v>
      </c>
      <c r="R152" s="2" t="inlineStr">
        <is>
          <t>Lunglav
Skrovellav</t>
        </is>
      </c>
      <c r="S152">
        <f>HYPERLINK("https://klasma.github.io/Logging_2462/artfynd/A 17776-2020 artfynd.xlsx", "A 17776-2020")</f>
        <v/>
      </c>
      <c r="T152">
        <f>HYPERLINK("https://klasma.github.io/Logging_2462/kartor/A 17776-2020 karta.png", "A 17776-2020")</f>
        <v/>
      </c>
      <c r="V152">
        <f>HYPERLINK("https://klasma.github.io/Logging_2462/klagomål/A 17776-2020 FSC-klagomål.docx", "A 17776-2020")</f>
        <v/>
      </c>
      <c r="W152">
        <f>HYPERLINK("https://klasma.github.io/Logging_2462/klagomålsmail/A 17776-2020 FSC-klagomål mail.docx", "A 17776-2020")</f>
        <v/>
      </c>
      <c r="X152">
        <f>HYPERLINK("https://klasma.github.io/Logging_2462/tillsyn/A 17776-2020 tillsynsbegäran.docx", "A 17776-2020")</f>
        <v/>
      </c>
      <c r="Y152">
        <f>HYPERLINK("https://klasma.github.io/Logging_2462/tillsynsmail/A 17776-2020 tillsynsbegäran mail.docx", "A 17776-2020")</f>
        <v/>
      </c>
    </row>
    <row r="153" ht="15" customHeight="1">
      <c r="A153" t="inlineStr">
        <is>
          <t>A 17910-2020</t>
        </is>
      </c>
      <c r="B153" s="1" t="n">
        <v>43924</v>
      </c>
      <c r="C153" s="1" t="n">
        <v>45637</v>
      </c>
      <c r="D153" t="inlineStr">
        <is>
          <t>VÄSTERBOTTENS LÄN</t>
        </is>
      </c>
      <c r="E153" t="inlineStr">
        <is>
          <t>VILHELMINA</t>
        </is>
      </c>
      <c r="F153" t="inlineStr">
        <is>
          <t>SCA</t>
        </is>
      </c>
      <c r="G153" t="n">
        <v>6.8</v>
      </c>
      <c r="H153" t="n">
        <v>0</v>
      </c>
      <c r="I153" t="n">
        <v>0</v>
      </c>
      <c r="J153" t="n">
        <v>2</v>
      </c>
      <c r="K153" t="n">
        <v>0</v>
      </c>
      <c r="L153" t="n">
        <v>0</v>
      </c>
      <c r="M153" t="n">
        <v>0</v>
      </c>
      <c r="N153" t="n">
        <v>0</v>
      </c>
      <c r="O153" t="n">
        <v>2</v>
      </c>
      <c r="P153" t="n">
        <v>0</v>
      </c>
      <c r="Q153" t="n">
        <v>2</v>
      </c>
      <c r="R153" s="2" t="inlineStr">
        <is>
          <t>Lunglav
Skrovellav</t>
        </is>
      </c>
      <c r="S153">
        <f>HYPERLINK("https://klasma.github.io/Logging_2462/artfynd/A 17910-2020 artfynd.xlsx", "A 17910-2020")</f>
        <v/>
      </c>
      <c r="T153">
        <f>HYPERLINK("https://klasma.github.io/Logging_2462/kartor/A 17910-2020 karta.png", "A 17910-2020")</f>
        <v/>
      </c>
      <c r="V153">
        <f>HYPERLINK("https://klasma.github.io/Logging_2462/klagomål/A 17910-2020 FSC-klagomål.docx", "A 17910-2020")</f>
        <v/>
      </c>
      <c r="W153">
        <f>HYPERLINK("https://klasma.github.io/Logging_2462/klagomålsmail/A 17910-2020 FSC-klagomål mail.docx", "A 17910-2020")</f>
        <v/>
      </c>
      <c r="X153">
        <f>HYPERLINK("https://klasma.github.io/Logging_2462/tillsyn/A 17910-2020 tillsynsbegäran.docx", "A 17910-2020")</f>
        <v/>
      </c>
      <c r="Y153">
        <f>HYPERLINK("https://klasma.github.io/Logging_2462/tillsynsmail/A 17910-2020 tillsynsbegäran mail.docx", "A 17910-2020")</f>
        <v/>
      </c>
    </row>
    <row r="154" ht="15" customHeight="1">
      <c r="A154" t="inlineStr">
        <is>
          <t>A 69626-2020</t>
        </is>
      </c>
      <c r="B154" s="1" t="n">
        <v>44195</v>
      </c>
      <c r="C154" s="1" t="n">
        <v>45637</v>
      </c>
      <c r="D154" t="inlineStr">
        <is>
          <t>VÄSTERBOTTENS LÄN</t>
        </is>
      </c>
      <c r="E154" t="inlineStr">
        <is>
          <t>VILHELMINA</t>
        </is>
      </c>
      <c r="G154" t="n">
        <v>10.2</v>
      </c>
      <c r="H154" t="n">
        <v>2</v>
      </c>
      <c r="I154" t="n">
        <v>0</v>
      </c>
      <c r="J154" t="n">
        <v>2</v>
      </c>
      <c r="K154" t="n">
        <v>0</v>
      </c>
      <c r="L154" t="n">
        <v>0</v>
      </c>
      <c r="M154" t="n">
        <v>0</v>
      </c>
      <c r="N154" t="n">
        <v>0</v>
      </c>
      <c r="O154" t="n">
        <v>2</v>
      </c>
      <c r="P154" t="n">
        <v>0</v>
      </c>
      <c r="Q154" t="n">
        <v>2</v>
      </c>
      <c r="R154" s="2" t="inlineStr">
        <is>
          <t>Duvhök
Tretåig hackspett</t>
        </is>
      </c>
      <c r="S154">
        <f>HYPERLINK("https://klasma.github.io/Logging_2462/artfynd/A 69626-2020 artfynd.xlsx", "A 69626-2020")</f>
        <v/>
      </c>
      <c r="T154">
        <f>HYPERLINK("https://klasma.github.io/Logging_2462/kartor/A 69626-2020 karta.png", "A 69626-2020")</f>
        <v/>
      </c>
      <c r="V154">
        <f>HYPERLINK("https://klasma.github.io/Logging_2462/klagomål/A 69626-2020 FSC-klagomål.docx", "A 69626-2020")</f>
        <v/>
      </c>
      <c r="W154">
        <f>HYPERLINK("https://klasma.github.io/Logging_2462/klagomålsmail/A 69626-2020 FSC-klagomål mail.docx", "A 69626-2020")</f>
        <v/>
      </c>
      <c r="X154">
        <f>HYPERLINK("https://klasma.github.io/Logging_2462/tillsyn/A 69626-2020 tillsynsbegäran.docx", "A 69626-2020")</f>
        <v/>
      </c>
      <c r="Y154">
        <f>HYPERLINK("https://klasma.github.io/Logging_2462/tillsynsmail/A 69626-2020 tillsynsbegäran mail.docx", "A 69626-2020")</f>
        <v/>
      </c>
      <c r="Z154">
        <f>HYPERLINK("https://klasma.github.io/Logging_2462/fåglar/A 69626-2020 prioriterade fågelarter.docx", "A 69626-2020")</f>
        <v/>
      </c>
    </row>
    <row r="155" ht="15" customHeight="1">
      <c r="A155" t="inlineStr">
        <is>
          <t>A 6704-2021</t>
        </is>
      </c>
      <c r="B155" s="1" t="n">
        <v>44235</v>
      </c>
      <c r="C155" s="1" t="n">
        <v>45637</v>
      </c>
      <c r="D155" t="inlineStr">
        <is>
          <t>VÄSTERBOTTENS LÄN</t>
        </is>
      </c>
      <c r="E155" t="inlineStr">
        <is>
          <t>VILHELMINA</t>
        </is>
      </c>
      <c r="G155" t="n">
        <v>14.5</v>
      </c>
      <c r="H155" t="n">
        <v>1</v>
      </c>
      <c r="I155" t="n">
        <v>1</v>
      </c>
      <c r="J155" t="n">
        <v>1</v>
      </c>
      <c r="K155" t="n">
        <v>0</v>
      </c>
      <c r="L155" t="n">
        <v>0</v>
      </c>
      <c r="M155" t="n">
        <v>0</v>
      </c>
      <c r="N155" t="n">
        <v>0</v>
      </c>
      <c r="O155" t="n">
        <v>1</v>
      </c>
      <c r="P155" t="n">
        <v>0</v>
      </c>
      <c r="Q155" t="n">
        <v>2</v>
      </c>
      <c r="R155" s="2" t="inlineStr">
        <is>
          <t>Tretåig hackspett
Trådticka</t>
        </is>
      </c>
      <c r="S155">
        <f>HYPERLINK("https://klasma.github.io/Logging_2462/artfynd/A 6704-2021 artfynd.xlsx", "A 6704-2021")</f>
        <v/>
      </c>
      <c r="T155">
        <f>HYPERLINK("https://klasma.github.io/Logging_2462/kartor/A 6704-2021 karta.png", "A 6704-2021")</f>
        <v/>
      </c>
      <c r="V155">
        <f>HYPERLINK("https://klasma.github.io/Logging_2462/klagomål/A 6704-2021 FSC-klagomål.docx", "A 6704-2021")</f>
        <v/>
      </c>
      <c r="W155">
        <f>HYPERLINK("https://klasma.github.io/Logging_2462/klagomålsmail/A 6704-2021 FSC-klagomål mail.docx", "A 6704-2021")</f>
        <v/>
      </c>
      <c r="X155">
        <f>HYPERLINK("https://klasma.github.io/Logging_2462/tillsyn/A 6704-2021 tillsynsbegäran.docx", "A 6704-2021")</f>
        <v/>
      </c>
      <c r="Y155">
        <f>HYPERLINK("https://klasma.github.io/Logging_2462/tillsynsmail/A 6704-2021 tillsynsbegäran mail.docx", "A 6704-2021")</f>
        <v/>
      </c>
      <c r="Z155">
        <f>HYPERLINK("https://klasma.github.io/Logging_2462/fåglar/A 6704-2021 prioriterade fågelarter.docx", "A 6704-2021")</f>
        <v/>
      </c>
    </row>
    <row r="156" ht="15" customHeight="1">
      <c r="A156" t="inlineStr">
        <is>
          <t>A 11980-2021</t>
        </is>
      </c>
      <c r="B156" s="1" t="n">
        <v>44266</v>
      </c>
      <c r="C156" s="1" t="n">
        <v>45637</v>
      </c>
      <c r="D156" t="inlineStr">
        <is>
          <t>VÄSTERBOTTENS LÄN</t>
        </is>
      </c>
      <c r="E156" t="inlineStr">
        <is>
          <t>VILHELMINA</t>
        </is>
      </c>
      <c r="F156" t="inlineStr">
        <is>
          <t>Allmännings- och besparingsskogar</t>
        </is>
      </c>
      <c r="G156" t="n">
        <v>4.1</v>
      </c>
      <c r="H156" t="n">
        <v>0</v>
      </c>
      <c r="I156" t="n">
        <v>1</v>
      </c>
      <c r="J156" t="n">
        <v>1</v>
      </c>
      <c r="K156" t="n">
        <v>0</v>
      </c>
      <c r="L156" t="n">
        <v>0</v>
      </c>
      <c r="M156" t="n">
        <v>0</v>
      </c>
      <c r="N156" t="n">
        <v>0</v>
      </c>
      <c r="O156" t="n">
        <v>1</v>
      </c>
      <c r="P156" t="n">
        <v>0</v>
      </c>
      <c r="Q156" t="n">
        <v>2</v>
      </c>
      <c r="R156" s="2" t="inlineStr">
        <is>
          <t>Skrovellav
Stuplav</t>
        </is>
      </c>
      <c r="S156">
        <f>HYPERLINK("https://klasma.github.io/Logging_2462/artfynd/A 11980-2021 artfynd.xlsx", "A 11980-2021")</f>
        <v/>
      </c>
      <c r="T156">
        <f>HYPERLINK("https://klasma.github.io/Logging_2462/kartor/A 11980-2021 karta.png", "A 11980-2021")</f>
        <v/>
      </c>
      <c r="V156">
        <f>HYPERLINK("https://klasma.github.io/Logging_2462/klagomål/A 11980-2021 FSC-klagomål.docx", "A 11980-2021")</f>
        <v/>
      </c>
      <c r="W156">
        <f>HYPERLINK("https://klasma.github.io/Logging_2462/klagomålsmail/A 11980-2021 FSC-klagomål mail.docx", "A 11980-2021")</f>
        <v/>
      </c>
      <c r="X156">
        <f>HYPERLINK("https://klasma.github.io/Logging_2462/tillsyn/A 11980-2021 tillsynsbegäran.docx", "A 11980-2021")</f>
        <v/>
      </c>
      <c r="Y156">
        <f>HYPERLINK("https://klasma.github.io/Logging_2462/tillsynsmail/A 11980-2021 tillsynsbegäran mail.docx", "A 11980-2021")</f>
        <v/>
      </c>
    </row>
    <row r="157" ht="15" customHeight="1">
      <c r="A157" t="inlineStr">
        <is>
          <t>A 19234-2021</t>
        </is>
      </c>
      <c r="B157" s="1" t="n">
        <v>44309</v>
      </c>
      <c r="C157" s="1" t="n">
        <v>45637</v>
      </c>
      <c r="D157" t="inlineStr">
        <is>
          <t>VÄSTERBOTTENS LÄN</t>
        </is>
      </c>
      <c r="E157" t="inlineStr">
        <is>
          <t>VILHELMINA</t>
        </is>
      </c>
      <c r="F157" t="inlineStr">
        <is>
          <t>Övriga Aktiebolag</t>
        </is>
      </c>
      <c r="G157" t="n">
        <v>12</v>
      </c>
      <c r="H157" t="n">
        <v>0</v>
      </c>
      <c r="I157" t="n">
        <v>0</v>
      </c>
      <c r="J157" t="n">
        <v>2</v>
      </c>
      <c r="K157" t="n">
        <v>0</v>
      </c>
      <c r="L157" t="n">
        <v>0</v>
      </c>
      <c r="M157" t="n">
        <v>0</v>
      </c>
      <c r="N157" t="n">
        <v>0</v>
      </c>
      <c r="O157" t="n">
        <v>2</v>
      </c>
      <c r="P157" t="n">
        <v>0</v>
      </c>
      <c r="Q157" t="n">
        <v>2</v>
      </c>
      <c r="R157" s="2" t="inlineStr">
        <is>
          <t>Granticka
Harticka</t>
        </is>
      </c>
      <c r="S157">
        <f>HYPERLINK("https://klasma.github.io/Logging_2462/artfynd/A 19234-2021 artfynd.xlsx", "A 19234-2021")</f>
        <v/>
      </c>
      <c r="T157">
        <f>HYPERLINK("https://klasma.github.io/Logging_2462/kartor/A 19234-2021 karta.png", "A 19234-2021")</f>
        <v/>
      </c>
      <c r="V157">
        <f>HYPERLINK("https://klasma.github.io/Logging_2462/klagomål/A 19234-2021 FSC-klagomål.docx", "A 19234-2021")</f>
        <v/>
      </c>
      <c r="W157">
        <f>HYPERLINK("https://klasma.github.io/Logging_2462/klagomålsmail/A 19234-2021 FSC-klagomål mail.docx", "A 19234-2021")</f>
        <v/>
      </c>
      <c r="X157">
        <f>HYPERLINK("https://klasma.github.io/Logging_2462/tillsyn/A 19234-2021 tillsynsbegäran.docx", "A 19234-2021")</f>
        <v/>
      </c>
      <c r="Y157">
        <f>HYPERLINK("https://klasma.github.io/Logging_2462/tillsynsmail/A 19234-2021 tillsynsbegäran mail.docx", "A 19234-2021")</f>
        <v/>
      </c>
    </row>
    <row r="158" ht="15" customHeight="1">
      <c r="A158" t="inlineStr">
        <is>
          <t>A 37785-2021</t>
        </is>
      </c>
      <c r="B158" s="1" t="n">
        <v>44401</v>
      </c>
      <c r="C158" s="1" t="n">
        <v>45637</v>
      </c>
      <c r="D158" t="inlineStr">
        <is>
          <t>VÄSTERBOTTENS LÄN</t>
        </is>
      </c>
      <c r="E158" t="inlineStr">
        <is>
          <t>VILHELMINA</t>
        </is>
      </c>
      <c r="G158" t="n">
        <v>51.5</v>
      </c>
      <c r="H158" t="n">
        <v>1</v>
      </c>
      <c r="I158" t="n">
        <v>0</v>
      </c>
      <c r="J158" t="n">
        <v>1</v>
      </c>
      <c r="K158" t="n">
        <v>0</v>
      </c>
      <c r="L158" t="n">
        <v>0</v>
      </c>
      <c r="M158" t="n">
        <v>0</v>
      </c>
      <c r="N158" t="n">
        <v>0</v>
      </c>
      <c r="O158" t="n">
        <v>1</v>
      </c>
      <c r="P158" t="n">
        <v>0</v>
      </c>
      <c r="Q158" t="n">
        <v>2</v>
      </c>
      <c r="R158" s="2" t="inlineStr">
        <is>
          <t>Ullticka
Fläcknycklar</t>
        </is>
      </c>
      <c r="S158">
        <f>HYPERLINK("https://klasma.github.io/Logging_2462/artfynd/A 37785-2021 artfynd.xlsx", "A 37785-2021")</f>
        <v/>
      </c>
      <c r="T158">
        <f>HYPERLINK("https://klasma.github.io/Logging_2462/kartor/A 37785-2021 karta.png", "A 37785-2021")</f>
        <v/>
      </c>
      <c r="V158">
        <f>HYPERLINK("https://klasma.github.io/Logging_2462/klagomål/A 37785-2021 FSC-klagomål.docx", "A 37785-2021")</f>
        <v/>
      </c>
      <c r="W158">
        <f>HYPERLINK("https://klasma.github.io/Logging_2462/klagomålsmail/A 37785-2021 FSC-klagomål mail.docx", "A 37785-2021")</f>
        <v/>
      </c>
      <c r="X158">
        <f>HYPERLINK("https://klasma.github.io/Logging_2462/tillsyn/A 37785-2021 tillsynsbegäran.docx", "A 37785-2021")</f>
        <v/>
      </c>
      <c r="Y158">
        <f>HYPERLINK("https://klasma.github.io/Logging_2462/tillsynsmail/A 37785-2021 tillsynsbegäran mail.docx", "A 37785-2021")</f>
        <v/>
      </c>
    </row>
    <row r="159" ht="15" customHeight="1">
      <c r="A159" t="inlineStr">
        <is>
          <t>A 65586-2021</t>
        </is>
      </c>
      <c r="B159" s="1" t="n">
        <v>44518</v>
      </c>
      <c r="C159" s="1" t="n">
        <v>45637</v>
      </c>
      <c r="D159" t="inlineStr">
        <is>
          <t>VÄSTERBOTTENS LÄN</t>
        </is>
      </c>
      <c r="E159" t="inlineStr">
        <is>
          <t>VILHELMINA</t>
        </is>
      </c>
      <c r="G159" t="n">
        <v>38</v>
      </c>
      <c r="H159" t="n">
        <v>2</v>
      </c>
      <c r="I159" t="n">
        <v>0</v>
      </c>
      <c r="J159" t="n">
        <v>1</v>
      </c>
      <c r="K159" t="n">
        <v>1</v>
      </c>
      <c r="L159" t="n">
        <v>0</v>
      </c>
      <c r="M159" t="n">
        <v>0</v>
      </c>
      <c r="N159" t="n">
        <v>0</v>
      </c>
      <c r="O159" t="n">
        <v>2</v>
      </c>
      <c r="P159" t="n">
        <v>1</v>
      </c>
      <c r="Q159" t="n">
        <v>2</v>
      </c>
      <c r="R159" s="2" t="inlineStr">
        <is>
          <t>Lappuggla
Tretåig hackspett</t>
        </is>
      </c>
      <c r="S159">
        <f>HYPERLINK("https://klasma.github.io/Logging_2462/artfynd/A 65586-2021 artfynd.xlsx", "A 65586-2021")</f>
        <v/>
      </c>
      <c r="T159">
        <f>HYPERLINK("https://klasma.github.io/Logging_2462/kartor/A 65586-2021 karta.png", "A 65586-2021")</f>
        <v/>
      </c>
      <c r="V159">
        <f>HYPERLINK("https://klasma.github.io/Logging_2462/klagomål/A 65586-2021 FSC-klagomål.docx", "A 65586-2021")</f>
        <v/>
      </c>
      <c r="W159">
        <f>HYPERLINK("https://klasma.github.io/Logging_2462/klagomålsmail/A 65586-2021 FSC-klagomål mail.docx", "A 65586-2021")</f>
        <v/>
      </c>
      <c r="X159">
        <f>HYPERLINK("https://klasma.github.io/Logging_2462/tillsyn/A 65586-2021 tillsynsbegäran.docx", "A 65586-2021")</f>
        <v/>
      </c>
      <c r="Y159">
        <f>HYPERLINK("https://klasma.github.io/Logging_2462/tillsynsmail/A 65586-2021 tillsynsbegäran mail.docx", "A 65586-2021")</f>
        <v/>
      </c>
      <c r="Z159">
        <f>HYPERLINK("https://klasma.github.io/Logging_2462/fåglar/A 65586-2021 prioriterade fågelarter.docx", "A 65586-2021")</f>
        <v/>
      </c>
    </row>
    <row r="160" ht="15" customHeight="1">
      <c r="A160" t="inlineStr">
        <is>
          <t>A 69023-2021</t>
        </is>
      </c>
      <c r="B160" s="1" t="n">
        <v>44529</v>
      </c>
      <c r="C160" s="1" t="n">
        <v>45637</v>
      </c>
      <c r="D160" t="inlineStr">
        <is>
          <t>VÄSTERBOTTENS LÄN</t>
        </is>
      </c>
      <c r="E160" t="inlineStr">
        <is>
          <t>VILHELMINA</t>
        </is>
      </c>
      <c r="G160" t="n">
        <v>88</v>
      </c>
      <c r="H160" t="n">
        <v>0</v>
      </c>
      <c r="I160" t="n">
        <v>0</v>
      </c>
      <c r="J160" t="n">
        <v>2</v>
      </c>
      <c r="K160" t="n">
        <v>0</v>
      </c>
      <c r="L160" t="n">
        <v>0</v>
      </c>
      <c r="M160" t="n">
        <v>0</v>
      </c>
      <c r="N160" t="n">
        <v>0</v>
      </c>
      <c r="O160" t="n">
        <v>2</v>
      </c>
      <c r="P160" t="n">
        <v>0</v>
      </c>
      <c r="Q160" t="n">
        <v>2</v>
      </c>
      <c r="R160" s="2" t="inlineStr">
        <is>
          <t>Garnlav
Lunglav</t>
        </is>
      </c>
      <c r="S160">
        <f>HYPERLINK("https://klasma.github.io/Logging_2462/artfynd/A 69023-2021 artfynd.xlsx", "A 69023-2021")</f>
        <v/>
      </c>
      <c r="T160">
        <f>HYPERLINK("https://klasma.github.io/Logging_2462/kartor/A 69023-2021 karta.png", "A 69023-2021")</f>
        <v/>
      </c>
      <c r="V160">
        <f>HYPERLINK("https://klasma.github.io/Logging_2462/klagomål/A 69023-2021 FSC-klagomål.docx", "A 69023-2021")</f>
        <v/>
      </c>
      <c r="W160">
        <f>HYPERLINK("https://klasma.github.io/Logging_2462/klagomålsmail/A 69023-2021 FSC-klagomål mail.docx", "A 69023-2021")</f>
        <v/>
      </c>
      <c r="X160">
        <f>HYPERLINK("https://klasma.github.io/Logging_2462/tillsyn/A 69023-2021 tillsynsbegäran.docx", "A 69023-2021")</f>
        <v/>
      </c>
      <c r="Y160">
        <f>HYPERLINK("https://klasma.github.io/Logging_2462/tillsynsmail/A 69023-2021 tillsynsbegäran mail.docx", "A 69023-2021")</f>
        <v/>
      </c>
    </row>
    <row r="161" ht="15" customHeight="1">
      <c r="A161" t="inlineStr">
        <is>
          <t>A 32253-2022</t>
        </is>
      </c>
      <c r="B161" s="1" t="n">
        <v>44781</v>
      </c>
      <c r="C161" s="1" t="n">
        <v>45637</v>
      </c>
      <c r="D161" t="inlineStr">
        <is>
          <t>VÄSTERBOTTENS LÄN</t>
        </is>
      </c>
      <c r="E161" t="inlineStr">
        <is>
          <t>VILHELMINA</t>
        </is>
      </c>
      <c r="G161" t="n">
        <v>10.8</v>
      </c>
      <c r="H161" t="n">
        <v>0</v>
      </c>
      <c r="I161" t="n">
        <v>0</v>
      </c>
      <c r="J161" t="n">
        <v>1</v>
      </c>
      <c r="K161" t="n">
        <v>1</v>
      </c>
      <c r="L161" t="n">
        <v>0</v>
      </c>
      <c r="M161" t="n">
        <v>0</v>
      </c>
      <c r="N161" t="n">
        <v>0</v>
      </c>
      <c r="O161" t="n">
        <v>2</v>
      </c>
      <c r="P161" t="n">
        <v>1</v>
      </c>
      <c r="Q161" t="n">
        <v>2</v>
      </c>
      <c r="R161" s="2" t="inlineStr">
        <is>
          <t>Ostticka
Garnlav</t>
        </is>
      </c>
      <c r="S161">
        <f>HYPERLINK("https://klasma.github.io/Logging_2462/artfynd/A 32253-2022 artfynd.xlsx", "A 32253-2022")</f>
        <v/>
      </c>
      <c r="T161">
        <f>HYPERLINK("https://klasma.github.io/Logging_2462/kartor/A 32253-2022 karta.png", "A 32253-2022")</f>
        <v/>
      </c>
      <c r="V161">
        <f>HYPERLINK("https://klasma.github.io/Logging_2462/klagomål/A 32253-2022 FSC-klagomål.docx", "A 32253-2022")</f>
        <v/>
      </c>
      <c r="W161">
        <f>HYPERLINK("https://klasma.github.io/Logging_2462/klagomålsmail/A 32253-2022 FSC-klagomål mail.docx", "A 32253-2022")</f>
        <v/>
      </c>
      <c r="X161">
        <f>HYPERLINK("https://klasma.github.io/Logging_2462/tillsyn/A 32253-2022 tillsynsbegäran.docx", "A 32253-2022")</f>
        <v/>
      </c>
      <c r="Y161">
        <f>HYPERLINK("https://klasma.github.io/Logging_2462/tillsynsmail/A 32253-2022 tillsynsbegäran mail.docx", "A 32253-2022")</f>
        <v/>
      </c>
    </row>
    <row r="162" ht="15" customHeight="1">
      <c r="A162" t="inlineStr">
        <is>
          <t>A 28013-2023</t>
        </is>
      </c>
      <c r="B162" s="1" t="n">
        <v>45098</v>
      </c>
      <c r="C162" s="1" t="n">
        <v>45637</v>
      </c>
      <c r="D162" t="inlineStr">
        <is>
          <t>VÄSTERBOTTENS LÄN</t>
        </is>
      </c>
      <c r="E162" t="inlineStr">
        <is>
          <t>VILHELMINA</t>
        </is>
      </c>
      <c r="F162" t="inlineStr">
        <is>
          <t>SCA</t>
        </is>
      </c>
      <c r="G162" t="n">
        <v>7.8</v>
      </c>
      <c r="H162" t="n">
        <v>0</v>
      </c>
      <c r="I162" t="n">
        <v>0</v>
      </c>
      <c r="J162" t="n">
        <v>1</v>
      </c>
      <c r="K162" t="n">
        <v>1</v>
      </c>
      <c r="L162" t="n">
        <v>0</v>
      </c>
      <c r="M162" t="n">
        <v>0</v>
      </c>
      <c r="N162" t="n">
        <v>0</v>
      </c>
      <c r="O162" t="n">
        <v>2</v>
      </c>
      <c r="P162" t="n">
        <v>1</v>
      </c>
      <c r="Q162" t="n">
        <v>2</v>
      </c>
      <c r="R162" s="2" t="inlineStr">
        <is>
          <t>Tajgaskinn
Granticka</t>
        </is>
      </c>
      <c r="S162">
        <f>HYPERLINK("https://klasma.github.io/Logging_2462/artfynd/A 28013-2023 artfynd.xlsx", "A 28013-2023")</f>
        <v/>
      </c>
      <c r="T162">
        <f>HYPERLINK("https://klasma.github.io/Logging_2462/kartor/A 28013-2023 karta.png", "A 28013-2023")</f>
        <v/>
      </c>
      <c r="V162">
        <f>HYPERLINK("https://klasma.github.io/Logging_2462/klagomål/A 28013-2023 FSC-klagomål.docx", "A 28013-2023")</f>
        <v/>
      </c>
      <c r="W162">
        <f>HYPERLINK("https://klasma.github.io/Logging_2462/klagomålsmail/A 28013-2023 FSC-klagomål mail.docx", "A 28013-2023")</f>
        <v/>
      </c>
      <c r="X162">
        <f>HYPERLINK("https://klasma.github.io/Logging_2462/tillsyn/A 28013-2023 tillsynsbegäran.docx", "A 28013-2023")</f>
        <v/>
      </c>
      <c r="Y162">
        <f>HYPERLINK("https://klasma.github.io/Logging_2462/tillsynsmail/A 28013-2023 tillsynsbegäran mail.docx", "A 28013-2023")</f>
        <v/>
      </c>
    </row>
    <row r="163" ht="15" customHeight="1">
      <c r="A163" t="inlineStr">
        <is>
          <t>A 28012-2023</t>
        </is>
      </c>
      <c r="B163" s="1" t="n">
        <v>45098</v>
      </c>
      <c r="C163" s="1" t="n">
        <v>45637</v>
      </c>
      <c r="D163" t="inlineStr">
        <is>
          <t>VÄSTERBOTTENS LÄN</t>
        </is>
      </c>
      <c r="E163" t="inlineStr">
        <is>
          <t>VILHELMINA</t>
        </is>
      </c>
      <c r="F163" t="inlineStr">
        <is>
          <t>SCA</t>
        </is>
      </c>
      <c r="G163" t="n">
        <v>1.7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HYPERLINK("https://klasma.github.io/Logging_2462/artfynd/A 28012-2023 artfynd.xlsx", "A 28012-2023")</f>
        <v/>
      </c>
      <c r="T163">
        <f>HYPERLINK("https://klasma.github.io/Logging_2462/kartor/A 28012-2023 karta.png", "A 28012-2023")</f>
        <v/>
      </c>
      <c r="V163">
        <f>HYPERLINK("https://klasma.github.io/Logging_2462/klagomål/A 28012-2023 FSC-klagomål.docx", "A 28012-2023")</f>
        <v/>
      </c>
      <c r="W163">
        <f>HYPERLINK("https://klasma.github.io/Logging_2462/klagomålsmail/A 28012-2023 FSC-klagomål mail.docx", "A 28012-2023")</f>
        <v/>
      </c>
      <c r="X163">
        <f>HYPERLINK("https://klasma.github.io/Logging_2462/tillsyn/A 28012-2023 tillsynsbegäran.docx", "A 28012-2023")</f>
        <v/>
      </c>
      <c r="Y163">
        <f>HYPERLINK("https://klasma.github.io/Logging_2462/tillsynsmail/A 28012-2023 tillsynsbegäran mail.docx", "A 28012-2023")</f>
        <v/>
      </c>
      <c r="Z163">
        <f>HYPERLINK("https://klasma.github.io/Logging_2462/fåglar/A 28012-2023 prioriterade fågelarter.docx", "A 28012-2023")</f>
        <v/>
      </c>
    </row>
    <row r="164" ht="15" customHeight="1">
      <c r="A164" t="inlineStr">
        <is>
          <t>A 30717-2023</t>
        </is>
      </c>
      <c r="B164" s="1" t="n">
        <v>45112</v>
      </c>
      <c r="C164" s="1" t="n">
        <v>45637</v>
      </c>
      <c r="D164" t="inlineStr">
        <is>
          <t>VÄSTERBOTTENS LÄN</t>
        </is>
      </c>
      <c r="E164" t="inlineStr">
        <is>
          <t>VILHELMINA</t>
        </is>
      </c>
      <c r="G164" t="n">
        <v>22.7</v>
      </c>
      <c r="H164" t="n">
        <v>0</v>
      </c>
      <c r="I164" t="n">
        <v>0</v>
      </c>
      <c r="J164" t="n">
        <v>2</v>
      </c>
      <c r="K164" t="n">
        <v>0</v>
      </c>
      <c r="L164" t="n">
        <v>0</v>
      </c>
      <c r="M164" t="n">
        <v>0</v>
      </c>
      <c r="N164" t="n">
        <v>0</v>
      </c>
      <c r="O164" t="n">
        <v>2</v>
      </c>
      <c r="P164" t="n">
        <v>0</v>
      </c>
      <c r="Q164" t="n">
        <v>2</v>
      </c>
      <c r="R164" s="2" t="inlineStr">
        <is>
          <t>Garnlav
Ullticka</t>
        </is>
      </c>
      <c r="S164">
        <f>HYPERLINK("https://klasma.github.io/Logging_2462/artfynd/A 30717-2023 artfynd.xlsx", "A 30717-2023")</f>
        <v/>
      </c>
      <c r="T164">
        <f>HYPERLINK("https://klasma.github.io/Logging_2462/kartor/A 30717-2023 karta.png", "A 30717-2023")</f>
        <v/>
      </c>
      <c r="V164">
        <f>HYPERLINK("https://klasma.github.io/Logging_2462/klagomål/A 30717-2023 FSC-klagomål.docx", "A 30717-2023")</f>
        <v/>
      </c>
      <c r="W164">
        <f>HYPERLINK("https://klasma.github.io/Logging_2462/klagomålsmail/A 30717-2023 FSC-klagomål mail.docx", "A 30717-2023")</f>
        <v/>
      </c>
      <c r="X164">
        <f>HYPERLINK("https://klasma.github.io/Logging_2462/tillsyn/A 30717-2023 tillsynsbegäran.docx", "A 30717-2023")</f>
        <v/>
      </c>
      <c r="Y164">
        <f>HYPERLINK("https://klasma.github.io/Logging_2462/tillsynsmail/A 30717-2023 tillsynsbegäran mail.docx", "A 30717-2023")</f>
        <v/>
      </c>
    </row>
    <row r="165" ht="15" customHeight="1">
      <c r="A165" t="inlineStr">
        <is>
          <t>A 34089-2023</t>
        </is>
      </c>
      <c r="B165" s="1" t="n">
        <v>45125</v>
      </c>
      <c r="C165" s="1" t="n">
        <v>45637</v>
      </c>
      <c r="D165" t="inlineStr">
        <is>
          <t>VÄSTERBOTTENS LÄN</t>
        </is>
      </c>
      <c r="E165" t="inlineStr">
        <is>
          <t>VILHELMINA</t>
        </is>
      </c>
      <c r="G165" t="n">
        <v>24.1</v>
      </c>
      <c r="H165" t="n">
        <v>1</v>
      </c>
      <c r="I165" t="n">
        <v>0</v>
      </c>
      <c r="J165" t="n">
        <v>2</v>
      </c>
      <c r="K165" t="n">
        <v>0</v>
      </c>
      <c r="L165" t="n">
        <v>0</v>
      </c>
      <c r="M165" t="n">
        <v>0</v>
      </c>
      <c r="N165" t="n">
        <v>0</v>
      </c>
      <c r="O165" t="n">
        <v>2</v>
      </c>
      <c r="P165" t="n">
        <v>0</v>
      </c>
      <c r="Q165" t="n">
        <v>2</v>
      </c>
      <c r="R165" s="2" t="inlineStr">
        <is>
          <t>Garnlav
Tretåig hackspett</t>
        </is>
      </c>
      <c r="S165">
        <f>HYPERLINK("https://klasma.github.io/Logging_2462/artfynd/A 34089-2023 artfynd.xlsx", "A 34089-2023")</f>
        <v/>
      </c>
      <c r="T165">
        <f>HYPERLINK("https://klasma.github.io/Logging_2462/kartor/A 34089-2023 karta.png", "A 34089-2023")</f>
        <v/>
      </c>
      <c r="V165">
        <f>HYPERLINK("https://klasma.github.io/Logging_2462/klagomål/A 34089-2023 FSC-klagomål.docx", "A 34089-2023")</f>
        <v/>
      </c>
      <c r="W165">
        <f>HYPERLINK("https://klasma.github.io/Logging_2462/klagomålsmail/A 34089-2023 FSC-klagomål mail.docx", "A 34089-2023")</f>
        <v/>
      </c>
      <c r="X165">
        <f>HYPERLINK("https://klasma.github.io/Logging_2462/tillsyn/A 34089-2023 tillsynsbegäran.docx", "A 34089-2023")</f>
        <v/>
      </c>
      <c r="Y165">
        <f>HYPERLINK("https://klasma.github.io/Logging_2462/tillsynsmail/A 34089-2023 tillsynsbegäran mail.docx", "A 34089-2023")</f>
        <v/>
      </c>
      <c r="Z165">
        <f>HYPERLINK("https://klasma.github.io/Logging_2462/fåglar/A 34089-2023 prioriterade fågelarter.docx", "A 34089-2023")</f>
        <v/>
      </c>
    </row>
    <row r="166" ht="15" customHeight="1">
      <c r="A166" t="inlineStr">
        <is>
          <t>A 64030-2023</t>
        </is>
      </c>
      <c r="B166" s="1" t="n">
        <v>45278</v>
      </c>
      <c r="C166" s="1" t="n">
        <v>45637</v>
      </c>
      <c r="D166" t="inlineStr">
        <is>
          <t>VÄSTERBOTTENS LÄN</t>
        </is>
      </c>
      <c r="E166" t="inlineStr">
        <is>
          <t>VILHELMINA</t>
        </is>
      </c>
      <c r="F166" t="inlineStr">
        <is>
          <t>SCA</t>
        </is>
      </c>
      <c r="G166" t="n">
        <v>1.7</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HYPERLINK("https://klasma.github.io/Logging_2462/artfynd/A 64030-2023 artfynd.xlsx", "A 64030-2023")</f>
        <v/>
      </c>
      <c r="T166">
        <f>HYPERLINK("https://klasma.github.io/Logging_2462/kartor/A 64030-2023 karta.png", "A 64030-2023")</f>
        <v/>
      </c>
      <c r="V166">
        <f>HYPERLINK("https://klasma.github.io/Logging_2462/klagomål/A 64030-2023 FSC-klagomål.docx", "A 64030-2023")</f>
        <v/>
      </c>
      <c r="W166">
        <f>HYPERLINK("https://klasma.github.io/Logging_2462/klagomålsmail/A 64030-2023 FSC-klagomål mail.docx", "A 64030-2023")</f>
        <v/>
      </c>
      <c r="X166">
        <f>HYPERLINK("https://klasma.github.io/Logging_2462/tillsyn/A 64030-2023 tillsynsbegäran.docx", "A 64030-2023")</f>
        <v/>
      </c>
      <c r="Y166">
        <f>HYPERLINK("https://klasma.github.io/Logging_2462/tillsynsmail/A 64030-2023 tillsynsbegäran mail.docx", "A 64030-2023")</f>
        <v/>
      </c>
      <c r="Z166">
        <f>HYPERLINK("https://klasma.github.io/Logging_2462/fåglar/A 64030-2023 prioriterade fågelarter.docx", "A 64030-2023")</f>
        <v/>
      </c>
    </row>
    <row r="167" ht="15" customHeight="1">
      <c r="A167" t="inlineStr">
        <is>
          <t>A 14020-2024</t>
        </is>
      </c>
      <c r="B167" s="1" t="n">
        <v>45392</v>
      </c>
      <c r="C167" s="1" t="n">
        <v>45637</v>
      </c>
      <c r="D167" t="inlineStr">
        <is>
          <t>VÄSTERBOTTENS LÄN</t>
        </is>
      </c>
      <c r="E167" t="inlineStr">
        <is>
          <t>VILHELMINA</t>
        </is>
      </c>
      <c r="G167" t="n">
        <v>7.3</v>
      </c>
      <c r="H167" t="n">
        <v>0</v>
      </c>
      <c r="I167" t="n">
        <v>0</v>
      </c>
      <c r="J167" t="n">
        <v>2</v>
      </c>
      <c r="K167" t="n">
        <v>0</v>
      </c>
      <c r="L167" t="n">
        <v>0</v>
      </c>
      <c r="M167" t="n">
        <v>0</v>
      </c>
      <c r="N167" t="n">
        <v>0</v>
      </c>
      <c r="O167" t="n">
        <v>2</v>
      </c>
      <c r="P167" t="n">
        <v>0</v>
      </c>
      <c r="Q167" t="n">
        <v>2</v>
      </c>
      <c r="R167" s="2" t="inlineStr">
        <is>
          <t>Doftskinn
Garnlav</t>
        </is>
      </c>
      <c r="S167">
        <f>HYPERLINK("https://klasma.github.io/Logging_2462/artfynd/A 14020-2024 artfynd.xlsx", "A 14020-2024")</f>
        <v/>
      </c>
      <c r="T167">
        <f>HYPERLINK("https://klasma.github.io/Logging_2462/kartor/A 14020-2024 karta.png", "A 14020-2024")</f>
        <v/>
      </c>
      <c r="V167">
        <f>HYPERLINK("https://klasma.github.io/Logging_2462/klagomål/A 14020-2024 FSC-klagomål.docx", "A 14020-2024")</f>
        <v/>
      </c>
      <c r="W167">
        <f>HYPERLINK("https://klasma.github.io/Logging_2462/klagomålsmail/A 14020-2024 FSC-klagomål mail.docx", "A 14020-2024")</f>
        <v/>
      </c>
      <c r="X167">
        <f>HYPERLINK("https://klasma.github.io/Logging_2462/tillsyn/A 14020-2024 tillsynsbegäran.docx", "A 14020-2024")</f>
        <v/>
      </c>
      <c r="Y167">
        <f>HYPERLINK("https://klasma.github.io/Logging_2462/tillsynsmail/A 14020-2024 tillsynsbegäran mail.docx", "A 14020-2024")</f>
        <v/>
      </c>
    </row>
    <row r="168" ht="15" customHeight="1">
      <c r="A168" t="inlineStr">
        <is>
          <t>A 29072-2024</t>
        </is>
      </c>
      <c r="B168" s="1" t="n">
        <v>45481</v>
      </c>
      <c r="C168" s="1" t="n">
        <v>45637</v>
      </c>
      <c r="D168" t="inlineStr">
        <is>
          <t>VÄSTERBOTTENS LÄN</t>
        </is>
      </c>
      <c r="E168" t="inlineStr">
        <is>
          <t>VILHELMINA</t>
        </is>
      </c>
      <c r="G168" t="n">
        <v>17.2</v>
      </c>
      <c r="H168" t="n">
        <v>0</v>
      </c>
      <c r="I168" t="n">
        <v>0</v>
      </c>
      <c r="J168" t="n">
        <v>1</v>
      </c>
      <c r="K168" t="n">
        <v>1</v>
      </c>
      <c r="L168" t="n">
        <v>0</v>
      </c>
      <c r="M168" t="n">
        <v>0</v>
      </c>
      <c r="N168" t="n">
        <v>0</v>
      </c>
      <c r="O168" t="n">
        <v>2</v>
      </c>
      <c r="P168" t="n">
        <v>1</v>
      </c>
      <c r="Q168" t="n">
        <v>2</v>
      </c>
      <c r="R168" s="2" t="inlineStr">
        <is>
          <t>Rynkskinn
Harticka</t>
        </is>
      </c>
      <c r="S168">
        <f>HYPERLINK("https://klasma.github.io/Logging_2462/artfynd/A 29072-2024 artfynd.xlsx", "A 29072-2024")</f>
        <v/>
      </c>
      <c r="T168">
        <f>HYPERLINK("https://klasma.github.io/Logging_2462/kartor/A 29072-2024 karta.png", "A 29072-2024")</f>
        <v/>
      </c>
      <c r="V168">
        <f>HYPERLINK("https://klasma.github.io/Logging_2462/klagomål/A 29072-2024 FSC-klagomål.docx", "A 29072-2024")</f>
        <v/>
      </c>
      <c r="W168">
        <f>HYPERLINK("https://klasma.github.io/Logging_2462/klagomålsmail/A 29072-2024 FSC-klagomål mail.docx", "A 29072-2024")</f>
        <v/>
      </c>
      <c r="X168">
        <f>HYPERLINK("https://klasma.github.io/Logging_2462/tillsyn/A 29072-2024 tillsynsbegäran.docx", "A 29072-2024")</f>
        <v/>
      </c>
      <c r="Y168">
        <f>HYPERLINK("https://klasma.github.io/Logging_2462/tillsynsmail/A 29072-2024 tillsynsbegäran mail.docx", "A 29072-2024")</f>
        <v/>
      </c>
    </row>
    <row r="169" ht="15" customHeight="1">
      <c r="A169" t="inlineStr">
        <is>
          <t>A 32705-2024</t>
        </is>
      </c>
      <c r="B169" s="1" t="n">
        <v>45516</v>
      </c>
      <c r="C169" s="1" t="n">
        <v>45637</v>
      </c>
      <c r="D169" t="inlineStr">
        <is>
          <t>VÄSTERBOTTENS LÄN</t>
        </is>
      </c>
      <c r="E169" t="inlineStr">
        <is>
          <t>VILHELMINA</t>
        </is>
      </c>
      <c r="G169" t="n">
        <v>10.8</v>
      </c>
      <c r="H169" t="n">
        <v>1</v>
      </c>
      <c r="I169" t="n">
        <v>0</v>
      </c>
      <c r="J169" t="n">
        <v>2</v>
      </c>
      <c r="K169" t="n">
        <v>0</v>
      </c>
      <c r="L169" t="n">
        <v>0</v>
      </c>
      <c r="M169" t="n">
        <v>0</v>
      </c>
      <c r="N169" t="n">
        <v>0</v>
      </c>
      <c r="O169" t="n">
        <v>2</v>
      </c>
      <c r="P169" t="n">
        <v>0</v>
      </c>
      <c r="Q169" t="n">
        <v>2</v>
      </c>
      <c r="R169" s="2" t="inlineStr">
        <is>
          <t>Garnlav
Tretåig hackspett</t>
        </is>
      </c>
      <c r="S169">
        <f>HYPERLINK("https://klasma.github.io/Logging_2462/artfynd/A 32705-2024 artfynd.xlsx", "A 32705-2024")</f>
        <v/>
      </c>
      <c r="T169">
        <f>HYPERLINK("https://klasma.github.io/Logging_2462/kartor/A 32705-2024 karta.png", "A 32705-2024")</f>
        <v/>
      </c>
      <c r="V169">
        <f>HYPERLINK("https://klasma.github.io/Logging_2462/klagomål/A 32705-2024 FSC-klagomål.docx", "A 32705-2024")</f>
        <v/>
      </c>
      <c r="W169">
        <f>HYPERLINK("https://klasma.github.io/Logging_2462/klagomålsmail/A 32705-2024 FSC-klagomål mail.docx", "A 32705-2024")</f>
        <v/>
      </c>
      <c r="X169">
        <f>HYPERLINK("https://klasma.github.io/Logging_2462/tillsyn/A 32705-2024 tillsynsbegäran.docx", "A 32705-2024")</f>
        <v/>
      </c>
      <c r="Y169">
        <f>HYPERLINK("https://klasma.github.io/Logging_2462/tillsynsmail/A 32705-2024 tillsynsbegäran mail.docx", "A 32705-2024")</f>
        <v/>
      </c>
      <c r="Z169">
        <f>HYPERLINK("https://klasma.github.io/Logging_2462/fåglar/A 32705-2024 prioriterade fågelarter.docx", "A 32705-2024")</f>
        <v/>
      </c>
    </row>
    <row r="170" ht="15" customHeight="1">
      <c r="A170" t="inlineStr">
        <is>
          <t>A 37513-2024</t>
        </is>
      </c>
      <c r="B170" s="1" t="n">
        <v>45541</v>
      </c>
      <c r="C170" s="1" t="n">
        <v>45637</v>
      </c>
      <c r="D170" t="inlineStr">
        <is>
          <t>VÄSTERBOTTENS LÄN</t>
        </is>
      </c>
      <c r="E170" t="inlineStr">
        <is>
          <t>VILHELMINA</t>
        </is>
      </c>
      <c r="F170" t="inlineStr">
        <is>
          <t>SCA</t>
        </is>
      </c>
      <c r="G170" t="n">
        <v>3.4</v>
      </c>
      <c r="H170" t="n">
        <v>0</v>
      </c>
      <c r="I170" t="n">
        <v>0</v>
      </c>
      <c r="J170" t="n">
        <v>2</v>
      </c>
      <c r="K170" t="n">
        <v>0</v>
      </c>
      <c r="L170" t="n">
        <v>0</v>
      </c>
      <c r="M170" t="n">
        <v>0</v>
      </c>
      <c r="N170" t="n">
        <v>0</v>
      </c>
      <c r="O170" t="n">
        <v>2</v>
      </c>
      <c r="P170" t="n">
        <v>0</v>
      </c>
      <c r="Q170" t="n">
        <v>2</v>
      </c>
      <c r="R170" s="2" t="inlineStr">
        <is>
          <t>Rosenticka
Ullticka</t>
        </is>
      </c>
      <c r="S170">
        <f>HYPERLINK("https://klasma.github.io/Logging_2462/artfynd/A 37513-2024 artfynd.xlsx", "A 37513-2024")</f>
        <v/>
      </c>
      <c r="T170">
        <f>HYPERLINK("https://klasma.github.io/Logging_2462/kartor/A 37513-2024 karta.png", "A 37513-2024")</f>
        <v/>
      </c>
      <c r="V170">
        <f>HYPERLINK("https://klasma.github.io/Logging_2462/klagomål/A 37513-2024 FSC-klagomål.docx", "A 37513-2024")</f>
        <v/>
      </c>
      <c r="W170">
        <f>HYPERLINK("https://klasma.github.io/Logging_2462/klagomålsmail/A 37513-2024 FSC-klagomål mail.docx", "A 37513-2024")</f>
        <v/>
      </c>
      <c r="X170">
        <f>HYPERLINK("https://klasma.github.io/Logging_2462/tillsyn/A 37513-2024 tillsynsbegäran.docx", "A 37513-2024")</f>
        <v/>
      </c>
      <c r="Y170">
        <f>HYPERLINK("https://klasma.github.io/Logging_2462/tillsynsmail/A 37513-2024 tillsynsbegäran mail.docx", "A 37513-2024")</f>
        <v/>
      </c>
    </row>
    <row r="171" ht="15" customHeight="1">
      <c r="A171" t="inlineStr">
        <is>
          <t>A 38207-2024</t>
        </is>
      </c>
      <c r="B171" s="1" t="n">
        <v>45545</v>
      </c>
      <c r="C171" s="1" t="n">
        <v>45637</v>
      </c>
      <c r="D171" t="inlineStr">
        <is>
          <t>VÄSTERBOTTENS LÄN</t>
        </is>
      </c>
      <c r="E171" t="inlineStr">
        <is>
          <t>VILHELMINA</t>
        </is>
      </c>
      <c r="F171" t="inlineStr">
        <is>
          <t>Sveaskog</t>
        </is>
      </c>
      <c r="G171" t="n">
        <v>4</v>
      </c>
      <c r="H171" t="n">
        <v>0</v>
      </c>
      <c r="I171" t="n">
        <v>0</v>
      </c>
      <c r="J171" t="n">
        <v>2</v>
      </c>
      <c r="K171" t="n">
        <v>0</v>
      </c>
      <c r="L171" t="n">
        <v>0</v>
      </c>
      <c r="M171" t="n">
        <v>0</v>
      </c>
      <c r="N171" t="n">
        <v>0</v>
      </c>
      <c r="O171" t="n">
        <v>2</v>
      </c>
      <c r="P171" t="n">
        <v>0</v>
      </c>
      <c r="Q171" t="n">
        <v>2</v>
      </c>
      <c r="R171" s="2" t="inlineStr">
        <is>
          <t>Garnlav
Gränsticka</t>
        </is>
      </c>
      <c r="S171">
        <f>HYPERLINK("https://klasma.github.io/Logging_2462/artfynd/A 38207-2024 artfynd.xlsx", "A 38207-2024")</f>
        <v/>
      </c>
      <c r="T171">
        <f>HYPERLINK("https://klasma.github.io/Logging_2462/kartor/A 38207-2024 karta.png", "A 38207-2024")</f>
        <v/>
      </c>
      <c r="V171">
        <f>HYPERLINK("https://klasma.github.io/Logging_2462/klagomål/A 38207-2024 FSC-klagomål.docx", "A 38207-2024")</f>
        <v/>
      </c>
      <c r="W171">
        <f>HYPERLINK("https://klasma.github.io/Logging_2462/klagomålsmail/A 38207-2024 FSC-klagomål mail.docx", "A 38207-2024")</f>
        <v/>
      </c>
      <c r="X171">
        <f>HYPERLINK("https://klasma.github.io/Logging_2462/tillsyn/A 38207-2024 tillsynsbegäran.docx", "A 38207-2024")</f>
        <v/>
      </c>
      <c r="Y171">
        <f>HYPERLINK("https://klasma.github.io/Logging_2462/tillsynsmail/A 38207-2024 tillsynsbegäran mail.docx", "A 38207-2024")</f>
        <v/>
      </c>
    </row>
    <row r="172" ht="15" customHeight="1">
      <c r="A172" t="inlineStr">
        <is>
          <t>A 40718-2024</t>
        </is>
      </c>
      <c r="B172" s="1" t="n">
        <v>45558</v>
      </c>
      <c r="C172" s="1" t="n">
        <v>45637</v>
      </c>
      <c r="D172" t="inlineStr">
        <is>
          <t>VÄSTERBOTTENS LÄN</t>
        </is>
      </c>
      <c r="E172" t="inlineStr">
        <is>
          <t>VILHELMINA</t>
        </is>
      </c>
      <c r="F172" t="inlineStr">
        <is>
          <t>Allmännings- och besparingsskogar</t>
        </is>
      </c>
      <c r="G172" t="n">
        <v>2.8</v>
      </c>
      <c r="H172" t="n">
        <v>1</v>
      </c>
      <c r="I172" t="n">
        <v>0</v>
      </c>
      <c r="J172" t="n">
        <v>2</v>
      </c>
      <c r="K172" t="n">
        <v>0</v>
      </c>
      <c r="L172" t="n">
        <v>0</v>
      </c>
      <c r="M172" t="n">
        <v>0</v>
      </c>
      <c r="N172" t="n">
        <v>0</v>
      </c>
      <c r="O172" t="n">
        <v>2</v>
      </c>
      <c r="P172" t="n">
        <v>0</v>
      </c>
      <c r="Q172" t="n">
        <v>2</v>
      </c>
      <c r="R172" s="2" t="inlineStr">
        <is>
          <t>Garnlav
Järpe</t>
        </is>
      </c>
      <c r="S172">
        <f>HYPERLINK("https://klasma.github.io/Logging_2462/artfynd/A 40718-2024 artfynd.xlsx", "A 40718-2024")</f>
        <v/>
      </c>
      <c r="T172">
        <f>HYPERLINK("https://klasma.github.io/Logging_2462/kartor/A 40718-2024 karta.png", "A 40718-2024")</f>
        <v/>
      </c>
      <c r="V172">
        <f>HYPERLINK("https://klasma.github.io/Logging_2462/klagomål/A 40718-2024 FSC-klagomål.docx", "A 40718-2024")</f>
        <v/>
      </c>
      <c r="W172">
        <f>HYPERLINK("https://klasma.github.io/Logging_2462/klagomålsmail/A 40718-2024 FSC-klagomål mail.docx", "A 40718-2024")</f>
        <v/>
      </c>
      <c r="X172">
        <f>HYPERLINK("https://klasma.github.io/Logging_2462/tillsyn/A 40718-2024 tillsynsbegäran.docx", "A 40718-2024")</f>
        <v/>
      </c>
      <c r="Y172">
        <f>HYPERLINK("https://klasma.github.io/Logging_2462/tillsynsmail/A 40718-2024 tillsynsbegäran mail.docx", "A 40718-2024")</f>
        <v/>
      </c>
      <c r="Z172">
        <f>HYPERLINK("https://klasma.github.io/Logging_2462/fåglar/A 40718-2024 prioriterade fågelarter.docx", "A 40718-2024")</f>
        <v/>
      </c>
    </row>
    <row r="173" ht="15" customHeight="1">
      <c r="A173" t="inlineStr">
        <is>
          <t>A 41645-2024</t>
        </is>
      </c>
      <c r="B173" s="1" t="n">
        <v>45560</v>
      </c>
      <c r="C173" s="1" t="n">
        <v>45637</v>
      </c>
      <c r="D173" t="inlineStr">
        <is>
          <t>VÄSTERBOTTENS LÄN</t>
        </is>
      </c>
      <c r="E173" t="inlineStr">
        <is>
          <t>VILHELMINA</t>
        </is>
      </c>
      <c r="F173" t="inlineStr">
        <is>
          <t>SCA</t>
        </is>
      </c>
      <c r="G173" t="n">
        <v>10.4</v>
      </c>
      <c r="H173" t="n">
        <v>1</v>
      </c>
      <c r="I173" t="n">
        <v>1</v>
      </c>
      <c r="J173" t="n">
        <v>1</v>
      </c>
      <c r="K173" t="n">
        <v>0</v>
      </c>
      <c r="L173" t="n">
        <v>0</v>
      </c>
      <c r="M173" t="n">
        <v>0</v>
      </c>
      <c r="N173" t="n">
        <v>0</v>
      </c>
      <c r="O173" t="n">
        <v>1</v>
      </c>
      <c r="P173" t="n">
        <v>0</v>
      </c>
      <c r="Q173" t="n">
        <v>2</v>
      </c>
      <c r="R173" s="2" t="inlineStr">
        <is>
          <t>Gammelgransskål
Lappranunkel</t>
        </is>
      </c>
      <c r="S173">
        <f>HYPERLINK("https://klasma.github.io/Logging_2462/artfynd/A 41645-2024 artfynd.xlsx", "A 41645-2024")</f>
        <v/>
      </c>
      <c r="T173">
        <f>HYPERLINK("https://klasma.github.io/Logging_2462/kartor/A 41645-2024 karta.png", "A 41645-2024")</f>
        <v/>
      </c>
      <c r="V173">
        <f>HYPERLINK("https://klasma.github.io/Logging_2462/klagomål/A 41645-2024 FSC-klagomål.docx", "A 41645-2024")</f>
        <v/>
      </c>
      <c r="W173">
        <f>HYPERLINK("https://klasma.github.io/Logging_2462/klagomålsmail/A 41645-2024 FSC-klagomål mail.docx", "A 41645-2024")</f>
        <v/>
      </c>
      <c r="X173">
        <f>HYPERLINK("https://klasma.github.io/Logging_2462/tillsyn/A 41645-2024 tillsynsbegäran.docx", "A 41645-2024")</f>
        <v/>
      </c>
      <c r="Y173">
        <f>HYPERLINK("https://klasma.github.io/Logging_2462/tillsynsmail/A 41645-2024 tillsynsbegäran mail.docx", "A 41645-2024")</f>
        <v/>
      </c>
    </row>
    <row r="174" ht="15" customHeight="1">
      <c r="A174" t="inlineStr">
        <is>
          <t>A 46391-2024</t>
        </is>
      </c>
      <c r="B174" s="1" t="n">
        <v>45582</v>
      </c>
      <c r="C174" s="1" t="n">
        <v>45637</v>
      </c>
      <c r="D174" t="inlineStr">
        <is>
          <t>VÄSTERBOTTENS LÄN</t>
        </is>
      </c>
      <c r="E174" t="inlineStr">
        <is>
          <t>VILHELMINA</t>
        </is>
      </c>
      <c r="F174" t="inlineStr">
        <is>
          <t>SCA</t>
        </is>
      </c>
      <c r="G174" t="n">
        <v>23.4</v>
      </c>
      <c r="H174" t="n">
        <v>0</v>
      </c>
      <c r="I174" t="n">
        <v>0</v>
      </c>
      <c r="J174" t="n">
        <v>2</v>
      </c>
      <c r="K174" t="n">
        <v>0</v>
      </c>
      <c r="L174" t="n">
        <v>0</v>
      </c>
      <c r="M174" t="n">
        <v>0</v>
      </c>
      <c r="N174" t="n">
        <v>0</v>
      </c>
      <c r="O174" t="n">
        <v>2</v>
      </c>
      <c r="P174" t="n">
        <v>0</v>
      </c>
      <c r="Q174" t="n">
        <v>2</v>
      </c>
      <c r="R174" s="2" t="inlineStr">
        <is>
          <t>Granticka
Gränsticka</t>
        </is>
      </c>
      <c r="S174">
        <f>HYPERLINK("https://klasma.github.io/Logging_2462/artfynd/A 46391-2024 artfynd.xlsx", "A 46391-2024")</f>
        <v/>
      </c>
      <c r="T174">
        <f>HYPERLINK("https://klasma.github.io/Logging_2462/kartor/A 46391-2024 karta.png", "A 46391-2024")</f>
        <v/>
      </c>
      <c r="V174">
        <f>HYPERLINK("https://klasma.github.io/Logging_2462/klagomål/A 46391-2024 FSC-klagomål.docx", "A 46391-2024")</f>
        <v/>
      </c>
      <c r="W174">
        <f>HYPERLINK("https://klasma.github.io/Logging_2462/klagomålsmail/A 46391-2024 FSC-klagomål mail.docx", "A 46391-2024")</f>
        <v/>
      </c>
      <c r="X174">
        <f>HYPERLINK("https://klasma.github.io/Logging_2462/tillsyn/A 46391-2024 tillsynsbegäran.docx", "A 46391-2024")</f>
        <v/>
      </c>
      <c r="Y174">
        <f>HYPERLINK("https://klasma.github.io/Logging_2462/tillsynsmail/A 46391-2024 tillsynsbegäran mail.docx", "A 46391-2024")</f>
        <v/>
      </c>
    </row>
    <row r="175" ht="15" customHeight="1">
      <c r="A175" t="inlineStr">
        <is>
          <t>A 54779-2024</t>
        </is>
      </c>
      <c r="B175" s="1" t="n">
        <v>45618</v>
      </c>
      <c r="C175" s="1" t="n">
        <v>45637</v>
      </c>
      <c r="D175" t="inlineStr">
        <is>
          <t>VÄSTERBOTTENS LÄN</t>
        </is>
      </c>
      <c r="E175" t="inlineStr">
        <is>
          <t>VILHELMINA</t>
        </is>
      </c>
      <c r="F175" t="inlineStr">
        <is>
          <t>SCA</t>
        </is>
      </c>
      <c r="G175" t="n">
        <v>10.3</v>
      </c>
      <c r="H175" t="n">
        <v>0</v>
      </c>
      <c r="I175" t="n">
        <v>0</v>
      </c>
      <c r="J175" t="n">
        <v>2</v>
      </c>
      <c r="K175" t="n">
        <v>0</v>
      </c>
      <c r="L175" t="n">
        <v>0</v>
      </c>
      <c r="M175" t="n">
        <v>0</v>
      </c>
      <c r="N175" t="n">
        <v>0</v>
      </c>
      <c r="O175" t="n">
        <v>2</v>
      </c>
      <c r="P175" t="n">
        <v>0</v>
      </c>
      <c r="Q175" t="n">
        <v>2</v>
      </c>
      <c r="R175" s="2" t="inlineStr">
        <is>
          <t>Gammelgransskål
Harticka</t>
        </is>
      </c>
      <c r="S175">
        <f>HYPERLINK("https://klasma.github.io/Logging_2462/artfynd/A 54779-2024 artfynd.xlsx", "A 54779-2024")</f>
        <v/>
      </c>
      <c r="T175">
        <f>HYPERLINK("https://klasma.github.io/Logging_2462/kartor/A 54779-2024 karta.png", "A 54779-2024")</f>
        <v/>
      </c>
      <c r="V175">
        <f>HYPERLINK("https://klasma.github.io/Logging_2462/klagomål/A 54779-2024 FSC-klagomål.docx", "A 54779-2024")</f>
        <v/>
      </c>
      <c r="W175">
        <f>HYPERLINK("https://klasma.github.io/Logging_2462/klagomålsmail/A 54779-2024 FSC-klagomål mail.docx", "A 54779-2024")</f>
        <v/>
      </c>
      <c r="X175">
        <f>HYPERLINK("https://klasma.github.io/Logging_2462/tillsyn/A 54779-2024 tillsynsbegäran.docx", "A 54779-2024")</f>
        <v/>
      </c>
      <c r="Y175">
        <f>HYPERLINK("https://klasma.github.io/Logging_2462/tillsynsmail/A 54779-2024 tillsynsbegäran mail.docx", "A 54779-2024")</f>
        <v/>
      </c>
    </row>
    <row r="176" ht="15" customHeight="1">
      <c r="A176" t="inlineStr">
        <is>
          <t>A 57099-2024</t>
        </is>
      </c>
      <c r="B176" s="1" t="n">
        <v>45629</v>
      </c>
      <c r="C176" s="1" t="n">
        <v>45637</v>
      </c>
      <c r="D176" t="inlineStr">
        <is>
          <t>VÄSTERBOTTENS LÄN</t>
        </is>
      </c>
      <c r="E176" t="inlineStr">
        <is>
          <t>VILHELMINA</t>
        </is>
      </c>
      <c r="F176" t="inlineStr">
        <is>
          <t>SCA</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HYPERLINK("https://klasma.github.io/Logging_2462/artfynd/A 57099-2024 artfynd.xlsx", "A 57099-2024")</f>
        <v/>
      </c>
      <c r="T176">
        <f>HYPERLINK("https://klasma.github.io/Logging_2462/kartor/A 57099-2024 karta.png", "A 57099-2024")</f>
        <v/>
      </c>
      <c r="V176">
        <f>HYPERLINK("https://klasma.github.io/Logging_2462/klagomål/A 57099-2024 FSC-klagomål.docx", "A 57099-2024")</f>
        <v/>
      </c>
      <c r="W176">
        <f>HYPERLINK("https://klasma.github.io/Logging_2462/klagomålsmail/A 57099-2024 FSC-klagomål mail.docx", "A 57099-2024")</f>
        <v/>
      </c>
      <c r="X176">
        <f>HYPERLINK("https://klasma.github.io/Logging_2462/tillsyn/A 57099-2024 tillsynsbegäran.docx", "A 57099-2024")</f>
        <v/>
      </c>
      <c r="Y176">
        <f>HYPERLINK("https://klasma.github.io/Logging_2462/tillsynsmail/A 57099-2024 tillsynsbegäran mail.docx", "A 57099-2024")</f>
        <v/>
      </c>
    </row>
    <row r="177" ht="15" customHeight="1">
      <c r="A177" t="inlineStr">
        <is>
          <t>A 51774-2019</t>
        </is>
      </c>
      <c r="B177" s="1" t="n">
        <v>43741</v>
      </c>
      <c r="C177" s="1" t="n">
        <v>45637</v>
      </c>
      <c r="D177" t="inlineStr">
        <is>
          <t>VÄSTERBOTTENS LÄN</t>
        </is>
      </c>
      <c r="E177" t="inlineStr">
        <is>
          <t>VILHELMINA</t>
        </is>
      </c>
      <c r="F177" t="inlineStr">
        <is>
          <t>Allmännings- och besparingsskogar</t>
        </is>
      </c>
      <c r="G177" t="n">
        <v>19.9</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51774-2019 artfynd.xlsx", "A 51774-2019")</f>
        <v/>
      </c>
      <c r="T177">
        <f>HYPERLINK("https://klasma.github.io/Logging_2462/kartor/A 51774-2019 karta.png", "A 51774-2019")</f>
        <v/>
      </c>
      <c r="V177">
        <f>HYPERLINK("https://klasma.github.io/Logging_2462/klagomål/A 51774-2019 FSC-klagomål.docx", "A 51774-2019")</f>
        <v/>
      </c>
      <c r="W177">
        <f>HYPERLINK("https://klasma.github.io/Logging_2462/klagomålsmail/A 51774-2019 FSC-klagomål mail.docx", "A 51774-2019")</f>
        <v/>
      </c>
      <c r="X177">
        <f>HYPERLINK("https://klasma.github.io/Logging_2462/tillsyn/A 51774-2019 tillsynsbegäran.docx", "A 51774-2019")</f>
        <v/>
      </c>
      <c r="Y177">
        <f>HYPERLINK("https://klasma.github.io/Logging_2462/tillsynsmail/A 51774-2019 tillsynsbegäran mail.docx", "A 51774-2019")</f>
        <v/>
      </c>
      <c r="Z177">
        <f>HYPERLINK("https://klasma.github.io/Logging_2462/fåglar/A 51774-2019 prioriterade fågelarter.docx", "A 51774-2019")</f>
        <v/>
      </c>
    </row>
    <row r="178" ht="15" customHeight="1">
      <c r="A178" t="inlineStr">
        <is>
          <t>A 59424-2019</t>
        </is>
      </c>
      <c r="B178" s="1" t="n">
        <v>43775</v>
      </c>
      <c r="C178" s="1" t="n">
        <v>45637</v>
      </c>
      <c r="D178" t="inlineStr">
        <is>
          <t>VÄSTERBOTTENS LÄN</t>
        </is>
      </c>
      <c r="E178" t="inlineStr">
        <is>
          <t>VILHELMINA</t>
        </is>
      </c>
      <c r="G178" t="n">
        <v>17.4</v>
      </c>
      <c r="H178" t="n">
        <v>0</v>
      </c>
      <c r="I178" t="n">
        <v>0</v>
      </c>
      <c r="J178" t="n">
        <v>1</v>
      </c>
      <c r="K178" t="n">
        <v>0</v>
      </c>
      <c r="L178" t="n">
        <v>0</v>
      </c>
      <c r="M178" t="n">
        <v>0</v>
      </c>
      <c r="N178" t="n">
        <v>0</v>
      </c>
      <c r="O178" t="n">
        <v>1</v>
      </c>
      <c r="P178" t="n">
        <v>0</v>
      </c>
      <c r="Q178" t="n">
        <v>1</v>
      </c>
      <c r="R178" s="2" t="inlineStr">
        <is>
          <t>Granticka</t>
        </is>
      </c>
      <c r="S178">
        <f>HYPERLINK("https://klasma.github.io/Logging_2462/artfynd/A 59424-2019 artfynd.xlsx", "A 59424-2019")</f>
        <v/>
      </c>
      <c r="T178">
        <f>HYPERLINK("https://klasma.github.io/Logging_2462/kartor/A 59424-2019 karta.png", "A 59424-2019")</f>
        <v/>
      </c>
      <c r="V178">
        <f>HYPERLINK("https://klasma.github.io/Logging_2462/klagomål/A 59424-2019 FSC-klagomål.docx", "A 59424-2019")</f>
        <v/>
      </c>
      <c r="W178">
        <f>HYPERLINK("https://klasma.github.io/Logging_2462/klagomålsmail/A 59424-2019 FSC-klagomål mail.docx", "A 59424-2019")</f>
        <v/>
      </c>
      <c r="X178">
        <f>HYPERLINK("https://klasma.github.io/Logging_2462/tillsyn/A 59424-2019 tillsynsbegäran.docx", "A 59424-2019")</f>
        <v/>
      </c>
      <c r="Y178">
        <f>HYPERLINK("https://klasma.github.io/Logging_2462/tillsynsmail/A 59424-2019 tillsynsbegäran mail.docx", "A 59424-2019")</f>
        <v/>
      </c>
    </row>
    <row r="179" ht="15" customHeight="1">
      <c r="A179" t="inlineStr">
        <is>
          <t>A 220-2020</t>
        </is>
      </c>
      <c r="B179" s="1" t="n">
        <v>43833</v>
      </c>
      <c r="C179" s="1" t="n">
        <v>45637</v>
      </c>
      <c r="D179" t="inlineStr">
        <is>
          <t>VÄSTERBOTTENS LÄN</t>
        </is>
      </c>
      <c r="E179" t="inlineStr">
        <is>
          <t>VILHELMINA</t>
        </is>
      </c>
      <c r="F179" t="inlineStr">
        <is>
          <t>SCA</t>
        </is>
      </c>
      <c r="G179" t="n">
        <v>3.2</v>
      </c>
      <c r="H179" t="n">
        <v>0</v>
      </c>
      <c r="I179" t="n">
        <v>0</v>
      </c>
      <c r="J179" t="n">
        <v>1</v>
      </c>
      <c r="K179" t="n">
        <v>0</v>
      </c>
      <c r="L179" t="n">
        <v>0</v>
      </c>
      <c r="M179" t="n">
        <v>0</v>
      </c>
      <c r="N179" t="n">
        <v>0</v>
      </c>
      <c r="O179" t="n">
        <v>1</v>
      </c>
      <c r="P179" t="n">
        <v>0</v>
      </c>
      <c r="Q179" t="n">
        <v>1</v>
      </c>
      <c r="R179" s="2" t="inlineStr">
        <is>
          <t>Vedskivlav</t>
        </is>
      </c>
      <c r="S179">
        <f>HYPERLINK("https://klasma.github.io/Logging_2462/artfynd/A 220-2020 artfynd.xlsx", "A 220-2020")</f>
        <v/>
      </c>
      <c r="T179">
        <f>HYPERLINK("https://klasma.github.io/Logging_2462/kartor/A 220-2020 karta.png", "A 220-2020")</f>
        <v/>
      </c>
      <c r="V179">
        <f>HYPERLINK("https://klasma.github.io/Logging_2462/klagomål/A 220-2020 FSC-klagomål.docx", "A 220-2020")</f>
        <v/>
      </c>
      <c r="W179">
        <f>HYPERLINK("https://klasma.github.io/Logging_2462/klagomålsmail/A 220-2020 FSC-klagomål mail.docx", "A 220-2020")</f>
        <v/>
      </c>
      <c r="X179">
        <f>HYPERLINK("https://klasma.github.io/Logging_2462/tillsyn/A 220-2020 tillsynsbegäran.docx", "A 220-2020")</f>
        <v/>
      </c>
      <c r="Y179">
        <f>HYPERLINK("https://klasma.github.io/Logging_2462/tillsynsmail/A 220-2020 tillsynsbegäran mail.docx", "A 220-2020")</f>
        <v/>
      </c>
    </row>
    <row r="180" ht="15" customHeight="1">
      <c r="A180" t="inlineStr">
        <is>
          <t>A 546-2020</t>
        </is>
      </c>
      <c r="B180" s="1" t="n">
        <v>43837</v>
      </c>
      <c r="C180" s="1" t="n">
        <v>45637</v>
      </c>
      <c r="D180" t="inlineStr">
        <is>
          <t>VÄSTERBOTTENS LÄN</t>
        </is>
      </c>
      <c r="E180" t="inlineStr">
        <is>
          <t>VILHELMINA</t>
        </is>
      </c>
      <c r="F180" t="inlineStr">
        <is>
          <t>SCA</t>
        </is>
      </c>
      <c r="G180" t="n">
        <v>3.1</v>
      </c>
      <c r="H180" t="n">
        <v>0</v>
      </c>
      <c r="I180" t="n">
        <v>0</v>
      </c>
      <c r="J180" t="n">
        <v>1</v>
      </c>
      <c r="K180" t="n">
        <v>0</v>
      </c>
      <c r="L180" t="n">
        <v>0</v>
      </c>
      <c r="M180" t="n">
        <v>0</v>
      </c>
      <c r="N180" t="n">
        <v>0</v>
      </c>
      <c r="O180" t="n">
        <v>1</v>
      </c>
      <c r="P180" t="n">
        <v>0</v>
      </c>
      <c r="Q180" t="n">
        <v>1</v>
      </c>
      <c r="R180" s="2" t="inlineStr">
        <is>
          <t>Vedskivlav</t>
        </is>
      </c>
      <c r="S180">
        <f>HYPERLINK("https://klasma.github.io/Logging_2462/artfynd/A 546-2020 artfynd.xlsx", "A 546-2020")</f>
        <v/>
      </c>
      <c r="T180">
        <f>HYPERLINK("https://klasma.github.io/Logging_2462/kartor/A 546-2020 karta.png", "A 546-2020")</f>
        <v/>
      </c>
      <c r="V180">
        <f>HYPERLINK("https://klasma.github.io/Logging_2462/klagomål/A 546-2020 FSC-klagomål.docx", "A 546-2020")</f>
        <v/>
      </c>
      <c r="W180">
        <f>HYPERLINK("https://klasma.github.io/Logging_2462/klagomålsmail/A 546-2020 FSC-klagomål mail.docx", "A 546-2020")</f>
        <v/>
      </c>
      <c r="X180">
        <f>HYPERLINK("https://klasma.github.io/Logging_2462/tillsyn/A 546-2020 tillsynsbegäran.docx", "A 546-2020")</f>
        <v/>
      </c>
      <c r="Y180">
        <f>HYPERLINK("https://klasma.github.io/Logging_2462/tillsynsmail/A 546-2020 tillsynsbegäran mail.docx", "A 546-2020")</f>
        <v/>
      </c>
    </row>
    <row r="181" ht="15" customHeight="1">
      <c r="A181" t="inlineStr">
        <is>
          <t>A 57861-2020</t>
        </is>
      </c>
      <c r="B181" s="1" t="n">
        <v>44141</v>
      </c>
      <c r="C181" s="1" t="n">
        <v>45637</v>
      </c>
      <c r="D181" t="inlineStr">
        <is>
          <t>VÄSTERBOTTENS LÄN</t>
        </is>
      </c>
      <c r="E181" t="inlineStr">
        <is>
          <t>VILHELMINA</t>
        </is>
      </c>
      <c r="F181" t="inlineStr">
        <is>
          <t>Sveaskog</t>
        </is>
      </c>
      <c r="G181" t="n">
        <v>11.9</v>
      </c>
      <c r="H181" t="n">
        <v>0</v>
      </c>
      <c r="I181" t="n">
        <v>0</v>
      </c>
      <c r="J181" t="n">
        <v>0</v>
      </c>
      <c r="K181" t="n">
        <v>1</v>
      </c>
      <c r="L181" t="n">
        <v>0</v>
      </c>
      <c r="M181" t="n">
        <v>0</v>
      </c>
      <c r="N181" t="n">
        <v>0</v>
      </c>
      <c r="O181" t="n">
        <v>1</v>
      </c>
      <c r="P181" t="n">
        <v>1</v>
      </c>
      <c r="Q181" t="n">
        <v>1</v>
      </c>
      <c r="R181" s="2" t="inlineStr">
        <is>
          <t>Fläckporing</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29376-2021</t>
        </is>
      </c>
      <c r="B182" s="1" t="n">
        <v>44361</v>
      </c>
      <c r="C182" s="1" t="n">
        <v>45637</v>
      </c>
      <c r="D182" t="inlineStr">
        <is>
          <t>VÄSTERBOTTENS LÄN</t>
        </is>
      </c>
      <c r="E182" t="inlineStr">
        <is>
          <t>VILHELMINA</t>
        </is>
      </c>
      <c r="F182" t="inlineStr">
        <is>
          <t>Allmännings- och besparingsskogar</t>
        </is>
      </c>
      <c r="G182" t="n">
        <v>110.8</v>
      </c>
      <c r="H182" t="n">
        <v>1</v>
      </c>
      <c r="I182" t="n">
        <v>0</v>
      </c>
      <c r="J182" t="n">
        <v>0</v>
      </c>
      <c r="K182" t="n">
        <v>0</v>
      </c>
      <c r="L182" t="n">
        <v>0</v>
      </c>
      <c r="M182" t="n">
        <v>0</v>
      </c>
      <c r="N182" t="n">
        <v>0</v>
      </c>
      <c r="O182" t="n">
        <v>0</v>
      </c>
      <c r="P182" t="n">
        <v>0</v>
      </c>
      <c r="Q182" t="n">
        <v>1</v>
      </c>
      <c r="R182" s="2" t="inlineStr">
        <is>
          <t>Lavskrika</t>
        </is>
      </c>
      <c r="S182">
        <f>HYPERLINK("https://klasma.github.io/Logging_2462/artfynd/A 29376-2021 artfynd.xlsx", "A 29376-2021")</f>
        <v/>
      </c>
      <c r="T182">
        <f>HYPERLINK("https://klasma.github.io/Logging_2462/kartor/A 29376-2021 karta.png", "A 29376-2021")</f>
        <v/>
      </c>
      <c r="V182">
        <f>HYPERLINK("https://klasma.github.io/Logging_2462/klagomål/A 29376-2021 FSC-klagomål.docx", "A 29376-2021")</f>
        <v/>
      </c>
      <c r="W182">
        <f>HYPERLINK("https://klasma.github.io/Logging_2462/klagomålsmail/A 29376-2021 FSC-klagomål mail.docx", "A 29376-2021")</f>
        <v/>
      </c>
      <c r="X182">
        <f>HYPERLINK("https://klasma.github.io/Logging_2462/tillsyn/A 29376-2021 tillsynsbegäran.docx", "A 29376-2021")</f>
        <v/>
      </c>
      <c r="Y182">
        <f>HYPERLINK("https://klasma.github.io/Logging_2462/tillsynsmail/A 29376-2021 tillsynsbegäran mail.docx", "A 29376-2021")</f>
        <v/>
      </c>
      <c r="Z182">
        <f>HYPERLINK("https://klasma.github.io/Logging_2462/fåglar/A 29376-2021 prioriterade fågelarter.docx", "A 29376-2021")</f>
        <v/>
      </c>
    </row>
    <row r="183" ht="15" customHeight="1">
      <c r="A183" t="inlineStr">
        <is>
          <t>A 32677-2021</t>
        </is>
      </c>
      <c r="B183" s="1" t="n">
        <v>44371</v>
      </c>
      <c r="C183" s="1" t="n">
        <v>45637</v>
      </c>
      <c r="D183" t="inlineStr">
        <is>
          <t>VÄSTERBOTTENS LÄN</t>
        </is>
      </c>
      <c r="E183" t="inlineStr">
        <is>
          <t>VILHELMINA</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32677-2021 artfynd.xlsx", "A 32677-2021")</f>
        <v/>
      </c>
      <c r="T183">
        <f>HYPERLINK("https://klasma.github.io/Logging_2462/kartor/A 32677-2021 karta.png", "A 32677-2021")</f>
        <v/>
      </c>
      <c r="V183">
        <f>HYPERLINK("https://klasma.github.io/Logging_2462/klagomål/A 32677-2021 FSC-klagomål.docx", "A 32677-2021")</f>
        <v/>
      </c>
      <c r="W183">
        <f>HYPERLINK("https://klasma.github.io/Logging_2462/klagomålsmail/A 32677-2021 FSC-klagomål mail.docx", "A 32677-2021")</f>
        <v/>
      </c>
      <c r="X183">
        <f>HYPERLINK("https://klasma.github.io/Logging_2462/tillsyn/A 32677-2021 tillsynsbegäran.docx", "A 32677-2021")</f>
        <v/>
      </c>
      <c r="Y183">
        <f>HYPERLINK("https://klasma.github.io/Logging_2462/tillsynsmail/A 32677-2021 tillsynsbegäran mail.docx", "A 32677-2021")</f>
        <v/>
      </c>
      <c r="Z183">
        <f>HYPERLINK("https://klasma.github.io/Logging_2462/fåglar/A 32677-2021 prioriterade fågelarter.docx", "A 32677-2021")</f>
        <v/>
      </c>
    </row>
    <row r="184" ht="15" customHeight="1">
      <c r="A184" t="inlineStr">
        <is>
          <t>A 55739-2021</t>
        </is>
      </c>
      <c r="B184" s="1" t="n">
        <v>44476</v>
      </c>
      <c r="C184" s="1" t="n">
        <v>45637</v>
      </c>
      <c r="D184" t="inlineStr">
        <is>
          <t>VÄSTERBOTTENS LÄN</t>
        </is>
      </c>
      <c r="E184" t="inlineStr">
        <is>
          <t>VILHELMINA</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HYPERLINK("https://klasma.github.io/Logging_2462/artfynd/A 55739-2021 artfynd.xlsx", "A 55739-2021")</f>
        <v/>
      </c>
      <c r="T184">
        <f>HYPERLINK("https://klasma.github.io/Logging_2462/kartor/A 55739-2021 karta.png", "A 55739-2021")</f>
        <v/>
      </c>
      <c r="V184">
        <f>HYPERLINK("https://klasma.github.io/Logging_2462/klagomål/A 55739-2021 FSC-klagomål.docx", "A 55739-2021")</f>
        <v/>
      </c>
      <c r="W184">
        <f>HYPERLINK("https://klasma.github.io/Logging_2462/klagomålsmail/A 55739-2021 FSC-klagomål mail.docx", "A 55739-2021")</f>
        <v/>
      </c>
      <c r="X184">
        <f>HYPERLINK("https://klasma.github.io/Logging_2462/tillsyn/A 55739-2021 tillsynsbegäran.docx", "A 55739-2021")</f>
        <v/>
      </c>
      <c r="Y184">
        <f>HYPERLINK("https://klasma.github.io/Logging_2462/tillsynsmail/A 55739-2021 tillsynsbegäran mail.docx", "A 55739-2021")</f>
        <v/>
      </c>
    </row>
    <row r="185" ht="15" customHeight="1">
      <c r="A185" t="inlineStr">
        <is>
          <t>A 60369-2021</t>
        </is>
      </c>
      <c r="B185" s="1" t="n">
        <v>44494</v>
      </c>
      <c r="C185" s="1" t="n">
        <v>45637</v>
      </c>
      <c r="D185" t="inlineStr">
        <is>
          <t>VÄSTERBOTTENS LÄN</t>
        </is>
      </c>
      <c r="E185" t="inlineStr">
        <is>
          <t>VILHELMINA</t>
        </is>
      </c>
      <c r="G185" t="n">
        <v>0.6</v>
      </c>
      <c r="H185" t="n">
        <v>0</v>
      </c>
      <c r="I185" t="n">
        <v>1</v>
      </c>
      <c r="J185" t="n">
        <v>0</v>
      </c>
      <c r="K185" t="n">
        <v>0</v>
      </c>
      <c r="L185" t="n">
        <v>0</v>
      </c>
      <c r="M185" t="n">
        <v>0</v>
      </c>
      <c r="N185" t="n">
        <v>0</v>
      </c>
      <c r="O185" t="n">
        <v>0</v>
      </c>
      <c r="P185" t="n">
        <v>0</v>
      </c>
      <c r="Q185" t="n">
        <v>1</v>
      </c>
      <c r="R185" s="2" t="inlineStr">
        <is>
          <t>Stuplav</t>
        </is>
      </c>
      <c r="S185">
        <f>HYPERLINK("https://klasma.github.io/Logging_2462/artfynd/A 60369-2021 artfynd.xlsx", "A 60369-2021")</f>
        <v/>
      </c>
      <c r="T185">
        <f>HYPERLINK("https://klasma.github.io/Logging_2462/kartor/A 60369-2021 karta.png", "A 60369-2021")</f>
        <v/>
      </c>
      <c r="V185">
        <f>HYPERLINK("https://klasma.github.io/Logging_2462/klagomål/A 60369-2021 FSC-klagomål.docx", "A 60369-2021")</f>
        <v/>
      </c>
      <c r="W185">
        <f>HYPERLINK("https://klasma.github.io/Logging_2462/klagomålsmail/A 60369-2021 FSC-klagomål mail.docx", "A 60369-2021")</f>
        <v/>
      </c>
      <c r="X185">
        <f>HYPERLINK("https://klasma.github.io/Logging_2462/tillsyn/A 60369-2021 tillsynsbegäran.docx", "A 60369-2021")</f>
        <v/>
      </c>
      <c r="Y185">
        <f>HYPERLINK("https://klasma.github.io/Logging_2462/tillsynsmail/A 60369-2021 tillsynsbegäran mail.docx", "A 60369-2021")</f>
        <v/>
      </c>
    </row>
    <row r="186" ht="15" customHeight="1">
      <c r="A186" t="inlineStr">
        <is>
          <t>A 66924-2021</t>
        </is>
      </c>
      <c r="B186" s="1" t="n">
        <v>44522</v>
      </c>
      <c r="C186" s="1" t="n">
        <v>45637</v>
      </c>
      <c r="D186" t="inlineStr">
        <is>
          <t>VÄSTERBOTTENS LÄN</t>
        </is>
      </c>
      <c r="E186" t="inlineStr">
        <is>
          <t>VILHELMINA</t>
        </is>
      </c>
      <c r="F186" t="inlineStr">
        <is>
          <t>Allmännings- och besparingsskogar</t>
        </is>
      </c>
      <c r="G186" t="n">
        <v>335.4</v>
      </c>
      <c r="H186" t="n">
        <v>1</v>
      </c>
      <c r="I186" t="n">
        <v>0</v>
      </c>
      <c r="J186" t="n">
        <v>1</v>
      </c>
      <c r="K186" t="n">
        <v>0</v>
      </c>
      <c r="L186" t="n">
        <v>0</v>
      </c>
      <c r="M186" t="n">
        <v>0</v>
      </c>
      <c r="N186" t="n">
        <v>0</v>
      </c>
      <c r="O186" t="n">
        <v>1</v>
      </c>
      <c r="P186" t="n">
        <v>0</v>
      </c>
      <c r="Q186" t="n">
        <v>1</v>
      </c>
      <c r="R186" s="2" t="inlineStr">
        <is>
          <t>Utter</t>
        </is>
      </c>
      <c r="S186">
        <f>HYPERLINK("https://klasma.github.io/Logging_2462/artfynd/A 66924-2021 artfynd.xlsx", "A 66924-2021")</f>
        <v/>
      </c>
      <c r="T186">
        <f>HYPERLINK("https://klasma.github.io/Logging_2462/kartor/A 66924-2021 karta.png", "A 66924-2021")</f>
        <v/>
      </c>
      <c r="V186">
        <f>HYPERLINK("https://klasma.github.io/Logging_2462/klagomål/A 66924-2021 FSC-klagomål.docx", "A 66924-2021")</f>
        <v/>
      </c>
      <c r="W186">
        <f>HYPERLINK("https://klasma.github.io/Logging_2462/klagomålsmail/A 66924-2021 FSC-klagomål mail.docx", "A 66924-2021")</f>
        <v/>
      </c>
      <c r="X186">
        <f>HYPERLINK("https://klasma.github.io/Logging_2462/tillsyn/A 66924-2021 tillsynsbegäran.docx", "A 66924-2021")</f>
        <v/>
      </c>
      <c r="Y186">
        <f>HYPERLINK("https://klasma.github.io/Logging_2462/tillsynsmail/A 66924-2021 tillsynsbegäran mail.docx", "A 66924-2021")</f>
        <v/>
      </c>
    </row>
    <row r="187" ht="15" customHeight="1">
      <c r="A187" t="inlineStr">
        <is>
          <t>A 68783-2021</t>
        </is>
      </c>
      <c r="B187" s="1" t="n">
        <v>44529</v>
      </c>
      <c r="C187" s="1" t="n">
        <v>45637</v>
      </c>
      <c r="D187" t="inlineStr">
        <is>
          <t>VÄSTERBOTTENS LÄN</t>
        </is>
      </c>
      <c r="E187" t="inlineStr">
        <is>
          <t>VILHELMINA</t>
        </is>
      </c>
      <c r="F187" t="inlineStr">
        <is>
          <t>SCA</t>
        </is>
      </c>
      <c r="G187" t="n">
        <v>7.3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68783-2021 artfynd.xlsx", "A 68783-2021")</f>
        <v/>
      </c>
      <c r="T187">
        <f>HYPERLINK("https://klasma.github.io/Logging_2462/kartor/A 68783-2021 karta.png", "A 68783-2021")</f>
        <v/>
      </c>
      <c r="V187">
        <f>HYPERLINK("https://klasma.github.io/Logging_2462/klagomål/A 68783-2021 FSC-klagomål.docx", "A 68783-2021")</f>
        <v/>
      </c>
      <c r="W187">
        <f>HYPERLINK("https://klasma.github.io/Logging_2462/klagomålsmail/A 68783-2021 FSC-klagomål mail.docx", "A 68783-2021")</f>
        <v/>
      </c>
      <c r="X187">
        <f>HYPERLINK("https://klasma.github.io/Logging_2462/tillsyn/A 68783-2021 tillsynsbegäran.docx", "A 68783-2021")</f>
        <v/>
      </c>
      <c r="Y187">
        <f>HYPERLINK("https://klasma.github.io/Logging_2462/tillsynsmail/A 68783-2021 tillsynsbegäran mail.docx", "A 68783-2021")</f>
        <v/>
      </c>
      <c r="Z187">
        <f>HYPERLINK("https://klasma.github.io/Logging_2462/fåglar/A 68783-2021 prioriterade fågelarter.docx", "A 68783-2021")</f>
        <v/>
      </c>
    </row>
    <row r="188" ht="15" customHeight="1">
      <c r="A188" t="inlineStr">
        <is>
          <t>A 69545-2021</t>
        </is>
      </c>
      <c r="B188" s="1" t="n">
        <v>44531</v>
      </c>
      <c r="C188" s="1" t="n">
        <v>45637</v>
      </c>
      <c r="D188" t="inlineStr">
        <is>
          <t>VÄSTERBOTTENS LÄN</t>
        </is>
      </c>
      <c r="E188" t="inlineStr">
        <is>
          <t>VILHELMINA</t>
        </is>
      </c>
      <c r="F188" t="inlineStr">
        <is>
          <t>SCA</t>
        </is>
      </c>
      <c r="G188" t="n">
        <v>3.8</v>
      </c>
      <c r="H188" t="n">
        <v>0</v>
      </c>
      <c r="I188" t="n">
        <v>1</v>
      </c>
      <c r="J188" t="n">
        <v>0</v>
      </c>
      <c r="K188" t="n">
        <v>0</v>
      </c>
      <c r="L188" t="n">
        <v>0</v>
      </c>
      <c r="M188" t="n">
        <v>0</v>
      </c>
      <c r="N188" t="n">
        <v>0</v>
      </c>
      <c r="O188" t="n">
        <v>0</v>
      </c>
      <c r="P188" t="n">
        <v>0</v>
      </c>
      <c r="Q188" t="n">
        <v>1</v>
      </c>
      <c r="R188" s="2" t="inlineStr">
        <is>
          <t>Norrlandslav</t>
        </is>
      </c>
      <c r="S188">
        <f>HYPERLINK("https://klasma.github.io/Logging_2462/artfynd/A 69545-2021 artfynd.xlsx", "A 69545-2021")</f>
        <v/>
      </c>
      <c r="T188">
        <f>HYPERLINK("https://klasma.github.io/Logging_2462/kartor/A 69545-2021 karta.png", "A 69545-2021")</f>
        <v/>
      </c>
      <c r="V188">
        <f>HYPERLINK("https://klasma.github.io/Logging_2462/klagomål/A 69545-2021 FSC-klagomål.docx", "A 69545-2021")</f>
        <v/>
      </c>
      <c r="W188">
        <f>HYPERLINK("https://klasma.github.io/Logging_2462/klagomålsmail/A 69545-2021 FSC-klagomål mail.docx", "A 69545-2021")</f>
        <v/>
      </c>
      <c r="X188">
        <f>HYPERLINK("https://klasma.github.io/Logging_2462/tillsyn/A 69545-2021 tillsynsbegäran.docx", "A 69545-2021")</f>
        <v/>
      </c>
      <c r="Y188">
        <f>HYPERLINK("https://klasma.github.io/Logging_2462/tillsynsmail/A 69545-2021 tillsynsbegäran mail.docx", "A 69545-2021")</f>
        <v/>
      </c>
    </row>
    <row r="189" ht="15" customHeight="1">
      <c r="A189" t="inlineStr">
        <is>
          <t>A 69915-2021</t>
        </is>
      </c>
      <c r="B189" s="1" t="n">
        <v>44532</v>
      </c>
      <c r="C189" s="1" t="n">
        <v>45637</v>
      </c>
      <c r="D189" t="inlineStr">
        <is>
          <t>VÄSTERBOTTENS LÄN</t>
        </is>
      </c>
      <c r="E189" t="inlineStr">
        <is>
          <t>VILHELMINA</t>
        </is>
      </c>
      <c r="F189" t="inlineStr">
        <is>
          <t>SCA</t>
        </is>
      </c>
      <c r="G189" t="n">
        <v>3</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69915-2021 artfynd.xlsx", "A 69915-2021")</f>
        <v/>
      </c>
      <c r="T189">
        <f>HYPERLINK("https://klasma.github.io/Logging_2462/kartor/A 69915-2021 karta.png", "A 69915-2021")</f>
        <v/>
      </c>
      <c r="V189">
        <f>HYPERLINK("https://klasma.github.io/Logging_2462/klagomål/A 69915-2021 FSC-klagomål.docx", "A 69915-2021")</f>
        <v/>
      </c>
      <c r="W189">
        <f>HYPERLINK("https://klasma.github.io/Logging_2462/klagomålsmail/A 69915-2021 FSC-klagomål mail.docx", "A 69915-2021")</f>
        <v/>
      </c>
      <c r="X189">
        <f>HYPERLINK("https://klasma.github.io/Logging_2462/tillsyn/A 69915-2021 tillsynsbegäran.docx", "A 69915-2021")</f>
        <v/>
      </c>
      <c r="Y189">
        <f>HYPERLINK("https://klasma.github.io/Logging_2462/tillsynsmail/A 69915-2021 tillsynsbegäran mail.docx", "A 69915-2021")</f>
        <v/>
      </c>
      <c r="Z189">
        <f>HYPERLINK("https://klasma.github.io/Logging_2462/fåglar/A 69915-2021 prioriterade fågelarter.docx", "A 69915-2021")</f>
        <v/>
      </c>
    </row>
    <row r="190" ht="15" customHeight="1">
      <c r="A190" t="inlineStr">
        <is>
          <t>A 74395-2021</t>
        </is>
      </c>
      <c r="B190" s="1" t="n">
        <v>44560</v>
      </c>
      <c r="C190" s="1" t="n">
        <v>45637</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12486-2022</t>
        </is>
      </c>
      <c r="B191" s="1" t="n">
        <v>44638</v>
      </c>
      <c r="C191" s="1" t="n">
        <v>45637</v>
      </c>
      <c r="D191" t="inlineStr">
        <is>
          <t>VÄSTERBOTTENS LÄN</t>
        </is>
      </c>
      <c r="E191" t="inlineStr">
        <is>
          <t>VILHELMINA</t>
        </is>
      </c>
      <c r="G191" t="n">
        <v>19.3</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12486-2022 artfynd.xlsx", "A 12486-2022")</f>
        <v/>
      </c>
      <c r="T191">
        <f>HYPERLINK("https://klasma.github.io/Logging_2462/kartor/A 12486-2022 karta.png", "A 12486-2022")</f>
        <v/>
      </c>
      <c r="V191">
        <f>HYPERLINK("https://klasma.github.io/Logging_2462/klagomål/A 12486-2022 FSC-klagomål.docx", "A 12486-2022")</f>
        <v/>
      </c>
      <c r="W191">
        <f>HYPERLINK("https://klasma.github.io/Logging_2462/klagomålsmail/A 12486-2022 FSC-klagomål mail.docx", "A 12486-2022")</f>
        <v/>
      </c>
      <c r="X191">
        <f>HYPERLINK("https://klasma.github.io/Logging_2462/tillsyn/A 12486-2022 tillsynsbegäran.docx", "A 12486-2022")</f>
        <v/>
      </c>
      <c r="Y191">
        <f>HYPERLINK("https://klasma.github.io/Logging_2462/tillsynsmail/A 12486-2022 tillsynsbegäran mail.docx", "A 12486-2022")</f>
        <v/>
      </c>
      <c r="Z191">
        <f>HYPERLINK("https://klasma.github.io/Logging_2462/fåglar/A 12486-2022 prioriterade fågelarter.docx", "A 12486-2022")</f>
        <v/>
      </c>
    </row>
    <row r="192" ht="15" customHeight="1">
      <c r="A192" t="inlineStr">
        <is>
          <t>A 38421-2022</t>
        </is>
      </c>
      <c r="B192" s="1" t="n">
        <v>44812</v>
      </c>
      <c r="C192" s="1" t="n">
        <v>45637</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Ullticka</t>
        </is>
      </c>
      <c r="S192">
        <f>HYPERLINK("https://klasma.github.io/Logging_2462/artfynd/A 38421-2022 artfynd.xlsx", "A 38421-2022")</f>
        <v/>
      </c>
      <c r="T192">
        <f>HYPERLINK("https://klasma.github.io/Logging_2462/kartor/A 38421-2022 karta.png", "A 38421-2022")</f>
        <v/>
      </c>
      <c r="V192">
        <f>HYPERLINK("https://klasma.github.io/Logging_2462/klagomål/A 38421-2022 FSC-klagomål.docx", "A 38421-2022")</f>
        <v/>
      </c>
      <c r="W192">
        <f>HYPERLINK("https://klasma.github.io/Logging_2462/klagomålsmail/A 38421-2022 FSC-klagomål mail.docx", "A 38421-2022")</f>
        <v/>
      </c>
      <c r="X192">
        <f>HYPERLINK("https://klasma.github.io/Logging_2462/tillsyn/A 38421-2022 tillsynsbegäran.docx", "A 38421-2022")</f>
        <v/>
      </c>
      <c r="Y192">
        <f>HYPERLINK("https://klasma.github.io/Logging_2462/tillsynsmail/A 38421-2022 tillsynsbegäran mail.docx", "A 38421-2022")</f>
        <v/>
      </c>
    </row>
    <row r="193" ht="15" customHeight="1">
      <c r="A193" t="inlineStr">
        <is>
          <t>A 41483-2022</t>
        </is>
      </c>
      <c r="B193" s="1" t="n">
        <v>44827</v>
      </c>
      <c r="C193" s="1" t="n">
        <v>45637</v>
      </c>
      <c r="D193" t="inlineStr">
        <is>
          <t>VÄSTERBOTTENS LÄN</t>
        </is>
      </c>
      <c r="E193" t="inlineStr">
        <is>
          <t>VILHELMINA</t>
        </is>
      </c>
      <c r="F193" t="inlineStr">
        <is>
          <t>SCA</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41483-2022 artfynd.xlsx", "A 41483-2022")</f>
        <v/>
      </c>
      <c r="T193">
        <f>HYPERLINK("https://klasma.github.io/Logging_2462/kartor/A 41483-2022 karta.png", "A 41483-2022")</f>
        <v/>
      </c>
      <c r="V193">
        <f>HYPERLINK("https://klasma.github.io/Logging_2462/klagomål/A 41483-2022 FSC-klagomål.docx", "A 41483-2022")</f>
        <v/>
      </c>
      <c r="W193">
        <f>HYPERLINK("https://klasma.github.io/Logging_2462/klagomålsmail/A 41483-2022 FSC-klagomål mail.docx", "A 41483-2022")</f>
        <v/>
      </c>
      <c r="X193">
        <f>HYPERLINK("https://klasma.github.io/Logging_2462/tillsyn/A 41483-2022 tillsynsbegäran.docx", "A 41483-2022")</f>
        <v/>
      </c>
      <c r="Y193">
        <f>HYPERLINK("https://klasma.github.io/Logging_2462/tillsynsmail/A 41483-2022 tillsynsbegäran mail.docx", "A 41483-2022")</f>
        <v/>
      </c>
      <c r="Z193">
        <f>HYPERLINK("https://klasma.github.io/Logging_2462/fåglar/A 41483-2022 prioriterade fågelarter.docx", "A 41483-2022")</f>
        <v/>
      </c>
    </row>
    <row r="194" ht="15" customHeight="1">
      <c r="A194" t="inlineStr">
        <is>
          <t>A 47251-2022</t>
        </is>
      </c>
      <c r="B194" s="1" t="n">
        <v>44852</v>
      </c>
      <c r="C194" s="1" t="n">
        <v>45637</v>
      </c>
      <c r="D194" t="inlineStr">
        <is>
          <t>VÄSTERBOTTENS LÄN</t>
        </is>
      </c>
      <c r="E194" t="inlineStr">
        <is>
          <t>VILHELMINA</t>
        </is>
      </c>
      <c r="F194" t="inlineStr">
        <is>
          <t>SCA</t>
        </is>
      </c>
      <c r="G194" t="n">
        <v>16.4</v>
      </c>
      <c r="H194" t="n">
        <v>0</v>
      </c>
      <c r="I194" t="n">
        <v>0</v>
      </c>
      <c r="J194" t="n">
        <v>1</v>
      </c>
      <c r="K194" t="n">
        <v>0</v>
      </c>
      <c r="L194" t="n">
        <v>0</v>
      </c>
      <c r="M194" t="n">
        <v>0</v>
      </c>
      <c r="N194" t="n">
        <v>0</v>
      </c>
      <c r="O194" t="n">
        <v>1</v>
      </c>
      <c r="P194" t="n">
        <v>0</v>
      </c>
      <c r="Q194" t="n">
        <v>1</v>
      </c>
      <c r="R194" s="2" t="inlineStr">
        <is>
          <t>Rosenticka</t>
        </is>
      </c>
      <c r="S194">
        <f>HYPERLINK("https://klasma.github.io/Logging_2462/artfynd/A 47251-2022 artfynd.xlsx", "A 47251-2022")</f>
        <v/>
      </c>
      <c r="T194">
        <f>HYPERLINK("https://klasma.github.io/Logging_2462/kartor/A 47251-2022 karta.png", "A 47251-2022")</f>
        <v/>
      </c>
      <c r="V194">
        <f>HYPERLINK("https://klasma.github.io/Logging_2462/klagomål/A 47251-2022 FSC-klagomål.docx", "A 47251-2022")</f>
        <v/>
      </c>
      <c r="W194">
        <f>HYPERLINK("https://klasma.github.io/Logging_2462/klagomålsmail/A 47251-2022 FSC-klagomål mail.docx", "A 47251-2022")</f>
        <v/>
      </c>
      <c r="X194">
        <f>HYPERLINK("https://klasma.github.io/Logging_2462/tillsyn/A 47251-2022 tillsynsbegäran.docx", "A 47251-2022")</f>
        <v/>
      </c>
      <c r="Y194">
        <f>HYPERLINK("https://klasma.github.io/Logging_2462/tillsynsmail/A 47251-2022 tillsynsbegäran mail.docx", "A 47251-2022")</f>
        <v/>
      </c>
    </row>
    <row r="195" ht="15" customHeight="1">
      <c r="A195" t="inlineStr">
        <is>
          <t>A 6604-2023</t>
        </is>
      </c>
      <c r="B195" s="1" t="n">
        <v>44960</v>
      </c>
      <c r="C195" s="1" t="n">
        <v>45637</v>
      </c>
      <c r="D195" t="inlineStr">
        <is>
          <t>VÄSTERBOTTENS LÄN</t>
        </is>
      </c>
      <c r="E195" t="inlineStr">
        <is>
          <t>VILHELMINA</t>
        </is>
      </c>
      <c r="G195" t="n">
        <v>13.4</v>
      </c>
      <c r="H195" t="n">
        <v>0</v>
      </c>
      <c r="I195" t="n">
        <v>1</v>
      </c>
      <c r="J195" t="n">
        <v>0</v>
      </c>
      <c r="K195" t="n">
        <v>0</v>
      </c>
      <c r="L195" t="n">
        <v>0</v>
      </c>
      <c r="M195" t="n">
        <v>0</v>
      </c>
      <c r="N195" t="n">
        <v>0</v>
      </c>
      <c r="O195" t="n">
        <v>0</v>
      </c>
      <c r="P195" t="n">
        <v>0</v>
      </c>
      <c r="Q195" t="n">
        <v>1</v>
      </c>
      <c r="R195" s="2" t="inlineStr">
        <is>
          <t>Luddlav</t>
        </is>
      </c>
      <c r="S195">
        <f>HYPERLINK("https://klasma.github.io/Logging_2462/artfynd/A 6604-2023 artfynd.xlsx", "A 6604-2023")</f>
        <v/>
      </c>
      <c r="T195">
        <f>HYPERLINK("https://klasma.github.io/Logging_2462/kartor/A 6604-2023 karta.png", "A 6604-2023")</f>
        <v/>
      </c>
      <c r="V195">
        <f>HYPERLINK("https://klasma.github.io/Logging_2462/klagomål/A 6604-2023 FSC-klagomål.docx", "A 6604-2023")</f>
        <v/>
      </c>
      <c r="W195">
        <f>HYPERLINK("https://klasma.github.io/Logging_2462/klagomålsmail/A 6604-2023 FSC-klagomål mail.docx", "A 6604-2023")</f>
        <v/>
      </c>
      <c r="X195">
        <f>HYPERLINK("https://klasma.github.io/Logging_2462/tillsyn/A 6604-2023 tillsynsbegäran.docx", "A 6604-2023")</f>
        <v/>
      </c>
      <c r="Y195">
        <f>HYPERLINK("https://klasma.github.io/Logging_2462/tillsynsmail/A 6604-2023 tillsynsbegäran mail.docx", "A 6604-2023")</f>
        <v/>
      </c>
    </row>
    <row r="196" ht="15" customHeight="1">
      <c r="A196" t="inlineStr">
        <is>
          <t>A 9249-2023</t>
        </is>
      </c>
      <c r="B196" s="1" t="n">
        <v>44972</v>
      </c>
      <c r="C196" s="1" t="n">
        <v>45637</v>
      </c>
      <c r="D196" t="inlineStr">
        <is>
          <t>VÄSTERBOTTENS LÄN</t>
        </is>
      </c>
      <c r="E196" t="inlineStr">
        <is>
          <t>VILHELMINA</t>
        </is>
      </c>
      <c r="F196" t="inlineStr">
        <is>
          <t>Allmännings- och besparingsskogar</t>
        </is>
      </c>
      <c r="G196" t="n">
        <v>18</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9249-2023 artfynd.xlsx", "A 9249-2023")</f>
        <v/>
      </c>
      <c r="T196">
        <f>HYPERLINK("https://klasma.github.io/Logging_2462/kartor/A 9249-2023 karta.png", "A 9249-2023")</f>
        <v/>
      </c>
      <c r="V196">
        <f>HYPERLINK("https://klasma.github.io/Logging_2462/klagomål/A 9249-2023 FSC-klagomål.docx", "A 9249-2023")</f>
        <v/>
      </c>
      <c r="W196">
        <f>HYPERLINK("https://klasma.github.io/Logging_2462/klagomålsmail/A 9249-2023 FSC-klagomål mail.docx", "A 9249-2023")</f>
        <v/>
      </c>
      <c r="X196">
        <f>HYPERLINK("https://klasma.github.io/Logging_2462/tillsyn/A 9249-2023 tillsynsbegäran.docx", "A 9249-2023")</f>
        <v/>
      </c>
      <c r="Y196">
        <f>HYPERLINK("https://klasma.github.io/Logging_2462/tillsynsmail/A 9249-2023 tillsynsbegäran mail.docx", "A 9249-2023")</f>
        <v/>
      </c>
      <c r="Z196">
        <f>HYPERLINK("https://klasma.github.io/Logging_2462/fåglar/A 9249-2023 prioriterade fågelarter.docx", "A 9249-2023")</f>
        <v/>
      </c>
    </row>
    <row r="197" ht="15" customHeight="1">
      <c r="A197" t="inlineStr">
        <is>
          <t>A 11832-2023</t>
        </is>
      </c>
      <c r="B197" s="1" t="n">
        <v>44994</v>
      </c>
      <c r="C197" s="1" t="n">
        <v>45637</v>
      </c>
      <c r="D197" t="inlineStr">
        <is>
          <t>VÄSTERBOTTENS LÄN</t>
        </is>
      </c>
      <c r="E197" t="inlineStr">
        <is>
          <t>VILHELMINA</t>
        </is>
      </c>
      <c r="F197" t="inlineStr">
        <is>
          <t>SCA</t>
        </is>
      </c>
      <c r="G197" t="n">
        <v>6.7</v>
      </c>
      <c r="H197" t="n">
        <v>0</v>
      </c>
      <c r="I197" t="n">
        <v>0</v>
      </c>
      <c r="J197" t="n">
        <v>1</v>
      </c>
      <c r="K197" t="n">
        <v>0</v>
      </c>
      <c r="L197" t="n">
        <v>0</v>
      </c>
      <c r="M197" t="n">
        <v>0</v>
      </c>
      <c r="N197" t="n">
        <v>0</v>
      </c>
      <c r="O197" t="n">
        <v>1</v>
      </c>
      <c r="P197" t="n">
        <v>0</v>
      </c>
      <c r="Q197" t="n">
        <v>1</v>
      </c>
      <c r="R197" s="2" t="inlineStr">
        <is>
          <t>Granticka</t>
        </is>
      </c>
      <c r="S197">
        <f>HYPERLINK("https://klasma.github.io/Logging_2462/artfynd/A 11832-2023 artfynd.xlsx", "A 11832-2023")</f>
        <v/>
      </c>
      <c r="T197">
        <f>HYPERLINK("https://klasma.github.io/Logging_2462/kartor/A 11832-2023 karta.png", "A 11832-2023")</f>
        <v/>
      </c>
      <c r="V197">
        <f>HYPERLINK("https://klasma.github.io/Logging_2462/klagomål/A 11832-2023 FSC-klagomål.docx", "A 11832-2023")</f>
        <v/>
      </c>
      <c r="W197">
        <f>HYPERLINK("https://klasma.github.io/Logging_2462/klagomålsmail/A 11832-2023 FSC-klagomål mail.docx", "A 11832-2023")</f>
        <v/>
      </c>
      <c r="X197">
        <f>HYPERLINK("https://klasma.github.io/Logging_2462/tillsyn/A 11832-2023 tillsynsbegäran.docx", "A 11832-2023")</f>
        <v/>
      </c>
      <c r="Y197">
        <f>HYPERLINK("https://klasma.github.io/Logging_2462/tillsynsmail/A 11832-2023 tillsynsbegäran mail.docx", "A 11832-2023")</f>
        <v/>
      </c>
    </row>
    <row r="198" ht="15" customHeight="1">
      <c r="A198" t="inlineStr">
        <is>
          <t>A 29317-2023</t>
        </is>
      </c>
      <c r="B198" s="1" t="n">
        <v>45105</v>
      </c>
      <c r="C198" s="1" t="n">
        <v>45637</v>
      </c>
      <c r="D198" t="inlineStr">
        <is>
          <t>VÄSTERBOTTENS LÄN</t>
        </is>
      </c>
      <c r="E198" t="inlineStr">
        <is>
          <t>VILHELMINA</t>
        </is>
      </c>
      <c r="F198" t="inlineStr">
        <is>
          <t>SCA</t>
        </is>
      </c>
      <c r="G198" t="n">
        <v>18.8</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29317-2023 artfynd.xlsx", "A 29317-2023")</f>
        <v/>
      </c>
      <c r="T198">
        <f>HYPERLINK("https://klasma.github.io/Logging_2462/kartor/A 29317-2023 karta.png", "A 29317-2023")</f>
        <v/>
      </c>
      <c r="V198">
        <f>HYPERLINK("https://klasma.github.io/Logging_2462/klagomål/A 29317-2023 FSC-klagomål.docx", "A 29317-2023")</f>
        <v/>
      </c>
      <c r="W198">
        <f>HYPERLINK("https://klasma.github.io/Logging_2462/klagomålsmail/A 29317-2023 FSC-klagomål mail.docx", "A 29317-2023")</f>
        <v/>
      </c>
      <c r="X198">
        <f>HYPERLINK("https://klasma.github.io/Logging_2462/tillsyn/A 29317-2023 tillsynsbegäran.docx", "A 29317-2023")</f>
        <v/>
      </c>
      <c r="Y198">
        <f>HYPERLINK("https://klasma.github.io/Logging_2462/tillsynsmail/A 29317-2023 tillsynsbegäran mail.docx", "A 29317-2023")</f>
        <v/>
      </c>
      <c r="Z198">
        <f>HYPERLINK("https://klasma.github.io/Logging_2462/fåglar/A 29317-2023 prioriterade fågelarter.docx", "A 29317-2023")</f>
        <v/>
      </c>
    </row>
    <row r="199" ht="15" customHeight="1">
      <c r="A199" t="inlineStr">
        <is>
          <t>A 39919-2023</t>
        </is>
      </c>
      <c r="B199" s="1" t="n">
        <v>45166</v>
      </c>
      <c r="C199" s="1" t="n">
        <v>45637</v>
      </c>
      <c r="D199" t="inlineStr">
        <is>
          <t>VÄSTERBOTTENS LÄN</t>
        </is>
      </c>
      <c r="E199" t="inlineStr">
        <is>
          <t>VILHELMINA</t>
        </is>
      </c>
      <c r="G199" t="n">
        <v>22.2</v>
      </c>
      <c r="H199" t="n">
        <v>1</v>
      </c>
      <c r="I199" t="n">
        <v>0</v>
      </c>
      <c r="J199" t="n">
        <v>1</v>
      </c>
      <c r="K199" t="n">
        <v>0</v>
      </c>
      <c r="L199" t="n">
        <v>0</v>
      </c>
      <c r="M199" t="n">
        <v>0</v>
      </c>
      <c r="N199" t="n">
        <v>0</v>
      </c>
      <c r="O199" t="n">
        <v>1</v>
      </c>
      <c r="P199" t="n">
        <v>0</v>
      </c>
      <c r="Q199" t="n">
        <v>1</v>
      </c>
      <c r="R199" s="2" t="inlineStr">
        <is>
          <t>Utter</t>
        </is>
      </c>
      <c r="S199">
        <f>HYPERLINK("https://klasma.github.io/Logging_2462/artfynd/A 39919-2023 artfynd.xlsx", "A 39919-2023")</f>
        <v/>
      </c>
      <c r="T199">
        <f>HYPERLINK("https://klasma.github.io/Logging_2462/kartor/A 39919-2023 karta.png", "A 39919-2023")</f>
        <v/>
      </c>
      <c r="V199">
        <f>HYPERLINK("https://klasma.github.io/Logging_2462/klagomål/A 39919-2023 FSC-klagomål.docx", "A 39919-2023")</f>
        <v/>
      </c>
      <c r="W199">
        <f>HYPERLINK("https://klasma.github.io/Logging_2462/klagomålsmail/A 39919-2023 FSC-klagomål mail.docx", "A 39919-2023")</f>
        <v/>
      </c>
      <c r="X199">
        <f>HYPERLINK("https://klasma.github.io/Logging_2462/tillsyn/A 39919-2023 tillsynsbegäran.docx", "A 39919-2023")</f>
        <v/>
      </c>
      <c r="Y199">
        <f>HYPERLINK("https://klasma.github.io/Logging_2462/tillsynsmail/A 39919-2023 tillsynsbegäran mail.docx", "A 39919-2023")</f>
        <v/>
      </c>
    </row>
    <row r="200" ht="15" customHeight="1">
      <c r="A200" t="inlineStr">
        <is>
          <t>A 56247-2023</t>
        </is>
      </c>
      <c r="B200" s="1" t="n">
        <v>45240</v>
      </c>
      <c r="C200" s="1" t="n">
        <v>45637</v>
      </c>
      <c r="D200" t="inlineStr">
        <is>
          <t>VÄSTERBOTTENS LÄN</t>
        </is>
      </c>
      <c r="E200" t="inlineStr">
        <is>
          <t>VILHELMINA</t>
        </is>
      </c>
      <c r="F200" t="inlineStr">
        <is>
          <t>SCA</t>
        </is>
      </c>
      <c r="G200" t="n">
        <v>1.3</v>
      </c>
      <c r="H200" t="n">
        <v>0</v>
      </c>
      <c r="I200" t="n">
        <v>0</v>
      </c>
      <c r="J200" t="n">
        <v>1</v>
      </c>
      <c r="K200" t="n">
        <v>0</v>
      </c>
      <c r="L200" t="n">
        <v>0</v>
      </c>
      <c r="M200" t="n">
        <v>0</v>
      </c>
      <c r="N200" t="n">
        <v>0</v>
      </c>
      <c r="O200" t="n">
        <v>1</v>
      </c>
      <c r="P200" t="n">
        <v>0</v>
      </c>
      <c r="Q200" t="n">
        <v>1</v>
      </c>
      <c r="R200" s="2" t="inlineStr">
        <is>
          <t>Harticka</t>
        </is>
      </c>
      <c r="S200">
        <f>HYPERLINK("https://klasma.github.io/Logging_2462/artfynd/A 56247-2023 artfynd.xlsx", "A 56247-2023")</f>
        <v/>
      </c>
      <c r="T200">
        <f>HYPERLINK("https://klasma.github.io/Logging_2462/kartor/A 56247-2023 karta.png", "A 56247-2023")</f>
        <v/>
      </c>
      <c r="V200">
        <f>HYPERLINK("https://klasma.github.io/Logging_2462/klagomål/A 56247-2023 FSC-klagomål.docx", "A 56247-2023")</f>
        <v/>
      </c>
      <c r="W200">
        <f>HYPERLINK("https://klasma.github.io/Logging_2462/klagomålsmail/A 56247-2023 FSC-klagomål mail.docx", "A 56247-2023")</f>
        <v/>
      </c>
      <c r="X200">
        <f>HYPERLINK("https://klasma.github.io/Logging_2462/tillsyn/A 56247-2023 tillsynsbegäran.docx", "A 56247-2023")</f>
        <v/>
      </c>
      <c r="Y200">
        <f>HYPERLINK("https://klasma.github.io/Logging_2462/tillsynsmail/A 56247-2023 tillsynsbegäran mail.docx", "A 56247-2023")</f>
        <v/>
      </c>
    </row>
    <row r="201" ht="15" customHeight="1">
      <c r="A201" t="inlineStr">
        <is>
          <t>A 22467-2024</t>
        </is>
      </c>
      <c r="B201" s="1" t="n">
        <v>45447</v>
      </c>
      <c r="C201" s="1" t="n">
        <v>45637</v>
      </c>
      <c r="D201" t="inlineStr">
        <is>
          <t>VÄSTERBOTTENS LÄN</t>
        </is>
      </c>
      <c r="E201" t="inlineStr">
        <is>
          <t>VILHELMINA</t>
        </is>
      </c>
      <c r="F201" t="inlineStr">
        <is>
          <t>SCA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22467-2024 artfynd.xlsx", "A 22467-2024")</f>
        <v/>
      </c>
      <c r="T201">
        <f>HYPERLINK("https://klasma.github.io/Logging_2462/kartor/A 22467-2024 karta.png", "A 22467-2024")</f>
        <v/>
      </c>
      <c r="V201">
        <f>HYPERLINK("https://klasma.github.io/Logging_2462/klagomål/A 22467-2024 FSC-klagomål.docx", "A 22467-2024")</f>
        <v/>
      </c>
      <c r="W201">
        <f>HYPERLINK("https://klasma.github.io/Logging_2462/klagomålsmail/A 22467-2024 FSC-klagomål mail.docx", "A 22467-2024")</f>
        <v/>
      </c>
      <c r="X201">
        <f>HYPERLINK("https://klasma.github.io/Logging_2462/tillsyn/A 22467-2024 tillsynsbegäran.docx", "A 22467-2024")</f>
        <v/>
      </c>
      <c r="Y201">
        <f>HYPERLINK("https://klasma.github.io/Logging_2462/tillsynsmail/A 22467-2024 tillsynsbegäran mail.docx", "A 22467-2024")</f>
        <v/>
      </c>
      <c r="Z201">
        <f>HYPERLINK("https://klasma.github.io/Logging_2462/fåglar/A 22467-2024 prioriterade fågelarter.docx", "A 22467-2024")</f>
        <v/>
      </c>
    </row>
    <row r="202" ht="15" customHeight="1">
      <c r="A202" t="inlineStr">
        <is>
          <t>A 22466-2024</t>
        </is>
      </c>
      <c r="B202" s="1" t="n">
        <v>45446</v>
      </c>
      <c r="C202" s="1" t="n">
        <v>45637</v>
      </c>
      <c r="D202" t="inlineStr">
        <is>
          <t>VÄSTERBOTTENS LÄN</t>
        </is>
      </c>
      <c r="E202" t="inlineStr">
        <is>
          <t>VILHELMINA</t>
        </is>
      </c>
      <c r="F202" t="inlineStr">
        <is>
          <t>SCA</t>
        </is>
      </c>
      <c r="G202" t="n">
        <v>3.9</v>
      </c>
      <c r="H202" t="n">
        <v>0</v>
      </c>
      <c r="I202" t="n">
        <v>0</v>
      </c>
      <c r="J202" t="n">
        <v>1</v>
      </c>
      <c r="K202" t="n">
        <v>0</v>
      </c>
      <c r="L202" t="n">
        <v>0</v>
      </c>
      <c r="M202" t="n">
        <v>0</v>
      </c>
      <c r="N202" t="n">
        <v>0</v>
      </c>
      <c r="O202" t="n">
        <v>1</v>
      </c>
      <c r="P202" t="n">
        <v>0</v>
      </c>
      <c r="Q202" t="n">
        <v>1</v>
      </c>
      <c r="R202" s="2" t="inlineStr">
        <is>
          <t>Ullticka</t>
        </is>
      </c>
      <c r="S202">
        <f>HYPERLINK("https://klasma.github.io/Logging_2462/artfynd/A 22466-2024 artfynd.xlsx", "A 22466-2024")</f>
        <v/>
      </c>
      <c r="T202">
        <f>HYPERLINK("https://klasma.github.io/Logging_2462/kartor/A 22466-2024 karta.png", "A 22466-2024")</f>
        <v/>
      </c>
      <c r="V202">
        <f>HYPERLINK("https://klasma.github.io/Logging_2462/klagomål/A 22466-2024 FSC-klagomål.docx", "A 22466-2024")</f>
        <v/>
      </c>
      <c r="W202">
        <f>HYPERLINK("https://klasma.github.io/Logging_2462/klagomålsmail/A 22466-2024 FSC-klagomål mail.docx", "A 22466-2024")</f>
        <v/>
      </c>
      <c r="X202">
        <f>HYPERLINK("https://klasma.github.io/Logging_2462/tillsyn/A 22466-2024 tillsynsbegäran.docx", "A 22466-2024")</f>
        <v/>
      </c>
      <c r="Y202">
        <f>HYPERLINK("https://klasma.github.io/Logging_2462/tillsynsmail/A 22466-2024 tillsynsbegäran mail.docx", "A 22466-2024")</f>
        <v/>
      </c>
    </row>
    <row r="203" ht="15" customHeight="1">
      <c r="A203" t="inlineStr">
        <is>
          <t>A 25368-2024</t>
        </is>
      </c>
      <c r="B203" s="1" t="n">
        <v>45462</v>
      </c>
      <c r="C203" s="1" t="n">
        <v>45637</v>
      </c>
      <c r="D203" t="inlineStr">
        <is>
          <t>VÄSTERBOTTENS LÄN</t>
        </is>
      </c>
      <c r="E203" t="inlineStr">
        <is>
          <t>VILHELMINA</t>
        </is>
      </c>
      <c r="F203" t="inlineStr">
        <is>
          <t>SCA</t>
        </is>
      </c>
      <c r="G203" t="n">
        <v>2.5</v>
      </c>
      <c r="H203" t="n">
        <v>1</v>
      </c>
      <c r="I203" t="n">
        <v>0</v>
      </c>
      <c r="J203" t="n">
        <v>1</v>
      </c>
      <c r="K203" t="n">
        <v>0</v>
      </c>
      <c r="L203" t="n">
        <v>0</v>
      </c>
      <c r="M203" t="n">
        <v>0</v>
      </c>
      <c r="N203" t="n">
        <v>0</v>
      </c>
      <c r="O203" t="n">
        <v>1</v>
      </c>
      <c r="P203" t="n">
        <v>0</v>
      </c>
      <c r="Q203" t="n">
        <v>1</v>
      </c>
      <c r="R203" s="2" t="inlineStr">
        <is>
          <t>Utter</t>
        </is>
      </c>
      <c r="S203">
        <f>HYPERLINK("https://klasma.github.io/Logging_2462/artfynd/A 25368-2024 artfynd.xlsx", "A 25368-2024")</f>
        <v/>
      </c>
      <c r="T203">
        <f>HYPERLINK("https://klasma.github.io/Logging_2462/kartor/A 25368-2024 karta.png", "A 25368-2024")</f>
        <v/>
      </c>
      <c r="V203">
        <f>HYPERLINK("https://klasma.github.io/Logging_2462/klagomål/A 25368-2024 FSC-klagomål.docx", "A 25368-2024")</f>
        <v/>
      </c>
      <c r="W203">
        <f>HYPERLINK("https://klasma.github.io/Logging_2462/klagomålsmail/A 25368-2024 FSC-klagomål mail.docx", "A 25368-2024")</f>
        <v/>
      </c>
      <c r="X203">
        <f>HYPERLINK("https://klasma.github.io/Logging_2462/tillsyn/A 25368-2024 tillsynsbegäran.docx", "A 25368-2024")</f>
        <v/>
      </c>
      <c r="Y203">
        <f>HYPERLINK("https://klasma.github.io/Logging_2462/tillsynsmail/A 25368-2024 tillsynsbegäran mail.docx", "A 25368-2024")</f>
        <v/>
      </c>
    </row>
    <row r="204" ht="15" customHeight="1">
      <c r="A204" t="inlineStr">
        <is>
          <t>A 33913-2024</t>
        </is>
      </c>
      <c r="B204" s="1" t="n">
        <v>45523</v>
      </c>
      <c r="C204" s="1" t="n">
        <v>45637</v>
      </c>
      <c r="D204" t="inlineStr">
        <is>
          <t>VÄSTERBOTTENS LÄN</t>
        </is>
      </c>
      <c r="E204" t="inlineStr">
        <is>
          <t>VILHELMINA</t>
        </is>
      </c>
      <c r="F204" t="inlineStr">
        <is>
          <t>SCA</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HYPERLINK("https://klasma.github.io/Logging_2462/artfynd/A 33913-2024 artfynd.xlsx", "A 33913-2024")</f>
        <v/>
      </c>
      <c r="T204">
        <f>HYPERLINK("https://klasma.github.io/Logging_2462/kartor/A 33913-2024 karta.png", "A 33913-2024")</f>
        <v/>
      </c>
      <c r="V204">
        <f>HYPERLINK("https://klasma.github.io/Logging_2462/klagomål/A 33913-2024 FSC-klagomål.docx", "A 33913-2024")</f>
        <v/>
      </c>
      <c r="W204">
        <f>HYPERLINK("https://klasma.github.io/Logging_2462/klagomålsmail/A 33913-2024 FSC-klagomål mail.docx", "A 33913-2024")</f>
        <v/>
      </c>
      <c r="X204">
        <f>HYPERLINK("https://klasma.github.io/Logging_2462/tillsyn/A 33913-2024 tillsynsbegäran.docx", "A 33913-2024")</f>
        <v/>
      </c>
      <c r="Y204">
        <f>HYPERLINK("https://klasma.github.io/Logging_2462/tillsynsmail/A 33913-2024 tillsynsbegäran mail.docx", "A 33913-2024")</f>
        <v/>
      </c>
    </row>
    <row r="205" ht="15" customHeight="1">
      <c r="A205" t="inlineStr">
        <is>
          <t>A 34730-2024</t>
        </is>
      </c>
      <c r="B205" s="1" t="n">
        <v>45526</v>
      </c>
      <c r="C205" s="1" t="n">
        <v>45637</v>
      </c>
      <c r="D205" t="inlineStr">
        <is>
          <t>VÄSTERBOTTENS LÄN</t>
        </is>
      </c>
      <c r="E205" t="inlineStr">
        <is>
          <t>VILHELMINA</t>
        </is>
      </c>
      <c r="G205" t="n">
        <v>19.2</v>
      </c>
      <c r="H205" t="n">
        <v>0</v>
      </c>
      <c r="I205" t="n">
        <v>0</v>
      </c>
      <c r="J205" t="n">
        <v>1</v>
      </c>
      <c r="K205" t="n">
        <v>0</v>
      </c>
      <c r="L205" t="n">
        <v>0</v>
      </c>
      <c r="M205" t="n">
        <v>0</v>
      </c>
      <c r="N205" t="n">
        <v>0</v>
      </c>
      <c r="O205" t="n">
        <v>1</v>
      </c>
      <c r="P205" t="n">
        <v>0</v>
      </c>
      <c r="Q205" t="n">
        <v>1</v>
      </c>
      <c r="R205" s="2" t="inlineStr">
        <is>
          <t>Ullticka</t>
        </is>
      </c>
      <c r="S205">
        <f>HYPERLINK("https://klasma.github.io/Logging_2462/artfynd/A 34730-2024 artfynd.xlsx", "A 34730-2024")</f>
        <v/>
      </c>
      <c r="T205">
        <f>HYPERLINK("https://klasma.github.io/Logging_2462/kartor/A 34730-2024 karta.png", "A 34730-2024")</f>
        <v/>
      </c>
      <c r="V205">
        <f>HYPERLINK("https://klasma.github.io/Logging_2462/klagomål/A 34730-2024 FSC-klagomål.docx", "A 34730-2024")</f>
        <v/>
      </c>
      <c r="W205">
        <f>HYPERLINK("https://klasma.github.io/Logging_2462/klagomålsmail/A 34730-2024 FSC-klagomål mail.docx", "A 34730-2024")</f>
        <v/>
      </c>
      <c r="X205">
        <f>HYPERLINK("https://klasma.github.io/Logging_2462/tillsyn/A 34730-2024 tillsynsbegäran.docx", "A 34730-2024")</f>
        <v/>
      </c>
      <c r="Y205">
        <f>HYPERLINK("https://klasma.github.io/Logging_2462/tillsynsmail/A 34730-2024 tillsynsbegäran mail.docx", "A 34730-2024")</f>
        <v/>
      </c>
    </row>
    <row r="206" ht="15" customHeight="1">
      <c r="A206" t="inlineStr">
        <is>
          <t>A 34769-2024</t>
        </is>
      </c>
      <c r="B206" s="1" t="n">
        <v>45526</v>
      </c>
      <c r="C206" s="1" t="n">
        <v>45637</v>
      </c>
      <c r="D206" t="inlineStr">
        <is>
          <t>VÄSTERBOTTENS LÄN</t>
        </is>
      </c>
      <c r="E206" t="inlineStr">
        <is>
          <t>VILHELMINA</t>
        </is>
      </c>
      <c r="F206" t="inlineStr">
        <is>
          <t>SCA</t>
        </is>
      </c>
      <c r="G206" t="n">
        <v>6.7</v>
      </c>
      <c r="H206" t="n">
        <v>0</v>
      </c>
      <c r="I206" t="n">
        <v>0</v>
      </c>
      <c r="J206" t="n">
        <v>0</v>
      </c>
      <c r="K206" t="n">
        <v>1</v>
      </c>
      <c r="L206" t="n">
        <v>0</v>
      </c>
      <c r="M206" t="n">
        <v>0</v>
      </c>
      <c r="N206" t="n">
        <v>0</v>
      </c>
      <c r="O206" t="n">
        <v>1</v>
      </c>
      <c r="P206" t="n">
        <v>1</v>
      </c>
      <c r="Q206" t="n">
        <v>1</v>
      </c>
      <c r="R206" s="2" t="inlineStr">
        <is>
          <t>Rynkskinn</t>
        </is>
      </c>
      <c r="S206">
        <f>HYPERLINK("https://klasma.github.io/Logging_2462/artfynd/A 34769-2024 artfynd.xlsx", "A 34769-2024")</f>
        <v/>
      </c>
      <c r="T206">
        <f>HYPERLINK("https://klasma.github.io/Logging_2462/kartor/A 34769-2024 karta.png", "A 34769-2024")</f>
        <v/>
      </c>
      <c r="V206">
        <f>HYPERLINK("https://klasma.github.io/Logging_2462/klagomål/A 34769-2024 FSC-klagomål.docx", "A 34769-2024")</f>
        <v/>
      </c>
      <c r="W206">
        <f>HYPERLINK("https://klasma.github.io/Logging_2462/klagomålsmail/A 34769-2024 FSC-klagomål mail.docx", "A 34769-2024")</f>
        <v/>
      </c>
      <c r="X206">
        <f>HYPERLINK("https://klasma.github.io/Logging_2462/tillsyn/A 34769-2024 tillsynsbegäran.docx", "A 34769-2024")</f>
        <v/>
      </c>
      <c r="Y206">
        <f>HYPERLINK("https://klasma.github.io/Logging_2462/tillsynsmail/A 34769-2024 tillsynsbegäran mail.docx", "A 34769-2024")</f>
        <v/>
      </c>
    </row>
    <row r="207" ht="15" customHeight="1">
      <c r="A207" t="inlineStr">
        <is>
          <t>A 38131-2024</t>
        </is>
      </c>
      <c r="B207" s="1" t="n">
        <v>45545</v>
      </c>
      <c r="C207" s="1" t="n">
        <v>45637</v>
      </c>
      <c r="D207" t="inlineStr">
        <is>
          <t>VÄSTERBOTTENS LÄN</t>
        </is>
      </c>
      <c r="E207" t="inlineStr">
        <is>
          <t>VILHELMINA</t>
        </is>
      </c>
      <c r="F207" t="inlineStr">
        <is>
          <t>SCA</t>
        </is>
      </c>
      <c r="G207" t="n">
        <v>1.5</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38131-2024 artfynd.xlsx", "A 38131-2024")</f>
        <v/>
      </c>
      <c r="T207">
        <f>HYPERLINK("https://klasma.github.io/Logging_2462/kartor/A 38131-2024 karta.png", "A 38131-2024")</f>
        <v/>
      </c>
      <c r="V207">
        <f>HYPERLINK("https://klasma.github.io/Logging_2462/klagomål/A 38131-2024 FSC-klagomål.docx", "A 38131-2024")</f>
        <v/>
      </c>
      <c r="W207">
        <f>HYPERLINK("https://klasma.github.io/Logging_2462/klagomålsmail/A 38131-2024 FSC-klagomål mail.docx", "A 38131-2024")</f>
        <v/>
      </c>
      <c r="X207">
        <f>HYPERLINK("https://klasma.github.io/Logging_2462/tillsyn/A 38131-2024 tillsynsbegäran.docx", "A 38131-2024")</f>
        <v/>
      </c>
      <c r="Y207">
        <f>HYPERLINK("https://klasma.github.io/Logging_2462/tillsynsmail/A 38131-2024 tillsynsbegäran mail.docx", "A 38131-2024")</f>
        <v/>
      </c>
      <c r="Z207">
        <f>HYPERLINK("https://klasma.github.io/Logging_2462/fåglar/A 38131-2024 prioriterade fågelarter.docx", "A 38131-2024")</f>
        <v/>
      </c>
    </row>
    <row r="208" ht="15" customHeight="1">
      <c r="A208" t="inlineStr">
        <is>
          <t>A 38282-2024</t>
        </is>
      </c>
      <c r="B208" s="1" t="n">
        <v>45545</v>
      </c>
      <c r="C208" s="1" t="n">
        <v>45637</v>
      </c>
      <c r="D208" t="inlineStr">
        <is>
          <t>VÄSTERBOTTENS LÄN</t>
        </is>
      </c>
      <c r="E208" t="inlineStr">
        <is>
          <t>VILHELMINA</t>
        </is>
      </c>
      <c r="F208" t="inlineStr">
        <is>
          <t>SCA</t>
        </is>
      </c>
      <c r="G208" t="n">
        <v>3.4</v>
      </c>
      <c r="H208" t="n">
        <v>0</v>
      </c>
      <c r="I208" t="n">
        <v>0</v>
      </c>
      <c r="J208" t="n">
        <v>1</v>
      </c>
      <c r="K208" t="n">
        <v>0</v>
      </c>
      <c r="L208" t="n">
        <v>0</v>
      </c>
      <c r="M208" t="n">
        <v>0</v>
      </c>
      <c r="N208" t="n">
        <v>0</v>
      </c>
      <c r="O208" t="n">
        <v>1</v>
      </c>
      <c r="P208" t="n">
        <v>0</v>
      </c>
      <c r="Q208" t="n">
        <v>1</v>
      </c>
      <c r="R208" s="2" t="inlineStr">
        <is>
          <t>Gränsticka</t>
        </is>
      </c>
      <c r="S208">
        <f>HYPERLINK("https://klasma.github.io/Logging_2462/artfynd/A 38282-2024 artfynd.xlsx", "A 38282-2024")</f>
        <v/>
      </c>
      <c r="T208">
        <f>HYPERLINK("https://klasma.github.io/Logging_2462/kartor/A 38282-2024 karta.png", "A 38282-2024")</f>
        <v/>
      </c>
      <c r="V208">
        <f>HYPERLINK("https://klasma.github.io/Logging_2462/klagomål/A 38282-2024 FSC-klagomål.docx", "A 38282-2024")</f>
        <v/>
      </c>
      <c r="W208">
        <f>HYPERLINK("https://klasma.github.io/Logging_2462/klagomålsmail/A 38282-2024 FSC-klagomål mail.docx", "A 38282-2024")</f>
        <v/>
      </c>
      <c r="X208">
        <f>HYPERLINK("https://klasma.github.io/Logging_2462/tillsyn/A 38282-2024 tillsynsbegäran.docx", "A 38282-2024")</f>
        <v/>
      </c>
      <c r="Y208">
        <f>HYPERLINK("https://klasma.github.io/Logging_2462/tillsynsmail/A 38282-2024 tillsynsbegäran mail.docx", "A 38282-2024")</f>
        <v/>
      </c>
    </row>
    <row r="209" ht="15" customHeight="1">
      <c r="A209" t="inlineStr">
        <is>
          <t>A 41646-2024</t>
        </is>
      </c>
      <c r="B209" s="1" t="n">
        <v>45560</v>
      </c>
      <c r="C209" s="1" t="n">
        <v>45637</v>
      </c>
      <c r="D209" t="inlineStr">
        <is>
          <t>VÄSTERBOTTENS LÄN</t>
        </is>
      </c>
      <c r="E209" t="inlineStr">
        <is>
          <t>VILHELMINA</t>
        </is>
      </c>
      <c r="F209" t="inlineStr">
        <is>
          <t>SCA</t>
        </is>
      </c>
      <c r="G209" t="n">
        <v>4.8</v>
      </c>
      <c r="H209" t="n">
        <v>0</v>
      </c>
      <c r="I209" t="n">
        <v>0</v>
      </c>
      <c r="J209" t="n">
        <v>1</v>
      </c>
      <c r="K209" t="n">
        <v>0</v>
      </c>
      <c r="L209" t="n">
        <v>0</v>
      </c>
      <c r="M209" t="n">
        <v>0</v>
      </c>
      <c r="N209" t="n">
        <v>0</v>
      </c>
      <c r="O209" t="n">
        <v>1</v>
      </c>
      <c r="P209" t="n">
        <v>0</v>
      </c>
      <c r="Q209" t="n">
        <v>1</v>
      </c>
      <c r="R209" s="2" t="inlineStr">
        <is>
          <t>Ullticka</t>
        </is>
      </c>
      <c r="S209">
        <f>HYPERLINK("https://klasma.github.io/Logging_2462/artfynd/A 41646-2024 artfynd.xlsx", "A 41646-2024")</f>
        <v/>
      </c>
      <c r="T209">
        <f>HYPERLINK("https://klasma.github.io/Logging_2462/kartor/A 41646-2024 karta.png", "A 41646-2024")</f>
        <v/>
      </c>
      <c r="V209">
        <f>HYPERLINK("https://klasma.github.io/Logging_2462/klagomål/A 41646-2024 FSC-klagomål.docx", "A 41646-2024")</f>
        <v/>
      </c>
      <c r="W209">
        <f>HYPERLINK("https://klasma.github.io/Logging_2462/klagomålsmail/A 41646-2024 FSC-klagomål mail.docx", "A 41646-2024")</f>
        <v/>
      </c>
      <c r="X209">
        <f>HYPERLINK("https://klasma.github.io/Logging_2462/tillsyn/A 41646-2024 tillsynsbegäran.docx", "A 41646-2024")</f>
        <v/>
      </c>
      <c r="Y209">
        <f>HYPERLINK("https://klasma.github.io/Logging_2462/tillsynsmail/A 41646-2024 tillsynsbegäran mail.docx", "A 41646-2024")</f>
        <v/>
      </c>
    </row>
    <row r="210" ht="15" customHeight="1">
      <c r="A210" t="inlineStr">
        <is>
          <t>A 42489-2024</t>
        </is>
      </c>
      <c r="B210" s="1" t="n">
        <v>45565</v>
      </c>
      <c r="C210" s="1" t="n">
        <v>45637</v>
      </c>
      <c r="D210" t="inlineStr">
        <is>
          <t>VÄSTERBOTTENS LÄN</t>
        </is>
      </c>
      <c r="E210" t="inlineStr">
        <is>
          <t>VILHELMINA</t>
        </is>
      </c>
      <c r="F210" t="inlineStr">
        <is>
          <t>SCA</t>
        </is>
      </c>
      <c r="G210" t="n">
        <v>1.9</v>
      </c>
      <c r="H210" t="n">
        <v>0</v>
      </c>
      <c r="I210" t="n">
        <v>0</v>
      </c>
      <c r="J210" t="n">
        <v>1</v>
      </c>
      <c r="K210" t="n">
        <v>0</v>
      </c>
      <c r="L210" t="n">
        <v>0</v>
      </c>
      <c r="M210" t="n">
        <v>0</v>
      </c>
      <c r="N210" t="n">
        <v>0</v>
      </c>
      <c r="O210" t="n">
        <v>1</v>
      </c>
      <c r="P210" t="n">
        <v>0</v>
      </c>
      <c r="Q210" t="n">
        <v>1</v>
      </c>
      <c r="R210" s="2" t="inlineStr">
        <is>
          <t>Granticka</t>
        </is>
      </c>
      <c r="S210">
        <f>HYPERLINK("https://klasma.github.io/Logging_2462/artfynd/A 42489-2024 artfynd.xlsx", "A 42489-2024")</f>
        <v/>
      </c>
      <c r="T210">
        <f>HYPERLINK("https://klasma.github.io/Logging_2462/kartor/A 42489-2024 karta.png", "A 42489-2024")</f>
        <v/>
      </c>
      <c r="V210">
        <f>HYPERLINK("https://klasma.github.io/Logging_2462/klagomål/A 42489-2024 FSC-klagomål.docx", "A 42489-2024")</f>
        <v/>
      </c>
      <c r="W210">
        <f>HYPERLINK("https://klasma.github.io/Logging_2462/klagomålsmail/A 42489-2024 FSC-klagomål mail.docx", "A 42489-2024")</f>
        <v/>
      </c>
      <c r="X210">
        <f>HYPERLINK("https://klasma.github.io/Logging_2462/tillsyn/A 42489-2024 tillsynsbegäran.docx", "A 42489-2024")</f>
        <v/>
      </c>
      <c r="Y210">
        <f>HYPERLINK("https://klasma.github.io/Logging_2462/tillsynsmail/A 42489-2024 tillsynsbegäran mail.docx", "A 42489-2024")</f>
        <v/>
      </c>
    </row>
    <row r="211" ht="15" customHeight="1">
      <c r="A211" t="inlineStr">
        <is>
          <t>A 44286-2024</t>
        </is>
      </c>
      <c r="B211" s="1" t="n">
        <v>45573</v>
      </c>
      <c r="C211" s="1" t="n">
        <v>45637</v>
      </c>
      <c r="D211" t="inlineStr">
        <is>
          <t>VÄSTERBOTTENS LÄN</t>
        </is>
      </c>
      <c r="E211" t="inlineStr">
        <is>
          <t>VILHELMINA</t>
        </is>
      </c>
      <c r="G211" t="n">
        <v>29.2</v>
      </c>
      <c r="H211" t="n">
        <v>1</v>
      </c>
      <c r="I211" t="n">
        <v>0</v>
      </c>
      <c r="J211" t="n">
        <v>1</v>
      </c>
      <c r="K211" t="n">
        <v>0</v>
      </c>
      <c r="L211" t="n">
        <v>0</v>
      </c>
      <c r="M211" t="n">
        <v>0</v>
      </c>
      <c r="N211" t="n">
        <v>0</v>
      </c>
      <c r="O211" t="n">
        <v>1</v>
      </c>
      <c r="P211" t="n">
        <v>0</v>
      </c>
      <c r="Q211" t="n">
        <v>1</v>
      </c>
      <c r="R211" s="2" t="inlineStr">
        <is>
          <t>Videsparv</t>
        </is>
      </c>
      <c r="S211">
        <f>HYPERLINK("https://klasma.github.io/Logging_2462/artfynd/A 44286-2024 artfynd.xlsx", "A 44286-2024")</f>
        <v/>
      </c>
      <c r="T211">
        <f>HYPERLINK("https://klasma.github.io/Logging_2462/kartor/A 44286-2024 karta.png", "A 44286-2024")</f>
        <v/>
      </c>
      <c r="V211">
        <f>HYPERLINK("https://klasma.github.io/Logging_2462/klagomål/A 44286-2024 FSC-klagomål.docx", "A 44286-2024")</f>
        <v/>
      </c>
      <c r="W211">
        <f>HYPERLINK("https://klasma.github.io/Logging_2462/klagomålsmail/A 44286-2024 FSC-klagomål mail.docx", "A 44286-2024")</f>
        <v/>
      </c>
      <c r="X211">
        <f>HYPERLINK("https://klasma.github.io/Logging_2462/tillsyn/A 44286-2024 tillsynsbegäran.docx", "A 44286-2024")</f>
        <v/>
      </c>
      <c r="Y211">
        <f>HYPERLINK("https://klasma.github.io/Logging_2462/tillsynsmail/A 44286-2024 tillsynsbegäran mail.docx", "A 44286-2024")</f>
        <v/>
      </c>
      <c r="Z211">
        <f>HYPERLINK("https://klasma.github.io/Logging_2462/fåglar/A 44286-2024 prioriterade fågelarter.docx", "A 44286-2024")</f>
        <v/>
      </c>
    </row>
    <row r="212" ht="15" customHeight="1">
      <c r="A212" t="inlineStr">
        <is>
          <t>A 47248-2024</t>
        </is>
      </c>
      <c r="B212" s="1" t="n">
        <v>45586</v>
      </c>
      <c r="C212" s="1" t="n">
        <v>45637</v>
      </c>
      <c r="D212" t="inlineStr">
        <is>
          <t>VÄSTERBOTTENS LÄN</t>
        </is>
      </c>
      <c r="E212" t="inlineStr">
        <is>
          <t>VILHELMINA</t>
        </is>
      </c>
      <c r="F212" t="inlineStr">
        <is>
          <t>SCA</t>
        </is>
      </c>
      <c r="G212" t="n">
        <v>4</v>
      </c>
      <c r="H212" t="n">
        <v>0</v>
      </c>
      <c r="I212" t="n">
        <v>0</v>
      </c>
      <c r="J212" t="n">
        <v>1</v>
      </c>
      <c r="K212" t="n">
        <v>0</v>
      </c>
      <c r="L212" t="n">
        <v>0</v>
      </c>
      <c r="M212" t="n">
        <v>0</v>
      </c>
      <c r="N212" t="n">
        <v>0</v>
      </c>
      <c r="O212" t="n">
        <v>1</v>
      </c>
      <c r="P212" t="n">
        <v>0</v>
      </c>
      <c r="Q212" t="n">
        <v>1</v>
      </c>
      <c r="R212" s="2" t="inlineStr">
        <is>
          <t>Granticka</t>
        </is>
      </c>
      <c r="S212">
        <f>HYPERLINK("https://klasma.github.io/Logging_2462/artfynd/A 47248-2024 artfynd.xlsx", "A 47248-2024")</f>
        <v/>
      </c>
      <c r="T212">
        <f>HYPERLINK("https://klasma.github.io/Logging_2462/kartor/A 47248-2024 karta.png", "A 47248-2024")</f>
        <v/>
      </c>
      <c r="V212">
        <f>HYPERLINK("https://klasma.github.io/Logging_2462/klagomål/A 47248-2024 FSC-klagomål.docx", "A 47248-2024")</f>
        <v/>
      </c>
      <c r="W212">
        <f>HYPERLINK("https://klasma.github.io/Logging_2462/klagomålsmail/A 47248-2024 FSC-klagomål mail.docx", "A 47248-2024")</f>
        <v/>
      </c>
      <c r="X212">
        <f>HYPERLINK("https://klasma.github.io/Logging_2462/tillsyn/A 47248-2024 tillsynsbegäran.docx", "A 47248-2024")</f>
        <v/>
      </c>
      <c r="Y212">
        <f>HYPERLINK("https://klasma.github.io/Logging_2462/tillsynsmail/A 47248-2024 tillsynsbegäran mail.docx", "A 47248-2024")</f>
        <v/>
      </c>
    </row>
    <row r="213" ht="15" customHeight="1">
      <c r="A213" t="inlineStr">
        <is>
          <t>A 18521-2019</t>
        </is>
      </c>
      <c r="B213" s="1" t="n">
        <v>43558</v>
      </c>
      <c r="C213" s="1" t="n">
        <v>45637</v>
      </c>
      <c r="D213" t="inlineStr">
        <is>
          <t>VÄSTERBOTTENS LÄN</t>
        </is>
      </c>
      <c r="E213" t="inlineStr">
        <is>
          <t>VILHELMINA</t>
        </is>
      </c>
      <c r="G213" t="n">
        <v>4.5</v>
      </c>
      <c r="H213" t="n">
        <v>0</v>
      </c>
      <c r="I213" t="n">
        <v>0</v>
      </c>
      <c r="J213" t="n">
        <v>0</v>
      </c>
      <c r="K213" t="n">
        <v>0</v>
      </c>
      <c r="L213" t="n">
        <v>0</v>
      </c>
      <c r="M213" t="n">
        <v>0</v>
      </c>
      <c r="N213" t="n">
        <v>0</v>
      </c>
      <c r="O213" t="n">
        <v>0</v>
      </c>
      <c r="P213" t="n">
        <v>0</v>
      </c>
      <c r="Q213" t="n">
        <v>0</v>
      </c>
      <c r="R213" s="2" t="inlineStr"/>
    </row>
    <row r="214" ht="15" customHeight="1">
      <c r="A214" t="inlineStr">
        <is>
          <t>A 18529-2019</t>
        </is>
      </c>
      <c r="B214" s="1" t="n">
        <v>43559</v>
      </c>
      <c r="C214" s="1" t="n">
        <v>45637</v>
      </c>
      <c r="D214" t="inlineStr">
        <is>
          <t>VÄSTERBOTTENS LÄN</t>
        </is>
      </c>
      <c r="E214" t="inlineStr">
        <is>
          <t>VILHELMINA</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18449-2019</t>
        </is>
      </c>
      <c r="B215" s="1" t="n">
        <v>43559</v>
      </c>
      <c r="C215" s="1" t="n">
        <v>45637</v>
      </c>
      <c r="D215" t="inlineStr">
        <is>
          <t>VÄSTERBOTTENS LÄN</t>
        </is>
      </c>
      <c r="E215" t="inlineStr">
        <is>
          <t>VILHELMINA</t>
        </is>
      </c>
      <c r="F215" t="inlineStr">
        <is>
          <t>Kommuner</t>
        </is>
      </c>
      <c r="G215" t="n">
        <v>20.8</v>
      </c>
      <c r="H215" t="n">
        <v>0</v>
      </c>
      <c r="I215" t="n">
        <v>0</v>
      </c>
      <c r="J215" t="n">
        <v>0</v>
      </c>
      <c r="K215" t="n">
        <v>0</v>
      </c>
      <c r="L215" t="n">
        <v>0</v>
      </c>
      <c r="M215" t="n">
        <v>0</v>
      </c>
      <c r="N215" t="n">
        <v>0</v>
      </c>
      <c r="O215" t="n">
        <v>0</v>
      </c>
      <c r="P215" t="n">
        <v>0</v>
      </c>
      <c r="Q215" t="n">
        <v>0</v>
      </c>
      <c r="R215" s="2" t="inlineStr"/>
    </row>
    <row r="216" ht="15" customHeight="1">
      <c r="A216" t="inlineStr">
        <is>
          <t>A 19130-2019</t>
        </is>
      </c>
      <c r="B216" s="1" t="n">
        <v>43564</v>
      </c>
      <c r="C216" s="1" t="n">
        <v>45637</v>
      </c>
      <c r="D216" t="inlineStr">
        <is>
          <t>VÄSTERBOTTENS LÄN</t>
        </is>
      </c>
      <c r="E216" t="inlineStr">
        <is>
          <t>VILHELMINA</t>
        </is>
      </c>
      <c r="G216" t="n">
        <v>5.6</v>
      </c>
      <c r="H216" t="n">
        <v>0</v>
      </c>
      <c r="I216" t="n">
        <v>0</v>
      </c>
      <c r="J216" t="n">
        <v>0</v>
      </c>
      <c r="K216" t="n">
        <v>0</v>
      </c>
      <c r="L216" t="n">
        <v>0</v>
      </c>
      <c r="M216" t="n">
        <v>0</v>
      </c>
      <c r="N216" t="n">
        <v>0</v>
      </c>
      <c r="O216" t="n">
        <v>0</v>
      </c>
      <c r="P216" t="n">
        <v>0</v>
      </c>
      <c r="Q216" t="n">
        <v>0</v>
      </c>
      <c r="R216" s="2" t="inlineStr"/>
    </row>
    <row r="217" ht="15" customHeight="1">
      <c r="A217" t="inlineStr">
        <is>
          <t>A 23278-2019</t>
        </is>
      </c>
      <c r="B217" s="1" t="n">
        <v>43592</v>
      </c>
      <c r="C217" s="1" t="n">
        <v>45637</v>
      </c>
      <c r="D217" t="inlineStr">
        <is>
          <t>VÄSTERBOTTENS LÄN</t>
        </is>
      </c>
      <c r="E217" t="inlineStr">
        <is>
          <t>VILHELMINA</t>
        </is>
      </c>
      <c r="F217" t="inlineStr">
        <is>
          <t>SCA</t>
        </is>
      </c>
      <c r="G217" t="n">
        <v>6.6</v>
      </c>
      <c r="H217" t="n">
        <v>0</v>
      </c>
      <c r="I217" t="n">
        <v>0</v>
      </c>
      <c r="J217" t="n">
        <v>0</v>
      </c>
      <c r="K217" t="n">
        <v>0</v>
      </c>
      <c r="L217" t="n">
        <v>0</v>
      </c>
      <c r="M217" t="n">
        <v>0</v>
      </c>
      <c r="N217" t="n">
        <v>0</v>
      </c>
      <c r="O217" t="n">
        <v>0</v>
      </c>
      <c r="P217" t="n">
        <v>0</v>
      </c>
      <c r="Q217" t="n">
        <v>0</v>
      </c>
      <c r="R217" s="2" t="inlineStr"/>
    </row>
    <row r="218" ht="15" customHeight="1">
      <c r="A218" t="inlineStr">
        <is>
          <t>A 23277-2019</t>
        </is>
      </c>
      <c r="B218" s="1" t="n">
        <v>43592</v>
      </c>
      <c r="C218" s="1" t="n">
        <v>45637</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23724-2019</t>
        </is>
      </c>
      <c r="B219" s="1" t="n">
        <v>43594</v>
      </c>
      <c r="C219" s="1" t="n">
        <v>45637</v>
      </c>
      <c r="D219" t="inlineStr">
        <is>
          <t>VÄSTERBOTTENS LÄN</t>
        </is>
      </c>
      <c r="E219" t="inlineStr">
        <is>
          <t>VILHELMINA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23723-2019</t>
        </is>
      </c>
      <c r="B220" s="1" t="n">
        <v>43594</v>
      </c>
      <c r="C220" s="1" t="n">
        <v>45637</v>
      </c>
      <c r="D220" t="inlineStr">
        <is>
          <t>VÄSTERBOTTENS LÄN</t>
        </is>
      </c>
      <c r="E220" t="inlineStr">
        <is>
          <t>VILHELMINA</t>
        </is>
      </c>
      <c r="F220" t="inlineStr">
        <is>
          <t>SCA</t>
        </is>
      </c>
      <c r="G220" t="n">
        <v>5.3</v>
      </c>
      <c r="H220" t="n">
        <v>0</v>
      </c>
      <c r="I220" t="n">
        <v>0</v>
      </c>
      <c r="J220" t="n">
        <v>0</v>
      </c>
      <c r="K220" t="n">
        <v>0</v>
      </c>
      <c r="L220" t="n">
        <v>0</v>
      </c>
      <c r="M220" t="n">
        <v>0</v>
      </c>
      <c r="N220" t="n">
        <v>0</v>
      </c>
      <c r="O220" t="n">
        <v>0</v>
      </c>
      <c r="P220" t="n">
        <v>0</v>
      </c>
      <c r="Q220" t="n">
        <v>0</v>
      </c>
      <c r="R220" s="2" t="inlineStr"/>
    </row>
    <row r="221" ht="15" customHeight="1">
      <c r="A221" t="inlineStr">
        <is>
          <t>A 26852-2019</t>
        </is>
      </c>
      <c r="B221" s="1" t="n">
        <v>43608</v>
      </c>
      <c r="C221" s="1" t="n">
        <v>45637</v>
      </c>
      <c r="D221" t="inlineStr">
        <is>
          <t>VÄSTERBOTTENS LÄN</t>
        </is>
      </c>
      <c r="E221" t="inlineStr">
        <is>
          <t>VILHELMINA</t>
        </is>
      </c>
      <c r="G221" t="n">
        <v>0.6</v>
      </c>
      <c r="H221" t="n">
        <v>0</v>
      </c>
      <c r="I221" t="n">
        <v>0</v>
      </c>
      <c r="J221" t="n">
        <v>0</v>
      </c>
      <c r="K221" t="n">
        <v>0</v>
      </c>
      <c r="L221" t="n">
        <v>0</v>
      </c>
      <c r="M221" t="n">
        <v>0</v>
      </c>
      <c r="N221" t="n">
        <v>0</v>
      </c>
      <c r="O221" t="n">
        <v>0</v>
      </c>
      <c r="P221" t="n">
        <v>0</v>
      </c>
      <c r="Q221" t="n">
        <v>0</v>
      </c>
      <c r="R221" s="2" t="inlineStr"/>
    </row>
    <row r="222" ht="15" customHeight="1">
      <c r="A222" t="inlineStr">
        <is>
          <t>A 26896-2019</t>
        </is>
      </c>
      <c r="B222" s="1" t="n">
        <v>43608</v>
      </c>
      <c r="C222" s="1" t="n">
        <v>45637</v>
      </c>
      <c r="D222" t="inlineStr">
        <is>
          <t>VÄSTERBOTTENS LÄN</t>
        </is>
      </c>
      <c r="E222" t="inlineStr">
        <is>
          <t>VILHELMINA</t>
        </is>
      </c>
      <c r="G222" t="n">
        <v>3.1</v>
      </c>
      <c r="H222" t="n">
        <v>0</v>
      </c>
      <c r="I222" t="n">
        <v>0</v>
      </c>
      <c r="J222" t="n">
        <v>0</v>
      </c>
      <c r="K222" t="n">
        <v>0</v>
      </c>
      <c r="L222" t="n">
        <v>0</v>
      </c>
      <c r="M222" t="n">
        <v>0</v>
      </c>
      <c r="N222" t="n">
        <v>0</v>
      </c>
      <c r="O222" t="n">
        <v>0</v>
      </c>
      <c r="P222" t="n">
        <v>0</v>
      </c>
      <c r="Q222" t="n">
        <v>0</v>
      </c>
      <c r="R222" s="2" t="inlineStr"/>
    </row>
    <row r="223" ht="15" customHeight="1">
      <c r="A223" t="inlineStr">
        <is>
          <t>A 27075-2019</t>
        </is>
      </c>
      <c r="B223" s="1" t="n">
        <v>43612</v>
      </c>
      <c r="C223" s="1" t="n">
        <v>45637</v>
      </c>
      <c r="D223" t="inlineStr">
        <is>
          <t>VÄSTERBOTTENS LÄN</t>
        </is>
      </c>
      <c r="E223" t="inlineStr">
        <is>
          <t>VILHELMINA</t>
        </is>
      </c>
      <c r="G223" t="n">
        <v>4.3</v>
      </c>
      <c r="H223" t="n">
        <v>0</v>
      </c>
      <c r="I223" t="n">
        <v>0</v>
      </c>
      <c r="J223" t="n">
        <v>0</v>
      </c>
      <c r="K223" t="n">
        <v>0</v>
      </c>
      <c r="L223" t="n">
        <v>0</v>
      </c>
      <c r="M223" t="n">
        <v>0</v>
      </c>
      <c r="N223" t="n">
        <v>0</v>
      </c>
      <c r="O223" t="n">
        <v>0</v>
      </c>
      <c r="P223" t="n">
        <v>0</v>
      </c>
      <c r="Q223" t="n">
        <v>0</v>
      </c>
      <c r="R223" s="2" t="inlineStr"/>
    </row>
    <row r="224" ht="15" customHeight="1">
      <c r="A224" t="inlineStr">
        <is>
          <t>A 26763-2019</t>
        </is>
      </c>
      <c r="B224" s="1" t="n">
        <v>43613</v>
      </c>
      <c r="C224" s="1" t="n">
        <v>45637</v>
      </c>
      <c r="D224" t="inlineStr">
        <is>
          <t>VÄSTERBOTTENS LÄN</t>
        </is>
      </c>
      <c r="E224" t="inlineStr">
        <is>
          <t>VILHELMINA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27254-2019</t>
        </is>
      </c>
      <c r="B225" s="1" t="n">
        <v>43614</v>
      </c>
      <c r="C225" s="1" t="n">
        <v>45637</v>
      </c>
      <c r="D225" t="inlineStr">
        <is>
          <t>VÄSTERBOTTENS LÄN</t>
        </is>
      </c>
      <c r="E225" t="inlineStr">
        <is>
          <t>VILHELMINA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27253-2019</t>
        </is>
      </c>
      <c r="B226" s="1" t="n">
        <v>43614</v>
      </c>
      <c r="C226" s="1" t="n">
        <v>45637</v>
      </c>
      <c r="D226" t="inlineStr">
        <is>
          <t>VÄSTERBOTTENS LÄN</t>
        </is>
      </c>
      <c r="E226" t="inlineStr">
        <is>
          <t>VILHELMINA</t>
        </is>
      </c>
      <c r="F226" t="inlineStr">
        <is>
          <t>SCA</t>
        </is>
      </c>
      <c r="G226" t="n">
        <v>5.3</v>
      </c>
      <c r="H226" t="n">
        <v>0</v>
      </c>
      <c r="I226" t="n">
        <v>0</v>
      </c>
      <c r="J226" t="n">
        <v>0</v>
      </c>
      <c r="K226" t="n">
        <v>0</v>
      </c>
      <c r="L226" t="n">
        <v>0</v>
      </c>
      <c r="M226" t="n">
        <v>0</v>
      </c>
      <c r="N226" t="n">
        <v>0</v>
      </c>
      <c r="O226" t="n">
        <v>0</v>
      </c>
      <c r="P226" t="n">
        <v>0</v>
      </c>
      <c r="Q226" t="n">
        <v>0</v>
      </c>
      <c r="R226" s="2" t="inlineStr"/>
    </row>
    <row r="227" ht="15" customHeight="1">
      <c r="A227" t="inlineStr">
        <is>
          <t>A 31612-2019</t>
        </is>
      </c>
      <c r="B227" s="1" t="n">
        <v>43640</v>
      </c>
      <c r="C227" s="1" t="n">
        <v>45637</v>
      </c>
      <c r="D227" t="inlineStr">
        <is>
          <t>VÄSTERBOTTENS LÄN</t>
        </is>
      </c>
      <c r="E227" t="inlineStr">
        <is>
          <t>VILHELMINA</t>
        </is>
      </c>
      <c r="G227" t="n">
        <v>1.3</v>
      </c>
      <c r="H227" t="n">
        <v>0</v>
      </c>
      <c r="I227" t="n">
        <v>0</v>
      </c>
      <c r="J227" t="n">
        <v>0</v>
      </c>
      <c r="K227" t="n">
        <v>0</v>
      </c>
      <c r="L227" t="n">
        <v>0</v>
      </c>
      <c r="M227" t="n">
        <v>0</v>
      </c>
      <c r="N227" t="n">
        <v>0</v>
      </c>
      <c r="O227" t="n">
        <v>0</v>
      </c>
      <c r="P227" t="n">
        <v>0</v>
      </c>
      <c r="Q227" t="n">
        <v>0</v>
      </c>
      <c r="R227" s="2" t="inlineStr"/>
    </row>
    <row r="228" ht="15" customHeight="1">
      <c r="A228" t="inlineStr">
        <is>
          <t>A 31615-2019</t>
        </is>
      </c>
      <c r="B228" s="1" t="n">
        <v>43640</v>
      </c>
      <c r="C228" s="1" t="n">
        <v>45637</v>
      </c>
      <c r="D228" t="inlineStr">
        <is>
          <t>VÄSTERBOTTENS LÄN</t>
        </is>
      </c>
      <c r="E228" t="inlineStr">
        <is>
          <t>VILHELMINA</t>
        </is>
      </c>
      <c r="G228" t="n">
        <v>3.1</v>
      </c>
      <c r="H228" t="n">
        <v>0</v>
      </c>
      <c r="I228" t="n">
        <v>0</v>
      </c>
      <c r="J228" t="n">
        <v>0</v>
      </c>
      <c r="K228" t="n">
        <v>0</v>
      </c>
      <c r="L228" t="n">
        <v>0</v>
      </c>
      <c r="M228" t="n">
        <v>0</v>
      </c>
      <c r="N228" t="n">
        <v>0</v>
      </c>
      <c r="O228" t="n">
        <v>0</v>
      </c>
      <c r="P228" t="n">
        <v>0</v>
      </c>
      <c r="Q228" t="n">
        <v>0</v>
      </c>
      <c r="R228" s="2" t="inlineStr"/>
    </row>
    <row r="229" ht="15" customHeight="1">
      <c r="A229" t="inlineStr">
        <is>
          <t>A 31610-2019</t>
        </is>
      </c>
      <c r="B229" s="1" t="n">
        <v>43640</v>
      </c>
      <c r="C229" s="1" t="n">
        <v>45637</v>
      </c>
      <c r="D229" t="inlineStr">
        <is>
          <t>VÄSTERBOTTENS LÄN</t>
        </is>
      </c>
      <c r="E229" t="inlineStr">
        <is>
          <t>VILHELMINA</t>
        </is>
      </c>
      <c r="G229" t="n">
        <v>1</v>
      </c>
      <c r="H229" t="n">
        <v>0</v>
      </c>
      <c r="I229" t="n">
        <v>0</v>
      </c>
      <c r="J229" t="n">
        <v>0</v>
      </c>
      <c r="K229" t="n">
        <v>0</v>
      </c>
      <c r="L229" t="n">
        <v>0</v>
      </c>
      <c r="M229" t="n">
        <v>0</v>
      </c>
      <c r="N229" t="n">
        <v>0</v>
      </c>
      <c r="O229" t="n">
        <v>0</v>
      </c>
      <c r="P229" t="n">
        <v>0</v>
      </c>
      <c r="Q229" t="n">
        <v>0</v>
      </c>
      <c r="R229" s="2" t="inlineStr"/>
    </row>
    <row r="230" ht="15" customHeight="1">
      <c r="A230" t="inlineStr">
        <is>
          <t>A 31607-2019</t>
        </is>
      </c>
      <c r="B230" s="1" t="n">
        <v>43640</v>
      </c>
      <c r="C230" s="1" t="n">
        <v>45637</v>
      </c>
      <c r="D230" t="inlineStr">
        <is>
          <t>VÄSTERBOTTENS LÄN</t>
        </is>
      </c>
      <c r="E230" t="inlineStr">
        <is>
          <t>VILHELMINA</t>
        </is>
      </c>
      <c r="G230" t="n">
        <v>0.4</v>
      </c>
      <c r="H230" t="n">
        <v>0</v>
      </c>
      <c r="I230" t="n">
        <v>0</v>
      </c>
      <c r="J230" t="n">
        <v>0</v>
      </c>
      <c r="K230" t="n">
        <v>0</v>
      </c>
      <c r="L230" t="n">
        <v>0</v>
      </c>
      <c r="M230" t="n">
        <v>0</v>
      </c>
      <c r="N230" t="n">
        <v>0</v>
      </c>
      <c r="O230" t="n">
        <v>0</v>
      </c>
      <c r="P230" t="n">
        <v>0</v>
      </c>
      <c r="Q230" t="n">
        <v>0</v>
      </c>
      <c r="R230" s="2" t="inlineStr"/>
    </row>
    <row r="231" ht="15" customHeight="1">
      <c r="A231" t="inlineStr">
        <is>
          <t>A 31845-2019</t>
        </is>
      </c>
      <c r="B231" s="1" t="n">
        <v>43640</v>
      </c>
      <c r="C231" s="1" t="n">
        <v>45637</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31511-2019</t>
        </is>
      </c>
      <c r="B232" s="1" t="n">
        <v>43641</v>
      </c>
      <c r="C232" s="1" t="n">
        <v>45637</v>
      </c>
      <c r="D232" t="inlineStr">
        <is>
          <t>VÄSTERBOTTENS LÄN</t>
        </is>
      </c>
      <c r="E232" t="inlineStr">
        <is>
          <t>VILHELMINA</t>
        </is>
      </c>
      <c r="G232" t="n">
        <v>21.8</v>
      </c>
      <c r="H232" t="n">
        <v>0</v>
      </c>
      <c r="I232" t="n">
        <v>0</v>
      </c>
      <c r="J232" t="n">
        <v>0</v>
      </c>
      <c r="K232" t="n">
        <v>0</v>
      </c>
      <c r="L232" t="n">
        <v>0</v>
      </c>
      <c r="M232" t="n">
        <v>0</v>
      </c>
      <c r="N232" t="n">
        <v>0</v>
      </c>
      <c r="O232" t="n">
        <v>0</v>
      </c>
      <c r="P232" t="n">
        <v>0</v>
      </c>
      <c r="Q232" t="n">
        <v>0</v>
      </c>
      <c r="R232" s="2" t="inlineStr"/>
    </row>
    <row r="233" ht="15" customHeight="1">
      <c r="A233" t="inlineStr">
        <is>
          <t>A 32731-2019</t>
        </is>
      </c>
      <c r="B233" s="1" t="n">
        <v>43648</v>
      </c>
      <c r="C233" s="1" t="n">
        <v>45637</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32787-2019</t>
        </is>
      </c>
      <c r="B234" s="1" t="n">
        <v>43648</v>
      </c>
      <c r="C234" s="1" t="n">
        <v>45637</v>
      </c>
      <c r="D234" t="inlineStr">
        <is>
          <t>VÄSTERBOTTENS LÄN</t>
        </is>
      </c>
      <c r="E234" t="inlineStr">
        <is>
          <t>VILHELMINA</t>
        </is>
      </c>
      <c r="G234" t="n">
        <v>9.4</v>
      </c>
      <c r="H234" t="n">
        <v>0</v>
      </c>
      <c r="I234" t="n">
        <v>0</v>
      </c>
      <c r="J234" t="n">
        <v>0</v>
      </c>
      <c r="K234" t="n">
        <v>0</v>
      </c>
      <c r="L234" t="n">
        <v>0</v>
      </c>
      <c r="M234" t="n">
        <v>0</v>
      </c>
      <c r="N234" t="n">
        <v>0</v>
      </c>
      <c r="O234" t="n">
        <v>0</v>
      </c>
      <c r="P234" t="n">
        <v>0</v>
      </c>
      <c r="Q234" t="n">
        <v>0</v>
      </c>
      <c r="R234" s="2" t="inlineStr"/>
    </row>
    <row r="235" ht="15" customHeight="1">
      <c r="A235" t="inlineStr">
        <is>
          <t>A 34370-2019</t>
        </is>
      </c>
      <c r="B235" s="1" t="n">
        <v>43656</v>
      </c>
      <c r="C235" s="1" t="n">
        <v>45637</v>
      </c>
      <c r="D235" t="inlineStr">
        <is>
          <t>VÄSTERBOTTENS LÄN</t>
        </is>
      </c>
      <c r="E235" t="inlineStr">
        <is>
          <t>VILHELMINA</t>
        </is>
      </c>
      <c r="G235" t="n">
        <v>20.7</v>
      </c>
      <c r="H235" t="n">
        <v>0</v>
      </c>
      <c r="I235" t="n">
        <v>0</v>
      </c>
      <c r="J235" t="n">
        <v>0</v>
      </c>
      <c r="K235" t="n">
        <v>0</v>
      </c>
      <c r="L235" t="n">
        <v>0</v>
      </c>
      <c r="M235" t="n">
        <v>0</v>
      </c>
      <c r="N235" t="n">
        <v>0</v>
      </c>
      <c r="O235" t="n">
        <v>0</v>
      </c>
      <c r="P235" t="n">
        <v>0</v>
      </c>
      <c r="Q235" t="n">
        <v>0</v>
      </c>
      <c r="R235" s="2" t="inlineStr"/>
    </row>
    <row r="236" ht="15" customHeight="1">
      <c r="A236" t="inlineStr">
        <is>
          <t>A 35051-2019</t>
        </is>
      </c>
      <c r="B236" s="1" t="n">
        <v>43661</v>
      </c>
      <c r="C236" s="1" t="n">
        <v>45637</v>
      </c>
      <c r="D236" t="inlineStr">
        <is>
          <t>VÄSTERBOTTENS LÄN</t>
        </is>
      </c>
      <c r="E236" t="inlineStr">
        <is>
          <t>VILHELMINA</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35054-2019</t>
        </is>
      </c>
      <c r="B237" s="1" t="n">
        <v>43661</v>
      </c>
      <c r="C237" s="1" t="n">
        <v>45637</v>
      </c>
      <c r="D237" t="inlineStr">
        <is>
          <t>VÄSTERBOTTENS LÄN</t>
        </is>
      </c>
      <c r="E237" t="inlineStr">
        <is>
          <t>VILHELMINA</t>
        </is>
      </c>
      <c r="F237" t="inlineStr">
        <is>
          <t>Sveaskog</t>
        </is>
      </c>
      <c r="G237" t="n">
        <v>18.8</v>
      </c>
      <c r="H237" t="n">
        <v>0</v>
      </c>
      <c r="I237" t="n">
        <v>0</v>
      </c>
      <c r="J237" t="n">
        <v>0</v>
      </c>
      <c r="K237" t="n">
        <v>0</v>
      </c>
      <c r="L237" t="n">
        <v>0</v>
      </c>
      <c r="M237" t="n">
        <v>0</v>
      </c>
      <c r="N237" t="n">
        <v>0</v>
      </c>
      <c r="O237" t="n">
        <v>0</v>
      </c>
      <c r="P237" t="n">
        <v>0</v>
      </c>
      <c r="Q237" t="n">
        <v>0</v>
      </c>
      <c r="R237" s="2" t="inlineStr"/>
    </row>
    <row r="238" ht="15" customHeight="1">
      <c r="A238" t="inlineStr">
        <is>
          <t>A 35723-2019</t>
        </is>
      </c>
      <c r="B238" s="1" t="n">
        <v>43664</v>
      </c>
      <c r="C238" s="1" t="n">
        <v>45637</v>
      </c>
      <c r="D238" t="inlineStr">
        <is>
          <t>VÄSTERBOTTENS LÄN</t>
        </is>
      </c>
      <c r="E238" t="inlineStr">
        <is>
          <t>VILHELMINA</t>
        </is>
      </c>
      <c r="G238" t="n">
        <v>16.8</v>
      </c>
      <c r="H238" t="n">
        <v>0</v>
      </c>
      <c r="I238" t="n">
        <v>0</v>
      </c>
      <c r="J238" t="n">
        <v>0</v>
      </c>
      <c r="K238" t="n">
        <v>0</v>
      </c>
      <c r="L238" t="n">
        <v>0</v>
      </c>
      <c r="M238" t="n">
        <v>0</v>
      </c>
      <c r="N238" t="n">
        <v>0</v>
      </c>
      <c r="O238" t="n">
        <v>0</v>
      </c>
      <c r="P238" t="n">
        <v>0</v>
      </c>
      <c r="Q238" t="n">
        <v>0</v>
      </c>
      <c r="R238" s="2" t="inlineStr"/>
    </row>
    <row r="239" ht="15" customHeight="1">
      <c r="A239" t="inlineStr">
        <is>
          <t>A 35737-2019</t>
        </is>
      </c>
      <c r="B239" s="1" t="n">
        <v>43664</v>
      </c>
      <c r="C239" s="1" t="n">
        <v>45637</v>
      </c>
      <c r="D239" t="inlineStr">
        <is>
          <t>VÄSTERBOTTENS LÄN</t>
        </is>
      </c>
      <c r="E239" t="inlineStr">
        <is>
          <t>VILHELMINA</t>
        </is>
      </c>
      <c r="G239" t="n">
        <v>22.4</v>
      </c>
      <c r="H239" t="n">
        <v>0</v>
      </c>
      <c r="I239" t="n">
        <v>0</v>
      </c>
      <c r="J239" t="n">
        <v>0</v>
      </c>
      <c r="K239" t="n">
        <v>0</v>
      </c>
      <c r="L239" t="n">
        <v>0</v>
      </c>
      <c r="M239" t="n">
        <v>0</v>
      </c>
      <c r="N239" t="n">
        <v>0</v>
      </c>
      <c r="O239" t="n">
        <v>0</v>
      </c>
      <c r="P239" t="n">
        <v>0</v>
      </c>
      <c r="Q239" t="n">
        <v>0</v>
      </c>
      <c r="R239" s="2" t="inlineStr"/>
    </row>
    <row r="240" ht="15" customHeight="1">
      <c r="A240" t="inlineStr">
        <is>
          <t>A 35726-2019</t>
        </is>
      </c>
      <c r="B240" s="1" t="n">
        <v>43664</v>
      </c>
      <c r="C240" s="1" t="n">
        <v>45637</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35731-2019</t>
        </is>
      </c>
      <c r="B241" s="1" t="n">
        <v>43665</v>
      </c>
      <c r="C241" s="1" t="n">
        <v>45637</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37824-2019</t>
        </is>
      </c>
      <c r="B242" s="1" t="n">
        <v>43682</v>
      </c>
      <c r="C242" s="1" t="n">
        <v>45637</v>
      </c>
      <c r="D242" t="inlineStr">
        <is>
          <t>VÄSTERBOTTENS LÄN</t>
        </is>
      </c>
      <c r="E242" t="inlineStr">
        <is>
          <t>VILHELMINA</t>
        </is>
      </c>
      <c r="G242" t="n">
        <v>14.2</v>
      </c>
      <c r="H242" t="n">
        <v>0</v>
      </c>
      <c r="I242" t="n">
        <v>0</v>
      </c>
      <c r="J242" t="n">
        <v>0</v>
      </c>
      <c r="K242" t="n">
        <v>0</v>
      </c>
      <c r="L242" t="n">
        <v>0</v>
      </c>
      <c r="M242" t="n">
        <v>0</v>
      </c>
      <c r="N242" t="n">
        <v>0</v>
      </c>
      <c r="O242" t="n">
        <v>0</v>
      </c>
      <c r="P242" t="n">
        <v>0</v>
      </c>
      <c r="Q242" t="n">
        <v>0</v>
      </c>
      <c r="R242" s="2" t="inlineStr"/>
    </row>
    <row r="243" ht="15" customHeight="1">
      <c r="A243" t="inlineStr">
        <is>
          <t>A 40282-2019</t>
        </is>
      </c>
      <c r="B243" s="1" t="n">
        <v>43690</v>
      </c>
      <c r="C243" s="1" t="n">
        <v>45637</v>
      </c>
      <c r="D243" t="inlineStr">
        <is>
          <t>VÄSTERBOTTENS LÄN</t>
        </is>
      </c>
      <c r="E243" t="inlineStr">
        <is>
          <t>VILHELMINA</t>
        </is>
      </c>
      <c r="G243" t="n">
        <v>13.2</v>
      </c>
      <c r="H243" t="n">
        <v>0</v>
      </c>
      <c r="I243" t="n">
        <v>0</v>
      </c>
      <c r="J243" t="n">
        <v>0</v>
      </c>
      <c r="K243" t="n">
        <v>0</v>
      </c>
      <c r="L243" t="n">
        <v>0</v>
      </c>
      <c r="M243" t="n">
        <v>0</v>
      </c>
      <c r="N243" t="n">
        <v>0</v>
      </c>
      <c r="O243" t="n">
        <v>0</v>
      </c>
      <c r="P243" t="n">
        <v>0</v>
      </c>
      <c r="Q243" t="n">
        <v>0</v>
      </c>
      <c r="R243" s="2" t="inlineStr"/>
    </row>
    <row r="244" ht="15" customHeight="1">
      <c r="A244" t="inlineStr">
        <is>
          <t>A 41782-2019</t>
        </is>
      </c>
      <c r="B244" s="1" t="n">
        <v>43699</v>
      </c>
      <c r="C244" s="1" t="n">
        <v>45637</v>
      </c>
      <c r="D244" t="inlineStr">
        <is>
          <t>VÄSTERBOTTENS LÄN</t>
        </is>
      </c>
      <c r="E244" t="inlineStr">
        <is>
          <t>VILHELMINA</t>
        </is>
      </c>
      <c r="F244" t="inlineStr">
        <is>
          <t>SCA</t>
        </is>
      </c>
      <c r="G244" t="n">
        <v>30.8</v>
      </c>
      <c r="H244" t="n">
        <v>0</v>
      </c>
      <c r="I244" t="n">
        <v>0</v>
      </c>
      <c r="J244" t="n">
        <v>0</v>
      </c>
      <c r="K244" t="n">
        <v>0</v>
      </c>
      <c r="L244" t="n">
        <v>0</v>
      </c>
      <c r="M244" t="n">
        <v>0</v>
      </c>
      <c r="N244" t="n">
        <v>0</v>
      </c>
      <c r="O244" t="n">
        <v>0</v>
      </c>
      <c r="P244" t="n">
        <v>0</v>
      </c>
      <c r="Q244" t="n">
        <v>0</v>
      </c>
      <c r="R244" s="2" t="inlineStr"/>
    </row>
    <row r="245" ht="15" customHeight="1">
      <c r="A245" t="inlineStr">
        <is>
          <t>A 42068-2019</t>
        </is>
      </c>
      <c r="B245" s="1" t="n">
        <v>43700</v>
      </c>
      <c r="C245" s="1" t="n">
        <v>45637</v>
      </c>
      <c r="D245" t="inlineStr">
        <is>
          <t>VÄSTERBOTTENS LÄN</t>
        </is>
      </c>
      <c r="E245" t="inlineStr">
        <is>
          <t>VILHELMINA</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42362-2019</t>
        </is>
      </c>
      <c r="B246" s="1" t="n">
        <v>43703</v>
      </c>
      <c r="C246" s="1" t="n">
        <v>45637</v>
      </c>
      <c r="D246" t="inlineStr">
        <is>
          <t>VÄSTERBOTTENS LÄN</t>
        </is>
      </c>
      <c r="E246" t="inlineStr">
        <is>
          <t>VILHELMINA</t>
        </is>
      </c>
      <c r="G246" t="n">
        <v>5.3</v>
      </c>
      <c r="H246" t="n">
        <v>0</v>
      </c>
      <c r="I246" t="n">
        <v>0</v>
      </c>
      <c r="J246" t="n">
        <v>0</v>
      </c>
      <c r="K246" t="n">
        <v>0</v>
      </c>
      <c r="L246" t="n">
        <v>0</v>
      </c>
      <c r="M246" t="n">
        <v>0</v>
      </c>
      <c r="N246" t="n">
        <v>0</v>
      </c>
      <c r="O246" t="n">
        <v>0</v>
      </c>
      <c r="P246" t="n">
        <v>0</v>
      </c>
      <c r="Q246" t="n">
        <v>0</v>
      </c>
      <c r="R246" s="2" t="inlineStr"/>
    </row>
    <row r="247" ht="15" customHeight="1">
      <c r="A247" t="inlineStr">
        <is>
          <t>A 44388-2019</t>
        </is>
      </c>
      <c r="B247" s="1" t="n">
        <v>43705</v>
      </c>
      <c r="C247" s="1" t="n">
        <v>45637</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44649-2019</t>
        </is>
      </c>
      <c r="B248" s="1" t="n">
        <v>43712</v>
      </c>
      <c r="C248" s="1" t="n">
        <v>45637</v>
      </c>
      <c r="D248" t="inlineStr">
        <is>
          <t>VÄSTERBOTTENS LÄN</t>
        </is>
      </c>
      <c r="E248" t="inlineStr">
        <is>
          <t>VILHELMINA</t>
        </is>
      </c>
      <c r="G248" t="n">
        <v>7.8</v>
      </c>
      <c r="H248" t="n">
        <v>0</v>
      </c>
      <c r="I248" t="n">
        <v>0</v>
      </c>
      <c r="J248" t="n">
        <v>0</v>
      </c>
      <c r="K248" t="n">
        <v>0</v>
      </c>
      <c r="L248" t="n">
        <v>0</v>
      </c>
      <c r="M248" t="n">
        <v>0</v>
      </c>
      <c r="N248" t="n">
        <v>0</v>
      </c>
      <c r="O248" t="n">
        <v>0</v>
      </c>
      <c r="P248" t="n">
        <v>0</v>
      </c>
      <c r="Q248" t="n">
        <v>0</v>
      </c>
      <c r="R248" s="2" t="inlineStr"/>
    </row>
    <row r="249" ht="15" customHeight="1">
      <c r="A249" t="inlineStr">
        <is>
          <t>A 45275-2019</t>
        </is>
      </c>
      <c r="B249" s="1" t="n">
        <v>43714</v>
      </c>
      <c r="C249" s="1" t="n">
        <v>45637</v>
      </c>
      <c r="D249" t="inlineStr">
        <is>
          <t>VÄSTERBOTTENS LÄN</t>
        </is>
      </c>
      <c r="E249" t="inlineStr">
        <is>
          <t>VILHELMINA</t>
        </is>
      </c>
      <c r="F249" t="inlineStr">
        <is>
          <t>SCA</t>
        </is>
      </c>
      <c r="G249" t="n">
        <v>10.3</v>
      </c>
      <c r="H249" t="n">
        <v>0</v>
      </c>
      <c r="I249" t="n">
        <v>0</v>
      </c>
      <c r="J249" t="n">
        <v>0</v>
      </c>
      <c r="K249" t="n">
        <v>0</v>
      </c>
      <c r="L249" t="n">
        <v>0</v>
      </c>
      <c r="M249" t="n">
        <v>0</v>
      </c>
      <c r="N249" t="n">
        <v>0</v>
      </c>
      <c r="O249" t="n">
        <v>0</v>
      </c>
      <c r="P249" t="n">
        <v>0</v>
      </c>
      <c r="Q249" t="n">
        <v>0</v>
      </c>
      <c r="R249" s="2" t="inlineStr"/>
    </row>
    <row r="250" ht="15" customHeight="1">
      <c r="A250" t="inlineStr">
        <is>
          <t>A 47388-2019</t>
        </is>
      </c>
      <c r="B250" s="1" t="n">
        <v>43721</v>
      </c>
      <c r="C250" s="1" t="n">
        <v>45637</v>
      </c>
      <c r="D250" t="inlineStr">
        <is>
          <t>VÄSTERBOTTENS LÄN</t>
        </is>
      </c>
      <c r="E250" t="inlineStr">
        <is>
          <t>VILHELMINA</t>
        </is>
      </c>
      <c r="F250" t="inlineStr">
        <is>
          <t>SCA</t>
        </is>
      </c>
      <c r="G250" t="n">
        <v>15.4</v>
      </c>
      <c r="H250" t="n">
        <v>0</v>
      </c>
      <c r="I250" t="n">
        <v>0</v>
      </c>
      <c r="J250" t="n">
        <v>0</v>
      </c>
      <c r="K250" t="n">
        <v>0</v>
      </c>
      <c r="L250" t="n">
        <v>0</v>
      </c>
      <c r="M250" t="n">
        <v>0</v>
      </c>
      <c r="N250" t="n">
        <v>0</v>
      </c>
      <c r="O250" t="n">
        <v>0</v>
      </c>
      <c r="P250" t="n">
        <v>0</v>
      </c>
      <c r="Q250" t="n">
        <v>0</v>
      </c>
      <c r="R250" s="2" t="inlineStr"/>
    </row>
    <row r="251" ht="15" customHeight="1">
      <c r="A251" t="inlineStr">
        <is>
          <t>A 48259-2019</t>
        </is>
      </c>
      <c r="B251" s="1" t="n">
        <v>43726</v>
      </c>
      <c r="C251" s="1" t="n">
        <v>45637</v>
      </c>
      <c r="D251" t="inlineStr">
        <is>
          <t>VÄSTERBOTTENS LÄN</t>
        </is>
      </c>
      <c r="E251" t="inlineStr">
        <is>
          <t>VILHELMINA</t>
        </is>
      </c>
      <c r="G251" t="n">
        <v>5.2</v>
      </c>
      <c r="H251" t="n">
        <v>0</v>
      </c>
      <c r="I251" t="n">
        <v>0</v>
      </c>
      <c r="J251" t="n">
        <v>0</v>
      </c>
      <c r="K251" t="n">
        <v>0</v>
      </c>
      <c r="L251" t="n">
        <v>0</v>
      </c>
      <c r="M251" t="n">
        <v>0</v>
      </c>
      <c r="N251" t="n">
        <v>0</v>
      </c>
      <c r="O251" t="n">
        <v>0</v>
      </c>
      <c r="P251" t="n">
        <v>0</v>
      </c>
      <c r="Q251" t="n">
        <v>0</v>
      </c>
      <c r="R251" s="2" t="inlineStr"/>
    </row>
    <row r="252" ht="15" customHeight="1">
      <c r="A252" t="inlineStr">
        <is>
          <t>A 49615-2019</t>
        </is>
      </c>
      <c r="B252" s="1" t="n">
        <v>43728</v>
      </c>
      <c r="C252" s="1" t="n">
        <v>45637</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49254-2019</t>
        </is>
      </c>
      <c r="B253" s="1" t="n">
        <v>43731</v>
      </c>
      <c r="C253" s="1" t="n">
        <v>45637</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50006-2019</t>
        </is>
      </c>
      <c r="B254" s="1" t="n">
        <v>43733</v>
      </c>
      <c r="C254" s="1" t="n">
        <v>45637</v>
      </c>
      <c r="D254" t="inlineStr">
        <is>
          <t>VÄSTERBOTTENS LÄN</t>
        </is>
      </c>
      <c r="E254" t="inlineStr">
        <is>
          <t>VILHELMINA</t>
        </is>
      </c>
      <c r="F254" t="inlineStr">
        <is>
          <t>SCA</t>
        </is>
      </c>
      <c r="G254" t="n">
        <v>12.6</v>
      </c>
      <c r="H254" t="n">
        <v>0</v>
      </c>
      <c r="I254" t="n">
        <v>0</v>
      </c>
      <c r="J254" t="n">
        <v>0</v>
      </c>
      <c r="K254" t="n">
        <v>0</v>
      </c>
      <c r="L254" t="n">
        <v>0</v>
      </c>
      <c r="M254" t="n">
        <v>0</v>
      </c>
      <c r="N254" t="n">
        <v>0</v>
      </c>
      <c r="O254" t="n">
        <v>0</v>
      </c>
      <c r="P254" t="n">
        <v>0</v>
      </c>
      <c r="Q254" t="n">
        <v>0</v>
      </c>
      <c r="R254" s="2" t="inlineStr"/>
    </row>
    <row r="255" ht="15" customHeight="1">
      <c r="A255" t="inlineStr">
        <is>
          <t>A 50009-2019</t>
        </is>
      </c>
      <c r="B255" s="1" t="n">
        <v>43733</v>
      </c>
      <c r="C255" s="1" t="n">
        <v>45637</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50008-2019</t>
        </is>
      </c>
      <c r="B256" s="1" t="n">
        <v>43733</v>
      </c>
      <c r="C256" s="1" t="n">
        <v>45637</v>
      </c>
      <c r="D256" t="inlineStr">
        <is>
          <t>VÄSTERBOTTENS LÄN</t>
        </is>
      </c>
      <c r="E256" t="inlineStr">
        <is>
          <t>VILHELMINA</t>
        </is>
      </c>
      <c r="F256" t="inlineStr">
        <is>
          <t>SCA</t>
        </is>
      </c>
      <c r="G256" t="n">
        <v>14.8</v>
      </c>
      <c r="H256" t="n">
        <v>0</v>
      </c>
      <c r="I256" t="n">
        <v>0</v>
      </c>
      <c r="J256" t="n">
        <v>0</v>
      </c>
      <c r="K256" t="n">
        <v>0</v>
      </c>
      <c r="L256" t="n">
        <v>0</v>
      </c>
      <c r="M256" t="n">
        <v>0</v>
      </c>
      <c r="N256" t="n">
        <v>0</v>
      </c>
      <c r="O256" t="n">
        <v>0</v>
      </c>
      <c r="P256" t="n">
        <v>0</v>
      </c>
      <c r="Q256" t="n">
        <v>0</v>
      </c>
      <c r="R256" s="2" t="inlineStr"/>
    </row>
    <row r="257" ht="15" customHeight="1">
      <c r="A257" t="inlineStr">
        <is>
          <t>A 51094-2019</t>
        </is>
      </c>
      <c r="B257" s="1" t="n">
        <v>43739</v>
      </c>
      <c r="C257" s="1" t="n">
        <v>45637</v>
      </c>
      <c r="D257" t="inlineStr">
        <is>
          <t>VÄSTERBOTTENS LÄN</t>
        </is>
      </c>
      <c r="E257" t="inlineStr">
        <is>
          <t>VILHELMINA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51895-2019</t>
        </is>
      </c>
      <c r="B258" s="1" t="n">
        <v>43741</v>
      </c>
      <c r="C258" s="1" t="n">
        <v>45637</v>
      </c>
      <c r="D258" t="inlineStr">
        <is>
          <t>VÄSTERBOTTENS LÄN</t>
        </is>
      </c>
      <c r="E258" t="inlineStr">
        <is>
          <t>VILHELMINA</t>
        </is>
      </c>
      <c r="F258" t="inlineStr">
        <is>
          <t>Allmännings- och besparingsskogar</t>
        </is>
      </c>
      <c r="G258" t="n">
        <v>10.5</v>
      </c>
      <c r="H258" t="n">
        <v>0</v>
      </c>
      <c r="I258" t="n">
        <v>0</v>
      </c>
      <c r="J258" t="n">
        <v>0</v>
      </c>
      <c r="K258" t="n">
        <v>0</v>
      </c>
      <c r="L258" t="n">
        <v>0</v>
      </c>
      <c r="M258" t="n">
        <v>0</v>
      </c>
      <c r="N258" t="n">
        <v>0</v>
      </c>
      <c r="O258" t="n">
        <v>0</v>
      </c>
      <c r="P258" t="n">
        <v>0</v>
      </c>
      <c r="Q258" t="n">
        <v>0</v>
      </c>
      <c r="R258" s="2" t="inlineStr"/>
    </row>
    <row r="259" ht="15" customHeight="1">
      <c r="A259" t="inlineStr">
        <is>
          <t>A 54070-2019</t>
        </is>
      </c>
      <c r="B259" s="1" t="n">
        <v>43746</v>
      </c>
      <c r="C259" s="1" t="n">
        <v>45637</v>
      </c>
      <c r="D259" t="inlineStr">
        <is>
          <t>VÄSTERBOTTENS LÄN</t>
        </is>
      </c>
      <c r="E259" t="inlineStr">
        <is>
          <t>VILHELMINA</t>
        </is>
      </c>
      <c r="G259" t="n">
        <v>2.1</v>
      </c>
      <c r="H259" t="n">
        <v>0</v>
      </c>
      <c r="I259" t="n">
        <v>0</v>
      </c>
      <c r="J259" t="n">
        <v>0</v>
      </c>
      <c r="K259" t="n">
        <v>0</v>
      </c>
      <c r="L259" t="n">
        <v>0</v>
      </c>
      <c r="M259" t="n">
        <v>0</v>
      </c>
      <c r="N259" t="n">
        <v>0</v>
      </c>
      <c r="O259" t="n">
        <v>0</v>
      </c>
      <c r="P259" t="n">
        <v>0</v>
      </c>
      <c r="Q259" t="n">
        <v>0</v>
      </c>
      <c r="R259" s="2" t="inlineStr"/>
    </row>
    <row r="260" ht="15" customHeight="1">
      <c r="A260" t="inlineStr">
        <is>
          <t>A 53750-2019</t>
        </is>
      </c>
      <c r="B260" s="1" t="n">
        <v>43749</v>
      </c>
      <c r="C260" s="1" t="n">
        <v>45637</v>
      </c>
      <c r="D260" t="inlineStr">
        <is>
          <t>VÄSTERBOTTENS LÄN</t>
        </is>
      </c>
      <c r="E260" t="inlineStr">
        <is>
          <t>VILHELMINA</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53757-2019</t>
        </is>
      </c>
      <c r="B261" s="1" t="n">
        <v>43749</v>
      </c>
      <c r="C261" s="1" t="n">
        <v>45637</v>
      </c>
      <c r="D261" t="inlineStr">
        <is>
          <t>VÄSTERBOTTENS LÄN</t>
        </is>
      </c>
      <c r="E261" t="inlineStr">
        <is>
          <t>VILHELMINA</t>
        </is>
      </c>
      <c r="F261" t="inlineStr">
        <is>
          <t>SCA</t>
        </is>
      </c>
      <c r="G261" t="n">
        <v>12.4</v>
      </c>
      <c r="H261" t="n">
        <v>0</v>
      </c>
      <c r="I261" t="n">
        <v>0</v>
      </c>
      <c r="J261" t="n">
        <v>0</v>
      </c>
      <c r="K261" t="n">
        <v>0</v>
      </c>
      <c r="L261" t="n">
        <v>0</v>
      </c>
      <c r="M261" t="n">
        <v>0</v>
      </c>
      <c r="N261" t="n">
        <v>0</v>
      </c>
      <c r="O261" t="n">
        <v>0</v>
      </c>
      <c r="P261" t="n">
        <v>0</v>
      </c>
      <c r="Q261" t="n">
        <v>0</v>
      </c>
      <c r="R261" s="2" t="inlineStr"/>
    </row>
    <row r="262" ht="15" customHeight="1">
      <c r="A262" t="inlineStr">
        <is>
          <t>A 54184-2019</t>
        </is>
      </c>
      <c r="B262" s="1" t="n">
        <v>43753</v>
      </c>
      <c r="C262" s="1" t="n">
        <v>45637</v>
      </c>
      <c r="D262" t="inlineStr">
        <is>
          <t>VÄSTERBOTTENS LÄN</t>
        </is>
      </c>
      <c r="E262" t="inlineStr">
        <is>
          <t>VILHELMINA</t>
        </is>
      </c>
      <c r="F262" t="inlineStr">
        <is>
          <t>Kommuner</t>
        </is>
      </c>
      <c r="G262" t="n">
        <v>10.6</v>
      </c>
      <c r="H262" t="n">
        <v>0</v>
      </c>
      <c r="I262" t="n">
        <v>0</v>
      </c>
      <c r="J262" t="n">
        <v>0</v>
      </c>
      <c r="K262" t="n">
        <v>0</v>
      </c>
      <c r="L262" t="n">
        <v>0</v>
      </c>
      <c r="M262" t="n">
        <v>0</v>
      </c>
      <c r="N262" t="n">
        <v>0</v>
      </c>
      <c r="O262" t="n">
        <v>0</v>
      </c>
      <c r="P262" t="n">
        <v>0</v>
      </c>
      <c r="Q262" t="n">
        <v>0</v>
      </c>
      <c r="R262" s="2" t="inlineStr"/>
    </row>
    <row r="263" ht="15" customHeight="1">
      <c r="A263" t="inlineStr">
        <is>
          <t>A 54985-2019</t>
        </is>
      </c>
      <c r="B263" s="1" t="n">
        <v>43755</v>
      </c>
      <c r="C263" s="1" t="n">
        <v>45637</v>
      </c>
      <c r="D263" t="inlineStr">
        <is>
          <t>VÄSTERBOTTENS LÄN</t>
        </is>
      </c>
      <c r="E263" t="inlineStr">
        <is>
          <t>VILHELMINA</t>
        </is>
      </c>
      <c r="G263" t="n">
        <v>12.2</v>
      </c>
      <c r="H263" t="n">
        <v>0</v>
      </c>
      <c r="I263" t="n">
        <v>0</v>
      </c>
      <c r="J263" t="n">
        <v>0</v>
      </c>
      <c r="K263" t="n">
        <v>0</v>
      </c>
      <c r="L263" t="n">
        <v>0</v>
      </c>
      <c r="M263" t="n">
        <v>0</v>
      </c>
      <c r="N263" t="n">
        <v>0</v>
      </c>
      <c r="O263" t="n">
        <v>0</v>
      </c>
      <c r="P263" t="n">
        <v>0</v>
      </c>
      <c r="Q263" t="n">
        <v>0</v>
      </c>
      <c r="R263" s="2" t="inlineStr"/>
    </row>
    <row r="264" ht="15" customHeight="1">
      <c r="A264" t="inlineStr">
        <is>
          <t>A 57906-2019</t>
        </is>
      </c>
      <c r="B264" s="1" t="n">
        <v>43762</v>
      </c>
      <c r="C264" s="1" t="n">
        <v>45637</v>
      </c>
      <c r="D264" t="inlineStr">
        <is>
          <t>VÄSTERBOTTENS LÄN</t>
        </is>
      </c>
      <c r="E264" t="inlineStr">
        <is>
          <t>VILHELMINA</t>
        </is>
      </c>
      <c r="F264" t="inlineStr">
        <is>
          <t>Allmännings- och besparingsskogar</t>
        </is>
      </c>
      <c r="G264" t="n">
        <v>5.3</v>
      </c>
      <c r="H264" t="n">
        <v>0</v>
      </c>
      <c r="I264" t="n">
        <v>0</v>
      </c>
      <c r="J264" t="n">
        <v>0</v>
      </c>
      <c r="K264" t="n">
        <v>0</v>
      </c>
      <c r="L264" t="n">
        <v>0</v>
      </c>
      <c r="M264" t="n">
        <v>0</v>
      </c>
      <c r="N264" t="n">
        <v>0</v>
      </c>
      <c r="O264" t="n">
        <v>0</v>
      </c>
      <c r="P264" t="n">
        <v>0</v>
      </c>
      <c r="Q264" t="n">
        <v>0</v>
      </c>
      <c r="R264" s="2" t="inlineStr"/>
    </row>
    <row r="265" ht="15" customHeight="1">
      <c r="A265" t="inlineStr">
        <is>
          <t>A 57940-2019</t>
        </is>
      </c>
      <c r="B265" s="1" t="n">
        <v>43762</v>
      </c>
      <c r="C265" s="1" t="n">
        <v>45637</v>
      </c>
      <c r="D265" t="inlineStr">
        <is>
          <t>VÄSTERBOTTENS LÄN</t>
        </is>
      </c>
      <c r="E265" t="inlineStr">
        <is>
          <t>VILHELMINA</t>
        </is>
      </c>
      <c r="F265" t="inlineStr">
        <is>
          <t>Allmännings- och besparingsskogar</t>
        </is>
      </c>
      <c r="G265" t="n">
        <v>2.2</v>
      </c>
      <c r="H265" t="n">
        <v>0</v>
      </c>
      <c r="I265" t="n">
        <v>0</v>
      </c>
      <c r="J265" t="n">
        <v>0</v>
      </c>
      <c r="K265" t="n">
        <v>0</v>
      </c>
      <c r="L265" t="n">
        <v>0</v>
      </c>
      <c r="M265" t="n">
        <v>0</v>
      </c>
      <c r="N265" t="n">
        <v>0</v>
      </c>
      <c r="O265" t="n">
        <v>0</v>
      </c>
      <c r="P265" t="n">
        <v>0</v>
      </c>
      <c r="Q265" t="n">
        <v>0</v>
      </c>
      <c r="R265" s="2" t="inlineStr"/>
    </row>
    <row r="266" ht="15" customHeight="1">
      <c r="A266" t="inlineStr">
        <is>
          <t>A 56833-2019</t>
        </is>
      </c>
      <c r="B266" s="1" t="n">
        <v>43765</v>
      </c>
      <c r="C266" s="1" t="n">
        <v>45637</v>
      </c>
      <c r="D266" t="inlineStr">
        <is>
          <t>VÄSTERBOTTENS LÄN</t>
        </is>
      </c>
      <c r="E266" t="inlineStr">
        <is>
          <t>VILHELMINA</t>
        </is>
      </c>
      <c r="G266" t="n">
        <v>1.5</v>
      </c>
      <c r="H266" t="n">
        <v>0</v>
      </c>
      <c r="I266" t="n">
        <v>0</v>
      </c>
      <c r="J266" t="n">
        <v>0</v>
      </c>
      <c r="K266" t="n">
        <v>0</v>
      </c>
      <c r="L266" t="n">
        <v>0</v>
      </c>
      <c r="M266" t="n">
        <v>0</v>
      </c>
      <c r="N266" t="n">
        <v>0</v>
      </c>
      <c r="O266" t="n">
        <v>0</v>
      </c>
      <c r="P266" t="n">
        <v>0</v>
      </c>
      <c r="Q266" t="n">
        <v>0</v>
      </c>
      <c r="R266" s="2" t="inlineStr"/>
    </row>
    <row r="267" ht="15" customHeight="1">
      <c r="A267" t="inlineStr">
        <is>
          <t>A 59021-2019</t>
        </is>
      </c>
      <c r="B267" s="1" t="n">
        <v>43774</v>
      </c>
      <c r="C267" s="1" t="n">
        <v>45637</v>
      </c>
      <c r="D267" t="inlineStr">
        <is>
          <t>VÄSTERBOTTENS LÄN</t>
        </is>
      </c>
      <c r="E267" t="inlineStr">
        <is>
          <t>VILHELMINA</t>
        </is>
      </c>
      <c r="G267" t="n">
        <v>6.8</v>
      </c>
      <c r="H267" t="n">
        <v>0</v>
      </c>
      <c r="I267" t="n">
        <v>0</v>
      </c>
      <c r="J267" t="n">
        <v>0</v>
      </c>
      <c r="K267" t="n">
        <v>0</v>
      </c>
      <c r="L267" t="n">
        <v>0</v>
      </c>
      <c r="M267" t="n">
        <v>0</v>
      </c>
      <c r="N267" t="n">
        <v>0</v>
      </c>
      <c r="O267" t="n">
        <v>0</v>
      </c>
      <c r="P267" t="n">
        <v>0</v>
      </c>
      <c r="Q267" t="n">
        <v>0</v>
      </c>
      <c r="R267" s="2" t="inlineStr"/>
    </row>
    <row r="268" ht="15" customHeight="1">
      <c r="A268" t="inlineStr">
        <is>
          <t>A 58962-2019</t>
        </is>
      </c>
      <c r="B268" s="1" t="n">
        <v>43774</v>
      </c>
      <c r="C268" s="1" t="n">
        <v>45637</v>
      </c>
      <c r="D268" t="inlineStr">
        <is>
          <t>VÄSTERBOTTENS LÄN</t>
        </is>
      </c>
      <c r="E268" t="inlineStr">
        <is>
          <t>VILHELMINA</t>
        </is>
      </c>
      <c r="G268" t="n">
        <v>2.4</v>
      </c>
      <c r="H268" t="n">
        <v>0</v>
      </c>
      <c r="I268" t="n">
        <v>0</v>
      </c>
      <c r="J268" t="n">
        <v>0</v>
      </c>
      <c r="K268" t="n">
        <v>0</v>
      </c>
      <c r="L268" t="n">
        <v>0</v>
      </c>
      <c r="M268" t="n">
        <v>0</v>
      </c>
      <c r="N268" t="n">
        <v>0</v>
      </c>
      <c r="O268" t="n">
        <v>0</v>
      </c>
      <c r="P268" t="n">
        <v>0</v>
      </c>
      <c r="Q268" t="n">
        <v>0</v>
      </c>
      <c r="R268" s="2" t="inlineStr"/>
    </row>
    <row r="269" ht="15" customHeight="1">
      <c r="A269" t="inlineStr">
        <is>
          <t>A 59052-2019</t>
        </is>
      </c>
      <c r="B269" s="1" t="n">
        <v>43774</v>
      </c>
      <c r="C269" s="1" t="n">
        <v>45637</v>
      </c>
      <c r="D269" t="inlineStr">
        <is>
          <t>VÄSTERBOTTENS LÄN</t>
        </is>
      </c>
      <c r="E269" t="inlineStr">
        <is>
          <t>VILHELMINA</t>
        </is>
      </c>
      <c r="G269" t="n">
        <v>0.2</v>
      </c>
      <c r="H269" t="n">
        <v>0</v>
      </c>
      <c r="I269" t="n">
        <v>0</v>
      </c>
      <c r="J269" t="n">
        <v>0</v>
      </c>
      <c r="K269" t="n">
        <v>0</v>
      </c>
      <c r="L269" t="n">
        <v>0</v>
      </c>
      <c r="M269" t="n">
        <v>0</v>
      </c>
      <c r="N269" t="n">
        <v>0</v>
      </c>
      <c r="O269" t="n">
        <v>0</v>
      </c>
      <c r="P269" t="n">
        <v>0</v>
      </c>
      <c r="Q269" t="n">
        <v>0</v>
      </c>
      <c r="R269" s="2" t="inlineStr"/>
    </row>
    <row r="270" ht="15" customHeight="1">
      <c r="A270" t="inlineStr">
        <is>
          <t>A 59165-2019</t>
        </is>
      </c>
      <c r="B270" s="1" t="n">
        <v>43775</v>
      </c>
      <c r="C270" s="1" t="n">
        <v>45637</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63027-2019</t>
        </is>
      </c>
      <c r="B271" s="1" t="n">
        <v>43791</v>
      </c>
      <c r="C271" s="1" t="n">
        <v>45637</v>
      </c>
      <c r="D271" t="inlineStr">
        <is>
          <t>VÄSTERBOTTENS LÄN</t>
        </is>
      </c>
      <c r="E271" t="inlineStr">
        <is>
          <t>VILHELMINA</t>
        </is>
      </c>
      <c r="G271" t="n">
        <v>0.5</v>
      </c>
      <c r="H271" t="n">
        <v>0</v>
      </c>
      <c r="I271" t="n">
        <v>0</v>
      </c>
      <c r="J271" t="n">
        <v>0</v>
      </c>
      <c r="K271" t="n">
        <v>0</v>
      </c>
      <c r="L271" t="n">
        <v>0</v>
      </c>
      <c r="M271" t="n">
        <v>0</v>
      </c>
      <c r="N271" t="n">
        <v>0</v>
      </c>
      <c r="O271" t="n">
        <v>0</v>
      </c>
      <c r="P271" t="n">
        <v>0</v>
      </c>
      <c r="Q271" t="n">
        <v>0</v>
      </c>
      <c r="R271" s="2" t="inlineStr"/>
    </row>
    <row r="272" ht="15" customHeight="1">
      <c r="A272" t="inlineStr">
        <is>
          <t>A 66570-2019</t>
        </is>
      </c>
      <c r="B272" s="1" t="n">
        <v>43803</v>
      </c>
      <c r="C272" s="1" t="n">
        <v>45637</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65885-2019</t>
        </is>
      </c>
      <c r="B273" s="1" t="n">
        <v>43805</v>
      </c>
      <c r="C273" s="1" t="n">
        <v>45637</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66311-2019</t>
        </is>
      </c>
      <c r="B274" s="1" t="n">
        <v>43808</v>
      </c>
      <c r="C274" s="1" t="n">
        <v>45637</v>
      </c>
      <c r="D274" t="inlineStr">
        <is>
          <t>VÄSTERBOTTENS LÄN</t>
        </is>
      </c>
      <c r="E274" t="inlineStr">
        <is>
          <t>VILHELMINA</t>
        </is>
      </c>
      <c r="G274" t="n">
        <v>72.90000000000001</v>
      </c>
      <c r="H274" t="n">
        <v>0</v>
      </c>
      <c r="I274" t="n">
        <v>0</v>
      </c>
      <c r="J274" t="n">
        <v>0</v>
      </c>
      <c r="K274" t="n">
        <v>0</v>
      </c>
      <c r="L274" t="n">
        <v>0</v>
      </c>
      <c r="M274" t="n">
        <v>0</v>
      </c>
      <c r="N274" t="n">
        <v>0</v>
      </c>
      <c r="O274" t="n">
        <v>0</v>
      </c>
      <c r="P274" t="n">
        <v>0</v>
      </c>
      <c r="Q274" t="n">
        <v>0</v>
      </c>
      <c r="R274" s="2" t="inlineStr"/>
    </row>
    <row r="275" ht="15" customHeight="1">
      <c r="A275" t="inlineStr">
        <is>
          <t>A 66720-2019</t>
        </is>
      </c>
      <c r="B275" s="1" t="n">
        <v>43810</v>
      </c>
      <c r="C275" s="1" t="n">
        <v>45637</v>
      </c>
      <c r="D275" t="inlineStr">
        <is>
          <t>VÄSTERBOTTENS LÄN</t>
        </is>
      </c>
      <c r="E275" t="inlineStr">
        <is>
          <t>VILHELMINA</t>
        </is>
      </c>
      <c r="G275" t="n">
        <v>0.5</v>
      </c>
      <c r="H275" t="n">
        <v>0</v>
      </c>
      <c r="I275" t="n">
        <v>0</v>
      </c>
      <c r="J275" t="n">
        <v>0</v>
      </c>
      <c r="K275" t="n">
        <v>0</v>
      </c>
      <c r="L275" t="n">
        <v>0</v>
      </c>
      <c r="M275" t="n">
        <v>0</v>
      </c>
      <c r="N275" t="n">
        <v>0</v>
      </c>
      <c r="O275" t="n">
        <v>0</v>
      </c>
      <c r="P275" t="n">
        <v>0</v>
      </c>
      <c r="Q275" t="n">
        <v>0</v>
      </c>
      <c r="R275" s="2" t="inlineStr"/>
    </row>
    <row r="276" ht="15" customHeight="1">
      <c r="A276" t="inlineStr">
        <is>
          <t>A 67814-2019</t>
        </is>
      </c>
      <c r="B276" s="1" t="n">
        <v>43815</v>
      </c>
      <c r="C276" s="1" t="n">
        <v>45637</v>
      </c>
      <c r="D276" t="inlineStr">
        <is>
          <t>VÄSTERBOTTENS LÄN</t>
        </is>
      </c>
      <c r="E276" t="inlineStr">
        <is>
          <t>VILHELMINA</t>
        </is>
      </c>
      <c r="G276" t="n">
        <v>2.9</v>
      </c>
      <c r="H276" t="n">
        <v>0</v>
      </c>
      <c r="I276" t="n">
        <v>0</v>
      </c>
      <c r="J276" t="n">
        <v>0</v>
      </c>
      <c r="K276" t="n">
        <v>0</v>
      </c>
      <c r="L276" t="n">
        <v>0</v>
      </c>
      <c r="M276" t="n">
        <v>0</v>
      </c>
      <c r="N276" t="n">
        <v>0</v>
      </c>
      <c r="O276" t="n">
        <v>0</v>
      </c>
      <c r="P276" t="n">
        <v>0</v>
      </c>
      <c r="Q276" t="n">
        <v>0</v>
      </c>
      <c r="R276" s="2" t="inlineStr"/>
    </row>
    <row r="277" ht="15" customHeight="1">
      <c r="A277" t="inlineStr">
        <is>
          <t>A 219-2020</t>
        </is>
      </c>
      <c r="B277" s="1" t="n">
        <v>43833</v>
      </c>
      <c r="C277" s="1" t="n">
        <v>45637</v>
      </c>
      <c r="D277" t="inlineStr">
        <is>
          <t>VÄSTERBOTTENS LÄN</t>
        </is>
      </c>
      <c r="E277" t="inlineStr">
        <is>
          <t>VILHELMINA</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217-2020</t>
        </is>
      </c>
      <c r="B278" s="1" t="n">
        <v>43833</v>
      </c>
      <c r="C278" s="1" t="n">
        <v>45637</v>
      </c>
      <c r="D278" t="inlineStr">
        <is>
          <t>VÄSTERBOTTENS LÄN</t>
        </is>
      </c>
      <c r="E278" t="inlineStr">
        <is>
          <t>VILHELMINA</t>
        </is>
      </c>
      <c r="F278" t="inlineStr">
        <is>
          <t>SCA</t>
        </is>
      </c>
      <c r="G278" t="n">
        <v>5.4</v>
      </c>
      <c r="H278" t="n">
        <v>0</v>
      </c>
      <c r="I278" t="n">
        <v>0</v>
      </c>
      <c r="J278" t="n">
        <v>0</v>
      </c>
      <c r="K278" t="n">
        <v>0</v>
      </c>
      <c r="L278" t="n">
        <v>0</v>
      </c>
      <c r="M278" t="n">
        <v>0</v>
      </c>
      <c r="N278" t="n">
        <v>0</v>
      </c>
      <c r="O278" t="n">
        <v>0</v>
      </c>
      <c r="P278" t="n">
        <v>0</v>
      </c>
      <c r="Q278" t="n">
        <v>0</v>
      </c>
      <c r="R278" s="2" t="inlineStr"/>
    </row>
    <row r="279" ht="15" customHeight="1">
      <c r="A279" t="inlineStr">
        <is>
          <t>A 226-2020</t>
        </is>
      </c>
      <c r="B279" s="1" t="n">
        <v>43833</v>
      </c>
      <c r="C279" s="1" t="n">
        <v>45637</v>
      </c>
      <c r="D279" t="inlineStr">
        <is>
          <t>VÄSTERBOTTENS LÄN</t>
        </is>
      </c>
      <c r="E279" t="inlineStr">
        <is>
          <t>VILHELMINA</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300-2020</t>
        </is>
      </c>
      <c r="B280" s="1" t="n">
        <v>43837</v>
      </c>
      <c r="C280" s="1" t="n">
        <v>45637</v>
      </c>
      <c r="D280" t="inlineStr">
        <is>
          <t>VÄSTERBOTTENS LÄN</t>
        </is>
      </c>
      <c r="E280" t="inlineStr">
        <is>
          <t>VILHELMINA</t>
        </is>
      </c>
      <c r="G280" t="n">
        <v>7.6</v>
      </c>
      <c r="H280" t="n">
        <v>0</v>
      </c>
      <c r="I280" t="n">
        <v>0</v>
      </c>
      <c r="J280" t="n">
        <v>0</v>
      </c>
      <c r="K280" t="n">
        <v>0</v>
      </c>
      <c r="L280" t="n">
        <v>0</v>
      </c>
      <c r="M280" t="n">
        <v>0</v>
      </c>
      <c r="N280" t="n">
        <v>0</v>
      </c>
      <c r="O280" t="n">
        <v>0</v>
      </c>
      <c r="P280" t="n">
        <v>0</v>
      </c>
      <c r="Q280" t="n">
        <v>0</v>
      </c>
      <c r="R280" s="2" t="inlineStr"/>
    </row>
    <row r="281" ht="15" customHeight="1">
      <c r="A281" t="inlineStr">
        <is>
          <t>A 1235-2020</t>
        </is>
      </c>
      <c r="B281" s="1" t="n">
        <v>43837</v>
      </c>
      <c r="C281" s="1" t="n">
        <v>45637</v>
      </c>
      <c r="D281" t="inlineStr">
        <is>
          <t>VÄSTERBOTTENS LÄN</t>
        </is>
      </c>
      <c r="E281" t="inlineStr">
        <is>
          <t>VILHELMINA</t>
        </is>
      </c>
      <c r="G281" t="n">
        <v>5</v>
      </c>
      <c r="H281" t="n">
        <v>0</v>
      </c>
      <c r="I281" t="n">
        <v>0</v>
      </c>
      <c r="J281" t="n">
        <v>0</v>
      </c>
      <c r="K281" t="n">
        <v>0</v>
      </c>
      <c r="L281" t="n">
        <v>0</v>
      </c>
      <c r="M281" t="n">
        <v>0</v>
      </c>
      <c r="N281" t="n">
        <v>0</v>
      </c>
      <c r="O281" t="n">
        <v>0</v>
      </c>
      <c r="P281" t="n">
        <v>0</v>
      </c>
      <c r="Q281" t="n">
        <v>0</v>
      </c>
      <c r="R281" s="2" t="inlineStr"/>
    </row>
    <row r="282" ht="15" customHeight="1">
      <c r="A282" t="inlineStr">
        <is>
          <t>A 802-2020</t>
        </is>
      </c>
      <c r="B282" s="1" t="n">
        <v>43838</v>
      </c>
      <c r="C282" s="1" t="n">
        <v>45637</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1992-2020</t>
        </is>
      </c>
      <c r="B283" s="1" t="n">
        <v>43838</v>
      </c>
      <c r="C283" s="1" t="n">
        <v>45637</v>
      </c>
      <c r="D283" t="inlineStr">
        <is>
          <t>VÄSTERBOTTENS LÄN</t>
        </is>
      </c>
      <c r="E283" t="inlineStr">
        <is>
          <t>VILHELMINA</t>
        </is>
      </c>
      <c r="G283" t="n">
        <v>2.3</v>
      </c>
      <c r="H283" t="n">
        <v>0</v>
      </c>
      <c r="I283" t="n">
        <v>0</v>
      </c>
      <c r="J283" t="n">
        <v>0</v>
      </c>
      <c r="K283" t="n">
        <v>0</v>
      </c>
      <c r="L283" t="n">
        <v>0</v>
      </c>
      <c r="M283" t="n">
        <v>0</v>
      </c>
      <c r="N283" t="n">
        <v>0</v>
      </c>
      <c r="O283" t="n">
        <v>0</v>
      </c>
      <c r="P283" t="n">
        <v>0</v>
      </c>
      <c r="Q283" t="n">
        <v>0</v>
      </c>
      <c r="R283" s="2" t="inlineStr"/>
    </row>
    <row r="284" ht="15" customHeight="1">
      <c r="A284" t="inlineStr">
        <is>
          <t>A 3074-2020</t>
        </is>
      </c>
      <c r="B284" s="1" t="n">
        <v>43851</v>
      </c>
      <c r="C284" s="1" t="n">
        <v>45637</v>
      </c>
      <c r="D284" t="inlineStr">
        <is>
          <t>VÄSTERBOTTENS LÄN</t>
        </is>
      </c>
      <c r="E284" t="inlineStr">
        <is>
          <t>VILHELMINA</t>
        </is>
      </c>
      <c r="G284" t="n">
        <v>2.3</v>
      </c>
      <c r="H284" t="n">
        <v>0</v>
      </c>
      <c r="I284" t="n">
        <v>0</v>
      </c>
      <c r="J284" t="n">
        <v>0</v>
      </c>
      <c r="K284" t="n">
        <v>0</v>
      </c>
      <c r="L284" t="n">
        <v>0</v>
      </c>
      <c r="M284" t="n">
        <v>0</v>
      </c>
      <c r="N284" t="n">
        <v>0</v>
      </c>
      <c r="O284" t="n">
        <v>0</v>
      </c>
      <c r="P284" t="n">
        <v>0</v>
      </c>
      <c r="Q284" t="n">
        <v>0</v>
      </c>
      <c r="R284" s="2" t="inlineStr"/>
    </row>
    <row r="285" ht="15" customHeight="1">
      <c r="A285" t="inlineStr">
        <is>
          <t>A 3343-2020</t>
        </is>
      </c>
      <c r="B285" s="1" t="n">
        <v>43852</v>
      </c>
      <c r="C285" s="1" t="n">
        <v>45637</v>
      </c>
      <c r="D285" t="inlineStr">
        <is>
          <t>VÄSTERBOTTENS LÄN</t>
        </is>
      </c>
      <c r="E285" t="inlineStr">
        <is>
          <t>VILHELMINA</t>
        </is>
      </c>
      <c r="F285" t="inlineStr">
        <is>
          <t>Sveaskog</t>
        </is>
      </c>
      <c r="G285" t="n">
        <v>6.1</v>
      </c>
      <c r="H285" t="n">
        <v>0</v>
      </c>
      <c r="I285" t="n">
        <v>0</v>
      </c>
      <c r="J285" t="n">
        <v>0</v>
      </c>
      <c r="K285" t="n">
        <v>0</v>
      </c>
      <c r="L285" t="n">
        <v>0</v>
      </c>
      <c r="M285" t="n">
        <v>0</v>
      </c>
      <c r="N285" t="n">
        <v>0</v>
      </c>
      <c r="O285" t="n">
        <v>0</v>
      </c>
      <c r="P285" t="n">
        <v>0</v>
      </c>
      <c r="Q285" t="n">
        <v>0</v>
      </c>
      <c r="R285" s="2" t="inlineStr"/>
    </row>
    <row r="286" ht="15" customHeight="1">
      <c r="A286" t="inlineStr">
        <is>
          <t>A 5236-2020</t>
        </is>
      </c>
      <c r="B286" s="1" t="n">
        <v>43854</v>
      </c>
      <c r="C286" s="1" t="n">
        <v>45637</v>
      </c>
      <c r="D286" t="inlineStr">
        <is>
          <t>VÄSTERBOTTENS LÄN</t>
        </is>
      </c>
      <c r="E286" t="inlineStr">
        <is>
          <t>VILHELMINA</t>
        </is>
      </c>
      <c r="G286" t="n">
        <v>25</v>
      </c>
      <c r="H286" t="n">
        <v>0</v>
      </c>
      <c r="I286" t="n">
        <v>0</v>
      </c>
      <c r="J286" t="n">
        <v>0</v>
      </c>
      <c r="K286" t="n">
        <v>0</v>
      </c>
      <c r="L286" t="n">
        <v>0</v>
      </c>
      <c r="M286" t="n">
        <v>0</v>
      </c>
      <c r="N286" t="n">
        <v>0</v>
      </c>
      <c r="O286" t="n">
        <v>0</v>
      </c>
      <c r="P286" t="n">
        <v>0</v>
      </c>
      <c r="Q286" t="n">
        <v>0</v>
      </c>
      <c r="R286" s="2" t="inlineStr"/>
    </row>
    <row r="287" ht="15" customHeight="1">
      <c r="A287" t="inlineStr">
        <is>
          <t>A 4586-2020</t>
        </is>
      </c>
      <c r="B287" s="1" t="n">
        <v>43858</v>
      </c>
      <c r="C287" s="1" t="n">
        <v>45637</v>
      </c>
      <c r="D287" t="inlineStr">
        <is>
          <t>VÄSTERBOTTENS LÄN</t>
        </is>
      </c>
      <c r="E287" t="inlineStr">
        <is>
          <t>VILHELMINA</t>
        </is>
      </c>
      <c r="G287" t="n">
        <v>3.4</v>
      </c>
      <c r="H287" t="n">
        <v>0</v>
      </c>
      <c r="I287" t="n">
        <v>0</v>
      </c>
      <c r="J287" t="n">
        <v>0</v>
      </c>
      <c r="K287" t="n">
        <v>0</v>
      </c>
      <c r="L287" t="n">
        <v>0</v>
      </c>
      <c r="M287" t="n">
        <v>0</v>
      </c>
      <c r="N287" t="n">
        <v>0</v>
      </c>
      <c r="O287" t="n">
        <v>0</v>
      </c>
      <c r="P287" t="n">
        <v>0</v>
      </c>
      <c r="Q287" t="n">
        <v>0</v>
      </c>
      <c r="R287" s="2" t="inlineStr"/>
    </row>
    <row r="288" ht="15" customHeight="1">
      <c r="A288" t="inlineStr">
        <is>
          <t>A 5432-2020</t>
        </is>
      </c>
      <c r="B288" s="1" t="n">
        <v>43858</v>
      </c>
      <c r="C288" s="1" t="n">
        <v>45637</v>
      </c>
      <c r="D288" t="inlineStr">
        <is>
          <t>VÄSTERBOTTENS LÄN</t>
        </is>
      </c>
      <c r="E288" t="inlineStr">
        <is>
          <t>VILHELMINA</t>
        </is>
      </c>
      <c r="G288" t="n">
        <v>6.2</v>
      </c>
      <c r="H288" t="n">
        <v>0</v>
      </c>
      <c r="I288" t="n">
        <v>0</v>
      </c>
      <c r="J288" t="n">
        <v>0</v>
      </c>
      <c r="K288" t="n">
        <v>0</v>
      </c>
      <c r="L288" t="n">
        <v>0</v>
      </c>
      <c r="M288" t="n">
        <v>0</v>
      </c>
      <c r="N288" t="n">
        <v>0</v>
      </c>
      <c r="O288" t="n">
        <v>0</v>
      </c>
      <c r="P288" t="n">
        <v>0</v>
      </c>
      <c r="Q288" t="n">
        <v>0</v>
      </c>
      <c r="R288" s="2" t="inlineStr"/>
    </row>
    <row r="289" ht="15" customHeight="1">
      <c r="A289" t="inlineStr">
        <is>
          <t>A 12419-2020</t>
        </is>
      </c>
      <c r="B289" s="1" t="n">
        <v>43896</v>
      </c>
      <c r="C289" s="1" t="n">
        <v>45637</v>
      </c>
      <c r="D289" t="inlineStr">
        <is>
          <t>VÄSTERBOTTENS LÄN</t>
        </is>
      </c>
      <c r="E289" t="inlineStr">
        <is>
          <t>VILHELMINA</t>
        </is>
      </c>
      <c r="F289" t="inlineStr">
        <is>
          <t>Kommuner</t>
        </is>
      </c>
      <c r="G289" t="n">
        <v>4.6</v>
      </c>
      <c r="H289" t="n">
        <v>0</v>
      </c>
      <c r="I289" t="n">
        <v>0</v>
      </c>
      <c r="J289" t="n">
        <v>0</v>
      </c>
      <c r="K289" t="n">
        <v>0</v>
      </c>
      <c r="L289" t="n">
        <v>0</v>
      </c>
      <c r="M289" t="n">
        <v>0</v>
      </c>
      <c r="N289" t="n">
        <v>0</v>
      </c>
      <c r="O289" t="n">
        <v>0</v>
      </c>
      <c r="P289" t="n">
        <v>0</v>
      </c>
      <c r="Q289" t="n">
        <v>0</v>
      </c>
      <c r="R289" s="2" t="inlineStr"/>
    </row>
    <row r="290" ht="15" customHeight="1">
      <c r="A290" t="inlineStr">
        <is>
          <t>A 12424-2020</t>
        </is>
      </c>
      <c r="B290" s="1" t="n">
        <v>43896</v>
      </c>
      <c r="C290" s="1" t="n">
        <v>45637</v>
      </c>
      <c r="D290" t="inlineStr">
        <is>
          <t>VÄSTERBOTTENS LÄN</t>
        </is>
      </c>
      <c r="E290" t="inlineStr">
        <is>
          <t>VILHELMINA</t>
        </is>
      </c>
      <c r="F290" t="inlineStr">
        <is>
          <t>Kommuner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12423-2020</t>
        </is>
      </c>
      <c r="B291" s="1" t="n">
        <v>43896</v>
      </c>
      <c r="C291" s="1" t="n">
        <v>45637</v>
      </c>
      <c r="D291" t="inlineStr">
        <is>
          <t>VÄSTERBOTTENS LÄN</t>
        </is>
      </c>
      <c r="E291" t="inlineStr">
        <is>
          <t>VILHELMINA</t>
        </is>
      </c>
      <c r="F291" t="inlineStr">
        <is>
          <t>Kommuner</t>
        </is>
      </c>
      <c r="G291" t="n">
        <v>0.7</v>
      </c>
      <c r="H291" t="n">
        <v>0</v>
      </c>
      <c r="I291" t="n">
        <v>0</v>
      </c>
      <c r="J291" t="n">
        <v>0</v>
      </c>
      <c r="K291" t="n">
        <v>0</v>
      </c>
      <c r="L291" t="n">
        <v>0</v>
      </c>
      <c r="M291" t="n">
        <v>0</v>
      </c>
      <c r="N291" t="n">
        <v>0</v>
      </c>
      <c r="O291" t="n">
        <v>0</v>
      </c>
      <c r="P291" t="n">
        <v>0</v>
      </c>
      <c r="Q291" t="n">
        <v>0</v>
      </c>
      <c r="R291" s="2" t="inlineStr"/>
    </row>
    <row r="292" ht="15" customHeight="1">
      <c r="A292" t="inlineStr">
        <is>
          <t>A 12451-2020</t>
        </is>
      </c>
      <c r="B292" s="1" t="n">
        <v>43896</v>
      </c>
      <c r="C292" s="1" t="n">
        <v>45637</v>
      </c>
      <c r="D292" t="inlineStr">
        <is>
          <t>VÄSTERBOTTENS LÄN</t>
        </is>
      </c>
      <c r="E292" t="inlineStr">
        <is>
          <t>VILHELMINA</t>
        </is>
      </c>
      <c r="F292" t="inlineStr">
        <is>
          <t>Kommuner</t>
        </is>
      </c>
      <c r="G292" t="n">
        <v>5.5</v>
      </c>
      <c r="H292" t="n">
        <v>0</v>
      </c>
      <c r="I292" t="n">
        <v>0</v>
      </c>
      <c r="J292" t="n">
        <v>0</v>
      </c>
      <c r="K292" t="n">
        <v>0</v>
      </c>
      <c r="L292" t="n">
        <v>0</v>
      </c>
      <c r="M292" t="n">
        <v>0</v>
      </c>
      <c r="N292" t="n">
        <v>0</v>
      </c>
      <c r="O292" t="n">
        <v>0</v>
      </c>
      <c r="P292" t="n">
        <v>0</v>
      </c>
      <c r="Q292" t="n">
        <v>0</v>
      </c>
      <c r="R292" s="2" t="inlineStr"/>
    </row>
    <row r="293" ht="15" customHeight="1">
      <c r="A293" t="inlineStr">
        <is>
          <t>A 14738-2020</t>
        </is>
      </c>
      <c r="B293" s="1" t="n">
        <v>43909</v>
      </c>
      <c r="C293" s="1" t="n">
        <v>45637</v>
      </c>
      <c r="D293" t="inlineStr">
        <is>
          <t>VÄSTERBOTTENS LÄN</t>
        </is>
      </c>
      <c r="E293" t="inlineStr">
        <is>
          <t>VILHELMINA</t>
        </is>
      </c>
      <c r="G293" t="n">
        <v>3.9</v>
      </c>
      <c r="H293" t="n">
        <v>0</v>
      </c>
      <c r="I293" t="n">
        <v>0</v>
      </c>
      <c r="J293" t="n">
        <v>0</v>
      </c>
      <c r="K293" t="n">
        <v>0</v>
      </c>
      <c r="L293" t="n">
        <v>0</v>
      </c>
      <c r="M293" t="n">
        <v>0</v>
      </c>
      <c r="N293" t="n">
        <v>0</v>
      </c>
      <c r="O293" t="n">
        <v>0</v>
      </c>
      <c r="P293" t="n">
        <v>0</v>
      </c>
      <c r="Q293" t="n">
        <v>0</v>
      </c>
      <c r="R293" s="2" t="inlineStr"/>
    </row>
    <row r="294" ht="15" customHeight="1">
      <c r="A294" t="inlineStr">
        <is>
          <t>A 15113-2020</t>
        </is>
      </c>
      <c r="B294" s="1" t="n">
        <v>43910</v>
      </c>
      <c r="C294" s="1" t="n">
        <v>45637</v>
      </c>
      <c r="D294" t="inlineStr">
        <is>
          <t>VÄSTERBOTTENS LÄN</t>
        </is>
      </c>
      <c r="E294" t="inlineStr">
        <is>
          <t>VILHELMINA</t>
        </is>
      </c>
      <c r="G294" t="n">
        <v>9.5</v>
      </c>
      <c r="H294" t="n">
        <v>0</v>
      </c>
      <c r="I294" t="n">
        <v>0</v>
      </c>
      <c r="J294" t="n">
        <v>0</v>
      </c>
      <c r="K294" t="n">
        <v>0</v>
      </c>
      <c r="L294" t="n">
        <v>0</v>
      </c>
      <c r="M294" t="n">
        <v>0</v>
      </c>
      <c r="N294" t="n">
        <v>0</v>
      </c>
      <c r="O294" t="n">
        <v>0</v>
      </c>
      <c r="P294" t="n">
        <v>0</v>
      </c>
      <c r="Q294" t="n">
        <v>0</v>
      </c>
      <c r="R294" s="2" t="inlineStr"/>
    </row>
    <row r="295" ht="15" customHeight="1">
      <c r="A295" t="inlineStr">
        <is>
          <t>A 15400-2020</t>
        </is>
      </c>
      <c r="B295" s="1" t="n">
        <v>43913</v>
      </c>
      <c r="C295" s="1" t="n">
        <v>45637</v>
      </c>
      <c r="D295" t="inlineStr">
        <is>
          <t>VÄSTERBOTTENS LÄN</t>
        </is>
      </c>
      <c r="E295" t="inlineStr">
        <is>
          <t>VILHELMINA</t>
        </is>
      </c>
      <c r="F295" t="inlineStr">
        <is>
          <t>SCA</t>
        </is>
      </c>
      <c r="G295" t="n">
        <v>11.7</v>
      </c>
      <c r="H295" t="n">
        <v>0</v>
      </c>
      <c r="I295" t="n">
        <v>0</v>
      </c>
      <c r="J295" t="n">
        <v>0</v>
      </c>
      <c r="K295" t="n">
        <v>0</v>
      </c>
      <c r="L295" t="n">
        <v>0</v>
      </c>
      <c r="M295" t="n">
        <v>0</v>
      </c>
      <c r="N295" t="n">
        <v>0</v>
      </c>
      <c r="O295" t="n">
        <v>0</v>
      </c>
      <c r="P295" t="n">
        <v>0</v>
      </c>
      <c r="Q295" t="n">
        <v>0</v>
      </c>
      <c r="R295" s="2" t="inlineStr"/>
    </row>
    <row r="296" ht="15" customHeight="1">
      <c r="A296" t="inlineStr">
        <is>
          <t>A 15410-2020</t>
        </is>
      </c>
      <c r="B296" s="1" t="n">
        <v>43913</v>
      </c>
      <c r="C296" s="1" t="n">
        <v>45637</v>
      </c>
      <c r="D296" t="inlineStr">
        <is>
          <t>VÄSTERBOTTENS LÄN</t>
        </is>
      </c>
      <c r="E296" t="inlineStr">
        <is>
          <t>VILHELMINA</t>
        </is>
      </c>
      <c r="F296" t="inlineStr">
        <is>
          <t>SCA</t>
        </is>
      </c>
      <c r="G296" t="n">
        <v>7.4</v>
      </c>
      <c r="H296" t="n">
        <v>0</v>
      </c>
      <c r="I296" t="n">
        <v>0</v>
      </c>
      <c r="J296" t="n">
        <v>0</v>
      </c>
      <c r="K296" t="n">
        <v>0</v>
      </c>
      <c r="L296" t="n">
        <v>0</v>
      </c>
      <c r="M296" t="n">
        <v>0</v>
      </c>
      <c r="N296" t="n">
        <v>0</v>
      </c>
      <c r="O296" t="n">
        <v>0</v>
      </c>
      <c r="P296" t="n">
        <v>0</v>
      </c>
      <c r="Q296" t="n">
        <v>0</v>
      </c>
      <c r="R296" s="2" t="inlineStr"/>
    </row>
    <row r="297" ht="15" customHeight="1">
      <c r="A297" t="inlineStr">
        <is>
          <t>A 15399-2020</t>
        </is>
      </c>
      <c r="B297" s="1" t="n">
        <v>43913</v>
      </c>
      <c r="C297" s="1" t="n">
        <v>45637</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15407-2020</t>
        </is>
      </c>
      <c r="B298" s="1" t="n">
        <v>43913</v>
      </c>
      <c r="C298" s="1" t="n">
        <v>45637</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15413-2020</t>
        </is>
      </c>
      <c r="B299" s="1" t="n">
        <v>43913</v>
      </c>
      <c r="C299" s="1" t="n">
        <v>45637</v>
      </c>
      <c r="D299" t="inlineStr">
        <is>
          <t>VÄSTERBOTTENS LÄN</t>
        </is>
      </c>
      <c r="E299" t="inlineStr">
        <is>
          <t>VILHELMINA</t>
        </is>
      </c>
      <c r="F299" t="inlineStr">
        <is>
          <t>SCA</t>
        </is>
      </c>
      <c r="G299" t="n">
        <v>12.1</v>
      </c>
      <c r="H299" t="n">
        <v>0</v>
      </c>
      <c r="I299" t="n">
        <v>0</v>
      </c>
      <c r="J299" t="n">
        <v>0</v>
      </c>
      <c r="K299" t="n">
        <v>0</v>
      </c>
      <c r="L299" t="n">
        <v>0</v>
      </c>
      <c r="M299" t="n">
        <v>0</v>
      </c>
      <c r="N299" t="n">
        <v>0</v>
      </c>
      <c r="O299" t="n">
        <v>0</v>
      </c>
      <c r="P299" t="n">
        <v>0</v>
      </c>
      <c r="Q299" t="n">
        <v>0</v>
      </c>
      <c r="R299" s="2" t="inlineStr"/>
    </row>
    <row r="300" ht="15" customHeight="1">
      <c r="A300" t="inlineStr">
        <is>
          <t>A 15409-2020</t>
        </is>
      </c>
      <c r="B300" s="1" t="n">
        <v>43913</v>
      </c>
      <c r="C300" s="1" t="n">
        <v>45637</v>
      </c>
      <c r="D300" t="inlineStr">
        <is>
          <t>VÄSTERBOTTENS LÄN</t>
        </is>
      </c>
      <c r="E300" t="inlineStr">
        <is>
          <t>VILHELMINA</t>
        </is>
      </c>
      <c r="F300" t="inlineStr">
        <is>
          <t>SCA</t>
        </is>
      </c>
      <c r="G300" t="n">
        <v>11.1</v>
      </c>
      <c r="H300" t="n">
        <v>0</v>
      </c>
      <c r="I300" t="n">
        <v>0</v>
      </c>
      <c r="J300" t="n">
        <v>0</v>
      </c>
      <c r="K300" t="n">
        <v>0</v>
      </c>
      <c r="L300" t="n">
        <v>0</v>
      </c>
      <c r="M300" t="n">
        <v>0</v>
      </c>
      <c r="N300" t="n">
        <v>0</v>
      </c>
      <c r="O300" t="n">
        <v>0</v>
      </c>
      <c r="P300" t="n">
        <v>0</v>
      </c>
      <c r="Q300" t="n">
        <v>0</v>
      </c>
      <c r="R300" s="2" t="inlineStr"/>
    </row>
    <row r="301" ht="15" customHeight="1">
      <c r="A301" t="inlineStr">
        <is>
          <t>A 15411-2020</t>
        </is>
      </c>
      <c r="B301" s="1" t="n">
        <v>43913</v>
      </c>
      <c r="C301" s="1" t="n">
        <v>45637</v>
      </c>
      <c r="D301" t="inlineStr">
        <is>
          <t>VÄSTERBOTTENS LÄN</t>
        </is>
      </c>
      <c r="E301" t="inlineStr">
        <is>
          <t>VILHELMINA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17110-2020</t>
        </is>
      </c>
      <c r="B302" s="1" t="n">
        <v>43913</v>
      </c>
      <c r="C302" s="1" t="n">
        <v>45637</v>
      </c>
      <c r="D302" t="inlineStr">
        <is>
          <t>VÄSTERBOTTENS LÄN</t>
        </is>
      </c>
      <c r="E302" t="inlineStr">
        <is>
          <t>VILHELMINA</t>
        </is>
      </c>
      <c r="G302" t="n">
        <v>15.1</v>
      </c>
      <c r="H302" t="n">
        <v>0</v>
      </c>
      <c r="I302" t="n">
        <v>0</v>
      </c>
      <c r="J302" t="n">
        <v>0</v>
      </c>
      <c r="K302" t="n">
        <v>0</v>
      </c>
      <c r="L302" t="n">
        <v>0</v>
      </c>
      <c r="M302" t="n">
        <v>0</v>
      </c>
      <c r="N302" t="n">
        <v>0</v>
      </c>
      <c r="O302" t="n">
        <v>0</v>
      </c>
      <c r="P302" t="n">
        <v>0</v>
      </c>
      <c r="Q302" t="n">
        <v>0</v>
      </c>
      <c r="R302" s="2" t="inlineStr"/>
    </row>
    <row r="303" ht="15" customHeight="1">
      <c r="A303" t="inlineStr">
        <is>
          <t>A 17115-2020</t>
        </is>
      </c>
      <c r="B303" s="1" t="n">
        <v>43913</v>
      </c>
      <c r="C303" s="1" t="n">
        <v>45637</v>
      </c>
      <c r="D303" t="inlineStr">
        <is>
          <t>VÄSTERBOTTENS LÄN</t>
        </is>
      </c>
      <c r="E303" t="inlineStr">
        <is>
          <t>VILHELMINA</t>
        </is>
      </c>
      <c r="G303" t="n">
        <v>19.8</v>
      </c>
      <c r="H303" t="n">
        <v>0</v>
      </c>
      <c r="I303" t="n">
        <v>0</v>
      </c>
      <c r="J303" t="n">
        <v>0</v>
      </c>
      <c r="K303" t="n">
        <v>0</v>
      </c>
      <c r="L303" t="n">
        <v>0</v>
      </c>
      <c r="M303" t="n">
        <v>0</v>
      </c>
      <c r="N303" t="n">
        <v>0</v>
      </c>
      <c r="O303" t="n">
        <v>0</v>
      </c>
      <c r="P303" t="n">
        <v>0</v>
      </c>
      <c r="Q303" t="n">
        <v>0</v>
      </c>
      <c r="R303" s="2" t="inlineStr"/>
    </row>
    <row r="304" ht="15" customHeight="1">
      <c r="A304" t="inlineStr">
        <is>
          <t>A 15489-2020</t>
        </is>
      </c>
      <c r="B304" s="1" t="n">
        <v>43914</v>
      </c>
      <c r="C304" s="1" t="n">
        <v>45637</v>
      </c>
      <c r="D304" t="inlineStr">
        <is>
          <t>VÄSTERBOTTENS LÄN</t>
        </is>
      </c>
      <c r="E304" t="inlineStr">
        <is>
          <t>VILHELMINA</t>
        </is>
      </c>
      <c r="G304" t="n">
        <v>2.5</v>
      </c>
      <c r="H304" t="n">
        <v>0</v>
      </c>
      <c r="I304" t="n">
        <v>0</v>
      </c>
      <c r="J304" t="n">
        <v>0</v>
      </c>
      <c r="K304" t="n">
        <v>0</v>
      </c>
      <c r="L304" t="n">
        <v>0</v>
      </c>
      <c r="M304" t="n">
        <v>0</v>
      </c>
      <c r="N304" t="n">
        <v>0</v>
      </c>
      <c r="O304" t="n">
        <v>0</v>
      </c>
      <c r="P304" t="n">
        <v>0</v>
      </c>
      <c r="Q304" t="n">
        <v>0</v>
      </c>
      <c r="R304" s="2" t="inlineStr"/>
    </row>
    <row r="305" ht="15" customHeight="1">
      <c r="A305" t="inlineStr">
        <is>
          <t>A 15897-2020</t>
        </is>
      </c>
      <c r="B305" s="1" t="n">
        <v>43915</v>
      </c>
      <c r="C305" s="1" t="n">
        <v>45637</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15692-2020</t>
        </is>
      </c>
      <c r="B306" s="1" t="n">
        <v>43915</v>
      </c>
      <c r="C306" s="1" t="n">
        <v>45637</v>
      </c>
      <c r="D306" t="inlineStr">
        <is>
          <t>VÄSTERBOTTENS LÄN</t>
        </is>
      </c>
      <c r="E306" t="inlineStr">
        <is>
          <t>VILHELMINA</t>
        </is>
      </c>
      <c r="G306" t="n">
        <v>4.5</v>
      </c>
      <c r="H306" t="n">
        <v>0</v>
      </c>
      <c r="I306" t="n">
        <v>0</v>
      </c>
      <c r="J306" t="n">
        <v>0</v>
      </c>
      <c r="K306" t="n">
        <v>0</v>
      </c>
      <c r="L306" t="n">
        <v>0</v>
      </c>
      <c r="M306" t="n">
        <v>0</v>
      </c>
      <c r="N306" t="n">
        <v>0</v>
      </c>
      <c r="O306" t="n">
        <v>0</v>
      </c>
      <c r="P306" t="n">
        <v>0</v>
      </c>
      <c r="Q306" t="n">
        <v>0</v>
      </c>
      <c r="R306" s="2" t="inlineStr"/>
    </row>
    <row r="307" ht="15" customHeight="1">
      <c r="A307" t="inlineStr">
        <is>
          <t>A 15750-2020</t>
        </is>
      </c>
      <c r="B307" s="1" t="n">
        <v>43915</v>
      </c>
      <c r="C307" s="1" t="n">
        <v>45637</v>
      </c>
      <c r="D307" t="inlineStr">
        <is>
          <t>VÄSTERBOTTENS LÄN</t>
        </is>
      </c>
      <c r="E307" t="inlineStr">
        <is>
          <t>VILHELMINA</t>
        </is>
      </c>
      <c r="G307" t="n">
        <v>4.8</v>
      </c>
      <c r="H307" t="n">
        <v>0</v>
      </c>
      <c r="I307" t="n">
        <v>0</v>
      </c>
      <c r="J307" t="n">
        <v>0</v>
      </c>
      <c r="K307" t="n">
        <v>0</v>
      </c>
      <c r="L307" t="n">
        <v>0</v>
      </c>
      <c r="M307" t="n">
        <v>0</v>
      </c>
      <c r="N307" t="n">
        <v>0</v>
      </c>
      <c r="O307" t="n">
        <v>0</v>
      </c>
      <c r="P307" t="n">
        <v>0</v>
      </c>
      <c r="Q307" t="n">
        <v>0</v>
      </c>
      <c r="R307" s="2" t="inlineStr"/>
    </row>
    <row r="308" ht="15" customHeight="1">
      <c r="A308" t="inlineStr">
        <is>
          <t>A 15695-2020</t>
        </is>
      </c>
      <c r="B308" s="1" t="n">
        <v>43915</v>
      </c>
      <c r="C308" s="1" t="n">
        <v>45637</v>
      </c>
      <c r="D308" t="inlineStr">
        <is>
          <t>VÄSTERBOTTENS LÄN</t>
        </is>
      </c>
      <c r="E308" t="inlineStr">
        <is>
          <t>VILHELMINA</t>
        </is>
      </c>
      <c r="G308" t="n">
        <v>2.2</v>
      </c>
      <c r="H308" t="n">
        <v>0</v>
      </c>
      <c r="I308" t="n">
        <v>0</v>
      </c>
      <c r="J308" t="n">
        <v>0</v>
      </c>
      <c r="K308" t="n">
        <v>0</v>
      </c>
      <c r="L308" t="n">
        <v>0</v>
      </c>
      <c r="M308" t="n">
        <v>0</v>
      </c>
      <c r="N308" t="n">
        <v>0</v>
      </c>
      <c r="O308" t="n">
        <v>0</v>
      </c>
      <c r="P308" t="n">
        <v>0</v>
      </c>
      <c r="Q308" t="n">
        <v>0</v>
      </c>
      <c r="R308" s="2" t="inlineStr"/>
    </row>
    <row r="309" ht="15" customHeight="1">
      <c r="A309" t="inlineStr">
        <is>
          <t>A 17522-2020</t>
        </is>
      </c>
      <c r="B309" s="1" t="n">
        <v>43923</v>
      </c>
      <c r="C309" s="1" t="n">
        <v>45637</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17619-2020</t>
        </is>
      </c>
      <c r="B310" s="1" t="n">
        <v>43923</v>
      </c>
      <c r="C310" s="1" t="n">
        <v>45637</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17789-2020</t>
        </is>
      </c>
      <c r="B311" s="1" t="n">
        <v>43923</v>
      </c>
      <c r="C311" s="1" t="n">
        <v>45637</v>
      </c>
      <c r="D311" t="inlineStr">
        <is>
          <t>VÄSTERBOTTENS LÄN</t>
        </is>
      </c>
      <c r="E311" t="inlineStr">
        <is>
          <t>VILHELMINA</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18165-2020</t>
        </is>
      </c>
      <c r="B312" s="1" t="n">
        <v>43927</v>
      </c>
      <c r="C312" s="1" t="n">
        <v>45637</v>
      </c>
      <c r="D312" t="inlineStr">
        <is>
          <t>VÄSTERBOTTENS LÄN</t>
        </is>
      </c>
      <c r="E312" t="inlineStr">
        <is>
          <t>VILHELMINA</t>
        </is>
      </c>
      <c r="F312" t="inlineStr">
        <is>
          <t>Kommuner</t>
        </is>
      </c>
      <c r="G312" t="n">
        <v>3.6</v>
      </c>
      <c r="H312" t="n">
        <v>0</v>
      </c>
      <c r="I312" t="n">
        <v>0</v>
      </c>
      <c r="J312" t="n">
        <v>0</v>
      </c>
      <c r="K312" t="n">
        <v>0</v>
      </c>
      <c r="L312" t="n">
        <v>0</v>
      </c>
      <c r="M312" t="n">
        <v>0</v>
      </c>
      <c r="N312" t="n">
        <v>0</v>
      </c>
      <c r="O312" t="n">
        <v>0</v>
      </c>
      <c r="P312" t="n">
        <v>0</v>
      </c>
      <c r="Q312" t="n">
        <v>0</v>
      </c>
      <c r="R312" s="2" t="inlineStr"/>
    </row>
    <row r="313" ht="15" customHeight="1">
      <c r="A313" t="inlineStr">
        <is>
          <t>A 19009-2020</t>
        </is>
      </c>
      <c r="B313" s="1" t="n">
        <v>43935</v>
      </c>
      <c r="C313" s="1" t="n">
        <v>45637</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20187-2020</t>
        </is>
      </c>
      <c r="B314" s="1" t="n">
        <v>43944</v>
      </c>
      <c r="C314" s="1" t="n">
        <v>45637</v>
      </c>
      <c r="D314" t="inlineStr">
        <is>
          <t>VÄSTERBOTTENS LÄN</t>
        </is>
      </c>
      <c r="E314" t="inlineStr">
        <is>
          <t>VILHELMINA</t>
        </is>
      </c>
      <c r="G314" t="n">
        <v>0.7</v>
      </c>
      <c r="H314" t="n">
        <v>0</v>
      </c>
      <c r="I314" t="n">
        <v>0</v>
      </c>
      <c r="J314" t="n">
        <v>0</v>
      </c>
      <c r="K314" t="n">
        <v>0</v>
      </c>
      <c r="L314" t="n">
        <v>0</v>
      </c>
      <c r="M314" t="n">
        <v>0</v>
      </c>
      <c r="N314" t="n">
        <v>0</v>
      </c>
      <c r="O314" t="n">
        <v>0</v>
      </c>
      <c r="P314" t="n">
        <v>0</v>
      </c>
      <c r="Q314" t="n">
        <v>0</v>
      </c>
      <c r="R314" s="2" t="inlineStr"/>
    </row>
    <row r="315" ht="15" customHeight="1">
      <c r="A315" t="inlineStr">
        <is>
          <t>A 20420-2020</t>
        </is>
      </c>
      <c r="B315" s="1" t="n">
        <v>43945</v>
      </c>
      <c r="C315" s="1" t="n">
        <v>45637</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22789-2020</t>
        </is>
      </c>
      <c r="B316" s="1" t="n">
        <v>43964</v>
      </c>
      <c r="C316" s="1" t="n">
        <v>45637</v>
      </c>
      <c r="D316" t="inlineStr">
        <is>
          <t>VÄSTERBOTTENS LÄN</t>
        </is>
      </c>
      <c r="E316" t="inlineStr">
        <is>
          <t>VILHELMINA</t>
        </is>
      </c>
      <c r="G316" t="n">
        <v>1.3</v>
      </c>
      <c r="H316" t="n">
        <v>0</v>
      </c>
      <c r="I316" t="n">
        <v>0</v>
      </c>
      <c r="J316" t="n">
        <v>0</v>
      </c>
      <c r="K316" t="n">
        <v>0</v>
      </c>
      <c r="L316" t="n">
        <v>0</v>
      </c>
      <c r="M316" t="n">
        <v>0</v>
      </c>
      <c r="N316" t="n">
        <v>0</v>
      </c>
      <c r="O316" t="n">
        <v>0</v>
      </c>
      <c r="P316" t="n">
        <v>0</v>
      </c>
      <c r="Q316" t="n">
        <v>0</v>
      </c>
      <c r="R316" s="2" t="inlineStr"/>
    </row>
    <row r="317" ht="15" customHeight="1">
      <c r="A317" t="inlineStr">
        <is>
          <t>A 22791-2020</t>
        </is>
      </c>
      <c r="B317" s="1" t="n">
        <v>43964</v>
      </c>
      <c r="C317" s="1" t="n">
        <v>45637</v>
      </c>
      <c r="D317" t="inlineStr">
        <is>
          <t>VÄSTERBOTTENS LÄN</t>
        </is>
      </c>
      <c r="E317" t="inlineStr">
        <is>
          <t>VILHELMINA</t>
        </is>
      </c>
      <c r="G317" t="n">
        <v>1.3</v>
      </c>
      <c r="H317" t="n">
        <v>0</v>
      </c>
      <c r="I317" t="n">
        <v>0</v>
      </c>
      <c r="J317" t="n">
        <v>0</v>
      </c>
      <c r="K317" t="n">
        <v>0</v>
      </c>
      <c r="L317" t="n">
        <v>0</v>
      </c>
      <c r="M317" t="n">
        <v>0</v>
      </c>
      <c r="N317" t="n">
        <v>0</v>
      </c>
      <c r="O317" t="n">
        <v>0</v>
      </c>
      <c r="P317" t="n">
        <v>0</v>
      </c>
      <c r="Q317" t="n">
        <v>0</v>
      </c>
      <c r="R317" s="2" t="inlineStr"/>
    </row>
    <row r="318" ht="15" customHeight="1">
      <c r="A318" t="inlineStr">
        <is>
          <t>A 23168-2020</t>
        </is>
      </c>
      <c r="B318" s="1" t="n">
        <v>43966</v>
      </c>
      <c r="C318" s="1" t="n">
        <v>45637</v>
      </c>
      <c r="D318" t="inlineStr">
        <is>
          <t>VÄSTERBOTTENS LÄN</t>
        </is>
      </c>
      <c r="E318" t="inlineStr">
        <is>
          <t>VILHELMINA</t>
        </is>
      </c>
      <c r="F318" t="inlineStr">
        <is>
          <t>Övriga Aktiebolag</t>
        </is>
      </c>
      <c r="G318" t="n">
        <v>1.6</v>
      </c>
      <c r="H318" t="n">
        <v>0</v>
      </c>
      <c r="I318" t="n">
        <v>0</v>
      </c>
      <c r="J318" t="n">
        <v>0</v>
      </c>
      <c r="K318" t="n">
        <v>0</v>
      </c>
      <c r="L318" t="n">
        <v>0</v>
      </c>
      <c r="M318" t="n">
        <v>0</v>
      </c>
      <c r="N318" t="n">
        <v>0</v>
      </c>
      <c r="O318" t="n">
        <v>0</v>
      </c>
      <c r="P318" t="n">
        <v>0</v>
      </c>
      <c r="Q318" t="n">
        <v>0</v>
      </c>
      <c r="R318" s="2" t="inlineStr"/>
    </row>
    <row r="319" ht="15" customHeight="1">
      <c r="A319" t="inlineStr">
        <is>
          <t>A 23175-2020</t>
        </is>
      </c>
      <c r="B319" s="1" t="n">
        <v>43966</v>
      </c>
      <c r="C319" s="1" t="n">
        <v>45637</v>
      </c>
      <c r="D319" t="inlineStr">
        <is>
          <t>VÄSTERBOTTENS LÄN</t>
        </is>
      </c>
      <c r="E319" t="inlineStr">
        <is>
          <t>VILHELMINA</t>
        </is>
      </c>
      <c r="F319" t="inlineStr">
        <is>
          <t>Övriga Aktiebolag</t>
        </is>
      </c>
      <c r="G319" t="n">
        <v>1.6</v>
      </c>
      <c r="H319" t="n">
        <v>0</v>
      </c>
      <c r="I319" t="n">
        <v>0</v>
      </c>
      <c r="J319" t="n">
        <v>0</v>
      </c>
      <c r="K319" t="n">
        <v>0</v>
      </c>
      <c r="L319" t="n">
        <v>0</v>
      </c>
      <c r="M319" t="n">
        <v>0</v>
      </c>
      <c r="N319" t="n">
        <v>0</v>
      </c>
      <c r="O319" t="n">
        <v>0</v>
      </c>
      <c r="P319" t="n">
        <v>0</v>
      </c>
      <c r="Q319" t="n">
        <v>0</v>
      </c>
      <c r="R319" s="2" t="inlineStr"/>
    </row>
    <row r="320" ht="15" customHeight="1">
      <c r="A320" t="inlineStr">
        <is>
          <t>A 24985-2020</t>
        </is>
      </c>
      <c r="B320" s="1" t="n">
        <v>43977</v>
      </c>
      <c r="C320" s="1" t="n">
        <v>45637</v>
      </c>
      <c r="D320" t="inlineStr">
        <is>
          <t>VÄSTERBOTTENS LÄN</t>
        </is>
      </c>
      <c r="E320" t="inlineStr">
        <is>
          <t>VILHELMINA</t>
        </is>
      </c>
      <c r="F320" t="inlineStr">
        <is>
          <t>Övriga statliga verk och myndigheter</t>
        </is>
      </c>
      <c r="G320" t="n">
        <v>16</v>
      </c>
      <c r="H320" t="n">
        <v>0</v>
      </c>
      <c r="I320" t="n">
        <v>0</v>
      </c>
      <c r="J320" t="n">
        <v>0</v>
      </c>
      <c r="K320" t="n">
        <v>0</v>
      </c>
      <c r="L320" t="n">
        <v>0</v>
      </c>
      <c r="M320" t="n">
        <v>0</v>
      </c>
      <c r="N320" t="n">
        <v>0</v>
      </c>
      <c r="O320" t="n">
        <v>0</v>
      </c>
      <c r="P320" t="n">
        <v>0</v>
      </c>
      <c r="Q320" t="n">
        <v>0</v>
      </c>
      <c r="R320" s="2" t="inlineStr"/>
    </row>
    <row r="321" ht="15" customHeight="1">
      <c r="A321" t="inlineStr">
        <is>
          <t>A 25491-2020</t>
        </is>
      </c>
      <c r="B321" s="1" t="n">
        <v>43983</v>
      </c>
      <c r="C321" s="1" t="n">
        <v>45637</v>
      </c>
      <c r="D321" t="inlineStr">
        <is>
          <t>VÄSTERBOTTENS LÄN</t>
        </is>
      </c>
      <c r="E321" t="inlineStr">
        <is>
          <t>VILHELMINA</t>
        </is>
      </c>
      <c r="F321" t="inlineStr">
        <is>
          <t>Allmännings- och besparingsskogar</t>
        </is>
      </c>
      <c r="G321" t="n">
        <v>26</v>
      </c>
      <c r="H321" t="n">
        <v>0</v>
      </c>
      <c r="I321" t="n">
        <v>0</v>
      </c>
      <c r="J321" t="n">
        <v>0</v>
      </c>
      <c r="K321" t="n">
        <v>0</v>
      </c>
      <c r="L321" t="n">
        <v>0</v>
      </c>
      <c r="M321" t="n">
        <v>0</v>
      </c>
      <c r="N321" t="n">
        <v>0</v>
      </c>
      <c r="O321" t="n">
        <v>0</v>
      </c>
      <c r="P321" t="n">
        <v>0</v>
      </c>
      <c r="Q321" t="n">
        <v>0</v>
      </c>
      <c r="R321" s="2" t="inlineStr"/>
    </row>
    <row r="322" ht="15" customHeight="1">
      <c r="A322" t="inlineStr">
        <is>
          <t>A 25498-2020</t>
        </is>
      </c>
      <c r="B322" s="1" t="n">
        <v>43983</v>
      </c>
      <c r="C322" s="1" t="n">
        <v>45637</v>
      </c>
      <c r="D322" t="inlineStr">
        <is>
          <t>VÄSTERBOTTENS LÄN</t>
        </is>
      </c>
      <c r="E322" t="inlineStr">
        <is>
          <t>VILHELMINA</t>
        </is>
      </c>
      <c r="F322" t="inlineStr">
        <is>
          <t>Allmännings- och besparingsskogar</t>
        </is>
      </c>
      <c r="G322" t="n">
        <v>22.6</v>
      </c>
      <c r="H322" t="n">
        <v>0</v>
      </c>
      <c r="I322" t="n">
        <v>0</v>
      </c>
      <c r="J322" t="n">
        <v>0</v>
      </c>
      <c r="K322" t="n">
        <v>0</v>
      </c>
      <c r="L322" t="n">
        <v>0</v>
      </c>
      <c r="M322" t="n">
        <v>0</v>
      </c>
      <c r="N322" t="n">
        <v>0</v>
      </c>
      <c r="O322" t="n">
        <v>0</v>
      </c>
      <c r="P322" t="n">
        <v>0</v>
      </c>
      <c r="Q322" t="n">
        <v>0</v>
      </c>
      <c r="R322" s="2" t="inlineStr"/>
    </row>
    <row r="323" ht="15" customHeight="1">
      <c r="A323" t="inlineStr">
        <is>
          <t>A 26382-2020</t>
        </is>
      </c>
      <c r="B323" s="1" t="n">
        <v>43986</v>
      </c>
      <c r="C323" s="1" t="n">
        <v>45637</v>
      </c>
      <c r="D323" t="inlineStr">
        <is>
          <t>VÄSTERBOTTENS LÄN</t>
        </is>
      </c>
      <c r="E323" t="inlineStr">
        <is>
          <t>VILHELMINA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26308-2020</t>
        </is>
      </c>
      <c r="B324" s="1" t="n">
        <v>43986</v>
      </c>
      <c r="C324" s="1" t="n">
        <v>45637</v>
      </c>
      <c r="D324" t="inlineStr">
        <is>
          <t>VÄSTERBOTTENS LÄN</t>
        </is>
      </c>
      <c r="E324" t="inlineStr">
        <is>
          <t>VILHELMINA</t>
        </is>
      </c>
      <c r="G324" t="n">
        <v>12.1</v>
      </c>
      <c r="H324" t="n">
        <v>0</v>
      </c>
      <c r="I324" t="n">
        <v>0</v>
      </c>
      <c r="J324" t="n">
        <v>0</v>
      </c>
      <c r="K324" t="n">
        <v>0</v>
      </c>
      <c r="L324" t="n">
        <v>0</v>
      </c>
      <c r="M324" t="n">
        <v>0</v>
      </c>
      <c r="N324" t="n">
        <v>0</v>
      </c>
      <c r="O324" t="n">
        <v>0</v>
      </c>
      <c r="P324" t="n">
        <v>0</v>
      </c>
      <c r="Q324" t="n">
        <v>0</v>
      </c>
      <c r="R324" s="2" t="inlineStr"/>
    </row>
    <row r="325" ht="15" customHeight="1">
      <c r="A325" t="inlineStr">
        <is>
          <t>A 28871-2020</t>
        </is>
      </c>
      <c r="B325" s="1" t="n">
        <v>44000</v>
      </c>
      <c r="C325" s="1" t="n">
        <v>45637</v>
      </c>
      <c r="D325" t="inlineStr">
        <is>
          <t>VÄSTERBOTTENS LÄN</t>
        </is>
      </c>
      <c r="E325" t="inlineStr">
        <is>
          <t>VILHELMINA</t>
        </is>
      </c>
      <c r="F325" t="inlineStr">
        <is>
          <t>Kommuner</t>
        </is>
      </c>
      <c r="G325" t="n">
        <v>0.2</v>
      </c>
      <c r="H325" t="n">
        <v>0</v>
      </c>
      <c r="I325" t="n">
        <v>0</v>
      </c>
      <c r="J325" t="n">
        <v>0</v>
      </c>
      <c r="K325" t="n">
        <v>0</v>
      </c>
      <c r="L325" t="n">
        <v>0</v>
      </c>
      <c r="M325" t="n">
        <v>0</v>
      </c>
      <c r="N325" t="n">
        <v>0</v>
      </c>
      <c r="O325" t="n">
        <v>0</v>
      </c>
      <c r="P325" t="n">
        <v>0</v>
      </c>
      <c r="Q325" t="n">
        <v>0</v>
      </c>
      <c r="R325" s="2" t="inlineStr"/>
    </row>
    <row r="326" ht="15" customHeight="1">
      <c r="A326" t="inlineStr">
        <is>
          <t>A 28864-2020</t>
        </is>
      </c>
      <c r="B326" s="1" t="n">
        <v>44000</v>
      </c>
      <c r="C326" s="1" t="n">
        <v>45637</v>
      </c>
      <c r="D326" t="inlineStr">
        <is>
          <t>VÄSTERBOTTENS LÄN</t>
        </is>
      </c>
      <c r="E326" t="inlineStr">
        <is>
          <t>VILHELMINA</t>
        </is>
      </c>
      <c r="F326" t="inlineStr">
        <is>
          <t>Kommuner</t>
        </is>
      </c>
      <c r="G326" t="n">
        <v>0.2</v>
      </c>
      <c r="H326" t="n">
        <v>0</v>
      </c>
      <c r="I326" t="n">
        <v>0</v>
      </c>
      <c r="J326" t="n">
        <v>0</v>
      </c>
      <c r="K326" t="n">
        <v>0</v>
      </c>
      <c r="L326" t="n">
        <v>0</v>
      </c>
      <c r="M326" t="n">
        <v>0</v>
      </c>
      <c r="N326" t="n">
        <v>0</v>
      </c>
      <c r="O326" t="n">
        <v>0</v>
      </c>
      <c r="P326" t="n">
        <v>0</v>
      </c>
      <c r="Q326" t="n">
        <v>0</v>
      </c>
      <c r="R326" s="2" t="inlineStr"/>
    </row>
    <row r="327" ht="15" customHeight="1">
      <c r="A327" t="inlineStr">
        <is>
          <t>A 30210-2020</t>
        </is>
      </c>
      <c r="B327" s="1" t="n">
        <v>44007</v>
      </c>
      <c r="C327" s="1" t="n">
        <v>45637</v>
      </c>
      <c r="D327" t="inlineStr">
        <is>
          <t>VÄSTERBOTTENS LÄN</t>
        </is>
      </c>
      <c r="E327" t="inlineStr">
        <is>
          <t>VILHELMINA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30373-2020</t>
        </is>
      </c>
      <c r="B328" s="1" t="n">
        <v>44007</v>
      </c>
      <c r="C328" s="1" t="n">
        <v>45637</v>
      </c>
      <c r="D328" t="inlineStr">
        <is>
          <t>VÄSTERBOTTENS LÄN</t>
        </is>
      </c>
      <c r="E328" t="inlineStr">
        <is>
          <t>VILHELMINA</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33370-2020</t>
        </is>
      </c>
      <c r="B329" s="1" t="n">
        <v>44022</v>
      </c>
      <c r="C329" s="1" t="n">
        <v>45637</v>
      </c>
      <c r="D329" t="inlineStr">
        <is>
          <t>VÄSTERBOTTENS LÄN</t>
        </is>
      </c>
      <c r="E329" t="inlineStr">
        <is>
          <t>VILHELMINA</t>
        </is>
      </c>
      <c r="G329" t="n">
        <v>2.7</v>
      </c>
      <c r="H329" t="n">
        <v>0</v>
      </c>
      <c r="I329" t="n">
        <v>0</v>
      </c>
      <c r="J329" t="n">
        <v>0</v>
      </c>
      <c r="K329" t="n">
        <v>0</v>
      </c>
      <c r="L329" t="n">
        <v>0</v>
      </c>
      <c r="M329" t="n">
        <v>0</v>
      </c>
      <c r="N329" t="n">
        <v>0</v>
      </c>
      <c r="O329" t="n">
        <v>0</v>
      </c>
      <c r="P329" t="n">
        <v>0</v>
      </c>
      <c r="Q329" t="n">
        <v>0</v>
      </c>
      <c r="R329" s="2" t="inlineStr"/>
    </row>
    <row r="330" ht="15" customHeight="1">
      <c r="A330" t="inlineStr">
        <is>
          <t>A 34368-2020</t>
        </is>
      </c>
      <c r="B330" s="1" t="n">
        <v>44032</v>
      </c>
      <c r="C330" s="1" t="n">
        <v>45637</v>
      </c>
      <c r="D330" t="inlineStr">
        <is>
          <t>VÄSTERBOTTENS LÄN</t>
        </is>
      </c>
      <c r="E330" t="inlineStr">
        <is>
          <t>VILHELMINA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34909-2020</t>
        </is>
      </c>
      <c r="B331" s="1" t="n">
        <v>44036</v>
      </c>
      <c r="C331" s="1" t="n">
        <v>45637</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34987-2020</t>
        </is>
      </c>
      <c r="B332" s="1" t="n">
        <v>44039</v>
      </c>
      <c r="C332" s="1" t="n">
        <v>45637</v>
      </c>
      <c r="D332" t="inlineStr">
        <is>
          <t>VÄSTERBOTTENS LÄN</t>
        </is>
      </c>
      <c r="E332" t="inlineStr">
        <is>
          <t>VILHELMINA</t>
        </is>
      </c>
      <c r="G332" t="n">
        <v>16.6</v>
      </c>
      <c r="H332" t="n">
        <v>0</v>
      </c>
      <c r="I332" t="n">
        <v>0</v>
      </c>
      <c r="J332" t="n">
        <v>0</v>
      </c>
      <c r="K332" t="n">
        <v>0</v>
      </c>
      <c r="L332" t="n">
        <v>0</v>
      </c>
      <c r="M332" t="n">
        <v>0</v>
      </c>
      <c r="N332" t="n">
        <v>0</v>
      </c>
      <c r="O332" t="n">
        <v>0</v>
      </c>
      <c r="P332" t="n">
        <v>0</v>
      </c>
      <c r="Q332" t="n">
        <v>0</v>
      </c>
      <c r="R332" s="2" t="inlineStr"/>
    </row>
    <row r="333" ht="15" customHeight="1">
      <c r="A333" t="inlineStr">
        <is>
          <t>A 36875-2020</t>
        </is>
      </c>
      <c r="B333" s="1" t="n">
        <v>44053</v>
      </c>
      <c r="C333" s="1" t="n">
        <v>45637</v>
      </c>
      <c r="D333" t="inlineStr">
        <is>
          <t>VÄSTERBOTTENS LÄN</t>
        </is>
      </c>
      <c r="E333" t="inlineStr">
        <is>
          <t>VILHELMINA</t>
        </is>
      </c>
      <c r="G333" t="n">
        <v>2.9</v>
      </c>
      <c r="H333" t="n">
        <v>0</v>
      </c>
      <c r="I333" t="n">
        <v>0</v>
      </c>
      <c r="J333" t="n">
        <v>0</v>
      </c>
      <c r="K333" t="n">
        <v>0</v>
      </c>
      <c r="L333" t="n">
        <v>0</v>
      </c>
      <c r="M333" t="n">
        <v>0</v>
      </c>
      <c r="N333" t="n">
        <v>0</v>
      </c>
      <c r="O333" t="n">
        <v>0</v>
      </c>
      <c r="P333" t="n">
        <v>0</v>
      </c>
      <c r="Q333" t="n">
        <v>0</v>
      </c>
      <c r="R333" s="2" t="inlineStr"/>
    </row>
    <row r="334" ht="15" customHeight="1">
      <c r="A334" t="inlineStr">
        <is>
          <t>A 38349-2020</t>
        </is>
      </c>
      <c r="B334" s="1" t="n">
        <v>44060</v>
      </c>
      <c r="C334" s="1" t="n">
        <v>45637</v>
      </c>
      <c r="D334" t="inlineStr">
        <is>
          <t>VÄSTERBOTTENS LÄN</t>
        </is>
      </c>
      <c r="E334" t="inlineStr">
        <is>
          <t>VILHELMINA</t>
        </is>
      </c>
      <c r="F334" t="inlineStr">
        <is>
          <t>SCA</t>
        </is>
      </c>
      <c r="G334" t="n">
        <v>26.8</v>
      </c>
      <c r="H334" t="n">
        <v>0</v>
      </c>
      <c r="I334" t="n">
        <v>0</v>
      </c>
      <c r="J334" t="n">
        <v>0</v>
      </c>
      <c r="K334" t="n">
        <v>0</v>
      </c>
      <c r="L334" t="n">
        <v>0</v>
      </c>
      <c r="M334" t="n">
        <v>0</v>
      </c>
      <c r="N334" t="n">
        <v>0</v>
      </c>
      <c r="O334" t="n">
        <v>0</v>
      </c>
      <c r="P334" t="n">
        <v>0</v>
      </c>
      <c r="Q334" t="n">
        <v>0</v>
      </c>
      <c r="R334" s="2" t="inlineStr"/>
    </row>
    <row r="335" ht="15" customHeight="1">
      <c r="A335" t="inlineStr">
        <is>
          <t>A 40116-2020</t>
        </is>
      </c>
      <c r="B335" s="1" t="n">
        <v>44064</v>
      </c>
      <c r="C335" s="1" t="n">
        <v>45637</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40100-2020</t>
        </is>
      </c>
      <c r="B336" s="1" t="n">
        <v>44064</v>
      </c>
      <c r="C336" s="1" t="n">
        <v>45637</v>
      </c>
      <c r="D336" t="inlineStr">
        <is>
          <t>VÄSTERBOTTENS LÄN</t>
        </is>
      </c>
      <c r="E336" t="inlineStr">
        <is>
          <t>VILHELMINA</t>
        </is>
      </c>
      <c r="G336" t="n">
        <v>22.5</v>
      </c>
      <c r="H336" t="n">
        <v>0</v>
      </c>
      <c r="I336" t="n">
        <v>0</v>
      </c>
      <c r="J336" t="n">
        <v>0</v>
      </c>
      <c r="K336" t="n">
        <v>0</v>
      </c>
      <c r="L336" t="n">
        <v>0</v>
      </c>
      <c r="M336" t="n">
        <v>0</v>
      </c>
      <c r="N336" t="n">
        <v>0</v>
      </c>
      <c r="O336" t="n">
        <v>0</v>
      </c>
      <c r="P336" t="n">
        <v>0</v>
      </c>
      <c r="Q336" t="n">
        <v>0</v>
      </c>
      <c r="R336" s="2" t="inlineStr"/>
    </row>
    <row r="337" ht="15" customHeight="1">
      <c r="A337" t="inlineStr">
        <is>
          <t>A 40842-2020</t>
        </is>
      </c>
      <c r="B337" s="1" t="n">
        <v>44069</v>
      </c>
      <c r="C337" s="1" t="n">
        <v>45637</v>
      </c>
      <c r="D337" t="inlineStr">
        <is>
          <t>VÄSTERBOTTENS LÄN</t>
        </is>
      </c>
      <c r="E337" t="inlineStr">
        <is>
          <t>VILHELMINA</t>
        </is>
      </c>
      <c r="G337" t="n">
        <v>20.4</v>
      </c>
      <c r="H337" t="n">
        <v>0</v>
      </c>
      <c r="I337" t="n">
        <v>0</v>
      </c>
      <c r="J337" t="n">
        <v>0</v>
      </c>
      <c r="K337" t="n">
        <v>0</v>
      </c>
      <c r="L337" t="n">
        <v>0</v>
      </c>
      <c r="M337" t="n">
        <v>0</v>
      </c>
      <c r="N337" t="n">
        <v>0</v>
      </c>
      <c r="O337" t="n">
        <v>0</v>
      </c>
      <c r="P337" t="n">
        <v>0</v>
      </c>
      <c r="Q337" t="n">
        <v>0</v>
      </c>
      <c r="R337" s="2" t="inlineStr"/>
    </row>
    <row r="338" ht="15" customHeight="1">
      <c r="A338" t="inlineStr">
        <is>
          <t>A 41267-2020</t>
        </is>
      </c>
      <c r="B338" s="1" t="n">
        <v>44071</v>
      </c>
      <c r="C338" s="1" t="n">
        <v>45637</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42205-2020</t>
        </is>
      </c>
      <c r="B339" s="1" t="n">
        <v>44075</v>
      </c>
      <c r="C339" s="1" t="n">
        <v>45637</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43080-2020</t>
        </is>
      </c>
      <c r="B340" s="1" t="n">
        <v>44078</v>
      </c>
      <c r="C340" s="1" t="n">
        <v>45637</v>
      </c>
      <c r="D340" t="inlineStr">
        <is>
          <t>VÄSTERBOTTENS LÄN</t>
        </is>
      </c>
      <c r="E340" t="inlineStr">
        <is>
          <t>VILHELMINA</t>
        </is>
      </c>
      <c r="F340" t="inlineStr">
        <is>
          <t>SCA</t>
        </is>
      </c>
      <c r="G340" t="n">
        <v>15.4</v>
      </c>
      <c r="H340" t="n">
        <v>0</v>
      </c>
      <c r="I340" t="n">
        <v>0</v>
      </c>
      <c r="J340" t="n">
        <v>0</v>
      </c>
      <c r="K340" t="n">
        <v>0</v>
      </c>
      <c r="L340" t="n">
        <v>0</v>
      </c>
      <c r="M340" t="n">
        <v>0</v>
      </c>
      <c r="N340" t="n">
        <v>0</v>
      </c>
      <c r="O340" t="n">
        <v>0</v>
      </c>
      <c r="P340" t="n">
        <v>0</v>
      </c>
      <c r="Q340" t="n">
        <v>0</v>
      </c>
      <c r="R340" s="2" t="inlineStr"/>
    </row>
    <row r="341" ht="15" customHeight="1">
      <c r="A341" t="inlineStr">
        <is>
          <t>A 44507-2020</t>
        </is>
      </c>
      <c r="B341" s="1" t="n">
        <v>44084</v>
      </c>
      <c r="C341" s="1" t="n">
        <v>45637</v>
      </c>
      <c r="D341" t="inlineStr">
        <is>
          <t>VÄSTERBOTTENS LÄN</t>
        </is>
      </c>
      <c r="E341" t="inlineStr">
        <is>
          <t>VILHELMINA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46509-2020</t>
        </is>
      </c>
      <c r="B342" s="1" t="n">
        <v>44088</v>
      </c>
      <c r="C342" s="1" t="n">
        <v>45637</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46378-2020</t>
        </is>
      </c>
      <c r="B343" s="1" t="n">
        <v>44092</v>
      </c>
      <c r="C343" s="1" t="n">
        <v>45637</v>
      </c>
      <c r="D343" t="inlineStr">
        <is>
          <t>VÄSTERBOTTENS LÄN</t>
        </is>
      </c>
      <c r="E343" t="inlineStr">
        <is>
          <t>VILHELMINA</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46373-2020</t>
        </is>
      </c>
      <c r="B344" s="1" t="n">
        <v>44092</v>
      </c>
      <c r="C344" s="1" t="n">
        <v>45637</v>
      </c>
      <c r="D344" t="inlineStr">
        <is>
          <t>VÄSTERBOTTENS LÄN</t>
        </is>
      </c>
      <c r="E344" t="inlineStr">
        <is>
          <t>VILHELMINA</t>
        </is>
      </c>
      <c r="F344" t="inlineStr">
        <is>
          <t>SCA</t>
        </is>
      </c>
      <c r="G344" t="n">
        <v>6.8</v>
      </c>
      <c r="H344" t="n">
        <v>0</v>
      </c>
      <c r="I344" t="n">
        <v>0</v>
      </c>
      <c r="J344" t="n">
        <v>0</v>
      </c>
      <c r="K344" t="n">
        <v>0</v>
      </c>
      <c r="L344" t="n">
        <v>0</v>
      </c>
      <c r="M344" t="n">
        <v>0</v>
      </c>
      <c r="N344" t="n">
        <v>0</v>
      </c>
      <c r="O344" t="n">
        <v>0</v>
      </c>
      <c r="P344" t="n">
        <v>0</v>
      </c>
      <c r="Q344" t="n">
        <v>0</v>
      </c>
      <c r="R344" s="2" t="inlineStr"/>
    </row>
    <row r="345" ht="15" customHeight="1">
      <c r="A345" t="inlineStr">
        <is>
          <t>A 47308-2020</t>
        </is>
      </c>
      <c r="B345" s="1" t="n">
        <v>44092</v>
      </c>
      <c r="C345" s="1" t="n">
        <v>45637</v>
      </c>
      <c r="D345" t="inlineStr">
        <is>
          <t>VÄSTERBOTTENS LÄN</t>
        </is>
      </c>
      <c r="E345" t="inlineStr">
        <is>
          <t>VILHELMINA</t>
        </is>
      </c>
      <c r="F345" t="inlineStr">
        <is>
          <t>Övriga statliga verk och myndigheter</t>
        </is>
      </c>
      <c r="G345" t="n">
        <v>35.3</v>
      </c>
      <c r="H345" t="n">
        <v>0</v>
      </c>
      <c r="I345" t="n">
        <v>0</v>
      </c>
      <c r="J345" t="n">
        <v>0</v>
      </c>
      <c r="K345" t="n">
        <v>0</v>
      </c>
      <c r="L345" t="n">
        <v>0</v>
      </c>
      <c r="M345" t="n">
        <v>0</v>
      </c>
      <c r="N345" t="n">
        <v>0</v>
      </c>
      <c r="O345" t="n">
        <v>0</v>
      </c>
      <c r="P345" t="n">
        <v>0</v>
      </c>
      <c r="Q345" t="n">
        <v>0</v>
      </c>
      <c r="R345" s="2" t="inlineStr"/>
    </row>
    <row r="346" ht="15" customHeight="1">
      <c r="A346" t="inlineStr">
        <is>
          <t>A 48256-2020</t>
        </is>
      </c>
      <c r="B346" s="1" t="n">
        <v>44092</v>
      </c>
      <c r="C346" s="1" t="n">
        <v>45637</v>
      </c>
      <c r="D346" t="inlineStr">
        <is>
          <t>VÄSTERBOTTENS LÄN</t>
        </is>
      </c>
      <c r="E346" t="inlineStr">
        <is>
          <t>VILHELMINA</t>
        </is>
      </c>
      <c r="F346" t="inlineStr">
        <is>
          <t>Övriga statliga verk och myndigheter</t>
        </is>
      </c>
      <c r="G346" t="n">
        <v>13.4</v>
      </c>
      <c r="H346" t="n">
        <v>0</v>
      </c>
      <c r="I346" t="n">
        <v>0</v>
      </c>
      <c r="J346" t="n">
        <v>0</v>
      </c>
      <c r="K346" t="n">
        <v>0</v>
      </c>
      <c r="L346" t="n">
        <v>0</v>
      </c>
      <c r="M346" t="n">
        <v>0</v>
      </c>
      <c r="N346" t="n">
        <v>0</v>
      </c>
      <c r="O346" t="n">
        <v>0</v>
      </c>
      <c r="P346" t="n">
        <v>0</v>
      </c>
      <c r="Q346" t="n">
        <v>0</v>
      </c>
      <c r="R346" s="2" t="inlineStr"/>
    </row>
    <row r="347" ht="15" customHeight="1">
      <c r="A347" t="inlineStr">
        <is>
          <t>A 48019-2020</t>
        </is>
      </c>
      <c r="B347" s="1" t="n">
        <v>44092</v>
      </c>
      <c r="C347" s="1" t="n">
        <v>45637</v>
      </c>
      <c r="D347" t="inlineStr">
        <is>
          <t>VÄSTERBOTTENS LÄN</t>
        </is>
      </c>
      <c r="E347" t="inlineStr">
        <is>
          <t>VILHELMINA</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47193-2020</t>
        </is>
      </c>
      <c r="B348" s="1" t="n">
        <v>44097</v>
      </c>
      <c r="C348" s="1" t="n">
        <v>45637</v>
      </c>
      <c r="D348" t="inlineStr">
        <is>
          <t>VÄSTERBOTTENS LÄN</t>
        </is>
      </c>
      <c r="E348" t="inlineStr">
        <is>
          <t>VILHELMINA</t>
        </is>
      </c>
      <c r="G348" t="n">
        <v>6.8</v>
      </c>
      <c r="H348" t="n">
        <v>0</v>
      </c>
      <c r="I348" t="n">
        <v>0</v>
      </c>
      <c r="J348" t="n">
        <v>0</v>
      </c>
      <c r="K348" t="n">
        <v>0</v>
      </c>
      <c r="L348" t="n">
        <v>0</v>
      </c>
      <c r="M348" t="n">
        <v>0</v>
      </c>
      <c r="N348" t="n">
        <v>0</v>
      </c>
      <c r="O348" t="n">
        <v>0</v>
      </c>
      <c r="P348" t="n">
        <v>0</v>
      </c>
      <c r="Q348" t="n">
        <v>0</v>
      </c>
      <c r="R348" s="2" t="inlineStr"/>
    </row>
    <row r="349" ht="15" customHeight="1">
      <c r="A349" t="inlineStr">
        <is>
          <t>A 52165-2020</t>
        </is>
      </c>
      <c r="B349" s="1" t="n">
        <v>44105</v>
      </c>
      <c r="C349" s="1" t="n">
        <v>45637</v>
      </c>
      <c r="D349" t="inlineStr">
        <is>
          <t>VÄSTERBOTTENS LÄN</t>
        </is>
      </c>
      <c r="E349" t="inlineStr">
        <is>
          <t>VILHELMINA</t>
        </is>
      </c>
      <c r="G349" t="n">
        <v>16.1</v>
      </c>
      <c r="H349" t="n">
        <v>0</v>
      </c>
      <c r="I349" t="n">
        <v>0</v>
      </c>
      <c r="J349" t="n">
        <v>0</v>
      </c>
      <c r="K349" t="n">
        <v>0</v>
      </c>
      <c r="L349" t="n">
        <v>0</v>
      </c>
      <c r="M349" t="n">
        <v>0</v>
      </c>
      <c r="N349" t="n">
        <v>0</v>
      </c>
      <c r="O349" t="n">
        <v>0</v>
      </c>
      <c r="P349" t="n">
        <v>0</v>
      </c>
      <c r="Q349" t="n">
        <v>0</v>
      </c>
      <c r="R349" s="2" t="inlineStr"/>
    </row>
    <row r="350" ht="15" customHeight="1">
      <c r="A350" t="inlineStr">
        <is>
          <t>A 52174-2020</t>
        </is>
      </c>
      <c r="B350" s="1" t="n">
        <v>44105</v>
      </c>
      <c r="C350" s="1" t="n">
        <v>45637</v>
      </c>
      <c r="D350" t="inlineStr">
        <is>
          <t>VÄSTERBOTTENS LÄN</t>
        </is>
      </c>
      <c r="E350" t="inlineStr">
        <is>
          <t>VILHELMINA</t>
        </is>
      </c>
      <c r="G350" t="n">
        <v>3</v>
      </c>
      <c r="H350" t="n">
        <v>0</v>
      </c>
      <c r="I350" t="n">
        <v>0</v>
      </c>
      <c r="J350" t="n">
        <v>0</v>
      </c>
      <c r="K350" t="n">
        <v>0</v>
      </c>
      <c r="L350" t="n">
        <v>0</v>
      </c>
      <c r="M350" t="n">
        <v>0</v>
      </c>
      <c r="N350" t="n">
        <v>0</v>
      </c>
      <c r="O350" t="n">
        <v>0</v>
      </c>
      <c r="P350" t="n">
        <v>0</v>
      </c>
      <c r="Q350" t="n">
        <v>0</v>
      </c>
      <c r="R350" s="2" t="inlineStr"/>
    </row>
    <row r="351" ht="15" customHeight="1">
      <c r="A351" t="inlineStr">
        <is>
          <t>A 50139-2020</t>
        </is>
      </c>
      <c r="B351" s="1" t="n">
        <v>44109</v>
      </c>
      <c r="C351" s="1" t="n">
        <v>45637</v>
      </c>
      <c r="D351" t="inlineStr">
        <is>
          <t>VÄSTERBOTTENS LÄN</t>
        </is>
      </c>
      <c r="E351" t="inlineStr">
        <is>
          <t>VILHELMINA</t>
        </is>
      </c>
      <c r="G351" t="n">
        <v>1.2</v>
      </c>
      <c r="H351" t="n">
        <v>0</v>
      </c>
      <c r="I351" t="n">
        <v>0</v>
      </c>
      <c r="J351" t="n">
        <v>0</v>
      </c>
      <c r="K351" t="n">
        <v>0</v>
      </c>
      <c r="L351" t="n">
        <v>0</v>
      </c>
      <c r="M351" t="n">
        <v>0</v>
      </c>
      <c r="N351" t="n">
        <v>0</v>
      </c>
      <c r="O351" t="n">
        <v>0</v>
      </c>
      <c r="P351" t="n">
        <v>0</v>
      </c>
      <c r="Q351" t="n">
        <v>0</v>
      </c>
      <c r="R351" s="2" t="inlineStr"/>
    </row>
    <row r="352" ht="15" customHeight="1">
      <c r="A352" t="inlineStr">
        <is>
          <t>A 52669-2020</t>
        </is>
      </c>
      <c r="B352" s="1" t="n">
        <v>44118</v>
      </c>
      <c r="C352" s="1" t="n">
        <v>45637</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54947-2020</t>
        </is>
      </c>
      <c r="B353" s="1" t="n">
        <v>44129</v>
      </c>
      <c r="C353" s="1" t="n">
        <v>45637</v>
      </c>
      <c r="D353" t="inlineStr">
        <is>
          <t>VÄSTERBOTTENS LÄN</t>
        </is>
      </c>
      <c r="E353" t="inlineStr">
        <is>
          <t>VILHELMINA</t>
        </is>
      </c>
      <c r="G353" t="n">
        <v>6.1</v>
      </c>
      <c r="H353" t="n">
        <v>0</v>
      </c>
      <c r="I353" t="n">
        <v>0</v>
      </c>
      <c r="J353" t="n">
        <v>0</v>
      </c>
      <c r="K353" t="n">
        <v>0</v>
      </c>
      <c r="L353" t="n">
        <v>0</v>
      </c>
      <c r="M353" t="n">
        <v>0</v>
      </c>
      <c r="N353" t="n">
        <v>0</v>
      </c>
      <c r="O353" t="n">
        <v>0</v>
      </c>
      <c r="P353" t="n">
        <v>0</v>
      </c>
      <c r="Q353" t="n">
        <v>0</v>
      </c>
      <c r="R353" s="2" t="inlineStr"/>
    </row>
    <row r="354" ht="15" customHeight="1">
      <c r="A354" t="inlineStr">
        <is>
          <t>A 55440-2020</t>
        </is>
      </c>
      <c r="B354" s="1" t="n">
        <v>44131</v>
      </c>
      <c r="C354" s="1" t="n">
        <v>45637</v>
      </c>
      <c r="D354" t="inlineStr">
        <is>
          <t>VÄSTERBOTTENS LÄN</t>
        </is>
      </c>
      <c r="E354" t="inlineStr">
        <is>
          <t>VILHELMINA</t>
        </is>
      </c>
      <c r="G354" t="n">
        <v>18.3</v>
      </c>
      <c r="H354" t="n">
        <v>0</v>
      </c>
      <c r="I354" t="n">
        <v>0</v>
      </c>
      <c r="J354" t="n">
        <v>0</v>
      </c>
      <c r="K354" t="n">
        <v>0</v>
      </c>
      <c r="L354" t="n">
        <v>0</v>
      </c>
      <c r="M354" t="n">
        <v>0</v>
      </c>
      <c r="N354" t="n">
        <v>0</v>
      </c>
      <c r="O354" t="n">
        <v>0</v>
      </c>
      <c r="P354" t="n">
        <v>0</v>
      </c>
      <c r="Q354" t="n">
        <v>0</v>
      </c>
      <c r="R354" s="2" t="inlineStr"/>
    </row>
    <row r="355" ht="15" customHeight="1">
      <c r="A355" t="inlineStr">
        <is>
          <t>A 58584-2020</t>
        </is>
      </c>
      <c r="B355" s="1" t="n">
        <v>44144</v>
      </c>
      <c r="C355" s="1" t="n">
        <v>45637</v>
      </c>
      <c r="D355" t="inlineStr">
        <is>
          <t>VÄSTERBOTTENS LÄN</t>
        </is>
      </c>
      <c r="E355" t="inlineStr">
        <is>
          <t>VILHELMINA</t>
        </is>
      </c>
      <c r="F355" t="inlineStr">
        <is>
          <t>Övriga statliga verk och myndigheter</t>
        </is>
      </c>
      <c r="G355" t="n">
        <v>20.8</v>
      </c>
      <c r="H355" t="n">
        <v>0</v>
      </c>
      <c r="I355" t="n">
        <v>0</v>
      </c>
      <c r="J355" t="n">
        <v>0</v>
      </c>
      <c r="K355" t="n">
        <v>0</v>
      </c>
      <c r="L355" t="n">
        <v>0</v>
      </c>
      <c r="M355" t="n">
        <v>0</v>
      </c>
      <c r="N355" t="n">
        <v>0</v>
      </c>
      <c r="O355" t="n">
        <v>0</v>
      </c>
      <c r="P355" t="n">
        <v>0</v>
      </c>
      <c r="Q355" t="n">
        <v>0</v>
      </c>
      <c r="R355" s="2" t="inlineStr"/>
    </row>
    <row r="356" ht="15" customHeight="1">
      <c r="A356" t="inlineStr">
        <is>
          <t>A 59587-2020</t>
        </is>
      </c>
      <c r="B356" s="1" t="n">
        <v>44148</v>
      </c>
      <c r="C356" s="1" t="n">
        <v>45637</v>
      </c>
      <c r="D356" t="inlineStr">
        <is>
          <t>VÄSTERBOTTENS LÄN</t>
        </is>
      </c>
      <c r="E356" t="inlineStr">
        <is>
          <t>VILHELMINA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60090-2020</t>
        </is>
      </c>
      <c r="B357" s="1" t="n">
        <v>44151</v>
      </c>
      <c r="C357" s="1" t="n">
        <v>45637</v>
      </c>
      <c r="D357" t="inlineStr">
        <is>
          <t>VÄSTERBOTTENS LÄN</t>
        </is>
      </c>
      <c r="E357" t="inlineStr">
        <is>
          <t>VILHELMINA</t>
        </is>
      </c>
      <c r="G357" t="n">
        <v>9</v>
      </c>
      <c r="H357" t="n">
        <v>0</v>
      </c>
      <c r="I357" t="n">
        <v>0</v>
      </c>
      <c r="J357" t="n">
        <v>0</v>
      </c>
      <c r="K357" t="n">
        <v>0</v>
      </c>
      <c r="L357" t="n">
        <v>0</v>
      </c>
      <c r="M357" t="n">
        <v>0</v>
      </c>
      <c r="N357" t="n">
        <v>0</v>
      </c>
      <c r="O357" t="n">
        <v>0</v>
      </c>
      <c r="P357" t="n">
        <v>0</v>
      </c>
      <c r="Q357" t="n">
        <v>0</v>
      </c>
      <c r="R357" s="2" t="inlineStr"/>
    </row>
    <row r="358" ht="15" customHeight="1">
      <c r="A358" t="inlineStr">
        <is>
          <t>A 60812-2020</t>
        </is>
      </c>
      <c r="B358" s="1" t="n">
        <v>44153</v>
      </c>
      <c r="C358" s="1" t="n">
        <v>45637</v>
      </c>
      <c r="D358" t="inlineStr">
        <is>
          <t>VÄSTERBOTTENS LÄN</t>
        </is>
      </c>
      <c r="E358" t="inlineStr">
        <is>
          <t>VILHELMINA</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61129-2020</t>
        </is>
      </c>
      <c r="B359" s="1" t="n">
        <v>44154</v>
      </c>
      <c r="C359" s="1" t="n">
        <v>45637</v>
      </c>
      <c r="D359" t="inlineStr">
        <is>
          <t>VÄSTERBOTTENS LÄN</t>
        </is>
      </c>
      <c r="E359" t="inlineStr">
        <is>
          <t>VILHELMINA</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61920-2020</t>
        </is>
      </c>
      <c r="B360" s="1" t="n">
        <v>44155</v>
      </c>
      <c r="C360" s="1" t="n">
        <v>45637</v>
      </c>
      <c r="D360" t="inlineStr">
        <is>
          <t>VÄSTERBOTTENS LÄN</t>
        </is>
      </c>
      <c r="E360" t="inlineStr">
        <is>
          <t>VILHELMINA</t>
        </is>
      </c>
      <c r="G360" t="n">
        <v>7.7</v>
      </c>
      <c r="H360" t="n">
        <v>0</v>
      </c>
      <c r="I360" t="n">
        <v>0</v>
      </c>
      <c r="J360" t="n">
        <v>0</v>
      </c>
      <c r="K360" t="n">
        <v>0</v>
      </c>
      <c r="L360" t="n">
        <v>0</v>
      </c>
      <c r="M360" t="n">
        <v>0</v>
      </c>
      <c r="N360" t="n">
        <v>0</v>
      </c>
      <c r="O360" t="n">
        <v>0</v>
      </c>
      <c r="P360" t="n">
        <v>0</v>
      </c>
      <c r="Q360" t="n">
        <v>0</v>
      </c>
      <c r="R360" s="2" t="inlineStr"/>
    </row>
    <row r="361" ht="15" customHeight="1">
      <c r="A361" t="inlineStr">
        <is>
          <t>A 62874-2020</t>
        </is>
      </c>
      <c r="B361" s="1" t="n">
        <v>44161</v>
      </c>
      <c r="C361" s="1" t="n">
        <v>45637</v>
      </c>
      <c r="D361" t="inlineStr">
        <is>
          <t>VÄSTERBOTTENS LÄN</t>
        </is>
      </c>
      <c r="E361" t="inlineStr">
        <is>
          <t>VILHELMINA</t>
        </is>
      </c>
      <c r="F361" t="inlineStr">
        <is>
          <t>SCA</t>
        </is>
      </c>
      <c r="G361" t="n">
        <v>10.7</v>
      </c>
      <c r="H361" t="n">
        <v>0</v>
      </c>
      <c r="I361" t="n">
        <v>0</v>
      </c>
      <c r="J361" t="n">
        <v>0</v>
      </c>
      <c r="K361" t="n">
        <v>0</v>
      </c>
      <c r="L361" t="n">
        <v>0</v>
      </c>
      <c r="M361" t="n">
        <v>0</v>
      </c>
      <c r="N361" t="n">
        <v>0</v>
      </c>
      <c r="O361" t="n">
        <v>0</v>
      </c>
      <c r="P361" t="n">
        <v>0</v>
      </c>
      <c r="Q361" t="n">
        <v>0</v>
      </c>
      <c r="R361" s="2" t="inlineStr"/>
    </row>
    <row r="362" ht="15" customHeight="1">
      <c r="A362" t="inlineStr">
        <is>
          <t>A 64065-2020</t>
        </is>
      </c>
      <c r="B362" s="1" t="n">
        <v>44165</v>
      </c>
      <c r="C362" s="1" t="n">
        <v>45637</v>
      </c>
      <c r="D362" t="inlineStr">
        <is>
          <t>VÄSTERBOTTENS LÄN</t>
        </is>
      </c>
      <c r="E362" t="inlineStr">
        <is>
          <t>VILHELMINA</t>
        </is>
      </c>
      <c r="G362" t="n">
        <v>4.6</v>
      </c>
      <c r="H362" t="n">
        <v>0</v>
      </c>
      <c r="I362" t="n">
        <v>0</v>
      </c>
      <c r="J362" t="n">
        <v>0</v>
      </c>
      <c r="K362" t="n">
        <v>0</v>
      </c>
      <c r="L362" t="n">
        <v>0</v>
      </c>
      <c r="M362" t="n">
        <v>0</v>
      </c>
      <c r="N362" t="n">
        <v>0</v>
      </c>
      <c r="O362" t="n">
        <v>0</v>
      </c>
      <c r="P362" t="n">
        <v>0</v>
      </c>
      <c r="Q362" t="n">
        <v>0</v>
      </c>
      <c r="R362" s="2" t="inlineStr"/>
    </row>
    <row r="363" ht="15" customHeight="1">
      <c r="A363" t="inlineStr">
        <is>
          <t>A 64254-2020</t>
        </is>
      </c>
      <c r="B363" s="1" t="n">
        <v>44168</v>
      </c>
      <c r="C363" s="1" t="n">
        <v>45637</v>
      </c>
      <c r="D363" t="inlineStr">
        <is>
          <t>VÄSTERBOTTENS LÄN</t>
        </is>
      </c>
      <c r="E363" t="inlineStr">
        <is>
          <t>VILHELMINA</t>
        </is>
      </c>
      <c r="G363" t="n">
        <v>17.6</v>
      </c>
      <c r="H363" t="n">
        <v>0</v>
      </c>
      <c r="I363" t="n">
        <v>0</v>
      </c>
      <c r="J363" t="n">
        <v>0</v>
      </c>
      <c r="K363" t="n">
        <v>0</v>
      </c>
      <c r="L363" t="n">
        <v>0</v>
      </c>
      <c r="M363" t="n">
        <v>0</v>
      </c>
      <c r="N363" t="n">
        <v>0</v>
      </c>
      <c r="O363" t="n">
        <v>0</v>
      </c>
      <c r="P363" t="n">
        <v>0</v>
      </c>
      <c r="Q363" t="n">
        <v>0</v>
      </c>
      <c r="R363" s="2" t="inlineStr"/>
    </row>
    <row r="364" ht="15" customHeight="1">
      <c r="A364" t="inlineStr">
        <is>
          <t>A 64759-2020</t>
        </is>
      </c>
      <c r="B364" s="1" t="n">
        <v>44169</v>
      </c>
      <c r="C364" s="1" t="n">
        <v>45637</v>
      </c>
      <c r="D364" t="inlineStr">
        <is>
          <t>VÄSTERBOTTENS LÄN</t>
        </is>
      </c>
      <c r="E364" t="inlineStr">
        <is>
          <t>VILHELMINA</t>
        </is>
      </c>
      <c r="G364" t="n">
        <v>24.6</v>
      </c>
      <c r="H364" t="n">
        <v>0</v>
      </c>
      <c r="I364" t="n">
        <v>0</v>
      </c>
      <c r="J364" t="n">
        <v>0</v>
      </c>
      <c r="K364" t="n">
        <v>0</v>
      </c>
      <c r="L364" t="n">
        <v>0</v>
      </c>
      <c r="M364" t="n">
        <v>0</v>
      </c>
      <c r="N364" t="n">
        <v>0</v>
      </c>
      <c r="O364" t="n">
        <v>0</v>
      </c>
      <c r="P364" t="n">
        <v>0</v>
      </c>
      <c r="Q364" t="n">
        <v>0</v>
      </c>
      <c r="R364" s="2" t="inlineStr"/>
    </row>
    <row r="365" ht="15" customHeight="1">
      <c r="A365" t="inlineStr">
        <is>
          <t>A 65663-2020</t>
        </is>
      </c>
      <c r="B365" s="1" t="n">
        <v>44172</v>
      </c>
      <c r="C365" s="1" t="n">
        <v>45637</v>
      </c>
      <c r="D365" t="inlineStr">
        <is>
          <t>VÄSTERBOTTENS LÄN</t>
        </is>
      </c>
      <c r="E365" t="inlineStr">
        <is>
          <t>VILHELMINA</t>
        </is>
      </c>
      <c r="G365" t="n">
        <v>3.2</v>
      </c>
      <c r="H365" t="n">
        <v>0</v>
      </c>
      <c r="I365" t="n">
        <v>0</v>
      </c>
      <c r="J365" t="n">
        <v>0</v>
      </c>
      <c r="K365" t="n">
        <v>0</v>
      </c>
      <c r="L365" t="n">
        <v>0</v>
      </c>
      <c r="M365" t="n">
        <v>0</v>
      </c>
      <c r="N365" t="n">
        <v>0</v>
      </c>
      <c r="O365" t="n">
        <v>0</v>
      </c>
      <c r="P365" t="n">
        <v>0</v>
      </c>
      <c r="Q365" t="n">
        <v>0</v>
      </c>
      <c r="R365" s="2" t="inlineStr"/>
    </row>
    <row r="366" ht="15" customHeight="1">
      <c r="A366" t="inlineStr">
        <is>
          <t>A 68641-2020</t>
        </is>
      </c>
      <c r="B366" s="1" t="n">
        <v>44186</v>
      </c>
      <c r="C366" s="1" t="n">
        <v>45637</v>
      </c>
      <c r="D366" t="inlineStr">
        <is>
          <t>VÄSTERBOTTENS LÄN</t>
        </is>
      </c>
      <c r="E366" t="inlineStr">
        <is>
          <t>VILHELMINA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68640-2020</t>
        </is>
      </c>
      <c r="B367" s="1" t="n">
        <v>44186</v>
      </c>
      <c r="C367" s="1" t="n">
        <v>45637</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69502-2020</t>
        </is>
      </c>
      <c r="B368" s="1" t="n">
        <v>44193</v>
      </c>
      <c r="C368" s="1" t="n">
        <v>45637</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69621-2020</t>
        </is>
      </c>
      <c r="B369" s="1" t="n">
        <v>44195</v>
      </c>
      <c r="C369" s="1" t="n">
        <v>45637</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1471-2021</t>
        </is>
      </c>
      <c r="B370" s="1" t="n">
        <v>44208</v>
      </c>
      <c r="C370" s="1" t="n">
        <v>45637</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1470-2021</t>
        </is>
      </c>
      <c r="B371" s="1" t="n">
        <v>44208</v>
      </c>
      <c r="C371" s="1" t="n">
        <v>45637</v>
      </c>
      <c r="D371" t="inlineStr">
        <is>
          <t>VÄSTERBOTTENS LÄN</t>
        </is>
      </c>
      <c r="E371" t="inlineStr">
        <is>
          <t>VILHELMINA</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2187-2021</t>
        </is>
      </c>
      <c r="B372" s="1" t="n">
        <v>44211</v>
      </c>
      <c r="C372" s="1" t="n">
        <v>45637</v>
      </c>
      <c r="D372" t="inlineStr">
        <is>
          <t>VÄSTERBOTTENS LÄN</t>
        </is>
      </c>
      <c r="E372" t="inlineStr">
        <is>
          <t>VILHELMINA</t>
        </is>
      </c>
      <c r="F372" t="inlineStr">
        <is>
          <t>Allmännings- och besparingsskogar</t>
        </is>
      </c>
      <c r="G372" t="n">
        <v>21.3</v>
      </c>
      <c r="H372" t="n">
        <v>0</v>
      </c>
      <c r="I372" t="n">
        <v>0</v>
      </c>
      <c r="J372" t="n">
        <v>0</v>
      </c>
      <c r="K372" t="n">
        <v>0</v>
      </c>
      <c r="L372" t="n">
        <v>0</v>
      </c>
      <c r="M372" t="n">
        <v>0</v>
      </c>
      <c r="N372" t="n">
        <v>0</v>
      </c>
      <c r="O372" t="n">
        <v>0</v>
      </c>
      <c r="P372" t="n">
        <v>0</v>
      </c>
      <c r="Q372" t="n">
        <v>0</v>
      </c>
      <c r="R372" s="2" t="inlineStr"/>
    </row>
    <row r="373" ht="15" customHeight="1">
      <c r="A373" t="inlineStr">
        <is>
          <t>A 2189-2021</t>
        </is>
      </c>
      <c r="B373" s="1" t="n">
        <v>44211</v>
      </c>
      <c r="C373" s="1" t="n">
        <v>45637</v>
      </c>
      <c r="D373" t="inlineStr">
        <is>
          <t>VÄSTERBOTTENS LÄN</t>
        </is>
      </c>
      <c r="E373" t="inlineStr">
        <is>
          <t>VILHELMINA</t>
        </is>
      </c>
      <c r="F373" t="inlineStr">
        <is>
          <t>Allmännings- och besparingsskogar</t>
        </is>
      </c>
      <c r="G373" t="n">
        <v>20.1</v>
      </c>
      <c r="H373" t="n">
        <v>0</v>
      </c>
      <c r="I373" t="n">
        <v>0</v>
      </c>
      <c r="J373" t="n">
        <v>0</v>
      </c>
      <c r="K373" t="n">
        <v>0</v>
      </c>
      <c r="L373" t="n">
        <v>0</v>
      </c>
      <c r="M373" t="n">
        <v>0</v>
      </c>
      <c r="N373" t="n">
        <v>0</v>
      </c>
      <c r="O373" t="n">
        <v>0</v>
      </c>
      <c r="P373" t="n">
        <v>0</v>
      </c>
      <c r="Q373" t="n">
        <v>0</v>
      </c>
      <c r="R373" s="2" t="inlineStr"/>
    </row>
    <row r="374" ht="15" customHeight="1">
      <c r="A374" t="inlineStr">
        <is>
          <t>A 2193-2021</t>
        </is>
      </c>
      <c r="B374" s="1" t="n">
        <v>44211</v>
      </c>
      <c r="C374" s="1" t="n">
        <v>45637</v>
      </c>
      <c r="D374" t="inlineStr">
        <is>
          <t>VÄSTERBOTTENS LÄN</t>
        </is>
      </c>
      <c r="E374" t="inlineStr">
        <is>
          <t>VILHELMINA</t>
        </is>
      </c>
      <c r="F374" t="inlineStr">
        <is>
          <t>Allmännings- och besparingsskogar</t>
        </is>
      </c>
      <c r="G374" t="n">
        <v>157.8</v>
      </c>
      <c r="H374" t="n">
        <v>0</v>
      </c>
      <c r="I374" t="n">
        <v>0</v>
      </c>
      <c r="J374" t="n">
        <v>0</v>
      </c>
      <c r="K374" t="n">
        <v>0</v>
      </c>
      <c r="L374" t="n">
        <v>0</v>
      </c>
      <c r="M374" t="n">
        <v>0</v>
      </c>
      <c r="N374" t="n">
        <v>0</v>
      </c>
      <c r="O374" t="n">
        <v>0</v>
      </c>
      <c r="P374" t="n">
        <v>0</v>
      </c>
      <c r="Q374" t="n">
        <v>0</v>
      </c>
      <c r="R374" s="2" t="inlineStr"/>
    </row>
    <row r="375" ht="15" customHeight="1">
      <c r="A375" t="inlineStr">
        <is>
          <t>A 3096-2021</t>
        </is>
      </c>
      <c r="B375" s="1" t="n">
        <v>44216</v>
      </c>
      <c r="C375" s="1" t="n">
        <v>45637</v>
      </c>
      <c r="D375" t="inlineStr">
        <is>
          <t>VÄSTERBOTTENS LÄN</t>
        </is>
      </c>
      <c r="E375" t="inlineStr">
        <is>
          <t>VILHELMINA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3435-2021</t>
        </is>
      </c>
      <c r="B376" s="1" t="n">
        <v>44216</v>
      </c>
      <c r="C376" s="1" t="n">
        <v>45637</v>
      </c>
      <c r="D376" t="inlineStr">
        <is>
          <t>VÄSTERBOTTENS LÄN</t>
        </is>
      </c>
      <c r="E376" t="inlineStr">
        <is>
          <t>VILHELMINA</t>
        </is>
      </c>
      <c r="G376" t="n">
        <v>20.5</v>
      </c>
      <c r="H376" t="n">
        <v>0</v>
      </c>
      <c r="I376" t="n">
        <v>0</v>
      </c>
      <c r="J376" t="n">
        <v>0</v>
      </c>
      <c r="K376" t="n">
        <v>0</v>
      </c>
      <c r="L376" t="n">
        <v>0</v>
      </c>
      <c r="M376" t="n">
        <v>0</v>
      </c>
      <c r="N376" t="n">
        <v>0</v>
      </c>
      <c r="O376" t="n">
        <v>0</v>
      </c>
      <c r="P376" t="n">
        <v>0</v>
      </c>
      <c r="Q376" t="n">
        <v>0</v>
      </c>
      <c r="R376" s="2" t="inlineStr"/>
    </row>
    <row r="377" ht="15" customHeight="1">
      <c r="A377" t="inlineStr">
        <is>
          <t>A 6699-2021</t>
        </is>
      </c>
      <c r="B377" s="1" t="n">
        <v>44235</v>
      </c>
      <c r="C377" s="1" t="n">
        <v>45637</v>
      </c>
      <c r="D377" t="inlineStr">
        <is>
          <t>VÄSTERBOTTENS LÄN</t>
        </is>
      </c>
      <c r="E377" t="inlineStr">
        <is>
          <t>VILHELMINA</t>
        </is>
      </c>
      <c r="G377" t="n">
        <v>6.9</v>
      </c>
      <c r="H377" t="n">
        <v>0</v>
      </c>
      <c r="I377" t="n">
        <v>0</v>
      </c>
      <c r="J377" t="n">
        <v>0</v>
      </c>
      <c r="K377" t="n">
        <v>0</v>
      </c>
      <c r="L377" t="n">
        <v>0</v>
      </c>
      <c r="M377" t="n">
        <v>0</v>
      </c>
      <c r="N377" t="n">
        <v>0</v>
      </c>
      <c r="O377" t="n">
        <v>0</v>
      </c>
      <c r="P377" t="n">
        <v>0</v>
      </c>
      <c r="Q377" t="n">
        <v>0</v>
      </c>
      <c r="R377" s="2" t="inlineStr"/>
    </row>
    <row r="378" ht="15" customHeight="1">
      <c r="A378" t="inlineStr">
        <is>
          <t>A 6664-2021</t>
        </is>
      </c>
      <c r="B378" s="1" t="n">
        <v>44235</v>
      </c>
      <c r="C378" s="1" t="n">
        <v>45637</v>
      </c>
      <c r="D378" t="inlineStr">
        <is>
          <t>VÄSTERBOTTENS LÄN</t>
        </is>
      </c>
      <c r="E378" t="inlineStr">
        <is>
          <t>VILHELMINA</t>
        </is>
      </c>
      <c r="G378" t="n">
        <v>2.5</v>
      </c>
      <c r="H378" t="n">
        <v>0</v>
      </c>
      <c r="I378" t="n">
        <v>0</v>
      </c>
      <c r="J378" t="n">
        <v>0</v>
      </c>
      <c r="K378" t="n">
        <v>0</v>
      </c>
      <c r="L378" t="n">
        <v>0</v>
      </c>
      <c r="M378" t="n">
        <v>0</v>
      </c>
      <c r="N378" t="n">
        <v>0</v>
      </c>
      <c r="O378" t="n">
        <v>0</v>
      </c>
      <c r="P378" t="n">
        <v>0</v>
      </c>
      <c r="Q378" t="n">
        <v>0</v>
      </c>
      <c r="R378" s="2" t="inlineStr"/>
    </row>
    <row r="379" ht="15" customHeight="1">
      <c r="A379" t="inlineStr">
        <is>
          <t>A 6653-2021</t>
        </is>
      </c>
      <c r="B379" s="1" t="n">
        <v>44235</v>
      </c>
      <c r="C379" s="1" t="n">
        <v>45637</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6669-2021</t>
        </is>
      </c>
      <c r="B380" s="1" t="n">
        <v>44235</v>
      </c>
      <c r="C380" s="1" t="n">
        <v>45637</v>
      </c>
      <c r="D380" t="inlineStr">
        <is>
          <t>VÄSTERBOTTENS LÄN</t>
        </is>
      </c>
      <c r="E380" t="inlineStr">
        <is>
          <t>VILHELMINA</t>
        </is>
      </c>
      <c r="G380" t="n">
        <v>19.8</v>
      </c>
      <c r="H380" t="n">
        <v>0</v>
      </c>
      <c r="I380" t="n">
        <v>0</v>
      </c>
      <c r="J380" t="n">
        <v>0</v>
      </c>
      <c r="K380" t="n">
        <v>0</v>
      </c>
      <c r="L380" t="n">
        <v>0</v>
      </c>
      <c r="M380" t="n">
        <v>0</v>
      </c>
      <c r="N380" t="n">
        <v>0</v>
      </c>
      <c r="O380" t="n">
        <v>0</v>
      </c>
      <c r="P380" t="n">
        <v>0</v>
      </c>
      <c r="Q380" t="n">
        <v>0</v>
      </c>
      <c r="R380" s="2" t="inlineStr"/>
    </row>
    <row r="381" ht="15" customHeight="1">
      <c r="A381" t="inlineStr">
        <is>
          <t>A 6665-2021</t>
        </is>
      </c>
      <c r="B381" s="1" t="n">
        <v>44235</v>
      </c>
      <c r="C381" s="1" t="n">
        <v>45637</v>
      </c>
      <c r="D381" t="inlineStr">
        <is>
          <t>VÄSTERBOTTENS LÄN</t>
        </is>
      </c>
      <c r="E381" t="inlineStr">
        <is>
          <t>VILHELMINA</t>
        </is>
      </c>
      <c r="G381" t="n">
        <v>20</v>
      </c>
      <c r="H381" t="n">
        <v>0</v>
      </c>
      <c r="I381" t="n">
        <v>0</v>
      </c>
      <c r="J381" t="n">
        <v>0</v>
      </c>
      <c r="K381" t="n">
        <v>0</v>
      </c>
      <c r="L381" t="n">
        <v>0</v>
      </c>
      <c r="M381" t="n">
        <v>0</v>
      </c>
      <c r="N381" t="n">
        <v>0</v>
      </c>
      <c r="O381" t="n">
        <v>0</v>
      </c>
      <c r="P381" t="n">
        <v>0</v>
      </c>
      <c r="Q381" t="n">
        <v>0</v>
      </c>
      <c r="R381" s="2" t="inlineStr"/>
    </row>
    <row r="382" ht="15" customHeight="1">
      <c r="A382" t="inlineStr">
        <is>
          <t>A 6706-2021</t>
        </is>
      </c>
      <c r="B382" s="1" t="n">
        <v>44235</v>
      </c>
      <c r="C382" s="1" t="n">
        <v>45637</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7078-2021</t>
        </is>
      </c>
      <c r="B383" s="1" t="n">
        <v>44237</v>
      </c>
      <c r="C383" s="1" t="n">
        <v>45637</v>
      </c>
      <c r="D383" t="inlineStr">
        <is>
          <t>VÄSTERBOTTENS LÄN</t>
        </is>
      </c>
      <c r="E383" t="inlineStr">
        <is>
          <t>VILHELMINA</t>
        </is>
      </c>
      <c r="F383" t="inlineStr">
        <is>
          <t>SCA</t>
        </is>
      </c>
      <c r="G383" t="n">
        <v>28.4</v>
      </c>
      <c r="H383" t="n">
        <v>0</v>
      </c>
      <c r="I383" t="n">
        <v>0</v>
      </c>
      <c r="J383" t="n">
        <v>0</v>
      </c>
      <c r="K383" t="n">
        <v>0</v>
      </c>
      <c r="L383" t="n">
        <v>0</v>
      </c>
      <c r="M383" t="n">
        <v>0</v>
      </c>
      <c r="N383" t="n">
        <v>0</v>
      </c>
      <c r="O383" t="n">
        <v>0</v>
      </c>
      <c r="P383" t="n">
        <v>0</v>
      </c>
      <c r="Q383" t="n">
        <v>0</v>
      </c>
      <c r="R383" s="2" t="inlineStr"/>
    </row>
    <row r="384" ht="15" customHeight="1">
      <c r="A384" t="inlineStr">
        <is>
          <t>A 8003-2021</t>
        </is>
      </c>
      <c r="B384" s="1" t="n">
        <v>44243</v>
      </c>
      <c r="C384" s="1" t="n">
        <v>45637</v>
      </c>
      <c r="D384" t="inlineStr">
        <is>
          <t>VÄSTERBOTTENS LÄN</t>
        </is>
      </c>
      <c r="E384" t="inlineStr">
        <is>
          <t>VILHELMINA</t>
        </is>
      </c>
      <c r="G384" t="n">
        <v>5.1</v>
      </c>
      <c r="H384" t="n">
        <v>0</v>
      </c>
      <c r="I384" t="n">
        <v>0</v>
      </c>
      <c r="J384" t="n">
        <v>0</v>
      </c>
      <c r="K384" t="n">
        <v>0</v>
      </c>
      <c r="L384" t="n">
        <v>0</v>
      </c>
      <c r="M384" t="n">
        <v>0</v>
      </c>
      <c r="N384" t="n">
        <v>0</v>
      </c>
      <c r="O384" t="n">
        <v>0</v>
      </c>
      <c r="P384" t="n">
        <v>0</v>
      </c>
      <c r="Q384" t="n">
        <v>0</v>
      </c>
      <c r="R384" s="2" t="inlineStr"/>
    </row>
    <row r="385" ht="15" customHeight="1">
      <c r="A385" t="inlineStr">
        <is>
          <t>A 8750-2021</t>
        </is>
      </c>
      <c r="B385" s="1" t="n">
        <v>44246</v>
      </c>
      <c r="C385" s="1" t="n">
        <v>45637</v>
      </c>
      <c r="D385" t="inlineStr">
        <is>
          <t>VÄSTERBOTTENS LÄN</t>
        </is>
      </c>
      <c r="E385" t="inlineStr">
        <is>
          <t>VILHELMINA</t>
        </is>
      </c>
      <c r="G385" t="n">
        <v>5.2</v>
      </c>
      <c r="H385" t="n">
        <v>0</v>
      </c>
      <c r="I385" t="n">
        <v>0</v>
      </c>
      <c r="J385" t="n">
        <v>0</v>
      </c>
      <c r="K385" t="n">
        <v>0</v>
      </c>
      <c r="L385" t="n">
        <v>0</v>
      </c>
      <c r="M385" t="n">
        <v>0</v>
      </c>
      <c r="N385" t="n">
        <v>0</v>
      </c>
      <c r="O385" t="n">
        <v>0</v>
      </c>
      <c r="P385" t="n">
        <v>0</v>
      </c>
      <c r="Q385" t="n">
        <v>0</v>
      </c>
      <c r="R385" s="2" t="inlineStr"/>
    </row>
    <row r="386" ht="15" customHeight="1">
      <c r="A386" t="inlineStr">
        <is>
          <t>A 10075-2021</t>
        </is>
      </c>
      <c r="B386" s="1" t="n">
        <v>44253</v>
      </c>
      <c r="C386" s="1" t="n">
        <v>45637</v>
      </c>
      <c r="D386" t="inlineStr">
        <is>
          <t>VÄSTERBOTTENS LÄN</t>
        </is>
      </c>
      <c r="E386" t="inlineStr">
        <is>
          <t>VILHELMINA</t>
        </is>
      </c>
      <c r="G386" t="n">
        <v>1.3</v>
      </c>
      <c r="H386" t="n">
        <v>0</v>
      </c>
      <c r="I386" t="n">
        <v>0</v>
      </c>
      <c r="J386" t="n">
        <v>0</v>
      </c>
      <c r="K386" t="n">
        <v>0</v>
      </c>
      <c r="L386" t="n">
        <v>0</v>
      </c>
      <c r="M386" t="n">
        <v>0</v>
      </c>
      <c r="N386" t="n">
        <v>0</v>
      </c>
      <c r="O386" t="n">
        <v>0</v>
      </c>
      <c r="P386" t="n">
        <v>0</v>
      </c>
      <c r="Q386" t="n">
        <v>0</v>
      </c>
      <c r="R386" s="2" t="inlineStr"/>
    </row>
    <row r="387" ht="15" customHeight="1">
      <c r="A387" t="inlineStr">
        <is>
          <t>A 9916-2021</t>
        </is>
      </c>
      <c r="B387" s="1" t="n">
        <v>44253</v>
      </c>
      <c r="C387" s="1" t="n">
        <v>45637</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18802-2021</t>
        </is>
      </c>
      <c r="B388" s="1" t="n">
        <v>44307</v>
      </c>
      <c r="C388" s="1" t="n">
        <v>45637</v>
      </c>
      <c r="D388" t="inlineStr">
        <is>
          <t>VÄSTERBOTTENS LÄN</t>
        </is>
      </c>
      <c r="E388" t="inlineStr">
        <is>
          <t>VILHELMINA</t>
        </is>
      </c>
      <c r="G388" t="n">
        <v>1.2</v>
      </c>
      <c r="H388" t="n">
        <v>0</v>
      </c>
      <c r="I388" t="n">
        <v>0</v>
      </c>
      <c r="J388" t="n">
        <v>0</v>
      </c>
      <c r="K388" t="n">
        <v>0</v>
      </c>
      <c r="L388" t="n">
        <v>0</v>
      </c>
      <c r="M388" t="n">
        <v>0</v>
      </c>
      <c r="N388" t="n">
        <v>0</v>
      </c>
      <c r="O388" t="n">
        <v>0</v>
      </c>
      <c r="P388" t="n">
        <v>0</v>
      </c>
      <c r="Q388" t="n">
        <v>0</v>
      </c>
      <c r="R388" s="2" t="inlineStr"/>
    </row>
    <row r="389" ht="15" customHeight="1">
      <c r="A389" t="inlineStr">
        <is>
          <t>A 18781-2021</t>
        </is>
      </c>
      <c r="B389" s="1" t="n">
        <v>44307</v>
      </c>
      <c r="C389" s="1" t="n">
        <v>45637</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18971-2021</t>
        </is>
      </c>
      <c r="B390" s="1" t="n">
        <v>44307</v>
      </c>
      <c r="C390" s="1" t="n">
        <v>45637</v>
      </c>
      <c r="D390" t="inlineStr">
        <is>
          <t>VÄSTERBOTTENS LÄN</t>
        </is>
      </c>
      <c r="E390" t="inlineStr">
        <is>
          <t>VILHELMINA</t>
        </is>
      </c>
      <c r="G390" t="n">
        <v>2</v>
      </c>
      <c r="H390" t="n">
        <v>0</v>
      </c>
      <c r="I390" t="n">
        <v>0</v>
      </c>
      <c r="J390" t="n">
        <v>0</v>
      </c>
      <c r="K390" t="n">
        <v>0</v>
      </c>
      <c r="L390" t="n">
        <v>0</v>
      </c>
      <c r="M390" t="n">
        <v>0</v>
      </c>
      <c r="N390" t="n">
        <v>0</v>
      </c>
      <c r="O390" t="n">
        <v>0</v>
      </c>
      <c r="P390" t="n">
        <v>0</v>
      </c>
      <c r="Q390" t="n">
        <v>0</v>
      </c>
      <c r="R390" s="2" t="inlineStr"/>
    </row>
    <row r="391" ht="15" customHeight="1">
      <c r="A391" t="inlineStr">
        <is>
          <t>A 18790-2021</t>
        </is>
      </c>
      <c r="B391" s="1" t="n">
        <v>44307</v>
      </c>
      <c r="C391" s="1" t="n">
        <v>45637</v>
      </c>
      <c r="D391" t="inlineStr">
        <is>
          <t>VÄSTERBOTTENS LÄN</t>
        </is>
      </c>
      <c r="E391" t="inlineStr">
        <is>
          <t>VILHELMINA</t>
        </is>
      </c>
      <c r="G391" t="n">
        <v>1.1</v>
      </c>
      <c r="H391" t="n">
        <v>0</v>
      </c>
      <c r="I391" t="n">
        <v>0</v>
      </c>
      <c r="J391" t="n">
        <v>0</v>
      </c>
      <c r="K391" t="n">
        <v>0</v>
      </c>
      <c r="L391" t="n">
        <v>0</v>
      </c>
      <c r="M391" t="n">
        <v>0</v>
      </c>
      <c r="N391" t="n">
        <v>0</v>
      </c>
      <c r="O391" t="n">
        <v>0</v>
      </c>
      <c r="P391" t="n">
        <v>0</v>
      </c>
      <c r="Q391" t="n">
        <v>0</v>
      </c>
      <c r="R391" s="2" t="inlineStr"/>
    </row>
    <row r="392" ht="15" customHeight="1">
      <c r="A392" t="inlineStr">
        <is>
          <t>A 18950-2021</t>
        </is>
      </c>
      <c r="B392" s="1" t="n">
        <v>44307</v>
      </c>
      <c r="C392" s="1" t="n">
        <v>45637</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20568-2021</t>
        </is>
      </c>
      <c r="B393" s="1" t="n">
        <v>44316</v>
      </c>
      <c r="C393" s="1" t="n">
        <v>45637</v>
      </c>
      <c r="D393" t="inlineStr">
        <is>
          <t>VÄSTERBOTTENS LÄN</t>
        </is>
      </c>
      <c r="E393" t="inlineStr">
        <is>
          <t>VILHELMINA</t>
        </is>
      </c>
      <c r="G393" t="n">
        <v>0.7</v>
      </c>
      <c r="H393" t="n">
        <v>0</v>
      </c>
      <c r="I393" t="n">
        <v>0</v>
      </c>
      <c r="J393" t="n">
        <v>0</v>
      </c>
      <c r="K393" t="n">
        <v>0</v>
      </c>
      <c r="L393" t="n">
        <v>0</v>
      </c>
      <c r="M393" t="n">
        <v>0</v>
      </c>
      <c r="N393" t="n">
        <v>0</v>
      </c>
      <c r="O393" t="n">
        <v>0</v>
      </c>
      <c r="P393" t="n">
        <v>0</v>
      </c>
      <c r="Q393" t="n">
        <v>0</v>
      </c>
      <c r="R393" s="2" t="inlineStr"/>
    </row>
    <row r="394" ht="15" customHeight="1">
      <c r="A394" t="inlineStr">
        <is>
          <t>A 20653-2021</t>
        </is>
      </c>
      <c r="B394" s="1" t="n">
        <v>44316</v>
      </c>
      <c r="C394" s="1" t="n">
        <v>45637</v>
      </c>
      <c r="D394" t="inlineStr">
        <is>
          <t>VÄSTERBOTTENS LÄN</t>
        </is>
      </c>
      <c r="E394" t="inlineStr">
        <is>
          <t>VILHELMINA</t>
        </is>
      </c>
      <c r="F394" t="inlineStr">
        <is>
          <t>Kommuner</t>
        </is>
      </c>
      <c r="G394" t="n">
        <v>2.5</v>
      </c>
      <c r="H394" t="n">
        <v>0</v>
      </c>
      <c r="I394" t="n">
        <v>0</v>
      </c>
      <c r="J394" t="n">
        <v>0</v>
      </c>
      <c r="K394" t="n">
        <v>0</v>
      </c>
      <c r="L394" t="n">
        <v>0</v>
      </c>
      <c r="M394" t="n">
        <v>0</v>
      </c>
      <c r="N394" t="n">
        <v>0</v>
      </c>
      <c r="O394" t="n">
        <v>0</v>
      </c>
      <c r="P394" t="n">
        <v>0</v>
      </c>
      <c r="Q394" t="n">
        <v>0</v>
      </c>
      <c r="R394" s="2" t="inlineStr"/>
    </row>
    <row r="395" ht="15" customHeight="1">
      <c r="A395" t="inlineStr">
        <is>
          <t>A 21726-2021</t>
        </is>
      </c>
      <c r="B395" s="1" t="n">
        <v>44322</v>
      </c>
      <c r="C395" s="1" t="n">
        <v>45637</v>
      </c>
      <c r="D395" t="inlineStr">
        <is>
          <t>VÄSTERBOTTENS LÄN</t>
        </is>
      </c>
      <c r="E395" t="inlineStr">
        <is>
          <t>VILHELMINA</t>
        </is>
      </c>
      <c r="G395" t="n">
        <v>19.6</v>
      </c>
      <c r="H395" t="n">
        <v>0</v>
      </c>
      <c r="I395" t="n">
        <v>0</v>
      </c>
      <c r="J395" t="n">
        <v>0</v>
      </c>
      <c r="K395" t="n">
        <v>0</v>
      </c>
      <c r="L395" t="n">
        <v>0</v>
      </c>
      <c r="M395" t="n">
        <v>0</v>
      </c>
      <c r="N395" t="n">
        <v>0</v>
      </c>
      <c r="O395" t="n">
        <v>0</v>
      </c>
      <c r="P395" t="n">
        <v>0</v>
      </c>
      <c r="Q395" t="n">
        <v>0</v>
      </c>
      <c r="R395" s="2" t="inlineStr"/>
    </row>
    <row r="396" ht="15" customHeight="1">
      <c r="A396" t="inlineStr">
        <is>
          <t>A 23278-2021</t>
        </is>
      </c>
      <c r="B396" s="1" t="n">
        <v>44328</v>
      </c>
      <c r="C396" s="1" t="n">
        <v>45637</v>
      </c>
      <c r="D396" t="inlineStr">
        <is>
          <t>VÄSTERBOTTENS LÄN</t>
        </is>
      </c>
      <c r="E396" t="inlineStr">
        <is>
          <t>VILHELMINA</t>
        </is>
      </c>
      <c r="F396" t="inlineStr">
        <is>
          <t>Allmännings- och besparingsskogar</t>
        </is>
      </c>
      <c r="G396" t="n">
        <v>13.6</v>
      </c>
      <c r="H396" t="n">
        <v>0</v>
      </c>
      <c r="I396" t="n">
        <v>0</v>
      </c>
      <c r="J396" t="n">
        <v>0</v>
      </c>
      <c r="K396" t="n">
        <v>0</v>
      </c>
      <c r="L396" t="n">
        <v>0</v>
      </c>
      <c r="M396" t="n">
        <v>0</v>
      </c>
      <c r="N396" t="n">
        <v>0</v>
      </c>
      <c r="O396" t="n">
        <v>0</v>
      </c>
      <c r="P396" t="n">
        <v>0</v>
      </c>
      <c r="Q396" t="n">
        <v>0</v>
      </c>
      <c r="R396" s="2" t="inlineStr"/>
    </row>
    <row r="397" ht="15" customHeight="1">
      <c r="A397" t="inlineStr">
        <is>
          <t>A 23270-2021</t>
        </is>
      </c>
      <c r="B397" s="1" t="n">
        <v>44328</v>
      </c>
      <c r="C397" s="1" t="n">
        <v>45637</v>
      </c>
      <c r="D397" t="inlineStr">
        <is>
          <t>VÄSTERBOTTENS LÄN</t>
        </is>
      </c>
      <c r="E397" t="inlineStr">
        <is>
          <t>VILHELMINA</t>
        </is>
      </c>
      <c r="F397" t="inlineStr">
        <is>
          <t>Allmännings- och besparingsskogar</t>
        </is>
      </c>
      <c r="G397" t="n">
        <v>14.7</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45637</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24983-2021</t>
        </is>
      </c>
      <c r="B399" s="1" t="n">
        <v>44341</v>
      </c>
      <c r="C399" s="1" t="n">
        <v>45637</v>
      </c>
      <c r="D399" t="inlineStr">
        <is>
          <t>VÄSTERBOTTENS LÄN</t>
        </is>
      </c>
      <c r="E399" t="inlineStr">
        <is>
          <t>VILHELMINA</t>
        </is>
      </c>
      <c r="G399" t="n">
        <v>12.9</v>
      </c>
      <c r="H399" t="n">
        <v>0</v>
      </c>
      <c r="I399" t="n">
        <v>0</v>
      </c>
      <c r="J399" t="n">
        <v>0</v>
      </c>
      <c r="K399" t="n">
        <v>0</v>
      </c>
      <c r="L399" t="n">
        <v>0</v>
      </c>
      <c r="M399" t="n">
        <v>0</v>
      </c>
      <c r="N399" t="n">
        <v>0</v>
      </c>
      <c r="O399" t="n">
        <v>0</v>
      </c>
      <c r="P399" t="n">
        <v>0</v>
      </c>
      <c r="Q399" t="n">
        <v>0</v>
      </c>
      <c r="R399" s="2" t="inlineStr"/>
    </row>
    <row r="400" ht="15" customHeight="1">
      <c r="A400" t="inlineStr">
        <is>
          <t>A 24599-2021</t>
        </is>
      </c>
      <c r="B400" s="1" t="n">
        <v>44341</v>
      </c>
      <c r="C400" s="1" t="n">
        <v>45637</v>
      </c>
      <c r="D400" t="inlineStr">
        <is>
          <t>VÄSTERBOTTENS LÄN</t>
        </is>
      </c>
      <c r="E400" t="inlineStr">
        <is>
          <t>VILHELMINA</t>
        </is>
      </c>
      <c r="G400" t="n">
        <v>14.5</v>
      </c>
      <c r="H400" t="n">
        <v>0</v>
      </c>
      <c r="I400" t="n">
        <v>0</v>
      </c>
      <c r="J400" t="n">
        <v>0</v>
      </c>
      <c r="K400" t="n">
        <v>0</v>
      </c>
      <c r="L400" t="n">
        <v>0</v>
      </c>
      <c r="M400" t="n">
        <v>0</v>
      </c>
      <c r="N400" t="n">
        <v>0</v>
      </c>
      <c r="O400" t="n">
        <v>0</v>
      </c>
      <c r="P400" t="n">
        <v>0</v>
      </c>
      <c r="Q400" t="n">
        <v>0</v>
      </c>
      <c r="R400" s="2" t="inlineStr"/>
    </row>
    <row r="401" ht="15" customHeight="1">
      <c r="A401" t="inlineStr">
        <is>
          <t>A 25102-2021</t>
        </is>
      </c>
      <c r="B401" s="1" t="n">
        <v>44341</v>
      </c>
      <c r="C401" s="1" t="n">
        <v>45637</v>
      </c>
      <c r="D401" t="inlineStr">
        <is>
          <t>VÄSTERBOTTENS LÄN</t>
        </is>
      </c>
      <c r="E401" t="inlineStr">
        <is>
          <t>VILHELMINA</t>
        </is>
      </c>
      <c r="G401" t="n">
        <v>6.7</v>
      </c>
      <c r="H401" t="n">
        <v>0</v>
      </c>
      <c r="I401" t="n">
        <v>0</v>
      </c>
      <c r="J401" t="n">
        <v>0</v>
      </c>
      <c r="K401" t="n">
        <v>0</v>
      </c>
      <c r="L401" t="n">
        <v>0</v>
      </c>
      <c r="M401" t="n">
        <v>0</v>
      </c>
      <c r="N401" t="n">
        <v>0</v>
      </c>
      <c r="O401" t="n">
        <v>0</v>
      </c>
      <c r="P401" t="n">
        <v>0</v>
      </c>
      <c r="Q401" t="n">
        <v>0</v>
      </c>
      <c r="R401" s="2" t="inlineStr"/>
    </row>
    <row r="402" ht="15" customHeight="1">
      <c r="A402" t="inlineStr">
        <is>
          <t>A 26483-2021</t>
        </is>
      </c>
      <c r="B402" s="1" t="n">
        <v>44347</v>
      </c>
      <c r="C402" s="1" t="n">
        <v>45637</v>
      </c>
      <c r="D402" t="inlineStr">
        <is>
          <t>VÄSTERBOTTENS LÄN</t>
        </is>
      </c>
      <c r="E402" t="inlineStr">
        <is>
          <t>VILHELMINA</t>
        </is>
      </c>
      <c r="G402" t="n">
        <v>4.5</v>
      </c>
      <c r="H402" t="n">
        <v>0</v>
      </c>
      <c r="I402" t="n">
        <v>0</v>
      </c>
      <c r="J402" t="n">
        <v>0</v>
      </c>
      <c r="K402" t="n">
        <v>0</v>
      </c>
      <c r="L402" t="n">
        <v>0</v>
      </c>
      <c r="M402" t="n">
        <v>0</v>
      </c>
      <c r="N402" t="n">
        <v>0</v>
      </c>
      <c r="O402" t="n">
        <v>0</v>
      </c>
      <c r="P402" t="n">
        <v>0</v>
      </c>
      <c r="Q402" t="n">
        <v>0</v>
      </c>
      <c r="R402" s="2" t="inlineStr"/>
    </row>
    <row r="403" ht="15" customHeight="1">
      <c r="A403" t="inlineStr">
        <is>
          <t>A 28269-2021</t>
        </is>
      </c>
      <c r="B403" s="1" t="n">
        <v>44356</v>
      </c>
      <c r="C403" s="1" t="n">
        <v>45637</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28272-2021</t>
        </is>
      </c>
      <c r="B404" s="1" t="n">
        <v>44356</v>
      </c>
      <c r="C404" s="1" t="n">
        <v>45637</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28895-2021</t>
        </is>
      </c>
      <c r="B405" s="1" t="n">
        <v>44357</v>
      </c>
      <c r="C405" s="1" t="n">
        <v>45637</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29347-2021</t>
        </is>
      </c>
      <c r="B406" s="1" t="n">
        <v>44361</v>
      </c>
      <c r="C406" s="1" t="n">
        <v>45637</v>
      </c>
      <c r="D406" t="inlineStr">
        <is>
          <t>VÄSTERBOTTENS LÄN</t>
        </is>
      </c>
      <c r="E406" t="inlineStr">
        <is>
          <t>VILHELMINA</t>
        </is>
      </c>
      <c r="F406" t="inlineStr">
        <is>
          <t>Allmännings- och besparingsskogar</t>
        </is>
      </c>
      <c r="G406" t="n">
        <v>52</v>
      </c>
      <c r="H406" t="n">
        <v>0</v>
      </c>
      <c r="I406" t="n">
        <v>0</v>
      </c>
      <c r="J406" t="n">
        <v>0</v>
      </c>
      <c r="K406" t="n">
        <v>0</v>
      </c>
      <c r="L406" t="n">
        <v>0</v>
      </c>
      <c r="M406" t="n">
        <v>0</v>
      </c>
      <c r="N406" t="n">
        <v>0</v>
      </c>
      <c r="O406" t="n">
        <v>0</v>
      </c>
      <c r="P406" t="n">
        <v>0</v>
      </c>
      <c r="Q406" t="n">
        <v>0</v>
      </c>
      <c r="R406" s="2" t="inlineStr"/>
    </row>
    <row r="407" ht="15" customHeight="1">
      <c r="A407" t="inlineStr">
        <is>
          <t>A 29332-2021</t>
        </is>
      </c>
      <c r="B407" s="1" t="n">
        <v>44361</v>
      </c>
      <c r="C407" s="1" t="n">
        <v>45637</v>
      </c>
      <c r="D407" t="inlineStr">
        <is>
          <t>VÄSTERBOTTENS LÄN</t>
        </is>
      </c>
      <c r="E407" t="inlineStr">
        <is>
          <t>VILHELMINA</t>
        </is>
      </c>
      <c r="F407" t="inlineStr">
        <is>
          <t>Allmännings- och besparingsskogar</t>
        </is>
      </c>
      <c r="G407" t="n">
        <v>51.8</v>
      </c>
      <c r="H407" t="n">
        <v>0</v>
      </c>
      <c r="I407" t="n">
        <v>0</v>
      </c>
      <c r="J407" t="n">
        <v>0</v>
      </c>
      <c r="K407" t="n">
        <v>0</v>
      </c>
      <c r="L407" t="n">
        <v>0</v>
      </c>
      <c r="M407" t="n">
        <v>0</v>
      </c>
      <c r="N407" t="n">
        <v>0</v>
      </c>
      <c r="O407" t="n">
        <v>0</v>
      </c>
      <c r="P407" t="n">
        <v>0</v>
      </c>
      <c r="Q407" t="n">
        <v>0</v>
      </c>
      <c r="R407" s="2" t="inlineStr"/>
    </row>
    <row r="408" ht="15" customHeight="1">
      <c r="A408" t="inlineStr">
        <is>
          <t>A 31722-2021</t>
        </is>
      </c>
      <c r="B408" s="1" t="n">
        <v>44370</v>
      </c>
      <c r="C408" s="1" t="n">
        <v>45637</v>
      </c>
      <c r="D408" t="inlineStr">
        <is>
          <t>VÄSTERBOTTENS LÄN</t>
        </is>
      </c>
      <c r="E408" t="inlineStr">
        <is>
          <t>VILHELMINA</t>
        </is>
      </c>
      <c r="G408" t="n">
        <v>2.8</v>
      </c>
      <c r="H408" t="n">
        <v>0</v>
      </c>
      <c r="I408" t="n">
        <v>0</v>
      </c>
      <c r="J408" t="n">
        <v>0</v>
      </c>
      <c r="K408" t="n">
        <v>0</v>
      </c>
      <c r="L408" t="n">
        <v>0</v>
      </c>
      <c r="M408" t="n">
        <v>0</v>
      </c>
      <c r="N408" t="n">
        <v>0</v>
      </c>
      <c r="O408" t="n">
        <v>0</v>
      </c>
      <c r="P408" t="n">
        <v>0</v>
      </c>
      <c r="Q408" t="n">
        <v>0</v>
      </c>
      <c r="R408" s="2" t="inlineStr"/>
    </row>
    <row r="409" ht="15" customHeight="1">
      <c r="A409" t="inlineStr">
        <is>
          <t>A 32665-2021</t>
        </is>
      </c>
      <c r="B409" s="1" t="n">
        <v>44371</v>
      </c>
      <c r="C409" s="1" t="n">
        <v>45637</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32672-2021</t>
        </is>
      </c>
      <c r="B410" s="1" t="n">
        <v>44371</v>
      </c>
      <c r="C410" s="1" t="n">
        <v>45637</v>
      </c>
      <c r="D410" t="inlineStr">
        <is>
          <t>VÄSTERBOTTENS LÄN</t>
        </is>
      </c>
      <c r="E410" t="inlineStr">
        <is>
          <t>VILHELMINA</t>
        </is>
      </c>
      <c r="G410" t="n">
        <v>4.5</v>
      </c>
      <c r="H410" t="n">
        <v>0</v>
      </c>
      <c r="I410" t="n">
        <v>0</v>
      </c>
      <c r="J410" t="n">
        <v>0</v>
      </c>
      <c r="K410" t="n">
        <v>0</v>
      </c>
      <c r="L410" t="n">
        <v>0</v>
      </c>
      <c r="M410" t="n">
        <v>0</v>
      </c>
      <c r="N410" t="n">
        <v>0</v>
      </c>
      <c r="O410" t="n">
        <v>0</v>
      </c>
      <c r="P410" t="n">
        <v>0</v>
      </c>
      <c r="Q410" t="n">
        <v>0</v>
      </c>
      <c r="R410" s="2" t="inlineStr"/>
    </row>
    <row r="411" ht="15" customHeight="1">
      <c r="A411" t="inlineStr">
        <is>
          <t>A 32658-2021</t>
        </is>
      </c>
      <c r="B411" s="1" t="n">
        <v>44371</v>
      </c>
      <c r="C411" s="1" t="n">
        <v>45637</v>
      </c>
      <c r="D411" t="inlineStr">
        <is>
          <t>VÄSTERBOTTENS LÄN</t>
        </is>
      </c>
      <c r="E411" t="inlineStr">
        <is>
          <t>VILHELMINA</t>
        </is>
      </c>
      <c r="G411" t="n">
        <v>2.2</v>
      </c>
      <c r="H411" t="n">
        <v>0</v>
      </c>
      <c r="I411" t="n">
        <v>0</v>
      </c>
      <c r="J411" t="n">
        <v>0</v>
      </c>
      <c r="K411" t="n">
        <v>0</v>
      </c>
      <c r="L411" t="n">
        <v>0</v>
      </c>
      <c r="M411" t="n">
        <v>0</v>
      </c>
      <c r="N411" t="n">
        <v>0</v>
      </c>
      <c r="O411" t="n">
        <v>0</v>
      </c>
      <c r="P411" t="n">
        <v>0</v>
      </c>
      <c r="Q411" t="n">
        <v>0</v>
      </c>
      <c r="R411" s="2" t="inlineStr"/>
    </row>
    <row r="412" ht="15" customHeight="1">
      <c r="A412" t="inlineStr">
        <is>
          <t>A 32655-2021</t>
        </is>
      </c>
      <c r="B412" s="1" t="n">
        <v>44371</v>
      </c>
      <c r="C412" s="1" t="n">
        <v>45637</v>
      </c>
      <c r="D412" t="inlineStr">
        <is>
          <t>VÄSTERBOTTENS LÄN</t>
        </is>
      </c>
      <c r="E412" t="inlineStr">
        <is>
          <t>VILHELMINA</t>
        </is>
      </c>
      <c r="G412" t="n">
        <v>0.2</v>
      </c>
      <c r="H412" t="n">
        <v>0</v>
      </c>
      <c r="I412" t="n">
        <v>0</v>
      </c>
      <c r="J412" t="n">
        <v>0</v>
      </c>
      <c r="K412" t="n">
        <v>0</v>
      </c>
      <c r="L412" t="n">
        <v>0</v>
      </c>
      <c r="M412" t="n">
        <v>0</v>
      </c>
      <c r="N412" t="n">
        <v>0</v>
      </c>
      <c r="O412" t="n">
        <v>0</v>
      </c>
      <c r="P412" t="n">
        <v>0</v>
      </c>
      <c r="Q412" t="n">
        <v>0</v>
      </c>
      <c r="R412" s="2" t="inlineStr"/>
    </row>
    <row r="413" ht="15" customHeight="1">
      <c r="A413" t="inlineStr">
        <is>
          <t>A 31656-2021</t>
        </is>
      </c>
      <c r="B413" s="1" t="n">
        <v>44377</v>
      </c>
      <c r="C413" s="1" t="n">
        <v>45637</v>
      </c>
      <c r="D413" t="inlineStr">
        <is>
          <t>VÄSTERBOTTENS LÄN</t>
        </is>
      </c>
      <c r="E413" t="inlineStr">
        <is>
          <t>VILHELMINA</t>
        </is>
      </c>
      <c r="G413" t="n">
        <v>0.9</v>
      </c>
      <c r="H413" t="n">
        <v>0</v>
      </c>
      <c r="I413" t="n">
        <v>0</v>
      </c>
      <c r="J413" t="n">
        <v>0</v>
      </c>
      <c r="K413" t="n">
        <v>0</v>
      </c>
      <c r="L413" t="n">
        <v>0</v>
      </c>
      <c r="M413" t="n">
        <v>0</v>
      </c>
      <c r="N413" t="n">
        <v>0</v>
      </c>
      <c r="O413" t="n">
        <v>0</v>
      </c>
      <c r="P413" t="n">
        <v>0</v>
      </c>
      <c r="Q413" t="n">
        <v>0</v>
      </c>
      <c r="R413" s="2" t="inlineStr"/>
    </row>
    <row r="414" ht="15" customHeight="1">
      <c r="A414" t="inlineStr">
        <is>
          <t>A 33636-2021</t>
        </is>
      </c>
      <c r="B414" s="1" t="n">
        <v>44378</v>
      </c>
      <c r="C414" s="1" t="n">
        <v>45637</v>
      </c>
      <c r="D414" t="inlineStr">
        <is>
          <t>VÄSTERBOTTENS LÄN</t>
        </is>
      </c>
      <c r="E414" t="inlineStr">
        <is>
          <t>VILHELMINA</t>
        </is>
      </c>
      <c r="G414" t="n">
        <v>1.6</v>
      </c>
      <c r="H414" t="n">
        <v>0</v>
      </c>
      <c r="I414" t="n">
        <v>0</v>
      </c>
      <c r="J414" t="n">
        <v>0</v>
      </c>
      <c r="K414" t="n">
        <v>0</v>
      </c>
      <c r="L414" t="n">
        <v>0</v>
      </c>
      <c r="M414" t="n">
        <v>0</v>
      </c>
      <c r="N414" t="n">
        <v>0</v>
      </c>
      <c r="O414" t="n">
        <v>0</v>
      </c>
      <c r="P414" t="n">
        <v>0</v>
      </c>
      <c r="Q414" t="n">
        <v>0</v>
      </c>
      <c r="R414" s="2" t="inlineStr"/>
    </row>
    <row r="415" ht="15" customHeight="1">
      <c r="A415" t="inlineStr">
        <is>
          <t>A 34394-2021</t>
        </is>
      </c>
      <c r="B415" s="1" t="n">
        <v>44379</v>
      </c>
      <c r="C415" s="1" t="n">
        <v>45637</v>
      </c>
      <c r="D415" t="inlineStr">
        <is>
          <t>VÄSTERBOTTENS LÄN</t>
        </is>
      </c>
      <c r="E415" t="inlineStr">
        <is>
          <t>VILHELMINA</t>
        </is>
      </c>
      <c r="F415" t="inlineStr">
        <is>
          <t>SCA</t>
        </is>
      </c>
      <c r="G415" t="n">
        <v>11.7</v>
      </c>
      <c r="H415" t="n">
        <v>0</v>
      </c>
      <c r="I415" t="n">
        <v>0</v>
      </c>
      <c r="J415" t="n">
        <v>0</v>
      </c>
      <c r="K415" t="n">
        <v>0</v>
      </c>
      <c r="L415" t="n">
        <v>0</v>
      </c>
      <c r="M415" t="n">
        <v>0</v>
      </c>
      <c r="N415" t="n">
        <v>0</v>
      </c>
      <c r="O415" t="n">
        <v>0</v>
      </c>
      <c r="P415" t="n">
        <v>0</v>
      </c>
      <c r="Q415" t="n">
        <v>0</v>
      </c>
      <c r="R415" s="2" t="inlineStr"/>
    </row>
    <row r="416" ht="15" customHeight="1">
      <c r="A416" t="inlineStr">
        <is>
          <t>A 34808-2021</t>
        </is>
      </c>
      <c r="B416" s="1" t="n">
        <v>44382</v>
      </c>
      <c r="C416" s="1" t="n">
        <v>45637</v>
      </c>
      <c r="D416" t="inlineStr">
        <is>
          <t>VÄSTERBOTTENS LÄN</t>
        </is>
      </c>
      <c r="E416" t="inlineStr">
        <is>
          <t>VILHELMINA</t>
        </is>
      </c>
      <c r="F416" t="inlineStr">
        <is>
          <t>Allmännings- och besparingsskogar</t>
        </is>
      </c>
      <c r="G416" t="n">
        <v>20.6</v>
      </c>
      <c r="H416" t="n">
        <v>0</v>
      </c>
      <c r="I416" t="n">
        <v>0</v>
      </c>
      <c r="J416" t="n">
        <v>0</v>
      </c>
      <c r="K416" t="n">
        <v>0</v>
      </c>
      <c r="L416" t="n">
        <v>0</v>
      </c>
      <c r="M416" t="n">
        <v>0</v>
      </c>
      <c r="N416" t="n">
        <v>0</v>
      </c>
      <c r="O416" t="n">
        <v>0</v>
      </c>
      <c r="P416" t="n">
        <v>0</v>
      </c>
      <c r="Q416" t="n">
        <v>0</v>
      </c>
      <c r="R416" s="2" t="inlineStr"/>
    </row>
    <row r="417" ht="15" customHeight="1">
      <c r="A417" t="inlineStr">
        <is>
          <t>A 35876-2021</t>
        </is>
      </c>
      <c r="B417" s="1" t="n">
        <v>44386</v>
      </c>
      <c r="C417" s="1" t="n">
        <v>45637</v>
      </c>
      <c r="D417" t="inlineStr">
        <is>
          <t>VÄSTERBOTTENS LÄN</t>
        </is>
      </c>
      <c r="E417" t="inlineStr">
        <is>
          <t>VILHELMINA</t>
        </is>
      </c>
      <c r="F417" t="inlineStr">
        <is>
          <t>SCA</t>
        </is>
      </c>
      <c r="G417" t="n">
        <v>6.5</v>
      </c>
      <c r="H417" t="n">
        <v>0</v>
      </c>
      <c r="I417" t="n">
        <v>0</v>
      </c>
      <c r="J417" t="n">
        <v>0</v>
      </c>
      <c r="K417" t="n">
        <v>0</v>
      </c>
      <c r="L417" t="n">
        <v>0</v>
      </c>
      <c r="M417" t="n">
        <v>0</v>
      </c>
      <c r="N417" t="n">
        <v>0</v>
      </c>
      <c r="O417" t="n">
        <v>0</v>
      </c>
      <c r="P417" t="n">
        <v>0</v>
      </c>
      <c r="Q417" t="n">
        <v>0</v>
      </c>
      <c r="R417" s="2" t="inlineStr"/>
    </row>
    <row r="418" ht="15" customHeight="1">
      <c r="A418" t="inlineStr">
        <is>
          <t>A 36139-2021</t>
        </is>
      </c>
      <c r="B418" s="1" t="n">
        <v>44389</v>
      </c>
      <c r="C418" s="1" t="n">
        <v>45637</v>
      </c>
      <c r="D418" t="inlineStr">
        <is>
          <t>VÄSTERBOTTENS LÄN</t>
        </is>
      </c>
      <c r="E418" t="inlineStr">
        <is>
          <t>VILHELMINA</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36142-2021</t>
        </is>
      </c>
      <c r="B419" s="1" t="n">
        <v>44389</v>
      </c>
      <c r="C419" s="1" t="n">
        <v>45637</v>
      </c>
      <c r="D419" t="inlineStr">
        <is>
          <t>VÄSTERBOTTENS LÄN</t>
        </is>
      </c>
      <c r="E419" t="inlineStr">
        <is>
          <t>VILHELMINA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36147-2021</t>
        </is>
      </c>
      <c r="B420" s="1" t="n">
        <v>44389</v>
      </c>
      <c r="C420" s="1" t="n">
        <v>45637</v>
      </c>
      <c r="D420" t="inlineStr">
        <is>
          <t>VÄSTERBOTTENS LÄN</t>
        </is>
      </c>
      <c r="E420" t="inlineStr">
        <is>
          <t>VILHELMINA</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36288-2021</t>
        </is>
      </c>
      <c r="B421" s="1" t="n">
        <v>44389</v>
      </c>
      <c r="C421" s="1" t="n">
        <v>45637</v>
      </c>
      <c r="D421" t="inlineStr">
        <is>
          <t>VÄSTERBOTTENS LÄN</t>
        </is>
      </c>
      <c r="E421" t="inlineStr">
        <is>
          <t>VILHELMINA</t>
        </is>
      </c>
      <c r="G421" t="n">
        <v>20.5</v>
      </c>
      <c r="H421" t="n">
        <v>0</v>
      </c>
      <c r="I421" t="n">
        <v>0</v>
      </c>
      <c r="J421" t="n">
        <v>0</v>
      </c>
      <c r="K421" t="n">
        <v>0</v>
      </c>
      <c r="L421" t="n">
        <v>0</v>
      </c>
      <c r="M421" t="n">
        <v>0</v>
      </c>
      <c r="N421" t="n">
        <v>0</v>
      </c>
      <c r="O421" t="n">
        <v>0</v>
      </c>
      <c r="P421" t="n">
        <v>0</v>
      </c>
      <c r="Q421" t="n">
        <v>0</v>
      </c>
      <c r="R421" s="2" t="inlineStr"/>
    </row>
    <row r="422" ht="15" customHeight="1">
      <c r="A422" t="inlineStr">
        <is>
          <t>A 37320-2021</t>
        </is>
      </c>
      <c r="B422" s="1" t="n">
        <v>44397</v>
      </c>
      <c r="C422" s="1" t="n">
        <v>45637</v>
      </c>
      <c r="D422" t="inlineStr">
        <is>
          <t>VÄSTERBOTTENS LÄN</t>
        </is>
      </c>
      <c r="E422" t="inlineStr">
        <is>
          <t>VILHELMINA</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38327-2021</t>
        </is>
      </c>
      <c r="B423" s="1" t="n">
        <v>44406</v>
      </c>
      <c r="C423" s="1" t="n">
        <v>45637</v>
      </c>
      <c r="D423" t="inlineStr">
        <is>
          <t>VÄSTERBOTTENS LÄN</t>
        </is>
      </c>
      <c r="E423" t="inlineStr">
        <is>
          <t>VILHELMINA</t>
        </is>
      </c>
      <c r="G423" t="n">
        <v>0.4</v>
      </c>
      <c r="H423" t="n">
        <v>0</v>
      </c>
      <c r="I423" t="n">
        <v>0</v>
      </c>
      <c r="J423" t="n">
        <v>0</v>
      </c>
      <c r="K423" t="n">
        <v>0</v>
      </c>
      <c r="L423" t="n">
        <v>0</v>
      </c>
      <c r="M423" t="n">
        <v>0</v>
      </c>
      <c r="N423" t="n">
        <v>0</v>
      </c>
      <c r="O423" t="n">
        <v>0</v>
      </c>
      <c r="P423" t="n">
        <v>0</v>
      </c>
      <c r="Q423" t="n">
        <v>0</v>
      </c>
      <c r="R423" s="2" t="inlineStr"/>
    </row>
    <row r="424" ht="15" customHeight="1">
      <c r="A424" t="inlineStr">
        <is>
          <t>A 39186-2021</t>
        </is>
      </c>
      <c r="B424" s="1" t="n">
        <v>44412</v>
      </c>
      <c r="C424" s="1" t="n">
        <v>45637</v>
      </c>
      <c r="D424" t="inlineStr">
        <is>
          <t>VÄSTERBOTTENS LÄN</t>
        </is>
      </c>
      <c r="E424" t="inlineStr">
        <is>
          <t>VILHELMINA</t>
        </is>
      </c>
      <c r="G424" t="n">
        <v>0.3</v>
      </c>
      <c r="H424" t="n">
        <v>0</v>
      </c>
      <c r="I424" t="n">
        <v>0</v>
      </c>
      <c r="J424" t="n">
        <v>0</v>
      </c>
      <c r="K424" t="n">
        <v>0</v>
      </c>
      <c r="L424" t="n">
        <v>0</v>
      </c>
      <c r="M424" t="n">
        <v>0</v>
      </c>
      <c r="N424" t="n">
        <v>0</v>
      </c>
      <c r="O424" t="n">
        <v>0</v>
      </c>
      <c r="P424" t="n">
        <v>0</v>
      </c>
      <c r="Q424" t="n">
        <v>0</v>
      </c>
      <c r="R424" s="2" t="inlineStr"/>
    </row>
    <row r="425" ht="15" customHeight="1">
      <c r="A425" t="inlineStr">
        <is>
          <t>A 40470-2021</t>
        </is>
      </c>
      <c r="B425" s="1" t="n">
        <v>44420</v>
      </c>
      <c r="C425" s="1" t="n">
        <v>45637</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40471-2021</t>
        </is>
      </c>
      <c r="B426" s="1" t="n">
        <v>44420</v>
      </c>
      <c r="C426" s="1" t="n">
        <v>45637</v>
      </c>
      <c r="D426" t="inlineStr">
        <is>
          <t>VÄSTERBOTTENS LÄN</t>
        </is>
      </c>
      <c r="E426" t="inlineStr">
        <is>
          <t>VILHELMINA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40477-2021</t>
        </is>
      </c>
      <c r="B427" s="1" t="n">
        <v>44420</v>
      </c>
      <c r="C427" s="1" t="n">
        <v>45637</v>
      </c>
      <c r="D427" t="inlineStr">
        <is>
          <t>VÄSTERBOTTENS LÄN</t>
        </is>
      </c>
      <c r="E427" t="inlineStr">
        <is>
          <t>VILHELMINA</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40468-2021</t>
        </is>
      </c>
      <c r="B428" s="1" t="n">
        <v>44420</v>
      </c>
      <c r="C428" s="1" t="n">
        <v>45637</v>
      </c>
      <c r="D428" t="inlineStr">
        <is>
          <t>VÄSTERBOTTENS LÄN</t>
        </is>
      </c>
      <c r="E428" t="inlineStr">
        <is>
          <t>VILHELMINA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40476-2021</t>
        </is>
      </c>
      <c r="B429" s="1" t="n">
        <v>44420</v>
      </c>
      <c r="C429" s="1" t="n">
        <v>45637</v>
      </c>
      <c r="D429" t="inlineStr">
        <is>
          <t>VÄSTERBOTTENS LÄN</t>
        </is>
      </c>
      <c r="E429" t="inlineStr">
        <is>
          <t>VILHELMINA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40469-2021</t>
        </is>
      </c>
      <c r="B430" s="1" t="n">
        <v>44420</v>
      </c>
      <c r="C430" s="1" t="n">
        <v>45637</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40474-2021</t>
        </is>
      </c>
      <c r="B431" s="1" t="n">
        <v>44420</v>
      </c>
      <c r="C431" s="1" t="n">
        <v>45637</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40472-2021</t>
        </is>
      </c>
      <c r="B432" s="1" t="n">
        <v>44419</v>
      </c>
      <c r="C432" s="1" t="n">
        <v>45637</v>
      </c>
      <c r="D432" t="inlineStr">
        <is>
          <t>VÄSTERBOTTENS LÄN</t>
        </is>
      </c>
      <c r="E432" t="inlineStr">
        <is>
          <t>VILHELMINA</t>
        </is>
      </c>
      <c r="F432" t="inlineStr">
        <is>
          <t>SCA</t>
        </is>
      </c>
      <c r="G432" t="n">
        <v>16.3</v>
      </c>
      <c r="H432" t="n">
        <v>0</v>
      </c>
      <c r="I432" t="n">
        <v>0</v>
      </c>
      <c r="J432" t="n">
        <v>0</v>
      </c>
      <c r="K432" t="n">
        <v>0</v>
      </c>
      <c r="L432" t="n">
        <v>0</v>
      </c>
      <c r="M432" t="n">
        <v>0</v>
      </c>
      <c r="N432" t="n">
        <v>0</v>
      </c>
      <c r="O432" t="n">
        <v>0</v>
      </c>
      <c r="P432" t="n">
        <v>0</v>
      </c>
      <c r="Q432" t="n">
        <v>0</v>
      </c>
      <c r="R432" s="2" t="inlineStr"/>
    </row>
    <row r="433" ht="15" customHeight="1">
      <c r="A433" t="inlineStr">
        <is>
          <t>A 42153-2021</t>
        </is>
      </c>
      <c r="B433" s="1" t="n">
        <v>44426</v>
      </c>
      <c r="C433" s="1" t="n">
        <v>45637</v>
      </c>
      <c r="D433" t="inlineStr">
        <is>
          <t>VÄSTERBOTTENS LÄN</t>
        </is>
      </c>
      <c r="E433" t="inlineStr">
        <is>
          <t>VILHELMINA</t>
        </is>
      </c>
      <c r="F433" t="inlineStr">
        <is>
          <t>Sveaskog</t>
        </is>
      </c>
      <c r="G433" t="n">
        <v>11.5</v>
      </c>
      <c r="H433" t="n">
        <v>0</v>
      </c>
      <c r="I433" t="n">
        <v>0</v>
      </c>
      <c r="J433" t="n">
        <v>0</v>
      </c>
      <c r="K433" t="n">
        <v>0</v>
      </c>
      <c r="L433" t="n">
        <v>0</v>
      </c>
      <c r="M433" t="n">
        <v>0</v>
      </c>
      <c r="N433" t="n">
        <v>0</v>
      </c>
      <c r="O433" t="n">
        <v>0</v>
      </c>
      <c r="P433" t="n">
        <v>0</v>
      </c>
      <c r="Q433" t="n">
        <v>0</v>
      </c>
      <c r="R433" s="2" t="inlineStr"/>
    </row>
    <row r="434" ht="15" customHeight="1">
      <c r="A434" t="inlineStr">
        <is>
          <t>A 43755-2021</t>
        </is>
      </c>
      <c r="B434" s="1" t="n">
        <v>44433</v>
      </c>
      <c r="C434" s="1" t="n">
        <v>45637</v>
      </c>
      <c r="D434" t="inlineStr">
        <is>
          <t>VÄSTERBOTTENS LÄN</t>
        </is>
      </c>
      <c r="E434" t="inlineStr">
        <is>
          <t>VILHELMINA</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44136-2021</t>
        </is>
      </c>
      <c r="B435" s="1" t="n">
        <v>44434</v>
      </c>
      <c r="C435" s="1" t="n">
        <v>45637</v>
      </c>
      <c r="D435" t="inlineStr">
        <is>
          <t>VÄSTERBOTTENS LÄN</t>
        </is>
      </c>
      <c r="E435" t="inlineStr">
        <is>
          <t>VILHELMINA</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44238-2021</t>
        </is>
      </c>
      <c r="B436" s="1" t="n">
        <v>44434</v>
      </c>
      <c r="C436" s="1" t="n">
        <v>45637</v>
      </c>
      <c r="D436" t="inlineStr">
        <is>
          <t>VÄSTERBOTTENS LÄN</t>
        </is>
      </c>
      <c r="E436" t="inlineStr">
        <is>
          <t>VILHELMINA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44239-2021</t>
        </is>
      </c>
      <c r="B437" s="1" t="n">
        <v>44434</v>
      </c>
      <c r="C437" s="1" t="n">
        <v>45637</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45637</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46046-2021</t>
        </is>
      </c>
      <c r="B439" s="1" t="n">
        <v>44442</v>
      </c>
      <c r="C439" s="1" t="n">
        <v>45637</v>
      </c>
      <c r="D439" t="inlineStr">
        <is>
          <t>VÄSTERBOTTENS LÄN</t>
        </is>
      </c>
      <c r="E439" t="inlineStr">
        <is>
          <t>VILHELMINA</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46045-2021</t>
        </is>
      </c>
      <c r="B440" s="1" t="n">
        <v>44442</v>
      </c>
      <c r="C440" s="1" t="n">
        <v>45637</v>
      </c>
      <c r="D440" t="inlineStr">
        <is>
          <t>VÄSTERBOTTENS LÄN</t>
        </is>
      </c>
      <c r="E440" t="inlineStr">
        <is>
          <t>VILHELMINA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46372-2021</t>
        </is>
      </c>
      <c r="B441" s="1" t="n">
        <v>44443</v>
      </c>
      <c r="C441" s="1" t="n">
        <v>45637</v>
      </c>
      <c r="D441" t="inlineStr">
        <is>
          <t>VÄSTERBOTTENS LÄN</t>
        </is>
      </c>
      <c r="E441" t="inlineStr">
        <is>
          <t>VILHELMINA</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46375-2021</t>
        </is>
      </c>
      <c r="B442" s="1" t="n">
        <v>44442</v>
      </c>
      <c r="C442" s="1" t="n">
        <v>45637</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47151-2021</t>
        </is>
      </c>
      <c r="B443" s="1" t="n">
        <v>44447</v>
      </c>
      <c r="C443" s="1" t="n">
        <v>45637</v>
      </c>
      <c r="D443" t="inlineStr">
        <is>
          <t>VÄSTERBOTTENS LÄN</t>
        </is>
      </c>
      <c r="E443" t="inlineStr">
        <is>
          <t>VILHELMINA</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48754-2021</t>
        </is>
      </c>
      <c r="B444" s="1" t="n">
        <v>44452</v>
      </c>
      <c r="C444" s="1" t="n">
        <v>45637</v>
      </c>
      <c r="D444" t="inlineStr">
        <is>
          <t>VÄSTERBOTTENS LÄN</t>
        </is>
      </c>
      <c r="E444" t="inlineStr">
        <is>
          <t>VILHELMINA</t>
        </is>
      </c>
      <c r="G444" t="n">
        <v>5.6</v>
      </c>
      <c r="H444" t="n">
        <v>0</v>
      </c>
      <c r="I444" t="n">
        <v>0</v>
      </c>
      <c r="J444" t="n">
        <v>0</v>
      </c>
      <c r="K444" t="n">
        <v>0</v>
      </c>
      <c r="L444" t="n">
        <v>0</v>
      </c>
      <c r="M444" t="n">
        <v>0</v>
      </c>
      <c r="N444" t="n">
        <v>0</v>
      </c>
      <c r="O444" t="n">
        <v>0</v>
      </c>
      <c r="P444" t="n">
        <v>0</v>
      </c>
      <c r="Q444" t="n">
        <v>0</v>
      </c>
      <c r="R444" s="2" t="inlineStr"/>
    </row>
    <row r="445" ht="15" customHeight="1">
      <c r="A445" t="inlineStr">
        <is>
          <t>A 48600-2021</t>
        </is>
      </c>
      <c r="B445" s="1" t="n">
        <v>44452</v>
      </c>
      <c r="C445" s="1" t="n">
        <v>45637</v>
      </c>
      <c r="D445" t="inlineStr">
        <is>
          <t>VÄSTERBOTTENS LÄN</t>
        </is>
      </c>
      <c r="E445" t="inlineStr">
        <is>
          <t>VILHELMINA</t>
        </is>
      </c>
      <c r="F445" t="inlineStr">
        <is>
          <t>Allmännings- och besparingsskogar</t>
        </is>
      </c>
      <c r="G445" t="n">
        <v>48.6</v>
      </c>
      <c r="H445" t="n">
        <v>0</v>
      </c>
      <c r="I445" t="n">
        <v>0</v>
      </c>
      <c r="J445" t="n">
        <v>0</v>
      </c>
      <c r="K445" t="n">
        <v>0</v>
      </c>
      <c r="L445" t="n">
        <v>0</v>
      </c>
      <c r="M445" t="n">
        <v>0</v>
      </c>
      <c r="N445" t="n">
        <v>0</v>
      </c>
      <c r="O445" t="n">
        <v>0</v>
      </c>
      <c r="P445" t="n">
        <v>0</v>
      </c>
      <c r="Q445" t="n">
        <v>0</v>
      </c>
      <c r="R445" s="2" t="inlineStr"/>
    </row>
    <row r="446" ht="15" customHeight="1">
      <c r="A446" t="inlineStr">
        <is>
          <t>A 48756-2021</t>
        </is>
      </c>
      <c r="B446" s="1" t="n">
        <v>44452</v>
      </c>
      <c r="C446" s="1" t="n">
        <v>45637</v>
      </c>
      <c r="D446" t="inlineStr">
        <is>
          <t>VÄSTERBOTTENS LÄN</t>
        </is>
      </c>
      <c r="E446" t="inlineStr">
        <is>
          <t>VILHELMINA</t>
        </is>
      </c>
      <c r="G446" t="n">
        <v>13.3</v>
      </c>
      <c r="H446" t="n">
        <v>0</v>
      </c>
      <c r="I446" t="n">
        <v>0</v>
      </c>
      <c r="J446" t="n">
        <v>0</v>
      </c>
      <c r="K446" t="n">
        <v>0</v>
      </c>
      <c r="L446" t="n">
        <v>0</v>
      </c>
      <c r="M446" t="n">
        <v>0</v>
      </c>
      <c r="N446" t="n">
        <v>0</v>
      </c>
      <c r="O446" t="n">
        <v>0</v>
      </c>
      <c r="P446" t="n">
        <v>0</v>
      </c>
      <c r="Q446" t="n">
        <v>0</v>
      </c>
      <c r="R446" s="2" t="inlineStr"/>
    </row>
    <row r="447" ht="15" customHeight="1">
      <c r="A447" t="inlineStr">
        <is>
          <t>A 48783-2021</t>
        </is>
      </c>
      <c r="B447" s="1" t="n">
        <v>44452</v>
      </c>
      <c r="C447" s="1" t="n">
        <v>45637</v>
      </c>
      <c r="D447" t="inlineStr">
        <is>
          <t>VÄSTERBOTTENS LÄN</t>
        </is>
      </c>
      <c r="E447" t="inlineStr">
        <is>
          <t>VILHELMINA</t>
        </is>
      </c>
      <c r="F447" t="inlineStr">
        <is>
          <t>Allmännings- och besparingsskogar</t>
        </is>
      </c>
      <c r="G447" t="n">
        <v>9.5</v>
      </c>
      <c r="H447" t="n">
        <v>0</v>
      </c>
      <c r="I447" t="n">
        <v>0</v>
      </c>
      <c r="J447" t="n">
        <v>0</v>
      </c>
      <c r="K447" t="n">
        <v>0</v>
      </c>
      <c r="L447" t="n">
        <v>0</v>
      </c>
      <c r="M447" t="n">
        <v>0</v>
      </c>
      <c r="N447" t="n">
        <v>0</v>
      </c>
      <c r="O447" t="n">
        <v>0</v>
      </c>
      <c r="P447" t="n">
        <v>0</v>
      </c>
      <c r="Q447" t="n">
        <v>0</v>
      </c>
      <c r="R447" s="2" t="inlineStr"/>
    </row>
    <row r="448" ht="15" customHeight="1">
      <c r="A448" t="inlineStr">
        <is>
          <t>A 48574-2021</t>
        </is>
      </c>
      <c r="B448" s="1" t="n">
        <v>44452</v>
      </c>
      <c r="C448" s="1" t="n">
        <v>45637</v>
      </c>
      <c r="D448" t="inlineStr">
        <is>
          <t>VÄSTERBOTTENS LÄN</t>
        </is>
      </c>
      <c r="E448" t="inlineStr">
        <is>
          <t>VILHELMINA</t>
        </is>
      </c>
      <c r="F448" t="inlineStr">
        <is>
          <t>Allmännings- och besparingsskogar</t>
        </is>
      </c>
      <c r="G448" t="n">
        <v>85.09999999999999</v>
      </c>
      <c r="H448" t="n">
        <v>0</v>
      </c>
      <c r="I448" t="n">
        <v>0</v>
      </c>
      <c r="J448" t="n">
        <v>0</v>
      </c>
      <c r="K448" t="n">
        <v>0</v>
      </c>
      <c r="L448" t="n">
        <v>0</v>
      </c>
      <c r="M448" t="n">
        <v>0</v>
      </c>
      <c r="N448" t="n">
        <v>0</v>
      </c>
      <c r="O448" t="n">
        <v>0</v>
      </c>
      <c r="P448" t="n">
        <v>0</v>
      </c>
      <c r="Q448" t="n">
        <v>0</v>
      </c>
      <c r="R448" s="2" t="inlineStr"/>
    </row>
    <row r="449" ht="15" customHeight="1">
      <c r="A449" t="inlineStr">
        <is>
          <t>A 49063-2021</t>
        </is>
      </c>
      <c r="B449" s="1" t="n">
        <v>44453</v>
      </c>
      <c r="C449" s="1" t="n">
        <v>45637</v>
      </c>
      <c r="D449" t="inlineStr">
        <is>
          <t>VÄSTERBOTTENS LÄN</t>
        </is>
      </c>
      <c r="E449" t="inlineStr">
        <is>
          <t>VILHELMINA</t>
        </is>
      </c>
      <c r="F449" t="inlineStr">
        <is>
          <t>Övriga statliga verk och myndigheter</t>
        </is>
      </c>
      <c r="G449" t="n">
        <v>42.7</v>
      </c>
      <c r="H449" t="n">
        <v>0</v>
      </c>
      <c r="I449" t="n">
        <v>0</v>
      </c>
      <c r="J449" t="n">
        <v>0</v>
      </c>
      <c r="K449" t="n">
        <v>0</v>
      </c>
      <c r="L449" t="n">
        <v>0</v>
      </c>
      <c r="M449" t="n">
        <v>0</v>
      </c>
      <c r="N449" t="n">
        <v>0</v>
      </c>
      <c r="O449" t="n">
        <v>0</v>
      </c>
      <c r="P449" t="n">
        <v>0</v>
      </c>
      <c r="Q449" t="n">
        <v>0</v>
      </c>
      <c r="R449" s="2" t="inlineStr"/>
    </row>
    <row r="450" ht="15" customHeight="1">
      <c r="A450" t="inlineStr">
        <is>
          <t>A 50635-2021</t>
        </is>
      </c>
      <c r="B450" s="1" t="n">
        <v>44459</v>
      </c>
      <c r="C450" s="1" t="n">
        <v>45637</v>
      </c>
      <c r="D450" t="inlineStr">
        <is>
          <t>VÄSTERBOTTENS LÄN</t>
        </is>
      </c>
      <c r="E450" t="inlineStr">
        <is>
          <t>VILHELMINA</t>
        </is>
      </c>
      <c r="F450" t="inlineStr">
        <is>
          <t>Kommuner</t>
        </is>
      </c>
      <c r="G450" t="n">
        <v>11</v>
      </c>
      <c r="H450" t="n">
        <v>0</v>
      </c>
      <c r="I450" t="n">
        <v>0</v>
      </c>
      <c r="J450" t="n">
        <v>0</v>
      </c>
      <c r="K450" t="n">
        <v>0</v>
      </c>
      <c r="L450" t="n">
        <v>0</v>
      </c>
      <c r="M450" t="n">
        <v>0</v>
      </c>
      <c r="N450" t="n">
        <v>0</v>
      </c>
      <c r="O450" t="n">
        <v>0</v>
      </c>
      <c r="P450" t="n">
        <v>0</v>
      </c>
      <c r="Q450" t="n">
        <v>0</v>
      </c>
      <c r="R450" s="2" t="inlineStr"/>
    </row>
    <row r="451" ht="15" customHeight="1">
      <c r="A451" t="inlineStr">
        <is>
          <t>A 51016-2021</t>
        </is>
      </c>
      <c r="B451" s="1" t="n">
        <v>44461</v>
      </c>
      <c r="C451" s="1" t="n">
        <v>45637</v>
      </c>
      <c r="D451" t="inlineStr">
        <is>
          <t>VÄSTERBOTTENS LÄN</t>
        </is>
      </c>
      <c r="E451" t="inlineStr">
        <is>
          <t>VILHELMINA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51018-2021</t>
        </is>
      </c>
      <c r="B452" s="1" t="n">
        <v>44461</v>
      </c>
      <c r="C452" s="1" t="n">
        <v>45637</v>
      </c>
      <c r="D452" t="inlineStr">
        <is>
          <t>VÄSTERBOTTENS LÄN</t>
        </is>
      </c>
      <c r="E452" t="inlineStr">
        <is>
          <t>VILHELMINA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51935-2021</t>
        </is>
      </c>
      <c r="B453" s="1" t="n">
        <v>44462</v>
      </c>
      <c r="C453" s="1" t="n">
        <v>45637</v>
      </c>
      <c r="D453" t="inlineStr">
        <is>
          <t>VÄSTERBOTTENS LÄN</t>
        </is>
      </c>
      <c r="E453" t="inlineStr">
        <is>
          <t>VILHELMINA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51933-2021</t>
        </is>
      </c>
      <c r="B454" s="1" t="n">
        <v>44463</v>
      </c>
      <c r="C454" s="1" t="n">
        <v>45637</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53958-2021</t>
        </is>
      </c>
      <c r="B455" s="1" t="n">
        <v>44469</v>
      </c>
      <c r="C455" s="1" t="n">
        <v>45637</v>
      </c>
      <c r="D455" t="inlineStr">
        <is>
          <t>VÄSTERBOTTENS LÄN</t>
        </is>
      </c>
      <c r="E455" t="inlineStr">
        <is>
          <t>VILHELMINA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53987-2021</t>
        </is>
      </c>
      <c r="B456" s="1" t="n">
        <v>44470</v>
      </c>
      <c r="C456" s="1" t="n">
        <v>45637</v>
      </c>
      <c r="D456" t="inlineStr">
        <is>
          <t>VÄSTERBOTTENS LÄN</t>
        </is>
      </c>
      <c r="E456" t="inlineStr">
        <is>
          <t>VILHELMINA</t>
        </is>
      </c>
      <c r="F456" t="inlineStr">
        <is>
          <t>Kommuner</t>
        </is>
      </c>
      <c r="G456" t="n">
        <v>10</v>
      </c>
      <c r="H456" t="n">
        <v>0</v>
      </c>
      <c r="I456" t="n">
        <v>0</v>
      </c>
      <c r="J456" t="n">
        <v>0</v>
      </c>
      <c r="K456" t="n">
        <v>0</v>
      </c>
      <c r="L456" t="n">
        <v>0</v>
      </c>
      <c r="M456" t="n">
        <v>0</v>
      </c>
      <c r="N456" t="n">
        <v>0</v>
      </c>
      <c r="O456" t="n">
        <v>0</v>
      </c>
      <c r="P456" t="n">
        <v>0</v>
      </c>
      <c r="Q456" t="n">
        <v>0</v>
      </c>
      <c r="R456" s="2" t="inlineStr"/>
    </row>
    <row r="457" ht="15" customHeight="1">
      <c r="A457" t="inlineStr">
        <is>
          <t>A 54765-2021</t>
        </is>
      </c>
      <c r="B457" s="1" t="n">
        <v>44473</v>
      </c>
      <c r="C457" s="1" t="n">
        <v>45637</v>
      </c>
      <c r="D457" t="inlineStr">
        <is>
          <t>VÄSTERBOTTENS LÄN</t>
        </is>
      </c>
      <c r="E457" t="inlineStr">
        <is>
          <t>VILHELMINA</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55929-2021</t>
        </is>
      </c>
      <c r="B458" s="1" t="n">
        <v>44476</v>
      </c>
      <c r="C458" s="1" t="n">
        <v>45637</v>
      </c>
      <c r="D458" t="inlineStr">
        <is>
          <t>VÄSTERBOTTENS LÄN</t>
        </is>
      </c>
      <c r="E458" t="inlineStr">
        <is>
          <t>VILHELMINA</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55931-2021</t>
        </is>
      </c>
      <c r="B459" s="1" t="n">
        <v>44476</v>
      </c>
      <c r="C459" s="1" t="n">
        <v>45637</v>
      </c>
      <c r="D459" t="inlineStr">
        <is>
          <t>VÄSTERBOTTENS LÄN</t>
        </is>
      </c>
      <c r="E459" t="inlineStr">
        <is>
          <t>VILHELMINA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56947-2021</t>
        </is>
      </c>
      <c r="B460" s="1" t="n">
        <v>44481</v>
      </c>
      <c r="C460" s="1" t="n">
        <v>45637</v>
      </c>
      <c r="D460" t="inlineStr">
        <is>
          <t>VÄSTERBOTTENS LÄN</t>
        </is>
      </c>
      <c r="E460" t="inlineStr">
        <is>
          <t>VILHELMINA</t>
        </is>
      </c>
      <c r="F460" t="inlineStr">
        <is>
          <t>Övriga statliga verk och myndigheter</t>
        </is>
      </c>
      <c r="G460" t="n">
        <v>22.3</v>
      </c>
      <c r="H460" t="n">
        <v>0</v>
      </c>
      <c r="I460" t="n">
        <v>0</v>
      </c>
      <c r="J460" t="n">
        <v>0</v>
      </c>
      <c r="K460" t="n">
        <v>0</v>
      </c>
      <c r="L460" t="n">
        <v>0</v>
      </c>
      <c r="M460" t="n">
        <v>0</v>
      </c>
      <c r="N460" t="n">
        <v>0</v>
      </c>
      <c r="O460" t="n">
        <v>0</v>
      </c>
      <c r="P460" t="n">
        <v>0</v>
      </c>
      <c r="Q460" t="n">
        <v>0</v>
      </c>
      <c r="R460" s="2" t="inlineStr"/>
    </row>
    <row r="461" ht="15" customHeight="1">
      <c r="A461" t="inlineStr">
        <is>
          <t>A 57086-2021</t>
        </is>
      </c>
      <c r="B461" s="1" t="n">
        <v>44482</v>
      </c>
      <c r="C461" s="1" t="n">
        <v>45637</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57167-2021</t>
        </is>
      </c>
      <c r="B462" s="1" t="n">
        <v>44482</v>
      </c>
      <c r="C462" s="1" t="n">
        <v>45637</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57166-2021</t>
        </is>
      </c>
      <c r="B463" s="1" t="n">
        <v>44482</v>
      </c>
      <c r="C463" s="1" t="n">
        <v>45637</v>
      </c>
      <c r="D463" t="inlineStr">
        <is>
          <t>VÄSTERBOTTENS LÄN</t>
        </is>
      </c>
      <c r="E463" t="inlineStr">
        <is>
          <t>VILHELMINA</t>
        </is>
      </c>
      <c r="F463" t="inlineStr">
        <is>
          <t>Kommuner</t>
        </is>
      </c>
      <c r="G463" t="n">
        <v>2.6</v>
      </c>
      <c r="H463" t="n">
        <v>0</v>
      </c>
      <c r="I463" t="n">
        <v>0</v>
      </c>
      <c r="J463" t="n">
        <v>0</v>
      </c>
      <c r="K463" t="n">
        <v>0</v>
      </c>
      <c r="L463" t="n">
        <v>0</v>
      </c>
      <c r="M463" t="n">
        <v>0</v>
      </c>
      <c r="N463" t="n">
        <v>0</v>
      </c>
      <c r="O463" t="n">
        <v>0</v>
      </c>
      <c r="P463" t="n">
        <v>0</v>
      </c>
      <c r="Q463" t="n">
        <v>0</v>
      </c>
      <c r="R463" s="2" t="inlineStr"/>
    </row>
    <row r="464" ht="15" customHeight="1">
      <c r="A464" t="inlineStr">
        <is>
          <t>A 57874-2021</t>
        </is>
      </c>
      <c r="B464" s="1" t="n">
        <v>44484</v>
      </c>
      <c r="C464" s="1" t="n">
        <v>45637</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57875-2021</t>
        </is>
      </c>
      <c r="B465" s="1" t="n">
        <v>44485</v>
      </c>
      <c r="C465" s="1" t="n">
        <v>45637</v>
      </c>
      <c r="D465" t="inlineStr">
        <is>
          <t>VÄSTERBOTTENS LÄN</t>
        </is>
      </c>
      <c r="E465" t="inlineStr">
        <is>
          <t>VILHELMINA</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58377-2021</t>
        </is>
      </c>
      <c r="B466" s="1" t="n">
        <v>44488</v>
      </c>
      <c r="C466" s="1" t="n">
        <v>45637</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58363-2021</t>
        </is>
      </c>
      <c r="B467" s="1" t="n">
        <v>44488</v>
      </c>
      <c r="C467" s="1" t="n">
        <v>45637</v>
      </c>
      <c r="D467" t="inlineStr">
        <is>
          <t>VÄSTERBOTTENS LÄN</t>
        </is>
      </c>
      <c r="E467" t="inlineStr">
        <is>
          <t>VILHELMINA</t>
        </is>
      </c>
      <c r="G467" t="n">
        <v>7.3</v>
      </c>
      <c r="H467" t="n">
        <v>0</v>
      </c>
      <c r="I467" t="n">
        <v>0</v>
      </c>
      <c r="J467" t="n">
        <v>0</v>
      </c>
      <c r="K467" t="n">
        <v>0</v>
      </c>
      <c r="L467" t="n">
        <v>0</v>
      </c>
      <c r="M467" t="n">
        <v>0</v>
      </c>
      <c r="N467" t="n">
        <v>0</v>
      </c>
      <c r="O467" t="n">
        <v>0</v>
      </c>
      <c r="P467" t="n">
        <v>0</v>
      </c>
      <c r="Q467" t="n">
        <v>0</v>
      </c>
      <c r="R467" s="2" t="inlineStr"/>
    </row>
    <row r="468" ht="15" customHeight="1">
      <c r="A468" t="inlineStr">
        <is>
          <t>A 58643-2021</t>
        </is>
      </c>
      <c r="B468" s="1" t="n">
        <v>44489</v>
      </c>
      <c r="C468" s="1" t="n">
        <v>45637</v>
      </c>
      <c r="D468" t="inlineStr">
        <is>
          <t>VÄSTERBOTTENS LÄN</t>
        </is>
      </c>
      <c r="E468" t="inlineStr">
        <is>
          <t>VILHELMINA</t>
        </is>
      </c>
      <c r="F468" t="inlineStr">
        <is>
          <t>Övriga Aktiebolag</t>
        </is>
      </c>
      <c r="G468" t="n">
        <v>30.4</v>
      </c>
      <c r="H468" t="n">
        <v>0</v>
      </c>
      <c r="I468" t="n">
        <v>0</v>
      </c>
      <c r="J468" t="n">
        <v>0</v>
      </c>
      <c r="K468" t="n">
        <v>0</v>
      </c>
      <c r="L468" t="n">
        <v>0</v>
      </c>
      <c r="M468" t="n">
        <v>0</v>
      </c>
      <c r="N468" t="n">
        <v>0</v>
      </c>
      <c r="O468" t="n">
        <v>0</v>
      </c>
      <c r="P468" t="n">
        <v>0</v>
      </c>
      <c r="Q468" t="n">
        <v>0</v>
      </c>
      <c r="R468" s="2" t="inlineStr"/>
    </row>
    <row r="469" ht="15" customHeight="1">
      <c r="A469" t="inlineStr">
        <is>
          <t>A 59172-2021</t>
        </is>
      </c>
      <c r="B469" s="1" t="n">
        <v>44490</v>
      </c>
      <c r="C469" s="1" t="n">
        <v>45637</v>
      </c>
      <c r="D469" t="inlineStr">
        <is>
          <t>VÄSTERBOTTENS LÄN</t>
        </is>
      </c>
      <c r="E469" t="inlineStr">
        <is>
          <t>VILHELMINA</t>
        </is>
      </c>
      <c r="G469" t="n">
        <v>11.5</v>
      </c>
      <c r="H469" t="n">
        <v>0</v>
      </c>
      <c r="I469" t="n">
        <v>0</v>
      </c>
      <c r="J469" t="n">
        <v>0</v>
      </c>
      <c r="K469" t="n">
        <v>0</v>
      </c>
      <c r="L469" t="n">
        <v>0</v>
      </c>
      <c r="M469" t="n">
        <v>0</v>
      </c>
      <c r="N469" t="n">
        <v>0</v>
      </c>
      <c r="O469" t="n">
        <v>0</v>
      </c>
      <c r="P469" t="n">
        <v>0</v>
      </c>
      <c r="Q469" t="n">
        <v>0</v>
      </c>
      <c r="R469" s="2" t="inlineStr"/>
    </row>
    <row r="470" ht="15" customHeight="1">
      <c r="A470" t="inlineStr">
        <is>
          <t>A 59330-2021</t>
        </is>
      </c>
      <c r="B470" s="1" t="n">
        <v>44491</v>
      </c>
      <c r="C470" s="1" t="n">
        <v>45637</v>
      </c>
      <c r="D470" t="inlineStr">
        <is>
          <t>VÄSTERBOTTENS LÄN</t>
        </is>
      </c>
      <c r="E470" t="inlineStr">
        <is>
          <t>VILHELMINA</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60317-2021</t>
        </is>
      </c>
      <c r="B471" s="1" t="n">
        <v>44496</v>
      </c>
      <c r="C471" s="1" t="n">
        <v>45637</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61640-2021</t>
        </is>
      </c>
      <c r="B472" s="1" t="n">
        <v>44498</v>
      </c>
      <c r="C472" s="1" t="n">
        <v>45637</v>
      </c>
      <c r="D472" t="inlineStr">
        <is>
          <t>VÄSTERBOTTENS LÄN</t>
        </is>
      </c>
      <c r="E472" t="inlineStr">
        <is>
          <t>VILHELMINA</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61475-2021</t>
        </is>
      </c>
      <c r="B473" s="1" t="n">
        <v>44500</v>
      </c>
      <c r="C473" s="1" t="n">
        <v>45637</v>
      </c>
      <c r="D473" t="inlineStr">
        <is>
          <t>VÄSTERBOTTENS LÄN</t>
        </is>
      </c>
      <c r="E473" t="inlineStr">
        <is>
          <t>VILHELMINA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61853-2021</t>
        </is>
      </c>
      <c r="B474" s="1" t="n">
        <v>44501</v>
      </c>
      <c r="C474" s="1" t="n">
        <v>45637</v>
      </c>
      <c r="D474" t="inlineStr">
        <is>
          <t>VÄSTERBOTTENS LÄN</t>
        </is>
      </c>
      <c r="E474" t="inlineStr">
        <is>
          <t>VILHELMINA</t>
        </is>
      </c>
      <c r="F474" t="inlineStr">
        <is>
          <t>SCA</t>
        </is>
      </c>
      <c r="G474" t="n">
        <v>24.8</v>
      </c>
      <c r="H474" t="n">
        <v>0</v>
      </c>
      <c r="I474" t="n">
        <v>0</v>
      </c>
      <c r="J474" t="n">
        <v>0</v>
      </c>
      <c r="K474" t="n">
        <v>0</v>
      </c>
      <c r="L474" t="n">
        <v>0</v>
      </c>
      <c r="M474" t="n">
        <v>0</v>
      </c>
      <c r="N474" t="n">
        <v>0</v>
      </c>
      <c r="O474" t="n">
        <v>0</v>
      </c>
      <c r="P474" t="n">
        <v>0</v>
      </c>
      <c r="Q474" t="n">
        <v>0</v>
      </c>
      <c r="R474" s="2" t="inlineStr"/>
    </row>
    <row r="475" ht="15" customHeight="1">
      <c r="A475" t="inlineStr">
        <is>
          <t>A 62362-2021</t>
        </is>
      </c>
      <c r="B475" s="1" t="n">
        <v>44502</v>
      </c>
      <c r="C475" s="1" t="n">
        <v>45637</v>
      </c>
      <c r="D475" t="inlineStr">
        <is>
          <t>VÄSTERBOTTENS LÄN</t>
        </is>
      </c>
      <c r="E475" t="inlineStr">
        <is>
          <t>VILHELMINA</t>
        </is>
      </c>
      <c r="G475" t="n">
        <v>8.1</v>
      </c>
      <c r="H475" t="n">
        <v>0</v>
      </c>
      <c r="I475" t="n">
        <v>0</v>
      </c>
      <c r="J475" t="n">
        <v>0</v>
      </c>
      <c r="K475" t="n">
        <v>0</v>
      </c>
      <c r="L475" t="n">
        <v>0</v>
      </c>
      <c r="M475" t="n">
        <v>0</v>
      </c>
      <c r="N475" t="n">
        <v>0</v>
      </c>
      <c r="O475" t="n">
        <v>0</v>
      </c>
      <c r="P475" t="n">
        <v>0</v>
      </c>
      <c r="Q475" t="n">
        <v>0</v>
      </c>
      <c r="R475" s="2" t="inlineStr"/>
    </row>
    <row r="476" ht="15" customHeight="1">
      <c r="A476" t="inlineStr">
        <is>
          <t>A 62658-2021</t>
        </is>
      </c>
      <c r="B476" s="1" t="n">
        <v>44503</v>
      </c>
      <c r="C476" s="1" t="n">
        <v>45637</v>
      </c>
      <c r="D476" t="inlineStr">
        <is>
          <t>VÄSTERBOTTENS LÄN</t>
        </is>
      </c>
      <c r="E476" t="inlineStr">
        <is>
          <t>VILHELMINA</t>
        </is>
      </c>
      <c r="F476" t="inlineStr">
        <is>
          <t>SCA</t>
        </is>
      </c>
      <c r="G476" t="n">
        <v>13.4</v>
      </c>
      <c r="H476" t="n">
        <v>0</v>
      </c>
      <c r="I476" t="n">
        <v>0</v>
      </c>
      <c r="J476" t="n">
        <v>0</v>
      </c>
      <c r="K476" t="n">
        <v>0</v>
      </c>
      <c r="L476" t="n">
        <v>0</v>
      </c>
      <c r="M476" t="n">
        <v>0</v>
      </c>
      <c r="N476" t="n">
        <v>0</v>
      </c>
      <c r="O476" t="n">
        <v>0</v>
      </c>
      <c r="P476" t="n">
        <v>0</v>
      </c>
      <c r="Q476" t="n">
        <v>0</v>
      </c>
      <c r="R476" s="2" t="inlineStr"/>
    </row>
    <row r="477" ht="15" customHeight="1">
      <c r="A477" t="inlineStr">
        <is>
          <t>A 63218-2021</t>
        </is>
      </c>
      <c r="B477" s="1" t="n">
        <v>44505</v>
      </c>
      <c r="C477" s="1" t="n">
        <v>45637</v>
      </c>
      <c r="D477" t="inlineStr">
        <is>
          <t>VÄSTERBOTTENS LÄN</t>
        </is>
      </c>
      <c r="E477" t="inlineStr">
        <is>
          <t>VILHELMINA</t>
        </is>
      </c>
      <c r="G477" t="n">
        <v>6.8</v>
      </c>
      <c r="H477" t="n">
        <v>0</v>
      </c>
      <c r="I477" t="n">
        <v>0</v>
      </c>
      <c r="J477" t="n">
        <v>0</v>
      </c>
      <c r="K477" t="n">
        <v>0</v>
      </c>
      <c r="L477" t="n">
        <v>0</v>
      </c>
      <c r="M477" t="n">
        <v>0</v>
      </c>
      <c r="N477" t="n">
        <v>0</v>
      </c>
      <c r="O477" t="n">
        <v>0</v>
      </c>
      <c r="P477" t="n">
        <v>0</v>
      </c>
      <c r="Q477" t="n">
        <v>0</v>
      </c>
      <c r="R477" s="2" t="inlineStr"/>
    </row>
    <row r="478" ht="15" customHeight="1">
      <c r="A478" t="inlineStr">
        <is>
          <t>A 65033-2021</t>
        </is>
      </c>
      <c r="B478" s="1" t="n">
        <v>44511</v>
      </c>
      <c r="C478" s="1" t="n">
        <v>45637</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65146-2021</t>
        </is>
      </c>
      <c r="B479" s="1" t="n">
        <v>44515</v>
      </c>
      <c r="C479" s="1" t="n">
        <v>45637</v>
      </c>
      <c r="D479" t="inlineStr">
        <is>
          <t>VÄSTERBOTTENS LÄN</t>
        </is>
      </c>
      <c r="E479" t="inlineStr">
        <is>
          <t>VILHELMINA</t>
        </is>
      </c>
      <c r="G479" t="n">
        <v>7.4</v>
      </c>
      <c r="H479" t="n">
        <v>0</v>
      </c>
      <c r="I479" t="n">
        <v>0</v>
      </c>
      <c r="J479" t="n">
        <v>0</v>
      </c>
      <c r="K479" t="n">
        <v>0</v>
      </c>
      <c r="L479" t="n">
        <v>0</v>
      </c>
      <c r="M479" t="n">
        <v>0</v>
      </c>
      <c r="N479" t="n">
        <v>0</v>
      </c>
      <c r="O479" t="n">
        <v>0</v>
      </c>
      <c r="P479" t="n">
        <v>0</v>
      </c>
      <c r="Q479" t="n">
        <v>0</v>
      </c>
      <c r="R479" s="2" t="inlineStr"/>
    </row>
    <row r="480" ht="15" customHeight="1">
      <c r="A480" t="inlineStr">
        <is>
          <t>A 65133-2021</t>
        </is>
      </c>
      <c r="B480" s="1" t="n">
        <v>44515</v>
      </c>
      <c r="C480" s="1" t="n">
        <v>45637</v>
      </c>
      <c r="D480" t="inlineStr">
        <is>
          <t>VÄSTERBOTTENS LÄN</t>
        </is>
      </c>
      <c r="E480" t="inlineStr">
        <is>
          <t>VILHELMINA</t>
        </is>
      </c>
      <c r="G480" t="n">
        <v>16.4</v>
      </c>
      <c r="H480" t="n">
        <v>0</v>
      </c>
      <c r="I480" t="n">
        <v>0</v>
      </c>
      <c r="J480" t="n">
        <v>0</v>
      </c>
      <c r="K480" t="n">
        <v>0</v>
      </c>
      <c r="L480" t="n">
        <v>0</v>
      </c>
      <c r="M480" t="n">
        <v>0</v>
      </c>
      <c r="N480" t="n">
        <v>0</v>
      </c>
      <c r="O480" t="n">
        <v>0</v>
      </c>
      <c r="P480" t="n">
        <v>0</v>
      </c>
      <c r="Q480" t="n">
        <v>0</v>
      </c>
      <c r="R480" s="2" t="inlineStr"/>
    </row>
    <row r="481" ht="15" customHeight="1">
      <c r="A481" t="inlineStr">
        <is>
          <t>A 65159-2021</t>
        </is>
      </c>
      <c r="B481" s="1" t="n">
        <v>44515</v>
      </c>
      <c r="C481" s="1" t="n">
        <v>45637</v>
      </c>
      <c r="D481" t="inlineStr">
        <is>
          <t>VÄSTERBOTTENS LÄN</t>
        </is>
      </c>
      <c r="E481" t="inlineStr">
        <is>
          <t>VILHELMINA</t>
        </is>
      </c>
      <c r="G481" t="n">
        <v>5</v>
      </c>
      <c r="H481" t="n">
        <v>0</v>
      </c>
      <c r="I481" t="n">
        <v>0</v>
      </c>
      <c r="J481" t="n">
        <v>0</v>
      </c>
      <c r="K481" t="n">
        <v>0</v>
      </c>
      <c r="L481" t="n">
        <v>0</v>
      </c>
      <c r="M481" t="n">
        <v>0</v>
      </c>
      <c r="N481" t="n">
        <v>0</v>
      </c>
      <c r="O481" t="n">
        <v>0</v>
      </c>
      <c r="P481" t="n">
        <v>0</v>
      </c>
      <c r="Q481" t="n">
        <v>0</v>
      </c>
      <c r="R481" s="2" t="inlineStr"/>
    </row>
    <row r="482" ht="15" customHeight="1">
      <c r="A482" t="inlineStr">
        <is>
          <t>A 65151-2021</t>
        </is>
      </c>
      <c r="B482" s="1" t="n">
        <v>44515</v>
      </c>
      <c r="C482" s="1" t="n">
        <v>45637</v>
      </c>
      <c r="D482" t="inlineStr">
        <is>
          <t>VÄSTERBOTTENS LÄN</t>
        </is>
      </c>
      <c r="E482" t="inlineStr">
        <is>
          <t>VILHELMINA</t>
        </is>
      </c>
      <c r="G482" t="n">
        <v>11.8</v>
      </c>
      <c r="H482" t="n">
        <v>0</v>
      </c>
      <c r="I482" t="n">
        <v>0</v>
      </c>
      <c r="J482" t="n">
        <v>0</v>
      </c>
      <c r="K482" t="n">
        <v>0</v>
      </c>
      <c r="L482" t="n">
        <v>0</v>
      </c>
      <c r="M482" t="n">
        <v>0</v>
      </c>
      <c r="N482" t="n">
        <v>0</v>
      </c>
      <c r="O482" t="n">
        <v>0</v>
      </c>
      <c r="P482" t="n">
        <v>0</v>
      </c>
      <c r="Q482" t="n">
        <v>0</v>
      </c>
      <c r="R482" s="2" t="inlineStr"/>
    </row>
    <row r="483" ht="15" customHeight="1">
      <c r="A483" t="inlineStr">
        <is>
          <t>A 65179-2021</t>
        </is>
      </c>
      <c r="B483" s="1" t="n">
        <v>44515</v>
      </c>
      <c r="C483" s="1" t="n">
        <v>45637</v>
      </c>
      <c r="D483" t="inlineStr">
        <is>
          <t>VÄSTERBOTTENS LÄN</t>
        </is>
      </c>
      <c r="E483" t="inlineStr">
        <is>
          <t>VILHELMINA</t>
        </is>
      </c>
      <c r="G483" t="n">
        <v>8</v>
      </c>
      <c r="H483" t="n">
        <v>0</v>
      </c>
      <c r="I483" t="n">
        <v>0</v>
      </c>
      <c r="J483" t="n">
        <v>0</v>
      </c>
      <c r="K483" t="n">
        <v>0</v>
      </c>
      <c r="L483" t="n">
        <v>0</v>
      </c>
      <c r="M483" t="n">
        <v>0</v>
      </c>
      <c r="N483" t="n">
        <v>0</v>
      </c>
      <c r="O483" t="n">
        <v>0</v>
      </c>
      <c r="P483" t="n">
        <v>0</v>
      </c>
      <c r="Q483" t="n">
        <v>0</v>
      </c>
      <c r="R483" s="2" t="inlineStr"/>
    </row>
    <row r="484" ht="15" customHeight="1">
      <c r="A484" t="inlineStr">
        <is>
          <t>A 66259-2021</t>
        </is>
      </c>
      <c r="B484" s="1" t="n">
        <v>44518</v>
      </c>
      <c r="C484" s="1" t="n">
        <v>45637</v>
      </c>
      <c r="D484" t="inlineStr">
        <is>
          <t>VÄSTERBOTTENS LÄN</t>
        </is>
      </c>
      <c r="E484" t="inlineStr">
        <is>
          <t>VILHELMINA</t>
        </is>
      </c>
      <c r="G484" t="n">
        <v>14.6</v>
      </c>
      <c r="H484" t="n">
        <v>0</v>
      </c>
      <c r="I484" t="n">
        <v>0</v>
      </c>
      <c r="J484" t="n">
        <v>0</v>
      </c>
      <c r="K484" t="n">
        <v>0</v>
      </c>
      <c r="L484" t="n">
        <v>0</v>
      </c>
      <c r="M484" t="n">
        <v>0</v>
      </c>
      <c r="N484" t="n">
        <v>0</v>
      </c>
      <c r="O484" t="n">
        <v>0</v>
      </c>
      <c r="P484" t="n">
        <v>0</v>
      </c>
      <c r="Q484" t="n">
        <v>0</v>
      </c>
      <c r="R484" s="2" t="inlineStr"/>
    </row>
    <row r="485" ht="15" customHeight="1">
      <c r="A485" t="inlineStr">
        <is>
          <t>A 66458-2021</t>
        </is>
      </c>
      <c r="B485" s="1" t="n">
        <v>44518</v>
      </c>
      <c r="C485" s="1" t="n">
        <v>45637</v>
      </c>
      <c r="D485" t="inlineStr">
        <is>
          <t>VÄSTERBOTTENS LÄN</t>
        </is>
      </c>
      <c r="E485" t="inlineStr">
        <is>
          <t>VILHELMINA</t>
        </is>
      </c>
      <c r="G485" t="n">
        <v>3.7</v>
      </c>
      <c r="H485" t="n">
        <v>0</v>
      </c>
      <c r="I485" t="n">
        <v>0</v>
      </c>
      <c r="J485" t="n">
        <v>0</v>
      </c>
      <c r="K485" t="n">
        <v>0</v>
      </c>
      <c r="L485" t="n">
        <v>0</v>
      </c>
      <c r="M485" t="n">
        <v>0</v>
      </c>
      <c r="N485" t="n">
        <v>0</v>
      </c>
      <c r="O485" t="n">
        <v>0</v>
      </c>
      <c r="P485" t="n">
        <v>0</v>
      </c>
      <c r="Q485" t="n">
        <v>0</v>
      </c>
      <c r="R485" s="2" t="inlineStr"/>
    </row>
    <row r="486" ht="15" customHeight="1">
      <c r="A486" t="inlineStr">
        <is>
          <t>A 66917-2021</t>
        </is>
      </c>
      <c r="B486" s="1" t="n">
        <v>44522</v>
      </c>
      <c r="C486" s="1" t="n">
        <v>45637</v>
      </c>
      <c r="D486" t="inlineStr">
        <is>
          <t>VÄSTERBOTTENS LÄN</t>
        </is>
      </c>
      <c r="E486" t="inlineStr">
        <is>
          <t>VILHELMINA</t>
        </is>
      </c>
      <c r="F486" t="inlineStr">
        <is>
          <t>Allmännings- och besparingsskogar</t>
        </is>
      </c>
      <c r="G486" t="n">
        <v>11.7</v>
      </c>
      <c r="H486" t="n">
        <v>0</v>
      </c>
      <c r="I486" t="n">
        <v>0</v>
      </c>
      <c r="J486" t="n">
        <v>0</v>
      </c>
      <c r="K486" t="n">
        <v>0</v>
      </c>
      <c r="L486" t="n">
        <v>0</v>
      </c>
      <c r="M486" t="n">
        <v>0</v>
      </c>
      <c r="N486" t="n">
        <v>0</v>
      </c>
      <c r="O486" t="n">
        <v>0</v>
      </c>
      <c r="P486" t="n">
        <v>0</v>
      </c>
      <c r="Q486" t="n">
        <v>0</v>
      </c>
      <c r="R486" s="2" t="inlineStr"/>
    </row>
    <row r="487" ht="15" customHeight="1">
      <c r="A487" t="inlineStr">
        <is>
          <t>A 66952-2021</t>
        </is>
      </c>
      <c r="B487" s="1" t="n">
        <v>44522</v>
      </c>
      <c r="C487" s="1" t="n">
        <v>45637</v>
      </c>
      <c r="D487" t="inlineStr">
        <is>
          <t>VÄSTERBOTTENS LÄN</t>
        </is>
      </c>
      <c r="E487" t="inlineStr">
        <is>
          <t>VILHELMINA</t>
        </is>
      </c>
      <c r="F487" t="inlineStr">
        <is>
          <t>Allmännings- och besparingsskogar</t>
        </is>
      </c>
      <c r="G487" t="n">
        <v>70</v>
      </c>
      <c r="H487" t="n">
        <v>0</v>
      </c>
      <c r="I487" t="n">
        <v>0</v>
      </c>
      <c r="J487" t="n">
        <v>0</v>
      </c>
      <c r="K487" t="n">
        <v>0</v>
      </c>
      <c r="L487" t="n">
        <v>0</v>
      </c>
      <c r="M487" t="n">
        <v>0</v>
      </c>
      <c r="N487" t="n">
        <v>0</v>
      </c>
      <c r="O487" t="n">
        <v>0</v>
      </c>
      <c r="P487" t="n">
        <v>0</v>
      </c>
      <c r="Q487" t="n">
        <v>0</v>
      </c>
      <c r="R487" s="2" t="inlineStr"/>
    </row>
    <row r="488" ht="15" customHeight="1">
      <c r="A488" t="inlineStr">
        <is>
          <t>A 68037-2021</t>
        </is>
      </c>
      <c r="B488" s="1" t="n">
        <v>44525</v>
      </c>
      <c r="C488" s="1" t="n">
        <v>45637</v>
      </c>
      <c r="D488" t="inlineStr">
        <is>
          <t>VÄSTERBOTTENS LÄN</t>
        </is>
      </c>
      <c r="E488" t="inlineStr">
        <is>
          <t>VILHELMINA</t>
        </is>
      </c>
      <c r="G488" t="n">
        <v>2.1</v>
      </c>
      <c r="H488" t="n">
        <v>0</v>
      </c>
      <c r="I488" t="n">
        <v>0</v>
      </c>
      <c r="J488" t="n">
        <v>0</v>
      </c>
      <c r="K488" t="n">
        <v>0</v>
      </c>
      <c r="L488" t="n">
        <v>0</v>
      </c>
      <c r="M488" t="n">
        <v>0</v>
      </c>
      <c r="N488" t="n">
        <v>0</v>
      </c>
      <c r="O488" t="n">
        <v>0</v>
      </c>
      <c r="P488" t="n">
        <v>0</v>
      </c>
      <c r="Q488" t="n">
        <v>0</v>
      </c>
      <c r="R488" s="2" t="inlineStr"/>
    </row>
    <row r="489" ht="15" customHeight="1">
      <c r="A489" t="inlineStr">
        <is>
          <t>A 69362-2021</t>
        </is>
      </c>
      <c r="B489" s="1" t="n">
        <v>44531</v>
      </c>
      <c r="C489" s="1" t="n">
        <v>45637</v>
      </c>
      <c r="D489" t="inlineStr">
        <is>
          <t>VÄSTERBOTTENS LÄN</t>
        </is>
      </c>
      <c r="E489" t="inlineStr">
        <is>
          <t>VILHELMINA</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69366-2021</t>
        </is>
      </c>
      <c r="B490" s="1" t="n">
        <v>44531</v>
      </c>
      <c r="C490" s="1" t="n">
        <v>45637</v>
      </c>
      <c r="D490" t="inlineStr">
        <is>
          <t>VÄSTERBOTTENS LÄN</t>
        </is>
      </c>
      <c r="E490" t="inlineStr">
        <is>
          <t>VILHELMINA</t>
        </is>
      </c>
      <c r="G490" t="n">
        <v>1.2</v>
      </c>
      <c r="H490" t="n">
        <v>0</v>
      </c>
      <c r="I490" t="n">
        <v>0</v>
      </c>
      <c r="J490" t="n">
        <v>0</v>
      </c>
      <c r="K490" t="n">
        <v>0</v>
      </c>
      <c r="L490" t="n">
        <v>0</v>
      </c>
      <c r="M490" t="n">
        <v>0</v>
      </c>
      <c r="N490" t="n">
        <v>0</v>
      </c>
      <c r="O490" t="n">
        <v>0</v>
      </c>
      <c r="P490" t="n">
        <v>0</v>
      </c>
      <c r="Q490" t="n">
        <v>0</v>
      </c>
      <c r="R490" s="2" t="inlineStr"/>
    </row>
    <row r="491" ht="15" customHeight="1">
      <c r="A491" t="inlineStr">
        <is>
          <t>A 69848-2021</t>
        </is>
      </c>
      <c r="B491" s="1" t="n">
        <v>44532</v>
      </c>
      <c r="C491" s="1" t="n">
        <v>45637</v>
      </c>
      <c r="D491" t="inlineStr">
        <is>
          <t>VÄSTERBOTTENS LÄN</t>
        </is>
      </c>
      <c r="E491" t="inlineStr">
        <is>
          <t>VILHELMINA</t>
        </is>
      </c>
      <c r="G491" t="n">
        <v>2.5</v>
      </c>
      <c r="H491" t="n">
        <v>0</v>
      </c>
      <c r="I491" t="n">
        <v>0</v>
      </c>
      <c r="J491" t="n">
        <v>0</v>
      </c>
      <c r="K491" t="n">
        <v>0</v>
      </c>
      <c r="L491" t="n">
        <v>0</v>
      </c>
      <c r="M491" t="n">
        <v>0</v>
      </c>
      <c r="N491" t="n">
        <v>0</v>
      </c>
      <c r="O491" t="n">
        <v>0</v>
      </c>
      <c r="P491" t="n">
        <v>0</v>
      </c>
      <c r="Q491" t="n">
        <v>0</v>
      </c>
      <c r="R491" s="2" t="inlineStr"/>
    </row>
    <row r="492" ht="15" customHeight="1">
      <c r="A492" t="inlineStr">
        <is>
          <t>A 70849-2021</t>
        </is>
      </c>
      <c r="B492" s="1" t="n">
        <v>44532</v>
      </c>
      <c r="C492" s="1" t="n">
        <v>45637</v>
      </c>
      <c r="D492" t="inlineStr">
        <is>
          <t>VÄSTERBOTTENS LÄN</t>
        </is>
      </c>
      <c r="E492" t="inlineStr">
        <is>
          <t>VILHELMINA</t>
        </is>
      </c>
      <c r="G492" t="n">
        <v>21.4</v>
      </c>
      <c r="H492" t="n">
        <v>0</v>
      </c>
      <c r="I492" t="n">
        <v>0</v>
      </c>
      <c r="J492" t="n">
        <v>0</v>
      </c>
      <c r="K492" t="n">
        <v>0</v>
      </c>
      <c r="L492" t="n">
        <v>0</v>
      </c>
      <c r="M492" t="n">
        <v>0</v>
      </c>
      <c r="N492" t="n">
        <v>0</v>
      </c>
      <c r="O492" t="n">
        <v>0</v>
      </c>
      <c r="P492" t="n">
        <v>0</v>
      </c>
      <c r="Q492" t="n">
        <v>0</v>
      </c>
      <c r="R492" s="2" t="inlineStr"/>
    </row>
    <row r="493" ht="15" customHeight="1">
      <c r="A493" t="inlineStr">
        <is>
          <t>A 69850-2021</t>
        </is>
      </c>
      <c r="B493" s="1" t="n">
        <v>44532</v>
      </c>
      <c r="C493" s="1" t="n">
        <v>45637</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70854-2021</t>
        </is>
      </c>
      <c r="B494" s="1" t="n">
        <v>44532</v>
      </c>
      <c r="C494" s="1" t="n">
        <v>45637</v>
      </c>
      <c r="D494" t="inlineStr">
        <is>
          <t>VÄSTERBOTTENS LÄN</t>
        </is>
      </c>
      <c r="E494" t="inlineStr">
        <is>
          <t>VILHELMINA</t>
        </is>
      </c>
      <c r="G494" t="n">
        <v>2.6</v>
      </c>
      <c r="H494" t="n">
        <v>0</v>
      </c>
      <c r="I494" t="n">
        <v>0</v>
      </c>
      <c r="J494" t="n">
        <v>0</v>
      </c>
      <c r="K494" t="n">
        <v>0</v>
      </c>
      <c r="L494" t="n">
        <v>0</v>
      </c>
      <c r="M494" t="n">
        <v>0</v>
      </c>
      <c r="N494" t="n">
        <v>0</v>
      </c>
      <c r="O494" t="n">
        <v>0</v>
      </c>
      <c r="P494" t="n">
        <v>0</v>
      </c>
      <c r="Q494" t="n">
        <v>0</v>
      </c>
      <c r="R494" s="2" t="inlineStr"/>
    </row>
    <row r="495" ht="15" customHeight="1">
      <c r="A495" t="inlineStr">
        <is>
          <t>A 70117-2021</t>
        </is>
      </c>
      <c r="B495" s="1" t="n">
        <v>44533</v>
      </c>
      <c r="C495" s="1" t="n">
        <v>45637</v>
      </c>
      <c r="D495" t="inlineStr">
        <is>
          <t>VÄSTERBOTTENS LÄN</t>
        </is>
      </c>
      <c r="E495" t="inlineStr">
        <is>
          <t>VILHELMINA</t>
        </is>
      </c>
      <c r="G495" t="n">
        <v>3</v>
      </c>
      <c r="H495" t="n">
        <v>0</v>
      </c>
      <c r="I495" t="n">
        <v>0</v>
      </c>
      <c r="J495" t="n">
        <v>0</v>
      </c>
      <c r="K495" t="n">
        <v>0</v>
      </c>
      <c r="L495" t="n">
        <v>0</v>
      </c>
      <c r="M495" t="n">
        <v>0</v>
      </c>
      <c r="N495" t="n">
        <v>0</v>
      </c>
      <c r="O495" t="n">
        <v>0</v>
      </c>
      <c r="P495" t="n">
        <v>0</v>
      </c>
      <c r="Q495" t="n">
        <v>0</v>
      </c>
      <c r="R495" s="2" t="inlineStr"/>
    </row>
    <row r="496" ht="15" customHeight="1">
      <c r="A496" t="inlineStr">
        <is>
          <t>A 70811-2021</t>
        </is>
      </c>
      <c r="B496" s="1" t="n">
        <v>44537</v>
      </c>
      <c r="C496" s="1" t="n">
        <v>45637</v>
      </c>
      <c r="D496" t="inlineStr">
        <is>
          <t>VÄSTERBOTTENS LÄN</t>
        </is>
      </c>
      <c r="E496" t="inlineStr">
        <is>
          <t>VILHELMINA</t>
        </is>
      </c>
      <c r="G496" t="n">
        <v>1.9</v>
      </c>
      <c r="H496" t="n">
        <v>0</v>
      </c>
      <c r="I496" t="n">
        <v>0</v>
      </c>
      <c r="J496" t="n">
        <v>0</v>
      </c>
      <c r="K496" t="n">
        <v>0</v>
      </c>
      <c r="L496" t="n">
        <v>0</v>
      </c>
      <c r="M496" t="n">
        <v>0</v>
      </c>
      <c r="N496" t="n">
        <v>0</v>
      </c>
      <c r="O496" t="n">
        <v>0</v>
      </c>
      <c r="P496" t="n">
        <v>0</v>
      </c>
      <c r="Q496" t="n">
        <v>0</v>
      </c>
      <c r="R496" s="2" t="inlineStr"/>
    </row>
    <row r="497" ht="15" customHeight="1">
      <c r="A497" t="inlineStr">
        <is>
          <t>A 72057-2021</t>
        </is>
      </c>
      <c r="B497" s="1" t="n">
        <v>44540</v>
      </c>
      <c r="C497" s="1" t="n">
        <v>45637</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72153-2021</t>
        </is>
      </c>
      <c r="B498" s="1" t="n">
        <v>44543</v>
      </c>
      <c r="C498" s="1" t="n">
        <v>45637</v>
      </c>
      <c r="D498" t="inlineStr">
        <is>
          <t>VÄSTERBOTTENS LÄN</t>
        </is>
      </c>
      <c r="E498" t="inlineStr">
        <is>
          <t>VILHELMINA</t>
        </is>
      </c>
      <c r="G498" t="n">
        <v>6.7</v>
      </c>
      <c r="H498" t="n">
        <v>0</v>
      </c>
      <c r="I498" t="n">
        <v>0</v>
      </c>
      <c r="J498" t="n">
        <v>0</v>
      </c>
      <c r="K498" t="n">
        <v>0</v>
      </c>
      <c r="L498" t="n">
        <v>0</v>
      </c>
      <c r="M498" t="n">
        <v>0</v>
      </c>
      <c r="N498" t="n">
        <v>0</v>
      </c>
      <c r="O498" t="n">
        <v>0</v>
      </c>
      <c r="P498" t="n">
        <v>0</v>
      </c>
      <c r="Q498" t="n">
        <v>0</v>
      </c>
      <c r="R498" s="2" t="inlineStr"/>
    </row>
    <row r="499" ht="15" customHeight="1">
      <c r="A499" t="inlineStr">
        <is>
          <t>A 72489-2021</t>
        </is>
      </c>
      <c r="B499" s="1" t="n">
        <v>44545</v>
      </c>
      <c r="C499" s="1" t="n">
        <v>45637</v>
      </c>
      <c r="D499" t="inlineStr">
        <is>
          <t>VÄSTERBOTTENS LÄN</t>
        </is>
      </c>
      <c r="E499" t="inlineStr">
        <is>
          <t>VILHELMINA</t>
        </is>
      </c>
      <c r="G499" t="n">
        <v>5</v>
      </c>
      <c r="H499" t="n">
        <v>0</v>
      </c>
      <c r="I499" t="n">
        <v>0</v>
      </c>
      <c r="J499" t="n">
        <v>0</v>
      </c>
      <c r="K499" t="n">
        <v>0</v>
      </c>
      <c r="L499" t="n">
        <v>0</v>
      </c>
      <c r="M499" t="n">
        <v>0</v>
      </c>
      <c r="N499" t="n">
        <v>0</v>
      </c>
      <c r="O499" t="n">
        <v>0</v>
      </c>
      <c r="P499" t="n">
        <v>0</v>
      </c>
      <c r="Q499" t="n">
        <v>0</v>
      </c>
      <c r="R499" s="2" t="inlineStr"/>
    </row>
    <row r="500" ht="15" customHeight="1">
      <c r="A500" t="inlineStr">
        <is>
          <t>A 72494-2021</t>
        </is>
      </c>
      <c r="B500" s="1" t="n">
        <v>44545</v>
      </c>
      <c r="C500" s="1" t="n">
        <v>45637</v>
      </c>
      <c r="D500" t="inlineStr">
        <is>
          <t>VÄSTERBOTTENS LÄN</t>
        </is>
      </c>
      <c r="E500" t="inlineStr">
        <is>
          <t>VILHELMINA</t>
        </is>
      </c>
      <c r="G500" t="n">
        <v>4.2</v>
      </c>
      <c r="H500" t="n">
        <v>0</v>
      </c>
      <c r="I500" t="n">
        <v>0</v>
      </c>
      <c r="J500" t="n">
        <v>0</v>
      </c>
      <c r="K500" t="n">
        <v>0</v>
      </c>
      <c r="L500" t="n">
        <v>0</v>
      </c>
      <c r="M500" t="n">
        <v>0</v>
      </c>
      <c r="N500" t="n">
        <v>0</v>
      </c>
      <c r="O500" t="n">
        <v>0</v>
      </c>
      <c r="P500" t="n">
        <v>0</v>
      </c>
      <c r="Q500" t="n">
        <v>0</v>
      </c>
      <c r="R500" s="2" t="inlineStr"/>
    </row>
    <row r="501" ht="15" customHeight="1">
      <c r="A501" t="inlineStr">
        <is>
          <t>A 72490-2021</t>
        </is>
      </c>
      <c r="B501" s="1" t="n">
        <v>44545</v>
      </c>
      <c r="C501" s="1" t="n">
        <v>45637</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72488-2021</t>
        </is>
      </c>
      <c r="B502" s="1" t="n">
        <v>44545</v>
      </c>
      <c r="C502" s="1" t="n">
        <v>45637</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72487-2021</t>
        </is>
      </c>
      <c r="B503" s="1" t="n">
        <v>44545</v>
      </c>
      <c r="C503" s="1" t="n">
        <v>45637</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72493-2021</t>
        </is>
      </c>
      <c r="B504" s="1" t="n">
        <v>44545</v>
      </c>
      <c r="C504" s="1" t="n">
        <v>45637</v>
      </c>
      <c r="D504" t="inlineStr">
        <is>
          <t>VÄSTERBOTTENS LÄN</t>
        </is>
      </c>
      <c r="E504" t="inlineStr">
        <is>
          <t>VILHELMINA</t>
        </is>
      </c>
      <c r="G504" t="n">
        <v>4.2</v>
      </c>
      <c r="H504" t="n">
        <v>0</v>
      </c>
      <c r="I504" t="n">
        <v>0</v>
      </c>
      <c r="J504" t="n">
        <v>0</v>
      </c>
      <c r="K504" t="n">
        <v>0</v>
      </c>
      <c r="L504" t="n">
        <v>0</v>
      </c>
      <c r="M504" t="n">
        <v>0</v>
      </c>
      <c r="N504" t="n">
        <v>0</v>
      </c>
      <c r="O504" t="n">
        <v>0</v>
      </c>
      <c r="P504" t="n">
        <v>0</v>
      </c>
      <c r="Q504" t="n">
        <v>0</v>
      </c>
      <c r="R504" s="2" t="inlineStr"/>
    </row>
    <row r="505" ht="15" customHeight="1">
      <c r="A505" t="inlineStr">
        <is>
          <t>A 210-2022</t>
        </is>
      </c>
      <c r="B505" s="1" t="n">
        <v>44564</v>
      </c>
      <c r="C505" s="1" t="n">
        <v>45637</v>
      </c>
      <c r="D505" t="inlineStr">
        <is>
          <t>VÄSTERBOTTENS LÄN</t>
        </is>
      </c>
      <c r="E505" t="inlineStr">
        <is>
          <t>VILHELMINA</t>
        </is>
      </c>
      <c r="G505" t="n">
        <v>2</v>
      </c>
      <c r="H505" t="n">
        <v>0</v>
      </c>
      <c r="I505" t="n">
        <v>0</v>
      </c>
      <c r="J505" t="n">
        <v>0</v>
      </c>
      <c r="K505" t="n">
        <v>0</v>
      </c>
      <c r="L505" t="n">
        <v>0</v>
      </c>
      <c r="M505" t="n">
        <v>0</v>
      </c>
      <c r="N505" t="n">
        <v>0</v>
      </c>
      <c r="O505" t="n">
        <v>0</v>
      </c>
      <c r="P505" t="n">
        <v>0</v>
      </c>
      <c r="Q505" t="n">
        <v>0</v>
      </c>
      <c r="R505" s="2" t="inlineStr"/>
    </row>
    <row r="506" ht="15" customHeight="1">
      <c r="A506" t="inlineStr">
        <is>
          <t>A 590-2022</t>
        </is>
      </c>
      <c r="B506" s="1" t="n">
        <v>44567</v>
      </c>
      <c r="C506" s="1" t="n">
        <v>45637</v>
      </c>
      <c r="D506" t="inlineStr">
        <is>
          <t>VÄSTERBOTTENS LÄN</t>
        </is>
      </c>
      <c r="E506" t="inlineStr">
        <is>
          <t>VILHELMINA</t>
        </is>
      </c>
      <c r="G506" t="n">
        <v>14.5</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45637</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2340-2022</t>
        </is>
      </c>
      <c r="B508" s="1" t="n">
        <v>44578</v>
      </c>
      <c r="C508" s="1" t="n">
        <v>45637</v>
      </c>
      <c r="D508" t="inlineStr">
        <is>
          <t>VÄSTERBOTTENS LÄN</t>
        </is>
      </c>
      <c r="E508" t="inlineStr">
        <is>
          <t>VILHELMINA</t>
        </is>
      </c>
      <c r="G508" t="n">
        <v>0.9</v>
      </c>
      <c r="H508" t="n">
        <v>0</v>
      </c>
      <c r="I508" t="n">
        <v>0</v>
      </c>
      <c r="J508" t="n">
        <v>0</v>
      </c>
      <c r="K508" t="n">
        <v>0</v>
      </c>
      <c r="L508" t="n">
        <v>0</v>
      </c>
      <c r="M508" t="n">
        <v>0</v>
      </c>
      <c r="N508" t="n">
        <v>0</v>
      </c>
      <c r="O508" t="n">
        <v>0</v>
      </c>
      <c r="P508" t="n">
        <v>0</v>
      </c>
      <c r="Q508" t="n">
        <v>0</v>
      </c>
      <c r="R508" s="2" t="inlineStr"/>
    </row>
    <row r="509" ht="15" customHeight="1">
      <c r="A509" t="inlineStr">
        <is>
          <t>A 2341-2022</t>
        </is>
      </c>
      <c r="B509" s="1" t="n">
        <v>44578</v>
      </c>
      <c r="C509" s="1" t="n">
        <v>45637</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5285-2022</t>
        </is>
      </c>
      <c r="B510" s="1" t="n">
        <v>44594</v>
      </c>
      <c r="C510" s="1" t="n">
        <v>45637</v>
      </c>
      <c r="D510" t="inlineStr">
        <is>
          <t>VÄSTERBOTTENS LÄN</t>
        </is>
      </c>
      <c r="E510" t="inlineStr">
        <is>
          <t>VILHELMINA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7156-2022</t>
        </is>
      </c>
      <c r="B511" s="1" t="n">
        <v>44604</v>
      </c>
      <c r="C511" s="1" t="n">
        <v>45637</v>
      </c>
      <c r="D511" t="inlineStr">
        <is>
          <t>VÄSTERBOTTENS LÄN</t>
        </is>
      </c>
      <c r="E511" t="inlineStr">
        <is>
          <t>VILHELMINA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8229-2022</t>
        </is>
      </c>
      <c r="B512" s="1" t="n">
        <v>44609</v>
      </c>
      <c r="C512" s="1" t="n">
        <v>45637</v>
      </c>
      <c r="D512" t="inlineStr">
        <is>
          <t>VÄSTERBOTTENS LÄN</t>
        </is>
      </c>
      <c r="E512" t="inlineStr">
        <is>
          <t>VILHELMINA</t>
        </is>
      </c>
      <c r="F512" t="inlineStr">
        <is>
          <t>SCA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8258-2022</t>
        </is>
      </c>
      <c r="B513" s="1" t="n">
        <v>44609</v>
      </c>
      <c r="C513" s="1" t="n">
        <v>45637</v>
      </c>
      <c r="D513" t="inlineStr">
        <is>
          <t>VÄSTERBOTTENS LÄN</t>
        </is>
      </c>
      <c r="E513" t="inlineStr">
        <is>
          <t>VILHELMINA</t>
        </is>
      </c>
      <c r="G513" t="n">
        <v>31.1</v>
      </c>
      <c r="H513" t="n">
        <v>0</v>
      </c>
      <c r="I513" t="n">
        <v>0</v>
      </c>
      <c r="J513" t="n">
        <v>0</v>
      </c>
      <c r="K513" t="n">
        <v>0</v>
      </c>
      <c r="L513" t="n">
        <v>0</v>
      </c>
      <c r="M513" t="n">
        <v>0</v>
      </c>
      <c r="N513" t="n">
        <v>0</v>
      </c>
      <c r="O513" t="n">
        <v>0</v>
      </c>
      <c r="P513" t="n">
        <v>0</v>
      </c>
      <c r="Q513" t="n">
        <v>0</v>
      </c>
      <c r="R513" s="2" t="inlineStr"/>
    </row>
    <row r="514" ht="15" customHeight="1">
      <c r="A514" t="inlineStr">
        <is>
          <t>A 8731-2022</t>
        </is>
      </c>
      <c r="B514" s="1" t="n">
        <v>44613</v>
      </c>
      <c r="C514" s="1" t="n">
        <v>45637</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8730-2022</t>
        </is>
      </c>
      <c r="B515" s="1" t="n">
        <v>44613</v>
      </c>
      <c r="C515" s="1" t="n">
        <v>45637</v>
      </c>
      <c r="D515" t="inlineStr">
        <is>
          <t>VÄSTERBOTTENS LÄN</t>
        </is>
      </c>
      <c r="E515" t="inlineStr">
        <is>
          <t>VILHELMINA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9026-2022</t>
        </is>
      </c>
      <c r="B516" s="1" t="n">
        <v>44615</v>
      </c>
      <c r="C516" s="1" t="n">
        <v>45637</v>
      </c>
      <c r="D516" t="inlineStr">
        <is>
          <t>VÄSTERBOTTENS LÄN</t>
        </is>
      </c>
      <c r="E516" t="inlineStr">
        <is>
          <t>VILHELMINA</t>
        </is>
      </c>
      <c r="G516" t="n">
        <v>25.8</v>
      </c>
      <c r="H516" t="n">
        <v>0</v>
      </c>
      <c r="I516" t="n">
        <v>0</v>
      </c>
      <c r="J516" t="n">
        <v>0</v>
      </c>
      <c r="K516" t="n">
        <v>0</v>
      </c>
      <c r="L516" t="n">
        <v>0</v>
      </c>
      <c r="M516" t="n">
        <v>0</v>
      </c>
      <c r="N516" t="n">
        <v>0</v>
      </c>
      <c r="O516" t="n">
        <v>0</v>
      </c>
      <c r="P516" t="n">
        <v>0</v>
      </c>
      <c r="Q516" t="n">
        <v>0</v>
      </c>
      <c r="R516" s="2" t="inlineStr"/>
    </row>
    <row r="517" ht="15" customHeight="1">
      <c r="A517" t="inlineStr">
        <is>
          <t>A 9162-2022</t>
        </is>
      </c>
      <c r="B517" s="1" t="n">
        <v>44615</v>
      </c>
      <c r="C517" s="1" t="n">
        <v>45637</v>
      </c>
      <c r="D517" t="inlineStr">
        <is>
          <t>VÄSTERBOTTENS LÄN</t>
        </is>
      </c>
      <c r="E517" t="inlineStr">
        <is>
          <t>VILHELMINA</t>
        </is>
      </c>
      <c r="G517" t="n">
        <v>7.2</v>
      </c>
      <c r="H517" t="n">
        <v>0</v>
      </c>
      <c r="I517" t="n">
        <v>0</v>
      </c>
      <c r="J517" t="n">
        <v>0</v>
      </c>
      <c r="K517" t="n">
        <v>0</v>
      </c>
      <c r="L517" t="n">
        <v>0</v>
      </c>
      <c r="M517" t="n">
        <v>0</v>
      </c>
      <c r="N517" t="n">
        <v>0</v>
      </c>
      <c r="O517" t="n">
        <v>0</v>
      </c>
      <c r="P517" t="n">
        <v>0</v>
      </c>
      <c r="Q517" t="n">
        <v>0</v>
      </c>
      <c r="R517" s="2" t="inlineStr"/>
    </row>
    <row r="518" ht="15" customHeight="1">
      <c r="A518" t="inlineStr">
        <is>
          <t>A 9501-2022</t>
        </is>
      </c>
      <c r="B518" s="1" t="n">
        <v>44616</v>
      </c>
      <c r="C518" s="1" t="n">
        <v>45637</v>
      </c>
      <c r="D518" t="inlineStr">
        <is>
          <t>VÄSTERBOTTENS LÄN</t>
        </is>
      </c>
      <c r="E518" t="inlineStr">
        <is>
          <t>VILHELMINA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9731-2022</t>
        </is>
      </c>
      <c r="B519" s="1" t="n">
        <v>44617</v>
      </c>
      <c r="C519" s="1" t="n">
        <v>45637</v>
      </c>
      <c r="D519" t="inlineStr">
        <is>
          <t>VÄSTERBOTTENS LÄN</t>
        </is>
      </c>
      <c r="E519" t="inlineStr">
        <is>
          <t>VILHELMINA</t>
        </is>
      </c>
      <c r="F519" t="inlineStr">
        <is>
          <t>SCA</t>
        </is>
      </c>
      <c r="G519" t="n">
        <v>15.9</v>
      </c>
      <c r="H519" t="n">
        <v>0</v>
      </c>
      <c r="I519" t="n">
        <v>0</v>
      </c>
      <c r="J519" t="n">
        <v>0</v>
      </c>
      <c r="K519" t="n">
        <v>0</v>
      </c>
      <c r="L519" t="n">
        <v>0</v>
      </c>
      <c r="M519" t="n">
        <v>0</v>
      </c>
      <c r="N519" t="n">
        <v>0</v>
      </c>
      <c r="O519" t="n">
        <v>0</v>
      </c>
      <c r="P519" t="n">
        <v>0</v>
      </c>
      <c r="Q519" t="n">
        <v>0</v>
      </c>
      <c r="R519" s="2" t="inlineStr"/>
    </row>
    <row r="520" ht="15" customHeight="1">
      <c r="A520" t="inlineStr">
        <is>
          <t>A 9735-2022</t>
        </is>
      </c>
      <c r="B520" s="1" t="n">
        <v>44617</v>
      </c>
      <c r="C520" s="1" t="n">
        <v>45637</v>
      </c>
      <c r="D520" t="inlineStr">
        <is>
          <t>VÄSTERBOTTENS LÄN</t>
        </is>
      </c>
      <c r="E520" t="inlineStr">
        <is>
          <t>VILHELMINA</t>
        </is>
      </c>
      <c r="F520" t="inlineStr">
        <is>
          <t>SCA</t>
        </is>
      </c>
      <c r="G520" t="n">
        <v>12.3</v>
      </c>
      <c r="H520" t="n">
        <v>0</v>
      </c>
      <c r="I520" t="n">
        <v>0</v>
      </c>
      <c r="J520" t="n">
        <v>0</v>
      </c>
      <c r="K520" t="n">
        <v>0</v>
      </c>
      <c r="L520" t="n">
        <v>0</v>
      </c>
      <c r="M520" t="n">
        <v>0</v>
      </c>
      <c r="N520" t="n">
        <v>0</v>
      </c>
      <c r="O520" t="n">
        <v>0</v>
      </c>
      <c r="P520" t="n">
        <v>0</v>
      </c>
      <c r="Q520" t="n">
        <v>0</v>
      </c>
      <c r="R520" s="2" t="inlineStr"/>
    </row>
    <row r="521" ht="15" customHeight="1">
      <c r="A521" t="inlineStr">
        <is>
          <t>A 9734-2022</t>
        </is>
      </c>
      <c r="B521" s="1" t="n">
        <v>44617</v>
      </c>
      <c r="C521" s="1" t="n">
        <v>45637</v>
      </c>
      <c r="D521" t="inlineStr">
        <is>
          <t>VÄSTERBOTTENS LÄN</t>
        </is>
      </c>
      <c r="E521" t="inlineStr">
        <is>
          <t>VILHELMINA</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9732-2022</t>
        </is>
      </c>
      <c r="B522" s="1" t="n">
        <v>44617</v>
      </c>
      <c r="C522" s="1" t="n">
        <v>45637</v>
      </c>
      <c r="D522" t="inlineStr">
        <is>
          <t>VÄSTERBOTTENS LÄN</t>
        </is>
      </c>
      <c r="E522" t="inlineStr">
        <is>
          <t>VILHELMINA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9733-2022</t>
        </is>
      </c>
      <c r="B523" s="1" t="n">
        <v>44617</v>
      </c>
      <c r="C523" s="1" t="n">
        <v>45637</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9777-2022</t>
        </is>
      </c>
      <c r="B524" s="1" t="n">
        <v>44619</v>
      </c>
      <c r="C524" s="1" t="n">
        <v>45637</v>
      </c>
      <c r="D524" t="inlineStr">
        <is>
          <t>VÄSTERBOTTENS LÄN</t>
        </is>
      </c>
      <c r="E524" t="inlineStr">
        <is>
          <t>VILHELMINA</t>
        </is>
      </c>
      <c r="G524" t="n">
        <v>1.7</v>
      </c>
      <c r="H524" t="n">
        <v>0</v>
      </c>
      <c r="I524" t="n">
        <v>0</v>
      </c>
      <c r="J524" t="n">
        <v>0</v>
      </c>
      <c r="K524" t="n">
        <v>0</v>
      </c>
      <c r="L524" t="n">
        <v>0</v>
      </c>
      <c r="M524" t="n">
        <v>0</v>
      </c>
      <c r="N524" t="n">
        <v>0</v>
      </c>
      <c r="O524" t="n">
        <v>0</v>
      </c>
      <c r="P524" t="n">
        <v>0</v>
      </c>
      <c r="Q524" t="n">
        <v>0</v>
      </c>
      <c r="R524" s="2" t="inlineStr"/>
    </row>
    <row r="525" ht="15" customHeight="1">
      <c r="A525" t="inlineStr">
        <is>
          <t>A 9781-2022</t>
        </is>
      </c>
      <c r="B525" s="1" t="n">
        <v>44619</v>
      </c>
      <c r="C525" s="1" t="n">
        <v>45637</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9780-2022</t>
        </is>
      </c>
      <c r="B526" s="1" t="n">
        <v>44619</v>
      </c>
      <c r="C526" s="1" t="n">
        <v>45637</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9779-2022</t>
        </is>
      </c>
      <c r="B527" s="1" t="n">
        <v>44619</v>
      </c>
      <c r="C527" s="1" t="n">
        <v>45637</v>
      </c>
      <c r="D527" t="inlineStr">
        <is>
          <t>VÄSTERBOTTENS LÄN</t>
        </is>
      </c>
      <c r="E527" t="inlineStr">
        <is>
          <t>VILHELMINA</t>
        </is>
      </c>
      <c r="G527" t="n">
        <v>0.8</v>
      </c>
      <c r="H527" t="n">
        <v>0</v>
      </c>
      <c r="I527" t="n">
        <v>0</v>
      </c>
      <c r="J527" t="n">
        <v>0</v>
      </c>
      <c r="K527" t="n">
        <v>0</v>
      </c>
      <c r="L527" t="n">
        <v>0</v>
      </c>
      <c r="M527" t="n">
        <v>0</v>
      </c>
      <c r="N527" t="n">
        <v>0</v>
      </c>
      <c r="O527" t="n">
        <v>0</v>
      </c>
      <c r="P527" t="n">
        <v>0</v>
      </c>
      <c r="Q527" t="n">
        <v>0</v>
      </c>
      <c r="R527" s="2" t="inlineStr"/>
    </row>
    <row r="528" ht="15" customHeight="1">
      <c r="A528" t="inlineStr">
        <is>
          <t>A 10142-2022</t>
        </is>
      </c>
      <c r="B528" s="1" t="n">
        <v>44621</v>
      </c>
      <c r="C528" s="1" t="n">
        <v>45637</v>
      </c>
      <c r="D528" t="inlineStr">
        <is>
          <t>VÄSTERBOTTENS LÄN</t>
        </is>
      </c>
      <c r="E528" t="inlineStr">
        <is>
          <t>VILHELMINA</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10121-2022</t>
        </is>
      </c>
      <c r="B529" s="1" t="n">
        <v>44621</v>
      </c>
      <c r="C529" s="1" t="n">
        <v>45637</v>
      </c>
      <c r="D529" t="inlineStr">
        <is>
          <t>VÄSTERBOTTENS LÄN</t>
        </is>
      </c>
      <c r="E529" t="inlineStr">
        <is>
          <t>VILHELMINA</t>
        </is>
      </c>
      <c r="G529" t="n">
        <v>14.1</v>
      </c>
      <c r="H529" t="n">
        <v>0</v>
      </c>
      <c r="I529" t="n">
        <v>0</v>
      </c>
      <c r="J529" t="n">
        <v>0</v>
      </c>
      <c r="K529" t="n">
        <v>0</v>
      </c>
      <c r="L529" t="n">
        <v>0</v>
      </c>
      <c r="M529" t="n">
        <v>0</v>
      </c>
      <c r="N529" t="n">
        <v>0</v>
      </c>
      <c r="O529" t="n">
        <v>0</v>
      </c>
      <c r="P529" t="n">
        <v>0</v>
      </c>
      <c r="Q529" t="n">
        <v>0</v>
      </c>
      <c r="R529" s="2" t="inlineStr"/>
    </row>
    <row r="530" ht="15" customHeight="1">
      <c r="A530" t="inlineStr">
        <is>
          <t>A 10213-2022</t>
        </is>
      </c>
      <c r="B530" s="1" t="n">
        <v>44622</v>
      </c>
      <c r="C530" s="1" t="n">
        <v>45637</v>
      </c>
      <c r="D530" t="inlineStr">
        <is>
          <t>VÄSTERBOTTENS LÄN</t>
        </is>
      </c>
      <c r="E530" t="inlineStr">
        <is>
          <t>VILHELMINA</t>
        </is>
      </c>
      <c r="G530" t="n">
        <v>1.7</v>
      </c>
      <c r="H530" t="n">
        <v>0</v>
      </c>
      <c r="I530" t="n">
        <v>0</v>
      </c>
      <c r="J530" t="n">
        <v>0</v>
      </c>
      <c r="K530" t="n">
        <v>0</v>
      </c>
      <c r="L530" t="n">
        <v>0</v>
      </c>
      <c r="M530" t="n">
        <v>0</v>
      </c>
      <c r="N530" t="n">
        <v>0</v>
      </c>
      <c r="O530" t="n">
        <v>0</v>
      </c>
      <c r="P530" t="n">
        <v>0</v>
      </c>
      <c r="Q530" t="n">
        <v>0</v>
      </c>
      <c r="R530" s="2" t="inlineStr"/>
    </row>
    <row r="531" ht="15" customHeight="1">
      <c r="A531" t="inlineStr">
        <is>
          <t>A 10548-2022</t>
        </is>
      </c>
      <c r="B531" s="1" t="n">
        <v>44623</v>
      </c>
      <c r="C531" s="1" t="n">
        <v>45637</v>
      </c>
      <c r="D531" t="inlineStr">
        <is>
          <t>VÄSTERBOTTENS LÄN</t>
        </is>
      </c>
      <c r="E531" t="inlineStr">
        <is>
          <t>VILHELMINA</t>
        </is>
      </c>
      <c r="F531" t="inlineStr">
        <is>
          <t>SCA</t>
        </is>
      </c>
      <c r="G531" t="n">
        <v>11.5</v>
      </c>
      <c r="H531" t="n">
        <v>0</v>
      </c>
      <c r="I531" t="n">
        <v>0</v>
      </c>
      <c r="J531" t="n">
        <v>0</v>
      </c>
      <c r="K531" t="n">
        <v>0</v>
      </c>
      <c r="L531" t="n">
        <v>0</v>
      </c>
      <c r="M531" t="n">
        <v>0</v>
      </c>
      <c r="N531" t="n">
        <v>0</v>
      </c>
      <c r="O531" t="n">
        <v>0</v>
      </c>
      <c r="P531" t="n">
        <v>0</v>
      </c>
      <c r="Q531" t="n">
        <v>0</v>
      </c>
      <c r="R531" s="2" t="inlineStr"/>
    </row>
    <row r="532" ht="15" customHeight="1">
      <c r="A532" t="inlineStr">
        <is>
          <t>A 10708-2022</t>
        </is>
      </c>
      <c r="B532" s="1" t="n">
        <v>44625</v>
      </c>
      <c r="C532" s="1" t="n">
        <v>45637</v>
      </c>
      <c r="D532" t="inlineStr">
        <is>
          <t>VÄSTERBOTTENS LÄN</t>
        </is>
      </c>
      <c r="E532" t="inlineStr">
        <is>
          <t>VILHELMINA</t>
        </is>
      </c>
      <c r="G532" t="n">
        <v>21.3</v>
      </c>
      <c r="H532" t="n">
        <v>0</v>
      </c>
      <c r="I532" t="n">
        <v>0</v>
      </c>
      <c r="J532" t="n">
        <v>0</v>
      </c>
      <c r="K532" t="n">
        <v>0</v>
      </c>
      <c r="L532" t="n">
        <v>0</v>
      </c>
      <c r="M532" t="n">
        <v>0</v>
      </c>
      <c r="N532" t="n">
        <v>0</v>
      </c>
      <c r="O532" t="n">
        <v>0</v>
      </c>
      <c r="P532" t="n">
        <v>0</v>
      </c>
      <c r="Q532" t="n">
        <v>0</v>
      </c>
      <c r="R532" s="2" t="inlineStr"/>
    </row>
    <row r="533" ht="15" customHeight="1">
      <c r="A533" t="inlineStr">
        <is>
          <t>A 10833-2022</t>
        </is>
      </c>
      <c r="B533" s="1" t="n">
        <v>44627</v>
      </c>
      <c r="C533" s="1" t="n">
        <v>45637</v>
      </c>
      <c r="D533" t="inlineStr">
        <is>
          <t>VÄSTERBOTTENS LÄN</t>
        </is>
      </c>
      <c r="E533" t="inlineStr">
        <is>
          <t>VILHELMINA</t>
        </is>
      </c>
      <c r="G533" t="n">
        <v>5.4</v>
      </c>
      <c r="H533" t="n">
        <v>0</v>
      </c>
      <c r="I533" t="n">
        <v>0</v>
      </c>
      <c r="J533" t="n">
        <v>0</v>
      </c>
      <c r="K533" t="n">
        <v>0</v>
      </c>
      <c r="L533" t="n">
        <v>0</v>
      </c>
      <c r="M533" t="n">
        <v>0</v>
      </c>
      <c r="N533" t="n">
        <v>0</v>
      </c>
      <c r="O533" t="n">
        <v>0</v>
      </c>
      <c r="P533" t="n">
        <v>0</v>
      </c>
      <c r="Q533" t="n">
        <v>0</v>
      </c>
      <c r="R533" s="2" t="inlineStr"/>
    </row>
    <row r="534" ht="15" customHeight="1">
      <c r="A534" t="inlineStr">
        <is>
          <t>A 10839-2022</t>
        </is>
      </c>
      <c r="B534" s="1" t="n">
        <v>44627</v>
      </c>
      <c r="C534" s="1" t="n">
        <v>45637</v>
      </c>
      <c r="D534" t="inlineStr">
        <is>
          <t>VÄSTERBOTTENS LÄN</t>
        </is>
      </c>
      <c r="E534" t="inlineStr">
        <is>
          <t>VILHELMINA</t>
        </is>
      </c>
      <c r="G534" t="n">
        <v>2.9</v>
      </c>
      <c r="H534" t="n">
        <v>0</v>
      </c>
      <c r="I534" t="n">
        <v>0</v>
      </c>
      <c r="J534" t="n">
        <v>0</v>
      </c>
      <c r="K534" t="n">
        <v>0</v>
      </c>
      <c r="L534" t="n">
        <v>0</v>
      </c>
      <c r="M534" t="n">
        <v>0</v>
      </c>
      <c r="N534" t="n">
        <v>0</v>
      </c>
      <c r="O534" t="n">
        <v>0</v>
      </c>
      <c r="P534" t="n">
        <v>0</v>
      </c>
      <c r="Q534" t="n">
        <v>0</v>
      </c>
      <c r="R534" s="2" t="inlineStr"/>
    </row>
    <row r="535" ht="15" customHeight="1">
      <c r="A535" t="inlineStr">
        <is>
          <t>A 11076-2022</t>
        </is>
      </c>
      <c r="B535" s="1" t="n">
        <v>44628</v>
      </c>
      <c r="C535" s="1" t="n">
        <v>45637</v>
      </c>
      <c r="D535" t="inlineStr">
        <is>
          <t>VÄSTERBOTTENS LÄN</t>
        </is>
      </c>
      <c r="E535" t="inlineStr">
        <is>
          <t>VILHELMINA</t>
        </is>
      </c>
      <c r="G535" t="n">
        <v>7.4</v>
      </c>
      <c r="H535" t="n">
        <v>0</v>
      </c>
      <c r="I535" t="n">
        <v>0</v>
      </c>
      <c r="J535" t="n">
        <v>0</v>
      </c>
      <c r="K535" t="n">
        <v>0</v>
      </c>
      <c r="L535" t="n">
        <v>0</v>
      </c>
      <c r="M535" t="n">
        <v>0</v>
      </c>
      <c r="N535" t="n">
        <v>0</v>
      </c>
      <c r="O535" t="n">
        <v>0</v>
      </c>
      <c r="P535" t="n">
        <v>0</v>
      </c>
      <c r="Q535" t="n">
        <v>0</v>
      </c>
      <c r="R535" s="2" t="inlineStr"/>
    </row>
    <row r="536" ht="15" customHeight="1">
      <c r="A536" t="inlineStr">
        <is>
          <t>A 11114-2022</t>
        </is>
      </c>
      <c r="B536" s="1" t="n">
        <v>44628</v>
      </c>
      <c r="C536" s="1" t="n">
        <v>45637</v>
      </c>
      <c r="D536" t="inlineStr">
        <is>
          <t>VÄSTERBOTTENS LÄN</t>
        </is>
      </c>
      <c r="E536" t="inlineStr">
        <is>
          <t>VILHELMINA</t>
        </is>
      </c>
      <c r="G536" t="n">
        <v>8.6</v>
      </c>
      <c r="H536" t="n">
        <v>0</v>
      </c>
      <c r="I536" t="n">
        <v>0</v>
      </c>
      <c r="J536" t="n">
        <v>0</v>
      </c>
      <c r="K536" t="n">
        <v>0</v>
      </c>
      <c r="L536" t="n">
        <v>0</v>
      </c>
      <c r="M536" t="n">
        <v>0</v>
      </c>
      <c r="N536" t="n">
        <v>0</v>
      </c>
      <c r="O536" t="n">
        <v>0</v>
      </c>
      <c r="P536" t="n">
        <v>0</v>
      </c>
      <c r="Q536" t="n">
        <v>0</v>
      </c>
      <c r="R536" s="2" t="inlineStr"/>
    </row>
    <row r="537" ht="15" customHeight="1">
      <c r="A537" t="inlineStr">
        <is>
          <t>A 11116-2022</t>
        </is>
      </c>
      <c r="B537" s="1" t="n">
        <v>44628</v>
      </c>
      <c r="C537" s="1" t="n">
        <v>45637</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11139-2022</t>
        </is>
      </c>
      <c r="B538" s="1" t="n">
        <v>44628</v>
      </c>
      <c r="C538" s="1" t="n">
        <v>45637</v>
      </c>
      <c r="D538" t="inlineStr">
        <is>
          <t>VÄSTERBOTTENS LÄN</t>
        </is>
      </c>
      <c r="E538" t="inlineStr">
        <is>
          <t>VILHELMINA</t>
        </is>
      </c>
      <c r="G538" t="n">
        <v>13.6</v>
      </c>
      <c r="H538" t="n">
        <v>0</v>
      </c>
      <c r="I538" t="n">
        <v>0</v>
      </c>
      <c r="J538" t="n">
        <v>0</v>
      </c>
      <c r="K538" t="n">
        <v>0</v>
      </c>
      <c r="L538" t="n">
        <v>0</v>
      </c>
      <c r="M538" t="n">
        <v>0</v>
      </c>
      <c r="N538" t="n">
        <v>0</v>
      </c>
      <c r="O538" t="n">
        <v>0</v>
      </c>
      <c r="P538" t="n">
        <v>0</v>
      </c>
      <c r="Q538" t="n">
        <v>0</v>
      </c>
      <c r="R538" s="2" t="inlineStr"/>
    </row>
    <row r="539" ht="15" customHeight="1">
      <c r="A539" t="inlineStr">
        <is>
          <t>A 12065-2022</t>
        </is>
      </c>
      <c r="B539" s="1" t="n">
        <v>44637</v>
      </c>
      <c r="C539" s="1" t="n">
        <v>45637</v>
      </c>
      <c r="D539" t="inlineStr">
        <is>
          <t>VÄSTERBOTTENS LÄN</t>
        </is>
      </c>
      <c r="E539" t="inlineStr">
        <is>
          <t>VILHELMINA</t>
        </is>
      </c>
      <c r="G539" t="n">
        <v>27.7</v>
      </c>
      <c r="H539" t="n">
        <v>0</v>
      </c>
      <c r="I539" t="n">
        <v>0</v>
      </c>
      <c r="J539" t="n">
        <v>0</v>
      </c>
      <c r="K539" t="n">
        <v>0</v>
      </c>
      <c r="L539" t="n">
        <v>0</v>
      </c>
      <c r="M539" t="n">
        <v>0</v>
      </c>
      <c r="N539" t="n">
        <v>0</v>
      </c>
      <c r="O539" t="n">
        <v>0</v>
      </c>
      <c r="P539" t="n">
        <v>0</v>
      </c>
      <c r="Q539" t="n">
        <v>0</v>
      </c>
      <c r="R539" s="2" t="inlineStr"/>
    </row>
    <row r="540" ht="15" customHeight="1">
      <c r="A540" t="inlineStr">
        <is>
          <t>A 12593-2022</t>
        </is>
      </c>
      <c r="B540" s="1" t="n">
        <v>44640</v>
      </c>
      <c r="C540" s="1" t="n">
        <v>45637</v>
      </c>
      <c r="D540" t="inlineStr">
        <is>
          <t>VÄSTERBOTTENS LÄN</t>
        </is>
      </c>
      <c r="E540" t="inlineStr">
        <is>
          <t>VILHELMINA</t>
        </is>
      </c>
      <c r="G540" t="n">
        <v>10.4</v>
      </c>
      <c r="H540" t="n">
        <v>0</v>
      </c>
      <c r="I540" t="n">
        <v>0</v>
      </c>
      <c r="J540" t="n">
        <v>0</v>
      </c>
      <c r="K540" t="n">
        <v>0</v>
      </c>
      <c r="L540" t="n">
        <v>0</v>
      </c>
      <c r="M540" t="n">
        <v>0</v>
      </c>
      <c r="N540" t="n">
        <v>0</v>
      </c>
      <c r="O540" t="n">
        <v>0</v>
      </c>
      <c r="P540" t="n">
        <v>0</v>
      </c>
      <c r="Q540" t="n">
        <v>0</v>
      </c>
      <c r="R540" s="2" t="inlineStr"/>
    </row>
    <row r="541" ht="15" customHeight="1">
      <c r="A541" t="inlineStr">
        <is>
          <t>A 12778-2022</t>
        </is>
      </c>
      <c r="B541" s="1" t="n">
        <v>44642</v>
      </c>
      <c r="C541" s="1" t="n">
        <v>45637</v>
      </c>
      <c r="D541" t="inlineStr">
        <is>
          <t>VÄSTERBOTTENS LÄN</t>
        </is>
      </c>
      <c r="E541" t="inlineStr">
        <is>
          <t>VILHELMINA</t>
        </is>
      </c>
      <c r="G541" t="n">
        <v>15</v>
      </c>
      <c r="H541" t="n">
        <v>0</v>
      </c>
      <c r="I541" t="n">
        <v>0</v>
      </c>
      <c r="J541" t="n">
        <v>0</v>
      </c>
      <c r="K541" t="n">
        <v>0</v>
      </c>
      <c r="L541" t="n">
        <v>0</v>
      </c>
      <c r="M541" t="n">
        <v>0</v>
      </c>
      <c r="N541" t="n">
        <v>0</v>
      </c>
      <c r="O541" t="n">
        <v>0</v>
      </c>
      <c r="P541" t="n">
        <v>0</v>
      </c>
      <c r="Q541" t="n">
        <v>0</v>
      </c>
      <c r="R541" s="2" t="inlineStr"/>
    </row>
    <row r="542" ht="15" customHeight="1">
      <c r="A542" t="inlineStr">
        <is>
          <t>A 14959-2022</t>
        </is>
      </c>
      <c r="B542" s="1" t="n">
        <v>44657</v>
      </c>
      <c r="C542" s="1" t="n">
        <v>45637</v>
      </c>
      <c r="D542" t="inlineStr">
        <is>
          <t>VÄSTERBOTTENS LÄN</t>
        </is>
      </c>
      <c r="E542" t="inlineStr">
        <is>
          <t>VILHELMINA</t>
        </is>
      </c>
      <c r="G542" t="n">
        <v>71.8</v>
      </c>
      <c r="H542" t="n">
        <v>0</v>
      </c>
      <c r="I542" t="n">
        <v>0</v>
      </c>
      <c r="J542" t="n">
        <v>0</v>
      </c>
      <c r="K542" t="n">
        <v>0</v>
      </c>
      <c r="L542" t="n">
        <v>0</v>
      </c>
      <c r="M542" t="n">
        <v>0</v>
      </c>
      <c r="N542" t="n">
        <v>0</v>
      </c>
      <c r="O542" t="n">
        <v>0</v>
      </c>
      <c r="P542" t="n">
        <v>0</v>
      </c>
      <c r="Q542" t="n">
        <v>0</v>
      </c>
      <c r="R542" s="2" t="inlineStr"/>
    </row>
    <row r="543" ht="15" customHeight="1">
      <c r="A543" t="inlineStr">
        <is>
          <t>A 14961-2022</t>
        </is>
      </c>
      <c r="B543" s="1" t="n">
        <v>44657</v>
      </c>
      <c r="C543" s="1" t="n">
        <v>45637</v>
      </c>
      <c r="D543" t="inlineStr">
        <is>
          <t>VÄSTERBOTTENS LÄN</t>
        </is>
      </c>
      <c r="E543" t="inlineStr">
        <is>
          <t>VILHELMINA</t>
        </is>
      </c>
      <c r="G543" t="n">
        <v>19.9</v>
      </c>
      <c r="H543" t="n">
        <v>0</v>
      </c>
      <c r="I543" t="n">
        <v>0</v>
      </c>
      <c r="J543" t="n">
        <v>0</v>
      </c>
      <c r="K543" t="n">
        <v>0</v>
      </c>
      <c r="L543" t="n">
        <v>0</v>
      </c>
      <c r="M543" t="n">
        <v>0</v>
      </c>
      <c r="N543" t="n">
        <v>0</v>
      </c>
      <c r="O543" t="n">
        <v>0</v>
      </c>
      <c r="P543" t="n">
        <v>0</v>
      </c>
      <c r="Q543" t="n">
        <v>0</v>
      </c>
      <c r="R543" s="2" t="inlineStr"/>
    </row>
    <row r="544" ht="15" customHeight="1">
      <c r="A544" t="inlineStr">
        <is>
          <t>A 14963-2022</t>
        </is>
      </c>
      <c r="B544" s="1" t="n">
        <v>44657</v>
      </c>
      <c r="C544" s="1" t="n">
        <v>45637</v>
      </c>
      <c r="D544" t="inlineStr">
        <is>
          <t>VÄSTERBOTTENS LÄN</t>
        </is>
      </c>
      <c r="E544" t="inlineStr">
        <is>
          <t>VILHELMINA</t>
        </is>
      </c>
      <c r="G544" t="n">
        <v>11.5</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45637</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17591-2022</t>
        </is>
      </c>
      <c r="B546" s="1" t="n">
        <v>44679</v>
      </c>
      <c r="C546" s="1" t="n">
        <v>45637</v>
      </c>
      <c r="D546" t="inlineStr">
        <is>
          <t>VÄSTERBOTTENS LÄN</t>
        </is>
      </c>
      <c r="E546" t="inlineStr">
        <is>
          <t>VILHELMINA</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17590-2022</t>
        </is>
      </c>
      <c r="B547" s="1" t="n">
        <v>44679</v>
      </c>
      <c r="C547" s="1" t="n">
        <v>45637</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18497-2022</t>
        </is>
      </c>
      <c r="B548" s="1" t="n">
        <v>44686</v>
      </c>
      <c r="C548" s="1" t="n">
        <v>45637</v>
      </c>
      <c r="D548" t="inlineStr">
        <is>
          <t>VÄSTERBOTTENS LÄN</t>
        </is>
      </c>
      <c r="E548" t="inlineStr">
        <is>
          <t>VILHELMINA</t>
        </is>
      </c>
      <c r="F548" t="inlineStr">
        <is>
          <t>Övriga statliga verk och myndigheter</t>
        </is>
      </c>
      <c r="G548" t="n">
        <v>64.7</v>
      </c>
      <c r="H548" t="n">
        <v>0</v>
      </c>
      <c r="I548" t="n">
        <v>0</v>
      </c>
      <c r="J548" t="n">
        <v>0</v>
      </c>
      <c r="K548" t="n">
        <v>0</v>
      </c>
      <c r="L548" t="n">
        <v>0</v>
      </c>
      <c r="M548" t="n">
        <v>0</v>
      </c>
      <c r="N548" t="n">
        <v>0</v>
      </c>
      <c r="O548" t="n">
        <v>0</v>
      </c>
      <c r="P548" t="n">
        <v>0</v>
      </c>
      <c r="Q548" t="n">
        <v>0</v>
      </c>
      <c r="R548" s="2" t="inlineStr"/>
    </row>
    <row r="549" ht="15" customHeight="1">
      <c r="A549" t="inlineStr">
        <is>
          <t>A 18564-2022</t>
        </is>
      </c>
      <c r="B549" s="1" t="n">
        <v>44686</v>
      </c>
      <c r="C549" s="1" t="n">
        <v>45637</v>
      </c>
      <c r="D549" t="inlineStr">
        <is>
          <t>VÄSTERBOTTENS LÄN</t>
        </is>
      </c>
      <c r="E549" t="inlineStr">
        <is>
          <t>VILHELMINA</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18995-2022</t>
        </is>
      </c>
      <c r="B550" s="1" t="n">
        <v>44690</v>
      </c>
      <c r="C550" s="1" t="n">
        <v>45637</v>
      </c>
      <c r="D550" t="inlineStr">
        <is>
          <t>VÄSTERBOTTENS LÄN</t>
        </is>
      </c>
      <c r="E550" t="inlineStr">
        <is>
          <t>VILHELMINA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18996-2022</t>
        </is>
      </c>
      <c r="B551" s="1" t="n">
        <v>44690</v>
      </c>
      <c r="C551" s="1" t="n">
        <v>45637</v>
      </c>
      <c r="D551" t="inlineStr">
        <is>
          <t>VÄSTERBOTTENS LÄN</t>
        </is>
      </c>
      <c r="E551" t="inlineStr">
        <is>
          <t>VILHELMINA</t>
        </is>
      </c>
      <c r="F551" t="inlineStr">
        <is>
          <t>SCA</t>
        </is>
      </c>
      <c r="G551" t="n">
        <v>0.3</v>
      </c>
      <c r="H551" t="n">
        <v>0</v>
      </c>
      <c r="I551" t="n">
        <v>0</v>
      </c>
      <c r="J551" t="n">
        <v>0</v>
      </c>
      <c r="K551" t="n">
        <v>0</v>
      </c>
      <c r="L551" t="n">
        <v>0</v>
      </c>
      <c r="M551" t="n">
        <v>0</v>
      </c>
      <c r="N551" t="n">
        <v>0</v>
      </c>
      <c r="O551" t="n">
        <v>0</v>
      </c>
      <c r="P551" t="n">
        <v>0</v>
      </c>
      <c r="Q551" t="n">
        <v>0</v>
      </c>
      <c r="R551" s="2" t="inlineStr"/>
    </row>
    <row r="552" ht="15" customHeight="1">
      <c r="A552" t="inlineStr">
        <is>
          <t>A 19394-2022</t>
        </is>
      </c>
      <c r="B552" s="1" t="n">
        <v>44692</v>
      </c>
      <c r="C552" s="1" t="n">
        <v>45637</v>
      </c>
      <c r="D552" t="inlineStr">
        <is>
          <t>VÄSTERBOTTENS LÄN</t>
        </is>
      </c>
      <c r="E552" t="inlineStr">
        <is>
          <t>VILHELMINA</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19471-2022</t>
        </is>
      </c>
      <c r="B553" s="1" t="n">
        <v>44693</v>
      </c>
      <c r="C553" s="1" t="n">
        <v>45637</v>
      </c>
      <c r="D553" t="inlineStr">
        <is>
          <t>VÄSTERBOTTENS LÄN</t>
        </is>
      </c>
      <c r="E553" t="inlineStr">
        <is>
          <t>VILHELMINA</t>
        </is>
      </c>
      <c r="G553" t="n">
        <v>1.6</v>
      </c>
      <c r="H553" t="n">
        <v>0</v>
      </c>
      <c r="I553" t="n">
        <v>0</v>
      </c>
      <c r="J553" t="n">
        <v>0</v>
      </c>
      <c r="K553" t="n">
        <v>0</v>
      </c>
      <c r="L553" t="n">
        <v>0</v>
      </c>
      <c r="M553" t="n">
        <v>0</v>
      </c>
      <c r="N553" t="n">
        <v>0</v>
      </c>
      <c r="O553" t="n">
        <v>0</v>
      </c>
      <c r="P553" t="n">
        <v>0</v>
      </c>
      <c r="Q553" t="n">
        <v>0</v>
      </c>
      <c r="R553" s="2" t="inlineStr"/>
    </row>
    <row r="554" ht="15" customHeight="1">
      <c r="A554" t="inlineStr">
        <is>
          <t>A 19423-2022</t>
        </is>
      </c>
      <c r="B554" s="1" t="n">
        <v>44693</v>
      </c>
      <c r="C554" s="1" t="n">
        <v>45637</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20298-2022</t>
        </is>
      </c>
      <c r="B555" s="1" t="n">
        <v>44698</v>
      </c>
      <c r="C555" s="1" t="n">
        <v>45637</v>
      </c>
      <c r="D555" t="inlineStr">
        <is>
          <t>VÄSTERBOTTENS LÄN</t>
        </is>
      </c>
      <c r="E555" t="inlineStr">
        <is>
          <t>VILHELMINA</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20322-2022</t>
        </is>
      </c>
      <c r="B556" s="1" t="n">
        <v>44698</v>
      </c>
      <c r="C556" s="1" t="n">
        <v>45637</v>
      </c>
      <c r="D556" t="inlineStr">
        <is>
          <t>VÄSTERBOTTENS LÄN</t>
        </is>
      </c>
      <c r="E556" t="inlineStr">
        <is>
          <t>VILHELMINA</t>
        </is>
      </c>
      <c r="G556" t="n">
        <v>10.5</v>
      </c>
      <c r="H556" t="n">
        <v>0</v>
      </c>
      <c r="I556" t="n">
        <v>0</v>
      </c>
      <c r="J556" t="n">
        <v>0</v>
      </c>
      <c r="K556" t="n">
        <v>0</v>
      </c>
      <c r="L556" t="n">
        <v>0</v>
      </c>
      <c r="M556" t="n">
        <v>0</v>
      </c>
      <c r="N556" t="n">
        <v>0</v>
      </c>
      <c r="O556" t="n">
        <v>0</v>
      </c>
      <c r="P556" t="n">
        <v>0</v>
      </c>
      <c r="Q556" t="n">
        <v>0</v>
      </c>
      <c r="R556" s="2" t="inlineStr"/>
    </row>
    <row r="557" ht="15" customHeight="1">
      <c r="A557" t="inlineStr">
        <is>
          <t>A 20720-2022</t>
        </is>
      </c>
      <c r="B557" s="1" t="n">
        <v>44700</v>
      </c>
      <c r="C557" s="1" t="n">
        <v>45637</v>
      </c>
      <c r="D557" t="inlineStr">
        <is>
          <t>VÄSTERBOTTENS LÄN</t>
        </is>
      </c>
      <c r="E557" t="inlineStr">
        <is>
          <t>VILHELMINA</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20719-2022</t>
        </is>
      </c>
      <c r="B558" s="1" t="n">
        <v>44701</v>
      </c>
      <c r="C558" s="1" t="n">
        <v>45637</v>
      </c>
      <c r="D558" t="inlineStr">
        <is>
          <t>VÄSTERBOTTENS LÄN</t>
        </is>
      </c>
      <c r="E558" t="inlineStr">
        <is>
          <t>VILHELMINA</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21806-2022</t>
        </is>
      </c>
      <c r="B559" s="1" t="n">
        <v>44708</v>
      </c>
      <c r="C559" s="1" t="n">
        <v>45637</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21808-2022</t>
        </is>
      </c>
      <c r="B560" s="1" t="n">
        <v>44708</v>
      </c>
      <c r="C560" s="1" t="n">
        <v>45637</v>
      </c>
      <c r="D560" t="inlineStr">
        <is>
          <t>VÄSTERBOTTENS LÄN</t>
        </is>
      </c>
      <c r="E560" t="inlineStr">
        <is>
          <t>VILHELMINA</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21814-2022</t>
        </is>
      </c>
      <c r="B561" s="1" t="n">
        <v>44708</v>
      </c>
      <c r="C561" s="1" t="n">
        <v>45637</v>
      </c>
      <c r="D561" t="inlineStr">
        <is>
          <t>VÄSTERBOTTENS LÄN</t>
        </is>
      </c>
      <c r="E561" t="inlineStr">
        <is>
          <t>VILHELMINA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22325-2022</t>
        </is>
      </c>
      <c r="B562" s="1" t="n">
        <v>44712</v>
      </c>
      <c r="C562" s="1" t="n">
        <v>45637</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22405-2022</t>
        </is>
      </c>
      <c r="B563" s="1" t="n">
        <v>44713</v>
      </c>
      <c r="C563" s="1" t="n">
        <v>45637</v>
      </c>
      <c r="D563" t="inlineStr">
        <is>
          <t>VÄSTERBOTTENS LÄN</t>
        </is>
      </c>
      <c r="E563" t="inlineStr">
        <is>
          <t>VILHELMINA</t>
        </is>
      </c>
      <c r="G563" t="n">
        <v>13.2</v>
      </c>
      <c r="H563" t="n">
        <v>0</v>
      </c>
      <c r="I563" t="n">
        <v>0</v>
      </c>
      <c r="J563" t="n">
        <v>0</v>
      </c>
      <c r="K563" t="n">
        <v>0</v>
      </c>
      <c r="L563" t="n">
        <v>0</v>
      </c>
      <c r="M563" t="n">
        <v>0</v>
      </c>
      <c r="N563" t="n">
        <v>0</v>
      </c>
      <c r="O563" t="n">
        <v>0</v>
      </c>
      <c r="P563" t="n">
        <v>0</v>
      </c>
      <c r="Q563" t="n">
        <v>0</v>
      </c>
      <c r="R563" s="2" t="inlineStr"/>
    </row>
    <row r="564" ht="15" customHeight="1">
      <c r="A564" t="inlineStr">
        <is>
          <t>A 23210-2022</t>
        </is>
      </c>
      <c r="B564" s="1" t="n">
        <v>44719</v>
      </c>
      <c r="C564" s="1" t="n">
        <v>45637</v>
      </c>
      <c r="D564" t="inlineStr">
        <is>
          <t>VÄSTERBOTTENS LÄN</t>
        </is>
      </c>
      <c r="E564" t="inlineStr">
        <is>
          <t>VILHELMINA</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24296-2022</t>
        </is>
      </c>
      <c r="B565" s="1" t="n">
        <v>44726</v>
      </c>
      <c r="C565" s="1" t="n">
        <v>45637</v>
      </c>
      <c r="D565" t="inlineStr">
        <is>
          <t>VÄSTERBOTTENS LÄN</t>
        </is>
      </c>
      <c r="E565" t="inlineStr">
        <is>
          <t>VILHELMINA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24297-2022</t>
        </is>
      </c>
      <c r="B566" s="1" t="n">
        <v>44725</v>
      </c>
      <c r="C566" s="1" t="n">
        <v>45637</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25923-2022</t>
        </is>
      </c>
      <c r="B567" s="1" t="n">
        <v>44733</v>
      </c>
      <c r="C567" s="1" t="n">
        <v>45637</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26191-2022</t>
        </is>
      </c>
      <c r="B568" s="1" t="n">
        <v>44735</v>
      </c>
      <c r="C568" s="1" t="n">
        <v>45637</v>
      </c>
      <c r="D568" t="inlineStr">
        <is>
          <t>VÄSTERBOTTENS LÄN</t>
        </is>
      </c>
      <c r="E568" t="inlineStr">
        <is>
          <t>VILHELMINA</t>
        </is>
      </c>
      <c r="G568" t="n">
        <v>42.1</v>
      </c>
      <c r="H568" t="n">
        <v>0</v>
      </c>
      <c r="I568" t="n">
        <v>0</v>
      </c>
      <c r="J568" t="n">
        <v>0</v>
      </c>
      <c r="K568" t="n">
        <v>0</v>
      </c>
      <c r="L568" t="n">
        <v>0</v>
      </c>
      <c r="M568" t="n">
        <v>0</v>
      </c>
      <c r="N568" t="n">
        <v>0</v>
      </c>
      <c r="O568" t="n">
        <v>0</v>
      </c>
      <c r="P568" t="n">
        <v>0</v>
      </c>
      <c r="Q568" t="n">
        <v>0</v>
      </c>
      <c r="R568" s="2" t="inlineStr"/>
    </row>
    <row r="569" ht="15" customHeight="1">
      <c r="A569" t="inlineStr">
        <is>
          <t>A 26401-2022</t>
        </is>
      </c>
      <c r="B569" s="1" t="n">
        <v>44735</v>
      </c>
      <c r="C569" s="1" t="n">
        <v>45637</v>
      </c>
      <c r="D569" t="inlineStr">
        <is>
          <t>VÄSTERBOTTENS LÄN</t>
        </is>
      </c>
      <c r="E569" t="inlineStr">
        <is>
          <t>VILHELMINA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26409-2022</t>
        </is>
      </c>
      <c r="B570" s="1" t="n">
        <v>44735</v>
      </c>
      <c r="C570" s="1" t="n">
        <v>45637</v>
      </c>
      <c r="D570" t="inlineStr">
        <is>
          <t>VÄSTERBOTTENS LÄN</t>
        </is>
      </c>
      <c r="E570" t="inlineStr">
        <is>
          <t>VILHELMINA</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26410-2022</t>
        </is>
      </c>
      <c r="B571" s="1" t="n">
        <v>44735</v>
      </c>
      <c r="C571" s="1" t="n">
        <v>45637</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27127-2022</t>
        </is>
      </c>
      <c r="B572" s="1" t="n">
        <v>44741</v>
      </c>
      <c r="C572" s="1" t="n">
        <v>45637</v>
      </c>
      <c r="D572" t="inlineStr">
        <is>
          <t>VÄSTERBOTTENS LÄN</t>
        </is>
      </c>
      <c r="E572" t="inlineStr">
        <is>
          <t>VILHELMINA</t>
        </is>
      </c>
      <c r="F572" t="inlineStr">
        <is>
          <t>Sveaskog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27865-2022</t>
        </is>
      </c>
      <c r="B573" s="1" t="n">
        <v>44743</v>
      </c>
      <c r="C573" s="1" t="n">
        <v>45637</v>
      </c>
      <c r="D573" t="inlineStr">
        <is>
          <t>VÄSTERBOTTENS LÄN</t>
        </is>
      </c>
      <c r="E573" t="inlineStr">
        <is>
          <t>VILHELMINA</t>
        </is>
      </c>
      <c r="F573" t="inlineStr">
        <is>
          <t>Sveaskog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27881-2022</t>
        </is>
      </c>
      <c r="B574" s="1" t="n">
        <v>44743</v>
      </c>
      <c r="C574" s="1" t="n">
        <v>45637</v>
      </c>
      <c r="D574" t="inlineStr">
        <is>
          <t>VÄSTERBOTTENS LÄN</t>
        </is>
      </c>
      <c r="E574" t="inlineStr">
        <is>
          <t>VILHELMINA</t>
        </is>
      </c>
      <c r="F574" t="inlineStr">
        <is>
          <t>Sveaskog</t>
        </is>
      </c>
      <c r="G574" t="n">
        <v>14.3</v>
      </c>
      <c r="H574" t="n">
        <v>0</v>
      </c>
      <c r="I574" t="n">
        <v>0</v>
      </c>
      <c r="J574" t="n">
        <v>0</v>
      </c>
      <c r="K574" t="n">
        <v>0</v>
      </c>
      <c r="L574" t="n">
        <v>0</v>
      </c>
      <c r="M574" t="n">
        <v>0</v>
      </c>
      <c r="N574" t="n">
        <v>0</v>
      </c>
      <c r="O574" t="n">
        <v>0</v>
      </c>
      <c r="P574" t="n">
        <v>0</v>
      </c>
      <c r="Q574" t="n">
        <v>0</v>
      </c>
      <c r="R574" s="2" t="inlineStr"/>
    </row>
    <row r="575" ht="15" customHeight="1">
      <c r="A575" t="inlineStr">
        <is>
          <t>A 27714-2022</t>
        </is>
      </c>
      <c r="B575" s="1" t="n">
        <v>44743</v>
      </c>
      <c r="C575" s="1" t="n">
        <v>45637</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27848-2022</t>
        </is>
      </c>
      <c r="B576" s="1" t="n">
        <v>44743</v>
      </c>
      <c r="C576" s="1" t="n">
        <v>45637</v>
      </c>
      <c r="D576" t="inlineStr">
        <is>
          <t>VÄSTERBOTTENS LÄN</t>
        </is>
      </c>
      <c r="E576" t="inlineStr">
        <is>
          <t>VILHELMINA</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27880-2022</t>
        </is>
      </c>
      <c r="B577" s="1" t="n">
        <v>44743</v>
      </c>
      <c r="C577" s="1" t="n">
        <v>45637</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27889-2022</t>
        </is>
      </c>
      <c r="B578" s="1" t="n">
        <v>44743</v>
      </c>
      <c r="C578" s="1" t="n">
        <v>45637</v>
      </c>
      <c r="D578" t="inlineStr">
        <is>
          <t>VÄSTERBOTTENS LÄN</t>
        </is>
      </c>
      <c r="E578" t="inlineStr">
        <is>
          <t>VILHELMINA</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27874-2022</t>
        </is>
      </c>
      <c r="B579" s="1" t="n">
        <v>44743</v>
      </c>
      <c r="C579" s="1" t="n">
        <v>45637</v>
      </c>
      <c r="D579" t="inlineStr">
        <is>
          <t>VÄSTERBOTTENS LÄN</t>
        </is>
      </c>
      <c r="E579" t="inlineStr">
        <is>
          <t>VILHELMINA</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27920-2022</t>
        </is>
      </c>
      <c r="B580" s="1" t="n">
        <v>44743</v>
      </c>
      <c r="C580" s="1" t="n">
        <v>45637</v>
      </c>
      <c r="D580" t="inlineStr">
        <is>
          <t>VÄSTERBOTTENS LÄN</t>
        </is>
      </c>
      <c r="E580" t="inlineStr">
        <is>
          <t>VILHELMINA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27844-2022</t>
        </is>
      </c>
      <c r="B581" s="1" t="n">
        <v>44743</v>
      </c>
      <c r="C581" s="1" t="n">
        <v>45637</v>
      </c>
      <c r="D581" t="inlineStr">
        <is>
          <t>VÄSTERBOTTENS LÄN</t>
        </is>
      </c>
      <c r="E581" t="inlineStr">
        <is>
          <t>VILHELMINA</t>
        </is>
      </c>
      <c r="F581" t="inlineStr">
        <is>
          <t>Sveaskog</t>
        </is>
      </c>
      <c r="G581" t="n">
        <v>4.3</v>
      </c>
      <c r="H581" t="n">
        <v>0</v>
      </c>
      <c r="I581" t="n">
        <v>0</v>
      </c>
      <c r="J581" t="n">
        <v>0</v>
      </c>
      <c r="K581" t="n">
        <v>0</v>
      </c>
      <c r="L581" t="n">
        <v>0</v>
      </c>
      <c r="M581" t="n">
        <v>0</v>
      </c>
      <c r="N581" t="n">
        <v>0</v>
      </c>
      <c r="O581" t="n">
        <v>0</v>
      </c>
      <c r="P581" t="n">
        <v>0</v>
      </c>
      <c r="Q581" t="n">
        <v>0</v>
      </c>
      <c r="R581" s="2" t="inlineStr"/>
    </row>
    <row r="582" ht="15" customHeight="1">
      <c r="A582" t="inlineStr">
        <is>
          <t>A 27879-2022</t>
        </is>
      </c>
      <c r="B582" s="1" t="n">
        <v>44743</v>
      </c>
      <c r="C582" s="1" t="n">
        <v>45637</v>
      </c>
      <c r="D582" t="inlineStr">
        <is>
          <t>VÄSTERBOTTENS LÄN</t>
        </is>
      </c>
      <c r="E582" t="inlineStr">
        <is>
          <t>VILHELMINA</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27918-2022</t>
        </is>
      </c>
      <c r="B583" s="1" t="n">
        <v>44744</v>
      </c>
      <c r="C583" s="1" t="n">
        <v>45637</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27938-2022</t>
        </is>
      </c>
      <c r="B584" s="1" t="n">
        <v>44744</v>
      </c>
      <c r="C584" s="1" t="n">
        <v>45637</v>
      </c>
      <c r="D584" t="inlineStr">
        <is>
          <t>VÄSTERBOTTENS LÄN</t>
        </is>
      </c>
      <c r="E584" t="inlineStr">
        <is>
          <t>VILHELMINA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27922-2022</t>
        </is>
      </c>
      <c r="B585" s="1" t="n">
        <v>44744</v>
      </c>
      <c r="C585" s="1" t="n">
        <v>45637</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27937-2022</t>
        </is>
      </c>
      <c r="B586" s="1" t="n">
        <v>44744</v>
      </c>
      <c r="C586" s="1" t="n">
        <v>45637</v>
      </c>
      <c r="D586" t="inlineStr">
        <is>
          <t>VÄSTERBOTTENS LÄN</t>
        </is>
      </c>
      <c r="E586" t="inlineStr">
        <is>
          <t>VILHELMINA</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27935-2022</t>
        </is>
      </c>
      <c r="B587" s="1" t="n">
        <v>44744</v>
      </c>
      <c r="C587" s="1" t="n">
        <v>45637</v>
      </c>
      <c r="D587" t="inlineStr">
        <is>
          <t>VÄSTERBOTTENS LÄN</t>
        </is>
      </c>
      <c r="E587" t="inlineStr">
        <is>
          <t>VILHELMINA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27919-2022</t>
        </is>
      </c>
      <c r="B588" s="1" t="n">
        <v>44744</v>
      </c>
      <c r="C588" s="1" t="n">
        <v>45637</v>
      </c>
      <c r="D588" t="inlineStr">
        <is>
          <t>VÄSTERBOTTENS LÄN</t>
        </is>
      </c>
      <c r="E588" t="inlineStr">
        <is>
          <t>VILHELMINA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28378-2022</t>
        </is>
      </c>
      <c r="B589" s="1" t="n">
        <v>44747</v>
      </c>
      <c r="C589" s="1" t="n">
        <v>45637</v>
      </c>
      <c r="D589" t="inlineStr">
        <is>
          <t>VÄSTERBOTTENS LÄN</t>
        </is>
      </c>
      <c r="E589" t="inlineStr">
        <is>
          <t>VILHELMINA</t>
        </is>
      </c>
      <c r="F589" t="inlineStr">
        <is>
          <t>Sveaskog</t>
        </is>
      </c>
      <c r="G589" t="n">
        <v>10.3</v>
      </c>
      <c r="H589" t="n">
        <v>0</v>
      </c>
      <c r="I589" t="n">
        <v>0</v>
      </c>
      <c r="J589" t="n">
        <v>0</v>
      </c>
      <c r="K589" t="n">
        <v>0</v>
      </c>
      <c r="L589" t="n">
        <v>0</v>
      </c>
      <c r="M589" t="n">
        <v>0</v>
      </c>
      <c r="N589" t="n">
        <v>0</v>
      </c>
      <c r="O589" t="n">
        <v>0</v>
      </c>
      <c r="P589" t="n">
        <v>0</v>
      </c>
      <c r="Q589" t="n">
        <v>0</v>
      </c>
      <c r="R589" s="2" t="inlineStr"/>
    </row>
    <row r="590" ht="15" customHeight="1">
      <c r="A590" t="inlineStr">
        <is>
          <t>A 28486-2022</t>
        </is>
      </c>
      <c r="B590" s="1" t="n">
        <v>44747</v>
      </c>
      <c r="C590" s="1" t="n">
        <v>45637</v>
      </c>
      <c r="D590" t="inlineStr">
        <is>
          <t>VÄSTERBOTTENS LÄN</t>
        </is>
      </c>
      <c r="E590" t="inlineStr">
        <is>
          <t>VILHELMINA</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28485-2022</t>
        </is>
      </c>
      <c r="B591" s="1" t="n">
        <v>44748</v>
      </c>
      <c r="C591" s="1" t="n">
        <v>45637</v>
      </c>
      <c r="D591" t="inlineStr">
        <is>
          <t>VÄSTERBOTTENS LÄN</t>
        </is>
      </c>
      <c r="E591" t="inlineStr">
        <is>
          <t>VILHELMINA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28722-2022</t>
        </is>
      </c>
      <c r="B592" s="1" t="n">
        <v>44748</v>
      </c>
      <c r="C592" s="1" t="n">
        <v>45637</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29555-2022</t>
        </is>
      </c>
      <c r="B593" s="1" t="n">
        <v>44754</v>
      </c>
      <c r="C593" s="1" t="n">
        <v>45637</v>
      </c>
      <c r="D593" t="inlineStr">
        <is>
          <t>VÄSTERBOTTENS LÄN</t>
        </is>
      </c>
      <c r="E593" t="inlineStr">
        <is>
          <t>VILHELMINA</t>
        </is>
      </c>
      <c r="F593" t="inlineStr">
        <is>
          <t>Övriga Aktiebolag</t>
        </is>
      </c>
      <c r="G593" t="n">
        <v>3.1</v>
      </c>
      <c r="H593" t="n">
        <v>0</v>
      </c>
      <c r="I593" t="n">
        <v>0</v>
      </c>
      <c r="J593" t="n">
        <v>0</v>
      </c>
      <c r="K593" t="n">
        <v>0</v>
      </c>
      <c r="L593" t="n">
        <v>0</v>
      </c>
      <c r="M593" t="n">
        <v>0</v>
      </c>
      <c r="N593" t="n">
        <v>0</v>
      </c>
      <c r="O593" t="n">
        <v>0</v>
      </c>
      <c r="P593" t="n">
        <v>0</v>
      </c>
      <c r="Q593" t="n">
        <v>0</v>
      </c>
      <c r="R593" s="2" t="inlineStr"/>
    </row>
    <row r="594" ht="15" customHeight="1">
      <c r="A594" t="inlineStr">
        <is>
          <t>A 29773-2022</t>
        </is>
      </c>
      <c r="B594" s="1" t="n">
        <v>44755</v>
      </c>
      <c r="C594" s="1" t="n">
        <v>45637</v>
      </c>
      <c r="D594" t="inlineStr">
        <is>
          <t>VÄSTERBOTTENS LÄN</t>
        </is>
      </c>
      <c r="E594" t="inlineStr">
        <is>
          <t>VILHELMINA</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29855-2022</t>
        </is>
      </c>
      <c r="B595" s="1" t="n">
        <v>44756</v>
      </c>
      <c r="C595" s="1" t="n">
        <v>45637</v>
      </c>
      <c r="D595" t="inlineStr">
        <is>
          <t>VÄSTERBOTTENS LÄN</t>
        </is>
      </c>
      <c r="E595" t="inlineStr">
        <is>
          <t>VILHELMINA</t>
        </is>
      </c>
      <c r="G595" t="n">
        <v>3.4</v>
      </c>
      <c r="H595" t="n">
        <v>0</v>
      </c>
      <c r="I595" t="n">
        <v>0</v>
      </c>
      <c r="J595" t="n">
        <v>0</v>
      </c>
      <c r="K595" t="n">
        <v>0</v>
      </c>
      <c r="L595" t="n">
        <v>0</v>
      </c>
      <c r="M595" t="n">
        <v>0</v>
      </c>
      <c r="N595" t="n">
        <v>0</v>
      </c>
      <c r="O595" t="n">
        <v>0</v>
      </c>
      <c r="P595" t="n">
        <v>0</v>
      </c>
      <c r="Q595" t="n">
        <v>0</v>
      </c>
      <c r="R595" s="2" t="inlineStr"/>
    </row>
    <row r="596" ht="15" customHeight="1">
      <c r="A596" t="inlineStr">
        <is>
          <t>A 30018-2022</t>
        </is>
      </c>
      <c r="B596" s="1" t="n">
        <v>44756</v>
      </c>
      <c r="C596" s="1" t="n">
        <v>45637</v>
      </c>
      <c r="D596" t="inlineStr">
        <is>
          <t>VÄSTERBOTTENS LÄN</t>
        </is>
      </c>
      <c r="E596" t="inlineStr">
        <is>
          <t>VILHELMINA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30025-2022</t>
        </is>
      </c>
      <c r="B597" s="1" t="n">
        <v>44757</v>
      </c>
      <c r="C597" s="1" t="n">
        <v>45637</v>
      </c>
      <c r="D597" t="inlineStr">
        <is>
          <t>VÄSTERBOTTENS LÄN</t>
        </is>
      </c>
      <c r="E597" t="inlineStr">
        <is>
          <t>VILHELMINA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30020-2022</t>
        </is>
      </c>
      <c r="B598" s="1" t="n">
        <v>44757</v>
      </c>
      <c r="C598" s="1" t="n">
        <v>45637</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30019-2022</t>
        </is>
      </c>
      <c r="B599" s="1" t="n">
        <v>44757</v>
      </c>
      <c r="C599" s="1" t="n">
        <v>45637</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30130-2022</t>
        </is>
      </c>
      <c r="B600" s="1" t="n">
        <v>44757</v>
      </c>
      <c r="C600" s="1" t="n">
        <v>45637</v>
      </c>
      <c r="D600" t="inlineStr">
        <is>
          <t>VÄSTERBOTTENS LÄN</t>
        </is>
      </c>
      <c r="E600" t="inlineStr">
        <is>
          <t>VILHELMINA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31320-2022</t>
        </is>
      </c>
      <c r="B601" s="1" t="n">
        <v>44773</v>
      </c>
      <c r="C601" s="1" t="n">
        <v>45637</v>
      </c>
      <c r="D601" t="inlineStr">
        <is>
          <t>VÄSTERBOTTENS LÄN</t>
        </is>
      </c>
      <c r="E601" t="inlineStr">
        <is>
          <t>VILHELMINA</t>
        </is>
      </c>
      <c r="G601" t="n">
        <v>15.5</v>
      </c>
      <c r="H601" t="n">
        <v>0</v>
      </c>
      <c r="I601" t="n">
        <v>0</v>
      </c>
      <c r="J601" t="n">
        <v>0</v>
      </c>
      <c r="K601" t="n">
        <v>0</v>
      </c>
      <c r="L601" t="n">
        <v>0</v>
      </c>
      <c r="M601" t="n">
        <v>0</v>
      </c>
      <c r="N601" t="n">
        <v>0</v>
      </c>
      <c r="O601" t="n">
        <v>0</v>
      </c>
      <c r="P601" t="n">
        <v>0</v>
      </c>
      <c r="Q601" t="n">
        <v>0</v>
      </c>
      <c r="R601" s="2" t="inlineStr"/>
    </row>
    <row r="602" ht="15" customHeight="1">
      <c r="A602" t="inlineStr">
        <is>
          <t>A 32960-2022</t>
        </is>
      </c>
      <c r="B602" s="1" t="n">
        <v>44784</v>
      </c>
      <c r="C602" s="1" t="n">
        <v>45637</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33001-2022</t>
        </is>
      </c>
      <c r="B603" s="1" t="n">
        <v>44784</v>
      </c>
      <c r="C603" s="1" t="n">
        <v>45637</v>
      </c>
      <c r="D603" t="inlineStr">
        <is>
          <t>VÄSTERBOTTENS LÄN</t>
        </is>
      </c>
      <c r="E603" t="inlineStr">
        <is>
          <t>VILHELMINA</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33512-2022</t>
        </is>
      </c>
      <c r="B604" s="1" t="n">
        <v>44788</v>
      </c>
      <c r="C604" s="1" t="n">
        <v>45637</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33495-2022</t>
        </is>
      </c>
      <c r="B605" s="1" t="n">
        <v>44788</v>
      </c>
      <c r="C605" s="1" t="n">
        <v>45637</v>
      </c>
      <c r="D605" t="inlineStr">
        <is>
          <t>VÄSTERBOTTENS LÄN</t>
        </is>
      </c>
      <c r="E605" t="inlineStr">
        <is>
          <t>VILHELMINA</t>
        </is>
      </c>
      <c r="G605" t="n">
        <v>1</v>
      </c>
      <c r="H605" t="n">
        <v>0</v>
      </c>
      <c r="I605" t="n">
        <v>0</v>
      </c>
      <c r="J605" t="n">
        <v>0</v>
      </c>
      <c r="K605" t="n">
        <v>0</v>
      </c>
      <c r="L605" t="n">
        <v>0</v>
      </c>
      <c r="M605" t="n">
        <v>0</v>
      </c>
      <c r="N605" t="n">
        <v>0</v>
      </c>
      <c r="O605" t="n">
        <v>0</v>
      </c>
      <c r="P605" t="n">
        <v>0</v>
      </c>
      <c r="Q605" t="n">
        <v>0</v>
      </c>
      <c r="R605" s="2" t="inlineStr"/>
    </row>
    <row r="606" ht="15" customHeight="1">
      <c r="A606" t="inlineStr">
        <is>
          <t>A 33510-2022</t>
        </is>
      </c>
      <c r="B606" s="1" t="n">
        <v>44788</v>
      </c>
      <c r="C606" s="1" t="n">
        <v>45637</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33603-2022</t>
        </is>
      </c>
      <c r="B607" s="1" t="n">
        <v>44789</v>
      </c>
      <c r="C607" s="1" t="n">
        <v>45637</v>
      </c>
      <c r="D607" t="inlineStr">
        <is>
          <t>VÄSTERBOTTENS LÄN</t>
        </is>
      </c>
      <c r="E607" t="inlineStr">
        <is>
          <t>VILHELMINA</t>
        </is>
      </c>
      <c r="F607" t="inlineStr">
        <is>
          <t>Sveaskog</t>
        </is>
      </c>
      <c r="G607" t="n">
        <v>15.1</v>
      </c>
      <c r="H607" t="n">
        <v>0</v>
      </c>
      <c r="I607" t="n">
        <v>0</v>
      </c>
      <c r="J607" t="n">
        <v>0</v>
      </c>
      <c r="K607" t="n">
        <v>0</v>
      </c>
      <c r="L607" t="n">
        <v>0</v>
      </c>
      <c r="M607" t="n">
        <v>0</v>
      </c>
      <c r="N607" t="n">
        <v>0</v>
      </c>
      <c r="O607" t="n">
        <v>0</v>
      </c>
      <c r="P607" t="n">
        <v>0</v>
      </c>
      <c r="Q607" t="n">
        <v>0</v>
      </c>
      <c r="R607" s="2" t="inlineStr"/>
    </row>
    <row r="608" ht="15" customHeight="1">
      <c r="A608" t="inlineStr">
        <is>
          <t>A 33989-2022</t>
        </is>
      </c>
      <c r="B608" s="1" t="n">
        <v>44790</v>
      </c>
      <c r="C608" s="1" t="n">
        <v>45637</v>
      </c>
      <c r="D608" t="inlineStr">
        <is>
          <t>VÄSTERBOTTENS LÄN</t>
        </is>
      </c>
      <c r="E608" t="inlineStr">
        <is>
          <t>VILHELMINA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35003-2022</t>
        </is>
      </c>
      <c r="B609" s="1" t="n">
        <v>44797</v>
      </c>
      <c r="C609" s="1" t="n">
        <v>45637</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35178-2022</t>
        </is>
      </c>
      <c r="B610" s="1" t="n">
        <v>44797</v>
      </c>
      <c r="C610" s="1" t="n">
        <v>45637</v>
      </c>
      <c r="D610" t="inlineStr">
        <is>
          <t>VÄSTERBOTTENS LÄN</t>
        </is>
      </c>
      <c r="E610" t="inlineStr">
        <is>
          <t>VILHELMINA</t>
        </is>
      </c>
      <c r="F610" t="inlineStr">
        <is>
          <t>Övriga statliga verk och myndigheter</t>
        </is>
      </c>
      <c r="G610" t="n">
        <v>32.5</v>
      </c>
      <c r="H610" t="n">
        <v>0</v>
      </c>
      <c r="I610" t="n">
        <v>0</v>
      </c>
      <c r="J610" t="n">
        <v>0</v>
      </c>
      <c r="K610" t="n">
        <v>0</v>
      </c>
      <c r="L610" t="n">
        <v>0</v>
      </c>
      <c r="M610" t="n">
        <v>0</v>
      </c>
      <c r="N610" t="n">
        <v>0</v>
      </c>
      <c r="O610" t="n">
        <v>0</v>
      </c>
      <c r="P610" t="n">
        <v>0</v>
      </c>
      <c r="Q610" t="n">
        <v>0</v>
      </c>
      <c r="R610" s="2" t="inlineStr"/>
    </row>
    <row r="611" ht="15" customHeight="1">
      <c r="A611" t="inlineStr">
        <is>
          <t>A 35514-2022</t>
        </is>
      </c>
      <c r="B611" s="1" t="n">
        <v>44799</v>
      </c>
      <c r="C611" s="1" t="n">
        <v>45637</v>
      </c>
      <c r="D611" t="inlineStr">
        <is>
          <t>VÄSTERBOTTENS LÄN</t>
        </is>
      </c>
      <c r="E611" t="inlineStr">
        <is>
          <t>VILHELMINA</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35506-2022</t>
        </is>
      </c>
      <c r="B612" s="1" t="n">
        <v>44798</v>
      </c>
      <c r="C612" s="1" t="n">
        <v>45637</v>
      </c>
      <c r="D612" t="inlineStr">
        <is>
          <t>VÄSTERBOTTENS LÄN</t>
        </is>
      </c>
      <c r="E612" t="inlineStr">
        <is>
          <t>VILHELMINA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35515-2022</t>
        </is>
      </c>
      <c r="B613" s="1" t="n">
        <v>44799</v>
      </c>
      <c r="C613" s="1" t="n">
        <v>45637</v>
      </c>
      <c r="D613" t="inlineStr">
        <is>
          <t>VÄSTERBOTTENS LÄN</t>
        </is>
      </c>
      <c r="E613" t="inlineStr">
        <is>
          <t>VILHELMINA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35513-2022</t>
        </is>
      </c>
      <c r="B614" s="1" t="n">
        <v>44799</v>
      </c>
      <c r="C614" s="1" t="n">
        <v>45637</v>
      </c>
      <c r="D614" t="inlineStr">
        <is>
          <t>VÄSTERBOTTENS LÄN</t>
        </is>
      </c>
      <c r="E614" t="inlineStr">
        <is>
          <t>VILHELMINA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35686-2022</t>
        </is>
      </c>
      <c r="B615" s="1" t="n">
        <v>44799</v>
      </c>
      <c r="C615" s="1" t="n">
        <v>45637</v>
      </c>
      <c r="D615" t="inlineStr">
        <is>
          <t>VÄSTERBOTTENS LÄN</t>
        </is>
      </c>
      <c r="E615" t="inlineStr">
        <is>
          <t>VILHELMINA</t>
        </is>
      </c>
      <c r="F615" t="inlineStr">
        <is>
          <t>Övriga statliga verk och myndigheter</t>
        </is>
      </c>
      <c r="G615" t="n">
        <v>2.6</v>
      </c>
      <c r="H615" t="n">
        <v>0</v>
      </c>
      <c r="I615" t="n">
        <v>0</v>
      </c>
      <c r="J615" t="n">
        <v>0</v>
      </c>
      <c r="K615" t="n">
        <v>0</v>
      </c>
      <c r="L615" t="n">
        <v>0</v>
      </c>
      <c r="M615" t="n">
        <v>0</v>
      </c>
      <c r="N615" t="n">
        <v>0</v>
      </c>
      <c r="O615" t="n">
        <v>0</v>
      </c>
      <c r="P615" t="n">
        <v>0</v>
      </c>
      <c r="Q615" t="n">
        <v>0</v>
      </c>
      <c r="R615" s="2" t="inlineStr"/>
    </row>
    <row r="616" ht="15" customHeight="1">
      <c r="A616" t="inlineStr">
        <is>
          <t>A 36083-2022</t>
        </is>
      </c>
      <c r="B616" s="1" t="n">
        <v>44803</v>
      </c>
      <c r="C616" s="1" t="n">
        <v>45637</v>
      </c>
      <c r="D616" t="inlineStr">
        <is>
          <t>VÄSTERBOTTENS LÄN</t>
        </is>
      </c>
      <c r="E616" t="inlineStr">
        <is>
          <t>VILHELMINA</t>
        </is>
      </c>
      <c r="F616" t="inlineStr">
        <is>
          <t>SCA</t>
        </is>
      </c>
      <c r="G616" t="n">
        <v>24.1</v>
      </c>
      <c r="H616" t="n">
        <v>0</v>
      </c>
      <c r="I616" t="n">
        <v>0</v>
      </c>
      <c r="J616" t="n">
        <v>0</v>
      </c>
      <c r="K616" t="n">
        <v>0</v>
      </c>
      <c r="L616" t="n">
        <v>0</v>
      </c>
      <c r="M616" t="n">
        <v>0</v>
      </c>
      <c r="N616" t="n">
        <v>0</v>
      </c>
      <c r="O616" t="n">
        <v>0</v>
      </c>
      <c r="P616" t="n">
        <v>0</v>
      </c>
      <c r="Q616" t="n">
        <v>0</v>
      </c>
      <c r="R616" s="2" t="inlineStr"/>
    </row>
    <row r="617" ht="15" customHeight="1">
      <c r="A617" t="inlineStr">
        <is>
          <t>A 36081-2022</t>
        </is>
      </c>
      <c r="B617" s="1" t="n">
        <v>44802</v>
      </c>
      <c r="C617" s="1" t="n">
        <v>45637</v>
      </c>
      <c r="D617" t="inlineStr">
        <is>
          <t>VÄSTERBOTTENS LÄN</t>
        </is>
      </c>
      <c r="E617" t="inlineStr">
        <is>
          <t>VILHELMINA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36082-2022</t>
        </is>
      </c>
      <c r="B618" s="1" t="n">
        <v>44802</v>
      </c>
      <c r="C618" s="1" t="n">
        <v>45637</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36329-2022</t>
        </is>
      </c>
      <c r="B619" s="1" t="n">
        <v>44803</v>
      </c>
      <c r="C619" s="1" t="n">
        <v>45637</v>
      </c>
      <c r="D619" t="inlineStr">
        <is>
          <t>VÄSTERBOTTENS LÄN</t>
        </is>
      </c>
      <c r="E619" t="inlineStr">
        <is>
          <t>VILHELMINA</t>
        </is>
      </c>
      <c r="F619" t="inlineStr">
        <is>
          <t>Övriga statliga verk och myndigheter</t>
        </is>
      </c>
      <c r="G619" t="n">
        <v>30</v>
      </c>
      <c r="H619" t="n">
        <v>0</v>
      </c>
      <c r="I619" t="n">
        <v>0</v>
      </c>
      <c r="J619" t="n">
        <v>0</v>
      </c>
      <c r="K619" t="n">
        <v>0</v>
      </c>
      <c r="L619" t="n">
        <v>0</v>
      </c>
      <c r="M619" t="n">
        <v>0</v>
      </c>
      <c r="N619" t="n">
        <v>0</v>
      </c>
      <c r="O619" t="n">
        <v>0</v>
      </c>
      <c r="P619" t="n">
        <v>0</v>
      </c>
      <c r="Q619" t="n">
        <v>0</v>
      </c>
      <c r="R619" s="2" t="inlineStr"/>
    </row>
    <row r="620" ht="15" customHeight="1">
      <c r="A620" t="inlineStr">
        <is>
          <t>A 36929-2022</t>
        </is>
      </c>
      <c r="B620" s="1" t="n">
        <v>44806</v>
      </c>
      <c r="C620" s="1" t="n">
        <v>45637</v>
      </c>
      <c r="D620" t="inlineStr">
        <is>
          <t>VÄSTERBOTTENS LÄN</t>
        </is>
      </c>
      <c r="E620" t="inlineStr">
        <is>
          <t>VILHELMINA</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36931-2022</t>
        </is>
      </c>
      <c r="B621" s="1" t="n">
        <v>44805</v>
      </c>
      <c r="C621" s="1" t="n">
        <v>45637</v>
      </c>
      <c r="D621" t="inlineStr">
        <is>
          <t>VÄSTERBOTTENS LÄN</t>
        </is>
      </c>
      <c r="E621" t="inlineStr">
        <is>
          <t>VILHELMINA</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36930-2022</t>
        </is>
      </c>
      <c r="B622" s="1" t="n">
        <v>44805</v>
      </c>
      <c r="C622" s="1" t="n">
        <v>45637</v>
      </c>
      <c r="D622" t="inlineStr">
        <is>
          <t>VÄSTERBOTTENS LÄN</t>
        </is>
      </c>
      <c r="E622" t="inlineStr">
        <is>
          <t>VILHELMINA</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37322-2022</t>
        </is>
      </c>
      <c r="B623" s="1" t="n">
        <v>44806</v>
      </c>
      <c r="C623" s="1" t="n">
        <v>45637</v>
      </c>
      <c r="D623" t="inlineStr">
        <is>
          <t>VÄSTERBOTTENS LÄN</t>
        </is>
      </c>
      <c r="E623" t="inlineStr">
        <is>
          <t>VILHELMINA</t>
        </is>
      </c>
      <c r="F623" t="inlineStr">
        <is>
          <t>Övriga statliga verk och myndigheter</t>
        </is>
      </c>
      <c r="G623" t="n">
        <v>15.4</v>
      </c>
      <c r="H623" t="n">
        <v>0</v>
      </c>
      <c r="I623" t="n">
        <v>0</v>
      </c>
      <c r="J623" t="n">
        <v>0</v>
      </c>
      <c r="K623" t="n">
        <v>0</v>
      </c>
      <c r="L623" t="n">
        <v>0</v>
      </c>
      <c r="M623" t="n">
        <v>0</v>
      </c>
      <c r="N623" t="n">
        <v>0</v>
      </c>
      <c r="O623" t="n">
        <v>0</v>
      </c>
      <c r="P623" t="n">
        <v>0</v>
      </c>
      <c r="Q623" t="n">
        <v>0</v>
      </c>
      <c r="R623" s="2" t="inlineStr"/>
    </row>
    <row r="624" ht="15" customHeight="1">
      <c r="A624" t="inlineStr">
        <is>
          <t>A 37325-2022</t>
        </is>
      </c>
      <c r="B624" s="1" t="n">
        <v>44806</v>
      </c>
      <c r="C624" s="1" t="n">
        <v>45637</v>
      </c>
      <c r="D624" t="inlineStr">
        <is>
          <t>VÄSTERBOTTENS LÄN</t>
        </is>
      </c>
      <c r="E624" t="inlineStr">
        <is>
          <t>VILHELMINA</t>
        </is>
      </c>
      <c r="F624" t="inlineStr">
        <is>
          <t>Övriga statliga verk och myndigheter</t>
        </is>
      </c>
      <c r="G624" t="n">
        <v>11</v>
      </c>
      <c r="H624" t="n">
        <v>0</v>
      </c>
      <c r="I624" t="n">
        <v>0</v>
      </c>
      <c r="J624" t="n">
        <v>0</v>
      </c>
      <c r="K624" t="n">
        <v>0</v>
      </c>
      <c r="L624" t="n">
        <v>0</v>
      </c>
      <c r="M624" t="n">
        <v>0</v>
      </c>
      <c r="N624" t="n">
        <v>0</v>
      </c>
      <c r="O624" t="n">
        <v>0</v>
      </c>
      <c r="P624" t="n">
        <v>0</v>
      </c>
      <c r="Q624" t="n">
        <v>0</v>
      </c>
      <c r="R624" s="2" t="inlineStr"/>
    </row>
    <row r="625" ht="15" customHeight="1">
      <c r="A625" t="inlineStr">
        <is>
          <t>A 37655-2022</t>
        </is>
      </c>
      <c r="B625" s="1" t="n">
        <v>44810</v>
      </c>
      <c r="C625" s="1" t="n">
        <v>45637</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37661-2022</t>
        </is>
      </c>
      <c r="B626" s="1" t="n">
        <v>44810</v>
      </c>
      <c r="C626" s="1" t="n">
        <v>45637</v>
      </c>
      <c r="D626" t="inlineStr">
        <is>
          <t>VÄSTERBOTTENS LÄN</t>
        </is>
      </c>
      <c r="E626" t="inlineStr">
        <is>
          <t>VILHELMINA</t>
        </is>
      </c>
      <c r="G626" t="n">
        <v>5.8</v>
      </c>
      <c r="H626" t="n">
        <v>0</v>
      </c>
      <c r="I626" t="n">
        <v>0</v>
      </c>
      <c r="J626" t="n">
        <v>0</v>
      </c>
      <c r="K626" t="n">
        <v>0</v>
      </c>
      <c r="L626" t="n">
        <v>0</v>
      </c>
      <c r="M626" t="n">
        <v>0</v>
      </c>
      <c r="N626" t="n">
        <v>0</v>
      </c>
      <c r="O626" t="n">
        <v>0</v>
      </c>
      <c r="P626" t="n">
        <v>0</v>
      </c>
      <c r="Q626" t="n">
        <v>0</v>
      </c>
      <c r="R626" s="2" t="inlineStr"/>
    </row>
    <row r="627" ht="15" customHeight="1">
      <c r="A627" t="inlineStr">
        <is>
          <t>A 38417-2022</t>
        </is>
      </c>
      <c r="B627" s="1" t="n">
        <v>44813</v>
      </c>
      <c r="C627" s="1" t="n">
        <v>45637</v>
      </c>
      <c r="D627" t="inlineStr">
        <is>
          <t>VÄSTERBOTTENS LÄN</t>
        </is>
      </c>
      <c r="E627" t="inlineStr">
        <is>
          <t>VILHELMINA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38422-2022</t>
        </is>
      </c>
      <c r="B628" s="1" t="n">
        <v>44812</v>
      </c>
      <c r="C628" s="1" t="n">
        <v>45637</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38416-2022</t>
        </is>
      </c>
      <c r="B629" s="1" t="n">
        <v>44812</v>
      </c>
      <c r="C629" s="1" t="n">
        <v>45637</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38419-2022</t>
        </is>
      </c>
      <c r="B630" s="1" t="n">
        <v>44813</v>
      </c>
      <c r="C630" s="1" t="n">
        <v>45637</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38558-2022</t>
        </is>
      </c>
      <c r="B631" s="1" t="n">
        <v>44813</v>
      </c>
      <c r="C631" s="1" t="n">
        <v>45637</v>
      </c>
      <c r="D631" t="inlineStr">
        <is>
          <t>VÄSTERBOTTENS LÄN</t>
        </is>
      </c>
      <c r="E631" t="inlineStr">
        <is>
          <t>VILHELMINA</t>
        </is>
      </c>
      <c r="F631" t="inlineStr">
        <is>
          <t>Sveaskog</t>
        </is>
      </c>
      <c r="G631" t="n">
        <v>3.8</v>
      </c>
      <c r="H631" t="n">
        <v>0</v>
      </c>
      <c r="I631" t="n">
        <v>0</v>
      </c>
      <c r="J631" t="n">
        <v>0</v>
      </c>
      <c r="K631" t="n">
        <v>0</v>
      </c>
      <c r="L631" t="n">
        <v>0</v>
      </c>
      <c r="M631" t="n">
        <v>0</v>
      </c>
      <c r="N631" t="n">
        <v>0</v>
      </c>
      <c r="O631" t="n">
        <v>0</v>
      </c>
      <c r="P631" t="n">
        <v>0</v>
      </c>
      <c r="Q631" t="n">
        <v>0</v>
      </c>
      <c r="R631" s="2" t="inlineStr"/>
    </row>
    <row r="632" ht="15" customHeight="1">
      <c r="A632" t="inlineStr">
        <is>
          <t>A 39389-2022</t>
        </is>
      </c>
      <c r="B632" s="1" t="n">
        <v>44817</v>
      </c>
      <c r="C632" s="1" t="n">
        <v>45637</v>
      </c>
      <c r="D632" t="inlineStr">
        <is>
          <t>VÄSTERBOTTENS LÄN</t>
        </is>
      </c>
      <c r="E632" t="inlineStr">
        <is>
          <t>VILHELMINA</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41343-2022</t>
        </is>
      </c>
      <c r="B633" s="1" t="n">
        <v>44824</v>
      </c>
      <c r="C633" s="1" t="n">
        <v>45637</v>
      </c>
      <c r="D633" t="inlineStr">
        <is>
          <t>VÄSTERBOTTENS LÄN</t>
        </is>
      </c>
      <c r="E633" t="inlineStr">
        <is>
          <t>VILHELMINA</t>
        </is>
      </c>
      <c r="G633" t="n">
        <v>6</v>
      </c>
      <c r="H633" t="n">
        <v>0</v>
      </c>
      <c r="I633" t="n">
        <v>0</v>
      </c>
      <c r="J633" t="n">
        <v>0</v>
      </c>
      <c r="K633" t="n">
        <v>0</v>
      </c>
      <c r="L633" t="n">
        <v>0</v>
      </c>
      <c r="M633" t="n">
        <v>0</v>
      </c>
      <c r="N633" t="n">
        <v>0</v>
      </c>
      <c r="O633" t="n">
        <v>0</v>
      </c>
      <c r="P633" t="n">
        <v>0</v>
      </c>
      <c r="Q633" t="n">
        <v>0</v>
      </c>
      <c r="R633" s="2" t="inlineStr"/>
    </row>
    <row r="634" ht="15" customHeight="1">
      <c r="A634" t="inlineStr">
        <is>
          <t>A 41350-2022</t>
        </is>
      </c>
      <c r="B634" s="1" t="n">
        <v>44824</v>
      </c>
      <c r="C634" s="1" t="n">
        <v>45637</v>
      </c>
      <c r="D634" t="inlineStr">
        <is>
          <t>VÄSTERBOTTENS LÄN</t>
        </is>
      </c>
      <c r="E634" t="inlineStr">
        <is>
          <t>VILHELMINA</t>
        </is>
      </c>
      <c r="G634" t="n">
        <v>1.7</v>
      </c>
      <c r="H634" t="n">
        <v>0</v>
      </c>
      <c r="I634" t="n">
        <v>0</v>
      </c>
      <c r="J634" t="n">
        <v>0</v>
      </c>
      <c r="K634" t="n">
        <v>0</v>
      </c>
      <c r="L634" t="n">
        <v>0</v>
      </c>
      <c r="M634" t="n">
        <v>0</v>
      </c>
      <c r="N634" t="n">
        <v>0</v>
      </c>
      <c r="O634" t="n">
        <v>0</v>
      </c>
      <c r="P634" t="n">
        <v>0</v>
      </c>
      <c r="Q634" t="n">
        <v>0</v>
      </c>
      <c r="R634" s="2" t="inlineStr"/>
    </row>
    <row r="635" ht="15" customHeight="1">
      <c r="A635" t="inlineStr">
        <is>
          <t>A 41330-2022</t>
        </is>
      </c>
      <c r="B635" s="1" t="n">
        <v>44826</v>
      </c>
      <c r="C635" s="1" t="n">
        <v>45637</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41482-2022</t>
        </is>
      </c>
      <c r="B636" s="1" t="n">
        <v>44827</v>
      </c>
      <c r="C636" s="1" t="n">
        <v>45637</v>
      </c>
      <c r="D636" t="inlineStr">
        <is>
          <t>VÄSTERBOTTENS LÄN</t>
        </is>
      </c>
      <c r="E636" t="inlineStr">
        <is>
          <t>VILHELMINA</t>
        </is>
      </c>
      <c r="F636" t="inlineStr">
        <is>
          <t>SCA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41485-2022</t>
        </is>
      </c>
      <c r="B637" s="1" t="n">
        <v>44827</v>
      </c>
      <c r="C637" s="1" t="n">
        <v>45637</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41484-2022</t>
        </is>
      </c>
      <c r="B638" s="1" t="n">
        <v>44826</v>
      </c>
      <c r="C638" s="1" t="n">
        <v>45637</v>
      </c>
      <c r="D638" t="inlineStr">
        <is>
          <t>VÄSTERBOTTENS LÄN</t>
        </is>
      </c>
      <c r="E638" t="inlineStr">
        <is>
          <t>VILHELMINA</t>
        </is>
      </c>
      <c r="F638" t="inlineStr">
        <is>
          <t>SCA</t>
        </is>
      </c>
      <c r="G638" t="n">
        <v>18.1</v>
      </c>
      <c r="H638" t="n">
        <v>0</v>
      </c>
      <c r="I638" t="n">
        <v>0</v>
      </c>
      <c r="J638" t="n">
        <v>0</v>
      </c>
      <c r="K638" t="n">
        <v>0</v>
      </c>
      <c r="L638" t="n">
        <v>0</v>
      </c>
      <c r="M638" t="n">
        <v>0</v>
      </c>
      <c r="N638" t="n">
        <v>0</v>
      </c>
      <c r="O638" t="n">
        <v>0</v>
      </c>
      <c r="P638" t="n">
        <v>0</v>
      </c>
      <c r="Q638" t="n">
        <v>0</v>
      </c>
      <c r="R638" s="2" t="inlineStr"/>
    </row>
    <row r="639" ht="15" customHeight="1">
      <c r="A639" t="inlineStr">
        <is>
          <t>A 42648-2022</t>
        </is>
      </c>
      <c r="B639" s="1" t="n">
        <v>44832</v>
      </c>
      <c r="C639" s="1" t="n">
        <v>45637</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42650-2022</t>
        </is>
      </c>
      <c r="B640" s="1" t="n">
        <v>44831</v>
      </c>
      <c r="C640" s="1" t="n">
        <v>45637</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43120-2022</t>
        </is>
      </c>
      <c r="B641" s="1" t="n">
        <v>44834</v>
      </c>
      <c r="C641" s="1" t="n">
        <v>45637</v>
      </c>
      <c r="D641" t="inlineStr">
        <is>
          <t>VÄSTERBOTTENS LÄN</t>
        </is>
      </c>
      <c r="E641" t="inlineStr">
        <is>
          <t>VILHELMINA</t>
        </is>
      </c>
      <c r="G641" t="n">
        <v>13.7</v>
      </c>
      <c r="H641" t="n">
        <v>0</v>
      </c>
      <c r="I641" t="n">
        <v>0</v>
      </c>
      <c r="J641" t="n">
        <v>0</v>
      </c>
      <c r="K641" t="n">
        <v>0</v>
      </c>
      <c r="L641" t="n">
        <v>0</v>
      </c>
      <c r="M641" t="n">
        <v>0</v>
      </c>
      <c r="N641" t="n">
        <v>0</v>
      </c>
      <c r="O641" t="n">
        <v>0</v>
      </c>
      <c r="P641" t="n">
        <v>0</v>
      </c>
      <c r="Q641" t="n">
        <v>0</v>
      </c>
      <c r="R641" s="2" t="inlineStr"/>
    </row>
    <row r="642" ht="15" customHeight="1">
      <c r="A642" t="inlineStr">
        <is>
          <t>A 43144-2022</t>
        </is>
      </c>
      <c r="B642" s="1" t="n">
        <v>44834</v>
      </c>
      <c r="C642" s="1" t="n">
        <v>45637</v>
      </c>
      <c r="D642" t="inlineStr">
        <is>
          <t>VÄSTERBOTTENS LÄN</t>
        </is>
      </c>
      <c r="E642" t="inlineStr">
        <is>
          <t>VILHELMINA</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43714-2022</t>
        </is>
      </c>
      <c r="B643" s="1" t="n">
        <v>44837</v>
      </c>
      <c r="C643" s="1" t="n">
        <v>45637</v>
      </c>
      <c r="D643" t="inlineStr">
        <is>
          <t>VÄSTERBOTTENS LÄN</t>
        </is>
      </c>
      <c r="E643" t="inlineStr">
        <is>
          <t>VILHELMINA</t>
        </is>
      </c>
      <c r="G643" t="n">
        <v>8.9</v>
      </c>
      <c r="H643" t="n">
        <v>0</v>
      </c>
      <c r="I643" t="n">
        <v>0</v>
      </c>
      <c r="J643" t="n">
        <v>0</v>
      </c>
      <c r="K643" t="n">
        <v>0</v>
      </c>
      <c r="L643" t="n">
        <v>0</v>
      </c>
      <c r="M643" t="n">
        <v>0</v>
      </c>
      <c r="N643" t="n">
        <v>0</v>
      </c>
      <c r="O643" t="n">
        <v>0</v>
      </c>
      <c r="P643" t="n">
        <v>0</v>
      </c>
      <c r="Q643" t="n">
        <v>0</v>
      </c>
      <c r="R643" s="2" t="inlineStr"/>
    </row>
    <row r="644" ht="15" customHeight="1">
      <c r="A644" t="inlineStr">
        <is>
          <t>A 43741-2022</t>
        </is>
      </c>
      <c r="B644" s="1" t="n">
        <v>44837</v>
      </c>
      <c r="C644" s="1" t="n">
        <v>45637</v>
      </c>
      <c r="D644" t="inlineStr">
        <is>
          <t>VÄSTERBOTTENS LÄN</t>
        </is>
      </c>
      <c r="E644" t="inlineStr">
        <is>
          <t>VILHELMINA</t>
        </is>
      </c>
      <c r="G644" t="n">
        <v>54.2</v>
      </c>
      <c r="H644" t="n">
        <v>0</v>
      </c>
      <c r="I644" t="n">
        <v>0</v>
      </c>
      <c r="J644" t="n">
        <v>0</v>
      </c>
      <c r="K644" t="n">
        <v>0</v>
      </c>
      <c r="L644" t="n">
        <v>0</v>
      </c>
      <c r="M644" t="n">
        <v>0</v>
      </c>
      <c r="N644" t="n">
        <v>0</v>
      </c>
      <c r="O644" t="n">
        <v>0</v>
      </c>
      <c r="P644" t="n">
        <v>0</v>
      </c>
      <c r="Q644" t="n">
        <v>0</v>
      </c>
      <c r="R644" s="2" t="inlineStr"/>
    </row>
    <row r="645" ht="15" customHeight="1">
      <c r="A645" t="inlineStr">
        <is>
          <t>A 45425-2022</t>
        </is>
      </c>
      <c r="B645" s="1" t="n">
        <v>44844</v>
      </c>
      <c r="C645" s="1" t="n">
        <v>45637</v>
      </c>
      <c r="D645" t="inlineStr">
        <is>
          <t>VÄSTERBOTTENS LÄN</t>
        </is>
      </c>
      <c r="E645" t="inlineStr">
        <is>
          <t>VILHELMINA</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46121-2022</t>
        </is>
      </c>
      <c r="B646" s="1" t="n">
        <v>44847</v>
      </c>
      <c r="C646" s="1" t="n">
        <v>45637</v>
      </c>
      <c r="D646" t="inlineStr">
        <is>
          <t>VÄSTERBOTTENS LÄN</t>
        </is>
      </c>
      <c r="E646" t="inlineStr">
        <is>
          <t>VILHELMINA</t>
        </is>
      </c>
      <c r="G646" t="n">
        <v>2.6</v>
      </c>
      <c r="H646" t="n">
        <v>0</v>
      </c>
      <c r="I646" t="n">
        <v>0</v>
      </c>
      <c r="J646" t="n">
        <v>0</v>
      </c>
      <c r="K646" t="n">
        <v>0</v>
      </c>
      <c r="L646" t="n">
        <v>0</v>
      </c>
      <c r="M646" t="n">
        <v>0</v>
      </c>
      <c r="N646" t="n">
        <v>0</v>
      </c>
      <c r="O646" t="n">
        <v>0</v>
      </c>
      <c r="P646" t="n">
        <v>0</v>
      </c>
      <c r="Q646" t="n">
        <v>0</v>
      </c>
      <c r="R646" s="2" t="inlineStr"/>
    </row>
    <row r="647" ht="15" customHeight="1">
      <c r="A647" t="inlineStr">
        <is>
          <t>A 46071-2022</t>
        </is>
      </c>
      <c r="B647" s="1" t="n">
        <v>44847</v>
      </c>
      <c r="C647" s="1" t="n">
        <v>45637</v>
      </c>
      <c r="D647" t="inlineStr">
        <is>
          <t>VÄSTERBOTTENS LÄN</t>
        </is>
      </c>
      <c r="E647" t="inlineStr">
        <is>
          <t>VILHELMINA</t>
        </is>
      </c>
      <c r="G647" t="n">
        <v>10.6</v>
      </c>
      <c r="H647" t="n">
        <v>0</v>
      </c>
      <c r="I647" t="n">
        <v>0</v>
      </c>
      <c r="J647" t="n">
        <v>0</v>
      </c>
      <c r="K647" t="n">
        <v>0</v>
      </c>
      <c r="L647" t="n">
        <v>0</v>
      </c>
      <c r="M647" t="n">
        <v>0</v>
      </c>
      <c r="N647" t="n">
        <v>0</v>
      </c>
      <c r="O647" t="n">
        <v>0</v>
      </c>
      <c r="P647" t="n">
        <v>0</v>
      </c>
      <c r="Q647" t="n">
        <v>0</v>
      </c>
      <c r="R647" s="2" t="inlineStr"/>
    </row>
    <row r="648" ht="15" customHeight="1">
      <c r="A648" t="inlineStr">
        <is>
          <t>A 46316-2022</t>
        </is>
      </c>
      <c r="B648" s="1" t="n">
        <v>44847</v>
      </c>
      <c r="C648" s="1" t="n">
        <v>45637</v>
      </c>
      <c r="D648" t="inlineStr">
        <is>
          <t>VÄSTERBOTTENS LÄN</t>
        </is>
      </c>
      <c r="E648" t="inlineStr">
        <is>
          <t>VILHELMINA</t>
        </is>
      </c>
      <c r="G648" t="n">
        <v>2.1</v>
      </c>
      <c r="H648" t="n">
        <v>0</v>
      </c>
      <c r="I648" t="n">
        <v>0</v>
      </c>
      <c r="J648" t="n">
        <v>0</v>
      </c>
      <c r="K648" t="n">
        <v>0</v>
      </c>
      <c r="L648" t="n">
        <v>0</v>
      </c>
      <c r="M648" t="n">
        <v>0</v>
      </c>
      <c r="N648" t="n">
        <v>0</v>
      </c>
      <c r="O648" t="n">
        <v>0</v>
      </c>
      <c r="P648" t="n">
        <v>0</v>
      </c>
      <c r="Q648" t="n">
        <v>0</v>
      </c>
      <c r="R648" s="2" t="inlineStr"/>
    </row>
    <row r="649" ht="15" customHeight="1">
      <c r="A649" t="inlineStr">
        <is>
          <t>A 46119-2022</t>
        </is>
      </c>
      <c r="B649" s="1" t="n">
        <v>44847</v>
      </c>
      <c r="C649" s="1" t="n">
        <v>45637</v>
      </c>
      <c r="D649" t="inlineStr">
        <is>
          <t>VÄSTERBOTTENS LÄN</t>
        </is>
      </c>
      <c r="E649" t="inlineStr">
        <is>
          <t>VILHELMINA</t>
        </is>
      </c>
      <c r="G649" t="n">
        <v>12.1</v>
      </c>
      <c r="H649" t="n">
        <v>0</v>
      </c>
      <c r="I649" t="n">
        <v>0</v>
      </c>
      <c r="J649" t="n">
        <v>0</v>
      </c>
      <c r="K649" t="n">
        <v>0</v>
      </c>
      <c r="L649" t="n">
        <v>0</v>
      </c>
      <c r="M649" t="n">
        <v>0</v>
      </c>
      <c r="N649" t="n">
        <v>0</v>
      </c>
      <c r="O649" t="n">
        <v>0</v>
      </c>
      <c r="P649" t="n">
        <v>0</v>
      </c>
      <c r="Q649" t="n">
        <v>0</v>
      </c>
      <c r="R649" s="2" t="inlineStr"/>
    </row>
    <row r="650" ht="15" customHeight="1">
      <c r="A650" t="inlineStr">
        <is>
          <t>A 46318-2022</t>
        </is>
      </c>
      <c r="B650" s="1" t="n">
        <v>44847</v>
      </c>
      <c r="C650" s="1" t="n">
        <v>45637</v>
      </c>
      <c r="D650" t="inlineStr">
        <is>
          <t>VÄSTERBOTTENS LÄN</t>
        </is>
      </c>
      <c r="E650" t="inlineStr">
        <is>
          <t>VILHELMINA</t>
        </is>
      </c>
      <c r="G650" t="n">
        <v>11.7</v>
      </c>
      <c r="H650" t="n">
        <v>0</v>
      </c>
      <c r="I650" t="n">
        <v>0</v>
      </c>
      <c r="J650" t="n">
        <v>0</v>
      </c>
      <c r="K650" t="n">
        <v>0</v>
      </c>
      <c r="L650" t="n">
        <v>0</v>
      </c>
      <c r="M650" t="n">
        <v>0</v>
      </c>
      <c r="N650" t="n">
        <v>0</v>
      </c>
      <c r="O650" t="n">
        <v>0</v>
      </c>
      <c r="P650" t="n">
        <v>0</v>
      </c>
      <c r="Q650" t="n">
        <v>0</v>
      </c>
      <c r="R650" s="2" t="inlineStr"/>
    </row>
    <row r="651" ht="15" customHeight="1">
      <c r="A651" t="inlineStr">
        <is>
          <t>A 47253-2022</t>
        </is>
      </c>
      <c r="B651" s="1" t="n">
        <v>44852</v>
      </c>
      <c r="C651" s="1" t="n">
        <v>45637</v>
      </c>
      <c r="D651" t="inlineStr">
        <is>
          <t>VÄSTERBOTTENS LÄN</t>
        </is>
      </c>
      <c r="E651" t="inlineStr">
        <is>
          <t>VILHELMINA</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47252-2022</t>
        </is>
      </c>
      <c r="B652" s="1" t="n">
        <v>44852</v>
      </c>
      <c r="C652" s="1" t="n">
        <v>45637</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47254-2022</t>
        </is>
      </c>
      <c r="B653" s="1" t="n">
        <v>44853</v>
      </c>
      <c r="C653" s="1" t="n">
        <v>45637</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47288-2022</t>
        </is>
      </c>
      <c r="B654" s="1" t="n">
        <v>44852</v>
      </c>
      <c r="C654" s="1" t="n">
        <v>45637</v>
      </c>
      <c r="D654" t="inlineStr">
        <is>
          <t>VÄSTERBOTTENS LÄN</t>
        </is>
      </c>
      <c r="E654" t="inlineStr">
        <is>
          <t>VILHELMINA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47287-2022</t>
        </is>
      </c>
      <c r="B655" s="1" t="n">
        <v>44853</v>
      </c>
      <c r="C655" s="1" t="n">
        <v>45637</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47285-2022</t>
        </is>
      </c>
      <c r="B656" s="1" t="n">
        <v>44853</v>
      </c>
      <c r="C656" s="1" t="n">
        <v>45637</v>
      </c>
      <c r="D656" t="inlineStr">
        <is>
          <t>VÄSTERBOTTENS LÄN</t>
        </is>
      </c>
      <c r="E656" t="inlineStr">
        <is>
          <t>VILHELMINA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47286-2022</t>
        </is>
      </c>
      <c r="B657" s="1" t="n">
        <v>44852</v>
      </c>
      <c r="C657" s="1" t="n">
        <v>45637</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47575-2022</t>
        </is>
      </c>
      <c r="B658" s="1" t="n">
        <v>44853</v>
      </c>
      <c r="C658" s="1" t="n">
        <v>45637</v>
      </c>
      <c r="D658" t="inlineStr">
        <is>
          <t>VÄSTERBOTTENS LÄN</t>
        </is>
      </c>
      <c r="E658" t="inlineStr">
        <is>
          <t>VILHELMINA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47571-2022</t>
        </is>
      </c>
      <c r="B659" s="1" t="n">
        <v>44853</v>
      </c>
      <c r="C659" s="1" t="n">
        <v>45637</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48068-2022</t>
        </is>
      </c>
      <c r="B660" s="1" t="n">
        <v>44855</v>
      </c>
      <c r="C660" s="1" t="n">
        <v>45637</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48117-2022</t>
        </is>
      </c>
      <c r="B661" s="1" t="n">
        <v>44857</v>
      </c>
      <c r="C661" s="1" t="n">
        <v>45637</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48524-2022</t>
        </is>
      </c>
      <c r="B662" s="1" t="n">
        <v>44859</v>
      </c>
      <c r="C662" s="1" t="n">
        <v>45637</v>
      </c>
      <c r="D662" t="inlineStr">
        <is>
          <t>VÄSTERBOTTENS LÄN</t>
        </is>
      </c>
      <c r="E662" t="inlineStr">
        <is>
          <t>VILHELMINA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48507-2022</t>
        </is>
      </c>
      <c r="B663" s="1" t="n">
        <v>44859</v>
      </c>
      <c r="C663" s="1" t="n">
        <v>45637</v>
      </c>
      <c r="D663" t="inlineStr">
        <is>
          <t>VÄSTERBOTTENS LÄN</t>
        </is>
      </c>
      <c r="E663" t="inlineStr">
        <is>
          <t>VILHELMINA</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48526-2022</t>
        </is>
      </c>
      <c r="B664" s="1" t="n">
        <v>44858</v>
      </c>
      <c r="C664" s="1" t="n">
        <v>45637</v>
      </c>
      <c r="D664" t="inlineStr">
        <is>
          <t>VÄSTERBOTTENS LÄN</t>
        </is>
      </c>
      <c r="E664" t="inlineStr">
        <is>
          <t>VILHELMINA</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48515-2022</t>
        </is>
      </c>
      <c r="B665" s="1" t="n">
        <v>44859</v>
      </c>
      <c r="C665" s="1" t="n">
        <v>45637</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48551-2022</t>
        </is>
      </c>
      <c r="B666" s="1" t="n">
        <v>44859</v>
      </c>
      <c r="C666" s="1" t="n">
        <v>45637</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48508-2022</t>
        </is>
      </c>
      <c r="B667" s="1" t="n">
        <v>44858</v>
      </c>
      <c r="C667" s="1" t="n">
        <v>45637</v>
      </c>
      <c r="D667" t="inlineStr">
        <is>
          <t>VÄSTERBOTTENS LÄN</t>
        </is>
      </c>
      <c r="E667" t="inlineStr">
        <is>
          <t>VILHELMINA</t>
        </is>
      </c>
      <c r="F667" t="inlineStr">
        <is>
          <t>SCA</t>
        </is>
      </c>
      <c r="G667" t="n">
        <v>6.7</v>
      </c>
      <c r="H667" t="n">
        <v>0</v>
      </c>
      <c r="I667" t="n">
        <v>0</v>
      </c>
      <c r="J667" t="n">
        <v>0</v>
      </c>
      <c r="K667" t="n">
        <v>0</v>
      </c>
      <c r="L667" t="n">
        <v>0</v>
      </c>
      <c r="M667" t="n">
        <v>0</v>
      </c>
      <c r="N667" t="n">
        <v>0</v>
      </c>
      <c r="O667" t="n">
        <v>0</v>
      </c>
      <c r="P667" t="n">
        <v>0</v>
      </c>
      <c r="Q667" t="n">
        <v>0</v>
      </c>
      <c r="R667" s="2" t="inlineStr"/>
    </row>
    <row r="668" ht="15" customHeight="1">
      <c r="A668" t="inlineStr">
        <is>
          <t>A 48527-2022</t>
        </is>
      </c>
      <c r="B668" s="1" t="n">
        <v>44859</v>
      </c>
      <c r="C668" s="1" t="n">
        <v>45637</v>
      </c>
      <c r="D668" t="inlineStr">
        <is>
          <t>VÄSTERBOTTENS LÄN</t>
        </is>
      </c>
      <c r="E668" t="inlineStr">
        <is>
          <t>VILHELMINA</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48775-2022</t>
        </is>
      </c>
      <c r="B669" s="1" t="n">
        <v>44859</v>
      </c>
      <c r="C669" s="1" t="n">
        <v>45637</v>
      </c>
      <c r="D669" t="inlineStr">
        <is>
          <t>VÄSTERBOTTENS LÄN</t>
        </is>
      </c>
      <c r="E669" t="inlineStr">
        <is>
          <t>VILHELMINA</t>
        </is>
      </c>
      <c r="F669" t="inlineStr">
        <is>
          <t>Sveaskog</t>
        </is>
      </c>
      <c r="G669" t="n">
        <v>10.7</v>
      </c>
      <c r="H669" t="n">
        <v>0</v>
      </c>
      <c r="I669" t="n">
        <v>0</v>
      </c>
      <c r="J669" t="n">
        <v>0</v>
      </c>
      <c r="K669" t="n">
        <v>0</v>
      </c>
      <c r="L669" t="n">
        <v>0</v>
      </c>
      <c r="M669" t="n">
        <v>0</v>
      </c>
      <c r="N669" t="n">
        <v>0</v>
      </c>
      <c r="O669" t="n">
        <v>0</v>
      </c>
      <c r="P669" t="n">
        <v>0</v>
      </c>
      <c r="Q669" t="n">
        <v>0</v>
      </c>
      <c r="R669" s="2" t="inlineStr"/>
    </row>
    <row r="670" ht="15" customHeight="1">
      <c r="A670" t="inlineStr">
        <is>
          <t>A 48768-2022</t>
        </is>
      </c>
      <c r="B670" s="1" t="n">
        <v>44859</v>
      </c>
      <c r="C670" s="1" t="n">
        <v>45637</v>
      </c>
      <c r="D670" t="inlineStr">
        <is>
          <t>VÄSTERBOTTENS LÄN</t>
        </is>
      </c>
      <c r="E670" t="inlineStr">
        <is>
          <t>VILHELMINA</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49599-2022</t>
        </is>
      </c>
      <c r="B671" s="1" t="n">
        <v>44859</v>
      </c>
      <c r="C671" s="1" t="n">
        <v>45637</v>
      </c>
      <c r="D671" t="inlineStr">
        <is>
          <t>VÄSTERBOTTENS LÄN</t>
        </is>
      </c>
      <c r="E671" t="inlineStr">
        <is>
          <t>VILHELMINA</t>
        </is>
      </c>
      <c r="G671" t="n">
        <v>3.6</v>
      </c>
      <c r="H671" t="n">
        <v>0</v>
      </c>
      <c r="I671" t="n">
        <v>0</v>
      </c>
      <c r="J671" t="n">
        <v>0</v>
      </c>
      <c r="K671" t="n">
        <v>0</v>
      </c>
      <c r="L671" t="n">
        <v>0</v>
      </c>
      <c r="M671" t="n">
        <v>0</v>
      </c>
      <c r="N671" t="n">
        <v>0</v>
      </c>
      <c r="O671" t="n">
        <v>0</v>
      </c>
      <c r="P671" t="n">
        <v>0</v>
      </c>
      <c r="Q671" t="n">
        <v>0</v>
      </c>
      <c r="R671" s="2" t="inlineStr"/>
    </row>
    <row r="672" ht="15" customHeight="1">
      <c r="A672" t="inlineStr">
        <is>
          <t>A 49526-2022</t>
        </is>
      </c>
      <c r="B672" s="1" t="n">
        <v>44862</v>
      </c>
      <c r="C672" s="1" t="n">
        <v>45637</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49640-2022</t>
        </is>
      </c>
      <c r="B673" s="1" t="n">
        <v>44862</v>
      </c>
      <c r="C673" s="1" t="n">
        <v>45637</v>
      </c>
      <c r="D673" t="inlineStr">
        <is>
          <t>VÄSTERBOTTENS LÄN</t>
        </is>
      </c>
      <c r="E673" t="inlineStr">
        <is>
          <t>VILHELMINA</t>
        </is>
      </c>
      <c r="F673" t="inlineStr">
        <is>
          <t>Sveaskog</t>
        </is>
      </c>
      <c r="G673" t="n">
        <v>6.1</v>
      </c>
      <c r="H673" t="n">
        <v>0</v>
      </c>
      <c r="I673" t="n">
        <v>0</v>
      </c>
      <c r="J673" t="n">
        <v>0</v>
      </c>
      <c r="K673" t="n">
        <v>0</v>
      </c>
      <c r="L673" t="n">
        <v>0</v>
      </c>
      <c r="M673" t="n">
        <v>0</v>
      </c>
      <c r="N673" t="n">
        <v>0</v>
      </c>
      <c r="O673" t="n">
        <v>0</v>
      </c>
      <c r="P673" t="n">
        <v>0</v>
      </c>
      <c r="Q673" t="n">
        <v>0</v>
      </c>
      <c r="R673" s="2" t="inlineStr"/>
    </row>
    <row r="674" ht="15" customHeight="1">
      <c r="A674" t="inlineStr">
        <is>
          <t>A 50883-2022</t>
        </is>
      </c>
      <c r="B674" s="1" t="n">
        <v>44867</v>
      </c>
      <c r="C674" s="1" t="n">
        <v>45637</v>
      </c>
      <c r="D674" t="inlineStr">
        <is>
          <t>VÄSTERBOTTENS LÄN</t>
        </is>
      </c>
      <c r="E674" t="inlineStr">
        <is>
          <t>VILHELMINA</t>
        </is>
      </c>
      <c r="F674" t="inlineStr">
        <is>
          <t>Sveaskog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51017-2022</t>
        </is>
      </c>
      <c r="B675" s="1" t="n">
        <v>44867</v>
      </c>
      <c r="C675" s="1" t="n">
        <v>45637</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52008-2022</t>
        </is>
      </c>
      <c r="B676" s="1" t="n">
        <v>44872</v>
      </c>
      <c r="C676" s="1" t="n">
        <v>45637</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52711-2022</t>
        </is>
      </c>
      <c r="B677" s="1" t="n">
        <v>44874</v>
      </c>
      <c r="C677" s="1" t="n">
        <v>45637</v>
      </c>
      <c r="D677" t="inlineStr">
        <is>
          <t>VÄSTERBOTTENS LÄN</t>
        </is>
      </c>
      <c r="E677" t="inlineStr">
        <is>
          <t>VILHELMINA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52704-2022</t>
        </is>
      </c>
      <c r="B678" s="1" t="n">
        <v>44874</v>
      </c>
      <c r="C678" s="1" t="n">
        <v>45637</v>
      </c>
      <c r="D678" t="inlineStr">
        <is>
          <t>VÄSTERBOTTENS LÄN</t>
        </is>
      </c>
      <c r="E678" t="inlineStr">
        <is>
          <t>VILHELMINA</t>
        </is>
      </c>
      <c r="G678" t="n">
        <v>17.4</v>
      </c>
      <c r="H678" t="n">
        <v>0</v>
      </c>
      <c r="I678" t="n">
        <v>0</v>
      </c>
      <c r="J678" t="n">
        <v>0</v>
      </c>
      <c r="K678" t="n">
        <v>0</v>
      </c>
      <c r="L678" t="n">
        <v>0</v>
      </c>
      <c r="M678" t="n">
        <v>0</v>
      </c>
      <c r="N678" t="n">
        <v>0</v>
      </c>
      <c r="O678" t="n">
        <v>0</v>
      </c>
      <c r="P678" t="n">
        <v>0</v>
      </c>
      <c r="Q678" t="n">
        <v>0</v>
      </c>
      <c r="R678" s="2" t="inlineStr"/>
    </row>
    <row r="679" ht="15" customHeight="1">
      <c r="A679" t="inlineStr">
        <is>
          <t>A 52995-2022</t>
        </is>
      </c>
      <c r="B679" s="1" t="n">
        <v>44875</v>
      </c>
      <c r="C679" s="1" t="n">
        <v>45637</v>
      </c>
      <c r="D679" t="inlineStr">
        <is>
          <t>VÄSTERBOTTENS LÄN</t>
        </is>
      </c>
      <c r="E679" t="inlineStr">
        <is>
          <t>VILHELMINA</t>
        </is>
      </c>
      <c r="G679" t="n">
        <v>1.4</v>
      </c>
      <c r="H679" t="n">
        <v>0</v>
      </c>
      <c r="I679" t="n">
        <v>0</v>
      </c>
      <c r="J679" t="n">
        <v>0</v>
      </c>
      <c r="K679" t="n">
        <v>0</v>
      </c>
      <c r="L679" t="n">
        <v>0</v>
      </c>
      <c r="M679" t="n">
        <v>0</v>
      </c>
      <c r="N679" t="n">
        <v>0</v>
      </c>
      <c r="O679" t="n">
        <v>0</v>
      </c>
      <c r="P679" t="n">
        <v>0</v>
      </c>
      <c r="Q679" t="n">
        <v>0</v>
      </c>
      <c r="R679" s="2" t="inlineStr"/>
    </row>
    <row r="680" ht="15" customHeight="1">
      <c r="A680" t="inlineStr">
        <is>
          <t>A 53652-2022</t>
        </is>
      </c>
      <c r="B680" s="1" t="n">
        <v>44879</v>
      </c>
      <c r="C680" s="1" t="n">
        <v>45637</v>
      </c>
      <c r="D680" t="inlineStr">
        <is>
          <t>VÄSTERBOTTENS LÄN</t>
        </is>
      </c>
      <c r="E680" t="inlineStr">
        <is>
          <t>VILHELMINA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53654-2022</t>
        </is>
      </c>
      <c r="B681" s="1" t="n">
        <v>44879</v>
      </c>
      <c r="C681" s="1" t="n">
        <v>45637</v>
      </c>
      <c r="D681" t="inlineStr">
        <is>
          <t>VÄSTERBOTTENS LÄN</t>
        </is>
      </c>
      <c r="E681" t="inlineStr">
        <is>
          <t>VILHELMINA</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53658-2022</t>
        </is>
      </c>
      <c r="B682" s="1" t="n">
        <v>44879</v>
      </c>
      <c r="C682" s="1" t="n">
        <v>45637</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54729-2022</t>
        </is>
      </c>
      <c r="B683" s="1" t="n">
        <v>44881</v>
      </c>
      <c r="C683" s="1" t="n">
        <v>45637</v>
      </c>
      <c r="D683" t="inlineStr">
        <is>
          <t>VÄSTERBOTTENS LÄN</t>
        </is>
      </c>
      <c r="E683" t="inlineStr">
        <is>
          <t>VILHELMINA</t>
        </is>
      </c>
      <c r="G683" t="n">
        <v>19.2</v>
      </c>
      <c r="H683" t="n">
        <v>0</v>
      </c>
      <c r="I683" t="n">
        <v>0</v>
      </c>
      <c r="J683" t="n">
        <v>0</v>
      </c>
      <c r="K683" t="n">
        <v>0</v>
      </c>
      <c r="L683" t="n">
        <v>0</v>
      </c>
      <c r="M683" t="n">
        <v>0</v>
      </c>
      <c r="N683" t="n">
        <v>0</v>
      </c>
      <c r="O683" t="n">
        <v>0</v>
      </c>
      <c r="P683" t="n">
        <v>0</v>
      </c>
      <c r="Q683" t="n">
        <v>0</v>
      </c>
      <c r="R683" s="2" t="inlineStr"/>
    </row>
    <row r="684" ht="15" customHeight="1">
      <c r="A684" t="inlineStr">
        <is>
          <t>A 54727-2022</t>
        </is>
      </c>
      <c r="B684" s="1" t="n">
        <v>44881</v>
      </c>
      <c r="C684" s="1" t="n">
        <v>45637</v>
      </c>
      <c r="D684" t="inlineStr">
        <is>
          <t>VÄSTERBOTTENS LÄN</t>
        </is>
      </c>
      <c r="E684" t="inlineStr">
        <is>
          <t>VILHELMINA</t>
        </is>
      </c>
      <c r="G684" t="n">
        <v>4.3</v>
      </c>
      <c r="H684" t="n">
        <v>0</v>
      </c>
      <c r="I684" t="n">
        <v>0</v>
      </c>
      <c r="J684" t="n">
        <v>0</v>
      </c>
      <c r="K684" t="n">
        <v>0</v>
      </c>
      <c r="L684" t="n">
        <v>0</v>
      </c>
      <c r="M684" t="n">
        <v>0</v>
      </c>
      <c r="N684" t="n">
        <v>0</v>
      </c>
      <c r="O684" t="n">
        <v>0</v>
      </c>
      <c r="P684" t="n">
        <v>0</v>
      </c>
      <c r="Q684" t="n">
        <v>0</v>
      </c>
      <c r="R684" s="2" t="inlineStr"/>
    </row>
    <row r="685" ht="15" customHeight="1">
      <c r="A685" t="inlineStr">
        <is>
          <t>A 55870-2022</t>
        </is>
      </c>
      <c r="B685" s="1" t="n">
        <v>44888</v>
      </c>
      <c r="C685" s="1" t="n">
        <v>45637</v>
      </c>
      <c r="D685" t="inlineStr">
        <is>
          <t>VÄSTERBOTTENS LÄN</t>
        </is>
      </c>
      <c r="E685" t="inlineStr">
        <is>
          <t>VILHELMINA</t>
        </is>
      </c>
      <c r="G685" t="n">
        <v>13.6</v>
      </c>
      <c r="H685" t="n">
        <v>0</v>
      </c>
      <c r="I685" t="n">
        <v>0</v>
      </c>
      <c r="J685" t="n">
        <v>0</v>
      </c>
      <c r="K685" t="n">
        <v>0</v>
      </c>
      <c r="L685" t="n">
        <v>0</v>
      </c>
      <c r="M685" t="n">
        <v>0</v>
      </c>
      <c r="N685" t="n">
        <v>0</v>
      </c>
      <c r="O685" t="n">
        <v>0</v>
      </c>
      <c r="P685" t="n">
        <v>0</v>
      </c>
      <c r="Q685" t="n">
        <v>0</v>
      </c>
      <c r="R685" s="2" t="inlineStr"/>
    </row>
    <row r="686" ht="15" customHeight="1">
      <c r="A686" t="inlineStr">
        <is>
          <t>A 56154-2022</t>
        </is>
      </c>
      <c r="B686" s="1" t="n">
        <v>44889</v>
      </c>
      <c r="C686" s="1" t="n">
        <v>45637</v>
      </c>
      <c r="D686" t="inlineStr">
        <is>
          <t>VÄSTERBOTTENS LÄN</t>
        </is>
      </c>
      <c r="E686" t="inlineStr">
        <is>
          <t>VILHELMINA</t>
        </is>
      </c>
      <c r="G686" t="n">
        <v>30</v>
      </c>
      <c r="H686" t="n">
        <v>0</v>
      </c>
      <c r="I686" t="n">
        <v>0</v>
      </c>
      <c r="J686" t="n">
        <v>0</v>
      </c>
      <c r="K686" t="n">
        <v>0</v>
      </c>
      <c r="L686" t="n">
        <v>0</v>
      </c>
      <c r="M686" t="n">
        <v>0</v>
      </c>
      <c r="N686" t="n">
        <v>0</v>
      </c>
      <c r="O686" t="n">
        <v>0</v>
      </c>
      <c r="P686" t="n">
        <v>0</v>
      </c>
      <c r="Q686" t="n">
        <v>0</v>
      </c>
      <c r="R686" s="2" t="inlineStr"/>
    </row>
    <row r="687" ht="15" customHeight="1">
      <c r="A687" t="inlineStr">
        <is>
          <t>A 56153-2022</t>
        </is>
      </c>
      <c r="B687" s="1" t="n">
        <v>44889</v>
      </c>
      <c r="C687" s="1" t="n">
        <v>45637</v>
      </c>
      <c r="D687" t="inlineStr">
        <is>
          <t>VÄSTERBOTTENS LÄN</t>
        </is>
      </c>
      <c r="E687" t="inlineStr">
        <is>
          <t>VILHELMINA</t>
        </is>
      </c>
      <c r="G687" t="n">
        <v>31.6</v>
      </c>
      <c r="H687" t="n">
        <v>0</v>
      </c>
      <c r="I687" t="n">
        <v>0</v>
      </c>
      <c r="J687" t="n">
        <v>0</v>
      </c>
      <c r="K687" t="n">
        <v>0</v>
      </c>
      <c r="L687" t="n">
        <v>0</v>
      </c>
      <c r="M687" t="n">
        <v>0</v>
      </c>
      <c r="N687" t="n">
        <v>0</v>
      </c>
      <c r="O687" t="n">
        <v>0</v>
      </c>
      <c r="P687" t="n">
        <v>0</v>
      </c>
      <c r="Q687" t="n">
        <v>0</v>
      </c>
      <c r="R687" s="2" t="inlineStr"/>
    </row>
    <row r="688" ht="15" customHeight="1">
      <c r="A688" t="inlineStr">
        <is>
          <t>A 56173-2022</t>
        </is>
      </c>
      <c r="B688" s="1" t="n">
        <v>44889</v>
      </c>
      <c r="C688" s="1" t="n">
        <v>45637</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56174-2022</t>
        </is>
      </c>
      <c r="B689" s="1" t="n">
        <v>44889</v>
      </c>
      <c r="C689" s="1" t="n">
        <v>45637</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56179-2022</t>
        </is>
      </c>
      <c r="B690" s="1" t="n">
        <v>44889</v>
      </c>
      <c r="C690" s="1" t="n">
        <v>45637</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57332-2022</t>
        </is>
      </c>
      <c r="B691" s="1" t="n">
        <v>44889</v>
      </c>
      <c r="C691" s="1" t="n">
        <v>45637</v>
      </c>
      <c r="D691" t="inlineStr">
        <is>
          <t>VÄSTERBOTTENS LÄN</t>
        </is>
      </c>
      <c r="E691" t="inlineStr">
        <is>
          <t>VILHELMINA</t>
        </is>
      </c>
      <c r="G691" t="n">
        <v>5.1</v>
      </c>
      <c r="H691" t="n">
        <v>0</v>
      </c>
      <c r="I691" t="n">
        <v>0</v>
      </c>
      <c r="J691" t="n">
        <v>0</v>
      </c>
      <c r="K691" t="n">
        <v>0</v>
      </c>
      <c r="L691" t="n">
        <v>0</v>
      </c>
      <c r="M691" t="n">
        <v>0</v>
      </c>
      <c r="N691" t="n">
        <v>0</v>
      </c>
      <c r="O691" t="n">
        <v>0</v>
      </c>
      <c r="P691" t="n">
        <v>0</v>
      </c>
      <c r="Q691" t="n">
        <v>0</v>
      </c>
      <c r="R691" s="2" t="inlineStr"/>
    </row>
    <row r="692" ht="15" customHeight="1">
      <c r="A692" t="inlineStr">
        <is>
          <t>A 57324-2022</t>
        </is>
      </c>
      <c r="B692" s="1" t="n">
        <v>44889</v>
      </c>
      <c r="C692" s="1" t="n">
        <v>45637</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57328-2022</t>
        </is>
      </c>
      <c r="B693" s="1" t="n">
        <v>44889</v>
      </c>
      <c r="C693" s="1" t="n">
        <v>45637</v>
      </c>
      <c r="D693" t="inlineStr">
        <is>
          <t>VÄSTERBOTTENS LÄN</t>
        </is>
      </c>
      <c r="E693" t="inlineStr">
        <is>
          <t>VILHELMINA</t>
        </is>
      </c>
      <c r="G693" t="n">
        <v>9.5</v>
      </c>
      <c r="H693" t="n">
        <v>0</v>
      </c>
      <c r="I693" t="n">
        <v>0</v>
      </c>
      <c r="J693" t="n">
        <v>0</v>
      </c>
      <c r="K693" t="n">
        <v>0</v>
      </c>
      <c r="L693" t="n">
        <v>0</v>
      </c>
      <c r="M693" t="n">
        <v>0</v>
      </c>
      <c r="N693" t="n">
        <v>0</v>
      </c>
      <c r="O693" t="n">
        <v>0</v>
      </c>
      <c r="P693" t="n">
        <v>0</v>
      </c>
      <c r="Q693" t="n">
        <v>0</v>
      </c>
      <c r="R693" s="2" t="inlineStr"/>
    </row>
    <row r="694" ht="15" customHeight="1">
      <c r="A694" t="inlineStr">
        <is>
          <t>A 57339-2022</t>
        </is>
      </c>
      <c r="B694" s="1" t="n">
        <v>44889</v>
      </c>
      <c r="C694" s="1" t="n">
        <v>45637</v>
      </c>
      <c r="D694" t="inlineStr">
        <is>
          <t>VÄSTERBOTTENS LÄN</t>
        </is>
      </c>
      <c r="E694" t="inlineStr">
        <is>
          <t>VILHELMINA</t>
        </is>
      </c>
      <c r="G694" t="n">
        <v>33.1</v>
      </c>
      <c r="H694" t="n">
        <v>0</v>
      </c>
      <c r="I694" t="n">
        <v>0</v>
      </c>
      <c r="J694" t="n">
        <v>0</v>
      </c>
      <c r="K694" t="n">
        <v>0</v>
      </c>
      <c r="L694" t="n">
        <v>0</v>
      </c>
      <c r="M694" t="n">
        <v>0</v>
      </c>
      <c r="N694" t="n">
        <v>0</v>
      </c>
      <c r="O694" t="n">
        <v>0</v>
      </c>
      <c r="P694" t="n">
        <v>0</v>
      </c>
      <c r="Q694" t="n">
        <v>0</v>
      </c>
      <c r="R694" s="2" t="inlineStr"/>
    </row>
    <row r="695" ht="15" customHeight="1">
      <c r="A695" t="inlineStr">
        <is>
          <t>A 56408-2022</t>
        </is>
      </c>
      <c r="B695" s="1" t="n">
        <v>44890</v>
      </c>
      <c r="C695" s="1" t="n">
        <v>45637</v>
      </c>
      <c r="D695" t="inlineStr">
        <is>
          <t>VÄSTERBOTTENS LÄN</t>
        </is>
      </c>
      <c r="E695" t="inlineStr">
        <is>
          <t>VILHELMINA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56396-2022</t>
        </is>
      </c>
      <c r="B696" s="1" t="n">
        <v>44890</v>
      </c>
      <c r="C696" s="1" t="n">
        <v>45637</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56405-2022</t>
        </is>
      </c>
      <c r="B697" s="1" t="n">
        <v>44890</v>
      </c>
      <c r="C697" s="1" t="n">
        <v>45637</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56409-2022</t>
        </is>
      </c>
      <c r="B698" s="1" t="n">
        <v>44890</v>
      </c>
      <c r="C698" s="1" t="n">
        <v>45637</v>
      </c>
      <c r="D698" t="inlineStr">
        <is>
          <t>VÄSTERBOTTENS LÄN</t>
        </is>
      </c>
      <c r="E698" t="inlineStr">
        <is>
          <t>VILHELMINA</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56407-2022</t>
        </is>
      </c>
      <c r="B699" s="1" t="n">
        <v>44890</v>
      </c>
      <c r="C699" s="1" t="n">
        <v>45637</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56406-2022</t>
        </is>
      </c>
      <c r="B700" s="1" t="n">
        <v>44890</v>
      </c>
      <c r="C700" s="1" t="n">
        <v>45637</v>
      </c>
      <c r="D700" t="inlineStr">
        <is>
          <t>VÄSTERBOTTENS LÄN</t>
        </is>
      </c>
      <c r="E700" t="inlineStr">
        <is>
          <t>VILHELMINA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56733-2022</t>
        </is>
      </c>
      <c r="B701" s="1" t="n">
        <v>44893</v>
      </c>
      <c r="C701" s="1" t="n">
        <v>45637</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57586-2022</t>
        </is>
      </c>
      <c r="B702" s="1" t="n">
        <v>44896</v>
      </c>
      <c r="C702" s="1" t="n">
        <v>45637</v>
      </c>
      <c r="D702" t="inlineStr">
        <is>
          <t>VÄSTERBOTTENS LÄN</t>
        </is>
      </c>
      <c r="E702" t="inlineStr">
        <is>
          <t>VILHELMINA</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58938-2022</t>
        </is>
      </c>
      <c r="B703" s="1" t="n">
        <v>44896</v>
      </c>
      <c r="C703" s="1" t="n">
        <v>45637</v>
      </c>
      <c r="D703" t="inlineStr">
        <is>
          <t>VÄSTERBOTTENS LÄN</t>
        </is>
      </c>
      <c r="E703" t="inlineStr">
        <is>
          <t>VILHELMINA</t>
        </is>
      </c>
      <c r="G703" t="n">
        <v>4.1</v>
      </c>
      <c r="H703" t="n">
        <v>0</v>
      </c>
      <c r="I703" t="n">
        <v>0</v>
      </c>
      <c r="J703" t="n">
        <v>0</v>
      </c>
      <c r="K703" t="n">
        <v>0</v>
      </c>
      <c r="L703" t="n">
        <v>0</v>
      </c>
      <c r="M703" t="n">
        <v>0</v>
      </c>
      <c r="N703" t="n">
        <v>0</v>
      </c>
      <c r="O703" t="n">
        <v>0</v>
      </c>
      <c r="P703" t="n">
        <v>0</v>
      </c>
      <c r="Q703" t="n">
        <v>0</v>
      </c>
      <c r="R703" s="2" t="inlineStr"/>
    </row>
    <row r="704" ht="15" customHeight="1">
      <c r="A704" t="inlineStr">
        <is>
          <t>A 58207-2022</t>
        </is>
      </c>
      <c r="B704" s="1" t="n">
        <v>44901</v>
      </c>
      <c r="C704" s="1" t="n">
        <v>45637</v>
      </c>
      <c r="D704" t="inlineStr">
        <is>
          <t>VÄSTERBOTTENS LÄN</t>
        </is>
      </c>
      <c r="E704" t="inlineStr">
        <is>
          <t>VILHELMINA</t>
        </is>
      </c>
      <c r="G704" t="n">
        <v>143.2</v>
      </c>
      <c r="H704" t="n">
        <v>0</v>
      </c>
      <c r="I704" t="n">
        <v>0</v>
      </c>
      <c r="J704" t="n">
        <v>0</v>
      </c>
      <c r="K704" t="n">
        <v>0</v>
      </c>
      <c r="L704" t="n">
        <v>0</v>
      </c>
      <c r="M704" t="n">
        <v>0</v>
      </c>
      <c r="N704" t="n">
        <v>0</v>
      </c>
      <c r="O704" t="n">
        <v>0</v>
      </c>
      <c r="P704" t="n">
        <v>0</v>
      </c>
      <c r="Q704" t="n">
        <v>0</v>
      </c>
      <c r="R704" s="2" t="inlineStr"/>
    </row>
    <row r="705" ht="15" customHeight="1">
      <c r="A705" t="inlineStr">
        <is>
          <t>A 58720-2022</t>
        </is>
      </c>
      <c r="B705" s="1" t="n">
        <v>44902</v>
      </c>
      <c r="C705" s="1" t="n">
        <v>45637</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58739-2022</t>
        </is>
      </c>
      <c r="B706" s="1" t="n">
        <v>44902</v>
      </c>
      <c r="C706" s="1" t="n">
        <v>45637</v>
      </c>
      <c r="D706" t="inlineStr">
        <is>
          <t>VÄSTERBOTTENS LÄN</t>
        </is>
      </c>
      <c r="E706" t="inlineStr">
        <is>
          <t>VILHELMINA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59030-2022</t>
        </is>
      </c>
      <c r="B707" s="1" t="n">
        <v>44903</v>
      </c>
      <c r="C707" s="1" t="n">
        <v>45637</v>
      </c>
      <c r="D707" t="inlineStr">
        <is>
          <t>VÄSTERBOTTENS LÄN</t>
        </is>
      </c>
      <c r="E707" t="inlineStr">
        <is>
          <t>VILHELMINA</t>
        </is>
      </c>
      <c r="G707" t="n">
        <v>17.8</v>
      </c>
      <c r="H707" t="n">
        <v>0</v>
      </c>
      <c r="I707" t="n">
        <v>0</v>
      </c>
      <c r="J707" t="n">
        <v>0</v>
      </c>
      <c r="K707" t="n">
        <v>0</v>
      </c>
      <c r="L707" t="n">
        <v>0</v>
      </c>
      <c r="M707" t="n">
        <v>0</v>
      </c>
      <c r="N707" t="n">
        <v>0</v>
      </c>
      <c r="O707" t="n">
        <v>0</v>
      </c>
      <c r="P707" t="n">
        <v>0</v>
      </c>
      <c r="Q707" t="n">
        <v>0</v>
      </c>
      <c r="R707" s="2" t="inlineStr"/>
    </row>
    <row r="708" ht="15" customHeight="1">
      <c r="A708" t="inlineStr">
        <is>
          <t>A 60227-2022</t>
        </is>
      </c>
      <c r="B708" s="1" t="n">
        <v>44903</v>
      </c>
      <c r="C708" s="1" t="n">
        <v>45637</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60137-2022</t>
        </is>
      </c>
      <c r="B709" s="1" t="n">
        <v>44909</v>
      </c>
      <c r="C709" s="1" t="n">
        <v>45637</v>
      </c>
      <c r="D709" t="inlineStr">
        <is>
          <t>VÄSTERBOTTENS LÄN</t>
        </is>
      </c>
      <c r="E709" t="inlineStr">
        <is>
          <t>VILHELMINA</t>
        </is>
      </c>
      <c r="G709" t="n">
        <v>3.2</v>
      </c>
      <c r="H709" t="n">
        <v>0</v>
      </c>
      <c r="I709" t="n">
        <v>0</v>
      </c>
      <c r="J709" t="n">
        <v>0</v>
      </c>
      <c r="K709" t="n">
        <v>0</v>
      </c>
      <c r="L709" t="n">
        <v>0</v>
      </c>
      <c r="M709" t="n">
        <v>0</v>
      </c>
      <c r="N709" t="n">
        <v>0</v>
      </c>
      <c r="O709" t="n">
        <v>0</v>
      </c>
      <c r="P709" t="n">
        <v>0</v>
      </c>
      <c r="Q709" t="n">
        <v>0</v>
      </c>
      <c r="R709" s="2" t="inlineStr"/>
    </row>
    <row r="710" ht="15" customHeight="1">
      <c r="A710" t="inlineStr">
        <is>
          <t>A 61270-2022</t>
        </is>
      </c>
      <c r="B710" s="1" t="n">
        <v>44909</v>
      </c>
      <c r="C710" s="1" t="n">
        <v>45637</v>
      </c>
      <c r="D710" t="inlineStr">
        <is>
          <t>VÄSTERBOTTENS LÄN</t>
        </is>
      </c>
      <c r="E710" t="inlineStr">
        <is>
          <t>VILHELMINA</t>
        </is>
      </c>
      <c r="G710" t="n">
        <v>8.9</v>
      </c>
      <c r="H710" t="n">
        <v>0</v>
      </c>
      <c r="I710" t="n">
        <v>0</v>
      </c>
      <c r="J710" t="n">
        <v>0</v>
      </c>
      <c r="K710" t="n">
        <v>0</v>
      </c>
      <c r="L710" t="n">
        <v>0</v>
      </c>
      <c r="M710" t="n">
        <v>0</v>
      </c>
      <c r="N710" t="n">
        <v>0</v>
      </c>
      <c r="O710" t="n">
        <v>0</v>
      </c>
      <c r="P710" t="n">
        <v>0</v>
      </c>
      <c r="Q710" t="n">
        <v>0</v>
      </c>
      <c r="R710" s="2" t="inlineStr"/>
    </row>
    <row r="711" ht="15" customHeight="1">
      <c r="A711" t="inlineStr">
        <is>
          <t>A 60682-2022</t>
        </is>
      </c>
      <c r="B711" s="1" t="n">
        <v>44911</v>
      </c>
      <c r="C711" s="1" t="n">
        <v>45637</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60549-2022</t>
        </is>
      </c>
      <c r="B712" s="1" t="n">
        <v>44911</v>
      </c>
      <c r="C712" s="1" t="n">
        <v>45637</v>
      </c>
      <c r="D712" t="inlineStr">
        <is>
          <t>VÄSTERBOTTENS LÄN</t>
        </is>
      </c>
      <c r="E712" t="inlineStr">
        <is>
          <t>VILHELMINA</t>
        </is>
      </c>
      <c r="G712" t="n">
        <v>3.8</v>
      </c>
      <c r="H712" t="n">
        <v>0</v>
      </c>
      <c r="I712" t="n">
        <v>0</v>
      </c>
      <c r="J712" t="n">
        <v>0</v>
      </c>
      <c r="K712" t="n">
        <v>0</v>
      </c>
      <c r="L712" t="n">
        <v>0</v>
      </c>
      <c r="M712" t="n">
        <v>0</v>
      </c>
      <c r="N712" t="n">
        <v>0</v>
      </c>
      <c r="O712" t="n">
        <v>0</v>
      </c>
      <c r="P712" t="n">
        <v>0</v>
      </c>
      <c r="Q712" t="n">
        <v>0</v>
      </c>
      <c r="R712" s="2" t="inlineStr"/>
    </row>
    <row r="713" ht="15" customHeight="1">
      <c r="A713" t="inlineStr">
        <is>
          <t>A 61048-2022</t>
        </is>
      </c>
      <c r="B713" s="1" t="n">
        <v>44914</v>
      </c>
      <c r="C713" s="1" t="n">
        <v>45637</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61668-2022</t>
        </is>
      </c>
      <c r="B714" s="1" t="n">
        <v>44917</v>
      </c>
      <c r="C714" s="1" t="n">
        <v>45637</v>
      </c>
      <c r="D714" t="inlineStr">
        <is>
          <t>VÄSTERBOTTENS LÄN</t>
        </is>
      </c>
      <c r="E714" t="inlineStr">
        <is>
          <t>VILHELMINA</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61695-2022</t>
        </is>
      </c>
      <c r="B715" s="1" t="n">
        <v>44917</v>
      </c>
      <c r="C715" s="1" t="n">
        <v>45637</v>
      </c>
      <c r="D715" t="inlineStr">
        <is>
          <t>VÄSTERBOTTENS LÄN</t>
        </is>
      </c>
      <c r="E715" t="inlineStr">
        <is>
          <t>VILHELMINA</t>
        </is>
      </c>
      <c r="F715" t="inlineStr">
        <is>
          <t>Sveaskog</t>
        </is>
      </c>
      <c r="G715" t="n">
        <v>7.9</v>
      </c>
      <c r="H715" t="n">
        <v>0</v>
      </c>
      <c r="I715" t="n">
        <v>0</v>
      </c>
      <c r="J715" t="n">
        <v>0</v>
      </c>
      <c r="K715" t="n">
        <v>0</v>
      </c>
      <c r="L715" t="n">
        <v>0</v>
      </c>
      <c r="M715" t="n">
        <v>0</v>
      </c>
      <c r="N715" t="n">
        <v>0</v>
      </c>
      <c r="O715" t="n">
        <v>0</v>
      </c>
      <c r="P715" t="n">
        <v>0</v>
      </c>
      <c r="Q715" t="n">
        <v>0</v>
      </c>
      <c r="R715" s="2" t="inlineStr"/>
    </row>
    <row r="716" ht="15" customHeight="1">
      <c r="A716" t="inlineStr">
        <is>
          <t>A 62630-2022</t>
        </is>
      </c>
      <c r="B716" s="1" t="n">
        <v>44917</v>
      </c>
      <c r="C716" s="1" t="n">
        <v>45637</v>
      </c>
      <c r="D716" t="inlineStr">
        <is>
          <t>VÄSTERBOTTENS LÄN</t>
        </is>
      </c>
      <c r="E716" t="inlineStr">
        <is>
          <t>VILHELMINA</t>
        </is>
      </c>
      <c r="G716" t="n">
        <v>0.9</v>
      </c>
      <c r="H716" t="n">
        <v>0</v>
      </c>
      <c r="I716" t="n">
        <v>0</v>
      </c>
      <c r="J716" t="n">
        <v>0</v>
      </c>
      <c r="K716" t="n">
        <v>0</v>
      </c>
      <c r="L716" t="n">
        <v>0</v>
      </c>
      <c r="M716" t="n">
        <v>0</v>
      </c>
      <c r="N716" t="n">
        <v>0</v>
      </c>
      <c r="O716" t="n">
        <v>0</v>
      </c>
      <c r="P716" t="n">
        <v>0</v>
      </c>
      <c r="Q716" t="n">
        <v>0</v>
      </c>
      <c r="R716" s="2" t="inlineStr"/>
    </row>
    <row r="717" ht="15" customHeight="1">
      <c r="A717" t="inlineStr">
        <is>
          <t>A 62543-2022</t>
        </is>
      </c>
      <c r="B717" s="1" t="n">
        <v>44917</v>
      </c>
      <c r="C717" s="1" t="n">
        <v>45637</v>
      </c>
      <c r="D717" t="inlineStr">
        <is>
          <t>VÄSTERBOTTENS LÄN</t>
        </is>
      </c>
      <c r="E717" t="inlineStr">
        <is>
          <t>VILHELMINA</t>
        </is>
      </c>
      <c r="G717" t="n">
        <v>8.1</v>
      </c>
      <c r="H717" t="n">
        <v>0</v>
      </c>
      <c r="I717" t="n">
        <v>0</v>
      </c>
      <c r="J717" t="n">
        <v>0</v>
      </c>
      <c r="K717" t="n">
        <v>0</v>
      </c>
      <c r="L717" t="n">
        <v>0</v>
      </c>
      <c r="M717" t="n">
        <v>0</v>
      </c>
      <c r="N717" t="n">
        <v>0</v>
      </c>
      <c r="O717" t="n">
        <v>0</v>
      </c>
      <c r="P717" t="n">
        <v>0</v>
      </c>
      <c r="Q717" t="n">
        <v>0</v>
      </c>
      <c r="R717" s="2" t="inlineStr"/>
    </row>
    <row r="718" ht="15" customHeight="1">
      <c r="A718" t="inlineStr">
        <is>
          <t>A 62110-2022</t>
        </is>
      </c>
      <c r="B718" s="1" t="n">
        <v>44920</v>
      </c>
      <c r="C718" s="1" t="n">
        <v>45637</v>
      </c>
      <c r="D718" t="inlineStr">
        <is>
          <t>VÄSTERBOTTENS LÄN</t>
        </is>
      </c>
      <c r="E718" t="inlineStr">
        <is>
          <t>VILHELMINA</t>
        </is>
      </c>
      <c r="G718" t="n">
        <v>4.5</v>
      </c>
      <c r="H718" t="n">
        <v>0</v>
      </c>
      <c r="I718" t="n">
        <v>0</v>
      </c>
      <c r="J718" t="n">
        <v>0</v>
      </c>
      <c r="K718" t="n">
        <v>0</v>
      </c>
      <c r="L718" t="n">
        <v>0</v>
      </c>
      <c r="M718" t="n">
        <v>0</v>
      </c>
      <c r="N718" t="n">
        <v>0</v>
      </c>
      <c r="O718" t="n">
        <v>0</v>
      </c>
      <c r="P718" t="n">
        <v>0</v>
      </c>
      <c r="Q718" t="n">
        <v>0</v>
      </c>
      <c r="R718" s="2" t="inlineStr"/>
    </row>
    <row r="719" ht="15" customHeight="1">
      <c r="A719" t="inlineStr">
        <is>
          <t>A 62404-2022</t>
        </is>
      </c>
      <c r="B719" s="1" t="n">
        <v>44923</v>
      </c>
      <c r="C719" s="1" t="n">
        <v>45637</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62405-2022</t>
        </is>
      </c>
      <c r="B720" s="1" t="n">
        <v>44923</v>
      </c>
      <c r="C720" s="1" t="n">
        <v>45637</v>
      </c>
      <c r="D720" t="inlineStr">
        <is>
          <t>VÄSTERBOTTENS LÄN</t>
        </is>
      </c>
      <c r="E720" t="inlineStr">
        <is>
          <t>VILHELMINA</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402-2023</t>
        </is>
      </c>
      <c r="B721" s="1" t="n">
        <v>44923</v>
      </c>
      <c r="C721" s="1" t="n">
        <v>45637</v>
      </c>
      <c r="D721" t="inlineStr">
        <is>
          <t>VÄSTERBOTTENS LÄN</t>
        </is>
      </c>
      <c r="E721" t="inlineStr">
        <is>
          <t>VILHELMINA</t>
        </is>
      </c>
      <c r="G721" t="n">
        <v>14.7</v>
      </c>
      <c r="H721" t="n">
        <v>0</v>
      </c>
      <c r="I721" t="n">
        <v>0</v>
      </c>
      <c r="J721" t="n">
        <v>0</v>
      </c>
      <c r="K721" t="n">
        <v>0</v>
      </c>
      <c r="L721" t="n">
        <v>0</v>
      </c>
      <c r="M721" t="n">
        <v>0</v>
      </c>
      <c r="N721" t="n">
        <v>0</v>
      </c>
      <c r="O721" t="n">
        <v>0</v>
      </c>
      <c r="P721" t="n">
        <v>0</v>
      </c>
      <c r="Q721" t="n">
        <v>0</v>
      </c>
      <c r="R721" s="2" t="inlineStr"/>
    </row>
    <row r="722" ht="15" customHeight="1">
      <c r="A722" t="inlineStr">
        <is>
          <t>A 288-2023</t>
        </is>
      </c>
      <c r="B722" s="1" t="n">
        <v>44928</v>
      </c>
      <c r="C722" s="1" t="n">
        <v>45637</v>
      </c>
      <c r="D722" t="inlineStr">
        <is>
          <t>VÄSTERBOTTENS LÄN</t>
        </is>
      </c>
      <c r="E722" t="inlineStr">
        <is>
          <t>VILHELMINA</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701-2023</t>
        </is>
      </c>
      <c r="B723" s="1" t="n">
        <v>44930</v>
      </c>
      <c r="C723" s="1" t="n">
        <v>45637</v>
      </c>
      <c r="D723" t="inlineStr">
        <is>
          <t>VÄSTERBOTTENS LÄN</t>
        </is>
      </c>
      <c r="E723" t="inlineStr">
        <is>
          <t>VILHELMINA</t>
        </is>
      </c>
      <c r="G723" t="n">
        <v>11.5</v>
      </c>
      <c r="H723" t="n">
        <v>0</v>
      </c>
      <c r="I723" t="n">
        <v>0</v>
      </c>
      <c r="J723" t="n">
        <v>0</v>
      </c>
      <c r="K723" t="n">
        <v>0</v>
      </c>
      <c r="L723" t="n">
        <v>0</v>
      </c>
      <c r="M723" t="n">
        <v>0</v>
      </c>
      <c r="N723" t="n">
        <v>0</v>
      </c>
      <c r="O723" t="n">
        <v>0</v>
      </c>
      <c r="P723" t="n">
        <v>0</v>
      </c>
      <c r="Q723" t="n">
        <v>0</v>
      </c>
      <c r="R723" s="2" t="inlineStr"/>
    </row>
    <row r="724" ht="15" customHeight="1">
      <c r="A724" t="inlineStr">
        <is>
          <t>A 1035-2023</t>
        </is>
      </c>
      <c r="B724" s="1" t="n">
        <v>44935</v>
      </c>
      <c r="C724" s="1" t="n">
        <v>45637</v>
      </c>
      <c r="D724" t="inlineStr">
        <is>
          <t>VÄSTERBOTTENS LÄN</t>
        </is>
      </c>
      <c r="E724" t="inlineStr">
        <is>
          <t>VILHELMINA</t>
        </is>
      </c>
      <c r="G724" t="n">
        <v>10.4</v>
      </c>
      <c r="H724" t="n">
        <v>0</v>
      </c>
      <c r="I724" t="n">
        <v>0</v>
      </c>
      <c r="J724" t="n">
        <v>0</v>
      </c>
      <c r="K724" t="n">
        <v>0</v>
      </c>
      <c r="L724" t="n">
        <v>0</v>
      </c>
      <c r="M724" t="n">
        <v>0</v>
      </c>
      <c r="N724" t="n">
        <v>0</v>
      </c>
      <c r="O724" t="n">
        <v>0</v>
      </c>
      <c r="P724" t="n">
        <v>0</v>
      </c>
      <c r="Q724" t="n">
        <v>0</v>
      </c>
      <c r="R724" s="2" t="inlineStr"/>
    </row>
    <row r="725" ht="15" customHeight="1">
      <c r="A725" t="inlineStr">
        <is>
          <t>A 1776-2023</t>
        </is>
      </c>
      <c r="B725" s="1" t="n">
        <v>44936</v>
      </c>
      <c r="C725" s="1" t="n">
        <v>45637</v>
      </c>
      <c r="D725" t="inlineStr">
        <is>
          <t>VÄSTERBOTTENS LÄN</t>
        </is>
      </c>
      <c r="E725" t="inlineStr">
        <is>
          <t>VILHELMINA</t>
        </is>
      </c>
      <c r="F725" t="inlineStr">
        <is>
          <t>Övriga Aktiebolag</t>
        </is>
      </c>
      <c r="G725" t="n">
        <v>18.4</v>
      </c>
      <c r="H725" t="n">
        <v>0</v>
      </c>
      <c r="I725" t="n">
        <v>0</v>
      </c>
      <c r="J725" t="n">
        <v>0</v>
      </c>
      <c r="K725" t="n">
        <v>0</v>
      </c>
      <c r="L725" t="n">
        <v>0</v>
      </c>
      <c r="M725" t="n">
        <v>0</v>
      </c>
      <c r="N725" t="n">
        <v>0</v>
      </c>
      <c r="O725" t="n">
        <v>0</v>
      </c>
      <c r="P725" t="n">
        <v>0</v>
      </c>
      <c r="Q725" t="n">
        <v>0</v>
      </c>
      <c r="R725" s="2" t="inlineStr"/>
    </row>
    <row r="726" ht="15" customHeight="1">
      <c r="A726" t="inlineStr">
        <is>
          <t>A 1763-2023</t>
        </is>
      </c>
      <c r="B726" s="1" t="n">
        <v>44938</v>
      </c>
      <c r="C726" s="1" t="n">
        <v>45637</v>
      </c>
      <c r="D726" t="inlineStr">
        <is>
          <t>VÄSTERBOTTENS LÄN</t>
        </is>
      </c>
      <c r="E726" t="inlineStr">
        <is>
          <t>VILHELMINA</t>
        </is>
      </c>
      <c r="G726" t="n">
        <v>69.3</v>
      </c>
      <c r="H726" t="n">
        <v>0</v>
      </c>
      <c r="I726" t="n">
        <v>0</v>
      </c>
      <c r="J726" t="n">
        <v>0</v>
      </c>
      <c r="K726" t="n">
        <v>0</v>
      </c>
      <c r="L726" t="n">
        <v>0</v>
      </c>
      <c r="M726" t="n">
        <v>0</v>
      </c>
      <c r="N726" t="n">
        <v>0</v>
      </c>
      <c r="O726" t="n">
        <v>0</v>
      </c>
      <c r="P726" t="n">
        <v>0</v>
      </c>
      <c r="Q726" t="n">
        <v>0</v>
      </c>
      <c r="R726" s="2" t="inlineStr"/>
    </row>
    <row r="727" ht="15" customHeight="1">
      <c r="A727" t="inlineStr">
        <is>
          <t>A 1766-2023</t>
        </is>
      </c>
      <c r="B727" s="1" t="n">
        <v>44938</v>
      </c>
      <c r="C727" s="1" t="n">
        <v>45637</v>
      </c>
      <c r="D727" t="inlineStr">
        <is>
          <t>VÄSTERBOTTENS LÄN</t>
        </is>
      </c>
      <c r="E727" t="inlineStr">
        <is>
          <t>VILHELMINA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2031-2023</t>
        </is>
      </c>
      <c r="B728" s="1" t="n">
        <v>44939</v>
      </c>
      <c r="C728" s="1" t="n">
        <v>45637</v>
      </c>
      <c r="D728" t="inlineStr">
        <is>
          <t>VÄSTERBOTTENS LÄN</t>
        </is>
      </c>
      <c r="E728" t="inlineStr">
        <is>
          <t>VILHELMINA</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2074-2023</t>
        </is>
      </c>
      <c r="B729" s="1" t="n">
        <v>44939</v>
      </c>
      <c r="C729" s="1" t="n">
        <v>45637</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2054-2023</t>
        </is>
      </c>
      <c r="B730" s="1" t="n">
        <v>44939</v>
      </c>
      <c r="C730" s="1" t="n">
        <v>45637</v>
      </c>
      <c r="D730" t="inlineStr">
        <is>
          <t>VÄSTERBOTTENS LÄN</t>
        </is>
      </c>
      <c r="E730" t="inlineStr">
        <is>
          <t>VILHELMINA</t>
        </is>
      </c>
      <c r="F730" t="inlineStr">
        <is>
          <t>Sveaskog</t>
        </is>
      </c>
      <c r="G730" t="n">
        <v>19.2</v>
      </c>
      <c r="H730" t="n">
        <v>0</v>
      </c>
      <c r="I730" t="n">
        <v>0</v>
      </c>
      <c r="J730" t="n">
        <v>0</v>
      </c>
      <c r="K730" t="n">
        <v>0</v>
      </c>
      <c r="L730" t="n">
        <v>0</v>
      </c>
      <c r="M730" t="n">
        <v>0</v>
      </c>
      <c r="N730" t="n">
        <v>0</v>
      </c>
      <c r="O730" t="n">
        <v>0</v>
      </c>
      <c r="P730" t="n">
        <v>0</v>
      </c>
      <c r="Q730" t="n">
        <v>0</v>
      </c>
      <c r="R730" s="2" t="inlineStr"/>
    </row>
    <row r="731" ht="15" customHeight="1">
      <c r="A731" t="inlineStr">
        <is>
          <t>A 2034-2023</t>
        </is>
      </c>
      <c r="B731" s="1" t="n">
        <v>44939</v>
      </c>
      <c r="C731" s="1" t="n">
        <v>45637</v>
      </c>
      <c r="D731" t="inlineStr">
        <is>
          <t>VÄSTERBOTTENS LÄN</t>
        </is>
      </c>
      <c r="E731" t="inlineStr">
        <is>
          <t>VILHELMINA</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2125-2023</t>
        </is>
      </c>
      <c r="B732" s="1" t="n">
        <v>44939</v>
      </c>
      <c r="C732" s="1" t="n">
        <v>45637</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2043-2023</t>
        </is>
      </c>
      <c r="B733" s="1" t="n">
        <v>44939</v>
      </c>
      <c r="C733" s="1" t="n">
        <v>45637</v>
      </c>
      <c r="D733" t="inlineStr">
        <is>
          <t>VÄSTERBOTTENS LÄN</t>
        </is>
      </c>
      <c r="E733" t="inlineStr">
        <is>
          <t>VILHELMINA</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2123-2023</t>
        </is>
      </c>
      <c r="B734" s="1" t="n">
        <v>44939</v>
      </c>
      <c r="C734" s="1" t="n">
        <v>45637</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2075-2023</t>
        </is>
      </c>
      <c r="B735" s="1" t="n">
        <v>44939</v>
      </c>
      <c r="C735" s="1" t="n">
        <v>45637</v>
      </c>
      <c r="D735" t="inlineStr">
        <is>
          <t>VÄSTERBOTTENS LÄN</t>
        </is>
      </c>
      <c r="E735" t="inlineStr">
        <is>
          <t>VILHELMINA</t>
        </is>
      </c>
      <c r="G735" t="n">
        <v>8</v>
      </c>
      <c r="H735" t="n">
        <v>0</v>
      </c>
      <c r="I735" t="n">
        <v>0</v>
      </c>
      <c r="J735" t="n">
        <v>0</v>
      </c>
      <c r="K735" t="n">
        <v>0</v>
      </c>
      <c r="L735" t="n">
        <v>0</v>
      </c>
      <c r="M735" t="n">
        <v>0</v>
      </c>
      <c r="N735" t="n">
        <v>0</v>
      </c>
      <c r="O735" t="n">
        <v>0</v>
      </c>
      <c r="P735" t="n">
        <v>0</v>
      </c>
      <c r="Q735" t="n">
        <v>0</v>
      </c>
      <c r="R735" s="2" t="inlineStr"/>
    </row>
    <row r="736" ht="15" customHeight="1">
      <c r="A736" t="inlineStr">
        <is>
          <t>A 2082-2023</t>
        </is>
      </c>
      <c r="B736" s="1" t="n">
        <v>44939</v>
      </c>
      <c r="C736" s="1" t="n">
        <v>45637</v>
      </c>
      <c r="D736" t="inlineStr">
        <is>
          <t>VÄSTERBOTTENS LÄN</t>
        </is>
      </c>
      <c r="E736" t="inlineStr">
        <is>
          <t>VILHELMINA</t>
        </is>
      </c>
      <c r="G736" t="n">
        <v>5.5</v>
      </c>
      <c r="H736" t="n">
        <v>0</v>
      </c>
      <c r="I736" t="n">
        <v>0</v>
      </c>
      <c r="J736" t="n">
        <v>0</v>
      </c>
      <c r="K736" t="n">
        <v>0</v>
      </c>
      <c r="L736" t="n">
        <v>0</v>
      </c>
      <c r="M736" t="n">
        <v>0</v>
      </c>
      <c r="N736" t="n">
        <v>0</v>
      </c>
      <c r="O736" t="n">
        <v>0</v>
      </c>
      <c r="P736" t="n">
        <v>0</v>
      </c>
      <c r="Q736" t="n">
        <v>0</v>
      </c>
      <c r="R736" s="2" t="inlineStr"/>
    </row>
    <row r="737" ht="15" customHeight="1">
      <c r="A737" t="inlineStr">
        <is>
          <t>A 2124-2023</t>
        </is>
      </c>
      <c r="B737" s="1" t="n">
        <v>44939</v>
      </c>
      <c r="C737" s="1" t="n">
        <v>45637</v>
      </c>
      <c r="D737" t="inlineStr">
        <is>
          <t>VÄSTERBOTTENS LÄN</t>
        </is>
      </c>
      <c r="E737" t="inlineStr">
        <is>
          <t>VILHELMINA</t>
        </is>
      </c>
      <c r="F737" t="inlineStr">
        <is>
          <t>SCA</t>
        </is>
      </c>
      <c r="G737" t="n">
        <v>28.8</v>
      </c>
      <c r="H737" t="n">
        <v>0</v>
      </c>
      <c r="I737" t="n">
        <v>0</v>
      </c>
      <c r="J737" t="n">
        <v>0</v>
      </c>
      <c r="K737" t="n">
        <v>0</v>
      </c>
      <c r="L737" t="n">
        <v>0</v>
      </c>
      <c r="M737" t="n">
        <v>0</v>
      </c>
      <c r="N737" t="n">
        <v>0</v>
      </c>
      <c r="O737" t="n">
        <v>0</v>
      </c>
      <c r="P737" t="n">
        <v>0</v>
      </c>
      <c r="Q737" t="n">
        <v>0</v>
      </c>
      <c r="R737" s="2" t="inlineStr"/>
    </row>
    <row r="738" ht="15" customHeight="1">
      <c r="A738" t="inlineStr">
        <is>
          <t>A 2122-2023</t>
        </is>
      </c>
      <c r="B738" s="1" t="n">
        <v>44939</v>
      </c>
      <c r="C738" s="1" t="n">
        <v>45637</v>
      </c>
      <c r="D738" t="inlineStr">
        <is>
          <t>VÄSTERBOTTENS LÄN</t>
        </is>
      </c>
      <c r="E738" t="inlineStr">
        <is>
          <t>VILHELMINA</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2126-2023</t>
        </is>
      </c>
      <c r="B739" s="1" t="n">
        <v>44939</v>
      </c>
      <c r="C739" s="1" t="n">
        <v>45637</v>
      </c>
      <c r="D739" t="inlineStr">
        <is>
          <t>VÄSTERBOTTENS LÄN</t>
        </is>
      </c>
      <c r="E739" t="inlineStr">
        <is>
          <t>VILHELMINA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2382-2023</t>
        </is>
      </c>
      <c r="B740" s="1" t="n">
        <v>44942</v>
      </c>
      <c r="C740" s="1" t="n">
        <v>45637</v>
      </c>
      <c r="D740" t="inlineStr">
        <is>
          <t>VÄSTERBOTTENS LÄN</t>
        </is>
      </c>
      <c r="E740" t="inlineStr">
        <is>
          <t>VILHELMINA</t>
        </is>
      </c>
      <c r="G740" t="n">
        <v>29.7</v>
      </c>
      <c r="H740" t="n">
        <v>0</v>
      </c>
      <c r="I740" t="n">
        <v>0</v>
      </c>
      <c r="J740" t="n">
        <v>0</v>
      </c>
      <c r="K740" t="n">
        <v>0</v>
      </c>
      <c r="L740" t="n">
        <v>0</v>
      </c>
      <c r="M740" t="n">
        <v>0</v>
      </c>
      <c r="N740" t="n">
        <v>0</v>
      </c>
      <c r="O740" t="n">
        <v>0</v>
      </c>
      <c r="P740" t="n">
        <v>0</v>
      </c>
      <c r="Q740" t="n">
        <v>0</v>
      </c>
      <c r="R740" s="2" t="inlineStr"/>
    </row>
    <row r="741" ht="15" customHeight="1">
      <c r="A741" t="inlineStr">
        <is>
          <t>A 2360-2023</t>
        </is>
      </c>
      <c r="B741" s="1" t="n">
        <v>44942</v>
      </c>
      <c r="C741" s="1" t="n">
        <v>45637</v>
      </c>
      <c r="D741" t="inlineStr">
        <is>
          <t>VÄSTERBOTTENS LÄN</t>
        </is>
      </c>
      <c r="E741" t="inlineStr">
        <is>
          <t>VILHELMINA</t>
        </is>
      </c>
      <c r="G741" t="n">
        <v>2.7</v>
      </c>
      <c r="H741" t="n">
        <v>0</v>
      </c>
      <c r="I741" t="n">
        <v>0</v>
      </c>
      <c r="J741" t="n">
        <v>0</v>
      </c>
      <c r="K741" t="n">
        <v>0</v>
      </c>
      <c r="L741" t="n">
        <v>0</v>
      </c>
      <c r="M741" t="n">
        <v>0</v>
      </c>
      <c r="N741" t="n">
        <v>0</v>
      </c>
      <c r="O741" t="n">
        <v>0</v>
      </c>
      <c r="P741" t="n">
        <v>0</v>
      </c>
      <c r="Q741" t="n">
        <v>0</v>
      </c>
      <c r="R741" s="2" t="inlineStr"/>
    </row>
    <row r="742" ht="15" customHeight="1">
      <c r="A742" t="inlineStr">
        <is>
          <t>A 2403-2023</t>
        </is>
      </c>
      <c r="B742" s="1" t="n">
        <v>44942</v>
      </c>
      <c r="C742" s="1" t="n">
        <v>45637</v>
      </c>
      <c r="D742" t="inlineStr">
        <is>
          <t>VÄSTERBOTTENS LÄN</t>
        </is>
      </c>
      <c r="E742" t="inlineStr">
        <is>
          <t>VILHELMINA</t>
        </is>
      </c>
      <c r="G742" t="n">
        <v>14.5</v>
      </c>
      <c r="H742" t="n">
        <v>0</v>
      </c>
      <c r="I742" t="n">
        <v>0</v>
      </c>
      <c r="J742" t="n">
        <v>0</v>
      </c>
      <c r="K742" t="n">
        <v>0</v>
      </c>
      <c r="L742" t="n">
        <v>0</v>
      </c>
      <c r="M742" t="n">
        <v>0</v>
      </c>
      <c r="N742" t="n">
        <v>0</v>
      </c>
      <c r="O742" t="n">
        <v>0</v>
      </c>
      <c r="P742" t="n">
        <v>0</v>
      </c>
      <c r="Q742" t="n">
        <v>0</v>
      </c>
      <c r="R742" s="2" t="inlineStr"/>
    </row>
    <row r="743" ht="15" customHeight="1">
      <c r="A743" t="inlineStr">
        <is>
          <t>A 2488-2023</t>
        </is>
      </c>
      <c r="B743" s="1" t="n">
        <v>44943</v>
      </c>
      <c r="C743" s="1" t="n">
        <v>45637</v>
      </c>
      <c r="D743" t="inlineStr">
        <is>
          <t>VÄSTERBOTTENS LÄN</t>
        </is>
      </c>
      <c r="E743" t="inlineStr">
        <is>
          <t>VILHELMINA</t>
        </is>
      </c>
      <c r="G743" t="n">
        <v>69.3</v>
      </c>
      <c r="H743" t="n">
        <v>0</v>
      </c>
      <c r="I743" t="n">
        <v>0</v>
      </c>
      <c r="J743" t="n">
        <v>0</v>
      </c>
      <c r="K743" t="n">
        <v>0</v>
      </c>
      <c r="L743" t="n">
        <v>0</v>
      </c>
      <c r="M743" t="n">
        <v>0</v>
      </c>
      <c r="N743" t="n">
        <v>0</v>
      </c>
      <c r="O743" t="n">
        <v>0</v>
      </c>
      <c r="P743" t="n">
        <v>0</v>
      </c>
      <c r="Q743" t="n">
        <v>0</v>
      </c>
      <c r="R743" s="2" t="inlineStr"/>
    </row>
    <row r="744" ht="15" customHeight="1">
      <c r="A744" t="inlineStr">
        <is>
          <t>A 2742-2023</t>
        </is>
      </c>
      <c r="B744" s="1" t="n">
        <v>44943</v>
      </c>
      <c r="C744" s="1" t="n">
        <v>45637</v>
      </c>
      <c r="D744" t="inlineStr">
        <is>
          <t>VÄSTERBOTTENS LÄN</t>
        </is>
      </c>
      <c r="E744" t="inlineStr">
        <is>
          <t>VILHELMINA</t>
        </is>
      </c>
      <c r="G744" t="n">
        <v>34.8</v>
      </c>
      <c r="H744" t="n">
        <v>0</v>
      </c>
      <c r="I744" t="n">
        <v>0</v>
      </c>
      <c r="J744" t="n">
        <v>0</v>
      </c>
      <c r="K744" t="n">
        <v>0</v>
      </c>
      <c r="L744" t="n">
        <v>0</v>
      </c>
      <c r="M744" t="n">
        <v>0</v>
      </c>
      <c r="N744" t="n">
        <v>0</v>
      </c>
      <c r="O744" t="n">
        <v>0</v>
      </c>
      <c r="P744" t="n">
        <v>0</v>
      </c>
      <c r="Q744" t="n">
        <v>0</v>
      </c>
      <c r="R744" s="2" t="inlineStr"/>
    </row>
    <row r="745" ht="15" customHeight="1">
      <c r="A745" t="inlineStr">
        <is>
          <t>A 2604-2023</t>
        </is>
      </c>
      <c r="B745" s="1" t="n">
        <v>44944</v>
      </c>
      <c r="C745" s="1" t="n">
        <v>45637</v>
      </c>
      <c r="D745" t="inlineStr">
        <is>
          <t>VÄSTERBOTTENS LÄN</t>
        </is>
      </c>
      <c r="E745" t="inlineStr">
        <is>
          <t>VILHELMINA</t>
        </is>
      </c>
      <c r="G745" t="n">
        <v>15.4</v>
      </c>
      <c r="H745" t="n">
        <v>0</v>
      </c>
      <c r="I745" t="n">
        <v>0</v>
      </c>
      <c r="J745" t="n">
        <v>0</v>
      </c>
      <c r="K745" t="n">
        <v>0</v>
      </c>
      <c r="L745" t="n">
        <v>0</v>
      </c>
      <c r="M745" t="n">
        <v>0</v>
      </c>
      <c r="N745" t="n">
        <v>0</v>
      </c>
      <c r="O745" t="n">
        <v>0</v>
      </c>
      <c r="P745" t="n">
        <v>0</v>
      </c>
      <c r="Q745" t="n">
        <v>0</v>
      </c>
      <c r="R745" s="2" t="inlineStr"/>
    </row>
    <row r="746" ht="15" customHeight="1">
      <c r="A746" t="inlineStr">
        <is>
          <t>A 2605-2023</t>
        </is>
      </c>
      <c r="B746" s="1" t="n">
        <v>44944</v>
      </c>
      <c r="C746" s="1" t="n">
        <v>45637</v>
      </c>
      <c r="D746" t="inlineStr">
        <is>
          <t>VÄSTERBOTTENS LÄN</t>
        </is>
      </c>
      <c r="E746" t="inlineStr">
        <is>
          <t>VILHELMINA</t>
        </is>
      </c>
      <c r="G746" t="n">
        <v>10.7</v>
      </c>
      <c r="H746" t="n">
        <v>0</v>
      </c>
      <c r="I746" t="n">
        <v>0</v>
      </c>
      <c r="J746" t="n">
        <v>0</v>
      </c>
      <c r="K746" t="n">
        <v>0</v>
      </c>
      <c r="L746" t="n">
        <v>0</v>
      </c>
      <c r="M746" t="n">
        <v>0</v>
      </c>
      <c r="N746" t="n">
        <v>0</v>
      </c>
      <c r="O746" t="n">
        <v>0</v>
      </c>
      <c r="P746" t="n">
        <v>0</v>
      </c>
      <c r="Q746" t="n">
        <v>0</v>
      </c>
      <c r="R746" s="2" t="inlineStr"/>
    </row>
    <row r="747" ht="15" customHeight="1">
      <c r="A747" t="inlineStr">
        <is>
          <t>A 2820-2023</t>
        </is>
      </c>
      <c r="B747" s="1" t="n">
        <v>44944</v>
      </c>
      <c r="C747" s="1" t="n">
        <v>45637</v>
      </c>
      <c r="D747" t="inlineStr">
        <is>
          <t>VÄSTERBOTTENS LÄN</t>
        </is>
      </c>
      <c r="E747" t="inlineStr">
        <is>
          <t>VILHELMINA</t>
        </is>
      </c>
      <c r="F747" t="inlineStr">
        <is>
          <t>SCA</t>
        </is>
      </c>
      <c r="G747" t="n">
        <v>11.9</v>
      </c>
      <c r="H747" t="n">
        <v>0</v>
      </c>
      <c r="I747" t="n">
        <v>0</v>
      </c>
      <c r="J747" t="n">
        <v>0</v>
      </c>
      <c r="K747" t="n">
        <v>0</v>
      </c>
      <c r="L747" t="n">
        <v>0</v>
      </c>
      <c r="M747" t="n">
        <v>0</v>
      </c>
      <c r="N747" t="n">
        <v>0</v>
      </c>
      <c r="O747" t="n">
        <v>0</v>
      </c>
      <c r="P747" t="n">
        <v>0</v>
      </c>
      <c r="Q747" t="n">
        <v>0</v>
      </c>
      <c r="R747" s="2" t="inlineStr"/>
    </row>
    <row r="748" ht="15" customHeight="1">
      <c r="A748" t="inlineStr">
        <is>
          <t>A 3393-2023</t>
        </is>
      </c>
      <c r="B748" s="1" t="n">
        <v>44945</v>
      </c>
      <c r="C748" s="1" t="n">
        <v>45637</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3745-2023</t>
        </is>
      </c>
      <c r="B749" s="1" t="n">
        <v>44949</v>
      </c>
      <c r="C749" s="1" t="n">
        <v>45637</v>
      </c>
      <c r="D749" t="inlineStr">
        <is>
          <t>VÄSTERBOTTENS LÄN</t>
        </is>
      </c>
      <c r="E749" t="inlineStr">
        <is>
          <t>VILHELMINA</t>
        </is>
      </c>
      <c r="G749" t="n">
        <v>36.6</v>
      </c>
      <c r="H749" t="n">
        <v>0</v>
      </c>
      <c r="I749" t="n">
        <v>0</v>
      </c>
      <c r="J749" t="n">
        <v>0</v>
      </c>
      <c r="K749" t="n">
        <v>0</v>
      </c>
      <c r="L749" t="n">
        <v>0</v>
      </c>
      <c r="M749" t="n">
        <v>0</v>
      </c>
      <c r="N749" t="n">
        <v>0</v>
      </c>
      <c r="O749" t="n">
        <v>0</v>
      </c>
      <c r="P749" t="n">
        <v>0</v>
      </c>
      <c r="Q749" t="n">
        <v>0</v>
      </c>
      <c r="R749" s="2" t="inlineStr"/>
    </row>
    <row r="750" ht="15" customHeight="1">
      <c r="A750" t="inlineStr">
        <is>
          <t>A 4344-2023</t>
        </is>
      </c>
      <c r="B750" s="1" t="n">
        <v>44954</v>
      </c>
      <c r="C750" s="1" t="n">
        <v>45637</v>
      </c>
      <c r="D750" t="inlineStr">
        <is>
          <t>VÄSTERBOTTENS LÄN</t>
        </is>
      </c>
      <c r="E750" t="inlineStr">
        <is>
          <t>VILHELMINA</t>
        </is>
      </c>
      <c r="F750" t="inlineStr">
        <is>
          <t>SCA</t>
        </is>
      </c>
      <c r="G750" t="n">
        <v>20.9</v>
      </c>
      <c r="H750" t="n">
        <v>0</v>
      </c>
      <c r="I750" t="n">
        <v>0</v>
      </c>
      <c r="J750" t="n">
        <v>0</v>
      </c>
      <c r="K750" t="n">
        <v>0</v>
      </c>
      <c r="L750" t="n">
        <v>0</v>
      </c>
      <c r="M750" t="n">
        <v>0</v>
      </c>
      <c r="N750" t="n">
        <v>0</v>
      </c>
      <c r="O750" t="n">
        <v>0</v>
      </c>
      <c r="P750" t="n">
        <v>0</v>
      </c>
      <c r="Q750" t="n">
        <v>0</v>
      </c>
      <c r="R750" s="2" t="inlineStr"/>
    </row>
    <row r="751" ht="15" customHeight="1">
      <c r="A751" t="inlineStr">
        <is>
          <t>A 4373-2023</t>
        </is>
      </c>
      <c r="B751" s="1" t="n">
        <v>44955</v>
      </c>
      <c r="C751" s="1" t="n">
        <v>45637</v>
      </c>
      <c r="D751" t="inlineStr">
        <is>
          <t>VÄSTERBOTTENS LÄN</t>
        </is>
      </c>
      <c r="E751" t="inlineStr">
        <is>
          <t>VILHELMINA</t>
        </is>
      </c>
      <c r="G751" t="n">
        <v>2.6</v>
      </c>
      <c r="H751" t="n">
        <v>0</v>
      </c>
      <c r="I751" t="n">
        <v>0</v>
      </c>
      <c r="J751" t="n">
        <v>0</v>
      </c>
      <c r="K751" t="n">
        <v>0</v>
      </c>
      <c r="L751" t="n">
        <v>0</v>
      </c>
      <c r="M751" t="n">
        <v>0</v>
      </c>
      <c r="N751" t="n">
        <v>0</v>
      </c>
      <c r="O751" t="n">
        <v>0</v>
      </c>
      <c r="P751" t="n">
        <v>0</v>
      </c>
      <c r="Q751" t="n">
        <v>0</v>
      </c>
      <c r="R751" s="2" t="inlineStr"/>
    </row>
    <row r="752" ht="15" customHeight="1">
      <c r="A752" t="inlineStr">
        <is>
          <t>A 4919-2023</t>
        </is>
      </c>
      <c r="B752" s="1" t="n">
        <v>44956</v>
      </c>
      <c r="C752" s="1" t="n">
        <v>45637</v>
      </c>
      <c r="D752" t="inlineStr">
        <is>
          <t>VÄSTERBOTTENS LÄN</t>
        </is>
      </c>
      <c r="E752" t="inlineStr">
        <is>
          <t>VILHELMINA</t>
        </is>
      </c>
      <c r="G752" t="n">
        <v>35</v>
      </c>
      <c r="H752" t="n">
        <v>0</v>
      </c>
      <c r="I752" t="n">
        <v>0</v>
      </c>
      <c r="J752" t="n">
        <v>0</v>
      </c>
      <c r="K752" t="n">
        <v>0</v>
      </c>
      <c r="L752" t="n">
        <v>0</v>
      </c>
      <c r="M752" t="n">
        <v>0</v>
      </c>
      <c r="N752" t="n">
        <v>0</v>
      </c>
      <c r="O752" t="n">
        <v>0</v>
      </c>
      <c r="P752" t="n">
        <v>0</v>
      </c>
      <c r="Q752" t="n">
        <v>0</v>
      </c>
      <c r="R752" s="2" t="inlineStr"/>
    </row>
    <row r="753" ht="15" customHeight="1">
      <c r="A753" t="inlineStr">
        <is>
          <t>A 5301-2023</t>
        </is>
      </c>
      <c r="B753" s="1" t="n">
        <v>44956</v>
      </c>
      <c r="C753" s="1" t="n">
        <v>45637</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5297-2023</t>
        </is>
      </c>
      <c r="B754" s="1" t="n">
        <v>44956</v>
      </c>
      <c r="C754" s="1" t="n">
        <v>45637</v>
      </c>
      <c r="D754" t="inlineStr">
        <is>
          <t>VÄSTERBOTTENS LÄN</t>
        </is>
      </c>
      <c r="E754" t="inlineStr">
        <is>
          <t>VILHELMINA</t>
        </is>
      </c>
      <c r="G754" t="n">
        <v>10.7</v>
      </c>
      <c r="H754" t="n">
        <v>0</v>
      </c>
      <c r="I754" t="n">
        <v>0</v>
      </c>
      <c r="J754" t="n">
        <v>0</v>
      </c>
      <c r="K754" t="n">
        <v>0</v>
      </c>
      <c r="L754" t="n">
        <v>0</v>
      </c>
      <c r="M754" t="n">
        <v>0</v>
      </c>
      <c r="N754" t="n">
        <v>0</v>
      </c>
      <c r="O754" t="n">
        <v>0</v>
      </c>
      <c r="P754" t="n">
        <v>0</v>
      </c>
      <c r="Q754" t="n">
        <v>0</v>
      </c>
      <c r="R754" s="2" t="inlineStr"/>
    </row>
    <row r="755" ht="15" customHeight="1">
      <c r="A755" t="inlineStr">
        <is>
          <t>A 4869-2023</t>
        </is>
      </c>
      <c r="B755" s="1" t="n">
        <v>44957</v>
      </c>
      <c r="C755" s="1" t="n">
        <v>45637</v>
      </c>
      <c r="D755" t="inlineStr">
        <is>
          <t>VÄSTERBOTTENS LÄN</t>
        </is>
      </c>
      <c r="E755" t="inlineStr">
        <is>
          <t>VILHELMINA</t>
        </is>
      </c>
      <c r="G755" t="n">
        <v>5.7</v>
      </c>
      <c r="H755" t="n">
        <v>0</v>
      </c>
      <c r="I755" t="n">
        <v>0</v>
      </c>
      <c r="J755" t="n">
        <v>0</v>
      </c>
      <c r="K755" t="n">
        <v>0</v>
      </c>
      <c r="L755" t="n">
        <v>0</v>
      </c>
      <c r="M755" t="n">
        <v>0</v>
      </c>
      <c r="N755" t="n">
        <v>0</v>
      </c>
      <c r="O755" t="n">
        <v>0</v>
      </c>
      <c r="P755" t="n">
        <v>0</v>
      </c>
      <c r="Q755" t="n">
        <v>0</v>
      </c>
      <c r="R755" s="2" t="inlineStr"/>
    </row>
    <row r="756" ht="15" customHeight="1">
      <c r="A756" t="inlineStr">
        <is>
          <t>A 5713-2023</t>
        </is>
      </c>
      <c r="B756" s="1" t="n">
        <v>44960</v>
      </c>
      <c r="C756" s="1" t="n">
        <v>45637</v>
      </c>
      <c r="D756" t="inlineStr">
        <is>
          <t>VÄSTERBOTTENS LÄN</t>
        </is>
      </c>
      <c r="E756" t="inlineStr">
        <is>
          <t>VILHELMINA</t>
        </is>
      </c>
      <c r="F756" t="inlineStr">
        <is>
          <t>SCA</t>
        </is>
      </c>
      <c r="G756" t="n">
        <v>33.2</v>
      </c>
      <c r="H756" t="n">
        <v>0</v>
      </c>
      <c r="I756" t="n">
        <v>0</v>
      </c>
      <c r="J756" t="n">
        <v>0</v>
      </c>
      <c r="K756" t="n">
        <v>0</v>
      </c>
      <c r="L756" t="n">
        <v>0</v>
      </c>
      <c r="M756" t="n">
        <v>0</v>
      </c>
      <c r="N756" t="n">
        <v>0</v>
      </c>
      <c r="O756" t="n">
        <v>0</v>
      </c>
      <c r="P756" t="n">
        <v>0</v>
      </c>
      <c r="Q756" t="n">
        <v>0</v>
      </c>
      <c r="R756" s="2" t="inlineStr"/>
    </row>
    <row r="757" ht="15" customHeight="1">
      <c r="A757" t="inlineStr">
        <is>
          <t>A 5697-2023</t>
        </is>
      </c>
      <c r="B757" s="1" t="n">
        <v>44960</v>
      </c>
      <c r="C757" s="1" t="n">
        <v>45637</v>
      </c>
      <c r="D757" t="inlineStr">
        <is>
          <t>VÄSTERBOTTENS LÄN</t>
        </is>
      </c>
      <c r="E757" t="inlineStr">
        <is>
          <t>VILHELMINA</t>
        </is>
      </c>
      <c r="F757" t="inlineStr">
        <is>
          <t>SCA</t>
        </is>
      </c>
      <c r="G757" t="n">
        <v>15.9</v>
      </c>
      <c r="H757" t="n">
        <v>0</v>
      </c>
      <c r="I757" t="n">
        <v>0</v>
      </c>
      <c r="J757" t="n">
        <v>0</v>
      </c>
      <c r="K757" t="n">
        <v>0</v>
      </c>
      <c r="L757" t="n">
        <v>0</v>
      </c>
      <c r="M757" t="n">
        <v>0</v>
      </c>
      <c r="N757" t="n">
        <v>0</v>
      </c>
      <c r="O757" t="n">
        <v>0</v>
      </c>
      <c r="P757" t="n">
        <v>0</v>
      </c>
      <c r="Q757" t="n">
        <v>0</v>
      </c>
      <c r="R757" s="2" t="inlineStr"/>
    </row>
    <row r="758" ht="15" customHeight="1">
      <c r="A758" t="inlineStr">
        <is>
          <t>A 5699-2023</t>
        </is>
      </c>
      <c r="B758" s="1" t="n">
        <v>44960</v>
      </c>
      <c r="C758" s="1" t="n">
        <v>45637</v>
      </c>
      <c r="D758" t="inlineStr">
        <is>
          <t>VÄSTERBOTTENS LÄN</t>
        </is>
      </c>
      <c r="E758" t="inlineStr">
        <is>
          <t>VILHELMINA</t>
        </is>
      </c>
      <c r="F758" t="inlineStr">
        <is>
          <t>SCA</t>
        </is>
      </c>
      <c r="G758" t="n">
        <v>104.8</v>
      </c>
      <c r="H758" t="n">
        <v>0</v>
      </c>
      <c r="I758" t="n">
        <v>0</v>
      </c>
      <c r="J758" t="n">
        <v>0</v>
      </c>
      <c r="K758" t="n">
        <v>0</v>
      </c>
      <c r="L758" t="n">
        <v>0</v>
      </c>
      <c r="M758" t="n">
        <v>0</v>
      </c>
      <c r="N758" t="n">
        <v>0</v>
      </c>
      <c r="O758" t="n">
        <v>0</v>
      </c>
      <c r="P758" t="n">
        <v>0</v>
      </c>
      <c r="Q758" t="n">
        <v>0</v>
      </c>
      <c r="R758" s="2" t="inlineStr"/>
    </row>
    <row r="759" ht="15" customHeight="1">
      <c r="A759" t="inlineStr">
        <is>
          <t>A 5712-2023</t>
        </is>
      </c>
      <c r="B759" s="1" t="n">
        <v>44960</v>
      </c>
      <c r="C759" s="1" t="n">
        <v>45637</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6616-2023</t>
        </is>
      </c>
      <c r="B760" s="1" t="n">
        <v>44960</v>
      </c>
      <c r="C760" s="1" t="n">
        <v>45637</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6610-2023</t>
        </is>
      </c>
      <c r="B761" s="1" t="n">
        <v>44960</v>
      </c>
      <c r="C761" s="1" t="n">
        <v>45637</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5955-2023</t>
        </is>
      </c>
      <c r="B762" s="1" t="n">
        <v>44963</v>
      </c>
      <c r="C762" s="1" t="n">
        <v>45637</v>
      </c>
      <c r="D762" t="inlineStr">
        <is>
          <t>VÄSTERBOTTENS LÄN</t>
        </is>
      </c>
      <c r="E762" t="inlineStr">
        <is>
          <t>VILHELMINA</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5947-2023</t>
        </is>
      </c>
      <c r="B763" s="1" t="n">
        <v>44963</v>
      </c>
      <c r="C763" s="1" t="n">
        <v>45637</v>
      </c>
      <c r="D763" t="inlineStr">
        <is>
          <t>VÄSTERBOTTENS LÄN</t>
        </is>
      </c>
      <c r="E763" t="inlineStr">
        <is>
          <t>VILHELMINA</t>
        </is>
      </c>
      <c r="G763" t="n">
        <v>4.3</v>
      </c>
      <c r="H763" t="n">
        <v>0</v>
      </c>
      <c r="I763" t="n">
        <v>0</v>
      </c>
      <c r="J763" t="n">
        <v>0</v>
      </c>
      <c r="K763" t="n">
        <v>0</v>
      </c>
      <c r="L763" t="n">
        <v>0</v>
      </c>
      <c r="M763" t="n">
        <v>0</v>
      </c>
      <c r="N763" t="n">
        <v>0</v>
      </c>
      <c r="O763" t="n">
        <v>0</v>
      </c>
      <c r="P763" t="n">
        <v>0</v>
      </c>
      <c r="Q763" t="n">
        <v>0</v>
      </c>
      <c r="R763" s="2" t="inlineStr"/>
    </row>
    <row r="764" ht="15" customHeight="1">
      <c r="A764" t="inlineStr">
        <is>
          <t>A 8215-2023</t>
        </is>
      </c>
      <c r="B764" s="1" t="n">
        <v>44971</v>
      </c>
      <c r="C764" s="1" t="n">
        <v>45637</v>
      </c>
      <c r="D764" t="inlineStr">
        <is>
          <t>VÄSTERBOTTENS LÄN</t>
        </is>
      </c>
      <c r="E764" t="inlineStr">
        <is>
          <t>VILHELMINA</t>
        </is>
      </c>
      <c r="G764" t="n">
        <v>0.8</v>
      </c>
      <c r="H764" t="n">
        <v>0</v>
      </c>
      <c r="I764" t="n">
        <v>0</v>
      </c>
      <c r="J764" t="n">
        <v>0</v>
      </c>
      <c r="K764" t="n">
        <v>0</v>
      </c>
      <c r="L764" t="n">
        <v>0</v>
      </c>
      <c r="M764" t="n">
        <v>0</v>
      </c>
      <c r="N764" t="n">
        <v>0</v>
      </c>
      <c r="O764" t="n">
        <v>0</v>
      </c>
      <c r="P764" t="n">
        <v>0</v>
      </c>
      <c r="Q764" t="n">
        <v>0</v>
      </c>
      <c r="R764" s="2" t="inlineStr"/>
    </row>
    <row r="765" ht="15" customHeight="1">
      <c r="A765" t="inlineStr">
        <is>
          <t>A 8555-2023</t>
        </is>
      </c>
      <c r="B765" s="1" t="n">
        <v>44972</v>
      </c>
      <c r="C765" s="1" t="n">
        <v>45637</v>
      </c>
      <c r="D765" t="inlineStr">
        <is>
          <t>VÄSTERBOTTENS LÄN</t>
        </is>
      </c>
      <c r="E765" t="inlineStr">
        <is>
          <t>VILHELMINA</t>
        </is>
      </c>
      <c r="F765" t="inlineStr">
        <is>
          <t>Allmännings- och besparingsskogar</t>
        </is>
      </c>
      <c r="G765" t="n">
        <v>37.9</v>
      </c>
      <c r="H765" t="n">
        <v>0</v>
      </c>
      <c r="I765" t="n">
        <v>0</v>
      </c>
      <c r="J765" t="n">
        <v>0</v>
      </c>
      <c r="K765" t="n">
        <v>0</v>
      </c>
      <c r="L765" t="n">
        <v>0</v>
      </c>
      <c r="M765" t="n">
        <v>0</v>
      </c>
      <c r="N765" t="n">
        <v>0</v>
      </c>
      <c r="O765" t="n">
        <v>0</v>
      </c>
      <c r="P765" t="n">
        <v>0</v>
      </c>
      <c r="Q765" t="n">
        <v>0</v>
      </c>
      <c r="R765" s="2" t="inlineStr"/>
    </row>
    <row r="766" ht="15" customHeight="1">
      <c r="A766" t="inlineStr">
        <is>
          <t>A 8745-2023</t>
        </is>
      </c>
      <c r="B766" s="1" t="n">
        <v>44972</v>
      </c>
      <c r="C766" s="1" t="n">
        <v>45637</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8759-2023</t>
        </is>
      </c>
      <c r="B767" s="1" t="n">
        <v>44972</v>
      </c>
      <c r="C767" s="1" t="n">
        <v>45637</v>
      </c>
      <c r="D767" t="inlineStr">
        <is>
          <t>VÄSTERBOTTENS LÄN</t>
        </is>
      </c>
      <c r="E767" t="inlineStr">
        <is>
          <t>VILHELMINA</t>
        </is>
      </c>
      <c r="F767" t="inlineStr">
        <is>
          <t>Allmännings- och besparingsskogar</t>
        </is>
      </c>
      <c r="G767" t="n">
        <v>23.4</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45637</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45637</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45637</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45637</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45637</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45637</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45637</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45637</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45637</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45637</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45637</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45637</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45637</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45637</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45637</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45637</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45637</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45637</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45637</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45637</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45637</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45637</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45637</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45637</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45637</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45637</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45637</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45637</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45637</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45637</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45637</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45637</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45637</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45637</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45637</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45637</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45637</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45637</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20090-2023</t>
        </is>
      </c>
      <c r="B806" s="1" t="n">
        <v>45054</v>
      </c>
      <c r="C806" s="1" t="n">
        <v>45637</v>
      </c>
      <c r="D806" t="inlineStr">
        <is>
          <t>VÄSTERBOTTENS LÄN</t>
        </is>
      </c>
      <c r="E806" t="inlineStr">
        <is>
          <t>VILHELMINA</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20454-2023</t>
        </is>
      </c>
      <c r="B807" s="1" t="n">
        <v>45056</v>
      </c>
      <c r="C807" s="1" t="n">
        <v>45637</v>
      </c>
      <c r="D807" t="inlineStr">
        <is>
          <t>VÄSTERBOTTENS LÄN</t>
        </is>
      </c>
      <c r="E807" t="inlineStr">
        <is>
          <t>VILHELMINA</t>
        </is>
      </c>
      <c r="G807" t="n">
        <v>5.5</v>
      </c>
      <c r="H807" t="n">
        <v>0</v>
      </c>
      <c r="I807" t="n">
        <v>0</v>
      </c>
      <c r="J807" t="n">
        <v>0</v>
      </c>
      <c r="K807" t="n">
        <v>0</v>
      </c>
      <c r="L807" t="n">
        <v>0</v>
      </c>
      <c r="M807" t="n">
        <v>0</v>
      </c>
      <c r="N807" t="n">
        <v>0</v>
      </c>
      <c r="O807" t="n">
        <v>0</v>
      </c>
      <c r="P807" t="n">
        <v>0</v>
      </c>
      <c r="Q807" t="n">
        <v>0</v>
      </c>
      <c r="R807" s="2" t="inlineStr"/>
    </row>
    <row r="808" ht="15" customHeight="1">
      <c r="A808" t="inlineStr">
        <is>
          <t>A 20455-2023</t>
        </is>
      </c>
      <c r="B808" s="1" t="n">
        <v>45056</v>
      </c>
      <c r="C808" s="1" t="n">
        <v>45637</v>
      </c>
      <c r="D808" t="inlineStr">
        <is>
          <t>VÄSTERBOTTENS LÄN</t>
        </is>
      </c>
      <c r="E808" t="inlineStr">
        <is>
          <t>VILHELMINA</t>
        </is>
      </c>
      <c r="G808" t="n">
        <v>3.1</v>
      </c>
      <c r="H808" t="n">
        <v>0</v>
      </c>
      <c r="I808" t="n">
        <v>0</v>
      </c>
      <c r="J808" t="n">
        <v>0</v>
      </c>
      <c r="K808" t="n">
        <v>0</v>
      </c>
      <c r="L808" t="n">
        <v>0</v>
      </c>
      <c r="M808" t="n">
        <v>0</v>
      </c>
      <c r="N808" t="n">
        <v>0</v>
      </c>
      <c r="O808" t="n">
        <v>0</v>
      </c>
      <c r="P808" t="n">
        <v>0</v>
      </c>
      <c r="Q808" t="n">
        <v>0</v>
      </c>
      <c r="R808" s="2" t="inlineStr"/>
    </row>
    <row r="809" ht="15" customHeight="1">
      <c r="A809" t="inlineStr">
        <is>
          <t>A 20595-2023</t>
        </is>
      </c>
      <c r="B809" s="1" t="n">
        <v>45057</v>
      </c>
      <c r="C809" s="1" t="n">
        <v>45637</v>
      </c>
      <c r="D809" t="inlineStr">
        <is>
          <t>VÄSTERBOTTENS LÄN</t>
        </is>
      </c>
      <c r="E809" t="inlineStr">
        <is>
          <t>VILHELMINA</t>
        </is>
      </c>
      <c r="F809" t="inlineStr">
        <is>
          <t>SCA</t>
        </is>
      </c>
      <c r="G809" t="n">
        <v>22.7</v>
      </c>
      <c r="H809" t="n">
        <v>0</v>
      </c>
      <c r="I809" t="n">
        <v>0</v>
      </c>
      <c r="J809" t="n">
        <v>0</v>
      </c>
      <c r="K809" t="n">
        <v>0</v>
      </c>
      <c r="L809" t="n">
        <v>0</v>
      </c>
      <c r="M809" t="n">
        <v>0</v>
      </c>
      <c r="N809" t="n">
        <v>0</v>
      </c>
      <c r="O809" t="n">
        <v>0</v>
      </c>
      <c r="P809" t="n">
        <v>0</v>
      </c>
      <c r="Q809" t="n">
        <v>0</v>
      </c>
      <c r="R809" s="2" t="inlineStr"/>
    </row>
    <row r="810" ht="15" customHeight="1">
      <c r="A810" t="inlineStr">
        <is>
          <t>A 21334-2023</t>
        </is>
      </c>
      <c r="B810" s="1" t="n">
        <v>45062</v>
      </c>
      <c r="C810" s="1" t="n">
        <v>45637</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24373-2023</t>
        </is>
      </c>
      <c r="B811" s="1" t="n">
        <v>45076</v>
      </c>
      <c r="C811" s="1" t="n">
        <v>45637</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24598-2023</t>
        </is>
      </c>
      <c r="B812" s="1" t="n">
        <v>45084</v>
      </c>
      <c r="C812" s="1" t="n">
        <v>45637</v>
      </c>
      <c r="D812" t="inlineStr">
        <is>
          <t>VÄSTERBOTTENS LÄN</t>
        </is>
      </c>
      <c r="E812" t="inlineStr">
        <is>
          <t>VILHELMINA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24828-2023</t>
        </is>
      </c>
      <c r="B813" s="1" t="n">
        <v>45084</v>
      </c>
      <c r="C813" s="1" t="n">
        <v>45637</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25313-2023</t>
        </is>
      </c>
      <c r="B814" s="1" t="n">
        <v>45087</v>
      </c>
      <c r="C814" s="1" t="n">
        <v>45637</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26553-2023</t>
        </is>
      </c>
      <c r="B815" s="1" t="n">
        <v>45089</v>
      </c>
      <c r="C815" s="1" t="n">
        <v>45637</v>
      </c>
      <c r="D815" t="inlineStr">
        <is>
          <t>VÄSTERBOTTENS LÄN</t>
        </is>
      </c>
      <c r="E815" t="inlineStr">
        <is>
          <t>VILHELMINA</t>
        </is>
      </c>
      <c r="G815" t="n">
        <v>5.5</v>
      </c>
      <c r="H815" t="n">
        <v>0</v>
      </c>
      <c r="I815" t="n">
        <v>0</v>
      </c>
      <c r="J815" t="n">
        <v>0</v>
      </c>
      <c r="K815" t="n">
        <v>0</v>
      </c>
      <c r="L815" t="n">
        <v>0</v>
      </c>
      <c r="M815" t="n">
        <v>0</v>
      </c>
      <c r="N815" t="n">
        <v>0</v>
      </c>
      <c r="O815" t="n">
        <v>0</v>
      </c>
      <c r="P815" t="n">
        <v>0</v>
      </c>
      <c r="Q815" t="n">
        <v>0</v>
      </c>
      <c r="R815" s="2" t="inlineStr"/>
    </row>
    <row r="816" ht="15" customHeight="1">
      <c r="A816" t="inlineStr">
        <is>
          <t>A 26564-2023</t>
        </is>
      </c>
      <c r="B816" s="1" t="n">
        <v>45089</v>
      </c>
      <c r="C816" s="1" t="n">
        <v>45637</v>
      </c>
      <c r="D816" t="inlineStr">
        <is>
          <t>VÄSTERBOTTENS LÄN</t>
        </is>
      </c>
      <c r="E816" t="inlineStr">
        <is>
          <t>VILHELMINA</t>
        </is>
      </c>
      <c r="G816" t="n">
        <v>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45637</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26000-2023</t>
        </is>
      </c>
      <c r="B818" s="1" t="n">
        <v>45090</v>
      </c>
      <c r="C818" s="1" t="n">
        <v>45637</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25997-2023</t>
        </is>
      </c>
      <c r="B819" s="1" t="n">
        <v>45090</v>
      </c>
      <c r="C819" s="1" t="n">
        <v>45637</v>
      </c>
      <c r="D819" t="inlineStr">
        <is>
          <t>VÄSTERBOTTENS LÄN</t>
        </is>
      </c>
      <c r="E819" t="inlineStr">
        <is>
          <t>VILHELMINA</t>
        </is>
      </c>
      <c r="G819" t="n">
        <v>7.8</v>
      </c>
      <c r="H819" t="n">
        <v>0</v>
      </c>
      <c r="I819" t="n">
        <v>0</v>
      </c>
      <c r="J819" t="n">
        <v>0</v>
      </c>
      <c r="K819" t="n">
        <v>0</v>
      </c>
      <c r="L819" t="n">
        <v>0</v>
      </c>
      <c r="M819" t="n">
        <v>0</v>
      </c>
      <c r="N819" t="n">
        <v>0</v>
      </c>
      <c r="O819" t="n">
        <v>0</v>
      </c>
      <c r="P819" t="n">
        <v>0</v>
      </c>
      <c r="Q819" t="n">
        <v>0</v>
      </c>
      <c r="R819" s="2" t="inlineStr"/>
    </row>
    <row r="820" ht="15" customHeight="1">
      <c r="A820" t="inlineStr">
        <is>
          <t>A 26657-2023</t>
        </is>
      </c>
      <c r="B820" s="1" t="n">
        <v>45092</v>
      </c>
      <c r="C820" s="1" t="n">
        <v>45637</v>
      </c>
      <c r="D820" t="inlineStr">
        <is>
          <t>VÄSTERBOTTENS LÄN</t>
        </is>
      </c>
      <c r="E820" t="inlineStr">
        <is>
          <t>VILHELMINA</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26663-2023</t>
        </is>
      </c>
      <c r="B821" s="1" t="n">
        <v>45093</v>
      </c>
      <c r="C821" s="1" t="n">
        <v>45637</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26656-2023</t>
        </is>
      </c>
      <c r="B822" s="1" t="n">
        <v>45092</v>
      </c>
      <c r="C822" s="1" t="n">
        <v>45637</v>
      </c>
      <c r="D822" t="inlineStr">
        <is>
          <t>VÄSTERBOTTENS LÄN</t>
        </is>
      </c>
      <c r="E822" t="inlineStr">
        <is>
          <t>VILHELMINA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27601-2023</t>
        </is>
      </c>
      <c r="B823" s="1" t="n">
        <v>45092</v>
      </c>
      <c r="C823" s="1" t="n">
        <v>45637</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26997-2023</t>
        </is>
      </c>
      <c r="B824" s="1" t="n">
        <v>45093</v>
      </c>
      <c r="C824" s="1" t="n">
        <v>45637</v>
      </c>
      <c r="D824" t="inlineStr">
        <is>
          <t>VÄSTERBOTTENS LÄN</t>
        </is>
      </c>
      <c r="E824" t="inlineStr">
        <is>
          <t>VILHELMINA</t>
        </is>
      </c>
      <c r="F824" t="inlineStr">
        <is>
          <t>SCA</t>
        </is>
      </c>
      <c r="G824" t="n">
        <v>9</v>
      </c>
      <c r="H824" t="n">
        <v>0</v>
      </c>
      <c r="I824" t="n">
        <v>0</v>
      </c>
      <c r="J824" t="n">
        <v>0</v>
      </c>
      <c r="K824" t="n">
        <v>0</v>
      </c>
      <c r="L824" t="n">
        <v>0</v>
      </c>
      <c r="M824" t="n">
        <v>0</v>
      </c>
      <c r="N824" t="n">
        <v>0</v>
      </c>
      <c r="O824" t="n">
        <v>0</v>
      </c>
      <c r="P824" t="n">
        <v>0</v>
      </c>
      <c r="Q824" t="n">
        <v>0</v>
      </c>
      <c r="R824" s="2" t="inlineStr"/>
    </row>
    <row r="825" ht="15" customHeight="1">
      <c r="A825" t="inlineStr">
        <is>
          <t>A 27763-2023</t>
        </is>
      </c>
      <c r="B825" s="1" t="n">
        <v>45093</v>
      </c>
      <c r="C825" s="1" t="n">
        <v>45637</v>
      </c>
      <c r="D825" t="inlineStr">
        <is>
          <t>VÄSTERBOTTENS LÄN</t>
        </is>
      </c>
      <c r="E825" t="inlineStr">
        <is>
          <t>VILHELMINA</t>
        </is>
      </c>
      <c r="G825" t="n">
        <v>21.5</v>
      </c>
      <c r="H825" t="n">
        <v>0</v>
      </c>
      <c r="I825" t="n">
        <v>0</v>
      </c>
      <c r="J825" t="n">
        <v>0</v>
      </c>
      <c r="K825" t="n">
        <v>0</v>
      </c>
      <c r="L825" t="n">
        <v>0</v>
      </c>
      <c r="M825" t="n">
        <v>0</v>
      </c>
      <c r="N825" t="n">
        <v>0</v>
      </c>
      <c r="O825" t="n">
        <v>0</v>
      </c>
      <c r="P825" t="n">
        <v>0</v>
      </c>
      <c r="Q825" t="n">
        <v>0</v>
      </c>
      <c r="R825" s="2" t="inlineStr"/>
    </row>
    <row r="826" ht="15" customHeight="1">
      <c r="A826" t="inlineStr">
        <is>
          <t>A 27357-2023</t>
        </is>
      </c>
      <c r="B826" s="1" t="n">
        <v>45096</v>
      </c>
      <c r="C826" s="1" t="n">
        <v>45637</v>
      </c>
      <c r="D826" t="inlineStr">
        <is>
          <t>VÄSTERBOTTENS LÄN</t>
        </is>
      </c>
      <c r="E826" t="inlineStr">
        <is>
          <t>VILHELMINA</t>
        </is>
      </c>
      <c r="G826" t="n">
        <v>3.1</v>
      </c>
      <c r="H826" t="n">
        <v>0</v>
      </c>
      <c r="I826" t="n">
        <v>0</v>
      </c>
      <c r="J826" t="n">
        <v>0</v>
      </c>
      <c r="K826" t="n">
        <v>0</v>
      </c>
      <c r="L826" t="n">
        <v>0</v>
      </c>
      <c r="M826" t="n">
        <v>0</v>
      </c>
      <c r="N826" t="n">
        <v>0</v>
      </c>
      <c r="O826" t="n">
        <v>0</v>
      </c>
      <c r="P826" t="n">
        <v>0</v>
      </c>
      <c r="Q826" t="n">
        <v>0</v>
      </c>
      <c r="R826" s="2" t="inlineStr"/>
    </row>
    <row r="827" ht="15" customHeight="1">
      <c r="A827" t="inlineStr">
        <is>
          <t>A 27355-2023</t>
        </is>
      </c>
      <c r="B827" s="1" t="n">
        <v>45096</v>
      </c>
      <c r="C827" s="1" t="n">
        <v>45637</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28011-2023</t>
        </is>
      </c>
      <c r="B828" s="1" t="n">
        <v>45098</v>
      </c>
      <c r="C828" s="1" t="n">
        <v>45637</v>
      </c>
      <c r="D828" t="inlineStr">
        <is>
          <t>VÄSTERBOTTENS LÄN</t>
        </is>
      </c>
      <c r="E828" t="inlineStr">
        <is>
          <t>VILHELMINA</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28380-2023</t>
        </is>
      </c>
      <c r="B829" s="1" t="n">
        <v>45099</v>
      </c>
      <c r="C829" s="1" t="n">
        <v>45637</v>
      </c>
      <c r="D829" t="inlineStr">
        <is>
          <t>VÄSTERBOTTENS LÄN</t>
        </is>
      </c>
      <c r="E829" t="inlineStr">
        <is>
          <t>VILHELMINA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28718-2023</t>
        </is>
      </c>
      <c r="B830" s="1" t="n">
        <v>45103</v>
      </c>
      <c r="C830" s="1" t="n">
        <v>45637</v>
      </c>
      <c r="D830" t="inlineStr">
        <is>
          <t>VÄSTERBOTTENS LÄN</t>
        </is>
      </c>
      <c r="E830" t="inlineStr">
        <is>
          <t>VILHELMINA</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28982-2023</t>
        </is>
      </c>
      <c r="B831" s="1" t="n">
        <v>45104</v>
      </c>
      <c r="C831" s="1" t="n">
        <v>45637</v>
      </c>
      <c r="D831" t="inlineStr">
        <is>
          <t>VÄSTERBOTTENS LÄN</t>
        </is>
      </c>
      <c r="E831" t="inlineStr">
        <is>
          <t>VILHELMINA</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28986-2023</t>
        </is>
      </c>
      <c r="B832" s="1" t="n">
        <v>45104</v>
      </c>
      <c r="C832" s="1" t="n">
        <v>45637</v>
      </c>
      <c r="D832" t="inlineStr">
        <is>
          <t>VÄSTERBOTTENS LÄN</t>
        </is>
      </c>
      <c r="E832" t="inlineStr">
        <is>
          <t>VILHELMINA</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28991-2023</t>
        </is>
      </c>
      <c r="B833" s="1" t="n">
        <v>45104</v>
      </c>
      <c r="C833" s="1" t="n">
        <v>45637</v>
      </c>
      <c r="D833" t="inlineStr">
        <is>
          <t>VÄSTERBOTTENS LÄN</t>
        </is>
      </c>
      <c r="E833" t="inlineStr">
        <is>
          <t>VILHELMINA</t>
        </is>
      </c>
      <c r="F833" t="inlineStr">
        <is>
          <t>Sveaskog</t>
        </is>
      </c>
      <c r="G833" t="n">
        <v>5.1</v>
      </c>
      <c r="H833" t="n">
        <v>0</v>
      </c>
      <c r="I833" t="n">
        <v>0</v>
      </c>
      <c r="J833" t="n">
        <v>0</v>
      </c>
      <c r="K833" t="n">
        <v>0</v>
      </c>
      <c r="L833" t="n">
        <v>0</v>
      </c>
      <c r="M833" t="n">
        <v>0</v>
      </c>
      <c r="N833" t="n">
        <v>0</v>
      </c>
      <c r="O833" t="n">
        <v>0</v>
      </c>
      <c r="P833" t="n">
        <v>0</v>
      </c>
      <c r="Q833" t="n">
        <v>0</v>
      </c>
      <c r="R833" s="2" t="inlineStr"/>
    </row>
    <row r="834" ht="15" customHeight="1">
      <c r="A834" t="inlineStr">
        <is>
          <t>A 28984-2023</t>
        </is>
      </c>
      <c r="B834" s="1" t="n">
        <v>45104</v>
      </c>
      <c r="C834" s="1" t="n">
        <v>45637</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29250-2023</t>
        </is>
      </c>
      <c r="B835" s="1" t="n">
        <v>45105</v>
      </c>
      <c r="C835" s="1" t="n">
        <v>45637</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29608-2023</t>
        </is>
      </c>
      <c r="B836" s="1" t="n">
        <v>45106</v>
      </c>
      <c r="C836" s="1" t="n">
        <v>45637</v>
      </c>
      <c r="D836" t="inlineStr">
        <is>
          <t>VÄSTERBOTTENS LÄN</t>
        </is>
      </c>
      <c r="E836" t="inlineStr">
        <is>
          <t>VILHELMINA</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29954-2023</t>
        </is>
      </c>
      <c r="B837" s="1" t="n">
        <v>45107</v>
      </c>
      <c r="C837" s="1" t="n">
        <v>45637</v>
      </c>
      <c r="D837" t="inlineStr">
        <is>
          <t>VÄSTERBOTTENS LÄN</t>
        </is>
      </c>
      <c r="E837" t="inlineStr">
        <is>
          <t>VILHELMINA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30846-2023</t>
        </is>
      </c>
      <c r="B838" s="1" t="n">
        <v>45112</v>
      </c>
      <c r="C838" s="1" t="n">
        <v>45637</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30847-2023</t>
        </is>
      </c>
      <c r="B839" s="1" t="n">
        <v>45112</v>
      </c>
      <c r="C839" s="1" t="n">
        <v>45637</v>
      </c>
      <c r="D839" t="inlineStr">
        <is>
          <t>VÄSTERBOTTENS LÄN</t>
        </is>
      </c>
      <c r="E839" t="inlineStr">
        <is>
          <t>VILHELMINA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30940-2023</t>
        </is>
      </c>
      <c r="B840" s="1" t="n">
        <v>45113</v>
      </c>
      <c r="C840" s="1" t="n">
        <v>45637</v>
      </c>
      <c r="D840" t="inlineStr">
        <is>
          <t>VÄSTERBOTTENS LÄN</t>
        </is>
      </c>
      <c r="E840" t="inlineStr">
        <is>
          <t>VILHELMINA</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30934-2023</t>
        </is>
      </c>
      <c r="B841" s="1" t="n">
        <v>45113</v>
      </c>
      <c r="C841" s="1" t="n">
        <v>45637</v>
      </c>
      <c r="D841" t="inlineStr">
        <is>
          <t>VÄSTERBOTTENS LÄN</t>
        </is>
      </c>
      <c r="E841" t="inlineStr">
        <is>
          <t>VILHELMINA</t>
        </is>
      </c>
      <c r="F841" t="inlineStr">
        <is>
          <t>Sveaskog</t>
        </is>
      </c>
      <c r="G841" t="n">
        <v>11.3</v>
      </c>
      <c r="H841" t="n">
        <v>0</v>
      </c>
      <c r="I841" t="n">
        <v>0</v>
      </c>
      <c r="J841" t="n">
        <v>0</v>
      </c>
      <c r="K841" t="n">
        <v>0</v>
      </c>
      <c r="L841" t="n">
        <v>0</v>
      </c>
      <c r="M841" t="n">
        <v>0</v>
      </c>
      <c r="N841" t="n">
        <v>0</v>
      </c>
      <c r="O841" t="n">
        <v>0</v>
      </c>
      <c r="P841" t="n">
        <v>0</v>
      </c>
      <c r="Q841" t="n">
        <v>0</v>
      </c>
      <c r="R841" s="2" t="inlineStr"/>
    </row>
    <row r="842" ht="15" customHeight="1">
      <c r="A842" t="inlineStr">
        <is>
          <t>A 31495-2023</t>
        </is>
      </c>
      <c r="B842" s="1" t="n">
        <v>45115</v>
      </c>
      <c r="C842" s="1" t="n">
        <v>45637</v>
      </c>
      <c r="D842" t="inlineStr">
        <is>
          <t>VÄSTERBOTTENS LÄN</t>
        </is>
      </c>
      <c r="E842" t="inlineStr">
        <is>
          <t>VILHELMINA</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31496-2023</t>
        </is>
      </c>
      <c r="B843" s="1" t="n">
        <v>45115</v>
      </c>
      <c r="C843" s="1" t="n">
        <v>45637</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33349-2023</t>
        </is>
      </c>
      <c r="B844" s="1" t="n">
        <v>45117</v>
      </c>
      <c r="C844" s="1" t="n">
        <v>45637</v>
      </c>
      <c r="D844" t="inlineStr">
        <is>
          <t>VÄSTERBOTTENS LÄN</t>
        </is>
      </c>
      <c r="E844" t="inlineStr">
        <is>
          <t>VILHELMINA</t>
        </is>
      </c>
      <c r="G844" t="n">
        <v>1.3</v>
      </c>
      <c r="H844" t="n">
        <v>0</v>
      </c>
      <c r="I844" t="n">
        <v>0</v>
      </c>
      <c r="J844" t="n">
        <v>0</v>
      </c>
      <c r="K844" t="n">
        <v>0</v>
      </c>
      <c r="L844" t="n">
        <v>0</v>
      </c>
      <c r="M844" t="n">
        <v>0</v>
      </c>
      <c r="N844" t="n">
        <v>0</v>
      </c>
      <c r="O844" t="n">
        <v>0</v>
      </c>
      <c r="P844" t="n">
        <v>0</v>
      </c>
      <c r="Q844" t="n">
        <v>0</v>
      </c>
      <c r="R844" s="2" t="inlineStr"/>
    </row>
    <row r="845" ht="15" customHeight="1">
      <c r="A845" t="inlineStr">
        <is>
          <t>A 33412-2023</t>
        </is>
      </c>
      <c r="B845" s="1" t="n">
        <v>45117</v>
      </c>
      <c r="C845" s="1" t="n">
        <v>45637</v>
      </c>
      <c r="D845" t="inlineStr">
        <is>
          <t>VÄSTERBOTTENS LÄN</t>
        </is>
      </c>
      <c r="E845" t="inlineStr">
        <is>
          <t>VILHELMINA</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33675-2023</t>
        </is>
      </c>
      <c r="B846" s="1" t="n">
        <v>45119</v>
      </c>
      <c r="C846" s="1" t="n">
        <v>45637</v>
      </c>
      <c r="D846" t="inlineStr">
        <is>
          <t>VÄSTERBOTTENS LÄN</t>
        </is>
      </c>
      <c r="E846" t="inlineStr">
        <is>
          <t>VILHELMINA</t>
        </is>
      </c>
      <c r="F846" t="inlineStr">
        <is>
          <t>Allmännings- och besparingsskogar</t>
        </is>
      </c>
      <c r="G846" t="n">
        <v>27.9</v>
      </c>
      <c r="H846" t="n">
        <v>0</v>
      </c>
      <c r="I846" t="n">
        <v>0</v>
      </c>
      <c r="J846" t="n">
        <v>0</v>
      </c>
      <c r="K846" t="n">
        <v>0</v>
      </c>
      <c r="L846" t="n">
        <v>0</v>
      </c>
      <c r="M846" t="n">
        <v>0</v>
      </c>
      <c r="N846" t="n">
        <v>0</v>
      </c>
      <c r="O846" t="n">
        <v>0</v>
      </c>
      <c r="P846" t="n">
        <v>0</v>
      </c>
      <c r="Q846" t="n">
        <v>0</v>
      </c>
      <c r="R846" s="2" t="inlineStr"/>
    </row>
    <row r="847" ht="15" customHeight="1">
      <c r="A847" t="inlineStr">
        <is>
          <t>A 33661-2023</t>
        </is>
      </c>
      <c r="B847" s="1" t="n">
        <v>45119</v>
      </c>
      <c r="C847" s="1" t="n">
        <v>45637</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33679-2023</t>
        </is>
      </c>
      <c r="B848" s="1" t="n">
        <v>45119</v>
      </c>
      <c r="C848" s="1" t="n">
        <v>45637</v>
      </c>
      <c r="D848" t="inlineStr">
        <is>
          <t>VÄSTERBOTTENS LÄN</t>
        </is>
      </c>
      <c r="E848" t="inlineStr">
        <is>
          <t>VILHELMINA</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34074-2023</t>
        </is>
      </c>
      <c r="B849" s="1" t="n">
        <v>45125</v>
      </c>
      <c r="C849" s="1" t="n">
        <v>45637</v>
      </c>
      <c r="D849" t="inlineStr">
        <is>
          <t>VÄSTERBOTTENS LÄN</t>
        </is>
      </c>
      <c r="E849" t="inlineStr">
        <is>
          <t>VILHELMINA</t>
        </is>
      </c>
      <c r="G849" t="n">
        <v>4.6</v>
      </c>
      <c r="H849" t="n">
        <v>0</v>
      </c>
      <c r="I849" t="n">
        <v>0</v>
      </c>
      <c r="J849" t="n">
        <v>0</v>
      </c>
      <c r="K849" t="n">
        <v>0</v>
      </c>
      <c r="L849" t="n">
        <v>0</v>
      </c>
      <c r="M849" t="n">
        <v>0</v>
      </c>
      <c r="N849" t="n">
        <v>0</v>
      </c>
      <c r="O849" t="n">
        <v>0</v>
      </c>
      <c r="P849" t="n">
        <v>0</v>
      </c>
      <c r="Q849" t="n">
        <v>0</v>
      </c>
      <c r="R849" s="2" t="inlineStr"/>
    </row>
    <row r="850" ht="15" customHeight="1">
      <c r="A850" t="inlineStr">
        <is>
          <t>A 34087-2023</t>
        </is>
      </c>
      <c r="B850" s="1" t="n">
        <v>45125</v>
      </c>
      <c r="C850" s="1" t="n">
        <v>45637</v>
      </c>
      <c r="D850" t="inlineStr">
        <is>
          <t>VÄSTERBOTTENS LÄN</t>
        </is>
      </c>
      <c r="E850" t="inlineStr">
        <is>
          <t>VILHELMINA</t>
        </is>
      </c>
      <c r="G850" t="n">
        <v>13.2</v>
      </c>
      <c r="H850" t="n">
        <v>0</v>
      </c>
      <c r="I850" t="n">
        <v>0</v>
      </c>
      <c r="J850" t="n">
        <v>0</v>
      </c>
      <c r="K850" t="n">
        <v>0</v>
      </c>
      <c r="L850" t="n">
        <v>0</v>
      </c>
      <c r="M850" t="n">
        <v>0</v>
      </c>
      <c r="N850" t="n">
        <v>0</v>
      </c>
      <c r="O850" t="n">
        <v>0</v>
      </c>
      <c r="P850" t="n">
        <v>0</v>
      </c>
      <c r="Q850" t="n">
        <v>0</v>
      </c>
      <c r="R850" s="2" t="inlineStr"/>
    </row>
    <row r="851" ht="15" customHeight="1">
      <c r="A851" t="inlineStr">
        <is>
          <t>A 34799-2023</t>
        </is>
      </c>
      <c r="B851" s="1" t="n">
        <v>45140</v>
      </c>
      <c r="C851" s="1" t="n">
        <v>45637</v>
      </c>
      <c r="D851" t="inlineStr">
        <is>
          <t>VÄSTERBOTTENS LÄN</t>
        </is>
      </c>
      <c r="E851" t="inlineStr">
        <is>
          <t>VILHELMINA</t>
        </is>
      </c>
      <c r="G851" t="n">
        <v>17.4</v>
      </c>
      <c r="H851" t="n">
        <v>0</v>
      </c>
      <c r="I851" t="n">
        <v>0</v>
      </c>
      <c r="J851" t="n">
        <v>0</v>
      </c>
      <c r="K851" t="n">
        <v>0</v>
      </c>
      <c r="L851" t="n">
        <v>0</v>
      </c>
      <c r="M851" t="n">
        <v>0</v>
      </c>
      <c r="N851" t="n">
        <v>0</v>
      </c>
      <c r="O851" t="n">
        <v>0</v>
      </c>
      <c r="P851" t="n">
        <v>0</v>
      </c>
      <c r="Q851" t="n">
        <v>0</v>
      </c>
      <c r="R851" s="2" t="inlineStr"/>
    </row>
    <row r="852" ht="15" customHeight="1">
      <c r="A852" t="inlineStr">
        <is>
          <t>A 34807-2023</t>
        </is>
      </c>
      <c r="B852" s="1" t="n">
        <v>45140</v>
      </c>
      <c r="C852" s="1" t="n">
        <v>45637</v>
      </c>
      <c r="D852" t="inlineStr">
        <is>
          <t>VÄSTERBOTTENS LÄN</t>
        </is>
      </c>
      <c r="E852" t="inlineStr">
        <is>
          <t>VILHELMINA</t>
        </is>
      </c>
      <c r="G852" t="n">
        <v>8.1</v>
      </c>
      <c r="H852" t="n">
        <v>0</v>
      </c>
      <c r="I852" t="n">
        <v>0</v>
      </c>
      <c r="J852" t="n">
        <v>0</v>
      </c>
      <c r="K852" t="n">
        <v>0</v>
      </c>
      <c r="L852" t="n">
        <v>0</v>
      </c>
      <c r="M852" t="n">
        <v>0</v>
      </c>
      <c r="N852" t="n">
        <v>0</v>
      </c>
      <c r="O852" t="n">
        <v>0</v>
      </c>
      <c r="P852" t="n">
        <v>0</v>
      </c>
      <c r="Q852" t="n">
        <v>0</v>
      </c>
      <c r="R852" s="2" t="inlineStr"/>
    </row>
    <row r="853" ht="15" customHeight="1">
      <c r="A853" t="inlineStr">
        <is>
          <t>A 34809-2023</t>
        </is>
      </c>
      <c r="B853" s="1" t="n">
        <v>45140</v>
      </c>
      <c r="C853" s="1" t="n">
        <v>45637</v>
      </c>
      <c r="D853" t="inlineStr">
        <is>
          <t>VÄSTERBOTTENS LÄN</t>
        </is>
      </c>
      <c r="E853" t="inlineStr">
        <is>
          <t>VILHELMINA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34805-2023</t>
        </is>
      </c>
      <c r="B854" s="1" t="n">
        <v>45140</v>
      </c>
      <c r="C854" s="1" t="n">
        <v>45637</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35006-2023</t>
        </is>
      </c>
      <c r="B855" s="1" t="n">
        <v>45143</v>
      </c>
      <c r="C855" s="1" t="n">
        <v>45637</v>
      </c>
      <c r="D855" t="inlineStr">
        <is>
          <t>VÄSTERBOTTENS LÄN</t>
        </is>
      </c>
      <c r="E855" t="inlineStr">
        <is>
          <t>VILHELMINA</t>
        </is>
      </c>
      <c r="F855" t="inlineStr">
        <is>
          <t>SCA</t>
        </is>
      </c>
      <c r="G855" t="n">
        <v>11.6</v>
      </c>
      <c r="H855" t="n">
        <v>0</v>
      </c>
      <c r="I855" t="n">
        <v>0</v>
      </c>
      <c r="J855" t="n">
        <v>0</v>
      </c>
      <c r="K855" t="n">
        <v>0</v>
      </c>
      <c r="L855" t="n">
        <v>0</v>
      </c>
      <c r="M855" t="n">
        <v>0</v>
      </c>
      <c r="N855" t="n">
        <v>0</v>
      </c>
      <c r="O855" t="n">
        <v>0</v>
      </c>
      <c r="P855" t="n">
        <v>0</v>
      </c>
      <c r="Q855" t="n">
        <v>0</v>
      </c>
      <c r="R855" s="2" t="inlineStr"/>
    </row>
    <row r="856" ht="15" customHeight="1">
      <c r="A856" t="inlineStr">
        <is>
          <t>A 35018-2023</t>
        </is>
      </c>
      <c r="B856" s="1" t="n">
        <v>45142</v>
      </c>
      <c r="C856" s="1" t="n">
        <v>45637</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35289-2023</t>
        </is>
      </c>
      <c r="B857" s="1" t="n">
        <v>45145</v>
      </c>
      <c r="C857" s="1" t="n">
        <v>45637</v>
      </c>
      <c r="D857" t="inlineStr">
        <is>
          <t>VÄSTERBOTTENS LÄN</t>
        </is>
      </c>
      <c r="E857" t="inlineStr">
        <is>
          <t>VILHELMINA</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35758-2023</t>
        </is>
      </c>
      <c r="B858" s="1" t="n">
        <v>45148</v>
      </c>
      <c r="C858" s="1" t="n">
        <v>45637</v>
      </c>
      <c r="D858" t="inlineStr">
        <is>
          <t>VÄSTERBOTTENS LÄN</t>
        </is>
      </c>
      <c r="E858" t="inlineStr">
        <is>
          <t>VILHELMINA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35755-2023</t>
        </is>
      </c>
      <c r="B859" s="1" t="n">
        <v>45148</v>
      </c>
      <c r="C859" s="1" t="n">
        <v>45637</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35759-2023</t>
        </is>
      </c>
      <c r="B860" s="1" t="n">
        <v>45147</v>
      </c>
      <c r="C860" s="1" t="n">
        <v>45637</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35752-2023</t>
        </is>
      </c>
      <c r="B861" s="1" t="n">
        <v>45147</v>
      </c>
      <c r="C861" s="1" t="n">
        <v>45637</v>
      </c>
      <c r="D861" t="inlineStr">
        <is>
          <t>VÄSTERBOTTENS LÄN</t>
        </is>
      </c>
      <c r="E861" t="inlineStr">
        <is>
          <t>VILHELMINA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35756-2023</t>
        </is>
      </c>
      <c r="B862" s="1" t="n">
        <v>45148</v>
      </c>
      <c r="C862" s="1" t="n">
        <v>45637</v>
      </c>
      <c r="D862" t="inlineStr">
        <is>
          <t>VÄSTERBOTTENS LÄN</t>
        </is>
      </c>
      <c r="E862" t="inlineStr">
        <is>
          <t>VILHELMINA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35760-2023</t>
        </is>
      </c>
      <c r="B863" s="1" t="n">
        <v>45147</v>
      </c>
      <c r="C863" s="1" t="n">
        <v>45637</v>
      </c>
      <c r="D863" t="inlineStr">
        <is>
          <t>VÄSTERBOTTENS LÄN</t>
        </is>
      </c>
      <c r="E863" t="inlineStr">
        <is>
          <t>VILHELMINA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35753-2023</t>
        </is>
      </c>
      <c r="B864" s="1" t="n">
        <v>45148</v>
      </c>
      <c r="C864" s="1" t="n">
        <v>45637</v>
      </c>
      <c r="D864" t="inlineStr">
        <is>
          <t>VÄSTERBOTTENS LÄN</t>
        </is>
      </c>
      <c r="E864" t="inlineStr">
        <is>
          <t>VILHELMINA</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35757-2023</t>
        </is>
      </c>
      <c r="B865" s="1" t="n">
        <v>45148</v>
      </c>
      <c r="C865" s="1" t="n">
        <v>45637</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35968-2023</t>
        </is>
      </c>
      <c r="B866" s="1" t="n">
        <v>45149</v>
      </c>
      <c r="C866" s="1" t="n">
        <v>45637</v>
      </c>
      <c r="D866" t="inlineStr">
        <is>
          <t>VÄSTERBOTTENS LÄN</t>
        </is>
      </c>
      <c r="E866" t="inlineStr">
        <is>
          <t>VILHELMINA</t>
        </is>
      </c>
      <c r="G866" t="n">
        <v>0.8</v>
      </c>
      <c r="H866" t="n">
        <v>0</v>
      </c>
      <c r="I866" t="n">
        <v>0</v>
      </c>
      <c r="J866" t="n">
        <v>0</v>
      </c>
      <c r="K866" t="n">
        <v>0</v>
      </c>
      <c r="L866" t="n">
        <v>0</v>
      </c>
      <c r="M866" t="n">
        <v>0</v>
      </c>
      <c r="N866" t="n">
        <v>0</v>
      </c>
      <c r="O866" t="n">
        <v>0</v>
      </c>
      <c r="P866" t="n">
        <v>0</v>
      </c>
      <c r="Q866" t="n">
        <v>0</v>
      </c>
      <c r="R866" s="2" t="inlineStr"/>
    </row>
    <row r="867" ht="15" customHeight="1">
      <c r="A867" t="inlineStr">
        <is>
          <t>A 35984-2023</t>
        </is>
      </c>
      <c r="B867" s="1" t="n">
        <v>45149</v>
      </c>
      <c r="C867" s="1" t="n">
        <v>45637</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35983-2023</t>
        </is>
      </c>
      <c r="B868" s="1" t="n">
        <v>45149</v>
      </c>
      <c r="C868" s="1" t="n">
        <v>45637</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35985-2023</t>
        </is>
      </c>
      <c r="B869" s="1" t="n">
        <v>45148</v>
      </c>
      <c r="C869" s="1" t="n">
        <v>45637</v>
      </c>
      <c r="D869" t="inlineStr">
        <is>
          <t>VÄSTERBOTTENS LÄN</t>
        </is>
      </c>
      <c r="E869" t="inlineStr">
        <is>
          <t>VILHELMINA</t>
        </is>
      </c>
      <c r="F869" t="inlineStr">
        <is>
          <t>SCA</t>
        </is>
      </c>
      <c r="G869" t="n">
        <v>43.8</v>
      </c>
      <c r="H869" t="n">
        <v>0</v>
      </c>
      <c r="I869" t="n">
        <v>0</v>
      </c>
      <c r="J869" t="n">
        <v>0</v>
      </c>
      <c r="K869" t="n">
        <v>0</v>
      </c>
      <c r="L869" t="n">
        <v>0</v>
      </c>
      <c r="M869" t="n">
        <v>0</v>
      </c>
      <c r="N869" t="n">
        <v>0</v>
      </c>
      <c r="O869" t="n">
        <v>0</v>
      </c>
      <c r="P869" t="n">
        <v>0</v>
      </c>
      <c r="Q869" t="n">
        <v>0</v>
      </c>
      <c r="R869" s="2" t="inlineStr"/>
    </row>
    <row r="870" ht="15" customHeight="1">
      <c r="A870" t="inlineStr">
        <is>
          <t>A 36214-2023</t>
        </is>
      </c>
      <c r="B870" s="1" t="n">
        <v>45150</v>
      </c>
      <c r="C870" s="1" t="n">
        <v>45637</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36219-2023</t>
        </is>
      </c>
      <c r="B871" s="1" t="n">
        <v>45150</v>
      </c>
      <c r="C871" s="1" t="n">
        <v>45637</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36215-2023</t>
        </is>
      </c>
      <c r="B872" s="1" t="n">
        <v>45150</v>
      </c>
      <c r="C872" s="1" t="n">
        <v>45637</v>
      </c>
      <c r="D872" t="inlineStr">
        <is>
          <t>VÄSTERBOTTENS LÄN</t>
        </is>
      </c>
      <c r="E872" t="inlineStr">
        <is>
          <t>VILHELMINA</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36216-2023</t>
        </is>
      </c>
      <c r="B873" s="1" t="n">
        <v>45150</v>
      </c>
      <c r="C873" s="1" t="n">
        <v>45637</v>
      </c>
      <c r="D873" t="inlineStr">
        <is>
          <t>VÄSTERBOTTENS LÄN</t>
        </is>
      </c>
      <c r="E873" t="inlineStr">
        <is>
          <t>VILHELMINA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36221-2023</t>
        </is>
      </c>
      <c r="B874" s="1" t="n">
        <v>45150</v>
      </c>
      <c r="C874" s="1" t="n">
        <v>45637</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36217-2023</t>
        </is>
      </c>
      <c r="B875" s="1" t="n">
        <v>45150</v>
      </c>
      <c r="C875" s="1" t="n">
        <v>45637</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36408-2023</t>
        </is>
      </c>
      <c r="B876" s="1" t="n">
        <v>45152</v>
      </c>
      <c r="C876" s="1" t="n">
        <v>45637</v>
      </c>
      <c r="D876" t="inlineStr">
        <is>
          <t>VÄSTERBOTTENS LÄN</t>
        </is>
      </c>
      <c r="E876" t="inlineStr">
        <is>
          <t>VILHELMINA</t>
        </is>
      </c>
      <c r="G876" t="n">
        <v>4.4</v>
      </c>
      <c r="H876" t="n">
        <v>0</v>
      </c>
      <c r="I876" t="n">
        <v>0</v>
      </c>
      <c r="J876" t="n">
        <v>0</v>
      </c>
      <c r="K876" t="n">
        <v>0</v>
      </c>
      <c r="L876" t="n">
        <v>0</v>
      </c>
      <c r="M876" t="n">
        <v>0</v>
      </c>
      <c r="N876" t="n">
        <v>0</v>
      </c>
      <c r="O876" t="n">
        <v>0</v>
      </c>
      <c r="P876" t="n">
        <v>0</v>
      </c>
      <c r="Q876" t="n">
        <v>0</v>
      </c>
      <c r="R876" s="2" t="inlineStr"/>
    </row>
    <row r="877" ht="15" customHeight="1">
      <c r="A877" t="inlineStr">
        <is>
          <t>A 36376-2023</t>
        </is>
      </c>
      <c r="B877" s="1" t="n">
        <v>45152</v>
      </c>
      <c r="C877" s="1" t="n">
        <v>45637</v>
      </c>
      <c r="D877" t="inlineStr">
        <is>
          <t>VÄSTERBOTTENS LÄN</t>
        </is>
      </c>
      <c r="E877" t="inlineStr">
        <is>
          <t>VILHELMINA</t>
        </is>
      </c>
      <c r="G877" t="n">
        <v>12.7</v>
      </c>
      <c r="H877" t="n">
        <v>0</v>
      </c>
      <c r="I877" t="n">
        <v>0</v>
      </c>
      <c r="J877" t="n">
        <v>0</v>
      </c>
      <c r="K877" t="n">
        <v>0</v>
      </c>
      <c r="L877" t="n">
        <v>0</v>
      </c>
      <c r="M877" t="n">
        <v>0</v>
      </c>
      <c r="N877" t="n">
        <v>0</v>
      </c>
      <c r="O877" t="n">
        <v>0</v>
      </c>
      <c r="P877" t="n">
        <v>0</v>
      </c>
      <c r="Q877" t="n">
        <v>0</v>
      </c>
      <c r="R877" s="2" t="inlineStr"/>
    </row>
    <row r="878" ht="15" customHeight="1">
      <c r="A878" t="inlineStr">
        <is>
          <t>A 36957-2023</t>
        </is>
      </c>
      <c r="B878" s="1" t="n">
        <v>45155</v>
      </c>
      <c r="C878" s="1" t="n">
        <v>45637</v>
      </c>
      <c r="D878" t="inlineStr">
        <is>
          <t>VÄSTERBOTTENS LÄN</t>
        </is>
      </c>
      <c r="E878" t="inlineStr">
        <is>
          <t>VILHELMINA</t>
        </is>
      </c>
      <c r="G878" t="n">
        <v>0.5</v>
      </c>
      <c r="H878" t="n">
        <v>0</v>
      </c>
      <c r="I878" t="n">
        <v>0</v>
      </c>
      <c r="J878" t="n">
        <v>0</v>
      </c>
      <c r="K878" t="n">
        <v>0</v>
      </c>
      <c r="L878" t="n">
        <v>0</v>
      </c>
      <c r="M878" t="n">
        <v>0</v>
      </c>
      <c r="N878" t="n">
        <v>0</v>
      </c>
      <c r="O878" t="n">
        <v>0</v>
      </c>
      <c r="P878" t="n">
        <v>0</v>
      </c>
      <c r="Q878" t="n">
        <v>0</v>
      </c>
      <c r="R878" s="2" t="inlineStr"/>
    </row>
    <row r="879" ht="15" customHeight="1">
      <c r="A879" t="inlineStr">
        <is>
          <t>A 36972-2023</t>
        </is>
      </c>
      <c r="B879" s="1" t="n">
        <v>45154</v>
      </c>
      <c r="C879" s="1" t="n">
        <v>45637</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36996-2023</t>
        </is>
      </c>
      <c r="B880" s="1" t="n">
        <v>45155</v>
      </c>
      <c r="C880" s="1" t="n">
        <v>45637</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36995-2023</t>
        </is>
      </c>
      <c r="B881" s="1" t="n">
        <v>45154</v>
      </c>
      <c r="C881" s="1" t="n">
        <v>45637</v>
      </c>
      <c r="D881" t="inlineStr">
        <is>
          <t>VÄSTERBOTTENS LÄN</t>
        </is>
      </c>
      <c r="E881" t="inlineStr">
        <is>
          <t>VILHELMINA</t>
        </is>
      </c>
      <c r="F881" t="inlineStr">
        <is>
          <t>SCA</t>
        </is>
      </c>
      <c r="G881" t="n">
        <v>31.7</v>
      </c>
      <c r="H881" t="n">
        <v>0</v>
      </c>
      <c r="I881" t="n">
        <v>0</v>
      </c>
      <c r="J881" t="n">
        <v>0</v>
      </c>
      <c r="K881" t="n">
        <v>0</v>
      </c>
      <c r="L881" t="n">
        <v>0</v>
      </c>
      <c r="M881" t="n">
        <v>0</v>
      </c>
      <c r="N881" t="n">
        <v>0</v>
      </c>
      <c r="O881" t="n">
        <v>0</v>
      </c>
      <c r="P881" t="n">
        <v>0</v>
      </c>
      <c r="Q881" t="n">
        <v>0</v>
      </c>
      <c r="R881" s="2" t="inlineStr"/>
    </row>
    <row r="882" ht="15" customHeight="1">
      <c r="A882" t="inlineStr">
        <is>
          <t>A 37413-2023</t>
        </is>
      </c>
      <c r="B882" s="1" t="n">
        <v>45155</v>
      </c>
      <c r="C882" s="1" t="n">
        <v>45637</v>
      </c>
      <c r="D882" t="inlineStr">
        <is>
          <t>VÄSTERBOTTENS LÄN</t>
        </is>
      </c>
      <c r="E882" t="inlineStr">
        <is>
          <t>VILHELMINA</t>
        </is>
      </c>
      <c r="G882" t="n">
        <v>12.3</v>
      </c>
      <c r="H882" t="n">
        <v>0</v>
      </c>
      <c r="I882" t="n">
        <v>0</v>
      </c>
      <c r="J882" t="n">
        <v>0</v>
      </c>
      <c r="K882" t="n">
        <v>0</v>
      </c>
      <c r="L882" t="n">
        <v>0</v>
      </c>
      <c r="M882" t="n">
        <v>0</v>
      </c>
      <c r="N882" t="n">
        <v>0</v>
      </c>
      <c r="O882" t="n">
        <v>0</v>
      </c>
      <c r="P882" t="n">
        <v>0</v>
      </c>
      <c r="Q882" t="n">
        <v>0</v>
      </c>
      <c r="R882" s="2" t="inlineStr"/>
    </row>
    <row r="883" ht="15" customHeight="1">
      <c r="A883" t="inlineStr">
        <is>
          <t>A 37406-2023</t>
        </is>
      </c>
      <c r="B883" s="1" t="n">
        <v>45155</v>
      </c>
      <c r="C883" s="1" t="n">
        <v>45637</v>
      </c>
      <c r="D883" t="inlineStr">
        <is>
          <t>VÄSTERBOTTENS LÄN</t>
        </is>
      </c>
      <c r="E883" t="inlineStr">
        <is>
          <t>VILHELMINA</t>
        </is>
      </c>
      <c r="G883" t="n">
        <v>13.2</v>
      </c>
      <c r="H883" t="n">
        <v>0</v>
      </c>
      <c r="I883" t="n">
        <v>0</v>
      </c>
      <c r="J883" t="n">
        <v>0</v>
      </c>
      <c r="K883" t="n">
        <v>0</v>
      </c>
      <c r="L883" t="n">
        <v>0</v>
      </c>
      <c r="M883" t="n">
        <v>0</v>
      </c>
      <c r="N883" t="n">
        <v>0</v>
      </c>
      <c r="O883" t="n">
        <v>0</v>
      </c>
      <c r="P883" t="n">
        <v>0</v>
      </c>
      <c r="Q883" t="n">
        <v>0</v>
      </c>
      <c r="R883" s="2" t="inlineStr"/>
    </row>
    <row r="884" ht="15" customHeight="1">
      <c r="A884" t="inlineStr">
        <is>
          <t>A 37773-2023</t>
        </is>
      </c>
      <c r="B884" s="1" t="n">
        <v>45156</v>
      </c>
      <c r="C884" s="1" t="n">
        <v>45637</v>
      </c>
      <c r="D884" t="inlineStr">
        <is>
          <t>VÄSTERBOTTENS LÄN</t>
        </is>
      </c>
      <c r="E884" t="inlineStr">
        <is>
          <t>VILHELMINA</t>
        </is>
      </c>
      <c r="G884" t="n">
        <v>6.5</v>
      </c>
      <c r="H884" t="n">
        <v>0</v>
      </c>
      <c r="I884" t="n">
        <v>0</v>
      </c>
      <c r="J884" t="n">
        <v>0</v>
      </c>
      <c r="K884" t="n">
        <v>0</v>
      </c>
      <c r="L884" t="n">
        <v>0</v>
      </c>
      <c r="M884" t="n">
        <v>0</v>
      </c>
      <c r="N884" t="n">
        <v>0</v>
      </c>
      <c r="O884" t="n">
        <v>0</v>
      </c>
      <c r="P884" t="n">
        <v>0</v>
      </c>
      <c r="Q884" t="n">
        <v>0</v>
      </c>
      <c r="R884" s="2" t="inlineStr"/>
    </row>
    <row r="885" ht="15" customHeight="1">
      <c r="A885" t="inlineStr">
        <is>
          <t>A 37505-2023</t>
        </is>
      </c>
      <c r="B885" s="1" t="n">
        <v>45158</v>
      </c>
      <c r="C885" s="1" t="n">
        <v>45637</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37937-2023</t>
        </is>
      </c>
      <c r="B886" s="1" t="n">
        <v>45159</v>
      </c>
      <c r="C886" s="1" t="n">
        <v>45637</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38363-2023</t>
        </is>
      </c>
      <c r="B887" s="1" t="n">
        <v>45161</v>
      </c>
      <c r="C887" s="1" t="n">
        <v>45637</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38364-2023</t>
        </is>
      </c>
      <c r="B888" s="1" t="n">
        <v>45161</v>
      </c>
      <c r="C888" s="1" t="n">
        <v>45637</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38361-2023</t>
        </is>
      </c>
      <c r="B889" s="1" t="n">
        <v>45162</v>
      </c>
      <c r="C889" s="1" t="n">
        <v>45637</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38829-2023</t>
        </is>
      </c>
      <c r="B890" s="1" t="n">
        <v>45161</v>
      </c>
      <c r="C890" s="1" t="n">
        <v>45637</v>
      </c>
      <c r="D890" t="inlineStr">
        <is>
          <t>VÄSTERBOTTENS LÄN</t>
        </is>
      </c>
      <c r="E890" t="inlineStr">
        <is>
          <t>VILHELMINA</t>
        </is>
      </c>
      <c r="G890" t="n">
        <v>9.9</v>
      </c>
      <c r="H890" t="n">
        <v>0</v>
      </c>
      <c r="I890" t="n">
        <v>0</v>
      </c>
      <c r="J890" t="n">
        <v>0</v>
      </c>
      <c r="K890" t="n">
        <v>0</v>
      </c>
      <c r="L890" t="n">
        <v>0</v>
      </c>
      <c r="M890" t="n">
        <v>0</v>
      </c>
      <c r="N890" t="n">
        <v>0</v>
      </c>
      <c r="O890" t="n">
        <v>0</v>
      </c>
      <c r="P890" t="n">
        <v>0</v>
      </c>
      <c r="Q890" t="n">
        <v>0</v>
      </c>
      <c r="R890" s="2" t="inlineStr"/>
    </row>
    <row r="891" ht="15" customHeight="1">
      <c r="A891" t="inlineStr">
        <is>
          <t>A 38674-2023</t>
        </is>
      </c>
      <c r="B891" s="1" t="n">
        <v>45163</v>
      </c>
      <c r="C891" s="1" t="n">
        <v>45637</v>
      </c>
      <c r="D891" t="inlineStr">
        <is>
          <t>VÄSTERBOTTENS LÄN</t>
        </is>
      </c>
      <c r="E891" t="inlineStr">
        <is>
          <t>VILHELMINA</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39914-2023</t>
        </is>
      </c>
      <c r="B892" s="1" t="n">
        <v>45166</v>
      </c>
      <c r="C892" s="1" t="n">
        <v>45637</v>
      </c>
      <c r="D892" t="inlineStr">
        <is>
          <t>VÄSTERBOTTENS LÄN</t>
        </is>
      </c>
      <c r="E892" t="inlineStr">
        <is>
          <t>VILHELMINA</t>
        </is>
      </c>
      <c r="G892" t="n">
        <v>27.5</v>
      </c>
      <c r="H892" t="n">
        <v>0</v>
      </c>
      <c r="I892" t="n">
        <v>0</v>
      </c>
      <c r="J892" t="n">
        <v>0</v>
      </c>
      <c r="K892" t="n">
        <v>0</v>
      </c>
      <c r="L892" t="n">
        <v>0</v>
      </c>
      <c r="M892" t="n">
        <v>0</v>
      </c>
      <c r="N892" t="n">
        <v>0</v>
      </c>
      <c r="O892" t="n">
        <v>0</v>
      </c>
      <c r="P892" t="n">
        <v>0</v>
      </c>
      <c r="Q892" t="n">
        <v>0</v>
      </c>
      <c r="R892" s="2" t="inlineStr"/>
    </row>
    <row r="893" ht="15" customHeight="1">
      <c r="A893" t="inlineStr">
        <is>
          <t>A 40431-2023</t>
        </is>
      </c>
      <c r="B893" s="1" t="n">
        <v>45170</v>
      </c>
      <c r="C893" s="1" t="n">
        <v>45637</v>
      </c>
      <c r="D893" t="inlineStr">
        <is>
          <t>VÄSTERBOTTENS LÄN</t>
        </is>
      </c>
      <c r="E893" t="inlineStr">
        <is>
          <t>VILHELMINA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40426-2023</t>
        </is>
      </c>
      <c r="B894" s="1" t="n">
        <v>45169</v>
      </c>
      <c r="C894" s="1" t="n">
        <v>45637</v>
      </c>
      <c r="D894" t="inlineStr">
        <is>
          <t>VÄSTERBOTTENS LÄN</t>
        </is>
      </c>
      <c r="E894" t="inlineStr">
        <is>
          <t>VILHELMINA</t>
        </is>
      </c>
      <c r="F894" t="inlineStr">
        <is>
          <t>SCA</t>
        </is>
      </c>
      <c r="G894" t="n">
        <v>12.6</v>
      </c>
      <c r="H894" t="n">
        <v>0</v>
      </c>
      <c r="I894" t="n">
        <v>0</v>
      </c>
      <c r="J894" t="n">
        <v>0</v>
      </c>
      <c r="K894" t="n">
        <v>0</v>
      </c>
      <c r="L894" t="n">
        <v>0</v>
      </c>
      <c r="M894" t="n">
        <v>0</v>
      </c>
      <c r="N894" t="n">
        <v>0</v>
      </c>
      <c r="O894" t="n">
        <v>0</v>
      </c>
      <c r="P894" t="n">
        <v>0</v>
      </c>
      <c r="Q894" t="n">
        <v>0</v>
      </c>
      <c r="R894" s="2" t="inlineStr"/>
    </row>
    <row r="895" ht="15" customHeight="1">
      <c r="A895" t="inlineStr">
        <is>
          <t>A 40649-2023</t>
        </is>
      </c>
      <c r="B895" s="1" t="n">
        <v>45170</v>
      </c>
      <c r="C895" s="1" t="n">
        <v>45637</v>
      </c>
      <c r="D895" t="inlineStr">
        <is>
          <t>VÄSTERBOTTENS LÄN</t>
        </is>
      </c>
      <c r="E895" t="inlineStr">
        <is>
          <t>VILHELMINA</t>
        </is>
      </c>
      <c r="G895" t="n">
        <v>18.5</v>
      </c>
      <c r="H895" t="n">
        <v>0</v>
      </c>
      <c r="I895" t="n">
        <v>0</v>
      </c>
      <c r="J895" t="n">
        <v>0</v>
      </c>
      <c r="K895" t="n">
        <v>0</v>
      </c>
      <c r="L895" t="n">
        <v>0</v>
      </c>
      <c r="M895" t="n">
        <v>0</v>
      </c>
      <c r="N895" t="n">
        <v>0</v>
      </c>
      <c r="O895" t="n">
        <v>0</v>
      </c>
      <c r="P895" t="n">
        <v>0</v>
      </c>
      <c r="Q895" t="n">
        <v>0</v>
      </c>
      <c r="R895" s="2" t="inlineStr"/>
    </row>
    <row r="896" ht="15" customHeight="1">
      <c r="A896" t="inlineStr">
        <is>
          <t>A 40785-2023</t>
        </is>
      </c>
      <c r="B896" s="1" t="n">
        <v>45171</v>
      </c>
      <c r="C896" s="1" t="n">
        <v>45637</v>
      </c>
      <c r="D896" t="inlineStr">
        <is>
          <t>VÄSTERBOTTENS LÄN</t>
        </is>
      </c>
      <c r="E896" t="inlineStr">
        <is>
          <t>VILHELMINA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40781-2023</t>
        </is>
      </c>
      <c r="B897" s="1" t="n">
        <v>45171</v>
      </c>
      <c r="C897" s="1" t="n">
        <v>45637</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40782-2023</t>
        </is>
      </c>
      <c r="B898" s="1" t="n">
        <v>45171</v>
      </c>
      <c r="C898" s="1" t="n">
        <v>45637</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40783-2023</t>
        </is>
      </c>
      <c r="B899" s="1" t="n">
        <v>45171</v>
      </c>
      <c r="C899" s="1" t="n">
        <v>45637</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40787-2023</t>
        </is>
      </c>
      <c r="B900" s="1" t="n">
        <v>45171</v>
      </c>
      <c r="C900" s="1" t="n">
        <v>45637</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40784-2023</t>
        </is>
      </c>
      <c r="B901" s="1" t="n">
        <v>45171</v>
      </c>
      <c r="C901" s="1" t="n">
        <v>45637</v>
      </c>
      <c r="D901" t="inlineStr">
        <is>
          <t>VÄSTERBOTTENS LÄN</t>
        </is>
      </c>
      <c r="E901" t="inlineStr">
        <is>
          <t>VILHELMINA</t>
        </is>
      </c>
      <c r="F901" t="inlineStr">
        <is>
          <t>SCA</t>
        </is>
      </c>
      <c r="G901" t="n">
        <v>9.1</v>
      </c>
      <c r="H901" t="n">
        <v>0</v>
      </c>
      <c r="I901" t="n">
        <v>0</v>
      </c>
      <c r="J901" t="n">
        <v>0</v>
      </c>
      <c r="K901" t="n">
        <v>0</v>
      </c>
      <c r="L901" t="n">
        <v>0</v>
      </c>
      <c r="M901" t="n">
        <v>0</v>
      </c>
      <c r="N901" t="n">
        <v>0</v>
      </c>
      <c r="O901" t="n">
        <v>0</v>
      </c>
      <c r="P901" t="n">
        <v>0</v>
      </c>
      <c r="Q901" t="n">
        <v>0</v>
      </c>
      <c r="R901" s="2" t="inlineStr"/>
    </row>
    <row r="902" ht="15" customHeight="1">
      <c r="A902" t="inlineStr">
        <is>
          <t>A 40780-2023</t>
        </is>
      </c>
      <c r="B902" s="1" t="n">
        <v>45170</v>
      </c>
      <c r="C902" s="1" t="n">
        <v>45637</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40908-2023</t>
        </is>
      </c>
      <c r="B903" s="1" t="n">
        <v>45173</v>
      </c>
      <c r="C903" s="1" t="n">
        <v>45637</v>
      </c>
      <c r="D903" t="inlineStr">
        <is>
          <t>VÄSTERBOTTENS LÄN</t>
        </is>
      </c>
      <c r="E903" t="inlineStr">
        <is>
          <t>VILHELMINA</t>
        </is>
      </c>
      <c r="G903" t="n">
        <v>3.3</v>
      </c>
      <c r="H903" t="n">
        <v>0</v>
      </c>
      <c r="I903" t="n">
        <v>0</v>
      </c>
      <c r="J903" t="n">
        <v>0</v>
      </c>
      <c r="K903" t="n">
        <v>0</v>
      </c>
      <c r="L903" t="n">
        <v>0</v>
      </c>
      <c r="M903" t="n">
        <v>0</v>
      </c>
      <c r="N903" t="n">
        <v>0</v>
      </c>
      <c r="O903" t="n">
        <v>0</v>
      </c>
      <c r="P903" t="n">
        <v>0</v>
      </c>
      <c r="Q903" t="n">
        <v>0</v>
      </c>
      <c r="R903" s="2" t="inlineStr"/>
    </row>
    <row r="904" ht="15" customHeight="1">
      <c r="A904" t="inlineStr">
        <is>
          <t>A 41931-2023</t>
        </is>
      </c>
      <c r="B904" s="1" t="n">
        <v>45177</v>
      </c>
      <c r="C904" s="1" t="n">
        <v>45637</v>
      </c>
      <c r="D904" t="inlineStr">
        <is>
          <t>VÄSTERBOTTENS LÄN</t>
        </is>
      </c>
      <c r="E904" t="inlineStr">
        <is>
          <t>VILHELMINA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41930-2023</t>
        </is>
      </c>
      <c r="B905" s="1" t="n">
        <v>45177</v>
      </c>
      <c r="C905" s="1" t="n">
        <v>45637</v>
      </c>
      <c r="D905" t="inlineStr">
        <is>
          <t>VÄSTERBOTTENS LÄN</t>
        </is>
      </c>
      <c r="E905" t="inlineStr">
        <is>
          <t>VILHELMINA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41932-2023</t>
        </is>
      </c>
      <c r="B906" s="1" t="n">
        <v>45177</v>
      </c>
      <c r="C906" s="1" t="n">
        <v>45637</v>
      </c>
      <c r="D906" t="inlineStr">
        <is>
          <t>VÄSTERBOTTENS LÄN</t>
        </is>
      </c>
      <c r="E906" t="inlineStr">
        <is>
          <t>VILHELMINA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43637-2023</t>
        </is>
      </c>
      <c r="B907" s="1" t="n">
        <v>45186</v>
      </c>
      <c r="C907" s="1" t="n">
        <v>45637</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43948-2023</t>
        </is>
      </c>
      <c r="B908" s="1" t="n">
        <v>45187</v>
      </c>
      <c r="C908" s="1" t="n">
        <v>45637</v>
      </c>
      <c r="D908" t="inlineStr">
        <is>
          <t>VÄSTERBOTTENS LÄN</t>
        </is>
      </c>
      <c r="E908" t="inlineStr">
        <is>
          <t>VILHELMINA</t>
        </is>
      </c>
      <c r="G908" t="n">
        <v>3.7</v>
      </c>
      <c r="H908" t="n">
        <v>0</v>
      </c>
      <c r="I908" t="n">
        <v>0</v>
      </c>
      <c r="J908" t="n">
        <v>0</v>
      </c>
      <c r="K908" t="n">
        <v>0</v>
      </c>
      <c r="L908" t="n">
        <v>0</v>
      </c>
      <c r="M908" t="n">
        <v>0</v>
      </c>
      <c r="N908" t="n">
        <v>0</v>
      </c>
      <c r="O908" t="n">
        <v>0</v>
      </c>
      <c r="P908" t="n">
        <v>0</v>
      </c>
      <c r="Q908" t="n">
        <v>0</v>
      </c>
      <c r="R908" s="2" t="inlineStr"/>
    </row>
    <row r="909" ht="15" customHeight="1">
      <c r="A909" t="inlineStr">
        <is>
          <t>A 45219-2023</t>
        </is>
      </c>
      <c r="B909" s="1" t="n">
        <v>45187</v>
      </c>
      <c r="C909" s="1" t="n">
        <v>45637</v>
      </c>
      <c r="D909" t="inlineStr">
        <is>
          <t>VÄSTERBOTTENS LÄN</t>
        </is>
      </c>
      <c r="E909" t="inlineStr">
        <is>
          <t>VILHELMINA</t>
        </is>
      </c>
      <c r="G909" t="n">
        <v>10.6</v>
      </c>
      <c r="H909" t="n">
        <v>0</v>
      </c>
      <c r="I909" t="n">
        <v>0</v>
      </c>
      <c r="J909" t="n">
        <v>0</v>
      </c>
      <c r="K909" t="n">
        <v>0</v>
      </c>
      <c r="L909" t="n">
        <v>0</v>
      </c>
      <c r="M909" t="n">
        <v>0</v>
      </c>
      <c r="N909" t="n">
        <v>0</v>
      </c>
      <c r="O909" t="n">
        <v>0</v>
      </c>
      <c r="P909" t="n">
        <v>0</v>
      </c>
      <c r="Q909" t="n">
        <v>0</v>
      </c>
      <c r="R909" s="2" t="inlineStr"/>
    </row>
    <row r="910" ht="15" customHeight="1">
      <c r="A910" t="inlineStr">
        <is>
          <t>A 43990-2023</t>
        </is>
      </c>
      <c r="B910" s="1" t="n">
        <v>45188</v>
      </c>
      <c r="C910" s="1" t="n">
        <v>45637</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45215-2023</t>
        </is>
      </c>
      <c r="B911" s="1" t="n">
        <v>45187</v>
      </c>
      <c r="C911" s="1" t="n">
        <v>45637</v>
      </c>
      <c r="D911" t="inlineStr">
        <is>
          <t>VÄSTERBOTTENS LÄN</t>
        </is>
      </c>
      <c r="E911" t="inlineStr">
        <is>
          <t>VILHELMINA</t>
        </is>
      </c>
      <c r="F911" t="inlineStr">
        <is>
          <t>Kommuner</t>
        </is>
      </c>
      <c r="G911" t="n">
        <v>8.6</v>
      </c>
      <c r="H911" t="n">
        <v>0</v>
      </c>
      <c r="I911" t="n">
        <v>0</v>
      </c>
      <c r="J911" t="n">
        <v>0</v>
      </c>
      <c r="K911" t="n">
        <v>0</v>
      </c>
      <c r="L911" t="n">
        <v>0</v>
      </c>
      <c r="M911" t="n">
        <v>0</v>
      </c>
      <c r="N911" t="n">
        <v>0</v>
      </c>
      <c r="O911" t="n">
        <v>0</v>
      </c>
      <c r="P911" t="n">
        <v>0</v>
      </c>
      <c r="Q911" t="n">
        <v>0</v>
      </c>
      <c r="R911" s="2" t="inlineStr"/>
    </row>
    <row r="912" ht="15" customHeight="1">
      <c r="A912" t="inlineStr">
        <is>
          <t>A 44371-2023</t>
        </is>
      </c>
      <c r="B912" s="1" t="n">
        <v>45188</v>
      </c>
      <c r="C912" s="1" t="n">
        <v>45637</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44601-2023</t>
        </is>
      </c>
      <c r="B913" s="1" t="n">
        <v>45189</v>
      </c>
      <c r="C913" s="1" t="n">
        <v>45637</v>
      </c>
      <c r="D913" t="inlineStr">
        <is>
          <t>VÄSTERBOTTENS LÄN</t>
        </is>
      </c>
      <c r="E913" t="inlineStr">
        <is>
          <t>VILHELMINA</t>
        </is>
      </c>
      <c r="F913" t="inlineStr">
        <is>
          <t>Kommuner</t>
        </is>
      </c>
      <c r="G913" t="n">
        <v>16.5</v>
      </c>
      <c r="H913" t="n">
        <v>0</v>
      </c>
      <c r="I913" t="n">
        <v>0</v>
      </c>
      <c r="J913" t="n">
        <v>0</v>
      </c>
      <c r="K913" t="n">
        <v>0</v>
      </c>
      <c r="L913" t="n">
        <v>0</v>
      </c>
      <c r="M913" t="n">
        <v>0</v>
      </c>
      <c r="N913" t="n">
        <v>0</v>
      </c>
      <c r="O913" t="n">
        <v>0</v>
      </c>
      <c r="P913" t="n">
        <v>0</v>
      </c>
      <c r="Q913" t="n">
        <v>0</v>
      </c>
      <c r="R913" s="2" t="inlineStr"/>
    </row>
    <row r="914" ht="15" customHeight="1">
      <c r="A914" t="inlineStr">
        <is>
          <t>A 44695-2023</t>
        </is>
      </c>
      <c r="B914" s="1" t="n">
        <v>45190</v>
      </c>
      <c r="C914" s="1" t="n">
        <v>45637</v>
      </c>
      <c r="D914" t="inlineStr">
        <is>
          <t>VÄSTERBOTTENS LÄN</t>
        </is>
      </c>
      <c r="E914" t="inlineStr">
        <is>
          <t>VILHELMINA</t>
        </is>
      </c>
      <c r="G914" t="n">
        <v>15.6</v>
      </c>
      <c r="H914" t="n">
        <v>0</v>
      </c>
      <c r="I914" t="n">
        <v>0</v>
      </c>
      <c r="J914" t="n">
        <v>0</v>
      </c>
      <c r="K914" t="n">
        <v>0</v>
      </c>
      <c r="L914" t="n">
        <v>0</v>
      </c>
      <c r="M914" t="n">
        <v>0</v>
      </c>
      <c r="N914" t="n">
        <v>0</v>
      </c>
      <c r="O914" t="n">
        <v>0</v>
      </c>
      <c r="P914" t="n">
        <v>0</v>
      </c>
      <c r="Q914" t="n">
        <v>0</v>
      </c>
      <c r="R914" s="2" t="inlineStr"/>
    </row>
    <row r="915" ht="15" customHeight="1">
      <c r="A915" t="inlineStr">
        <is>
          <t>A 45022-2023</t>
        </is>
      </c>
      <c r="B915" s="1" t="n">
        <v>45190</v>
      </c>
      <c r="C915" s="1" t="n">
        <v>45637</v>
      </c>
      <c r="D915" t="inlineStr">
        <is>
          <t>VÄSTERBOTTENS LÄN</t>
        </is>
      </c>
      <c r="E915" t="inlineStr">
        <is>
          <t>VILHELMINA</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46177-2023</t>
        </is>
      </c>
      <c r="B916" s="1" t="n">
        <v>45190</v>
      </c>
      <c r="C916" s="1" t="n">
        <v>45637</v>
      </c>
      <c r="D916" t="inlineStr">
        <is>
          <t>VÄSTERBOTTENS LÄN</t>
        </is>
      </c>
      <c r="E916" t="inlineStr">
        <is>
          <t>VILHELMINA</t>
        </is>
      </c>
      <c r="F916" t="inlineStr">
        <is>
          <t>Övriga Aktiebolag</t>
        </is>
      </c>
      <c r="G916" t="n">
        <v>7.7</v>
      </c>
      <c r="H916" t="n">
        <v>0</v>
      </c>
      <c r="I916" t="n">
        <v>0</v>
      </c>
      <c r="J916" t="n">
        <v>0</v>
      </c>
      <c r="K916" t="n">
        <v>0</v>
      </c>
      <c r="L916" t="n">
        <v>0</v>
      </c>
      <c r="M916" t="n">
        <v>0</v>
      </c>
      <c r="N916" t="n">
        <v>0</v>
      </c>
      <c r="O916" t="n">
        <v>0</v>
      </c>
      <c r="P916" t="n">
        <v>0</v>
      </c>
      <c r="Q916" t="n">
        <v>0</v>
      </c>
      <c r="R916" s="2" t="inlineStr"/>
    </row>
    <row r="917" ht="15" customHeight="1">
      <c r="A917" t="inlineStr">
        <is>
          <t>A 46164-2023</t>
        </is>
      </c>
      <c r="B917" s="1" t="n">
        <v>45190</v>
      </c>
      <c r="C917" s="1" t="n">
        <v>45637</v>
      </c>
      <c r="D917" t="inlineStr">
        <is>
          <t>VÄSTERBOTTENS LÄN</t>
        </is>
      </c>
      <c r="E917" t="inlineStr">
        <is>
          <t>VILHELMINA</t>
        </is>
      </c>
      <c r="G917" t="n">
        <v>6.3</v>
      </c>
      <c r="H917" t="n">
        <v>0</v>
      </c>
      <c r="I917" t="n">
        <v>0</v>
      </c>
      <c r="J917" t="n">
        <v>0</v>
      </c>
      <c r="K917" t="n">
        <v>0</v>
      </c>
      <c r="L917" t="n">
        <v>0</v>
      </c>
      <c r="M917" t="n">
        <v>0</v>
      </c>
      <c r="N917" t="n">
        <v>0</v>
      </c>
      <c r="O917" t="n">
        <v>0</v>
      </c>
      <c r="P917" t="n">
        <v>0</v>
      </c>
      <c r="Q917" t="n">
        <v>0</v>
      </c>
      <c r="R917" s="2" t="inlineStr"/>
    </row>
    <row r="918" ht="15" customHeight="1">
      <c r="A918" t="inlineStr">
        <is>
          <t>A 46119-2023</t>
        </is>
      </c>
      <c r="B918" s="1" t="n">
        <v>45190</v>
      </c>
      <c r="C918" s="1" t="n">
        <v>45637</v>
      </c>
      <c r="D918" t="inlineStr">
        <is>
          <t>VÄSTERBOTTENS LÄN</t>
        </is>
      </c>
      <c r="E918" t="inlineStr">
        <is>
          <t>VILHELMINA</t>
        </is>
      </c>
      <c r="G918" t="n">
        <v>17.7</v>
      </c>
      <c r="H918" t="n">
        <v>0</v>
      </c>
      <c r="I918" t="n">
        <v>0</v>
      </c>
      <c r="J918" t="n">
        <v>0</v>
      </c>
      <c r="K918" t="n">
        <v>0</v>
      </c>
      <c r="L918" t="n">
        <v>0</v>
      </c>
      <c r="M918" t="n">
        <v>0</v>
      </c>
      <c r="N918" t="n">
        <v>0</v>
      </c>
      <c r="O918" t="n">
        <v>0</v>
      </c>
      <c r="P918" t="n">
        <v>0</v>
      </c>
      <c r="Q918" t="n">
        <v>0</v>
      </c>
      <c r="R918" s="2" t="inlineStr"/>
    </row>
    <row r="919" ht="15" customHeight="1">
      <c r="A919" t="inlineStr">
        <is>
          <t>A 45672-2023</t>
        </is>
      </c>
      <c r="B919" s="1" t="n">
        <v>45194</v>
      </c>
      <c r="C919" s="1" t="n">
        <v>45637</v>
      </c>
      <c r="D919" t="inlineStr">
        <is>
          <t>VÄSTERBOTTENS LÄN</t>
        </is>
      </c>
      <c r="E919" t="inlineStr">
        <is>
          <t>VILHELMINA</t>
        </is>
      </c>
      <c r="G919" t="n">
        <v>1.5</v>
      </c>
      <c r="H919" t="n">
        <v>0</v>
      </c>
      <c r="I919" t="n">
        <v>0</v>
      </c>
      <c r="J919" t="n">
        <v>0</v>
      </c>
      <c r="K919" t="n">
        <v>0</v>
      </c>
      <c r="L919" t="n">
        <v>0</v>
      </c>
      <c r="M919" t="n">
        <v>0</v>
      </c>
      <c r="N919" t="n">
        <v>0</v>
      </c>
      <c r="O919" t="n">
        <v>0</v>
      </c>
      <c r="P919" t="n">
        <v>0</v>
      </c>
      <c r="Q919" t="n">
        <v>0</v>
      </c>
      <c r="R919" s="2" t="inlineStr"/>
    </row>
    <row r="920" ht="15" customHeight="1">
      <c r="A920" t="inlineStr">
        <is>
          <t>A 45673-2023</t>
        </is>
      </c>
      <c r="B920" s="1" t="n">
        <v>45194</v>
      </c>
      <c r="C920" s="1" t="n">
        <v>45637</v>
      </c>
      <c r="D920" t="inlineStr">
        <is>
          <t>VÄSTERBOTTENS LÄN</t>
        </is>
      </c>
      <c r="E920" t="inlineStr">
        <is>
          <t>VILHELMINA</t>
        </is>
      </c>
      <c r="G920" t="n">
        <v>13.4</v>
      </c>
      <c r="H920" t="n">
        <v>0</v>
      </c>
      <c r="I920" t="n">
        <v>0</v>
      </c>
      <c r="J920" t="n">
        <v>0</v>
      </c>
      <c r="K920" t="n">
        <v>0</v>
      </c>
      <c r="L920" t="n">
        <v>0</v>
      </c>
      <c r="M920" t="n">
        <v>0</v>
      </c>
      <c r="N920" t="n">
        <v>0</v>
      </c>
      <c r="O920" t="n">
        <v>0</v>
      </c>
      <c r="P920" t="n">
        <v>0</v>
      </c>
      <c r="Q920" t="n">
        <v>0</v>
      </c>
      <c r="R920" s="2" t="inlineStr"/>
    </row>
    <row r="921" ht="15" customHeight="1">
      <c r="A921" t="inlineStr">
        <is>
          <t>A 45970-2023</t>
        </is>
      </c>
      <c r="B921" s="1" t="n">
        <v>45195</v>
      </c>
      <c r="C921" s="1" t="n">
        <v>45637</v>
      </c>
      <c r="D921" t="inlineStr">
        <is>
          <t>VÄSTERBOTTENS LÄN</t>
        </is>
      </c>
      <c r="E921" t="inlineStr">
        <is>
          <t>VILHELMINA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45971-2023</t>
        </is>
      </c>
      <c r="B922" s="1" t="n">
        <v>45195</v>
      </c>
      <c r="C922" s="1" t="n">
        <v>45637</v>
      </c>
      <c r="D922" t="inlineStr">
        <is>
          <t>VÄSTERBOTTENS LÄN</t>
        </is>
      </c>
      <c r="E922" t="inlineStr">
        <is>
          <t>VILHELMINA</t>
        </is>
      </c>
      <c r="F922" t="inlineStr">
        <is>
          <t>SCA</t>
        </is>
      </c>
      <c r="G922" t="n">
        <v>48.3</v>
      </c>
      <c r="H922" t="n">
        <v>0</v>
      </c>
      <c r="I922" t="n">
        <v>0</v>
      </c>
      <c r="J922" t="n">
        <v>0</v>
      </c>
      <c r="K922" t="n">
        <v>0</v>
      </c>
      <c r="L922" t="n">
        <v>0</v>
      </c>
      <c r="M922" t="n">
        <v>0</v>
      </c>
      <c r="N922" t="n">
        <v>0</v>
      </c>
      <c r="O922" t="n">
        <v>0</v>
      </c>
      <c r="P922" t="n">
        <v>0</v>
      </c>
      <c r="Q922" t="n">
        <v>0</v>
      </c>
      <c r="R922" s="2" t="inlineStr"/>
    </row>
    <row r="923" ht="15" customHeight="1">
      <c r="A923" t="inlineStr">
        <is>
          <t>A 45927-2023</t>
        </is>
      </c>
      <c r="B923" s="1" t="n">
        <v>45196</v>
      </c>
      <c r="C923" s="1" t="n">
        <v>45637</v>
      </c>
      <c r="D923" t="inlineStr">
        <is>
          <t>VÄSTERBOTTENS LÄN</t>
        </is>
      </c>
      <c r="E923" t="inlineStr">
        <is>
          <t>VILHELMINA</t>
        </is>
      </c>
      <c r="G923" t="n">
        <v>4.7</v>
      </c>
      <c r="H923" t="n">
        <v>0</v>
      </c>
      <c r="I923" t="n">
        <v>0</v>
      </c>
      <c r="J923" t="n">
        <v>0</v>
      </c>
      <c r="K923" t="n">
        <v>0</v>
      </c>
      <c r="L923" t="n">
        <v>0</v>
      </c>
      <c r="M923" t="n">
        <v>0</v>
      </c>
      <c r="N923" t="n">
        <v>0</v>
      </c>
      <c r="O923" t="n">
        <v>0</v>
      </c>
      <c r="P923" t="n">
        <v>0</v>
      </c>
      <c r="Q923" t="n">
        <v>0</v>
      </c>
      <c r="R923" s="2" t="inlineStr"/>
    </row>
    <row r="924" ht="15" customHeight="1">
      <c r="A924" t="inlineStr">
        <is>
          <t>A 45965-2023</t>
        </is>
      </c>
      <c r="B924" s="1" t="n">
        <v>45196</v>
      </c>
      <c r="C924" s="1" t="n">
        <v>45637</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45926-2023</t>
        </is>
      </c>
      <c r="B925" s="1" t="n">
        <v>45196</v>
      </c>
      <c r="C925" s="1" t="n">
        <v>45637</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45964-2023</t>
        </is>
      </c>
      <c r="B926" s="1" t="n">
        <v>45195</v>
      </c>
      <c r="C926" s="1" t="n">
        <v>45637</v>
      </c>
      <c r="D926" t="inlineStr">
        <is>
          <t>VÄSTERBOTTENS LÄN</t>
        </is>
      </c>
      <c r="E926" t="inlineStr">
        <is>
          <t>VILHELMINA</t>
        </is>
      </c>
      <c r="F926" t="inlineStr">
        <is>
          <t>SCA</t>
        </is>
      </c>
      <c r="G926" t="n">
        <v>17.2</v>
      </c>
      <c r="H926" t="n">
        <v>0</v>
      </c>
      <c r="I926" t="n">
        <v>0</v>
      </c>
      <c r="J926" t="n">
        <v>0</v>
      </c>
      <c r="K926" t="n">
        <v>0</v>
      </c>
      <c r="L926" t="n">
        <v>0</v>
      </c>
      <c r="M926" t="n">
        <v>0</v>
      </c>
      <c r="N926" t="n">
        <v>0</v>
      </c>
      <c r="O926" t="n">
        <v>0</v>
      </c>
      <c r="P926" t="n">
        <v>0</v>
      </c>
      <c r="Q926" t="n">
        <v>0</v>
      </c>
      <c r="R926" s="2" t="inlineStr"/>
    </row>
    <row r="927" ht="15" customHeight="1">
      <c r="A927" t="inlineStr">
        <is>
          <t>A 45972-2023</t>
        </is>
      </c>
      <c r="B927" s="1" t="n">
        <v>45195</v>
      </c>
      <c r="C927" s="1" t="n">
        <v>45637</v>
      </c>
      <c r="D927" t="inlineStr">
        <is>
          <t>VÄSTERBOTTENS LÄN</t>
        </is>
      </c>
      <c r="E927" t="inlineStr">
        <is>
          <t>VILHELMINA</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46547-2023</t>
        </is>
      </c>
      <c r="B928" s="1" t="n">
        <v>45198</v>
      </c>
      <c r="C928" s="1" t="n">
        <v>45637</v>
      </c>
      <c r="D928" t="inlineStr">
        <is>
          <t>VÄSTERBOTTENS LÄN</t>
        </is>
      </c>
      <c r="E928" t="inlineStr">
        <is>
          <t>VILHELMINA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46824-2023</t>
        </is>
      </c>
      <c r="B929" s="1" t="n">
        <v>45199</v>
      </c>
      <c r="C929" s="1" t="n">
        <v>45637</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46823-2023</t>
        </is>
      </c>
      <c r="B930" s="1" t="n">
        <v>45199</v>
      </c>
      <c r="C930" s="1" t="n">
        <v>45637</v>
      </c>
      <c r="D930" t="inlineStr">
        <is>
          <t>VÄSTERBOTTENS LÄN</t>
        </is>
      </c>
      <c r="E930" t="inlineStr">
        <is>
          <t>VILHELMINA</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47482-2023</t>
        </is>
      </c>
      <c r="B931" s="1" t="n">
        <v>45203</v>
      </c>
      <c r="C931" s="1" t="n">
        <v>45637</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47481-2023</t>
        </is>
      </c>
      <c r="B932" s="1" t="n">
        <v>45203</v>
      </c>
      <c r="C932" s="1" t="n">
        <v>45637</v>
      </c>
      <c r="D932" t="inlineStr">
        <is>
          <t>VÄSTERBOTTENS LÄN</t>
        </is>
      </c>
      <c r="E932" t="inlineStr">
        <is>
          <t>VILHELMINA</t>
        </is>
      </c>
      <c r="F932" t="inlineStr">
        <is>
          <t>SCA</t>
        </is>
      </c>
      <c r="G932" t="n">
        <v>16.4</v>
      </c>
      <c r="H932" t="n">
        <v>0</v>
      </c>
      <c r="I932" t="n">
        <v>0</v>
      </c>
      <c r="J932" t="n">
        <v>0</v>
      </c>
      <c r="K932" t="n">
        <v>0</v>
      </c>
      <c r="L932" t="n">
        <v>0</v>
      </c>
      <c r="M932" t="n">
        <v>0</v>
      </c>
      <c r="N932" t="n">
        <v>0</v>
      </c>
      <c r="O932" t="n">
        <v>0</v>
      </c>
      <c r="P932" t="n">
        <v>0</v>
      </c>
      <c r="Q932" t="n">
        <v>0</v>
      </c>
      <c r="R932" s="2" t="inlineStr"/>
    </row>
    <row r="933" ht="15" customHeight="1">
      <c r="A933" t="inlineStr">
        <is>
          <t>A 47480-2023</t>
        </is>
      </c>
      <c r="B933" s="1" t="n">
        <v>45203</v>
      </c>
      <c r="C933" s="1" t="n">
        <v>45637</v>
      </c>
      <c r="D933" t="inlineStr">
        <is>
          <t>VÄSTERBOTTENS LÄN</t>
        </is>
      </c>
      <c r="E933" t="inlineStr">
        <is>
          <t>VILHELMINA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47479-2023</t>
        </is>
      </c>
      <c r="B934" s="1" t="n">
        <v>45203</v>
      </c>
      <c r="C934" s="1" t="n">
        <v>45637</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47483-2023</t>
        </is>
      </c>
      <c r="B935" s="1" t="n">
        <v>45203</v>
      </c>
      <c r="C935" s="1" t="n">
        <v>45637</v>
      </c>
      <c r="D935" t="inlineStr">
        <is>
          <t>VÄSTERBOTTENS LÄN</t>
        </is>
      </c>
      <c r="E935" t="inlineStr">
        <is>
          <t>VILHELMINA</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48368-2023</t>
        </is>
      </c>
      <c r="B936" s="1" t="n">
        <v>45205</v>
      </c>
      <c r="C936" s="1" t="n">
        <v>45637</v>
      </c>
      <c r="D936" t="inlineStr">
        <is>
          <t>VÄSTERBOTTENS LÄN</t>
        </is>
      </c>
      <c r="E936" t="inlineStr">
        <is>
          <t>VILHELMINA</t>
        </is>
      </c>
      <c r="F936" t="inlineStr">
        <is>
          <t>Sveaskog</t>
        </is>
      </c>
      <c r="G936" t="n">
        <v>16.8</v>
      </c>
      <c r="H936" t="n">
        <v>0</v>
      </c>
      <c r="I936" t="n">
        <v>0</v>
      </c>
      <c r="J936" t="n">
        <v>0</v>
      </c>
      <c r="K936" t="n">
        <v>0</v>
      </c>
      <c r="L936" t="n">
        <v>0</v>
      </c>
      <c r="M936" t="n">
        <v>0</v>
      </c>
      <c r="N936" t="n">
        <v>0</v>
      </c>
      <c r="O936" t="n">
        <v>0</v>
      </c>
      <c r="P936" t="n">
        <v>0</v>
      </c>
      <c r="Q936" t="n">
        <v>0</v>
      </c>
      <c r="R936" s="2" t="inlineStr"/>
    </row>
    <row r="937" ht="15" customHeight="1">
      <c r="A937" t="inlineStr">
        <is>
          <t>A 48424-2023</t>
        </is>
      </c>
      <c r="B937" s="1" t="n">
        <v>45205</v>
      </c>
      <c r="C937" s="1" t="n">
        <v>45637</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48372-2023</t>
        </is>
      </c>
      <c r="B938" s="1" t="n">
        <v>45205</v>
      </c>
      <c r="C938" s="1" t="n">
        <v>45637</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48423-2023</t>
        </is>
      </c>
      <c r="B939" s="1" t="n">
        <v>45205</v>
      </c>
      <c r="C939" s="1" t="n">
        <v>45637</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48422-2023</t>
        </is>
      </c>
      <c r="B940" s="1" t="n">
        <v>45205</v>
      </c>
      <c r="C940" s="1" t="n">
        <v>45637</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48370-2023</t>
        </is>
      </c>
      <c r="B941" s="1" t="n">
        <v>45205</v>
      </c>
      <c r="C941" s="1" t="n">
        <v>45637</v>
      </c>
      <c r="D941" t="inlineStr">
        <is>
          <t>VÄSTERBOTTENS LÄN</t>
        </is>
      </c>
      <c r="E941" t="inlineStr">
        <is>
          <t>VILHELMINA</t>
        </is>
      </c>
      <c r="F941" t="inlineStr">
        <is>
          <t>Sveaskog</t>
        </is>
      </c>
      <c r="G941" t="n">
        <v>7.7</v>
      </c>
      <c r="H941" t="n">
        <v>0</v>
      </c>
      <c r="I941" t="n">
        <v>0</v>
      </c>
      <c r="J941" t="n">
        <v>0</v>
      </c>
      <c r="K941" t="n">
        <v>0</v>
      </c>
      <c r="L941" t="n">
        <v>0</v>
      </c>
      <c r="M941" t="n">
        <v>0</v>
      </c>
      <c r="N941" t="n">
        <v>0</v>
      </c>
      <c r="O941" t="n">
        <v>0</v>
      </c>
      <c r="P941" t="n">
        <v>0</v>
      </c>
      <c r="Q941" t="n">
        <v>0</v>
      </c>
      <c r="R941" s="2" t="inlineStr"/>
    </row>
    <row r="942" ht="15" customHeight="1">
      <c r="A942" t="inlineStr">
        <is>
          <t>A 48471-2023</t>
        </is>
      </c>
      <c r="B942" s="1" t="n">
        <v>45207</v>
      </c>
      <c r="C942" s="1" t="n">
        <v>45637</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48470-2023</t>
        </is>
      </c>
      <c r="B943" s="1" t="n">
        <v>45207</v>
      </c>
      <c r="C943" s="1" t="n">
        <v>45637</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48483-2023</t>
        </is>
      </c>
      <c r="B944" s="1" t="n">
        <v>45207</v>
      </c>
      <c r="C944" s="1" t="n">
        <v>45637</v>
      </c>
      <c r="D944" t="inlineStr">
        <is>
          <t>VÄSTERBOTTENS LÄN</t>
        </is>
      </c>
      <c r="E944" t="inlineStr">
        <is>
          <t>VILHELMINA</t>
        </is>
      </c>
      <c r="F944" t="inlineStr">
        <is>
          <t>SCA</t>
        </is>
      </c>
      <c r="G944" t="n">
        <v>7.6</v>
      </c>
      <c r="H944" t="n">
        <v>0</v>
      </c>
      <c r="I944" t="n">
        <v>0</v>
      </c>
      <c r="J944" t="n">
        <v>0</v>
      </c>
      <c r="K944" t="n">
        <v>0</v>
      </c>
      <c r="L944" t="n">
        <v>0</v>
      </c>
      <c r="M944" t="n">
        <v>0</v>
      </c>
      <c r="N944" t="n">
        <v>0</v>
      </c>
      <c r="O944" t="n">
        <v>0</v>
      </c>
      <c r="P944" t="n">
        <v>0</v>
      </c>
      <c r="Q944" t="n">
        <v>0</v>
      </c>
      <c r="R944" s="2" t="inlineStr"/>
    </row>
    <row r="945" ht="15" customHeight="1">
      <c r="A945" t="inlineStr">
        <is>
          <t>A 48472-2023</t>
        </is>
      </c>
      <c r="B945" s="1" t="n">
        <v>45207</v>
      </c>
      <c r="C945" s="1" t="n">
        <v>45637</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48505-2023</t>
        </is>
      </c>
      <c r="B946" s="1" t="n">
        <v>45208</v>
      </c>
      <c r="C946" s="1" t="n">
        <v>45637</v>
      </c>
      <c r="D946" t="inlineStr">
        <is>
          <t>VÄSTERBOTTENS LÄN</t>
        </is>
      </c>
      <c r="E946" t="inlineStr">
        <is>
          <t>VILHELMINA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50347-2023</t>
        </is>
      </c>
      <c r="B947" s="1" t="n">
        <v>45209</v>
      </c>
      <c r="C947" s="1" t="n">
        <v>45637</v>
      </c>
      <c r="D947" t="inlineStr">
        <is>
          <t>VÄSTERBOTTENS LÄN</t>
        </is>
      </c>
      <c r="E947" t="inlineStr">
        <is>
          <t>VILHELMINA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49310-2023</t>
        </is>
      </c>
      <c r="B948" s="1" t="n">
        <v>45210</v>
      </c>
      <c r="C948" s="1" t="n">
        <v>45637</v>
      </c>
      <c r="D948" t="inlineStr">
        <is>
          <t>VÄSTERBOTTENS LÄN</t>
        </is>
      </c>
      <c r="E948" t="inlineStr">
        <is>
          <t>VILHELMINA</t>
        </is>
      </c>
      <c r="G948" t="n">
        <v>25.1</v>
      </c>
      <c r="H948" t="n">
        <v>0</v>
      </c>
      <c r="I948" t="n">
        <v>0</v>
      </c>
      <c r="J948" t="n">
        <v>0</v>
      </c>
      <c r="K948" t="n">
        <v>0</v>
      </c>
      <c r="L948" t="n">
        <v>0</v>
      </c>
      <c r="M948" t="n">
        <v>0</v>
      </c>
      <c r="N948" t="n">
        <v>0</v>
      </c>
      <c r="O948" t="n">
        <v>0</v>
      </c>
      <c r="P948" t="n">
        <v>0</v>
      </c>
      <c r="Q948" t="n">
        <v>0</v>
      </c>
      <c r="R948" s="2" t="inlineStr"/>
    </row>
    <row r="949" ht="15" customHeight="1">
      <c r="A949" t="inlineStr">
        <is>
          <t>A 49642-2023</t>
        </is>
      </c>
      <c r="B949" s="1" t="n">
        <v>45212</v>
      </c>
      <c r="C949" s="1" t="n">
        <v>45637</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49652-2023</t>
        </is>
      </c>
      <c r="B950" s="1" t="n">
        <v>45212</v>
      </c>
      <c r="C950" s="1" t="n">
        <v>45637</v>
      </c>
      <c r="D950" t="inlineStr">
        <is>
          <t>VÄSTERBOTTENS LÄN</t>
        </is>
      </c>
      <c r="E950" t="inlineStr">
        <is>
          <t>VILHELMINA</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49860-2023</t>
        </is>
      </c>
      <c r="B951" s="1" t="n">
        <v>45212</v>
      </c>
      <c r="C951" s="1" t="n">
        <v>45637</v>
      </c>
      <c r="D951" t="inlineStr">
        <is>
          <t>VÄSTERBOTTENS LÄN</t>
        </is>
      </c>
      <c r="E951" t="inlineStr">
        <is>
          <t>VILHELMINA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50505-2023</t>
        </is>
      </c>
      <c r="B952" s="1" t="n">
        <v>45217</v>
      </c>
      <c r="C952" s="1" t="n">
        <v>45637</v>
      </c>
      <c r="D952" t="inlineStr">
        <is>
          <t>VÄSTERBOTTENS LÄN</t>
        </is>
      </c>
      <c r="E952" t="inlineStr">
        <is>
          <t>VILHELMINA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50502-2023</t>
        </is>
      </c>
      <c r="B953" s="1" t="n">
        <v>45217</v>
      </c>
      <c r="C953" s="1" t="n">
        <v>45637</v>
      </c>
      <c r="D953" t="inlineStr">
        <is>
          <t>VÄSTERBOTTENS LÄN</t>
        </is>
      </c>
      <c r="E953" t="inlineStr">
        <is>
          <t>VILHELMINA</t>
        </is>
      </c>
      <c r="F953" t="inlineStr">
        <is>
          <t>SCA</t>
        </is>
      </c>
      <c r="G953" t="n">
        <v>30.6</v>
      </c>
      <c r="H953" t="n">
        <v>0</v>
      </c>
      <c r="I953" t="n">
        <v>0</v>
      </c>
      <c r="J953" t="n">
        <v>0</v>
      </c>
      <c r="K953" t="n">
        <v>0</v>
      </c>
      <c r="L953" t="n">
        <v>0</v>
      </c>
      <c r="M953" t="n">
        <v>0</v>
      </c>
      <c r="N953" t="n">
        <v>0</v>
      </c>
      <c r="O953" t="n">
        <v>0</v>
      </c>
      <c r="P953" t="n">
        <v>0</v>
      </c>
      <c r="Q953" t="n">
        <v>0</v>
      </c>
      <c r="R953" s="2" t="inlineStr"/>
    </row>
    <row r="954" ht="15" customHeight="1">
      <c r="A954" t="inlineStr">
        <is>
          <t>A 50506-2023</t>
        </is>
      </c>
      <c r="B954" s="1" t="n">
        <v>45217</v>
      </c>
      <c r="C954" s="1" t="n">
        <v>45637</v>
      </c>
      <c r="D954" t="inlineStr">
        <is>
          <t>VÄSTERBOTTENS LÄN</t>
        </is>
      </c>
      <c r="E954" t="inlineStr">
        <is>
          <t>VILHELMINA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50499-2023</t>
        </is>
      </c>
      <c r="B955" s="1" t="n">
        <v>45217</v>
      </c>
      <c r="C955" s="1" t="n">
        <v>45637</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50500-2023</t>
        </is>
      </c>
      <c r="B956" s="1" t="n">
        <v>45217</v>
      </c>
      <c r="C956" s="1" t="n">
        <v>45637</v>
      </c>
      <c r="D956" t="inlineStr">
        <is>
          <t>VÄSTERBOTTENS LÄN</t>
        </is>
      </c>
      <c r="E956" t="inlineStr">
        <is>
          <t>VILHELMINA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50494-2023</t>
        </is>
      </c>
      <c r="B957" s="1" t="n">
        <v>45217</v>
      </c>
      <c r="C957" s="1" t="n">
        <v>45637</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50490-2023</t>
        </is>
      </c>
      <c r="B958" s="1" t="n">
        <v>45217</v>
      </c>
      <c r="C958" s="1" t="n">
        <v>45637</v>
      </c>
      <c r="D958" t="inlineStr">
        <is>
          <t>VÄSTERBOTTENS LÄN</t>
        </is>
      </c>
      <c r="E958" t="inlineStr">
        <is>
          <t>VILHELMINA</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50482-2023</t>
        </is>
      </c>
      <c r="B959" s="1" t="n">
        <v>45216</v>
      </c>
      <c r="C959" s="1" t="n">
        <v>45637</v>
      </c>
      <c r="D959" t="inlineStr">
        <is>
          <t>VÄSTERBOTTENS LÄN</t>
        </is>
      </c>
      <c r="E959" t="inlineStr">
        <is>
          <t>VILHELMINA</t>
        </is>
      </c>
      <c r="G959" t="n">
        <v>3.5</v>
      </c>
      <c r="H959" t="n">
        <v>0</v>
      </c>
      <c r="I959" t="n">
        <v>0</v>
      </c>
      <c r="J959" t="n">
        <v>0</v>
      </c>
      <c r="K959" t="n">
        <v>0</v>
      </c>
      <c r="L959" t="n">
        <v>0</v>
      </c>
      <c r="M959" t="n">
        <v>0</v>
      </c>
      <c r="N959" t="n">
        <v>0</v>
      </c>
      <c r="O959" t="n">
        <v>0</v>
      </c>
      <c r="P959" t="n">
        <v>0</v>
      </c>
      <c r="Q959" t="n">
        <v>0</v>
      </c>
      <c r="R959" s="2" t="inlineStr"/>
    </row>
    <row r="960" ht="15" customHeight="1">
      <c r="A960" t="inlineStr">
        <is>
          <t>A 50501-2023</t>
        </is>
      </c>
      <c r="B960" s="1" t="n">
        <v>45216</v>
      </c>
      <c r="C960" s="1" t="n">
        <v>45637</v>
      </c>
      <c r="D960" t="inlineStr">
        <is>
          <t>VÄSTERBOTTENS LÄN</t>
        </is>
      </c>
      <c r="E960" t="inlineStr">
        <is>
          <t>VILHELMINA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50489-2023</t>
        </is>
      </c>
      <c r="B961" s="1" t="n">
        <v>45217</v>
      </c>
      <c r="C961" s="1" t="n">
        <v>45637</v>
      </c>
      <c r="D961" t="inlineStr">
        <is>
          <t>VÄSTERBOTTENS LÄN</t>
        </is>
      </c>
      <c r="E961" t="inlineStr">
        <is>
          <t>VILHELMINA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50655-2023</t>
        </is>
      </c>
      <c r="B962" s="1" t="n">
        <v>45217</v>
      </c>
      <c r="C962" s="1" t="n">
        <v>45637</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50830-2023</t>
        </is>
      </c>
      <c r="B963" s="1" t="n">
        <v>45218</v>
      </c>
      <c r="C963" s="1" t="n">
        <v>45637</v>
      </c>
      <c r="D963" t="inlineStr">
        <is>
          <t>VÄSTERBOTTENS LÄN</t>
        </is>
      </c>
      <c r="E963" t="inlineStr">
        <is>
          <t>VILHELMINA</t>
        </is>
      </c>
      <c r="F963" t="inlineStr">
        <is>
          <t>SCA</t>
        </is>
      </c>
      <c r="G963" t="n">
        <v>31.1</v>
      </c>
      <c r="H963" t="n">
        <v>0</v>
      </c>
      <c r="I963" t="n">
        <v>0</v>
      </c>
      <c r="J963" t="n">
        <v>0</v>
      </c>
      <c r="K963" t="n">
        <v>0</v>
      </c>
      <c r="L963" t="n">
        <v>0</v>
      </c>
      <c r="M963" t="n">
        <v>0</v>
      </c>
      <c r="N963" t="n">
        <v>0</v>
      </c>
      <c r="O963" t="n">
        <v>0</v>
      </c>
      <c r="P963" t="n">
        <v>0</v>
      </c>
      <c r="Q963" t="n">
        <v>0</v>
      </c>
      <c r="R963" s="2" t="inlineStr"/>
    </row>
    <row r="964" ht="15" customHeight="1">
      <c r="A964" t="inlineStr">
        <is>
          <t>A 51825-2023</t>
        </is>
      </c>
      <c r="B964" s="1" t="n">
        <v>45222</v>
      </c>
      <c r="C964" s="1" t="n">
        <v>45637</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51826-2023</t>
        </is>
      </c>
      <c r="B965" s="1" t="n">
        <v>45223</v>
      </c>
      <c r="C965" s="1" t="n">
        <v>45637</v>
      </c>
      <c r="D965" t="inlineStr">
        <is>
          <t>VÄSTERBOTTENS LÄN</t>
        </is>
      </c>
      <c r="E965" t="inlineStr">
        <is>
          <t>VILHELMINA</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52123-2023</t>
        </is>
      </c>
      <c r="B966" s="1" t="n">
        <v>45224</v>
      </c>
      <c r="C966" s="1" t="n">
        <v>45637</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52740-2023</t>
        </is>
      </c>
      <c r="B967" s="1" t="n">
        <v>45225</v>
      </c>
      <c r="C967" s="1" t="n">
        <v>45637</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52744-2023</t>
        </is>
      </c>
      <c r="B968" s="1" t="n">
        <v>45226</v>
      </c>
      <c r="C968" s="1" t="n">
        <v>45637</v>
      </c>
      <c r="D968" t="inlineStr">
        <is>
          <t>VÄSTERBOTTENS LÄN</t>
        </is>
      </c>
      <c r="E968" t="inlineStr">
        <is>
          <t>VILHELMINA</t>
        </is>
      </c>
      <c r="F968" t="inlineStr">
        <is>
          <t>SCA</t>
        </is>
      </c>
      <c r="G968" t="n">
        <v>10.5</v>
      </c>
      <c r="H968" t="n">
        <v>0</v>
      </c>
      <c r="I968" t="n">
        <v>0</v>
      </c>
      <c r="J968" t="n">
        <v>0</v>
      </c>
      <c r="K968" t="n">
        <v>0</v>
      </c>
      <c r="L968" t="n">
        <v>0</v>
      </c>
      <c r="M968" t="n">
        <v>0</v>
      </c>
      <c r="N968" t="n">
        <v>0</v>
      </c>
      <c r="O968" t="n">
        <v>0</v>
      </c>
      <c r="P968" t="n">
        <v>0</v>
      </c>
      <c r="Q968" t="n">
        <v>0</v>
      </c>
      <c r="R968" s="2" t="inlineStr"/>
    </row>
    <row r="969" ht="15" customHeight="1">
      <c r="A969" t="inlineStr">
        <is>
          <t>A 52748-2023</t>
        </is>
      </c>
      <c r="B969" s="1" t="n">
        <v>45225</v>
      </c>
      <c r="C969" s="1" t="n">
        <v>45637</v>
      </c>
      <c r="D969" t="inlineStr">
        <is>
          <t>VÄSTERBOTTENS LÄN</t>
        </is>
      </c>
      <c r="E969" t="inlineStr">
        <is>
          <t>VILHELMINA</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52745-2023</t>
        </is>
      </c>
      <c r="B970" s="1" t="n">
        <v>45226</v>
      </c>
      <c r="C970" s="1" t="n">
        <v>45637</v>
      </c>
      <c r="D970" t="inlineStr">
        <is>
          <t>VÄSTERBOTTENS LÄN</t>
        </is>
      </c>
      <c r="E970" t="inlineStr">
        <is>
          <t>VILHELMINA</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52749-2023</t>
        </is>
      </c>
      <c r="B971" s="1" t="n">
        <v>45226</v>
      </c>
      <c r="C971" s="1" t="n">
        <v>45637</v>
      </c>
      <c r="D971" t="inlineStr">
        <is>
          <t>VÄSTERBOTTENS LÄN</t>
        </is>
      </c>
      <c r="E971" t="inlineStr">
        <is>
          <t>VILHELMINA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52746-2023</t>
        </is>
      </c>
      <c r="B972" s="1" t="n">
        <v>45226</v>
      </c>
      <c r="C972" s="1" t="n">
        <v>45637</v>
      </c>
      <c r="D972" t="inlineStr">
        <is>
          <t>VÄSTERBOTTENS LÄN</t>
        </is>
      </c>
      <c r="E972" t="inlineStr">
        <is>
          <t>VILHELMINA</t>
        </is>
      </c>
      <c r="F972" t="inlineStr">
        <is>
          <t>SCA</t>
        </is>
      </c>
      <c r="G972" t="n">
        <v>10.4</v>
      </c>
      <c r="H972" t="n">
        <v>0</v>
      </c>
      <c r="I972" t="n">
        <v>0</v>
      </c>
      <c r="J972" t="n">
        <v>0</v>
      </c>
      <c r="K972" t="n">
        <v>0</v>
      </c>
      <c r="L972" t="n">
        <v>0</v>
      </c>
      <c r="M972" t="n">
        <v>0</v>
      </c>
      <c r="N972" t="n">
        <v>0</v>
      </c>
      <c r="O972" t="n">
        <v>0</v>
      </c>
      <c r="P972" t="n">
        <v>0</v>
      </c>
      <c r="Q972" t="n">
        <v>0</v>
      </c>
      <c r="R972" s="2" t="inlineStr"/>
    </row>
    <row r="973" ht="15" customHeight="1">
      <c r="A973" t="inlineStr">
        <is>
          <t>A 52747-2023</t>
        </is>
      </c>
      <c r="B973" s="1" t="n">
        <v>45226</v>
      </c>
      <c r="C973" s="1" t="n">
        <v>45637</v>
      </c>
      <c r="D973" t="inlineStr">
        <is>
          <t>VÄSTERBOTTENS LÄN</t>
        </is>
      </c>
      <c r="E973" t="inlineStr">
        <is>
          <t>VILHELMINA</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53034-2023</t>
        </is>
      </c>
      <c r="B974" s="1" t="n">
        <v>45227</v>
      </c>
      <c r="C974" s="1" t="n">
        <v>45637</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54931-2023</t>
        </is>
      </c>
      <c r="B975" s="1" t="n">
        <v>45229</v>
      </c>
      <c r="C975" s="1" t="n">
        <v>45637</v>
      </c>
      <c r="D975" t="inlineStr">
        <is>
          <t>VÄSTERBOTTENS LÄN</t>
        </is>
      </c>
      <c r="E975" t="inlineStr">
        <is>
          <t>VILHELMINA</t>
        </is>
      </c>
      <c r="G975" t="n">
        <v>14.5</v>
      </c>
      <c r="H975" t="n">
        <v>0</v>
      </c>
      <c r="I975" t="n">
        <v>0</v>
      </c>
      <c r="J975" t="n">
        <v>0</v>
      </c>
      <c r="K975" t="n">
        <v>0</v>
      </c>
      <c r="L975" t="n">
        <v>0</v>
      </c>
      <c r="M975" t="n">
        <v>0</v>
      </c>
      <c r="N975" t="n">
        <v>0</v>
      </c>
      <c r="O975" t="n">
        <v>0</v>
      </c>
      <c r="P975" t="n">
        <v>0</v>
      </c>
      <c r="Q975" t="n">
        <v>0</v>
      </c>
      <c r="R975" s="2" t="inlineStr"/>
    </row>
    <row r="976" ht="15" customHeight="1">
      <c r="A976" t="inlineStr">
        <is>
          <t>A 55051-2023</t>
        </is>
      </c>
      <c r="B976" s="1" t="n">
        <v>45229</v>
      </c>
      <c r="C976" s="1" t="n">
        <v>45637</v>
      </c>
      <c r="D976" t="inlineStr">
        <is>
          <t>VÄSTERBOTTENS LÄN</t>
        </is>
      </c>
      <c r="E976" t="inlineStr">
        <is>
          <t>VILHELMINA</t>
        </is>
      </c>
      <c r="G976" t="n">
        <v>12.1</v>
      </c>
      <c r="H976" t="n">
        <v>0</v>
      </c>
      <c r="I976" t="n">
        <v>0</v>
      </c>
      <c r="J976" t="n">
        <v>0</v>
      </c>
      <c r="K976" t="n">
        <v>0</v>
      </c>
      <c r="L976" t="n">
        <v>0</v>
      </c>
      <c r="M976" t="n">
        <v>0</v>
      </c>
      <c r="N976" t="n">
        <v>0</v>
      </c>
      <c r="O976" t="n">
        <v>0</v>
      </c>
      <c r="P976" t="n">
        <v>0</v>
      </c>
      <c r="Q976" t="n">
        <v>0</v>
      </c>
      <c r="R976" s="2" t="inlineStr"/>
    </row>
    <row r="977" ht="15" customHeight="1">
      <c r="A977" t="inlineStr">
        <is>
          <t>A 55200-2023</t>
        </is>
      </c>
      <c r="B977" s="1" t="n">
        <v>45230</v>
      </c>
      <c r="C977" s="1" t="n">
        <v>45637</v>
      </c>
      <c r="D977" t="inlineStr">
        <is>
          <t>VÄSTERBOTTENS LÄN</t>
        </is>
      </c>
      <c r="E977" t="inlineStr">
        <is>
          <t>VILHELMINA</t>
        </is>
      </c>
      <c r="G977" t="n">
        <v>20.8</v>
      </c>
      <c r="H977" t="n">
        <v>0</v>
      </c>
      <c r="I977" t="n">
        <v>0</v>
      </c>
      <c r="J977" t="n">
        <v>0</v>
      </c>
      <c r="K977" t="n">
        <v>0</v>
      </c>
      <c r="L977" t="n">
        <v>0</v>
      </c>
      <c r="M977" t="n">
        <v>0</v>
      </c>
      <c r="N977" t="n">
        <v>0</v>
      </c>
      <c r="O977" t="n">
        <v>0</v>
      </c>
      <c r="P977" t="n">
        <v>0</v>
      </c>
      <c r="Q977" t="n">
        <v>0</v>
      </c>
      <c r="R977" s="2" t="inlineStr"/>
    </row>
    <row r="978" ht="15" customHeight="1">
      <c r="A978" t="inlineStr">
        <is>
          <t>A 55159-2023</t>
        </is>
      </c>
      <c r="B978" s="1" t="n">
        <v>45230</v>
      </c>
      <c r="C978" s="1" t="n">
        <v>45637</v>
      </c>
      <c r="D978" t="inlineStr">
        <is>
          <t>VÄSTERBOTTENS LÄN</t>
        </is>
      </c>
      <c r="E978" t="inlineStr">
        <is>
          <t>VILHELMINA</t>
        </is>
      </c>
      <c r="G978" t="n">
        <v>24.4</v>
      </c>
      <c r="H978" t="n">
        <v>0</v>
      </c>
      <c r="I978" t="n">
        <v>0</v>
      </c>
      <c r="J978" t="n">
        <v>0</v>
      </c>
      <c r="K978" t="n">
        <v>0</v>
      </c>
      <c r="L978" t="n">
        <v>0</v>
      </c>
      <c r="M978" t="n">
        <v>0</v>
      </c>
      <c r="N978" t="n">
        <v>0</v>
      </c>
      <c r="O978" t="n">
        <v>0</v>
      </c>
      <c r="P978" t="n">
        <v>0</v>
      </c>
      <c r="Q978" t="n">
        <v>0</v>
      </c>
      <c r="R978" s="2" t="inlineStr"/>
    </row>
    <row r="979" ht="15" customHeight="1">
      <c r="A979" t="inlineStr">
        <is>
          <t>A 54316-2023</t>
        </is>
      </c>
      <c r="B979" s="1" t="n">
        <v>45232</v>
      </c>
      <c r="C979" s="1" t="n">
        <v>45637</v>
      </c>
      <c r="D979" t="inlineStr">
        <is>
          <t>VÄSTERBOTTENS LÄN</t>
        </is>
      </c>
      <c r="E979" t="inlineStr">
        <is>
          <t>VILHELMINA</t>
        </is>
      </c>
      <c r="G979" t="n">
        <v>4.1</v>
      </c>
      <c r="H979" t="n">
        <v>0</v>
      </c>
      <c r="I979" t="n">
        <v>0</v>
      </c>
      <c r="J979" t="n">
        <v>0</v>
      </c>
      <c r="K979" t="n">
        <v>0</v>
      </c>
      <c r="L979" t="n">
        <v>0</v>
      </c>
      <c r="M979" t="n">
        <v>0</v>
      </c>
      <c r="N979" t="n">
        <v>0</v>
      </c>
      <c r="O979" t="n">
        <v>0</v>
      </c>
      <c r="P979" t="n">
        <v>0</v>
      </c>
      <c r="Q979" t="n">
        <v>0</v>
      </c>
      <c r="R979" s="2" t="inlineStr"/>
    </row>
    <row r="980" ht="15" customHeight="1">
      <c r="A980" t="inlineStr">
        <is>
          <t>A 55714-2023</t>
        </is>
      </c>
      <c r="B980" s="1" t="n">
        <v>45232</v>
      </c>
      <c r="C980" s="1" t="n">
        <v>45637</v>
      </c>
      <c r="D980" t="inlineStr">
        <is>
          <t>VÄSTERBOTTENS LÄN</t>
        </is>
      </c>
      <c r="E980" t="inlineStr">
        <is>
          <t>VILHELMINA</t>
        </is>
      </c>
      <c r="G980" t="n">
        <v>1.8</v>
      </c>
      <c r="H980" t="n">
        <v>0</v>
      </c>
      <c r="I980" t="n">
        <v>0</v>
      </c>
      <c r="J980" t="n">
        <v>0</v>
      </c>
      <c r="K980" t="n">
        <v>0</v>
      </c>
      <c r="L980" t="n">
        <v>0</v>
      </c>
      <c r="M980" t="n">
        <v>0</v>
      </c>
      <c r="N980" t="n">
        <v>0</v>
      </c>
      <c r="O980" t="n">
        <v>0</v>
      </c>
      <c r="P980" t="n">
        <v>0</v>
      </c>
      <c r="Q980" t="n">
        <v>0</v>
      </c>
      <c r="R980" s="2" t="inlineStr"/>
    </row>
    <row r="981" ht="15" customHeight="1">
      <c r="A981" t="inlineStr">
        <is>
          <t>A 55688-2023</t>
        </is>
      </c>
      <c r="B981" s="1" t="n">
        <v>45232</v>
      </c>
      <c r="C981" s="1" t="n">
        <v>45637</v>
      </c>
      <c r="D981" t="inlineStr">
        <is>
          <t>VÄSTERBOTTENS LÄN</t>
        </is>
      </c>
      <c r="E981" t="inlineStr">
        <is>
          <t>VILHELMINA</t>
        </is>
      </c>
      <c r="G981" t="n">
        <v>6.4</v>
      </c>
      <c r="H981" t="n">
        <v>0</v>
      </c>
      <c r="I981" t="n">
        <v>0</v>
      </c>
      <c r="J981" t="n">
        <v>0</v>
      </c>
      <c r="K981" t="n">
        <v>0</v>
      </c>
      <c r="L981" t="n">
        <v>0</v>
      </c>
      <c r="M981" t="n">
        <v>0</v>
      </c>
      <c r="N981" t="n">
        <v>0</v>
      </c>
      <c r="O981" t="n">
        <v>0</v>
      </c>
      <c r="P981" t="n">
        <v>0</v>
      </c>
      <c r="Q981" t="n">
        <v>0</v>
      </c>
      <c r="R981" s="2" t="inlineStr"/>
    </row>
    <row r="982" ht="15" customHeight="1">
      <c r="A982" t="inlineStr">
        <is>
          <t>A 55722-2023</t>
        </is>
      </c>
      <c r="B982" s="1" t="n">
        <v>45232</v>
      </c>
      <c r="C982" s="1" t="n">
        <v>45637</v>
      </c>
      <c r="D982" t="inlineStr">
        <is>
          <t>VÄSTERBOTTENS LÄN</t>
        </is>
      </c>
      <c r="E982" t="inlineStr">
        <is>
          <t>VILHELMINA</t>
        </is>
      </c>
      <c r="G982" t="n">
        <v>5.8</v>
      </c>
      <c r="H982" t="n">
        <v>0</v>
      </c>
      <c r="I982" t="n">
        <v>0</v>
      </c>
      <c r="J982" t="n">
        <v>0</v>
      </c>
      <c r="K982" t="n">
        <v>0</v>
      </c>
      <c r="L982" t="n">
        <v>0</v>
      </c>
      <c r="M982" t="n">
        <v>0</v>
      </c>
      <c r="N982" t="n">
        <v>0</v>
      </c>
      <c r="O982" t="n">
        <v>0</v>
      </c>
      <c r="P982" t="n">
        <v>0</v>
      </c>
      <c r="Q982" t="n">
        <v>0</v>
      </c>
      <c r="R982" s="2" t="inlineStr"/>
    </row>
    <row r="983" ht="15" customHeight="1">
      <c r="A983" t="inlineStr">
        <is>
          <t>A 55706-2023</t>
        </is>
      </c>
      <c r="B983" s="1" t="n">
        <v>45232</v>
      </c>
      <c r="C983" s="1" t="n">
        <v>45637</v>
      </c>
      <c r="D983" t="inlineStr">
        <is>
          <t>VÄSTERBOTTENS LÄN</t>
        </is>
      </c>
      <c r="E983" t="inlineStr">
        <is>
          <t>VILHELMINA</t>
        </is>
      </c>
      <c r="G983" t="n">
        <v>17.3</v>
      </c>
      <c r="H983" t="n">
        <v>0</v>
      </c>
      <c r="I983" t="n">
        <v>0</v>
      </c>
      <c r="J983" t="n">
        <v>0</v>
      </c>
      <c r="K983" t="n">
        <v>0</v>
      </c>
      <c r="L983" t="n">
        <v>0</v>
      </c>
      <c r="M983" t="n">
        <v>0</v>
      </c>
      <c r="N983" t="n">
        <v>0</v>
      </c>
      <c r="O983" t="n">
        <v>0</v>
      </c>
      <c r="P983" t="n">
        <v>0</v>
      </c>
      <c r="Q983" t="n">
        <v>0</v>
      </c>
      <c r="R983" s="2" t="inlineStr"/>
    </row>
    <row r="984" ht="15" customHeight="1">
      <c r="A984" t="inlineStr">
        <is>
          <t>A 54601-2023</t>
        </is>
      </c>
      <c r="B984" s="1" t="n">
        <v>45233</v>
      </c>
      <c r="C984" s="1" t="n">
        <v>45637</v>
      </c>
      <c r="D984" t="inlineStr">
        <is>
          <t>VÄSTERBOTTENS LÄN</t>
        </is>
      </c>
      <c r="E984" t="inlineStr">
        <is>
          <t>VILHELMINA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54733-2023</t>
        </is>
      </c>
      <c r="B985" s="1" t="n">
        <v>45236</v>
      </c>
      <c r="C985" s="1" t="n">
        <v>45637</v>
      </c>
      <c r="D985" t="inlineStr">
        <is>
          <t>VÄSTERBOTTENS LÄN</t>
        </is>
      </c>
      <c r="E985" t="inlineStr">
        <is>
          <t>VILHELMINA</t>
        </is>
      </c>
      <c r="F985" t="inlineStr">
        <is>
          <t>Sveaskog</t>
        </is>
      </c>
      <c r="G985" t="n">
        <v>7.1</v>
      </c>
      <c r="H985" t="n">
        <v>0</v>
      </c>
      <c r="I985" t="n">
        <v>0</v>
      </c>
      <c r="J985" t="n">
        <v>0</v>
      </c>
      <c r="K985" t="n">
        <v>0</v>
      </c>
      <c r="L985" t="n">
        <v>0</v>
      </c>
      <c r="M985" t="n">
        <v>0</v>
      </c>
      <c r="N985" t="n">
        <v>0</v>
      </c>
      <c r="O985" t="n">
        <v>0</v>
      </c>
      <c r="P985" t="n">
        <v>0</v>
      </c>
      <c r="Q985" t="n">
        <v>0</v>
      </c>
      <c r="R985" s="2" t="inlineStr"/>
    </row>
    <row r="986" ht="15" customHeight="1">
      <c r="A986" t="inlineStr">
        <is>
          <t>A 54983-2023</t>
        </is>
      </c>
      <c r="B986" s="1" t="n">
        <v>45237</v>
      </c>
      <c r="C986" s="1" t="n">
        <v>45637</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54984-2023</t>
        </is>
      </c>
      <c r="B987" s="1" t="n">
        <v>45236</v>
      </c>
      <c r="C987" s="1" t="n">
        <v>45637</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54981-2023</t>
        </is>
      </c>
      <c r="B988" s="1" t="n">
        <v>45237</v>
      </c>
      <c r="C988" s="1" t="n">
        <v>45637</v>
      </c>
      <c r="D988" t="inlineStr">
        <is>
          <t>VÄSTERBOTTENS LÄN</t>
        </is>
      </c>
      <c r="E988" t="inlineStr">
        <is>
          <t>VILHELMINA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54985-2023</t>
        </is>
      </c>
      <c r="B989" s="1" t="n">
        <v>45236</v>
      </c>
      <c r="C989" s="1" t="n">
        <v>45637</v>
      </c>
      <c r="D989" t="inlineStr">
        <is>
          <t>VÄSTERBOTTENS LÄN</t>
        </is>
      </c>
      <c r="E989" t="inlineStr">
        <is>
          <t>VILHELMINA</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55325-2023</t>
        </is>
      </c>
      <c r="B990" s="1" t="n">
        <v>45237</v>
      </c>
      <c r="C990" s="1" t="n">
        <v>45637</v>
      </c>
      <c r="D990" t="inlineStr">
        <is>
          <t>VÄSTERBOTTENS LÄN</t>
        </is>
      </c>
      <c r="E990" t="inlineStr">
        <is>
          <t>VILHELMINA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55326-2023</t>
        </is>
      </c>
      <c r="B991" s="1" t="n">
        <v>45238</v>
      </c>
      <c r="C991" s="1" t="n">
        <v>45637</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55327-2023</t>
        </is>
      </c>
      <c r="B992" s="1" t="n">
        <v>45238</v>
      </c>
      <c r="C992" s="1" t="n">
        <v>45637</v>
      </c>
      <c r="D992" t="inlineStr">
        <is>
          <t>VÄSTERBOTTENS LÄN</t>
        </is>
      </c>
      <c r="E992" t="inlineStr">
        <is>
          <t>VILHELMINA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55335-2023</t>
        </is>
      </c>
      <c r="B993" s="1" t="n">
        <v>45238</v>
      </c>
      <c r="C993" s="1" t="n">
        <v>45637</v>
      </c>
      <c r="D993" t="inlineStr">
        <is>
          <t>VÄSTERBOTTENS LÄN</t>
        </is>
      </c>
      <c r="E993" t="inlineStr">
        <is>
          <t>VILHELMINA</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56754-2023</t>
        </is>
      </c>
      <c r="B994" s="1" t="n">
        <v>45238</v>
      </c>
      <c r="C994" s="1" t="n">
        <v>45637</v>
      </c>
      <c r="D994" t="inlineStr">
        <is>
          <t>VÄSTERBOTTENS LÄN</t>
        </is>
      </c>
      <c r="E994" t="inlineStr">
        <is>
          <t>VILHELMINA</t>
        </is>
      </c>
      <c r="F994" t="inlineStr">
        <is>
          <t>Allmännings- och besparingsskogar</t>
        </is>
      </c>
      <c r="G994" t="n">
        <v>17.7</v>
      </c>
      <c r="H994" t="n">
        <v>0</v>
      </c>
      <c r="I994" t="n">
        <v>0</v>
      </c>
      <c r="J994" t="n">
        <v>0</v>
      </c>
      <c r="K994" t="n">
        <v>0</v>
      </c>
      <c r="L994" t="n">
        <v>0</v>
      </c>
      <c r="M994" t="n">
        <v>0</v>
      </c>
      <c r="N994" t="n">
        <v>0</v>
      </c>
      <c r="O994" t="n">
        <v>0</v>
      </c>
      <c r="P994" t="n">
        <v>0</v>
      </c>
      <c r="Q994" t="n">
        <v>0</v>
      </c>
      <c r="R994" s="2" t="inlineStr"/>
    </row>
    <row r="995" ht="15" customHeight="1">
      <c r="A995" t="inlineStr">
        <is>
          <t>A 56763-2023</t>
        </is>
      </c>
      <c r="B995" s="1" t="n">
        <v>45238</v>
      </c>
      <c r="C995" s="1" t="n">
        <v>45637</v>
      </c>
      <c r="D995" t="inlineStr">
        <is>
          <t>VÄSTERBOTTENS LÄN</t>
        </is>
      </c>
      <c r="E995" t="inlineStr">
        <is>
          <t>VILHELMINA</t>
        </is>
      </c>
      <c r="F995" t="inlineStr">
        <is>
          <t>Allmännings- och besparingsskogar</t>
        </is>
      </c>
      <c r="G995" t="n">
        <v>78</v>
      </c>
      <c r="H995" t="n">
        <v>0</v>
      </c>
      <c r="I995" t="n">
        <v>0</v>
      </c>
      <c r="J995" t="n">
        <v>0</v>
      </c>
      <c r="K995" t="n">
        <v>0</v>
      </c>
      <c r="L995" t="n">
        <v>0</v>
      </c>
      <c r="M995" t="n">
        <v>0</v>
      </c>
      <c r="N995" t="n">
        <v>0</v>
      </c>
      <c r="O995" t="n">
        <v>0</v>
      </c>
      <c r="P995" t="n">
        <v>0</v>
      </c>
      <c r="Q995" t="n">
        <v>0</v>
      </c>
      <c r="R995" s="2" t="inlineStr"/>
    </row>
    <row r="996" ht="15" customHeight="1">
      <c r="A996" t="inlineStr">
        <is>
          <t>A 56823-2023</t>
        </is>
      </c>
      <c r="B996" s="1" t="n">
        <v>45238</v>
      </c>
      <c r="C996" s="1" t="n">
        <v>45637</v>
      </c>
      <c r="D996" t="inlineStr">
        <is>
          <t>VÄSTERBOTTENS LÄN</t>
        </is>
      </c>
      <c r="E996" t="inlineStr">
        <is>
          <t>VILHELMINA</t>
        </is>
      </c>
      <c r="F996" t="inlineStr">
        <is>
          <t>Allmännings- och besparingsskogar</t>
        </is>
      </c>
      <c r="G996" t="n">
        <v>81.40000000000001</v>
      </c>
      <c r="H996" t="n">
        <v>0</v>
      </c>
      <c r="I996" t="n">
        <v>0</v>
      </c>
      <c r="J996" t="n">
        <v>0</v>
      </c>
      <c r="K996" t="n">
        <v>0</v>
      </c>
      <c r="L996" t="n">
        <v>0</v>
      </c>
      <c r="M996" t="n">
        <v>0</v>
      </c>
      <c r="N996" t="n">
        <v>0</v>
      </c>
      <c r="O996" t="n">
        <v>0</v>
      </c>
      <c r="P996" t="n">
        <v>0</v>
      </c>
      <c r="Q996" t="n">
        <v>0</v>
      </c>
      <c r="R996" s="2" t="inlineStr"/>
    </row>
    <row r="997" ht="15" customHeight="1">
      <c r="A997" t="inlineStr">
        <is>
          <t>A 56847-2023</t>
        </is>
      </c>
      <c r="B997" s="1" t="n">
        <v>45238</v>
      </c>
      <c r="C997" s="1" t="n">
        <v>45637</v>
      </c>
      <c r="D997" t="inlineStr">
        <is>
          <t>VÄSTERBOTTENS LÄN</t>
        </is>
      </c>
      <c r="E997" t="inlineStr">
        <is>
          <t>VILHELMINA</t>
        </is>
      </c>
      <c r="F997" t="inlineStr">
        <is>
          <t>Allmännings- och besparingsskogar</t>
        </is>
      </c>
      <c r="G997" t="n">
        <v>41</v>
      </c>
      <c r="H997" t="n">
        <v>0</v>
      </c>
      <c r="I997" t="n">
        <v>0</v>
      </c>
      <c r="J997" t="n">
        <v>0</v>
      </c>
      <c r="K997" t="n">
        <v>0</v>
      </c>
      <c r="L997" t="n">
        <v>0</v>
      </c>
      <c r="M997" t="n">
        <v>0</v>
      </c>
      <c r="N997" t="n">
        <v>0</v>
      </c>
      <c r="O997" t="n">
        <v>0</v>
      </c>
      <c r="P997" t="n">
        <v>0</v>
      </c>
      <c r="Q997" t="n">
        <v>0</v>
      </c>
      <c r="R997" s="2" t="inlineStr"/>
    </row>
    <row r="998" ht="15" customHeight="1">
      <c r="A998" t="inlineStr">
        <is>
          <t>A 56758-2023</t>
        </is>
      </c>
      <c r="B998" s="1" t="n">
        <v>45238</v>
      </c>
      <c r="C998" s="1" t="n">
        <v>45637</v>
      </c>
      <c r="D998" t="inlineStr">
        <is>
          <t>VÄSTERBOTTENS LÄN</t>
        </is>
      </c>
      <c r="E998" t="inlineStr">
        <is>
          <t>VILHELMINA</t>
        </is>
      </c>
      <c r="F998" t="inlineStr">
        <is>
          <t>Allmännings- och besparingsskogar</t>
        </is>
      </c>
      <c r="G998" t="n">
        <v>371.4</v>
      </c>
      <c r="H998" t="n">
        <v>0</v>
      </c>
      <c r="I998" t="n">
        <v>0</v>
      </c>
      <c r="J998" t="n">
        <v>0</v>
      </c>
      <c r="K998" t="n">
        <v>0</v>
      </c>
      <c r="L998" t="n">
        <v>0</v>
      </c>
      <c r="M998" t="n">
        <v>0</v>
      </c>
      <c r="N998" t="n">
        <v>0</v>
      </c>
      <c r="O998" t="n">
        <v>0</v>
      </c>
      <c r="P998" t="n">
        <v>0</v>
      </c>
      <c r="Q998" t="n">
        <v>0</v>
      </c>
      <c r="R998" s="2" t="inlineStr"/>
    </row>
    <row r="999" ht="15" customHeight="1">
      <c r="A999" t="inlineStr">
        <is>
          <t>A 56830-2023</t>
        </is>
      </c>
      <c r="B999" s="1" t="n">
        <v>45238</v>
      </c>
      <c r="C999" s="1" t="n">
        <v>45637</v>
      </c>
      <c r="D999" t="inlineStr">
        <is>
          <t>VÄSTERBOTTENS LÄN</t>
        </is>
      </c>
      <c r="E999" t="inlineStr">
        <is>
          <t>VILHELMINA</t>
        </is>
      </c>
      <c r="F999" t="inlineStr">
        <is>
          <t>Allmännings- och besparingsskogar</t>
        </is>
      </c>
      <c r="G999" t="n">
        <v>66.90000000000001</v>
      </c>
      <c r="H999" t="n">
        <v>0</v>
      </c>
      <c r="I999" t="n">
        <v>0</v>
      </c>
      <c r="J999" t="n">
        <v>0</v>
      </c>
      <c r="K999" t="n">
        <v>0</v>
      </c>
      <c r="L999" t="n">
        <v>0</v>
      </c>
      <c r="M999" t="n">
        <v>0</v>
      </c>
      <c r="N999" t="n">
        <v>0</v>
      </c>
      <c r="O999" t="n">
        <v>0</v>
      </c>
      <c r="P999" t="n">
        <v>0</v>
      </c>
      <c r="Q999" t="n">
        <v>0</v>
      </c>
      <c r="R999" s="2" t="inlineStr"/>
    </row>
    <row r="1000" ht="15" customHeight="1">
      <c r="A1000" t="inlineStr">
        <is>
          <t>A 55643-2023</t>
        </is>
      </c>
      <c r="B1000" s="1" t="n">
        <v>45238</v>
      </c>
      <c r="C1000" s="1" t="n">
        <v>45637</v>
      </c>
      <c r="D1000" t="inlineStr">
        <is>
          <t>VÄSTERBOTTENS LÄN</t>
        </is>
      </c>
      <c r="E1000" t="inlineStr">
        <is>
          <t>VILHELMINA</t>
        </is>
      </c>
      <c r="G1000" t="n">
        <v>23.1</v>
      </c>
      <c r="H1000" t="n">
        <v>0</v>
      </c>
      <c r="I1000" t="n">
        <v>0</v>
      </c>
      <c r="J1000" t="n">
        <v>0</v>
      </c>
      <c r="K1000" t="n">
        <v>0</v>
      </c>
      <c r="L1000" t="n">
        <v>0</v>
      </c>
      <c r="M1000" t="n">
        <v>0</v>
      </c>
      <c r="N1000" t="n">
        <v>0</v>
      </c>
      <c r="O1000" t="n">
        <v>0</v>
      </c>
      <c r="P1000" t="n">
        <v>0</v>
      </c>
      <c r="Q1000" t="n">
        <v>0</v>
      </c>
      <c r="R1000" s="2" t="inlineStr"/>
    </row>
    <row r="1001" ht="15" customHeight="1">
      <c r="A1001" t="inlineStr">
        <is>
          <t>A 56747-2023</t>
        </is>
      </c>
      <c r="B1001" s="1" t="n">
        <v>45238</v>
      </c>
      <c r="C1001" s="1" t="n">
        <v>45637</v>
      </c>
      <c r="D1001" t="inlineStr">
        <is>
          <t>VÄSTERBOTTENS LÄN</t>
        </is>
      </c>
      <c r="E1001" t="inlineStr">
        <is>
          <t>VILHELMINA</t>
        </is>
      </c>
      <c r="F1001" t="inlineStr">
        <is>
          <t>Allmännings- och besparingsskogar</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57137-2023</t>
        </is>
      </c>
      <c r="B1002" s="1" t="n">
        <v>45239</v>
      </c>
      <c r="C1002" s="1" t="n">
        <v>45637</v>
      </c>
      <c r="D1002" t="inlineStr">
        <is>
          <t>VÄSTERBOTTENS LÄN</t>
        </is>
      </c>
      <c r="E1002" t="inlineStr">
        <is>
          <t>VILHELMINA</t>
        </is>
      </c>
      <c r="G1002" t="n">
        <v>38.8</v>
      </c>
      <c r="H1002" t="n">
        <v>0</v>
      </c>
      <c r="I1002" t="n">
        <v>0</v>
      </c>
      <c r="J1002" t="n">
        <v>0</v>
      </c>
      <c r="K1002" t="n">
        <v>0</v>
      </c>
      <c r="L1002" t="n">
        <v>0</v>
      </c>
      <c r="M1002" t="n">
        <v>0</v>
      </c>
      <c r="N1002" t="n">
        <v>0</v>
      </c>
      <c r="O1002" t="n">
        <v>0</v>
      </c>
      <c r="P1002" t="n">
        <v>0</v>
      </c>
      <c r="Q1002" t="n">
        <v>0</v>
      </c>
      <c r="R1002" s="2" t="inlineStr"/>
    </row>
    <row r="1003" ht="15" customHeight="1">
      <c r="A1003" t="inlineStr">
        <is>
          <t>A 57108-2023</t>
        </is>
      </c>
      <c r="B1003" s="1" t="n">
        <v>45239</v>
      </c>
      <c r="C1003" s="1" t="n">
        <v>45637</v>
      </c>
      <c r="D1003" t="inlineStr">
        <is>
          <t>VÄSTERBOTTENS LÄN</t>
        </is>
      </c>
      <c r="E1003" t="inlineStr">
        <is>
          <t>VILHELMINA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56891-2023</t>
        </is>
      </c>
      <c r="B1004" s="1" t="n">
        <v>45239</v>
      </c>
      <c r="C1004" s="1" t="n">
        <v>45637</v>
      </c>
      <c r="D1004" t="inlineStr">
        <is>
          <t>VÄSTERBOTTENS LÄN</t>
        </is>
      </c>
      <c r="E1004" t="inlineStr">
        <is>
          <t>VILHELMINA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57123-2023</t>
        </is>
      </c>
      <c r="B1005" s="1" t="n">
        <v>45239</v>
      </c>
      <c r="C1005" s="1" t="n">
        <v>45637</v>
      </c>
      <c r="D1005" t="inlineStr">
        <is>
          <t>VÄSTERBOTTENS LÄN</t>
        </is>
      </c>
      <c r="E1005" t="inlineStr">
        <is>
          <t>VILHELMINA</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57246-2023</t>
        </is>
      </c>
      <c r="B1006" s="1" t="n">
        <v>45239</v>
      </c>
      <c r="C1006" s="1" t="n">
        <v>45637</v>
      </c>
      <c r="D1006" t="inlineStr">
        <is>
          <t>VÄSTERBOTTENS LÄN</t>
        </is>
      </c>
      <c r="E1006" t="inlineStr">
        <is>
          <t>VILHELMINA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56245-2023</t>
        </is>
      </c>
      <c r="B1007" s="1" t="n">
        <v>45240</v>
      </c>
      <c r="C1007" s="1" t="n">
        <v>45637</v>
      </c>
      <c r="D1007" t="inlineStr">
        <is>
          <t>VÄSTERBOTTENS LÄN</t>
        </is>
      </c>
      <c r="E1007" t="inlineStr">
        <is>
          <t>VILHELMINA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56246-2023</t>
        </is>
      </c>
      <c r="B1008" s="1" t="n">
        <v>45240</v>
      </c>
      <c r="C1008" s="1" t="n">
        <v>45637</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56236-2023</t>
        </is>
      </c>
      <c r="B1009" s="1" t="n">
        <v>45240</v>
      </c>
      <c r="C1009" s="1" t="n">
        <v>45637</v>
      </c>
      <c r="D1009" t="inlineStr">
        <is>
          <t>VÄSTERBOTTENS LÄN</t>
        </is>
      </c>
      <c r="E1009" t="inlineStr">
        <is>
          <t>VILHELMINA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56235-2023</t>
        </is>
      </c>
      <c r="B1010" s="1" t="n">
        <v>45240</v>
      </c>
      <c r="C1010" s="1" t="n">
        <v>45637</v>
      </c>
      <c r="D1010" t="inlineStr">
        <is>
          <t>VÄSTERBOTTENS LÄN</t>
        </is>
      </c>
      <c r="E1010" t="inlineStr">
        <is>
          <t>VILHELMINA</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56617-2023</t>
        </is>
      </c>
      <c r="B1011" s="1" t="n">
        <v>45243</v>
      </c>
      <c r="C1011" s="1" t="n">
        <v>45637</v>
      </c>
      <c r="D1011" t="inlineStr">
        <is>
          <t>VÄSTERBOTTENS LÄN</t>
        </is>
      </c>
      <c r="E1011" t="inlineStr">
        <is>
          <t>VILHELMINA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56622-2023</t>
        </is>
      </c>
      <c r="B1012" s="1" t="n">
        <v>45243</v>
      </c>
      <c r="C1012" s="1" t="n">
        <v>45637</v>
      </c>
      <c r="D1012" t="inlineStr">
        <is>
          <t>VÄSTERBOTTENS LÄN</t>
        </is>
      </c>
      <c r="E1012" t="inlineStr">
        <is>
          <t>VILHELMINA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57691-2023</t>
        </is>
      </c>
      <c r="B1013" s="1" t="n">
        <v>45243</v>
      </c>
      <c r="C1013" s="1" t="n">
        <v>45637</v>
      </c>
      <c r="D1013" t="inlineStr">
        <is>
          <t>VÄSTERBOTTENS LÄN</t>
        </is>
      </c>
      <c r="E1013" t="inlineStr">
        <is>
          <t>VILHELMINA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57058-2023</t>
        </is>
      </c>
      <c r="B1014" s="1" t="n">
        <v>45244</v>
      </c>
      <c r="C1014" s="1" t="n">
        <v>45637</v>
      </c>
      <c r="D1014" t="inlineStr">
        <is>
          <t>VÄSTERBOTTENS LÄN</t>
        </is>
      </c>
      <c r="E1014" t="inlineStr">
        <is>
          <t>VILHELMINA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57057-2023</t>
        </is>
      </c>
      <c r="B1015" s="1" t="n">
        <v>45244</v>
      </c>
      <c r="C1015" s="1" t="n">
        <v>45637</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58362-2023</t>
        </is>
      </c>
      <c r="B1016" s="1" t="n">
        <v>45245</v>
      </c>
      <c r="C1016" s="1" t="n">
        <v>45637</v>
      </c>
      <c r="D1016" t="inlineStr">
        <is>
          <t>VÄSTERBOTTENS LÄN</t>
        </is>
      </c>
      <c r="E1016" t="inlineStr">
        <is>
          <t>VILHELMINA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57795-2023</t>
        </is>
      </c>
      <c r="B1017" s="1" t="n">
        <v>45247</v>
      </c>
      <c r="C1017" s="1" t="n">
        <v>45637</v>
      </c>
      <c r="D1017" t="inlineStr">
        <is>
          <t>VÄSTERBOTTENS LÄN</t>
        </is>
      </c>
      <c r="E1017" t="inlineStr">
        <is>
          <t>VILHELMINA</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58833-2023</t>
        </is>
      </c>
      <c r="B1018" s="1" t="n">
        <v>45248</v>
      </c>
      <c r="C1018" s="1" t="n">
        <v>45637</v>
      </c>
      <c r="D1018" t="inlineStr">
        <is>
          <t>VÄSTERBOTTENS LÄN</t>
        </is>
      </c>
      <c r="E1018" t="inlineStr">
        <is>
          <t>VILHELMINA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58456-2023</t>
        </is>
      </c>
      <c r="B1019" s="1" t="n">
        <v>45251</v>
      </c>
      <c r="C1019" s="1" t="n">
        <v>45637</v>
      </c>
      <c r="D1019" t="inlineStr">
        <is>
          <t>VÄSTERBOTTENS LÄN</t>
        </is>
      </c>
      <c r="E1019" t="inlineStr">
        <is>
          <t>VILHELMINA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58756-2023</t>
        </is>
      </c>
      <c r="B1020" s="1" t="n">
        <v>45251</v>
      </c>
      <c r="C1020" s="1" t="n">
        <v>45637</v>
      </c>
      <c r="D1020" t="inlineStr">
        <is>
          <t>VÄSTERBOTTENS LÄN</t>
        </is>
      </c>
      <c r="E1020" t="inlineStr">
        <is>
          <t>VILHELMINA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59117-2023</t>
        </is>
      </c>
      <c r="B1021" s="1" t="n">
        <v>45251</v>
      </c>
      <c r="C1021" s="1" t="n">
        <v>45637</v>
      </c>
      <c r="D1021" t="inlineStr">
        <is>
          <t>VÄSTERBOTTENS LÄN</t>
        </is>
      </c>
      <c r="E1021" t="inlineStr">
        <is>
          <t>VILHELMINA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58749-2023</t>
        </is>
      </c>
      <c r="B1022" s="1" t="n">
        <v>45251</v>
      </c>
      <c r="C1022" s="1" t="n">
        <v>45637</v>
      </c>
      <c r="D1022" t="inlineStr">
        <is>
          <t>VÄSTERBOTTENS LÄN</t>
        </is>
      </c>
      <c r="E1022" t="inlineStr">
        <is>
          <t>VILHELMINA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59110-2023</t>
        </is>
      </c>
      <c r="B1023" s="1" t="n">
        <v>45251</v>
      </c>
      <c r="C1023" s="1" t="n">
        <v>45637</v>
      </c>
      <c r="D1023" t="inlineStr">
        <is>
          <t>VÄSTERBOTTENS LÄN</t>
        </is>
      </c>
      <c r="E1023" t="inlineStr">
        <is>
          <t>VILHELMINA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59083-2023</t>
        </is>
      </c>
      <c r="B1024" s="1" t="n">
        <v>45252</v>
      </c>
      <c r="C1024" s="1" t="n">
        <v>45637</v>
      </c>
      <c r="D1024" t="inlineStr">
        <is>
          <t>VÄSTERBOTTENS LÄN</t>
        </is>
      </c>
      <c r="E1024" t="inlineStr">
        <is>
          <t>VILHELMINA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59664-2023</t>
        </is>
      </c>
      <c r="B1025" s="1" t="n">
        <v>45254</v>
      </c>
      <c r="C1025" s="1" t="n">
        <v>45637</v>
      </c>
      <c r="D1025" t="inlineStr">
        <is>
          <t>VÄSTERBOTTENS LÄN</t>
        </is>
      </c>
      <c r="E1025" t="inlineStr">
        <is>
          <t>VILHELMINA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60035-2023</t>
        </is>
      </c>
      <c r="B1026" s="1" t="n">
        <v>45254</v>
      </c>
      <c r="C1026" s="1" t="n">
        <v>45637</v>
      </c>
      <c r="D1026" t="inlineStr">
        <is>
          <t>VÄSTERBOTTENS LÄN</t>
        </is>
      </c>
      <c r="E1026" t="inlineStr">
        <is>
          <t>VILHELMINA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59663-2023</t>
        </is>
      </c>
      <c r="B1027" s="1" t="n">
        <v>45254</v>
      </c>
      <c r="C1027" s="1" t="n">
        <v>45637</v>
      </c>
      <c r="D1027" t="inlineStr">
        <is>
          <t>VÄSTERBOTTENS LÄN</t>
        </is>
      </c>
      <c r="E1027" t="inlineStr">
        <is>
          <t>VILHELMINA</t>
        </is>
      </c>
      <c r="F1027" t="inlineStr">
        <is>
          <t>SCA</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59671-2023</t>
        </is>
      </c>
      <c r="B1028" s="1" t="n">
        <v>45255</v>
      </c>
      <c r="C1028" s="1" t="n">
        <v>45637</v>
      </c>
      <c r="D1028" t="inlineStr">
        <is>
          <t>VÄSTERBOTTENS LÄN</t>
        </is>
      </c>
      <c r="E1028" t="inlineStr">
        <is>
          <t>VILHELMINA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60782-2023</t>
        </is>
      </c>
      <c r="B1029" s="1" t="n">
        <v>45259</v>
      </c>
      <c r="C1029" s="1" t="n">
        <v>45637</v>
      </c>
      <c r="D1029" t="inlineStr">
        <is>
          <t>VÄSTERBOTTENS LÄN</t>
        </is>
      </c>
      <c r="E1029" t="inlineStr">
        <is>
          <t>VILHELMINA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60842-2023</t>
        </is>
      </c>
      <c r="B1030" s="1" t="n">
        <v>45260</v>
      </c>
      <c r="C1030" s="1" t="n">
        <v>45637</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60841-2023</t>
        </is>
      </c>
      <c r="B1031" s="1" t="n">
        <v>45260</v>
      </c>
      <c r="C1031" s="1" t="n">
        <v>45637</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61778-2023</t>
        </is>
      </c>
      <c r="B1032" s="1" t="n">
        <v>45265</v>
      </c>
      <c r="C1032" s="1" t="n">
        <v>45637</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61777-2023</t>
        </is>
      </c>
      <c r="B1033" s="1" t="n">
        <v>45265</v>
      </c>
      <c r="C1033" s="1" t="n">
        <v>45637</v>
      </c>
      <c r="D1033" t="inlineStr">
        <is>
          <t>VÄSTERBOTTENS LÄN</t>
        </is>
      </c>
      <c r="E1033" t="inlineStr">
        <is>
          <t>VILHELMINA</t>
        </is>
      </c>
      <c r="F1033" t="inlineStr">
        <is>
          <t>SCA</t>
        </is>
      </c>
      <c r="G1033" t="n">
        <v>20.6</v>
      </c>
      <c r="H1033" t="n">
        <v>0</v>
      </c>
      <c r="I1033" t="n">
        <v>0</v>
      </c>
      <c r="J1033" t="n">
        <v>0</v>
      </c>
      <c r="K1033" t="n">
        <v>0</v>
      </c>
      <c r="L1033" t="n">
        <v>0</v>
      </c>
      <c r="M1033" t="n">
        <v>0</v>
      </c>
      <c r="N1033" t="n">
        <v>0</v>
      </c>
      <c r="O1033" t="n">
        <v>0</v>
      </c>
      <c r="P1033" t="n">
        <v>0</v>
      </c>
      <c r="Q1033" t="n">
        <v>0</v>
      </c>
      <c r="R1033" s="2" t="inlineStr"/>
    </row>
    <row r="1034" ht="15" customHeight="1">
      <c r="A1034" t="inlineStr">
        <is>
          <t>A 61780-2023</t>
        </is>
      </c>
      <c r="B1034" s="1" t="n">
        <v>45265</v>
      </c>
      <c r="C1034" s="1" t="n">
        <v>45637</v>
      </c>
      <c r="D1034" t="inlineStr">
        <is>
          <t>VÄSTERBOTTENS LÄN</t>
        </is>
      </c>
      <c r="E1034" t="inlineStr">
        <is>
          <t>VILHELMINA</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61779-2023</t>
        </is>
      </c>
      <c r="B1035" s="1" t="n">
        <v>45265</v>
      </c>
      <c r="C1035" s="1" t="n">
        <v>45637</v>
      </c>
      <c r="D1035" t="inlineStr">
        <is>
          <t>VÄSTERBOTTENS LÄN</t>
        </is>
      </c>
      <c r="E1035" t="inlineStr">
        <is>
          <t>VILHELMINA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62015-2023</t>
        </is>
      </c>
      <c r="B1036" s="1" t="n">
        <v>45265</v>
      </c>
      <c r="C1036" s="1" t="n">
        <v>45637</v>
      </c>
      <c r="D1036" t="inlineStr">
        <is>
          <t>VÄSTERBOTTENS LÄN</t>
        </is>
      </c>
      <c r="E1036" t="inlineStr">
        <is>
          <t>VILHELMINA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61973-2023</t>
        </is>
      </c>
      <c r="B1037" s="1" t="n">
        <v>45265</v>
      </c>
      <c r="C1037" s="1" t="n">
        <v>45637</v>
      </c>
      <c r="D1037" t="inlineStr">
        <is>
          <t>VÄSTERBOTTENS LÄN</t>
        </is>
      </c>
      <c r="E1037" t="inlineStr">
        <is>
          <t>VILHELMINA</t>
        </is>
      </c>
      <c r="G1037" t="n">
        <v>24.9</v>
      </c>
      <c r="H1037" t="n">
        <v>0</v>
      </c>
      <c r="I1037" t="n">
        <v>0</v>
      </c>
      <c r="J1037" t="n">
        <v>0</v>
      </c>
      <c r="K1037" t="n">
        <v>0</v>
      </c>
      <c r="L1037" t="n">
        <v>0</v>
      </c>
      <c r="M1037" t="n">
        <v>0</v>
      </c>
      <c r="N1037" t="n">
        <v>0</v>
      </c>
      <c r="O1037" t="n">
        <v>0</v>
      </c>
      <c r="P1037" t="n">
        <v>0</v>
      </c>
      <c r="Q1037" t="n">
        <v>0</v>
      </c>
      <c r="R1037" s="2" t="inlineStr"/>
    </row>
    <row r="1038" ht="15" customHeight="1">
      <c r="A1038" t="inlineStr">
        <is>
          <t>A 62021-2023</t>
        </is>
      </c>
      <c r="B1038" s="1" t="n">
        <v>45265</v>
      </c>
      <c r="C1038" s="1" t="n">
        <v>45637</v>
      </c>
      <c r="D1038" t="inlineStr">
        <is>
          <t>VÄSTERBOTTENS LÄN</t>
        </is>
      </c>
      <c r="E1038" t="inlineStr">
        <is>
          <t>VILHELMINA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62663-2023</t>
        </is>
      </c>
      <c r="B1039" s="1" t="n">
        <v>45267</v>
      </c>
      <c r="C1039" s="1" t="n">
        <v>45637</v>
      </c>
      <c r="D1039" t="inlineStr">
        <is>
          <t>VÄSTERBOTTENS LÄN</t>
        </is>
      </c>
      <c r="E1039" t="inlineStr">
        <is>
          <t>VILHELMINA</t>
        </is>
      </c>
      <c r="F1039" t="inlineStr">
        <is>
          <t>Allmännings- och besparingsskogar</t>
        </is>
      </c>
      <c r="G1039" t="n">
        <v>19.3</v>
      </c>
      <c r="H1039" t="n">
        <v>0</v>
      </c>
      <c r="I1039" t="n">
        <v>0</v>
      </c>
      <c r="J1039" t="n">
        <v>0</v>
      </c>
      <c r="K1039" t="n">
        <v>0</v>
      </c>
      <c r="L1039" t="n">
        <v>0</v>
      </c>
      <c r="M1039" t="n">
        <v>0</v>
      </c>
      <c r="N1039" t="n">
        <v>0</v>
      </c>
      <c r="O1039" t="n">
        <v>0</v>
      </c>
      <c r="P1039" t="n">
        <v>0</v>
      </c>
      <c r="Q1039" t="n">
        <v>0</v>
      </c>
      <c r="R1039" s="2" t="inlineStr"/>
    </row>
    <row r="1040" ht="15" customHeight="1">
      <c r="A1040" t="inlineStr">
        <is>
          <t>A 62673-2023</t>
        </is>
      </c>
      <c r="B1040" s="1" t="n">
        <v>45267</v>
      </c>
      <c r="C1040" s="1" t="n">
        <v>45637</v>
      </c>
      <c r="D1040" t="inlineStr">
        <is>
          <t>VÄSTERBOTTENS LÄN</t>
        </is>
      </c>
      <c r="E1040" t="inlineStr">
        <is>
          <t>VILHELMINA</t>
        </is>
      </c>
      <c r="F1040" t="inlineStr">
        <is>
          <t>Allmännings- och besparingsskogar</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63050-2023</t>
        </is>
      </c>
      <c r="B1041" s="1" t="n">
        <v>45272</v>
      </c>
      <c r="C1041" s="1" t="n">
        <v>45637</v>
      </c>
      <c r="D1041" t="inlineStr">
        <is>
          <t>VÄSTERBOTTENS LÄN</t>
        </is>
      </c>
      <c r="E1041" t="inlineStr">
        <is>
          <t>VILHELMINA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63049-2023</t>
        </is>
      </c>
      <c r="B1042" s="1" t="n">
        <v>45272</v>
      </c>
      <c r="C1042" s="1" t="n">
        <v>45637</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63053-2023</t>
        </is>
      </c>
      <c r="B1043" s="1" t="n">
        <v>45272</v>
      </c>
      <c r="C1043" s="1" t="n">
        <v>45637</v>
      </c>
      <c r="D1043" t="inlineStr">
        <is>
          <t>VÄSTERBOTTENS LÄN</t>
        </is>
      </c>
      <c r="E1043" t="inlineStr">
        <is>
          <t>VILHELMINA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63563-2023</t>
        </is>
      </c>
      <c r="B1044" s="1" t="n">
        <v>45274</v>
      </c>
      <c r="C1044" s="1" t="n">
        <v>45637</v>
      </c>
      <c r="D1044" t="inlineStr">
        <is>
          <t>VÄSTERBOTTENS LÄN</t>
        </is>
      </c>
      <c r="E1044" t="inlineStr">
        <is>
          <t>VILHELMINA</t>
        </is>
      </c>
      <c r="F1044" t="inlineStr">
        <is>
          <t>Övriga Aktiebolag</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63877-2023</t>
        </is>
      </c>
      <c r="B1045" s="1" t="n">
        <v>45278</v>
      </c>
      <c r="C1045" s="1" t="n">
        <v>45637</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64029-2023</t>
        </is>
      </c>
      <c r="B1046" s="1" t="n">
        <v>45278</v>
      </c>
      <c r="C1046" s="1" t="n">
        <v>45637</v>
      </c>
      <c r="D1046" t="inlineStr">
        <is>
          <t>VÄSTERBOTTENS LÄN</t>
        </is>
      </c>
      <c r="E1046" t="inlineStr">
        <is>
          <t>VILHELMINA</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64028-2023</t>
        </is>
      </c>
      <c r="B1047" s="1" t="n">
        <v>45278</v>
      </c>
      <c r="C1047" s="1" t="n">
        <v>45637</v>
      </c>
      <c r="D1047" t="inlineStr">
        <is>
          <t>VÄSTERBOTTENS LÄN</t>
        </is>
      </c>
      <c r="E1047" t="inlineStr">
        <is>
          <t>VILHELMINA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64027-2023</t>
        </is>
      </c>
      <c r="B1048" s="1" t="n">
        <v>45278</v>
      </c>
      <c r="C1048" s="1" t="n">
        <v>45637</v>
      </c>
      <c r="D1048" t="inlineStr">
        <is>
          <t>VÄSTERBOTTENS LÄN</t>
        </is>
      </c>
      <c r="E1048" t="inlineStr">
        <is>
          <t>VILHELMINA</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64362-2023</t>
        </is>
      </c>
      <c r="B1049" s="1" t="n">
        <v>45280</v>
      </c>
      <c r="C1049" s="1" t="n">
        <v>45637</v>
      </c>
      <c r="D1049" t="inlineStr">
        <is>
          <t>VÄSTERBOTTENS LÄN</t>
        </is>
      </c>
      <c r="E1049" t="inlineStr">
        <is>
          <t>VILHELMINA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64495-2023</t>
        </is>
      </c>
      <c r="B1050" s="1" t="n">
        <v>45280</v>
      </c>
      <c r="C1050" s="1" t="n">
        <v>45637</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64421-2023</t>
        </is>
      </c>
      <c r="B1051" s="1" t="n">
        <v>45280</v>
      </c>
      <c r="C1051" s="1" t="n">
        <v>45637</v>
      </c>
      <c r="D1051" t="inlineStr">
        <is>
          <t>VÄSTERBOTTENS LÄN</t>
        </is>
      </c>
      <c r="E1051" t="inlineStr">
        <is>
          <t>VILHELMINA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64592-2023</t>
        </is>
      </c>
      <c r="B1052" s="1" t="n">
        <v>45281</v>
      </c>
      <c r="C1052" s="1" t="n">
        <v>45637</v>
      </c>
      <c r="D1052" t="inlineStr">
        <is>
          <t>VÄSTERBOTTENS LÄN</t>
        </is>
      </c>
      <c r="E1052" t="inlineStr">
        <is>
          <t>VILHELMINA</t>
        </is>
      </c>
      <c r="F1052" t="inlineStr">
        <is>
          <t>Kommuner</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65042-2023</t>
        </is>
      </c>
      <c r="B1053" s="1" t="n">
        <v>45282</v>
      </c>
      <c r="C1053" s="1" t="n">
        <v>45637</v>
      </c>
      <c r="D1053" t="inlineStr">
        <is>
          <t>VÄSTERBOTTENS LÄN</t>
        </is>
      </c>
      <c r="E1053" t="inlineStr">
        <is>
          <t>VILHELMINA</t>
        </is>
      </c>
      <c r="F1053" t="inlineStr">
        <is>
          <t>Övriga Aktiebolag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367-2024</t>
        </is>
      </c>
      <c r="B1054" s="1" t="n">
        <v>45295</v>
      </c>
      <c r="C1054" s="1" t="n">
        <v>45637</v>
      </c>
      <c r="D1054" t="inlineStr">
        <is>
          <t>VÄSTERBOTTENS LÄN</t>
        </is>
      </c>
      <c r="E1054" t="inlineStr">
        <is>
          <t>VILHELMINA</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370-2024</t>
        </is>
      </c>
      <c r="B1055" s="1" t="n">
        <v>45296</v>
      </c>
      <c r="C1055" s="1" t="n">
        <v>45637</v>
      </c>
      <c r="D1055" t="inlineStr">
        <is>
          <t>VÄSTERBOTTENS LÄN</t>
        </is>
      </c>
      <c r="E1055" t="inlineStr">
        <is>
          <t>VILHELMINA</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475-2024</t>
        </is>
      </c>
      <c r="B1056" s="1" t="n">
        <v>45297</v>
      </c>
      <c r="C1056" s="1" t="n">
        <v>45637</v>
      </c>
      <c r="D1056" t="inlineStr">
        <is>
          <t>VÄSTERBOTTENS LÄN</t>
        </is>
      </c>
      <c r="E1056" t="inlineStr">
        <is>
          <t>VILHELMINA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468-2024</t>
        </is>
      </c>
      <c r="B1057" s="1" t="n">
        <v>45297</v>
      </c>
      <c r="C1057" s="1" t="n">
        <v>45637</v>
      </c>
      <c r="D1057" t="inlineStr">
        <is>
          <t>VÄSTERBOTTENS LÄN</t>
        </is>
      </c>
      <c r="E1057" t="inlineStr">
        <is>
          <t>VILHELMINA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706-2024</t>
        </is>
      </c>
      <c r="B1058" s="1" t="n">
        <v>45300</v>
      </c>
      <c r="C1058" s="1" t="n">
        <v>45637</v>
      </c>
      <c r="D1058" t="inlineStr">
        <is>
          <t>VÄSTERBOTTENS LÄN</t>
        </is>
      </c>
      <c r="E1058" t="inlineStr">
        <is>
          <t>VILHELMINA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1780-2024</t>
        </is>
      </c>
      <c r="B1059" s="1" t="n">
        <v>45307</v>
      </c>
      <c r="C1059" s="1" t="n">
        <v>45637</v>
      </c>
      <c r="D1059" t="inlineStr">
        <is>
          <t>VÄSTERBOTTENS LÄN</t>
        </is>
      </c>
      <c r="E1059" t="inlineStr">
        <is>
          <t>VILHELMINA</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1854-2024</t>
        </is>
      </c>
      <c r="B1060" s="1" t="n">
        <v>45307</v>
      </c>
      <c r="C1060" s="1" t="n">
        <v>45637</v>
      </c>
      <c r="D1060" t="inlineStr">
        <is>
          <t>VÄSTERBOTTENS LÄN</t>
        </is>
      </c>
      <c r="E1060" t="inlineStr">
        <is>
          <t>VILHELMINA</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1940-2024</t>
        </is>
      </c>
      <c r="B1061" s="1" t="n">
        <v>45308</v>
      </c>
      <c r="C1061" s="1" t="n">
        <v>45637</v>
      </c>
      <c r="D1061" t="inlineStr">
        <is>
          <t>VÄSTERBOTTENS LÄN</t>
        </is>
      </c>
      <c r="E1061" t="inlineStr">
        <is>
          <t>VILHELMINA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2022-2024</t>
        </is>
      </c>
      <c r="B1062" s="1" t="n">
        <v>45308</v>
      </c>
      <c r="C1062" s="1" t="n">
        <v>45637</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2023-2024</t>
        </is>
      </c>
      <c r="B1063" s="1" t="n">
        <v>45308</v>
      </c>
      <c r="C1063" s="1" t="n">
        <v>45637</v>
      </c>
      <c r="D1063" t="inlineStr">
        <is>
          <t>VÄSTERBOTTENS LÄN</t>
        </is>
      </c>
      <c r="E1063" t="inlineStr">
        <is>
          <t>VILHELMINA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3237-2024</t>
        </is>
      </c>
      <c r="B1064" s="1" t="n">
        <v>45316</v>
      </c>
      <c r="C1064" s="1" t="n">
        <v>45637</v>
      </c>
      <c r="D1064" t="inlineStr">
        <is>
          <t>VÄSTERBOTTENS LÄN</t>
        </is>
      </c>
      <c r="E1064" t="inlineStr">
        <is>
          <t>VILHELMINA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3620-2024</t>
        </is>
      </c>
      <c r="B1065" s="1" t="n">
        <v>45320</v>
      </c>
      <c r="C1065" s="1" t="n">
        <v>45637</v>
      </c>
      <c r="D1065" t="inlineStr">
        <is>
          <t>VÄSTERBOTTENS LÄN</t>
        </is>
      </c>
      <c r="E1065" t="inlineStr">
        <is>
          <t>VILHELMINA</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4291-2024</t>
        </is>
      </c>
      <c r="B1066" s="1" t="n">
        <v>45324</v>
      </c>
      <c r="C1066" s="1" t="n">
        <v>45637</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5435-2024</t>
        </is>
      </c>
      <c r="B1067" s="1" t="n">
        <v>45331</v>
      </c>
      <c r="C1067" s="1" t="n">
        <v>45637</v>
      </c>
      <c r="D1067" t="inlineStr">
        <is>
          <t>VÄSTERBOTTENS LÄN</t>
        </is>
      </c>
      <c r="E1067" t="inlineStr">
        <is>
          <t>VILHELMINA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5434-2024</t>
        </is>
      </c>
      <c r="B1068" s="1" t="n">
        <v>45331</v>
      </c>
      <c r="C1068" s="1" t="n">
        <v>45637</v>
      </c>
      <c r="D1068" t="inlineStr">
        <is>
          <t>VÄSTERBOTTENS LÄN</t>
        </is>
      </c>
      <c r="E1068" t="inlineStr">
        <is>
          <t>VILHELMINA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5432-2024</t>
        </is>
      </c>
      <c r="B1069" s="1" t="n">
        <v>45331</v>
      </c>
      <c r="C1069" s="1" t="n">
        <v>45637</v>
      </c>
      <c r="D1069" t="inlineStr">
        <is>
          <t>VÄSTERBOTTENS LÄN</t>
        </is>
      </c>
      <c r="E1069" t="inlineStr">
        <is>
          <t>VILHELMINA</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5549-2024</t>
        </is>
      </c>
      <c r="B1070" s="1" t="n">
        <v>45332</v>
      </c>
      <c r="C1070" s="1" t="n">
        <v>45637</v>
      </c>
      <c r="D1070" t="inlineStr">
        <is>
          <t>VÄSTERBOTTENS LÄN</t>
        </is>
      </c>
      <c r="E1070" t="inlineStr">
        <is>
          <t>VILHELMINA</t>
        </is>
      </c>
      <c r="G1070" t="n">
        <v>25.8</v>
      </c>
      <c r="H1070" t="n">
        <v>0</v>
      </c>
      <c r="I1070" t="n">
        <v>0</v>
      </c>
      <c r="J1070" t="n">
        <v>0</v>
      </c>
      <c r="K1070" t="n">
        <v>0</v>
      </c>
      <c r="L1070" t="n">
        <v>0</v>
      </c>
      <c r="M1070" t="n">
        <v>0</v>
      </c>
      <c r="N1070" t="n">
        <v>0</v>
      </c>
      <c r="O1070" t="n">
        <v>0</v>
      </c>
      <c r="P1070" t="n">
        <v>0</v>
      </c>
      <c r="Q1070" t="n">
        <v>0</v>
      </c>
      <c r="R1070" s="2" t="inlineStr"/>
    </row>
    <row r="1071" ht="15" customHeight="1">
      <c r="A1071" t="inlineStr">
        <is>
          <t>A 5552-2024</t>
        </is>
      </c>
      <c r="B1071" s="1" t="n">
        <v>45332</v>
      </c>
      <c r="C1071" s="1" t="n">
        <v>45637</v>
      </c>
      <c r="D1071" t="inlineStr">
        <is>
          <t>VÄSTERBOTTENS LÄN</t>
        </is>
      </c>
      <c r="E1071" t="inlineStr">
        <is>
          <t>VILHELMINA</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5482-2024</t>
        </is>
      </c>
      <c r="B1072" s="1" t="n">
        <v>45333</v>
      </c>
      <c r="C1072" s="1" t="n">
        <v>45637</v>
      </c>
      <c r="D1072" t="inlineStr">
        <is>
          <t>VÄSTERBOTTENS LÄN</t>
        </is>
      </c>
      <c r="E1072" t="inlineStr">
        <is>
          <t>VILHELMINA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5497-2024</t>
        </is>
      </c>
      <c r="B1073" s="1" t="n">
        <v>45334</v>
      </c>
      <c r="C1073" s="1" t="n">
        <v>45637</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6281-2024</t>
        </is>
      </c>
      <c r="B1074" s="1" t="n">
        <v>45337</v>
      </c>
      <c r="C1074" s="1" t="n">
        <v>45637</v>
      </c>
      <c r="D1074" t="inlineStr">
        <is>
          <t>VÄSTERBOTTENS LÄN</t>
        </is>
      </c>
      <c r="E1074" t="inlineStr">
        <is>
          <t>VILHELMINA</t>
        </is>
      </c>
      <c r="F1074" t="inlineStr">
        <is>
          <t>SCA</t>
        </is>
      </c>
      <c r="G1074" t="n">
        <v>17.6</v>
      </c>
      <c r="H1074" t="n">
        <v>0</v>
      </c>
      <c r="I1074" t="n">
        <v>0</v>
      </c>
      <c r="J1074" t="n">
        <v>0</v>
      </c>
      <c r="K1074" t="n">
        <v>0</v>
      </c>
      <c r="L1074" t="n">
        <v>0</v>
      </c>
      <c r="M1074" t="n">
        <v>0</v>
      </c>
      <c r="N1074" t="n">
        <v>0</v>
      </c>
      <c r="O1074" t="n">
        <v>0</v>
      </c>
      <c r="P1074" t="n">
        <v>0</v>
      </c>
      <c r="Q1074" t="n">
        <v>0</v>
      </c>
      <c r="R1074" s="2" t="inlineStr"/>
    </row>
    <row r="1075" ht="15" customHeight="1">
      <c r="A1075" t="inlineStr">
        <is>
          <t>A 6280-2024</t>
        </is>
      </c>
      <c r="B1075" s="1" t="n">
        <v>45337</v>
      </c>
      <c r="C1075" s="1" t="n">
        <v>45637</v>
      </c>
      <c r="D1075" t="inlineStr">
        <is>
          <t>VÄSTERBOTTENS LÄN</t>
        </is>
      </c>
      <c r="E1075" t="inlineStr">
        <is>
          <t>VILHELMINA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6369-2024</t>
        </is>
      </c>
      <c r="B1076" s="1" t="n">
        <v>45338</v>
      </c>
      <c r="C1076" s="1" t="n">
        <v>45637</v>
      </c>
      <c r="D1076" t="inlineStr">
        <is>
          <t>VÄSTERBOTTENS LÄN</t>
        </is>
      </c>
      <c r="E1076" t="inlineStr">
        <is>
          <t>VILHELMINA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6358-2024</t>
        </is>
      </c>
      <c r="B1077" s="1" t="n">
        <v>45338</v>
      </c>
      <c r="C1077" s="1" t="n">
        <v>45637</v>
      </c>
      <c r="D1077" t="inlineStr">
        <is>
          <t>VÄSTERBOTTENS LÄN</t>
        </is>
      </c>
      <c r="E1077" t="inlineStr">
        <is>
          <t>VILHELMINA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7102-2024</t>
        </is>
      </c>
      <c r="B1078" s="1" t="n">
        <v>45343</v>
      </c>
      <c r="C1078" s="1" t="n">
        <v>45637</v>
      </c>
      <c r="D1078" t="inlineStr">
        <is>
          <t>VÄSTERBOTTENS LÄN</t>
        </is>
      </c>
      <c r="E1078" t="inlineStr">
        <is>
          <t>VILHELMINA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7259-2024</t>
        </is>
      </c>
      <c r="B1079" s="1" t="n">
        <v>45344</v>
      </c>
      <c r="C1079" s="1" t="n">
        <v>45637</v>
      </c>
      <c r="D1079" t="inlineStr">
        <is>
          <t>VÄSTERBOTTENS LÄN</t>
        </is>
      </c>
      <c r="E1079" t="inlineStr">
        <is>
          <t>VILHELMINA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7777-2024</t>
        </is>
      </c>
      <c r="B1080" s="1" t="n">
        <v>45349</v>
      </c>
      <c r="C1080" s="1" t="n">
        <v>45637</v>
      </c>
      <c r="D1080" t="inlineStr">
        <is>
          <t>VÄSTERBOTTENS LÄN</t>
        </is>
      </c>
      <c r="E1080" t="inlineStr">
        <is>
          <t>VILHELMINA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8544-2024</t>
        </is>
      </c>
      <c r="B1081" s="1" t="n">
        <v>45351</v>
      </c>
      <c r="C1081" s="1" t="n">
        <v>45637</v>
      </c>
      <c r="D1081" t="inlineStr">
        <is>
          <t>VÄSTERBOTTENS LÄN</t>
        </is>
      </c>
      <c r="E1081" t="inlineStr">
        <is>
          <t>VILHELMINA</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8664-2024</t>
        </is>
      </c>
      <c r="B1082" s="1" t="n">
        <v>45356</v>
      </c>
      <c r="C1082" s="1" t="n">
        <v>45637</v>
      </c>
      <c r="D1082" t="inlineStr">
        <is>
          <t>VÄSTERBOTTENS LÄN</t>
        </is>
      </c>
      <c r="E1082" t="inlineStr">
        <is>
          <t>VILHELMINA</t>
        </is>
      </c>
      <c r="F1082" t="inlineStr">
        <is>
          <t>SCA</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9815-2024</t>
        </is>
      </c>
      <c r="B1083" s="1" t="n">
        <v>45363</v>
      </c>
      <c r="C1083" s="1" t="n">
        <v>45637</v>
      </c>
      <c r="D1083" t="inlineStr">
        <is>
          <t>VÄSTERBOTTENS LÄN</t>
        </is>
      </c>
      <c r="E1083" t="inlineStr">
        <is>
          <t>VILHELMINA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10617-2024</t>
        </is>
      </c>
      <c r="B1084" s="1" t="n">
        <v>45367</v>
      </c>
      <c r="C1084" s="1" t="n">
        <v>45637</v>
      </c>
      <c r="D1084" t="inlineStr">
        <is>
          <t>VÄSTERBOTTENS LÄN</t>
        </is>
      </c>
      <c r="E1084" t="inlineStr">
        <is>
          <t>VILHELMINA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11538-2024</t>
        </is>
      </c>
      <c r="B1085" s="1" t="n">
        <v>45372</v>
      </c>
      <c r="C1085" s="1" t="n">
        <v>45637</v>
      </c>
      <c r="D1085" t="inlineStr">
        <is>
          <t>VÄSTERBOTTENS LÄN</t>
        </is>
      </c>
      <c r="E1085" t="inlineStr">
        <is>
          <t>VILHELMINA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11806-2024</t>
        </is>
      </c>
      <c r="B1086" s="1" t="n">
        <v>45375</v>
      </c>
      <c r="C1086" s="1" t="n">
        <v>45637</v>
      </c>
      <c r="D1086" t="inlineStr">
        <is>
          <t>VÄSTERBOTTENS LÄN</t>
        </is>
      </c>
      <c r="E1086" t="inlineStr">
        <is>
          <t>VILHELMINA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12118-2024</t>
        </is>
      </c>
      <c r="B1087" s="1" t="n">
        <v>45376</v>
      </c>
      <c r="C1087" s="1" t="n">
        <v>45637</v>
      </c>
      <c r="D1087" t="inlineStr">
        <is>
          <t>VÄSTERBOTTENS LÄN</t>
        </is>
      </c>
      <c r="E1087" t="inlineStr">
        <is>
          <t>VILHELMINA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12189-2024</t>
        </is>
      </c>
      <c r="B1088" s="1" t="n">
        <v>45377</v>
      </c>
      <c r="C1088" s="1" t="n">
        <v>45637</v>
      </c>
      <c r="D1088" t="inlineStr">
        <is>
          <t>VÄSTERBOTTENS LÄN</t>
        </is>
      </c>
      <c r="E1088" t="inlineStr">
        <is>
          <t>VILHELMINA</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12192-2024</t>
        </is>
      </c>
      <c r="B1089" s="1" t="n">
        <v>45377</v>
      </c>
      <c r="C1089" s="1" t="n">
        <v>45637</v>
      </c>
      <c r="D1089" t="inlineStr">
        <is>
          <t>VÄSTERBOTTENS LÄN</t>
        </is>
      </c>
      <c r="E1089" t="inlineStr">
        <is>
          <t>VILHELMINA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12190-2024</t>
        </is>
      </c>
      <c r="B1090" s="1" t="n">
        <v>45377</v>
      </c>
      <c r="C1090" s="1" t="n">
        <v>45637</v>
      </c>
      <c r="D1090" t="inlineStr">
        <is>
          <t>VÄSTERBOTTENS LÄN</t>
        </is>
      </c>
      <c r="E1090" t="inlineStr">
        <is>
          <t>VILHELMINA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12191-2024</t>
        </is>
      </c>
      <c r="B1091" s="1" t="n">
        <v>45377</v>
      </c>
      <c r="C1091" s="1" t="n">
        <v>45637</v>
      </c>
      <c r="D1091" t="inlineStr">
        <is>
          <t>VÄSTERBOTTENS LÄN</t>
        </is>
      </c>
      <c r="E1091" t="inlineStr">
        <is>
          <t>VILHELMINA</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12373-2024</t>
        </is>
      </c>
      <c r="B1092" s="1" t="n">
        <v>45378</v>
      </c>
      <c r="C1092" s="1" t="n">
        <v>45637</v>
      </c>
      <c r="D1092" t="inlineStr">
        <is>
          <t>VÄSTERBOTTENS LÄN</t>
        </is>
      </c>
      <c r="E1092" t="inlineStr">
        <is>
          <t>VILHELMINA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12583-2024</t>
        </is>
      </c>
      <c r="B1093" s="1" t="n">
        <v>45379</v>
      </c>
      <c r="C1093" s="1" t="n">
        <v>45637</v>
      </c>
      <c r="D1093" t="inlineStr">
        <is>
          <t>VÄSTERBOTTENS LÄN</t>
        </is>
      </c>
      <c r="E1093" t="inlineStr">
        <is>
          <t>VILHELMINA</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13557-2024</t>
        </is>
      </c>
      <c r="B1094" s="1" t="n">
        <v>45388</v>
      </c>
      <c r="C1094" s="1" t="n">
        <v>45637</v>
      </c>
      <c r="D1094" t="inlineStr">
        <is>
          <t>VÄSTERBOTTENS LÄN</t>
        </is>
      </c>
      <c r="E1094" t="inlineStr">
        <is>
          <t>VILHELMINA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13768-2024</t>
        </is>
      </c>
      <c r="B1095" s="1" t="n">
        <v>45391</v>
      </c>
      <c r="C1095" s="1" t="n">
        <v>45637</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14366-2024</t>
        </is>
      </c>
      <c r="B1096" s="1" t="n">
        <v>45394</v>
      </c>
      <c r="C1096" s="1" t="n">
        <v>45637</v>
      </c>
      <c r="D1096" t="inlineStr">
        <is>
          <t>VÄSTERBOTTENS LÄN</t>
        </is>
      </c>
      <c r="E1096" t="inlineStr">
        <is>
          <t>VILHELMINA</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14816-2024</t>
        </is>
      </c>
      <c r="B1097" s="1" t="n">
        <v>45397</v>
      </c>
      <c r="C1097" s="1" t="n">
        <v>45637</v>
      </c>
      <c r="D1097" t="inlineStr">
        <is>
          <t>VÄSTERBOTTENS LÄN</t>
        </is>
      </c>
      <c r="E1097" t="inlineStr">
        <is>
          <t>VILHELMINA</t>
        </is>
      </c>
      <c r="F1097" t="inlineStr">
        <is>
          <t>SCA</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14817-2024</t>
        </is>
      </c>
      <c r="B1098" s="1" t="n">
        <v>45398</v>
      </c>
      <c r="C1098" s="1" t="n">
        <v>45637</v>
      </c>
      <c r="D1098" t="inlineStr">
        <is>
          <t>VÄSTERBOTTENS LÄN</t>
        </is>
      </c>
      <c r="E1098" t="inlineStr">
        <is>
          <t>VILHELMINA</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15059-2024</t>
        </is>
      </c>
      <c r="B1099" s="1" t="n">
        <v>45399</v>
      </c>
      <c r="C1099" s="1" t="n">
        <v>45637</v>
      </c>
      <c r="D1099" t="inlineStr">
        <is>
          <t>VÄSTERBOTTENS LÄN</t>
        </is>
      </c>
      <c r="E1099" t="inlineStr">
        <is>
          <t>VILHELMINA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15050-2024</t>
        </is>
      </c>
      <c r="B1100" s="1" t="n">
        <v>45399</v>
      </c>
      <c r="C1100" s="1" t="n">
        <v>45637</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15062-2024</t>
        </is>
      </c>
      <c r="B1101" s="1" t="n">
        <v>45399</v>
      </c>
      <c r="C1101" s="1" t="n">
        <v>45637</v>
      </c>
      <c r="D1101" t="inlineStr">
        <is>
          <t>VÄSTERBOTTENS LÄN</t>
        </is>
      </c>
      <c r="E1101" t="inlineStr">
        <is>
          <t>VILHELMINA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15066-2024</t>
        </is>
      </c>
      <c r="B1102" s="1" t="n">
        <v>45399</v>
      </c>
      <c r="C1102" s="1" t="n">
        <v>45637</v>
      </c>
      <c r="D1102" t="inlineStr">
        <is>
          <t>VÄSTERBOTTENS LÄN</t>
        </is>
      </c>
      <c r="E1102" t="inlineStr">
        <is>
          <t>VILHELMINA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15326-2024</t>
        </is>
      </c>
      <c r="B1103" s="1" t="n">
        <v>45400</v>
      </c>
      <c r="C1103" s="1" t="n">
        <v>45637</v>
      </c>
      <c r="D1103" t="inlineStr">
        <is>
          <t>VÄSTERBOTTENS LÄN</t>
        </is>
      </c>
      <c r="E1103" t="inlineStr">
        <is>
          <t>VILHELMINA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15615-2024</t>
        </is>
      </c>
      <c r="B1104" s="1" t="n">
        <v>45402</v>
      </c>
      <c r="C1104" s="1" t="n">
        <v>45637</v>
      </c>
      <c r="D1104" t="inlineStr">
        <is>
          <t>VÄSTERBOTTENS LÄN</t>
        </is>
      </c>
      <c r="E1104" t="inlineStr">
        <is>
          <t>VILHELMINA</t>
        </is>
      </c>
      <c r="F1104" t="inlineStr">
        <is>
          <t>SCA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15617-2024</t>
        </is>
      </c>
      <c r="B1105" s="1" t="n">
        <v>45402</v>
      </c>
      <c r="C1105" s="1" t="n">
        <v>45637</v>
      </c>
      <c r="D1105" t="inlineStr">
        <is>
          <t>VÄSTERBOTTENS LÄN</t>
        </is>
      </c>
      <c r="E1105" t="inlineStr">
        <is>
          <t>VILHELMINA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15639-2024</t>
        </is>
      </c>
      <c r="B1106" s="1" t="n">
        <v>45403</v>
      </c>
      <c r="C1106" s="1" t="n">
        <v>45637</v>
      </c>
      <c r="D1106" t="inlineStr">
        <is>
          <t>VÄSTERBOTTENS LÄN</t>
        </is>
      </c>
      <c r="E1106" t="inlineStr">
        <is>
          <t>VILHELMINA</t>
        </is>
      </c>
      <c r="G1106" t="n">
        <v>81.90000000000001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15969-2024</t>
        </is>
      </c>
      <c r="B1107" s="1" t="n">
        <v>45405</v>
      </c>
      <c r="C1107" s="1" t="n">
        <v>45637</v>
      </c>
      <c r="D1107" t="inlineStr">
        <is>
          <t>VÄSTERBOTTENS LÄN</t>
        </is>
      </c>
      <c r="E1107" t="inlineStr">
        <is>
          <t>VILHELMINA</t>
        </is>
      </c>
      <c r="G1107" t="n">
        <v>14.6</v>
      </c>
      <c r="H1107" t="n">
        <v>0</v>
      </c>
      <c r="I1107" t="n">
        <v>0</v>
      </c>
      <c r="J1107" t="n">
        <v>0</v>
      </c>
      <c r="K1107" t="n">
        <v>0</v>
      </c>
      <c r="L1107" t="n">
        <v>0</v>
      </c>
      <c r="M1107" t="n">
        <v>0</v>
      </c>
      <c r="N1107" t="n">
        <v>0</v>
      </c>
      <c r="O1107" t="n">
        <v>0</v>
      </c>
      <c r="P1107" t="n">
        <v>0</v>
      </c>
      <c r="Q1107" t="n">
        <v>0</v>
      </c>
      <c r="R1107" s="2" t="inlineStr"/>
    </row>
    <row r="1108" ht="15" customHeight="1">
      <c r="A1108" t="inlineStr">
        <is>
          <t>A 16608-2024</t>
        </is>
      </c>
      <c r="B1108" s="1" t="n">
        <v>45408</v>
      </c>
      <c r="C1108" s="1" t="n">
        <v>45637</v>
      </c>
      <c r="D1108" t="inlineStr">
        <is>
          <t>VÄSTERBOTTENS LÄN</t>
        </is>
      </c>
      <c r="E1108" t="inlineStr">
        <is>
          <t>VILHELMINA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16626-2024</t>
        </is>
      </c>
      <c r="B1109" s="1" t="n">
        <v>45408</v>
      </c>
      <c r="C1109" s="1" t="n">
        <v>45637</v>
      </c>
      <c r="D1109" t="inlineStr">
        <is>
          <t>VÄSTERBOTTENS LÄN</t>
        </is>
      </c>
      <c r="E1109" t="inlineStr">
        <is>
          <t>VILHELMINA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16712-2024</t>
        </is>
      </c>
      <c r="B1110" s="1" t="n">
        <v>45409</v>
      </c>
      <c r="C1110" s="1" t="n">
        <v>45637</v>
      </c>
      <c r="D1110" t="inlineStr">
        <is>
          <t>VÄSTERBOTTENS LÄN</t>
        </is>
      </c>
      <c r="E1110" t="inlineStr">
        <is>
          <t>VILHELMINA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16713-2024</t>
        </is>
      </c>
      <c r="B1111" s="1" t="n">
        <v>45409</v>
      </c>
      <c r="C1111" s="1" t="n">
        <v>45637</v>
      </c>
      <c r="D1111" t="inlineStr">
        <is>
          <t>VÄSTERBOTTENS LÄN</t>
        </is>
      </c>
      <c r="E1111" t="inlineStr">
        <is>
          <t>VILHELMINA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17002-2024</t>
        </is>
      </c>
      <c r="B1112" s="1" t="n">
        <v>45411</v>
      </c>
      <c r="C1112" s="1" t="n">
        <v>45637</v>
      </c>
      <c r="D1112" t="inlineStr">
        <is>
          <t>VÄSTERBOTTENS LÄN</t>
        </is>
      </c>
      <c r="E1112" t="inlineStr">
        <is>
          <t>VILHELMINA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16979-2024</t>
        </is>
      </c>
      <c r="B1113" s="1" t="n">
        <v>45412</v>
      </c>
      <c r="C1113" s="1" t="n">
        <v>45637</v>
      </c>
      <c r="D1113" t="inlineStr">
        <is>
          <t>VÄSTERBOTTENS LÄN</t>
        </is>
      </c>
      <c r="E1113" t="inlineStr">
        <is>
          <t>VILHELMINA</t>
        </is>
      </c>
      <c r="F1113" t="inlineStr">
        <is>
          <t>SCA</t>
        </is>
      </c>
      <c r="G1113" t="n">
        <v>34.1</v>
      </c>
      <c r="H1113" t="n">
        <v>0</v>
      </c>
      <c r="I1113" t="n">
        <v>0</v>
      </c>
      <c r="J1113" t="n">
        <v>0</v>
      </c>
      <c r="K1113" t="n">
        <v>0</v>
      </c>
      <c r="L1113" t="n">
        <v>0</v>
      </c>
      <c r="M1113" t="n">
        <v>0</v>
      </c>
      <c r="N1113" t="n">
        <v>0</v>
      </c>
      <c r="O1113" t="n">
        <v>0</v>
      </c>
      <c r="P1113" t="n">
        <v>0</v>
      </c>
      <c r="Q1113" t="n">
        <v>0</v>
      </c>
      <c r="R1113" s="2" t="inlineStr"/>
    </row>
    <row r="1114" ht="15" customHeight="1">
      <c r="A1114" t="inlineStr">
        <is>
          <t>A 17586-2024</t>
        </is>
      </c>
      <c r="B1114" s="1" t="n">
        <v>45415</v>
      </c>
      <c r="C1114" s="1" t="n">
        <v>45637</v>
      </c>
      <c r="D1114" t="inlineStr">
        <is>
          <t>VÄSTERBOTTENS LÄN</t>
        </is>
      </c>
      <c r="E1114" t="inlineStr">
        <is>
          <t>VILHELMINA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17587-2024</t>
        </is>
      </c>
      <c r="B1115" s="1" t="n">
        <v>45416</v>
      </c>
      <c r="C1115" s="1" t="n">
        <v>45637</v>
      </c>
      <c r="D1115" t="inlineStr">
        <is>
          <t>VÄSTERBOTTENS LÄN</t>
        </is>
      </c>
      <c r="E1115" t="inlineStr">
        <is>
          <t>VILHELMINA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17723-2024</t>
        </is>
      </c>
      <c r="B1116" s="1" t="n">
        <v>45415</v>
      </c>
      <c r="C1116" s="1" t="n">
        <v>45637</v>
      </c>
      <c r="D1116" t="inlineStr">
        <is>
          <t>VÄSTERBOTTENS LÄN</t>
        </is>
      </c>
      <c r="E1116" t="inlineStr">
        <is>
          <t>VILHELMINA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17732-2024</t>
        </is>
      </c>
      <c r="B1117" s="1" t="n">
        <v>45415</v>
      </c>
      <c r="C1117" s="1" t="n">
        <v>45637</v>
      </c>
      <c r="D1117" t="inlineStr">
        <is>
          <t>VÄSTERBOTTENS LÄN</t>
        </is>
      </c>
      <c r="E1117" t="inlineStr">
        <is>
          <t>VILHELMINA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17722-2024</t>
        </is>
      </c>
      <c r="B1118" s="1" t="n">
        <v>45415</v>
      </c>
      <c r="C1118" s="1" t="n">
        <v>45637</v>
      </c>
      <c r="D1118" t="inlineStr">
        <is>
          <t>VÄSTERBOTTENS LÄN</t>
        </is>
      </c>
      <c r="E1118" t="inlineStr">
        <is>
          <t>VILHELMINA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17823-2024</t>
        </is>
      </c>
      <c r="B1119" s="1" t="n">
        <v>45419</v>
      </c>
      <c r="C1119" s="1" t="n">
        <v>45637</v>
      </c>
      <c r="D1119" t="inlineStr">
        <is>
          <t>VÄSTERBOTTENS LÄN</t>
        </is>
      </c>
      <c r="E1119" t="inlineStr">
        <is>
          <t>VILHELMINA</t>
        </is>
      </c>
      <c r="F1119" t="inlineStr">
        <is>
          <t>SCA</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17996-2024</t>
        </is>
      </c>
      <c r="B1120" s="1" t="n">
        <v>45419</v>
      </c>
      <c r="C1120" s="1" t="n">
        <v>45637</v>
      </c>
      <c r="D1120" t="inlineStr">
        <is>
          <t>VÄSTERBOTTENS LÄN</t>
        </is>
      </c>
      <c r="E1120" t="inlineStr">
        <is>
          <t>VILHELMINA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19088-2024</t>
        </is>
      </c>
      <c r="B1121" s="1" t="n">
        <v>45428</v>
      </c>
      <c r="C1121" s="1" t="n">
        <v>45637</v>
      </c>
      <c r="D1121" t="inlineStr">
        <is>
          <t>VÄSTERBOTTENS LÄN</t>
        </is>
      </c>
      <c r="E1121" t="inlineStr">
        <is>
          <t>VILHELMINA</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19083-2024</t>
        </is>
      </c>
      <c r="B1122" s="1" t="n">
        <v>45428</v>
      </c>
      <c r="C1122" s="1" t="n">
        <v>45637</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19349-2024</t>
        </is>
      </c>
      <c r="B1123" s="1" t="n">
        <v>45429</v>
      </c>
      <c r="C1123" s="1" t="n">
        <v>45637</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19585-2024</t>
        </is>
      </c>
      <c r="B1124" s="1" t="n">
        <v>45429</v>
      </c>
      <c r="C1124" s="1" t="n">
        <v>45637</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19873-2024</t>
        </is>
      </c>
      <c r="B1125" s="1" t="n">
        <v>45433</v>
      </c>
      <c r="C1125" s="1" t="n">
        <v>45637</v>
      </c>
      <c r="D1125" t="inlineStr">
        <is>
          <t>VÄSTERBOTTENS LÄN</t>
        </is>
      </c>
      <c r="E1125" t="inlineStr">
        <is>
          <t>VILHELMINA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20259-2024</t>
        </is>
      </c>
      <c r="B1126" s="1" t="n">
        <v>45435</v>
      </c>
      <c r="C1126" s="1" t="n">
        <v>45637</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20521-2024</t>
        </is>
      </c>
      <c r="B1127" s="1" t="n">
        <v>45436</v>
      </c>
      <c r="C1127" s="1" t="n">
        <v>45637</v>
      </c>
      <c r="D1127" t="inlineStr">
        <is>
          <t>VÄSTERBOTTENS LÄN</t>
        </is>
      </c>
      <c r="E1127" t="inlineStr">
        <is>
          <t>VILHELMINA</t>
        </is>
      </c>
      <c r="F1127" t="inlineStr">
        <is>
          <t>SCA</t>
        </is>
      </c>
      <c r="G1127" t="n">
        <v>21.4</v>
      </c>
      <c r="H1127" t="n">
        <v>0</v>
      </c>
      <c r="I1127" t="n">
        <v>0</v>
      </c>
      <c r="J1127" t="n">
        <v>0</v>
      </c>
      <c r="K1127" t="n">
        <v>0</v>
      </c>
      <c r="L1127" t="n">
        <v>0</v>
      </c>
      <c r="M1127" t="n">
        <v>0</v>
      </c>
      <c r="N1127" t="n">
        <v>0</v>
      </c>
      <c r="O1127" t="n">
        <v>0</v>
      </c>
      <c r="P1127" t="n">
        <v>0</v>
      </c>
      <c r="Q1127" t="n">
        <v>0</v>
      </c>
      <c r="R1127" s="2" t="inlineStr"/>
    </row>
    <row r="1128" ht="15" customHeight="1">
      <c r="A1128" t="inlineStr">
        <is>
          <t>A 20511-2024</t>
        </is>
      </c>
      <c r="B1128" s="1" t="n">
        <v>45435</v>
      </c>
      <c r="C1128" s="1" t="n">
        <v>45637</v>
      </c>
      <c r="D1128" t="inlineStr">
        <is>
          <t>VÄSTERBOTTENS LÄN</t>
        </is>
      </c>
      <c r="E1128" t="inlineStr">
        <is>
          <t>VILHELMINA</t>
        </is>
      </c>
      <c r="F1128" t="inlineStr">
        <is>
          <t>SCA</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20523-2024</t>
        </is>
      </c>
      <c r="B1129" s="1" t="n">
        <v>45436</v>
      </c>
      <c r="C1129" s="1" t="n">
        <v>45637</v>
      </c>
      <c r="D1129" t="inlineStr">
        <is>
          <t>VÄSTERBOTTENS LÄN</t>
        </is>
      </c>
      <c r="E1129" t="inlineStr">
        <is>
          <t>VILHELMINA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20510-2024</t>
        </is>
      </c>
      <c r="B1130" s="1" t="n">
        <v>45436</v>
      </c>
      <c r="C1130" s="1" t="n">
        <v>45637</v>
      </c>
      <c r="D1130" t="inlineStr">
        <is>
          <t>VÄSTERBOTTENS LÄN</t>
        </is>
      </c>
      <c r="E1130" t="inlineStr">
        <is>
          <t>VILHELMINA</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20522-2024</t>
        </is>
      </c>
      <c r="B1131" s="1" t="n">
        <v>45435</v>
      </c>
      <c r="C1131" s="1" t="n">
        <v>45637</v>
      </c>
      <c r="D1131" t="inlineStr">
        <is>
          <t>VÄSTERBOTTENS LÄN</t>
        </is>
      </c>
      <c r="E1131" t="inlineStr">
        <is>
          <t>VILHELMINA</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20524-2024</t>
        </is>
      </c>
      <c r="B1132" s="1" t="n">
        <v>45436</v>
      </c>
      <c r="C1132" s="1" t="n">
        <v>45637</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20769-2024</t>
        </is>
      </c>
      <c r="B1133" s="1" t="n">
        <v>45437</v>
      </c>
      <c r="C1133" s="1" t="n">
        <v>45637</v>
      </c>
      <c r="D1133" t="inlineStr">
        <is>
          <t>VÄSTERBOTTENS LÄN</t>
        </is>
      </c>
      <c r="E1133" t="inlineStr">
        <is>
          <t>VILHELMINA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20796-2024</t>
        </is>
      </c>
      <c r="B1134" s="1" t="n">
        <v>45439</v>
      </c>
      <c r="C1134" s="1" t="n">
        <v>45637</v>
      </c>
      <c r="D1134" t="inlineStr">
        <is>
          <t>VÄSTERBOTTENS LÄN</t>
        </is>
      </c>
      <c r="E1134" t="inlineStr">
        <is>
          <t>VILHELMINA</t>
        </is>
      </c>
      <c r="F1134" t="inlineStr">
        <is>
          <t>SCA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20797-2024</t>
        </is>
      </c>
      <c r="B1135" s="1" t="n">
        <v>45438</v>
      </c>
      <c r="C1135" s="1" t="n">
        <v>45637</v>
      </c>
      <c r="D1135" t="inlineStr">
        <is>
          <t>VÄSTERBOTTENS LÄN</t>
        </is>
      </c>
      <c r="E1135" t="inlineStr">
        <is>
          <t>VILHELMINA</t>
        </is>
      </c>
      <c r="F1135" t="inlineStr">
        <is>
          <t>SCA</t>
        </is>
      </c>
      <c r="G1135" t="n">
        <v>26.9</v>
      </c>
      <c r="H1135" t="n">
        <v>0</v>
      </c>
      <c r="I1135" t="n">
        <v>0</v>
      </c>
      <c r="J1135" t="n">
        <v>0</v>
      </c>
      <c r="K1135" t="n">
        <v>0</v>
      </c>
      <c r="L1135" t="n">
        <v>0</v>
      </c>
      <c r="M1135" t="n">
        <v>0</v>
      </c>
      <c r="N1135" t="n">
        <v>0</v>
      </c>
      <c r="O1135" t="n">
        <v>0</v>
      </c>
      <c r="P1135" t="n">
        <v>0</v>
      </c>
      <c r="Q1135" t="n">
        <v>0</v>
      </c>
      <c r="R1135" s="2" t="inlineStr"/>
    </row>
    <row r="1136" ht="15" customHeight="1">
      <c r="A1136" t="inlineStr">
        <is>
          <t>A 21370-2024</t>
        </is>
      </c>
      <c r="B1136" s="1" t="n">
        <v>45441</v>
      </c>
      <c r="C1136" s="1" t="n">
        <v>45637</v>
      </c>
      <c r="D1136" t="inlineStr">
        <is>
          <t>VÄSTERBOTTENS LÄN</t>
        </is>
      </c>
      <c r="E1136" t="inlineStr">
        <is>
          <t>VILHELMINA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21348-2024</t>
        </is>
      </c>
      <c r="B1137" s="1" t="n">
        <v>45440</v>
      </c>
      <c r="C1137" s="1" t="n">
        <v>45637</v>
      </c>
      <c r="D1137" t="inlineStr">
        <is>
          <t>VÄSTERBOTTENS LÄN</t>
        </is>
      </c>
      <c r="E1137" t="inlineStr">
        <is>
          <t>VILHELMINA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21368-2024</t>
        </is>
      </c>
      <c r="B1138" s="1" t="n">
        <v>45441</v>
      </c>
      <c r="C1138" s="1" t="n">
        <v>45637</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21345-2024</t>
        </is>
      </c>
      <c r="B1139" s="1" t="n">
        <v>45441</v>
      </c>
      <c r="C1139" s="1" t="n">
        <v>45637</v>
      </c>
      <c r="D1139" t="inlineStr">
        <is>
          <t>VÄSTERBOTTENS LÄN</t>
        </is>
      </c>
      <c r="E1139" t="inlineStr">
        <is>
          <t>VILHELMINA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21349-2024</t>
        </is>
      </c>
      <c r="B1140" s="1" t="n">
        <v>45440</v>
      </c>
      <c r="C1140" s="1" t="n">
        <v>45637</v>
      </c>
      <c r="D1140" t="inlineStr">
        <is>
          <t>VÄSTERBOTTENS LÄN</t>
        </is>
      </c>
      <c r="E1140" t="inlineStr">
        <is>
          <t>VILHELMINA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21369-2024</t>
        </is>
      </c>
      <c r="B1141" s="1" t="n">
        <v>45441</v>
      </c>
      <c r="C1141" s="1" t="n">
        <v>45637</v>
      </c>
      <c r="D1141" t="inlineStr">
        <is>
          <t>VÄSTERBOTTENS LÄN</t>
        </is>
      </c>
      <c r="E1141" t="inlineStr">
        <is>
          <t>VILHELMINA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21367-2024</t>
        </is>
      </c>
      <c r="B1142" s="1" t="n">
        <v>45441</v>
      </c>
      <c r="C1142" s="1" t="n">
        <v>45637</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21371-2024</t>
        </is>
      </c>
      <c r="B1143" s="1" t="n">
        <v>45441</v>
      </c>
      <c r="C1143" s="1" t="n">
        <v>45637</v>
      </c>
      <c r="D1143" t="inlineStr">
        <is>
          <t>VÄSTERBOTTENS LÄN</t>
        </is>
      </c>
      <c r="E1143" t="inlineStr">
        <is>
          <t>VILHELMINA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21841-2024</t>
        </is>
      </c>
      <c r="B1144" s="1" t="n">
        <v>45443</v>
      </c>
      <c r="C1144" s="1" t="n">
        <v>45637</v>
      </c>
      <c r="D1144" t="inlineStr">
        <is>
          <t>VÄSTERBOTTENS LÄN</t>
        </is>
      </c>
      <c r="E1144" t="inlineStr">
        <is>
          <t>VILHELMINA</t>
        </is>
      </c>
      <c r="F1144" t="inlineStr">
        <is>
          <t>SCA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21844-2024</t>
        </is>
      </c>
      <c r="B1145" s="1" t="n">
        <v>45442</v>
      </c>
      <c r="C1145" s="1" t="n">
        <v>45637</v>
      </c>
      <c r="D1145" t="inlineStr">
        <is>
          <t>VÄSTERBOTTENS LÄN</t>
        </is>
      </c>
      <c r="E1145" t="inlineStr">
        <is>
          <t>VILHELMINA</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21842-2024</t>
        </is>
      </c>
      <c r="B1146" s="1" t="n">
        <v>45443</v>
      </c>
      <c r="C1146" s="1" t="n">
        <v>45637</v>
      </c>
      <c r="D1146" t="inlineStr">
        <is>
          <t>VÄSTERBOTTENS LÄN</t>
        </is>
      </c>
      <c r="E1146" t="inlineStr">
        <is>
          <t>VILHELMINA</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21843-2024</t>
        </is>
      </c>
      <c r="B1147" s="1" t="n">
        <v>45443</v>
      </c>
      <c r="C1147" s="1" t="n">
        <v>45637</v>
      </c>
      <c r="D1147" t="inlineStr">
        <is>
          <t>VÄSTERBOTTENS LÄN</t>
        </is>
      </c>
      <c r="E1147" t="inlineStr">
        <is>
          <t>VILHELMINA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22104-2024</t>
        </is>
      </c>
      <c r="B1148" s="1" t="n">
        <v>45443</v>
      </c>
      <c r="C1148" s="1" t="n">
        <v>45637</v>
      </c>
      <c r="D1148" t="inlineStr">
        <is>
          <t>VÄSTERBOTTENS LÄN</t>
        </is>
      </c>
      <c r="E1148" t="inlineStr">
        <is>
          <t>VILHELMINA</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22108-2024</t>
        </is>
      </c>
      <c r="B1149" s="1" t="n">
        <v>45443</v>
      </c>
      <c r="C1149" s="1" t="n">
        <v>45637</v>
      </c>
      <c r="D1149" t="inlineStr">
        <is>
          <t>VÄSTERBOTTENS LÄN</t>
        </is>
      </c>
      <c r="E1149" t="inlineStr">
        <is>
          <t>VILHELMINA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22105-2024</t>
        </is>
      </c>
      <c r="B1150" s="1" t="n">
        <v>45443</v>
      </c>
      <c r="C1150" s="1" t="n">
        <v>45637</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22109-2024</t>
        </is>
      </c>
      <c r="B1151" s="1" t="n">
        <v>45443</v>
      </c>
      <c r="C1151" s="1" t="n">
        <v>45637</v>
      </c>
      <c r="D1151" t="inlineStr">
        <is>
          <t>VÄSTERBOTTENS LÄN</t>
        </is>
      </c>
      <c r="E1151" t="inlineStr">
        <is>
          <t>VILHELMINA</t>
        </is>
      </c>
      <c r="F1151" t="inlineStr">
        <is>
          <t>SCA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22107-2024</t>
        </is>
      </c>
      <c r="B1152" s="1" t="n">
        <v>45443</v>
      </c>
      <c r="C1152" s="1" t="n">
        <v>45637</v>
      </c>
      <c r="D1152" t="inlineStr">
        <is>
          <t>VÄSTERBOTTENS LÄN</t>
        </is>
      </c>
      <c r="E1152" t="inlineStr">
        <is>
          <t>VILHELMINA</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22106-2024</t>
        </is>
      </c>
      <c r="B1153" s="1" t="n">
        <v>45444</v>
      </c>
      <c r="C1153" s="1" t="n">
        <v>45637</v>
      </c>
      <c r="D1153" t="inlineStr">
        <is>
          <t>VÄSTERBOTTENS LÄN</t>
        </is>
      </c>
      <c r="E1153" t="inlineStr">
        <is>
          <t>VILHELMINA</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22751-2024</t>
        </is>
      </c>
      <c r="B1154" s="1" t="n">
        <v>45448</v>
      </c>
      <c r="C1154" s="1" t="n">
        <v>45637</v>
      </c>
      <c r="D1154" t="inlineStr">
        <is>
          <t>VÄSTERBOTTENS LÄN</t>
        </is>
      </c>
      <c r="E1154" t="inlineStr">
        <is>
          <t>VILHELMINA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23176-2024</t>
        </is>
      </c>
      <c r="B1155" s="1" t="n">
        <v>45451</v>
      </c>
      <c r="C1155" s="1" t="n">
        <v>45637</v>
      </c>
      <c r="D1155" t="inlineStr">
        <is>
          <t>VÄSTERBOTTENS LÄN</t>
        </is>
      </c>
      <c r="E1155" t="inlineStr">
        <is>
          <t>VILHELMINA</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23180-2024</t>
        </is>
      </c>
      <c r="B1156" s="1" t="n">
        <v>45451</v>
      </c>
      <c r="C1156" s="1" t="n">
        <v>45637</v>
      </c>
      <c r="D1156" t="inlineStr">
        <is>
          <t>VÄSTERBOTTENS LÄN</t>
        </is>
      </c>
      <c r="E1156" t="inlineStr">
        <is>
          <t>VILHELMINA</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23550-2024</t>
        </is>
      </c>
      <c r="B1157" s="1" t="n">
        <v>45454</v>
      </c>
      <c r="C1157" s="1" t="n">
        <v>45637</v>
      </c>
      <c r="D1157" t="inlineStr">
        <is>
          <t>VÄSTERBOTTENS LÄN</t>
        </is>
      </c>
      <c r="E1157" t="inlineStr">
        <is>
          <t>VILHELMINA</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23538-2024</t>
        </is>
      </c>
      <c r="B1158" s="1" t="n">
        <v>45453</v>
      </c>
      <c r="C1158" s="1" t="n">
        <v>45637</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23548-2024</t>
        </is>
      </c>
      <c r="B1159" s="1" t="n">
        <v>45454</v>
      </c>
      <c r="C1159" s="1" t="n">
        <v>45637</v>
      </c>
      <c r="D1159" t="inlineStr">
        <is>
          <t>VÄSTERBOTTENS LÄN</t>
        </is>
      </c>
      <c r="E1159" t="inlineStr">
        <is>
          <t>VILHELMINA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23544-2024</t>
        </is>
      </c>
      <c r="B1160" s="1" t="n">
        <v>45454</v>
      </c>
      <c r="C1160" s="1" t="n">
        <v>45637</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23536-2024</t>
        </is>
      </c>
      <c r="B1161" s="1" t="n">
        <v>45454</v>
      </c>
      <c r="C1161" s="1" t="n">
        <v>45637</v>
      </c>
      <c r="D1161" t="inlineStr">
        <is>
          <t>VÄSTERBOTTENS LÄN</t>
        </is>
      </c>
      <c r="E1161" t="inlineStr">
        <is>
          <t>VILHELMINA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23543-2024</t>
        </is>
      </c>
      <c r="B1162" s="1" t="n">
        <v>45453</v>
      </c>
      <c r="C1162" s="1" t="n">
        <v>45637</v>
      </c>
      <c r="D1162" t="inlineStr">
        <is>
          <t>VÄSTERBOTTENS LÄN</t>
        </is>
      </c>
      <c r="E1162" t="inlineStr">
        <is>
          <t>VILHELMINA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23545-2024</t>
        </is>
      </c>
      <c r="B1163" s="1" t="n">
        <v>45454</v>
      </c>
      <c r="C1163" s="1" t="n">
        <v>45637</v>
      </c>
      <c r="D1163" t="inlineStr">
        <is>
          <t>VÄSTERBOTTENS LÄN</t>
        </is>
      </c>
      <c r="E1163" t="inlineStr">
        <is>
          <t>VILHELMINA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23549-2024</t>
        </is>
      </c>
      <c r="B1164" s="1" t="n">
        <v>45454</v>
      </c>
      <c r="C1164" s="1" t="n">
        <v>45637</v>
      </c>
      <c r="D1164" t="inlineStr">
        <is>
          <t>VÄSTERBOTTENS LÄN</t>
        </is>
      </c>
      <c r="E1164" t="inlineStr">
        <is>
          <t>VILHELMINA</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23657-2024</t>
        </is>
      </c>
      <c r="B1165" s="1" t="n">
        <v>45454</v>
      </c>
      <c r="C1165" s="1" t="n">
        <v>45637</v>
      </c>
      <c r="D1165" t="inlineStr">
        <is>
          <t>VÄSTERBOTTENS LÄN</t>
        </is>
      </c>
      <c r="E1165" t="inlineStr">
        <is>
          <t>VILHELMINA</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24428-2024</t>
        </is>
      </c>
      <c r="B1166" s="1" t="n">
        <v>45458</v>
      </c>
      <c r="C1166" s="1" t="n">
        <v>45637</v>
      </c>
      <c r="D1166" t="inlineStr">
        <is>
          <t>VÄSTERBOTTENS LÄN</t>
        </is>
      </c>
      <c r="E1166" t="inlineStr">
        <is>
          <t>VILHELMINA</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24454-2024</t>
        </is>
      </c>
      <c r="B1167" s="1" t="n">
        <v>45458</v>
      </c>
      <c r="C1167" s="1" t="n">
        <v>45637</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24427-2024</t>
        </is>
      </c>
      <c r="B1168" s="1" t="n">
        <v>45457</v>
      </c>
      <c r="C1168" s="1" t="n">
        <v>45637</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24457-2024</t>
        </is>
      </c>
      <c r="B1169" s="1" t="n">
        <v>45458</v>
      </c>
      <c r="C1169" s="1" t="n">
        <v>45637</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24426-2024</t>
        </is>
      </c>
      <c r="B1170" s="1" t="n">
        <v>45457</v>
      </c>
      <c r="C1170" s="1" t="n">
        <v>45637</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24455-2024</t>
        </is>
      </c>
      <c r="B1171" s="1" t="n">
        <v>45458</v>
      </c>
      <c r="C1171" s="1" t="n">
        <v>45637</v>
      </c>
      <c r="D1171" t="inlineStr">
        <is>
          <t>VÄSTERBOTTENS LÄN</t>
        </is>
      </c>
      <c r="E1171" t="inlineStr">
        <is>
          <t>VILHELMINA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25037-2024</t>
        </is>
      </c>
      <c r="B1172" s="1" t="n">
        <v>45461</v>
      </c>
      <c r="C1172" s="1" t="n">
        <v>45637</v>
      </c>
      <c r="D1172" t="inlineStr">
        <is>
          <t>VÄSTERBOTTENS LÄN</t>
        </is>
      </c>
      <c r="E1172" t="inlineStr">
        <is>
          <t>VILHELMINA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25374-2024</t>
        </is>
      </c>
      <c r="B1173" s="1" t="n">
        <v>45463</v>
      </c>
      <c r="C1173" s="1" t="n">
        <v>45637</v>
      </c>
      <c r="D1173" t="inlineStr">
        <is>
          <t>VÄSTERBOTTENS LÄN</t>
        </is>
      </c>
      <c r="E1173" t="inlineStr">
        <is>
          <t>VILHELMINA</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25078-2024</t>
        </is>
      </c>
      <c r="B1174" s="1" t="n">
        <v>45462</v>
      </c>
      <c r="C1174" s="1" t="n">
        <v>45637</v>
      </c>
      <c r="D1174" t="inlineStr">
        <is>
          <t>VÄSTERBOTTENS LÄN</t>
        </is>
      </c>
      <c r="E1174" t="inlineStr">
        <is>
          <t>VILHELMINA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25551-2024</t>
        </is>
      </c>
      <c r="B1175" s="1" t="n">
        <v>45463</v>
      </c>
      <c r="C1175" s="1" t="n">
        <v>45637</v>
      </c>
      <c r="D1175" t="inlineStr">
        <is>
          <t>VÄSTERBOTTENS LÄN</t>
        </is>
      </c>
      <c r="E1175" t="inlineStr">
        <is>
          <t>VILHELMINA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25701-2024</t>
        </is>
      </c>
      <c r="B1176" s="1" t="n">
        <v>45464</v>
      </c>
      <c r="C1176" s="1" t="n">
        <v>45637</v>
      </c>
      <c r="D1176" t="inlineStr">
        <is>
          <t>VÄSTERBOTTENS LÄN</t>
        </is>
      </c>
      <c r="E1176" t="inlineStr">
        <is>
          <t>VILHELMINA</t>
        </is>
      </c>
      <c r="F1176" t="inlineStr">
        <is>
          <t>SCA</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25819-2024</t>
        </is>
      </c>
      <c r="B1177" s="1" t="n">
        <v>45467</v>
      </c>
      <c r="C1177" s="1" t="n">
        <v>45637</v>
      </c>
      <c r="D1177" t="inlineStr">
        <is>
          <t>VÄSTERBOTTENS LÄN</t>
        </is>
      </c>
      <c r="E1177" t="inlineStr">
        <is>
          <t>VILHELMINA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25810-2024</t>
        </is>
      </c>
      <c r="B1178" s="1" t="n">
        <v>45467</v>
      </c>
      <c r="C1178" s="1" t="n">
        <v>45637</v>
      </c>
      <c r="D1178" t="inlineStr">
        <is>
          <t>VÄSTERBOTTENS LÄN</t>
        </is>
      </c>
      <c r="E1178" t="inlineStr">
        <is>
          <t>VILHELMINA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25814-2024</t>
        </is>
      </c>
      <c r="B1179" s="1" t="n">
        <v>45467</v>
      </c>
      <c r="C1179" s="1" t="n">
        <v>45637</v>
      </c>
      <c r="D1179" t="inlineStr">
        <is>
          <t>VÄSTERBOTTENS LÄN</t>
        </is>
      </c>
      <c r="E1179" t="inlineStr">
        <is>
          <t>VILHELMINA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26287-2024</t>
        </is>
      </c>
      <c r="B1180" s="1" t="n">
        <v>45468</v>
      </c>
      <c r="C1180" s="1" t="n">
        <v>45637</v>
      </c>
      <c r="D1180" t="inlineStr">
        <is>
          <t>VÄSTERBOTTENS LÄN</t>
        </is>
      </c>
      <c r="E1180" t="inlineStr">
        <is>
          <t>VILHELMINA</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26137-2024</t>
        </is>
      </c>
      <c r="B1181" s="1" t="n">
        <v>45468</v>
      </c>
      <c r="C1181" s="1" t="n">
        <v>45637</v>
      </c>
      <c r="D1181" t="inlineStr">
        <is>
          <t>VÄSTERBOTTENS LÄN</t>
        </is>
      </c>
      <c r="E1181" t="inlineStr">
        <is>
          <t>VILHELMINA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26381-2024</t>
        </is>
      </c>
      <c r="B1182" s="1" t="n">
        <v>45469</v>
      </c>
      <c r="C1182" s="1" t="n">
        <v>45637</v>
      </c>
      <c r="D1182" t="inlineStr">
        <is>
          <t>VÄSTERBOTTENS LÄN</t>
        </is>
      </c>
      <c r="E1182" t="inlineStr">
        <is>
          <t>VILHELMINA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26499-2024</t>
        </is>
      </c>
      <c r="B1183" s="1" t="n">
        <v>45469</v>
      </c>
      <c r="C1183" s="1" t="n">
        <v>45637</v>
      </c>
      <c r="D1183" t="inlineStr">
        <is>
          <t>VÄSTERBOTTENS LÄN</t>
        </is>
      </c>
      <c r="E1183" t="inlineStr">
        <is>
          <t>VILHELMINA</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26660-2024</t>
        </is>
      </c>
      <c r="B1184" s="1" t="n">
        <v>45470</v>
      </c>
      <c r="C1184" s="1" t="n">
        <v>45637</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26947-2024</t>
        </is>
      </c>
      <c r="B1185" s="1" t="n">
        <v>45471</v>
      </c>
      <c r="C1185" s="1" t="n">
        <v>45637</v>
      </c>
      <c r="D1185" t="inlineStr">
        <is>
          <t>VÄSTERBOTTENS LÄN</t>
        </is>
      </c>
      <c r="E1185" t="inlineStr">
        <is>
          <t>VILHELMINA</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26748-2024</t>
        </is>
      </c>
      <c r="B1186" s="1" t="n">
        <v>45470</v>
      </c>
      <c r="C1186" s="1" t="n">
        <v>45637</v>
      </c>
      <c r="D1186" t="inlineStr">
        <is>
          <t>VÄSTERBOTTENS LÄN</t>
        </is>
      </c>
      <c r="E1186" t="inlineStr">
        <is>
          <t>VILHELMINA</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27194-2024</t>
        </is>
      </c>
      <c r="B1187" s="1" t="n">
        <v>45471</v>
      </c>
      <c r="C1187" s="1" t="n">
        <v>45637</v>
      </c>
      <c r="D1187" t="inlineStr">
        <is>
          <t>VÄSTERBOTTENS LÄN</t>
        </is>
      </c>
      <c r="E1187" t="inlineStr">
        <is>
          <t>VILHELMINA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27271-2024</t>
        </is>
      </c>
      <c r="B1188" s="1" t="n">
        <v>45471</v>
      </c>
      <c r="C1188" s="1" t="n">
        <v>45637</v>
      </c>
      <c r="D1188" t="inlineStr">
        <is>
          <t>VÄSTERBOTTENS LÄN</t>
        </is>
      </c>
      <c r="E1188" t="inlineStr">
        <is>
          <t>VILHELMINA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27917-2024</t>
        </is>
      </c>
      <c r="B1189" s="1" t="n">
        <v>45476</v>
      </c>
      <c r="C1189" s="1" t="n">
        <v>45637</v>
      </c>
      <c r="D1189" t="inlineStr">
        <is>
          <t>VÄSTERBOTTENS LÄN</t>
        </is>
      </c>
      <c r="E1189" t="inlineStr">
        <is>
          <t>VILHELMINA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28695-2024</t>
        </is>
      </c>
      <c r="B1190" s="1" t="n">
        <v>45478</v>
      </c>
      <c r="C1190" s="1" t="n">
        <v>45637</v>
      </c>
      <c r="D1190" t="inlineStr">
        <is>
          <t>VÄSTERBOTTENS LÄN</t>
        </is>
      </c>
      <c r="E1190" t="inlineStr">
        <is>
          <t>VILHELMINA</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28869-2024</t>
        </is>
      </c>
      <c r="B1191" s="1" t="n">
        <v>45479</v>
      </c>
      <c r="C1191" s="1" t="n">
        <v>45637</v>
      </c>
      <c r="D1191" t="inlineStr">
        <is>
          <t>VÄSTERBOTTENS LÄN</t>
        </is>
      </c>
      <c r="E1191" t="inlineStr">
        <is>
          <t>VILHELMINA</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28729-2024</t>
        </is>
      </c>
      <c r="B1192" s="1" t="n">
        <v>45478</v>
      </c>
      <c r="C1192" s="1" t="n">
        <v>45637</v>
      </c>
      <c r="D1192" t="inlineStr">
        <is>
          <t>VÄSTERBOTTENS LÄN</t>
        </is>
      </c>
      <c r="E1192" t="inlineStr">
        <is>
          <t>VILHELMINA</t>
        </is>
      </c>
      <c r="F1192" t="inlineStr">
        <is>
          <t>Allmännings- och besparingsskogar</t>
        </is>
      </c>
      <c r="G1192" t="n">
        <v>16.9</v>
      </c>
      <c r="H1192" t="n">
        <v>0</v>
      </c>
      <c r="I1192" t="n">
        <v>0</v>
      </c>
      <c r="J1192" t="n">
        <v>0</v>
      </c>
      <c r="K1192" t="n">
        <v>0</v>
      </c>
      <c r="L1192" t="n">
        <v>0</v>
      </c>
      <c r="M1192" t="n">
        <v>0</v>
      </c>
      <c r="N1192" t="n">
        <v>0</v>
      </c>
      <c r="O1192" t="n">
        <v>0</v>
      </c>
      <c r="P1192" t="n">
        <v>0</v>
      </c>
      <c r="Q1192" t="n">
        <v>0</v>
      </c>
      <c r="R1192" s="2" t="inlineStr"/>
    </row>
    <row r="1193" ht="15" customHeight="1">
      <c r="A1193" t="inlineStr">
        <is>
          <t>A 28870-2024</t>
        </is>
      </c>
      <c r="B1193" s="1" t="n">
        <v>45479</v>
      </c>
      <c r="C1193" s="1" t="n">
        <v>45637</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28656-2024</t>
        </is>
      </c>
      <c r="B1194" s="1" t="n">
        <v>45478</v>
      </c>
      <c r="C1194" s="1" t="n">
        <v>45637</v>
      </c>
      <c r="D1194" t="inlineStr">
        <is>
          <t>VÄSTERBOTTENS LÄN</t>
        </is>
      </c>
      <c r="E1194" t="inlineStr">
        <is>
          <t>VILHELMINA</t>
        </is>
      </c>
      <c r="F1194" t="inlineStr">
        <is>
          <t>Allmännings- och besparingsskogar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28726-2024</t>
        </is>
      </c>
      <c r="B1195" s="1" t="n">
        <v>45478</v>
      </c>
      <c r="C1195" s="1" t="n">
        <v>45637</v>
      </c>
      <c r="D1195" t="inlineStr">
        <is>
          <t>VÄSTERBOTTENS LÄN</t>
        </is>
      </c>
      <c r="E1195" t="inlineStr">
        <is>
          <t>VILHELMINA</t>
        </is>
      </c>
      <c r="F1195" t="inlineStr">
        <is>
          <t>Allmännings- och besparingsskogar</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28863-2024</t>
        </is>
      </c>
      <c r="B1196" s="1" t="n">
        <v>45479</v>
      </c>
      <c r="C1196" s="1" t="n">
        <v>45637</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28871-2024</t>
        </is>
      </c>
      <c r="B1197" s="1" t="n">
        <v>45479</v>
      </c>
      <c r="C1197" s="1" t="n">
        <v>45637</v>
      </c>
      <c r="D1197" t="inlineStr">
        <is>
          <t>VÄSTERBOTTENS LÄN</t>
        </is>
      </c>
      <c r="E1197" t="inlineStr">
        <is>
          <t>VILHELMINA</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28868-2024</t>
        </is>
      </c>
      <c r="B1198" s="1" t="n">
        <v>45479</v>
      </c>
      <c r="C1198" s="1" t="n">
        <v>45637</v>
      </c>
      <c r="D1198" t="inlineStr">
        <is>
          <t>VÄSTERBOTTENS LÄN</t>
        </is>
      </c>
      <c r="E1198" t="inlineStr">
        <is>
          <t>VILHELMINA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29104-2024</t>
        </is>
      </c>
      <c r="B1199" s="1" t="n">
        <v>45482</v>
      </c>
      <c r="C1199" s="1" t="n">
        <v>45637</v>
      </c>
      <c r="D1199" t="inlineStr">
        <is>
          <t>VÄSTERBOTTENS LÄN</t>
        </is>
      </c>
      <c r="E1199" t="inlineStr">
        <is>
          <t>VILHELMINA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28949-2024</t>
        </is>
      </c>
      <c r="B1200" s="1" t="n">
        <v>45481</v>
      </c>
      <c r="C1200" s="1" t="n">
        <v>45637</v>
      </c>
      <c r="D1200" t="inlineStr">
        <is>
          <t>VÄSTERBOTTENS LÄN</t>
        </is>
      </c>
      <c r="E1200" t="inlineStr">
        <is>
          <t>VILHELMINA</t>
        </is>
      </c>
      <c r="F1200" t="inlineStr">
        <is>
          <t>Sveaskog</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29105-2024</t>
        </is>
      </c>
      <c r="B1201" s="1" t="n">
        <v>45482</v>
      </c>
      <c r="C1201" s="1" t="n">
        <v>45637</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29472-2024</t>
        </is>
      </c>
      <c r="B1202" s="1" t="n">
        <v>45484</v>
      </c>
      <c r="C1202" s="1" t="n">
        <v>45637</v>
      </c>
      <c r="D1202" t="inlineStr">
        <is>
          <t>VÄSTERBOTTENS LÄN</t>
        </is>
      </c>
      <c r="E1202" t="inlineStr">
        <is>
          <t>VILHELMINA</t>
        </is>
      </c>
      <c r="F1202" t="inlineStr">
        <is>
          <t>SCA</t>
        </is>
      </c>
      <c r="G1202" t="n">
        <v>23.6</v>
      </c>
      <c r="H1202" t="n">
        <v>0</v>
      </c>
      <c r="I1202" t="n">
        <v>0</v>
      </c>
      <c r="J1202" t="n">
        <v>0</v>
      </c>
      <c r="K1202" t="n">
        <v>0</v>
      </c>
      <c r="L1202" t="n">
        <v>0</v>
      </c>
      <c r="M1202" t="n">
        <v>0</v>
      </c>
      <c r="N1202" t="n">
        <v>0</v>
      </c>
      <c r="O1202" t="n">
        <v>0</v>
      </c>
      <c r="P1202" t="n">
        <v>0</v>
      </c>
      <c r="Q1202" t="n">
        <v>0</v>
      </c>
      <c r="R1202" s="2" t="inlineStr"/>
    </row>
    <row r="1203" ht="15" customHeight="1">
      <c r="A1203" t="inlineStr">
        <is>
          <t>A 29463-2024</t>
        </is>
      </c>
      <c r="B1203" s="1" t="n">
        <v>45484</v>
      </c>
      <c r="C1203" s="1" t="n">
        <v>45637</v>
      </c>
      <c r="D1203" t="inlineStr">
        <is>
          <t>VÄSTERBOTTENS LÄN</t>
        </is>
      </c>
      <c r="E1203" t="inlineStr">
        <is>
          <t>VILHELMINA</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29503-2024</t>
        </is>
      </c>
      <c r="B1204" s="1" t="n">
        <v>45484</v>
      </c>
      <c r="C1204" s="1" t="n">
        <v>45637</v>
      </c>
      <c r="D1204" t="inlineStr">
        <is>
          <t>VÄSTERBOTTENS LÄN</t>
        </is>
      </c>
      <c r="E1204" t="inlineStr">
        <is>
          <t>VILHELMINA</t>
        </is>
      </c>
      <c r="F1204" t="inlineStr">
        <is>
          <t>Sveaskog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29722-2024</t>
        </is>
      </c>
      <c r="B1205" s="1" t="n">
        <v>45485</v>
      </c>
      <c r="C1205" s="1" t="n">
        <v>45637</v>
      </c>
      <c r="D1205" t="inlineStr">
        <is>
          <t>VÄSTERBOTTENS LÄN</t>
        </is>
      </c>
      <c r="E1205" t="inlineStr">
        <is>
          <t>VILHELMINA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29732-2024</t>
        </is>
      </c>
      <c r="B1206" s="1" t="n">
        <v>45485</v>
      </c>
      <c r="C1206" s="1" t="n">
        <v>45637</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29922-2024</t>
        </is>
      </c>
      <c r="B1207" s="1" t="n">
        <v>45488</v>
      </c>
      <c r="C1207" s="1" t="n">
        <v>45637</v>
      </c>
      <c r="D1207" t="inlineStr">
        <is>
          <t>VÄSTERBOTTENS LÄN</t>
        </is>
      </c>
      <c r="E1207" t="inlineStr">
        <is>
          <t>VILHELMINA</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30331-2024</t>
        </is>
      </c>
      <c r="B1208" s="1" t="n">
        <v>45491</v>
      </c>
      <c r="C1208" s="1" t="n">
        <v>45637</v>
      </c>
      <c r="D1208" t="inlineStr">
        <is>
          <t>VÄSTERBOTTENS LÄN</t>
        </is>
      </c>
      <c r="E1208" t="inlineStr">
        <is>
          <t>VILHELMINA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30340-2024</t>
        </is>
      </c>
      <c r="B1209" s="1" t="n">
        <v>45491</v>
      </c>
      <c r="C1209" s="1" t="n">
        <v>45637</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30341-2024</t>
        </is>
      </c>
      <c r="B1210" s="1" t="n">
        <v>45491</v>
      </c>
      <c r="C1210" s="1" t="n">
        <v>45637</v>
      </c>
      <c r="D1210" t="inlineStr">
        <is>
          <t>VÄSTERBOTTENS LÄN</t>
        </is>
      </c>
      <c r="E1210" t="inlineStr">
        <is>
          <t>VILHELMINA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30583-2024</t>
        </is>
      </c>
      <c r="B1211" s="1" t="n">
        <v>45493</v>
      </c>
      <c r="C1211" s="1" t="n">
        <v>45637</v>
      </c>
      <c r="D1211" t="inlineStr">
        <is>
          <t>VÄSTERBOTTENS LÄN</t>
        </is>
      </c>
      <c r="E1211" t="inlineStr">
        <is>
          <t>VILHELMINA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30577-2024</t>
        </is>
      </c>
      <c r="B1212" s="1" t="n">
        <v>45493</v>
      </c>
      <c r="C1212" s="1" t="n">
        <v>45637</v>
      </c>
      <c r="D1212" t="inlineStr">
        <is>
          <t>VÄSTERBOTTENS LÄN</t>
        </is>
      </c>
      <c r="E1212" t="inlineStr">
        <is>
          <t>VILHELMINA</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30574-2024</t>
        </is>
      </c>
      <c r="B1213" s="1" t="n">
        <v>45493</v>
      </c>
      <c r="C1213" s="1" t="n">
        <v>45637</v>
      </c>
      <c r="D1213" t="inlineStr">
        <is>
          <t>VÄSTERBOTTENS LÄN</t>
        </is>
      </c>
      <c r="E1213" t="inlineStr">
        <is>
          <t>VILHELMINA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30578-2024</t>
        </is>
      </c>
      <c r="B1214" s="1" t="n">
        <v>45493</v>
      </c>
      <c r="C1214" s="1" t="n">
        <v>45637</v>
      </c>
      <c r="D1214" t="inlineStr">
        <is>
          <t>VÄSTERBOTTENS LÄN</t>
        </is>
      </c>
      <c r="E1214" t="inlineStr">
        <is>
          <t>VILHELMINA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30582-2024</t>
        </is>
      </c>
      <c r="B1215" s="1" t="n">
        <v>45492</v>
      </c>
      <c r="C1215" s="1" t="n">
        <v>45637</v>
      </c>
      <c r="D1215" t="inlineStr">
        <is>
          <t>VÄSTERBOTTENS LÄN</t>
        </is>
      </c>
      <c r="E1215" t="inlineStr">
        <is>
          <t>VILHELMINA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30575-2024</t>
        </is>
      </c>
      <c r="B1216" s="1" t="n">
        <v>45493</v>
      </c>
      <c r="C1216" s="1" t="n">
        <v>45637</v>
      </c>
      <c r="D1216" t="inlineStr">
        <is>
          <t>VÄSTERBOTTENS LÄN</t>
        </is>
      </c>
      <c r="E1216" t="inlineStr">
        <is>
          <t>VILHELMINA</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30572-2024</t>
        </is>
      </c>
      <c r="B1217" s="1" t="n">
        <v>45493</v>
      </c>
      <c r="C1217" s="1" t="n">
        <v>45637</v>
      </c>
      <c r="D1217" t="inlineStr">
        <is>
          <t>VÄSTERBOTTENS LÄN</t>
        </is>
      </c>
      <c r="E1217" t="inlineStr">
        <is>
          <t>VILHELMINA</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30576-2024</t>
        </is>
      </c>
      <c r="B1218" s="1" t="n">
        <v>45493</v>
      </c>
      <c r="C1218" s="1" t="n">
        <v>45637</v>
      </c>
      <c r="D1218" t="inlineStr">
        <is>
          <t>VÄSTERBOTTENS LÄN</t>
        </is>
      </c>
      <c r="E1218" t="inlineStr">
        <is>
          <t>VILHELMINA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30580-2024</t>
        </is>
      </c>
      <c r="B1219" s="1" t="n">
        <v>45493</v>
      </c>
      <c r="C1219" s="1" t="n">
        <v>45637</v>
      </c>
      <c r="D1219" t="inlineStr">
        <is>
          <t>VÄSTERBOTTENS LÄN</t>
        </is>
      </c>
      <c r="E1219" t="inlineStr">
        <is>
          <t>VILHELMINA</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30681-2024</t>
        </is>
      </c>
      <c r="B1220" s="1" t="n">
        <v>45496</v>
      </c>
      <c r="C1220" s="1" t="n">
        <v>45637</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30817-2024</t>
        </is>
      </c>
      <c r="B1221" s="1" t="n">
        <v>45497</v>
      </c>
      <c r="C1221" s="1" t="n">
        <v>45637</v>
      </c>
      <c r="D1221" t="inlineStr">
        <is>
          <t>VÄSTERBOTTENS LÄN</t>
        </is>
      </c>
      <c r="E1221" t="inlineStr">
        <is>
          <t>VILHELMINA</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31095-2024</t>
        </is>
      </c>
      <c r="B1222" s="1" t="n">
        <v>45502</v>
      </c>
      <c r="C1222" s="1" t="n">
        <v>45637</v>
      </c>
      <c r="D1222" t="inlineStr">
        <is>
          <t>VÄSTERBOTTENS LÄN</t>
        </is>
      </c>
      <c r="E1222" t="inlineStr">
        <is>
          <t>VILHELMINA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31458-2024</t>
        </is>
      </c>
      <c r="B1223" s="1" t="n">
        <v>45506</v>
      </c>
      <c r="C1223" s="1" t="n">
        <v>45637</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31449-2024</t>
        </is>
      </c>
      <c r="B1224" s="1" t="n">
        <v>45506</v>
      </c>
      <c r="C1224" s="1" t="n">
        <v>45637</v>
      </c>
      <c r="D1224" t="inlineStr">
        <is>
          <t>VÄSTERBOTTENS LÄN</t>
        </is>
      </c>
      <c r="E1224" t="inlineStr">
        <is>
          <t>VILHELMINA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31461-2024</t>
        </is>
      </c>
      <c r="B1225" s="1" t="n">
        <v>45506</v>
      </c>
      <c r="C1225" s="1" t="n">
        <v>45637</v>
      </c>
      <c r="D1225" t="inlineStr">
        <is>
          <t>VÄSTERBOTTENS LÄN</t>
        </is>
      </c>
      <c r="E1225" t="inlineStr">
        <is>
          <t>VILHELMINA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31455-2024</t>
        </is>
      </c>
      <c r="B1226" s="1" t="n">
        <v>45506</v>
      </c>
      <c r="C1226" s="1" t="n">
        <v>45637</v>
      </c>
      <c r="D1226" t="inlineStr">
        <is>
          <t>VÄSTERBOTTENS LÄN</t>
        </is>
      </c>
      <c r="E1226" t="inlineStr">
        <is>
          <t>VILHELMINA</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31696-2024</t>
        </is>
      </c>
      <c r="B1227" s="1" t="n">
        <v>45508</v>
      </c>
      <c r="C1227" s="1" t="n">
        <v>45637</v>
      </c>
      <c r="D1227" t="inlineStr">
        <is>
          <t>VÄSTERBOTTENS LÄN</t>
        </is>
      </c>
      <c r="E1227" t="inlineStr">
        <is>
          <t>VILHELMINA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31851-2024</t>
        </is>
      </c>
      <c r="B1228" s="1" t="n">
        <v>45509</v>
      </c>
      <c r="C1228" s="1" t="n">
        <v>45637</v>
      </c>
      <c r="D1228" t="inlineStr">
        <is>
          <t>VÄSTERBOTTENS LÄN</t>
        </is>
      </c>
      <c r="E1228" t="inlineStr">
        <is>
          <t>VILHELMINA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31868-2024</t>
        </is>
      </c>
      <c r="B1229" s="1" t="n">
        <v>45509</v>
      </c>
      <c r="C1229" s="1" t="n">
        <v>45637</v>
      </c>
      <c r="D1229" t="inlineStr">
        <is>
          <t>VÄSTERBOTTENS LÄN</t>
        </is>
      </c>
      <c r="E1229" t="inlineStr">
        <is>
          <t>VILHELMINA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31896-2024</t>
        </is>
      </c>
      <c r="B1230" s="1" t="n">
        <v>45510</v>
      </c>
      <c r="C1230" s="1" t="n">
        <v>45637</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31895-2024</t>
        </is>
      </c>
      <c r="B1231" s="1" t="n">
        <v>45510</v>
      </c>
      <c r="C1231" s="1" t="n">
        <v>45637</v>
      </c>
      <c r="D1231" t="inlineStr">
        <is>
          <t>VÄSTERBOTTENS LÄN</t>
        </is>
      </c>
      <c r="E1231" t="inlineStr">
        <is>
          <t>VILHELMINA</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31897-2024</t>
        </is>
      </c>
      <c r="B1232" s="1" t="n">
        <v>45509</v>
      </c>
      <c r="C1232" s="1" t="n">
        <v>45637</v>
      </c>
      <c r="D1232" t="inlineStr">
        <is>
          <t>VÄSTERBOTTENS LÄN</t>
        </is>
      </c>
      <c r="E1232" t="inlineStr">
        <is>
          <t>VILHELMINA</t>
        </is>
      </c>
      <c r="F1232" t="inlineStr">
        <is>
          <t>SCA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32252-2024</t>
        </is>
      </c>
      <c r="B1233" s="1" t="n">
        <v>45511</v>
      </c>
      <c r="C1233" s="1" t="n">
        <v>45637</v>
      </c>
      <c r="D1233" t="inlineStr">
        <is>
          <t>VÄSTERBOTTENS LÄN</t>
        </is>
      </c>
      <c r="E1233" t="inlineStr">
        <is>
          <t>VILHELMINA</t>
        </is>
      </c>
      <c r="F1233" t="inlineStr">
        <is>
          <t>SCA</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32253-2024</t>
        </is>
      </c>
      <c r="B1234" s="1" t="n">
        <v>45512</v>
      </c>
      <c r="C1234" s="1" t="n">
        <v>45637</v>
      </c>
      <c r="D1234" t="inlineStr">
        <is>
          <t>VÄSTERBOTTENS LÄN</t>
        </is>
      </c>
      <c r="E1234" t="inlineStr">
        <is>
          <t>VILHELMINA</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32455-2024</t>
        </is>
      </c>
      <c r="B1235" s="1" t="n">
        <v>45513</v>
      </c>
      <c r="C1235" s="1" t="n">
        <v>45637</v>
      </c>
      <c r="D1235" t="inlineStr">
        <is>
          <t>VÄSTERBOTTENS LÄN</t>
        </is>
      </c>
      <c r="E1235" t="inlineStr">
        <is>
          <t>VILHELMINA</t>
        </is>
      </c>
      <c r="F1235" t="inlineStr">
        <is>
          <t>SCA</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32683-2024</t>
        </is>
      </c>
      <c r="B1236" s="1" t="n">
        <v>45515</v>
      </c>
      <c r="C1236" s="1" t="n">
        <v>45637</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32901-2024</t>
        </is>
      </c>
      <c r="B1237" s="1" t="n">
        <v>45517</v>
      </c>
      <c r="C1237" s="1" t="n">
        <v>45637</v>
      </c>
      <c r="D1237" t="inlineStr">
        <is>
          <t>VÄSTERBOTTENS LÄN</t>
        </is>
      </c>
      <c r="E1237" t="inlineStr">
        <is>
          <t>VILHELMINA</t>
        </is>
      </c>
      <c r="F1237" t="inlineStr">
        <is>
          <t>SCA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32926-2024</t>
        </is>
      </c>
      <c r="B1238" s="1" t="n">
        <v>45517</v>
      </c>
      <c r="C1238" s="1" t="n">
        <v>45637</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32921-2024</t>
        </is>
      </c>
      <c r="B1239" s="1" t="n">
        <v>45517</v>
      </c>
      <c r="C1239" s="1" t="n">
        <v>45637</v>
      </c>
      <c r="D1239" t="inlineStr">
        <is>
          <t>VÄSTERBOTTENS LÄN</t>
        </is>
      </c>
      <c r="E1239" t="inlineStr">
        <is>
          <t>VILHELMINA</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32925-2024</t>
        </is>
      </c>
      <c r="B1240" s="1" t="n">
        <v>45517</v>
      </c>
      <c r="C1240" s="1" t="n">
        <v>45637</v>
      </c>
      <c r="D1240" t="inlineStr">
        <is>
          <t>VÄSTERBOTTENS LÄN</t>
        </is>
      </c>
      <c r="E1240" t="inlineStr">
        <is>
          <t>VILHELMINA</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33319-2024</t>
        </is>
      </c>
      <c r="B1241" s="1" t="n">
        <v>45518</v>
      </c>
      <c r="C1241" s="1" t="n">
        <v>45637</v>
      </c>
      <c r="D1241" t="inlineStr">
        <is>
          <t>VÄSTERBOTTENS LÄN</t>
        </is>
      </c>
      <c r="E1241" t="inlineStr">
        <is>
          <t>VILHELMINA</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33320-2024</t>
        </is>
      </c>
      <c r="B1242" s="1" t="n">
        <v>45518</v>
      </c>
      <c r="C1242" s="1" t="n">
        <v>45637</v>
      </c>
      <c r="D1242" t="inlineStr">
        <is>
          <t>VÄSTERBOTTENS LÄN</t>
        </is>
      </c>
      <c r="E1242" t="inlineStr">
        <is>
          <t>VILHELMINA</t>
        </is>
      </c>
      <c r="F1242" t="inlineStr">
        <is>
          <t>SCA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33321-2024</t>
        </is>
      </c>
      <c r="B1243" s="1" t="n">
        <v>45519</v>
      </c>
      <c r="C1243" s="1" t="n">
        <v>45637</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33322-2024</t>
        </is>
      </c>
      <c r="B1244" s="1" t="n">
        <v>45518</v>
      </c>
      <c r="C1244" s="1" t="n">
        <v>45637</v>
      </c>
      <c r="D1244" t="inlineStr">
        <is>
          <t>VÄSTERBOTTENS LÄN</t>
        </is>
      </c>
      <c r="E1244" t="inlineStr">
        <is>
          <t>VILHELMINA</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33318-2024</t>
        </is>
      </c>
      <c r="B1245" s="1" t="n">
        <v>45519</v>
      </c>
      <c r="C1245" s="1" t="n">
        <v>45637</v>
      </c>
      <c r="D1245" t="inlineStr">
        <is>
          <t>VÄSTERBOTTENS LÄN</t>
        </is>
      </c>
      <c r="E1245" t="inlineStr">
        <is>
          <t>VILHELMINA</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33630-2024</t>
        </is>
      </c>
      <c r="B1246" s="1" t="n">
        <v>45520</v>
      </c>
      <c r="C1246" s="1" t="n">
        <v>45637</v>
      </c>
      <c r="D1246" t="inlineStr">
        <is>
          <t>VÄSTERBOTTENS LÄN</t>
        </is>
      </c>
      <c r="E1246" t="inlineStr">
        <is>
          <t>VILHELMINA</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33755-2024</t>
        </is>
      </c>
      <c r="B1247" s="1" t="n">
        <v>45520</v>
      </c>
      <c r="C1247" s="1" t="n">
        <v>45637</v>
      </c>
      <c r="D1247" t="inlineStr">
        <is>
          <t>VÄSTERBOTTENS LÄN</t>
        </is>
      </c>
      <c r="E1247" t="inlineStr">
        <is>
          <t>VILHELMINA</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33828-2024</t>
        </is>
      </c>
      <c r="B1248" s="1" t="n">
        <v>45520</v>
      </c>
      <c r="C1248" s="1" t="n">
        <v>45637</v>
      </c>
      <c r="D1248" t="inlineStr">
        <is>
          <t>VÄSTERBOTTENS LÄN</t>
        </is>
      </c>
      <c r="E1248" t="inlineStr">
        <is>
          <t>VILHELMINA</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33786-2024</t>
        </is>
      </c>
      <c r="B1249" s="1" t="n">
        <v>45520</v>
      </c>
      <c r="C1249" s="1" t="n">
        <v>45637</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33823-2024</t>
        </is>
      </c>
      <c r="B1250" s="1" t="n">
        <v>45520</v>
      </c>
      <c r="C1250" s="1" t="n">
        <v>45637</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34135-2024</t>
        </is>
      </c>
      <c r="B1251" s="1" t="n">
        <v>45524</v>
      </c>
      <c r="C1251" s="1" t="n">
        <v>45637</v>
      </c>
      <c r="D1251" t="inlineStr">
        <is>
          <t>VÄSTERBOTTENS LÄN</t>
        </is>
      </c>
      <c r="E1251" t="inlineStr">
        <is>
          <t>VILHELMINA</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34130-2024</t>
        </is>
      </c>
      <c r="B1252" s="1" t="n">
        <v>45524</v>
      </c>
      <c r="C1252" s="1" t="n">
        <v>45637</v>
      </c>
      <c r="D1252" t="inlineStr">
        <is>
          <t>VÄSTERBOTTENS LÄN</t>
        </is>
      </c>
      <c r="E1252" t="inlineStr">
        <is>
          <t>VILHELMINA</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34762-2024</t>
        </is>
      </c>
      <c r="B1253" s="1" t="n">
        <v>45526</v>
      </c>
      <c r="C1253" s="1" t="n">
        <v>45637</v>
      </c>
      <c r="D1253" t="inlineStr">
        <is>
          <t>VÄSTERBOTTENS LÄN</t>
        </is>
      </c>
      <c r="E1253" t="inlineStr">
        <is>
          <t>VILHELMINA</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34819-2024</t>
        </is>
      </c>
      <c r="B1254" s="1" t="n">
        <v>45526</v>
      </c>
      <c r="C1254" s="1" t="n">
        <v>45637</v>
      </c>
      <c r="D1254" t="inlineStr">
        <is>
          <t>VÄSTERBOTTENS LÄN</t>
        </is>
      </c>
      <c r="E1254" t="inlineStr">
        <is>
          <t>VILHELMINA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34743-2024</t>
        </is>
      </c>
      <c r="B1255" s="1" t="n">
        <v>45526</v>
      </c>
      <c r="C1255" s="1" t="n">
        <v>45637</v>
      </c>
      <c r="D1255" t="inlineStr">
        <is>
          <t>VÄSTERBOTTENS LÄN</t>
        </is>
      </c>
      <c r="E1255" t="inlineStr">
        <is>
          <t>VILHELMINA</t>
        </is>
      </c>
      <c r="F1255" t="inlineStr">
        <is>
          <t>SCA</t>
        </is>
      </c>
      <c r="G1255" t="n">
        <v>28.2</v>
      </c>
      <c r="H1255" t="n">
        <v>0</v>
      </c>
      <c r="I1255" t="n">
        <v>0</v>
      </c>
      <c r="J1255" t="n">
        <v>0</v>
      </c>
      <c r="K1255" t="n">
        <v>0</v>
      </c>
      <c r="L1255" t="n">
        <v>0</v>
      </c>
      <c r="M1255" t="n">
        <v>0</v>
      </c>
      <c r="N1255" t="n">
        <v>0</v>
      </c>
      <c r="O1255" t="n">
        <v>0</v>
      </c>
      <c r="P1255" t="n">
        <v>0</v>
      </c>
      <c r="Q1255" t="n">
        <v>0</v>
      </c>
      <c r="R1255" s="2" t="inlineStr"/>
    </row>
    <row r="1256" ht="15" customHeight="1">
      <c r="A1256" t="inlineStr">
        <is>
          <t>A 34763-2024</t>
        </is>
      </c>
      <c r="B1256" s="1" t="n">
        <v>45526</v>
      </c>
      <c r="C1256" s="1" t="n">
        <v>45637</v>
      </c>
      <c r="D1256" t="inlineStr">
        <is>
          <t>VÄSTERBOTTENS LÄN</t>
        </is>
      </c>
      <c r="E1256" t="inlineStr">
        <is>
          <t>VILHELMINA</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34630-2024</t>
        </is>
      </c>
      <c r="B1257" s="1" t="n">
        <v>45526</v>
      </c>
      <c r="C1257" s="1" t="n">
        <v>45637</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34719-2024</t>
        </is>
      </c>
      <c r="B1258" s="1" t="n">
        <v>45526</v>
      </c>
      <c r="C1258" s="1" t="n">
        <v>45637</v>
      </c>
      <c r="D1258" t="inlineStr">
        <is>
          <t>VÄSTERBOTTENS LÄN</t>
        </is>
      </c>
      <c r="E1258" t="inlineStr">
        <is>
          <t>VILHELMINA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34764-2024</t>
        </is>
      </c>
      <c r="B1259" s="1" t="n">
        <v>45526</v>
      </c>
      <c r="C1259" s="1" t="n">
        <v>45637</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35156-2024</t>
        </is>
      </c>
      <c r="B1260" s="1" t="n">
        <v>45530</v>
      </c>
      <c r="C1260" s="1" t="n">
        <v>45637</v>
      </c>
      <c r="D1260" t="inlineStr">
        <is>
          <t>VÄSTERBOTTENS LÄN</t>
        </is>
      </c>
      <c r="E1260" t="inlineStr">
        <is>
          <t>VILHELMINA</t>
        </is>
      </c>
      <c r="F1260" t="inlineStr">
        <is>
          <t>Övriga Aktiebolag</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35372-2024</t>
        </is>
      </c>
      <c r="B1261" s="1" t="n">
        <v>45531</v>
      </c>
      <c r="C1261" s="1" t="n">
        <v>45637</v>
      </c>
      <c r="D1261" t="inlineStr">
        <is>
          <t>VÄSTERBOTTENS LÄN</t>
        </is>
      </c>
      <c r="E1261" t="inlineStr">
        <is>
          <t>VILHELMINA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35377-2024</t>
        </is>
      </c>
      <c r="B1262" s="1" t="n">
        <v>45531</v>
      </c>
      <c r="C1262" s="1" t="n">
        <v>45637</v>
      </c>
      <c r="D1262" t="inlineStr">
        <is>
          <t>VÄSTERBOTTENS LÄN</t>
        </is>
      </c>
      <c r="E1262" t="inlineStr">
        <is>
          <t>VILHELMINA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35409-2024</t>
        </is>
      </c>
      <c r="B1263" s="1" t="n">
        <v>45531</v>
      </c>
      <c r="C1263" s="1" t="n">
        <v>45637</v>
      </c>
      <c r="D1263" t="inlineStr">
        <is>
          <t>VÄSTERBOTTENS LÄN</t>
        </is>
      </c>
      <c r="E1263" t="inlineStr">
        <is>
          <t>VILHELMINA</t>
        </is>
      </c>
      <c r="F1263" t="inlineStr">
        <is>
          <t>SCA</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35473-2024</t>
        </is>
      </c>
      <c r="B1264" s="1" t="n">
        <v>45531</v>
      </c>
      <c r="C1264" s="1" t="n">
        <v>45637</v>
      </c>
      <c r="D1264" t="inlineStr">
        <is>
          <t>VÄSTERBOTTENS LÄN</t>
        </is>
      </c>
      <c r="E1264" t="inlineStr">
        <is>
          <t>VILHELMINA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35412-2024</t>
        </is>
      </c>
      <c r="B1265" s="1" t="n">
        <v>45531</v>
      </c>
      <c r="C1265" s="1" t="n">
        <v>45637</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36320-2024</t>
        </is>
      </c>
      <c r="B1266" s="1" t="n">
        <v>45534</v>
      </c>
      <c r="C1266" s="1" t="n">
        <v>45637</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36293-2024</t>
        </is>
      </c>
      <c r="B1267" s="1" t="n">
        <v>45534</v>
      </c>
      <c r="C1267" s="1" t="n">
        <v>45637</v>
      </c>
      <c r="D1267" t="inlineStr">
        <is>
          <t>VÄSTERBOTTENS LÄN</t>
        </is>
      </c>
      <c r="E1267" t="inlineStr">
        <is>
          <t>VILHELMINA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36301-2024</t>
        </is>
      </c>
      <c r="B1268" s="1" t="n">
        <v>45534</v>
      </c>
      <c r="C1268" s="1" t="n">
        <v>45637</v>
      </c>
      <c r="D1268" t="inlineStr">
        <is>
          <t>VÄSTERBOTTENS LÄN</t>
        </is>
      </c>
      <c r="E1268" t="inlineStr">
        <is>
          <t>VILHELMINA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36333-2024</t>
        </is>
      </c>
      <c r="B1269" s="1" t="n">
        <v>45534</v>
      </c>
      <c r="C1269" s="1" t="n">
        <v>45637</v>
      </c>
      <c r="D1269" t="inlineStr">
        <is>
          <t>VÄSTERBOTTENS LÄN</t>
        </is>
      </c>
      <c r="E1269" t="inlineStr">
        <is>
          <t>VILHELMINA</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36323-2024</t>
        </is>
      </c>
      <c r="B1270" s="1" t="n">
        <v>45534</v>
      </c>
      <c r="C1270" s="1" t="n">
        <v>45637</v>
      </c>
      <c r="D1270" t="inlineStr">
        <is>
          <t>VÄSTERBOTTENS LÄN</t>
        </is>
      </c>
      <c r="E1270" t="inlineStr">
        <is>
          <t>VILHELMINA</t>
        </is>
      </c>
      <c r="F1270" t="inlineStr">
        <is>
          <t>SCA</t>
        </is>
      </c>
      <c r="G1270" t="n">
        <v>29.7</v>
      </c>
      <c r="H1270" t="n">
        <v>0</v>
      </c>
      <c r="I1270" t="n">
        <v>0</v>
      </c>
      <c r="J1270" t="n">
        <v>0</v>
      </c>
      <c r="K1270" t="n">
        <v>0</v>
      </c>
      <c r="L1270" t="n">
        <v>0</v>
      </c>
      <c r="M1270" t="n">
        <v>0</v>
      </c>
      <c r="N1270" t="n">
        <v>0</v>
      </c>
      <c r="O1270" t="n">
        <v>0</v>
      </c>
      <c r="P1270" t="n">
        <v>0</v>
      </c>
      <c r="Q1270" t="n">
        <v>0</v>
      </c>
      <c r="R1270" s="2" t="inlineStr"/>
    </row>
    <row r="1271" ht="15" customHeight="1">
      <c r="A1271" t="inlineStr">
        <is>
          <t>A 36355-2024</t>
        </is>
      </c>
      <c r="B1271" s="1" t="n">
        <v>45534</v>
      </c>
      <c r="C1271" s="1" t="n">
        <v>45637</v>
      </c>
      <c r="D1271" t="inlineStr">
        <is>
          <t>VÄSTERBOTTENS LÄN</t>
        </is>
      </c>
      <c r="E1271" t="inlineStr">
        <is>
          <t>VILHELMINA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36349-2024</t>
        </is>
      </c>
      <c r="B1272" s="1" t="n">
        <v>45534</v>
      </c>
      <c r="C1272" s="1" t="n">
        <v>45637</v>
      </c>
      <c r="D1272" t="inlineStr">
        <is>
          <t>VÄSTERBOTTENS LÄN</t>
        </is>
      </c>
      <c r="E1272" t="inlineStr">
        <is>
          <t>VILHELMINA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36348-2024</t>
        </is>
      </c>
      <c r="B1273" s="1" t="n">
        <v>45534</v>
      </c>
      <c r="C1273" s="1" t="n">
        <v>45637</v>
      </c>
      <c r="D1273" t="inlineStr">
        <is>
          <t>VÄSTERBOTTENS LÄN</t>
        </is>
      </c>
      <c r="E1273" t="inlineStr">
        <is>
          <t>VILHELMINA</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36788-2024</t>
        </is>
      </c>
      <c r="B1274" s="1" t="n">
        <v>45538</v>
      </c>
      <c r="C1274" s="1" t="n">
        <v>45637</v>
      </c>
      <c r="D1274" t="inlineStr">
        <is>
          <t>VÄSTERBOTTENS LÄN</t>
        </is>
      </c>
      <c r="E1274" t="inlineStr">
        <is>
          <t>VILHELMINA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36909-2024</t>
        </is>
      </c>
      <c r="B1275" s="1" t="n">
        <v>45538</v>
      </c>
      <c r="C1275" s="1" t="n">
        <v>45637</v>
      </c>
      <c r="D1275" t="inlineStr">
        <is>
          <t>VÄSTERBOTTENS LÄN</t>
        </is>
      </c>
      <c r="E1275" t="inlineStr">
        <is>
          <t>VILHELMINA</t>
        </is>
      </c>
      <c r="F1275" t="inlineStr">
        <is>
          <t>SCA</t>
        </is>
      </c>
      <c r="G1275" t="n">
        <v>16.8</v>
      </c>
      <c r="H1275" t="n">
        <v>0</v>
      </c>
      <c r="I1275" t="n">
        <v>0</v>
      </c>
      <c r="J1275" t="n">
        <v>0</v>
      </c>
      <c r="K1275" t="n">
        <v>0</v>
      </c>
      <c r="L1275" t="n">
        <v>0</v>
      </c>
      <c r="M1275" t="n">
        <v>0</v>
      </c>
      <c r="N1275" t="n">
        <v>0</v>
      </c>
      <c r="O1275" t="n">
        <v>0</v>
      </c>
      <c r="P1275" t="n">
        <v>0</v>
      </c>
      <c r="Q1275" t="n">
        <v>0</v>
      </c>
      <c r="R1275" s="2" t="inlineStr"/>
    </row>
    <row r="1276" ht="15" customHeight="1">
      <c r="A1276" t="inlineStr">
        <is>
          <t>A 37272-2024</t>
        </is>
      </c>
      <c r="B1276" s="1" t="n">
        <v>45540</v>
      </c>
      <c r="C1276" s="1" t="n">
        <v>45637</v>
      </c>
      <c r="D1276" t="inlineStr">
        <is>
          <t>VÄSTERBOTTENS LÄN</t>
        </is>
      </c>
      <c r="E1276" t="inlineStr">
        <is>
          <t>VILHELMINA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37346-2024</t>
        </is>
      </c>
      <c r="B1277" s="1" t="n">
        <v>45540</v>
      </c>
      <c r="C1277" s="1" t="n">
        <v>45637</v>
      </c>
      <c r="D1277" t="inlineStr">
        <is>
          <t>VÄSTERBOTTENS LÄN</t>
        </is>
      </c>
      <c r="E1277" t="inlineStr">
        <is>
          <t>VILHELMINA</t>
        </is>
      </c>
      <c r="G1277" t="n">
        <v>100.3</v>
      </c>
      <c r="H1277" t="n">
        <v>0</v>
      </c>
      <c r="I1277" t="n">
        <v>0</v>
      </c>
      <c r="J1277" t="n">
        <v>0</v>
      </c>
      <c r="K1277" t="n">
        <v>0</v>
      </c>
      <c r="L1277" t="n">
        <v>0</v>
      </c>
      <c r="M1277" t="n">
        <v>0</v>
      </c>
      <c r="N1277" t="n">
        <v>0</v>
      </c>
      <c r="O1277" t="n">
        <v>0</v>
      </c>
      <c r="P1277" t="n">
        <v>0</v>
      </c>
      <c r="Q1277" t="n">
        <v>0</v>
      </c>
      <c r="R1277" s="2" t="inlineStr"/>
    </row>
    <row r="1278" ht="15" customHeight="1">
      <c r="A1278" t="inlineStr">
        <is>
          <t>A 37514-2024</t>
        </is>
      </c>
      <c r="B1278" s="1" t="n">
        <v>45541</v>
      </c>
      <c r="C1278" s="1" t="n">
        <v>45637</v>
      </c>
      <c r="D1278" t="inlineStr">
        <is>
          <t>VÄSTERBOTTENS LÄN</t>
        </is>
      </c>
      <c r="E1278" t="inlineStr">
        <is>
          <t>VILHELMINA</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37715-2024</t>
        </is>
      </c>
      <c r="B1279" s="1" t="n">
        <v>45541</v>
      </c>
      <c r="C1279" s="1" t="n">
        <v>45637</v>
      </c>
      <c r="D1279" t="inlineStr">
        <is>
          <t>VÄSTERBOTTENS LÄN</t>
        </is>
      </c>
      <c r="E1279" t="inlineStr">
        <is>
          <t>VILHELMINA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37714-2024</t>
        </is>
      </c>
      <c r="B1280" s="1" t="n">
        <v>45541</v>
      </c>
      <c r="C1280" s="1" t="n">
        <v>45637</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37717-2024</t>
        </is>
      </c>
      <c r="B1281" s="1" t="n">
        <v>45541</v>
      </c>
      <c r="C1281" s="1" t="n">
        <v>45637</v>
      </c>
      <c r="D1281" t="inlineStr">
        <is>
          <t>VÄSTERBOTTENS LÄN</t>
        </is>
      </c>
      <c r="E1281" t="inlineStr">
        <is>
          <t>VILHELMINA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37716-2024</t>
        </is>
      </c>
      <c r="B1282" s="1" t="n">
        <v>45541</v>
      </c>
      <c r="C1282" s="1" t="n">
        <v>45637</v>
      </c>
      <c r="D1282" t="inlineStr">
        <is>
          <t>VÄSTERBOTTENS LÄN</t>
        </is>
      </c>
      <c r="E1282" t="inlineStr">
        <is>
          <t>VILHELMINA</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38125-2024</t>
        </is>
      </c>
      <c r="B1283" s="1" t="n">
        <v>45545</v>
      </c>
      <c r="C1283" s="1" t="n">
        <v>45637</v>
      </c>
      <c r="D1283" t="inlineStr">
        <is>
          <t>VÄSTERBOTTENS LÄN</t>
        </is>
      </c>
      <c r="E1283" t="inlineStr">
        <is>
          <t>VILHELMINA</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38130-2024</t>
        </is>
      </c>
      <c r="B1284" s="1" t="n">
        <v>45545</v>
      </c>
      <c r="C1284" s="1" t="n">
        <v>45637</v>
      </c>
      <c r="D1284" t="inlineStr">
        <is>
          <t>VÄSTERBOTTENS LÄN</t>
        </is>
      </c>
      <c r="E1284" t="inlineStr">
        <is>
          <t>VILHELMINA</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38126-2024</t>
        </is>
      </c>
      <c r="B1285" s="1" t="n">
        <v>45545</v>
      </c>
      <c r="C1285" s="1" t="n">
        <v>45637</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38187-2024</t>
        </is>
      </c>
      <c r="B1286" s="1" t="n">
        <v>45545</v>
      </c>
      <c r="C1286" s="1" t="n">
        <v>45637</v>
      </c>
      <c r="D1286" t="inlineStr">
        <is>
          <t>VÄSTERBOTTENS LÄN</t>
        </is>
      </c>
      <c r="E1286" t="inlineStr">
        <is>
          <t>VILHELMINA</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45637</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45637</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45637</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45637</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45637</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45637</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45637</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45637</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45637</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45637</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45637</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45637</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45637</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45637</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45637</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45637</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45637</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45637</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45637</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45637</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45637</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45637</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45637</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45637</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45637</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45637</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45637</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45637</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45637</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45637</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45637</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45637</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45637</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45637</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45637</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45637</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45637</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45637</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45637</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45637</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45637</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45637</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45637</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45637</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45637</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45637</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45637</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45637</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45637</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45637</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45637</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45637</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45637</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45637</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45637</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45637</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45637</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45637</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45637</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45637</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45637</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45637</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45637</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45637</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45637</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45637</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45637</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45637</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45637</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45637</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45637</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45637</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45637</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45637</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45637</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45637</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45637</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45637</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45637</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45637</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45637</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45637</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45637</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45637</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45637</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45637</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54387-2024</t>
        </is>
      </c>
      <c r="B1373" s="1" t="n">
        <v>45617</v>
      </c>
      <c r="C1373" s="1" t="n">
        <v>45637</v>
      </c>
      <c r="D1373" t="inlineStr">
        <is>
          <t>VÄSTERBOTTENS LÄN</t>
        </is>
      </c>
      <c r="E1373" t="inlineStr">
        <is>
          <t>VILHELMINA</t>
        </is>
      </c>
      <c r="F1373" t="inlineStr">
        <is>
          <t>SCA</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54459-2024</t>
        </is>
      </c>
      <c r="B1374" s="1" t="n">
        <v>45617</v>
      </c>
      <c r="C1374" s="1" t="n">
        <v>45637</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54430-2024</t>
        </is>
      </c>
      <c r="B1375" s="1" t="n">
        <v>45617</v>
      </c>
      <c r="C1375" s="1" t="n">
        <v>45637</v>
      </c>
      <c r="D1375" t="inlineStr">
        <is>
          <t>VÄSTERBOTTENS LÄN</t>
        </is>
      </c>
      <c r="E1375" t="inlineStr">
        <is>
          <t>VILHELMINA</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54457-2024</t>
        </is>
      </c>
      <c r="B1376" s="1" t="n">
        <v>45617</v>
      </c>
      <c r="C1376" s="1" t="n">
        <v>45637</v>
      </c>
      <c r="D1376" t="inlineStr">
        <is>
          <t>VÄSTERBOTTENS LÄN</t>
        </is>
      </c>
      <c r="E1376" t="inlineStr">
        <is>
          <t>VILHELMINA</t>
        </is>
      </c>
      <c r="F1376" t="inlineStr">
        <is>
          <t>SCA</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54727-2024</t>
        </is>
      </c>
      <c r="B1377" s="1" t="n">
        <v>45618</v>
      </c>
      <c r="C1377" s="1" t="n">
        <v>45637</v>
      </c>
      <c r="D1377" t="inlineStr">
        <is>
          <t>VÄSTERBOTTENS LÄN</t>
        </is>
      </c>
      <c r="E1377" t="inlineStr">
        <is>
          <t>VILHELMINA</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54724-2024</t>
        </is>
      </c>
      <c r="B1378" s="1" t="n">
        <v>45618</v>
      </c>
      <c r="C1378" s="1" t="n">
        <v>45637</v>
      </c>
      <c r="D1378" t="inlineStr">
        <is>
          <t>VÄSTERBOTTENS LÄN</t>
        </is>
      </c>
      <c r="E1378" t="inlineStr">
        <is>
          <t>VILHELMINA</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54804-2024</t>
        </is>
      </c>
      <c r="B1379" s="1" t="n">
        <v>45618</v>
      </c>
      <c r="C1379" s="1" t="n">
        <v>45637</v>
      </c>
      <c r="D1379" t="inlineStr">
        <is>
          <t>VÄSTERBOTTENS LÄN</t>
        </is>
      </c>
      <c r="E1379" t="inlineStr">
        <is>
          <t>VILHELMINA</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55695-2024</t>
        </is>
      </c>
      <c r="B1380" s="1" t="n">
        <v>45622</v>
      </c>
      <c r="C1380" s="1" t="n">
        <v>45637</v>
      </c>
      <c r="D1380" t="inlineStr">
        <is>
          <t>VÄSTERBOTTENS LÄN</t>
        </is>
      </c>
      <c r="E1380" t="inlineStr">
        <is>
          <t>VILHELMINA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55697-2024</t>
        </is>
      </c>
      <c r="B1381" s="1" t="n">
        <v>45622</v>
      </c>
      <c r="C1381" s="1" t="n">
        <v>45637</v>
      </c>
      <c r="D1381" t="inlineStr">
        <is>
          <t>VÄSTERBOTTENS LÄN</t>
        </is>
      </c>
      <c r="E1381" t="inlineStr">
        <is>
          <t>VILHELMINA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55620-2024</t>
        </is>
      </c>
      <c r="B1382" s="1" t="n">
        <v>45622</v>
      </c>
      <c r="C1382" s="1" t="n">
        <v>45637</v>
      </c>
      <c r="D1382" t="inlineStr">
        <is>
          <t>VÄSTERBOTTENS LÄN</t>
        </is>
      </c>
      <c r="E1382" t="inlineStr">
        <is>
          <t>VILHELMINA</t>
        </is>
      </c>
      <c r="F1382" t="inlineStr">
        <is>
          <t>SCA</t>
        </is>
      </c>
      <c r="G1382" t="n">
        <v>21.4</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45637</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45637</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56627-2024</t>
        </is>
      </c>
      <c r="B1385" s="1" t="n">
        <v>45625</v>
      </c>
      <c r="C1385" s="1" t="n">
        <v>45637</v>
      </c>
      <c r="D1385" t="inlineStr">
        <is>
          <t>VÄSTERBOTTENS LÄN</t>
        </is>
      </c>
      <c r="E1385" t="inlineStr">
        <is>
          <t>VILHELMINA</t>
        </is>
      </c>
      <c r="F1385" t="inlineStr">
        <is>
          <t>Allmännings- och besparingsskogar</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56618-2024</t>
        </is>
      </c>
      <c r="B1386" s="1" t="n">
        <v>45625</v>
      </c>
      <c r="C1386" s="1" t="n">
        <v>45637</v>
      </c>
      <c r="D1386" t="inlineStr">
        <is>
          <t>VÄSTERBOTTENS LÄN</t>
        </is>
      </c>
      <c r="E1386" t="inlineStr">
        <is>
          <t>VILHELMINA</t>
        </is>
      </c>
      <c r="F1386" t="inlineStr">
        <is>
          <t>Allmännings- och besparingsskogar</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56629-2024</t>
        </is>
      </c>
      <c r="B1387" s="1" t="n">
        <v>45625</v>
      </c>
      <c r="C1387" s="1" t="n">
        <v>45637</v>
      </c>
      <c r="D1387" t="inlineStr">
        <is>
          <t>VÄSTERBOTTENS LÄN</t>
        </is>
      </c>
      <c r="E1387" t="inlineStr">
        <is>
          <t>VILHELMINA</t>
        </is>
      </c>
      <c r="F1387" t="inlineStr">
        <is>
          <t>Allmännings- och besparingsskogar</t>
        </is>
      </c>
      <c r="G1387" t="n">
        <v>19.7</v>
      </c>
      <c r="H1387" t="n">
        <v>0</v>
      </c>
      <c r="I1387" t="n">
        <v>0</v>
      </c>
      <c r="J1387" t="n">
        <v>0</v>
      </c>
      <c r="K1387" t="n">
        <v>0</v>
      </c>
      <c r="L1387" t="n">
        <v>0</v>
      </c>
      <c r="M1387" t="n">
        <v>0</v>
      </c>
      <c r="N1387" t="n">
        <v>0</v>
      </c>
      <c r="O1387" t="n">
        <v>0</v>
      </c>
      <c r="P1387" t="n">
        <v>0</v>
      </c>
      <c r="Q1387" t="n">
        <v>0</v>
      </c>
      <c r="R1387" s="2" t="inlineStr"/>
    </row>
    <row r="1388" ht="15" customHeight="1">
      <c r="A1388" t="inlineStr">
        <is>
          <t>A 56624-2024</t>
        </is>
      </c>
      <c r="B1388" s="1" t="n">
        <v>45625</v>
      </c>
      <c r="C1388" s="1" t="n">
        <v>45637</v>
      </c>
      <c r="D1388" t="inlineStr">
        <is>
          <t>VÄSTERBOTTENS LÄN</t>
        </is>
      </c>
      <c r="E1388" t="inlineStr">
        <is>
          <t>VILHELMINA</t>
        </is>
      </c>
      <c r="F1388" t="inlineStr">
        <is>
          <t>Allmännings- och besparingsskogar</t>
        </is>
      </c>
      <c r="G1388" t="n">
        <v>17.8</v>
      </c>
      <c r="H1388" t="n">
        <v>0</v>
      </c>
      <c r="I1388" t="n">
        <v>0</v>
      </c>
      <c r="J1388" t="n">
        <v>0</v>
      </c>
      <c r="K1388" t="n">
        <v>0</v>
      </c>
      <c r="L1388" t="n">
        <v>0</v>
      </c>
      <c r="M1388" t="n">
        <v>0</v>
      </c>
      <c r="N1388" t="n">
        <v>0</v>
      </c>
      <c r="O1388" t="n">
        <v>0</v>
      </c>
      <c r="P1388" t="n">
        <v>0</v>
      </c>
      <c r="Q1388" t="n">
        <v>0</v>
      </c>
      <c r="R1388" s="2" t="inlineStr"/>
    </row>
    <row r="1389" ht="15" customHeight="1">
      <c r="A1389" t="inlineStr">
        <is>
          <t>A 56632-2024</t>
        </is>
      </c>
      <c r="B1389" s="1" t="n">
        <v>45625</v>
      </c>
      <c r="C1389" s="1" t="n">
        <v>45637</v>
      </c>
      <c r="D1389" t="inlineStr">
        <is>
          <t>VÄSTERBOTTENS LÄN</t>
        </is>
      </c>
      <c r="E1389" t="inlineStr">
        <is>
          <t>VILHELMINA</t>
        </is>
      </c>
      <c r="F1389" t="inlineStr">
        <is>
          <t>Allmännings- och besparingsskogar</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45637</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45637</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58234-2024</t>
        </is>
      </c>
      <c r="B1392" s="1" t="n">
        <v>45632</v>
      </c>
      <c r="C1392" s="1" t="n">
        <v>45637</v>
      </c>
      <c r="D1392" t="inlineStr">
        <is>
          <t>VÄSTERBOTTENS LÄN</t>
        </is>
      </c>
      <c r="E1392" t="inlineStr">
        <is>
          <t>VILHELMINA</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58624-2024</t>
        </is>
      </c>
      <c r="B1393" s="1" t="n">
        <v>45632</v>
      </c>
      <c r="C1393" s="1" t="n">
        <v>45637</v>
      </c>
      <c r="D1393" t="inlineStr">
        <is>
          <t>VÄSTERBOTTENS LÄN</t>
        </is>
      </c>
      <c r="E1393" t="inlineStr">
        <is>
          <t>VILHELMINA</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58179-2024</t>
        </is>
      </c>
      <c r="B1394" s="1" t="n">
        <v>45632</v>
      </c>
      <c r="C1394" s="1" t="n">
        <v>45637</v>
      </c>
      <c r="D1394" t="inlineStr">
        <is>
          <t>VÄSTERBOTTENS LÄN</t>
        </is>
      </c>
      <c r="E1394" t="inlineStr">
        <is>
          <t>VILHELMINA</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58450-2024</t>
        </is>
      </c>
      <c r="B1395" s="1" t="n">
        <v>45635</v>
      </c>
      <c r="C1395" s="1" t="n">
        <v>45637</v>
      </c>
      <c r="D1395" t="inlineStr">
        <is>
          <t>VÄSTERBOTTENS LÄN</t>
        </is>
      </c>
      <c r="E1395" t="inlineStr">
        <is>
          <t>VILHELMINA</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58505-2024</t>
        </is>
      </c>
      <c r="B1396" s="1" t="n">
        <v>45635</v>
      </c>
      <c r="C1396" s="1" t="n">
        <v>45637</v>
      </c>
      <c r="D1396" t="inlineStr">
        <is>
          <t>VÄSTERBOTTENS LÄN</t>
        </is>
      </c>
      <c r="E1396" t="inlineStr">
        <is>
          <t>VILHELMINA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58927-2024</t>
        </is>
      </c>
      <c r="B1397" s="1" t="n">
        <v>45636</v>
      </c>
      <c r="C1397" s="1" t="n">
        <v>45637</v>
      </c>
      <c r="D1397" t="inlineStr">
        <is>
          <t>VÄSTERBOTTENS LÄN</t>
        </is>
      </c>
      <c r="E1397" t="inlineStr">
        <is>
          <t>VILHELMINA</t>
        </is>
      </c>
      <c r="F1397" t="inlineStr">
        <is>
          <t>Kommuner</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58946-2024</t>
        </is>
      </c>
      <c r="B1398" s="1" t="n">
        <v>45636</v>
      </c>
      <c r="C1398" s="1" t="n">
        <v>45637</v>
      </c>
      <c r="D1398" t="inlineStr">
        <is>
          <t>VÄSTERBOTTENS LÄN</t>
        </is>
      </c>
      <c r="E1398" t="inlineStr">
        <is>
          <t>VILHELMINA</t>
        </is>
      </c>
      <c r="F1398" t="inlineStr">
        <is>
          <t>Kommuner</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58824-2024</t>
        </is>
      </c>
      <c r="B1399" s="1" t="n">
        <v>45636</v>
      </c>
      <c r="C1399" s="1" t="n">
        <v>45637</v>
      </c>
      <c r="D1399" t="inlineStr">
        <is>
          <t>VÄSTERBOTTENS LÄN</t>
        </is>
      </c>
      <c r="E1399" t="inlineStr">
        <is>
          <t>VILHELMINA</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58943-2024</t>
        </is>
      </c>
      <c r="B1400" s="1" t="n">
        <v>45636</v>
      </c>
      <c r="C1400" s="1" t="n">
        <v>45637</v>
      </c>
      <c r="D1400" t="inlineStr">
        <is>
          <t>VÄSTERBOTTENS LÄN</t>
        </is>
      </c>
      <c r="E1400" t="inlineStr">
        <is>
          <t>VILHELMINA</t>
        </is>
      </c>
      <c r="F1400" t="inlineStr">
        <is>
          <t>Kommuner</t>
        </is>
      </c>
      <c r="G1400" t="n">
        <v>4.1</v>
      </c>
      <c r="H1400" t="n">
        <v>0</v>
      </c>
      <c r="I1400" t="n">
        <v>0</v>
      </c>
      <c r="J1400" t="n">
        <v>0</v>
      </c>
      <c r="K1400" t="n">
        <v>0</v>
      </c>
      <c r="L1400" t="n">
        <v>0</v>
      </c>
      <c r="M1400" t="n">
        <v>0</v>
      </c>
      <c r="N1400" t="n">
        <v>0</v>
      </c>
      <c r="O1400" t="n">
        <v>0</v>
      </c>
      <c r="P1400" t="n">
        <v>0</v>
      </c>
      <c r="Q1400" t="n">
        <v>0</v>
      </c>
      <c r="R1400" s="2" t="inlineStr"/>
    </row>
    <row r="1401">
      <c r="A1401" t="inlineStr">
        <is>
          <t>A 58937-2024</t>
        </is>
      </c>
      <c r="B1401" s="1" t="n">
        <v>45636</v>
      </c>
      <c r="C1401" s="1" t="n">
        <v>45637</v>
      </c>
      <c r="D1401" t="inlineStr">
        <is>
          <t>VÄSTERBOTTENS LÄN</t>
        </is>
      </c>
      <c r="E1401" t="inlineStr">
        <is>
          <t>VILHELMINA</t>
        </is>
      </c>
      <c r="F1401" t="inlineStr">
        <is>
          <t>Kommuner</t>
        </is>
      </c>
      <c r="G1401" t="n">
        <v>2.3</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2024-12-11T15:09:56Z</dcterms:created>
  <dcterms:modified xmlns:dcterms="http://purl.org/dc/terms/" xmlns:xsi="http://www.w3.org/2001/XMLSchema-instance" xsi:type="dcterms:W3CDTF">2024-12-11T15:09:57Z</dcterms:modified>
</cp:coreProperties>
</file>